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5" documentId="13_ncr:1_{6ECF84C4-F979-4F03-BEAB-BDFA11B14DA6}" xr6:coauthVersionLast="47" xr6:coauthVersionMax="47" xr10:uidLastSave="{5ECB277F-08D3-471D-A67E-43EE1335D2F0}"/>
  <bookViews>
    <workbookView xWindow="-98" yWindow="-98" windowWidth="21795" windowHeight="12975" tabRatio="675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U159" i="18" s="1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N51" i="2" s="1"/>
  <c r="H18" i="5"/>
  <c r="DL3" i="6" s="1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J14" i="3"/>
  <c r="V106" i="18"/>
  <c r="JL3" i="6"/>
  <c r="HY3" i="6"/>
  <c r="GD3" i="6"/>
  <c r="GG3" i="6"/>
  <c r="AY3" i="6"/>
  <c r="KP3" i="6"/>
  <c r="EH3" i="6"/>
  <c r="J3" i="6"/>
  <c r="JO3" i="6"/>
  <c r="KD3" i="6"/>
  <c r="KZ3" i="6"/>
  <c r="DQ3" i="6"/>
  <c r="EZ3" i="6"/>
  <c r="GI3" i="6"/>
  <c r="HC3" i="6"/>
  <c r="KR3" i="6"/>
  <c r="KW3" i="6"/>
  <c r="GF3" i="6"/>
  <c r="JJ3" i="6"/>
  <c r="KE3" i="6"/>
  <c r="AD3" i="6"/>
  <c r="BF3" i="6"/>
  <c r="BS3" i="6"/>
  <c r="BE3" i="6"/>
  <c r="BM3" i="6"/>
  <c r="IL3" i="6"/>
  <c r="KI3" i="6"/>
  <c r="EA3" i="6"/>
  <c r="EF3" i="6"/>
  <c r="AX3" i="6"/>
  <c r="CG3" i="6"/>
  <c r="DV3" i="6"/>
  <c r="EI3" i="6"/>
  <c r="CV3" i="6"/>
  <c r="EO3" i="6"/>
  <c r="FI3" i="6"/>
  <c r="IE3" i="6"/>
  <c r="S3" i="6"/>
  <c r="IK3" i="6"/>
  <c r="AI3" i="6"/>
  <c r="BC3" i="6"/>
  <c r="P3" i="6"/>
  <c r="AF3" i="6"/>
  <c r="HG3" i="6"/>
  <c r="KT3" i="6"/>
  <c r="AH3" i="6"/>
  <c r="DG3" i="6"/>
  <c r="KH3" i="6"/>
  <c r="KN3" i="6"/>
  <c r="DT3" i="6"/>
  <c r="HE3" i="6"/>
  <c r="JT3" i="6"/>
  <c r="KX3" i="6"/>
  <c r="FT3" i="6"/>
  <c r="KY3" i="6"/>
  <c r="KV3" i="6"/>
  <c r="EE3" i="6"/>
  <c r="AJ3" i="6"/>
  <c r="KB3" i="6"/>
  <c r="I49" i="2"/>
  <c r="K52" i="2"/>
  <c r="N52" i="2"/>
  <c r="I46" i="2"/>
  <c r="K49" i="2"/>
  <c r="K46" i="2"/>
  <c r="J46" i="2" s="1"/>
  <c r="W120" i="18"/>
  <c r="W38" i="18"/>
  <c r="W67" i="18"/>
  <c r="CG11" i="6" s="1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Y3" i="6" l="1"/>
  <c r="K3" i="6"/>
  <c r="CA3" i="6"/>
  <c r="U3" i="6"/>
  <c r="DN3" i="6"/>
  <c r="IR3" i="6"/>
  <c r="AR3" i="6"/>
  <c r="JY3" i="6"/>
  <c r="BO3" i="6"/>
  <c r="DZ3" i="6"/>
  <c r="BA3" i="6"/>
  <c r="EN3" i="6"/>
  <c r="H3" i="6"/>
  <c r="BV3" i="6"/>
  <c r="DS3" i="6"/>
  <c r="JZ3" i="6"/>
  <c r="FS3" i="6"/>
  <c r="DF3" i="6"/>
  <c r="JQ3" i="6"/>
  <c r="BR3" i="6"/>
  <c r="I3" i="6"/>
  <c r="BJ3" i="6"/>
  <c r="LA3" i="6"/>
  <c r="AB3" i="6"/>
  <c r="KA3" i="6"/>
  <c r="T3" i="6"/>
  <c r="CO3" i="6"/>
  <c r="IM3" i="6"/>
  <c r="FD3" i="6"/>
  <c r="CY3" i="6"/>
  <c r="AZ3" i="6"/>
  <c r="CJ3" i="6"/>
  <c r="Q3" i="6"/>
  <c r="BD3" i="6"/>
  <c r="KF3" i="6"/>
  <c r="HW3" i="6"/>
  <c r="EU3" i="6"/>
  <c r="IX3" i="6"/>
  <c r="BX3" i="6"/>
  <c r="HS3" i="6"/>
  <c r="CZ3" i="6"/>
  <c r="KS3" i="6"/>
  <c r="GE3" i="6"/>
  <c r="FE3" i="6"/>
  <c r="GL3" i="6"/>
  <c r="GC3" i="6"/>
  <c r="F3" i="6"/>
  <c r="F4" i="6" s="1"/>
  <c r="GV3" i="6"/>
  <c r="CP3" i="6"/>
  <c r="JW3" i="6"/>
  <c r="KJ3" i="6"/>
  <c r="DX3" i="6"/>
  <c r="CF3" i="6"/>
  <c r="JU3" i="6"/>
  <c r="DP3" i="6"/>
  <c r="JX3" i="6"/>
  <c r="IO3" i="6"/>
  <c r="JR3" i="6"/>
  <c r="CW3" i="6"/>
  <c r="HO3" i="6"/>
  <c r="CM3" i="6"/>
  <c r="EB3" i="6"/>
  <c r="AK3" i="6"/>
  <c r="FL3" i="6"/>
  <c r="DR3" i="6"/>
  <c r="FC3" i="6"/>
  <c r="EK3" i="6"/>
  <c r="FN3" i="6"/>
  <c r="FO3" i="6"/>
  <c r="CT3" i="6"/>
  <c r="DM3" i="6"/>
  <c r="AE3" i="6"/>
  <c r="FP3" i="6"/>
  <c r="FH3" i="6"/>
  <c r="FF3" i="6"/>
  <c r="IB3" i="6"/>
  <c r="IY3" i="6"/>
  <c r="HJ3" i="6"/>
  <c r="ES3" i="6"/>
  <c r="EL3" i="6"/>
  <c r="HK3" i="6"/>
  <c r="EX3" i="6"/>
  <c r="FM3" i="6"/>
  <c r="HI3" i="6"/>
  <c r="BI3" i="6"/>
  <c r="BK3" i="6"/>
  <c r="BP3" i="6"/>
  <c r="JC3" i="6"/>
  <c r="DD3" i="6"/>
  <c r="BG3" i="6"/>
  <c r="DY3" i="6"/>
  <c r="IG3" i="6"/>
  <c r="DI3" i="6"/>
  <c r="FA3" i="6"/>
  <c r="GN3" i="6"/>
  <c r="ED3" i="6"/>
  <c r="KQ3" i="6"/>
  <c r="GZ3" i="6"/>
  <c r="JS3" i="6"/>
  <c r="GA3" i="6"/>
  <c r="IZ3" i="6"/>
  <c r="AS3" i="6"/>
  <c r="DK3" i="6"/>
  <c r="G3" i="6"/>
  <c r="ET3" i="6"/>
  <c r="EY3" i="6"/>
  <c r="CX3" i="6"/>
  <c r="HR3" i="6"/>
  <c r="HZ3" i="6"/>
  <c r="FZ3" i="6"/>
  <c r="DU3" i="6"/>
  <c r="DJ3" i="6"/>
  <c r="CL3" i="6"/>
  <c r="LD3" i="6"/>
  <c r="GJ3" i="6"/>
  <c r="CI3" i="6"/>
  <c r="BQ3" i="6"/>
  <c r="EG3" i="6"/>
  <c r="EQ3" i="6"/>
  <c r="HD3" i="6"/>
  <c r="X3" i="6"/>
  <c r="AN3" i="6"/>
  <c r="L3" i="6"/>
  <c r="GH3" i="6"/>
  <c r="GM3" i="6"/>
  <c r="CN3" i="6"/>
  <c r="FV3" i="6"/>
  <c r="HM3" i="6"/>
  <c r="KG3" i="6"/>
  <c r="CU3" i="6"/>
  <c r="HF3" i="6"/>
  <c r="JF3" i="6"/>
  <c r="DA3" i="6"/>
  <c r="DO3" i="6"/>
  <c r="GW3" i="6"/>
  <c r="IS3" i="6"/>
  <c r="KL3" i="6"/>
  <c r="DE3" i="6"/>
  <c r="JE3" i="6"/>
  <c r="W3" i="6"/>
  <c r="HT3" i="6"/>
  <c r="GT3" i="6"/>
  <c r="BN3" i="6"/>
  <c r="EM3" i="6"/>
  <c r="LC3" i="6"/>
  <c r="FY3" i="6"/>
  <c r="GY3" i="6"/>
  <c r="GP3" i="6"/>
  <c r="GO3" i="6"/>
  <c r="BT3" i="6"/>
  <c r="EW3" i="6"/>
  <c r="LB3" i="6"/>
  <c r="JM3" i="6"/>
  <c r="Z3" i="6"/>
  <c r="DB3" i="6"/>
  <c r="CQ3" i="6"/>
  <c r="II3" i="6"/>
  <c r="FK3" i="6"/>
  <c r="JI3" i="6"/>
  <c r="KM3" i="6"/>
  <c r="ER3" i="6"/>
  <c r="IQ3" i="6"/>
  <c r="IV3" i="6"/>
  <c r="KO3" i="6"/>
  <c r="FQ3" i="6"/>
  <c r="JH3" i="6"/>
  <c r="BH3" i="6"/>
  <c r="N3" i="6"/>
  <c r="HN3" i="6"/>
  <c r="CS3" i="6"/>
  <c r="FX3" i="6"/>
  <c r="R3" i="6"/>
  <c r="GU3" i="6"/>
  <c r="IF3" i="6"/>
  <c r="BB3" i="6"/>
  <c r="IC3" i="6"/>
  <c r="HP3" i="6"/>
  <c r="IJ3" i="6"/>
  <c r="FG3" i="6"/>
  <c r="JA3" i="6"/>
  <c r="JK3" i="6"/>
  <c r="GS3" i="6"/>
  <c r="CD3" i="6"/>
  <c r="HQ3" i="6"/>
  <c r="GR3" i="6"/>
  <c r="IU3" i="6"/>
  <c r="EP3" i="6"/>
  <c r="AP3" i="6"/>
  <c r="M3" i="6"/>
  <c r="HV3" i="6"/>
  <c r="AV3" i="6"/>
  <c r="ID3" i="6"/>
  <c r="AT3" i="6"/>
  <c r="CB3" i="6"/>
  <c r="CC3" i="6"/>
  <c r="HU3" i="6"/>
  <c r="EJ3" i="6"/>
  <c r="HA3" i="6"/>
  <c r="AU3" i="6"/>
  <c r="FB3" i="6"/>
  <c r="CH3" i="6"/>
  <c r="JD3" i="6"/>
  <c r="CK3" i="6"/>
  <c r="IH3" i="6"/>
  <c r="DW3" i="6"/>
  <c r="AL3" i="6"/>
  <c r="DC3" i="6"/>
  <c r="AG3" i="6"/>
  <c r="IA3" i="6"/>
  <c r="JN3" i="6"/>
  <c r="EV3" i="6"/>
  <c r="CR3" i="6"/>
  <c r="AA3" i="6"/>
  <c r="JG3" i="6"/>
  <c r="FU3" i="6"/>
  <c r="JV3" i="6"/>
  <c r="HX3" i="6"/>
  <c r="IW3" i="6"/>
  <c r="KC3" i="6"/>
  <c r="AM3" i="6"/>
  <c r="HL3" i="6"/>
  <c r="GB3" i="6"/>
  <c r="BL3" i="6"/>
  <c r="V3" i="6"/>
  <c r="FW3" i="6"/>
  <c r="JB3" i="6"/>
  <c r="KK3" i="6"/>
  <c r="KU3" i="6"/>
  <c r="CE3" i="6"/>
  <c r="AQ3" i="6"/>
  <c r="FR3" i="6"/>
  <c r="JP3" i="6"/>
  <c r="DH3" i="6"/>
  <c r="HH3" i="6"/>
  <c r="BZ3" i="6"/>
  <c r="BY3" i="6"/>
  <c r="GX3" i="6"/>
  <c r="EC3" i="6"/>
  <c r="HB3" i="6"/>
  <c r="AW3" i="6"/>
  <c r="IP3" i="6"/>
  <c r="O3" i="6"/>
  <c r="AC3" i="6"/>
  <c r="FJ3" i="6"/>
  <c r="IT3" i="6"/>
  <c r="BU3" i="6"/>
  <c r="GK3" i="6"/>
  <c r="BW3" i="6"/>
  <c r="AO3" i="6"/>
  <c r="GQ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X2" i="18"/>
  <c r="U165" i="18"/>
  <c r="U166" i="18"/>
  <c r="H23" i="3"/>
  <c r="U167" i="18"/>
  <c r="U168" i="18"/>
  <c r="U161" i="18"/>
  <c r="U164" i="18"/>
  <c r="U163" i="18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3" i="6" l="1"/>
  <c r="G4" i="6"/>
  <c r="F7" i="6"/>
  <c r="V157" i="18"/>
  <c r="H5" i="3"/>
  <c r="F5" i="5" s="1"/>
  <c r="J23" i="3"/>
  <c r="J5" i="3" s="1"/>
  <c r="D18" i="6"/>
  <c r="C18" i="6" s="1"/>
  <c r="C17" i="6"/>
  <c r="N9" i="2"/>
  <c r="D11" i="6"/>
  <c r="F12" i="6"/>
  <c r="G7" i="6" l="1"/>
  <c r="H4" i="6"/>
  <c r="H25" i="3"/>
  <c r="C11" i="6"/>
  <c r="F6" i="5"/>
  <c r="F7" i="5" s="1"/>
  <c r="G12" i="6"/>
  <c r="F14" i="6"/>
  <c r="I4" i="6" l="1"/>
  <c r="H7" i="6"/>
  <c r="G14" i="6"/>
  <c r="H12" i="6"/>
  <c r="J4" i="6" l="1"/>
  <c r="I7" i="6"/>
  <c r="H14" i="6"/>
  <c r="I12" i="6"/>
  <c r="K4" i="6" l="1"/>
  <c r="J7" i="6"/>
  <c r="J12" i="6"/>
  <c r="I14" i="6"/>
  <c r="L4" i="6" l="1"/>
  <c r="K7" i="6"/>
  <c r="K12" i="6"/>
  <c r="J14" i="6"/>
  <c r="M4" i="6" l="1"/>
  <c r="L7" i="6"/>
  <c r="L12" i="6"/>
  <c r="K14" i="6"/>
  <c r="N4" i="6" l="1"/>
  <c r="M7" i="6"/>
  <c r="L14" i="6"/>
  <c r="M12" i="6"/>
  <c r="O4" i="6" l="1"/>
  <c r="N7" i="6"/>
  <c r="M14" i="6"/>
  <c r="N12" i="6"/>
  <c r="P4" i="6" l="1"/>
  <c r="O7" i="6"/>
  <c r="O12" i="6"/>
  <c r="N14" i="6"/>
  <c r="Q4" i="6" l="1"/>
  <c r="P7" i="6"/>
  <c r="O14" i="6"/>
  <c r="P12" i="6"/>
  <c r="Q7" i="6" l="1"/>
  <c r="R4" i="6"/>
  <c r="P14" i="6"/>
  <c r="Q12" i="6"/>
  <c r="R7" i="6" l="1"/>
  <c r="S4" i="6"/>
  <c r="Q14" i="6"/>
  <c r="R12" i="6"/>
  <c r="T4" i="6" l="1"/>
  <c r="S7" i="6"/>
  <c r="R14" i="6"/>
  <c r="S12" i="6"/>
  <c r="T7" i="6" l="1"/>
  <c r="U4" i="6"/>
  <c r="T12" i="6"/>
  <c r="S14" i="6"/>
  <c r="V4" i="6" l="1"/>
  <c r="U7" i="6"/>
  <c r="T14" i="6"/>
  <c r="U12" i="6"/>
  <c r="W4" i="6" l="1"/>
  <c r="V7" i="6"/>
  <c r="V12" i="6"/>
  <c r="U14" i="6"/>
  <c r="X4" i="6" l="1"/>
  <c r="W7" i="6"/>
  <c r="V14" i="6"/>
  <c r="W12" i="6"/>
  <c r="X7" i="6" l="1"/>
  <c r="Y4" i="6"/>
  <c r="W14" i="6"/>
  <c r="X12" i="6"/>
  <c r="Y7" i="6" l="1"/>
  <c r="Z4" i="6"/>
  <c r="Y12" i="6"/>
  <c r="X14" i="6"/>
  <c r="AA4" i="6" l="1"/>
  <c r="Z7" i="6"/>
  <c r="Z12" i="6"/>
  <c r="Y14" i="6"/>
  <c r="AA7" i="6" l="1"/>
  <c r="AB4" i="6"/>
  <c r="AA12" i="6"/>
  <c r="Z14" i="6"/>
  <c r="AB7" i="6" l="1"/>
  <c r="AC4" i="6"/>
  <c r="AA14" i="6"/>
  <c r="AB12" i="6"/>
  <c r="AC7" i="6" l="1"/>
  <c r="AD4" i="6"/>
  <c r="AC12" i="6"/>
  <c r="AB14" i="6"/>
  <c r="AD7" i="6" l="1"/>
  <c r="AE4" i="6"/>
  <c r="AC14" i="6"/>
  <c r="AD12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I7" i="6" l="1"/>
  <c r="AJ4" i="6"/>
  <c r="AH14" i="6"/>
  <c r="AI12" i="6"/>
  <c r="AJ7" i="6" l="1"/>
  <c r="AK4" i="6"/>
  <c r="AJ12" i="6"/>
  <c r="AI14" i="6"/>
  <c r="AL4" i="6" l="1"/>
  <c r="AK7" i="6"/>
  <c r="AJ14" i="6"/>
  <c r="AK12" i="6"/>
  <c r="AL7" i="6" l="1"/>
  <c r="AM4" i="6"/>
  <c r="AK14" i="6"/>
  <c r="AL12" i="6"/>
  <c r="AM7" i="6" l="1"/>
  <c r="AN4" i="6"/>
  <c r="AL14" i="6"/>
  <c r="AM12" i="6"/>
  <c r="AN7" i="6" l="1"/>
  <c r="AO4" i="6"/>
  <c r="AM14" i="6"/>
  <c r="AN12" i="6"/>
  <c r="AP4" i="6" l="1"/>
  <c r="AO7" i="6"/>
  <c r="AO12" i="6"/>
  <c r="AN14" i="6"/>
  <c r="AQ4" i="6" l="1"/>
  <c r="AP7" i="6"/>
  <c r="AP12" i="6"/>
  <c r="AO14" i="6"/>
  <c r="AQ7" i="6" l="1"/>
  <c r="AR4" i="6"/>
  <c r="AQ12" i="6"/>
  <c r="AP14" i="6"/>
  <c r="AS4" i="6" l="1"/>
  <c r="AR7" i="6"/>
  <c r="AR12" i="6"/>
  <c r="AQ14" i="6"/>
  <c r="AT4" i="6" l="1"/>
  <c r="AS7" i="6"/>
  <c r="AS12" i="6"/>
  <c r="AR14" i="6"/>
  <c r="AU4" i="6" l="1"/>
  <c r="AT7" i="6"/>
  <c r="AT12" i="6"/>
  <c r="AS14" i="6"/>
  <c r="AV4" i="6" l="1"/>
  <c r="AU7" i="6"/>
  <c r="AU12" i="6"/>
  <c r="AT14" i="6"/>
  <c r="AW4" i="6" l="1"/>
  <c r="AV7" i="6"/>
  <c r="AU14" i="6"/>
  <c r="AV12" i="6"/>
  <c r="AX4" i="6" l="1"/>
  <c r="AW7" i="6"/>
  <c r="AW12" i="6"/>
  <c r="AV14" i="6"/>
  <c r="AX7" i="6" l="1"/>
  <c r="AY4" i="6"/>
  <c r="AW14" i="6"/>
  <c r="AX12" i="6"/>
  <c r="AY7" i="6" l="1"/>
  <c r="AZ4" i="6"/>
  <c r="AY12" i="6"/>
  <c r="AX14" i="6"/>
  <c r="BA4" i="6" l="1"/>
  <c r="AZ7" i="6"/>
  <c r="AY14" i="6"/>
  <c r="AZ12" i="6"/>
  <c r="BA7" i="6" l="1"/>
  <c r="BB4" i="6"/>
  <c r="BA12" i="6"/>
  <c r="AZ14" i="6"/>
  <c r="BB7" i="6" l="1"/>
  <c r="BC4" i="6"/>
  <c r="BB12" i="6"/>
  <c r="BA14" i="6"/>
  <c r="BC7" i="6" l="1"/>
  <c r="BD4" i="6"/>
  <c r="BB14" i="6"/>
  <c r="BC12" i="6"/>
  <c r="BD7" i="6" l="1"/>
  <c r="BE4" i="6"/>
  <c r="BD12" i="6"/>
  <c r="BC14" i="6"/>
  <c r="BE7" i="6" l="1"/>
  <c r="BF4" i="6"/>
  <c r="BD14" i="6"/>
  <c r="BE12" i="6"/>
  <c r="BF7" i="6" l="1"/>
  <c r="BG4" i="6"/>
  <c r="BF12" i="6"/>
  <c r="BE14" i="6"/>
  <c r="BH4" i="6" l="1"/>
  <c r="BG7" i="6"/>
  <c r="BG12" i="6"/>
  <c r="BF14" i="6"/>
  <c r="BI4" i="6" l="1"/>
  <c r="BH7" i="6"/>
  <c r="BG14" i="6"/>
  <c r="BH12" i="6"/>
  <c r="BJ4" i="6" l="1"/>
  <c r="BI7" i="6"/>
  <c r="BI12" i="6"/>
  <c r="BH14" i="6"/>
  <c r="BK4" i="6" l="1"/>
  <c r="BJ7" i="6"/>
  <c r="BI14" i="6"/>
  <c r="BJ12" i="6"/>
  <c r="BK7" i="6" l="1"/>
  <c r="BL4" i="6"/>
  <c r="BJ14" i="6"/>
  <c r="BK12" i="6"/>
  <c r="BL7" i="6" l="1"/>
  <c r="BM4" i="6"/>
  <c r="BK14" i="6"/>
  <c r="BL12" i="6"/>
  <c r="BN4" i="6" l="1"/>
  <c r="BM7" i="6"/>
  <c r="BL14" i="6"/>
  <c r="BM12" i="6"/>
  <c r="BO4" i="6" l="1"/>
  <c r="BN7" i="6"/>
  <c r="BM14" i="6"/>
  <c r="BN12" i="6"/>
  <c r="BP4" i="6" l="1"/>
  <c r="BO7" i="6"/>
  <c r="BO12" i="6"/>
  <c r="BN14" i="6"/>
  <c r="BQ4" i="6" l="1"/>
  <c r="BP7" i="6"/>
  <c r="BP12" i="6"/>
  <c r="BO14" i="6"/>
  <c r="BQ7" i="6" l="1"/>
  <c r="BR4" i="6"/>
  <c r="BQ12" i="6"/>
  <c r="BP14" i="6"/>
  <c r="BS4" i="6" l="1"/>
  <c r="BR7" i="6"/>
  <c r="BQ14" i="6"/>
  <c r="BR12" i="6"/>
  <c r="BS7" i="6" l="1"/>
  <c r="BT4" i="6"/>
  <c r="BR14" i="6"/>
  <c r="BS12" i="6"/>
  <c r="BT7" i="6" l="1"/>
  <c r="BU4" i="6"/>
  <c r="BT12" i="6"/>
  <c r="BS14" i="6"/>
  <c r="BU7" i="6" l="1"/>
  <c r="BV4" i="6"/>
  <c r="BT14" i="6"/>
  <c r="BU12" i="6"/>
  <c r="BV7" i="6" l="1"/>
  <c r="BW4" i="6"/>
  <c r="BV12" i="6"/>
  <c r="BU14" i="6"/>
  <c r="BX4" i="6" l="1"/>
  <c r="BW7" i="6"/>
  <c r="BV14" i="6"/>
  <c r="BW12" i="6"/>
  <c r="BX7" i="6" l="1"/>
  <c r="BY4" i="6"/>
  <c r="BW14" i="6"/>
  <c r="BX12" i="6"/>
  <c r="BY7" i="6" l="1"/>
  <c r="BZ4" i="6"/>
  <c r="BY12" i="6"/>
  <c r="BX14" i="6"/>
  <c r="CA4" i="6" l="1"/>
  <c r="BZ7" i="6"/>
  <c r="BZ12" i="6"/>
  <c r="BY14" i="6"/>
  <c r="CB4" i="6" l="1"/>
  <c r="CA7" i="6"/>
  <c r="BZ14" i="6"/>
  <c r="CA12" i="6"/>
  <c r="CB7" i="6" l="1"/>
  <c r="CC4" i="6"/>
  <c r="CA14" i="6"/>
  <c r="CB12" i="6"/>
  <c r="CC7" i="6" l="1"/>
  <c r="CD4" i="6"/>
  <c r="CC12" i="6"/>
  <c r="CB14" i="6"/>
  <c r="CE4" i="6" l="1"/>
  <c r="CD7" i="6"/>
  <c r="CD12" i="6"/>
  <c r="CC14" i="6"/>
  <c r="CF4" i="6" l="1"/>
  <c r="CE7" i="6"/>
  <c r="CD14" i="6"/>
  <c r="CE12" i="6"/>
  <c r="CG4" i="6" l="1"/>
  <c r="CF7" i="6"/>
  <c r="CF12" i="6"/>
  <c r="CE14" i="6"/>
  <c r="CH4" i="6" l="1"/>
  <c r="CG7" i="6"/>
  <c r="CG12" i="6"/>
  <c r="CF14" i="6"/>
  <c r="CH7" i="6" l="1"/>
  <c r="CI4" i="6"/>
  <c r="CG14" i="6"/>
  <c r="CH12" i="6"/>
  <c r="CJ4" i="6" l="1"/>
  <c r="CI7" i="6"/>
  <c r="CI12" i="6"/>
  <c r="CH14" i="6"/>
  <c r="CJ7" i="6" l="1"/>
  <c r="CK4" i="6"/>
  <c r="CJ12" i="6"/>
  <c r="CI14" i="6"/>
  <c r="CL4" i="6" l="1"/>
  <c r="CK7" i="6"/>
  <c r="CJ14" i="6"/>
  <c r="CK12" i="6"/>
  <c r="CL7" i="6" l="1"/>
  <c r="CM4" i="6"/>
  <c r="CL12" i="6"/>
  <c r="CK14" i="6"/>
  <c r="CN4" i="6" l="1"/>
  <c r="CM7" i="6"/>
  <c r="CL14" i="6"/>
  <c r="CM12" i="6"/>
  <c r="CO4" i="6" l="1"/>
  <c r="CN7" i="6"/>
  <c r="CM14" i="6"/>
  <c r="CN12" i="6"/>
  <c r="CO7" i="6" l="1"/>
  <c r="CP4" i="6"/>
  <c r="CN14" i="6"/>
  <c r="CO12" i="6"/>
  <c r="CP7" i="6" l="1"/>
  <c r="CQ4" i="6"/>
  <c r="CP12" i="6"/>
  <c r="CO14" i="6"/>
  <c r="CR4" i="6" l="1"/>
  <c r="CQ7" i="6"/>
  <c r="CP14" i="6"/>
  <c r="CQ12" i="6"/>
  <c r="CR7" i="6" l="1"/>
  <c r="CS4" i="6"/>
  <c r="CQ14" i="6"/>
  <c r="CR12" i="6"/>
  <c r="CS7" i="6" l="1"/>
  <c r="CT4" i="6"/>
  <c r="CS12" i="6"/>
  <c r="CR14" i="6"/>
  <c r="CT7" i="6" l="1"/>
  <c r="CU4" i="6"/>
  <c r="CT12" i="6"/>
  <c r="CS14" i="6"/>
  <c r="CV4" i="6" l="1"/>
  <c r="CU7" i="6"/>
  <c r="CT14" i="6"/>
  <c r="CU12" i="6"/>
  <c r="CW4" i="6" l="1"/>
  <c r="CV7" i="6"/>
  <c r="CV12" i="6"/>
  <c r="CU14" i="6"/>
  <c r="CX4" i="6" l="1"/>
  <c r="CW7" i="6"/>
  <c r="CW12" i="6"/>
  <c r="CV14" i="6"/>
  <c r="CX7" i="6" l="1"/>
  <c r="CY4" i="6"/>
  <c r="CW14" i="6"/>
  <c r="CX12" i="6"/>
  <c r="CY7" i="6" l="1"/>
  <c r="CZ4" i="6"/>
  <c r="CY12" i="6"/>
  <c r="CX14" i="6"/>
  <c r="CZ7" i="6" l="1"/>
  <c r="DA4" i="6"/>
  <c r="CZ12" i="6"/>
  <c r="CY14" i="6"/>
  <c r="DA7" i="6" l="1"/>
  <c r="DB4" i="6"/>
  <c r="DA12" i="6"/>
  <c r="CZ14" i="6"/>
  <c r="DC4" i="6" l="1"/>
  <c r="DB7" i="6"/>
  <c r="DA14" i="6"/>
  <c r="DB12" i="6"/>
  <c r="DC7" i="6" l="1"/>
  <c r="DD4" i="6"/>
  <c r="DB14" i="6"/>
  <c r="DC12" i="6"/>
  <c r="DE4" i="6" l="1"/>
  <c r="DD7" i="6"/>
  <c r="DC14" i="6"/>
  <c r="DD12" i="6"/>
  <c r="DF4" i="6" l="1"/>
  <c r="DE7" i="6"/>
  <c r="DD14" i="6"/>
  <c r="DE12" i="6"/>
  <c r="DG4" i="6" l="1"/>
  <c r="DF7" i="6"/>
  <c r="DF12" i="6"/>
  <c r="DE14" i="6"/>
  <c r="DG7" i="6" l="1"/>
  <c r="DH4" i="6"/>
  <c r="DF14" i="6"/>
  <c r="DG12" i="6"/>
  <c r="DH7" i="6" l="1"/>
  <c r="DI4" i="6"/>
  <c r="DH12" i="6"/>
  <c r="DG14" i="6"/>
  <c r="DJ4" i="6" l="1"/>
  <c r="DI7" i="6"/>
  <c r="DI12" i="6"/>
  <c r="DH14" i="6"/>
  <c r="DK4" i="6" l="1"/>
  <c r="DJ7" i="6"/>
  <c r="DI14" i="6"/>
  <c r="DJ12" i="6"/>
  <c r="DL4" i="6" l="1"/>
  <c r="DK7" i="6"/>
  <c r="DJ14" i="6"/>
  <c r="DK12" i="6"/>
  <c r="DL7" i="6" l="1"/>
  <c r="DM4" i="6"/>
  <c r="DL12" i="6"/>
  <c r="DK14" i="6"/>
  <c r="DN4" i="6" l="1"/>
  <c r="DM7" i="6"/>
  <c r="DL14" i="6"/>
  <c r="DM12" i="6"/>
  <c r="DO4" i="6" l="1"/>
  <c r="DN7" i="6"/>
  <c r="DM14" i="6"/>
  <c r="DN12" i="6"/>
  <c r="DP4" i="6" l="1"/>
  <c r="DO7" i="6"/>
  <c r="DN14" i="6"/>
  <c r="DO12" i="6"/>
  <c r="DQ4" i="6" l="1"/>
  <c r="DP7" i="6"/>
  <c r="DP12" i="6"/>
  <c r="DO14" i="6"/>
  <c r="DR4" i="6" l="1"/>
  <c r="DQ7" i="6"/>
  <c r="DP14" i="6"/>
  <c r="DQ12" i="6"/>
  <c r="DR7" i="6" l="1"/>
  <c r="DS4" i="6"/>
  <c r="DR12" i="6"/>
  <c r="DQ14" i="6"/>
  <c r="DT4" i="6" l="1"/>
  <c r="DS7" i="6"/>
  <c r="DS12" i="6"/>
  <c r="DR14" i="6"/>
  <c r="DT7" i="6" l="1"/>
  <c r="DU4" i="6"/>
  <c r="DS14" i="6"/>
  <c r="DT12" i="6"/>
  <c r="DV4" i="6" l="1"/>
  <c r="DU7" i="6"/>
  <c r="DU12" i="6"/>
  <c r="DT14" i="6"/>
  <c r="DV7" i="6" l="1"/>
  <c r="DW4" i="6"/>
  <c r="DU14" i="6"/>
  <c r="DV12" i="6"/>
  <c r="DX4" i="6" l="1"/>
  <c r="DW7" i="6"/>
  <c r="DV14" i="6"/>
  <c r="DW12" i="6"/>
  <c r="DY4" i="6" l="1"/>
  <c r="DX7" i="6"/>
  <c r="DW14" i="6"/>
  <c r="DX12" i="6"/>
  <c r="DY7" i="6" l="1"/>
  <c r="DZ4" i="6"/>
  <c r="DY12" i="6"/>
  <c r="DX14" i="6"/>
  <c r="DZ7" i="6" l="1"/>
  <c r="EA4" i="6"/>
  <c r="DZ12" i="6"/>
  <c r="DY14" i="6"/>
  <c r="EB4" i="6" l="1"/>
  <c r="EA7" i="6"/>
  <c r="EA12" i="6"/>
  <c r="DZ14" i="6"/>
  <c r="EC4" i="6" l="1"/>
  <c r="EB7" i="6"/>
  <c r="EA14" i="6"/>
  <c r="EB12" i="6"/>
  <c r="ED4" i="6" l="1"/>
  <c r="EC7" i="6"/>
  <c r="EC12" i="6"/>
  <c r="EB14" i="6"/>
  <c r="EE4" i="6" l="1"/>
  <c r="ED7" i="6"/>
  <c r="ED12" i="6"/>
  <c r="EC14" i="6"/>
  <c r="EE7" i="6" l="1"/>
  <c r="EF4" i="6"/>
  <c r="ED14" i="6"/>
  <c r="EE12" i="6"/>
  <c r="EG4" i="6" l="1"/>
  <c r="EF7" i="6"/>
  <c r="EF12" i="6"/>
  <c r="EE14" i="6"/>
  <c r="EG7" i="6" l="1"/>
  <c r="EH4" i="6"/>
  <c r="EG12" i="6"/>
  <c r="EF14" i="6"/>
  <c r="EH7" i="6" l="1"/>
  <c r="EI4" i="6"/>
  <c r="EH12" i="6"/>
  <c r="EG14" i="6"/>
  <c r="EJ4" i="6" l="1"/>
  <c r="EI7" i="6"/>
  <c r="EI12" i="6"/>
  <c r="EH14" i="6"/>
  <c r="EK4" i="6" l="1"/>
  <c r="EJ7" i="6"/>
  <c r="EI14" i="6"/>
  <c r="EJ12" i="6"/>
  <c r="EL4" i="6" l="1"/>
  <c r="EK7" i="6"/>
  <c r="EK12" i="6"/>
  <c r="EJ14" i="6"/>
  <c r="EM4" i="6" l="1"/>
  <c r="EL7" i="6"/>
  <c r="EL12" i="6"/>
  <c r="EK14" i="6"/>
  <c r="EN4" i="6" l="1"/>
  <c r="EM7" i="6"/>
  <c r="EM12" i="6"/>
  <c r="EL14" i="6"/>
  <c r="EO4" i="6" l="1"/>
  <c r="EN7" i="6"/>
  <c r="EN12" i="6"/>
  <c r="EM14" i="6"/>
  <c r="EO7" i="6" l="1"/>
  <c r="EP4" i="6"/>
  <c r="EN14" i="6"/>
  <c r="EO12" i="6"/>
  <c r="EP7" i="6" l="1"/>
  <c r="EQ4" i="6"/>
  <c r="EP12" i="6"/>
  <c r="EO14" i="6"/>
  <c r="EQ7" i="6" l="1"/>
  <c r="ER4" i="6"/>
  <c r="EP14" i="6"/>
  <c r="EQ12" i="6"/>
  <c r="ER7" i="6" l="1"/>
  <c r="ES4" i="6"/>
  <c r="EQ14" i="6"/>
  <c r="ER12" i="6"/>
  <c r="ES7" i="6" l="1"/>
  <c r="ET4" i="6"/>
  <c r="ES12" i="6"/>
  <c r="ER14" i="6"/>
  <c r="EU4" i="6" l="1"/>
  <c r="ET7" i="6"/>
  <c r="ES14" i="6"/>
  <c r="ET12" i="6"/>
  <c r="EV4" i="6" l="1"/>
  <c r="EU7" i="6"/>
  <c r="ET14" i="6"/>
  <c r="EU12" i="6"/>
  <c r="EW4" i="6" l="1"/>
  <c r="EV7" i="6"/>
  <c r="EU14" i="6"/>
  <c r="EV12" i="6"/>
  <c r="EX4" i="6" l="1"/>
  <c r="EW7" i="6"/>
  <c r="EV14" i="6"/>
  <c r="EW12" i="6"/>
  <c r="EY4" i="6" l="1"/>
  <c r="EX7" i="6"/>
  <c r="EX12" i="6"/>
  <c r="EW14" i="6"/>
  <c r="EY7" i="6" l="1"/>
  <c r="EZ4" i="6"/>
  <c r="EX14" i="6"/>
  <c r="EY12" i="6"/>
  <c r="EZ7" i="6" l="1"/>
  <c r="FA4" i="6"/>
  <c r="EY14" i="6"/>
  <c r="EZ12" i="6"/>
  <c r="FA7" i="6" l="1"/>
  <c r="FB4" i="6"/>
  <c r="EZ14" i="6"/>
  <c r="FA12" i="6"/>
  <c r="FB7" i="6" l="1"/>
  <c r="FC4" i="6"/>
  <c r="FA14" i="6"/>
  <c r="FB12" i="6"/>
  <c r="FD4" i="6" l="1"/>
  <c r="FC7" i="6"/>
  <c r="FC12" i="6"/>
  <c r="FB14" i="6"/>
  <c r="FE4" i="6" l="1"/>
  <c r="FD7" i="6"/>
  <c r="FD12" i="6"/>
  <c r="FC14" i="6"/>
  <c r="FF4" i="6" l="1"/>
  <c r="FE7" i="6"/>
  <c r="FE12" i="6"/>
  <c r="FD14" i="6"/>
  <c r="FG4" i="6" l="1"/>
  <c r="FF7" i="6"/>
  <c r="FF12" i="6"/>
  <c r="FE14" i="6"/>
  <c r="FH4" i="6" l="1"/>
  <c r="FG7" i="6"/>
  <c r="FF14" i="6"/>
  <c r="FG12" i="6"/>
  <c r="FH7" i="6" l="1"/>
  <c r="FI4" i="6"/>
  <c r="FH12" i="6"/>
  <c r="FG14" i="6"/>
  <c r="FI7" i="6" l="1"/>
  <c r="FJ4" i="6"/>
  <c r="FI12" i="6"/>
  <c r="FH14" i="6"/>
  <c r="FK4" i="6" l="1"/>
  <c r="FJ7" i="6"/>
  <c r="FJ12" i="6"/>
  <c r="FI14" i="6"/>
  <c r="FL4" i="6" l="1"/>
  <c r="FK7" i="6"/>
  <c r="FJ14" i="6"/>
  <c r="FK12" i="6"/>
  <c r="FM4" i="6" l="1"/>
  <c r="FL7" i="6"/>
  <c r="FK14" i="6"/>
  <c r="FL12" i="6"/>
  <c r="FN4" i="6" l="1"/>
  <c r="FM7" i="6"/>
  <c r="FL14" i="6"/>
  <c r="FM12" i="6"/>
  <c r="FN7" i="6" l="1"/>
  <c r="FO4" i="6"/>
  <c r="FN12" i="6"/>
  <c r="FM14" i="6"/>
  <c r="FP4" i="6" l="1"/>
  <c r="FO7" i="6"/>
  <c r="FN14" i="6"/>
  <c r="FO12" i="6"/>
  <c r="FP7" i="6" l="1"/>
  <c r="FQ4" i="6"/>
  <c r="FO14" i="6"/>
  <c r="FP12" i="6"/>
  <c r="FQ7" i="6" l="1"/>
  <c r="FR4" i="6"/>
  <c r="FQ12" i="6"/>
  <c r="FP14" i="6"/>
  <c r="FR7" i="6" l="1"/>
  <c r="FS4" i="6"/>
  <c r="FR12" i="6"/>
  <c r="FQ14" i="6"/>
  <c r="FS7" i="6" l="1"/>
  <c r="FT4" i="6"/>
  <c r="FR14" i="6"/>
  <c r="FS12" i="6"/>
  <c r="FT7" i="6" l="1"/>
  <c r="FU4" i="6"/>
  <c r="FS14" i="6"/>
  <c r="FT12" i="6"/>
  <c r="FU7" i="6" l="1"/>
  <c r="FV4" i="6"/>
  <c r="FU12" i="6"/>
  <c r="FT14" i="6"/>
  <c r="FW4" i="6" l="1"/>
  <c r="FV7" i="6"/>
  <c r="FV12" i="6"/>
  <c r="FU14" i="6"/>
  <c r="FX4" i="6" l="1"/>
  <c r="FW7" i="6"/>
  <c r="FV14" i="6"/>
  <c r="FW12" i="6"/>
  <c r="FY4" i="6" l="1"/>
  <c r="FX7" i="6"/>
  <c r="FW14" i="6"/>
  <c r="FX12" i="6"/>
  <c r="FZ4" i="6" l="1"/>
  <c r="FY7" i="6"/>
  <c r="FY12" i="6"/>
  <c r="FX14" i="6"/>
  <c r="FZ7" i="6" l="1"/>
  <c r="GA4" i="6"/>
  <c r="FY14" i="6"/>
  <c r="FZ12" i="6"/>
  <c r="GA7" i="6" l="1"/>
  <c r="GB4" i="6"/>
  <c r="GA12" i="6"/>
  <c r="FZ14" i="6"/>
  <c r="GC4" i="6" l="1"/>
  <c r="GB7" i="6"/>
  <c r="GA14" i="6"/>
  <c r="GB12" i="6"/>
  <c r="GC7" i="6" l="1"/>
  <c r="GD4" i="6"/>
  <c r="GB14" i="6"/>
  <c r="GC12" i="6"/>
  <c r="GE4" i="6" l="1"/>
  <c r="GD7" i="6"/>
  <c r="GD12" i="6"/>
  <c r="GC14" i="6"/>
  <c r="GF4" i="6" l="1"/>
  <c r="GE7" i="6"/>
  <c r="GE12" i="6"/>
  <c r="GD14" i="6"/>
  <c r="GG4" i="6" l="1"/>
  <c r="GF7" i="6"/>
  <c r="GF12" i="6"/>
  <c r="GE14" i="6"/>
  <c r="GG7" i="6" l="1"/>
  <c r="GH4" i="6"/>
  <c r="GG12" i="6"/>
  <c r="GF14" i="6"/>
  <c r="GI4" i="6" l="1"/>
  <c r="GH7" i="6"/>
  <c r="GG14" i="6"/>
  <c r="GH12" i="6"/>
  <c r="GJ4" i="6" l="1"/>
  <c r="GI7" i="6"/>
  <c r="GH14" i="6"/>
  <c r="GI12" i="6"/>
  <c r="GK4" i="6" l="1"/>
  <c r="GJ7" i="6"/>
  <c r="GJ12" i="6"/>
  <c r="GI14" i="6"/>
  <c r="GK7" i="6" l="1"/>
  <c r="GL4" i="6"/>
  <c r="GK12" i="6"/>
  <c r="GJ14" i="6"/>
  <c r="GM4" i="6" l="1"/>
  <c r="GL7" i="6"/>
  <c r="GL12" i="6"/>
  <c r="GK14" i="6"/>
  <c r="GM7" i="6" l="1"/>
  <c r="GN4" i="6"/>
  <c r="GM12" i="6"/>
  <c r="GL14" i="6"/>
  <c r="GN7" i="6" l="1"/>
  <c r="GO4" i="6"/>
  <c r="GM14" i="6"/>
  <c r="GN12" i="6"/>
  <c r="GO7" i="6" l="1"/>
  <c r="GP4" i="6"/>
  <c r="GO12" i="6"/>
  <c r="GN14" i="6"/>
  <c r="GQ4" i="6" l="1"/>
  <c r="GP7" i="6"/>
  <c r="GO14" i="6"/>
  <c r="GP12" i="6"/>
  <c r="GR4" i="6" l="1"/>
  <c r="GQ7" i="6"/>
  <c r="GP14" i="6"/>
  <c r="GQ12" i="6"/>
  <c r="GR7" i="6" l="1"/>
  <c r="GS4" i="6"/>
  <c r="GQ14" i="6"/>
  <c r="GR12" i="6"/>
  <c r="GT4" i="6" l="1"/>
  <c r="GS7" i="6"/>
  <c r="GR14" i="6"/>
  <c r="GS12" i="6"/>
  <c r="GU4" i="6" l="1"/>
  <c r="GT7" i="6"/>
  <c r="GS14" i="6"/>
  <c r="GT12" i="6"/>
  <c r="GU7" i="6" l="1"/>
  <c r="GV4" i="6"/>
  <c r="GT14" i="6"/>
  <c r="GU12" i="6"/>
  <c r="GW4" i="6" l="1"/>
  <c r="GV7" i="6"/>
  <c r="GV12" i="6"/>
  <c r="GU14" i="6"/>
  <c r="GX4" i="6" l="1"/>
  <c r="GW7" i="6"/>
  <c r="GV14" i="6"/>
  <c r="GW12" i="6"/>
  <c r="GX7" i="6" l="1"/>
  <c r="GY4" i="6"/>
  <c r="GX12" i="6"/>
  <c r="GW14" i="6"/>
  <c r="GZ4" i="6" l="1"/>
  <c r="GY7" i="6"/>
  <c r="GY12" i="6"/>
  <c r="GX14" i="6"/>
  <c r="HA4" i="6" l="1"/>
  <c r="GZ7" i="6"/>
  <c r="GY14" i="6"/>
  <c r="GZ12" i="6"/>
  <c r="HA7" i="6" l="1"/>
  <c r="HB4" i="6"/>
  <c r="GZ14" i="6"/>
  <c r="HA12" i="6"/>
  <c r="HB7" i="6" l="1"/>
  <c r="HC4" i="6"/>
  <c r="HB12" i="6"/>
  <c r="HA14" i="6"/>
  <c r="HC7" i="6" l="1"/>
  <c r="HD4" i="6"/>
  <c r="HB14" i="6"/>
  <c r="HC12" i="6"/>
  <c r="HE4" i="6" l="1"/>
  <c r="HD7" i="6"/>
  <c r="HD12" i="6"/>
  <c r="HC14" i="6"/>
  <c r="HE7" i="6" l="1"/>
  <c r="HF4" i="6"/>
  <c r="HE12" i="6"/>
  <c r="HD14" i="6"/>
  <c r="HF7" i="6" l="1"/>
  <c r="HG4" i="6"/>
  <c r="HE14" i="6"/>
  <c r="HF12" i="6"/>
  <c r="HG7" i="6" l="1"/>
  <c r="HH4" i="6"/>
  <c r="HG12" i="6"/>
  <c r="HF14" i="6"/>
  <c r="HH7" i="6" l="1"/>
  <c r="HI4" i="6"/>
  <c r="HG14" i="6"/>
  <c r="HH12" i="6"/>
  <c r="HI7" i="6" l="1"/>
  <c r="HJ4" i="6"/>
  <c r="HI12" i="6"/>
  <c r="HH14" i="6"/>
  <c r="HK4" i="6" l="1"/>
  <c r="HJ7" i="6"/>
  <c r="HJ12" i="6"/>
  <c r="HI14" i="6"/>
  <c r="HL4" i="6" l="1"/>
  <c r="HK7" i="6"/>
  <c r="HK12" i="6"/>
  <c r="HJ14" i="6"/>
  <c r="HL7" i="6" l="1"/>
  <c r="HM4" i="6"/>
  <c r="HL12" i="6"/>
  <c r="HK14" i="6"/>
  <c r="HM7" i="6" l="1"/>
  <c r="HN4" i="6"/>
  <c r="HL14" i="6"/>
  <c r="HM12" i="6"/>
  <c r="HN7" i="6" l="1"/>
  <c r="HO4" i="6"/>
  <c r="HM14" i="6"/>
  <c r="HN12" i="6"/>
  <c r="HO7" i="6" l="1"/>
  <c r="HP4" i="6"/>
  <c r="HN14" i="6"/>
  <c r="HO12" i="6"/>
  <c r="HP7" i="6" l="1"/>
  <c r="HQ4" i="6"/>
  <c r="HO14" i="6"/>
  <c r="HP12" i="6"/>
  <c r="HR4" i="6" l="1"/>
  <c r="HQ7" i="6"/>
  <c r="HQ12" i="6"/>
  <c r="HP14" i="6"/>
  <c r="HS4" i="6" l="1"/>
  <c r="HR7" i="6"/>
  <c r="HQ14" i="6"/>
  <c r="HR12" i="6"/>
  <c r="HT4" i="6" l="1"/>
  <c r="HS7" i="6"/>
  <c r="HS12" i="6"/>
  <c r="HR14" i="6"/>
  <c r="HT7" i="6" l="1"/>
  <c r="HU4" i="6"/>
  <c r="HT12" i="6"/>
  <c r="HS14" i="6"/>
  <c r="HU7" i="6" l="1"/>
  <c r="HV4" i="6"/>
  <c r="HU12" i="6"/>
  <c r="HT14" i="6"/>
  <c r="HV7" i="6" l="1"/>
  <c r="HW4" i="6"/>
  <c r="HV12" i="6"/>
  <c r="HU14" i="6"/>
  <c r="HX4" i="6" l="1"/>
  <c r="HW7" i="6"/>
  <c r="HV14" i="6"/>
  <c r="HW12" i="6"/>
  <c r="HY4" i="6" l="1"/>
  <c r="HX7" i="6"/>
  <c r="HW14" i="6"/>
  <c r="HX12" i="6"/>
  <c r="HZ4" i="6" l="1"/>
  <c r="HY7" i="6"/>
  <c r="HX14" i="6"/>
  <c r="HY12" i="6"/>
  <c r="IA4" i="6" l="1"/>
  <c r="HZ7" i="6"/>
  <c r="HY14" i="6"/>
  <c r="HZ12" i="6"/>
  <c r="IB4" i="6" l="1"/>
  <c r="IA7" i="6"/>
  <c r="IA12" i="6"/>
  <c r="HZ14" i="6"/>
  <c r="IC4" i="6" l="1"/>
  <c r="IB7" i="6"/>
  <c r="IA14" i="6"/>
  <c r="IB12" i="6"/>
  <c r="ID4" i="6" l="1"/>
  <c r="IC7" i="6"/>
  <c r="IC12" i="6"/>
  <c r="IB14" i="6"/>
  <c r="ID7" i="6" l="1"/>
  <c r="IE4" i="6"/>
  <c r="IC14" i="6"/>
  <c r="ID12" i="6"/>
  <c r="IF4" i="6" l="1"/>
  <c r="IE7" i="6"/>
  <c r="IE12" i="6"/>
  <c r="ID14" i="6"/>
  <c r="IF7" i="6" l="1"/>
  <c r="IG4" i="6"/>
  <c r="IF12" i="6"/>
  <c r="IE14" i="6"/>
  <c r="IG7" i="6" l="1"/>
  <c r="IH4" i="6"/>
  <c r="IF14" i="6"/>
  <c r="IG12" i="6"/>
  <c r="II4" i="6" l="1"/>
  <c r="IH7" i="6"/>
  <c r="IH12" i="6"/>
  <c r="IG14" i="6"/>
  <c r="IJ4" i="6" l="1"/>
  <c r="II7" i="6"/>
  <c r="IH14" i="6"/>
  <c r="II12" i="6"/>
  <c r="IJ7" i="6" l="1"/>
  <c r="IK4" i="6"/>
  <c r="IJ12" i="6"/>
  <c r="II14" i="6"/>
  <c r="IK7" i="6" l="1"/>
  <c r="IL4" i="6"/>
  <c r="IJ14" i="6"/>
  <c r="IK12" i="6"/>
  <c r="IM4" i="6" l="1"/>
  <c r="IL7" i="6"/>
  <c r="IK14" i="6"/>
  <c r="IL12" i="6"/>
  <c r="IN4" i="6" l="1"/>
  <c r="IM7" i="6"/>
  <c r="IM12" i="6"/>
  <c r="IL14" i="6"/>
  <c r="IN7" i="6" l="1"/>
  <c r="IO4" i="6"/>
  <c r="IM14" i="6"/>
  <c r="IN12" i="6"/>
  <c r="IP4" i="6" l="1"/>
  <c r="IO7" i="6"/>
  <c r="IN14" i="6"/>
  <c r="IO12" i="6"/>
  <c r="IQ4" i="6" l="1"/>
  <c r="IP7" i="6"/>
  <c r="IO14" i="6"/>
  <c r="IP12" i="6"/>
  <c r="IR4" i="6" l="1"/>
  <c r="IQ7" i="6"/>
  <c r="IQ12" i="6"/>
  <c r="IP14" i="6"/>
  <c r="IR7" i="6" l="1"/>
  <c r="IS4" i="6"/>
  <c r="IR12" i="6"/>
  <c r="IQ14" i="6"/>
  <c r="IT4" i="6" l="1"/>
  <c r="IS7" i="6"/>
  <c r="IS12" i="6"/>
  <c r="IR14" i="6"/>
  <c r="IT7" i="6" l="1"/>
  <c r="IU4" i="6"/>
  <c r="IT12" i="6"/>
  <c r="IS14" i="6"/>
  <c r="IU7" i="6" l="1"/>
  <c r="IV4" i="6"/>
  <c r="IT14" i="6"/>
  <c r="IU12" i="6"/>
  <c r="IV7" i="6" l="1"/>
  <c r="IW4" i="6"/>
  <c r="IU14" i="6"/>
  <c r="IV12" i="6"/>
  <c r="IX4" i="6" l="1"/>
  <c r="IW7" i="6"/>
  <c r="IW12" i="6"/>
  <c r="IV14" i="6"/>
  <c r="IX7" i="6" l="1"/>
  <c r="IY4" i="6"/>
  <c r="IW14" i="6"/>
  <c r="IX12" i="6"/>
  <c r="IY7" i="6" l="1"/>
  <c r="IZ4" i="6"/>
  <c r="IY12" i="6"/>
  <c r="IX14" i="6"/>
  <c r="JA4" i="6" l="1"/>
  <c r="IZ7" i="6"/>
  <c r="IZ12" i="6"/>
  <c r="IY14" i="6"/>
  <c r="JB4" i="6" l="1"/>
  <c r="JA7" i="6"/>
  <c r="JA12" i="6"/>
  <c r="IZ14" i="6"/>
  <c r="JB7" i="6" l="1"/>
  <c r="JC4" i="6"/>
  <c r="JB12" i="6"/>
  <c r="JA14" i="6"/>
  <c r="JC7" i="6" l="1"/>
  <c r="JD4" i="6"/>
  <c r="JB14" i="6"/>
  <c r="JC12" i="6"/>
  <c r="JD7" i="6" l="1"/>
  <c r="JE4" i="6"/>
  <c r="JC14" i="6"/>
  <c r="JD12" i="6"/>
  <c r="JE7" i="6" l="1"/>
  <c r="JF4" i="6"/>
  <c r="JD14" i="6"/>
  <c r="JE12" i="6"/>
  <c r="JF7" i="6" l="1"/>
  <c r="JG4" i="6"/>
  <c r="JF12" i="6"/>
  <c r="JE14" i="6"/>
  <c r="JH4" i="6" l="1"/>
  <c r="JG7" i="6"/>
  <c r="JF14" i="6"/>
  <c r="JG12" i="6"/>
  <c r="JI4" i="6" l="1"/>
  <c r="JH7" i="6"/>
  <c r="JG14" i="6"/>
  <c r="JH12" i="6"/>
  <c r="JI7" i="6" l="1"/>
  <c r="JJ4" i="6"/>
  <c r="JH14" i="6"/>
  <c r="JI12" i="6"/>
  <c r="JJ7" i="6" l="1"/>
  <c r="JK4" i="6"/>
  <c r="JI14" i="6"/>
  <c r="JJ12" i="6"/>
  <c r="JK7" i="6" l="1"/>
  <c r="JL4" i="6"/>
  <c r="JJ14" i="6"/>
  <c r="JK12" i="6"/>
  <c r="JL7" i="6" l="1"/>
  <c r="JM4" i="6"/>
  <c r="JL12" i="6"/>
  <c r="JK14" i="6"/>
  <c r="JN4" i="6" l="1"/>
  <c r="JM7" i="6"/>
  <c r="JL14" i="6"/>
  <c r="JM12" i="6"/>
  <c r="JN7" i="6" l="1"/>
  <c r="JO4" i="6"/>
  <c r="JM14" i="6"/>
  <c r="JN12" i="6"/>
  <c r="JP4" i="6" l="1"/>
  <c r="JO7" i="6"/>
  <c r="JN14" i="6"/>
  <c r="JO12" i="6"/>
  <c r="JQ4" i="6" l="1"/>
  <c r="JP7" i="6"/>
  <c r="JP12" i="6"/>
  <c r="JO14" i="6"/>
  <c r="JQ7" i="6" l="1"/>
  <c r="JR4" i="6"/>
  <c r="JP14" i="6"/>
  <c r="JQ12" i="6"/>
  <c r="JS4" i="6" l="1"/>
  <c r="JR7" i="6"/>
  <c r="JR12" i="6"/>
  <c r="JQ14" i="6"/>
  <c r="JT4" i="6" l="1"/>
  <c r="JS7" i="6"/>
  <c r="JR14" i="6"/>
  <c r="JS12" i="6"/>
  <c r="JT7" i="6" l="1"/>
  <c r="JU4" i="6"/>
  <c r="JT12" i="6"/>
  <c r="JS14" i="6"/>
  <c r="JU7" i="6" l="1"/>
  <c r="JV4" i="6"/>
  <c r="JT14" i="6"/>
  <c r="JU12" i="6"/>
  <c r="JW4" i="6" l="1"/>
  <c r="JV7" i="6"/>
  <c r="JU14" i="6"/>
  <c r="JV12" i="6"/>
  <c r="JX4" i="6" l="1"/>
  <c r="JW7" i="6"/>
  <c r="JV14" i="6"/>
  <c r="JW12" i="6"/>
  <c r="JY4" i="6" l="1"/>
  <c r="JX7" i="6"/>
  <c r="JX12" i="6"/>
  <c r="JW14" i="6"/>
  <c r="JZ4" i="6" l="1"/>
  <c r="JY7" i="6"/>
  <c r="JY12" i="6"/>
  <c r="JX14" i="6"/>
  <c r="JZ7" i="6" l="1"/>
  <c r="KA4" i="6"/>
  <c r="JY14" i="6"/>
  <c r="JZ12" i="6"/>
  <c r="KA7" i="6" l="1"/>
  <c r="KB4" i="6"/>
  <c r="JZ14" i="6"/>
  <c r="KA12" i="6"/>
  <c r="KB7" i="6" l="1"/>
  <c r="KC4" i="6"/>
  <c r="KA14" i="6"/>
  <c r="KB12" i="6"/>
  <c r="KD4" i="6" l="1"/>
  <c r="KC7" i="6"/>
  <c r="KC12" i="6"/>
  <c r="KB14" i="6"/>
  <c r="KD7" i="6" l="1"/>
  <c r="KE4" i="6"/>
  <c r="KD12" i="6"/>
  <c r="KC14" i="6"/>
  <c r="KE7" i="6" l="1"/>
  <c r="KF4" i="6"/>
  <c r="KD14" i="6"/>
  <c r="KE12" i="6"/>
  <c r="KF7" i="6" l="1"/>
  <c r="KG4" i="6"/>
  <c r="KE14" i="6"/>
  <c r="KF12" i="6"/>
  <c r="KG7" i="6" l="1"/>
  <c r="KH4" i="6"/>
  <c r="KF14" i="6"/>
  <c r="KG12" i="6"/>
  <c r="KH7" i="6" l="1"/>
  <c r="KI4" i="6"/>
  <c r="KG14" i="6"/>
  <c r="KH12" i="6"/>
  <c r="KI7" i="6" l="1"/>
  <c r="KJ4" i="6"/>
  <c r="KI12" i="6"/>
  <c r="KH14" i="6"/>
  <c r="KJ7" i="6" l="1"/>
  <c r="KK4" i="6"/>
  <c r="KI14" i="6"/>
  <c r="KJ12" i="6"/>
  <c r="KK7" i="6" l="1"/>
  <c r="KL4" i="6"/>
  <c r="KJ14" i="6"/>
  <c r="KK12" i="6"/>
  <c r="KL7" i="6" l="1"/>
  <c r="KM4" i="6"/>
  <c r="KL12" i="6"/>
  <c r="KK14" i="6"/>
  <c r="KM7" i="6" l="1"/>
  <c r="KN4" i="6"/>
  <c r="KL14" i="6"/>
  <c r="KM12" i="6"/>
  <c r="KN7" i="6" l="1"/>
  <c r="KO4" i="6"/>
  <c r="KM14" i="6"/>
  <c r="KN12" i="6"/>
  <c r="KO7" i="6" l="1"/>
  <c r="KP4" i="6"/>
  <c r="KO12" i="6"/>
  <c r="KN14" i="6"/>
  <c r="KP7" i="6" l="1"/>
  <c r="KQ4" i="6"/>
  <c r="KO14" i="6"/>
  <c r="KP12" i="6"/>
  <c r="KQ7" i="6" l="1"/>
  <c r="KR4" i="6"/>
  <c r="KQ12" i="6"/>
  <c r="KP14" i="6"/>
  <c r="KS4" i="6" l="1"/>
  <c r="KR7" i="6"/>
  <c r="KR12" i="6"/>
  <c r="KQ14" i="6"/>
  <c r="KT4" i="6" l="1"/>
  <c r="KS7" i="6"/>
  <c r="KS12" i="6"/>
  <c r="KR14" i="6"/>
  <c r="KU4" i="6" l="1"/>
  <c r="KT7" i="6"/>
  <c r="KT12" i="6"/>
  <c r="KS14" i="6"/>
  <c r="KV4" i="6" l="1"/>
  <c r="KU7" i="6"/>
  <c r="KU12" i="6"/>
  <c r="KT14" i="6"/>
  <c r="KV7" i="6" l="1"/>
  <c r="KW4" i="6"/>
  <c r="KV12" i="6"/>
  <c r="KU14" i="6"/>
  <c r="KW7" i="6" l="1"/>
  <c r="KX4" i="6"/>
  <c r="KW12" i="6"/>
  <c r="KV14" i="6"/>
  <c r="KX7" i="6" l="1"/>
  <c r="KY4" i="6"/>
  <c r="KX12" i="6"/>
  <c r="KW14" i="6"/>
  <c r="KZ4" i="6" l="1"/>
  <c r="KY7" i="6"/>
  <c r="KY12" i="6"/>
  <c r="KX14" i="6"/>
  <c r="LA4" i="6" l="1"/>
  <c r="KZ7" i="6"/>
  <c r="KY14" i="6"/>
  <c r="KZ12" i="6"/>
  <c r="LA7" i="6" l="1"/>
  <c r="LB4" i="6"/>
  <c r="LA12" i="6"/>
  <c r="KZ14" i="6"/>
  <c r="LB7" i="6" l="1"/>
  <c r="LC4" i="6"/>
  <c r="LA14" i="6"/>
  <c r="LB12" i="6"/>
  <c r="LC7" i="6" l="1"/>
  <c r="LD4" i="6"/>
  <c r="LD7" i="6" s="1"/>
  <c r="LC12" i="6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<sst xmlns="http://schemas.openxmlformats.org/spreadsheetml/2006/main" count="901" uniqueCount="527">
  <si>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</si>
  <si>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</si>
  <si>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</si>
  <si>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</si>
  <si>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</si>
  <si>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</si>
  <si>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</si>
  <si>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</si>
  <si>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</si>
  <si>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</si>
  <si>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</si>
  <si>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</si>
  <si>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</si>
  <si>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</si>
  <si>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</si>
  <si>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</si>
  <si>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</si>
  <si>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</si>
  <si>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</si>
  <si>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</si>
  <si>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</si>
  <si>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</si>
  <si>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</si>
  <si>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</si>
  <si>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</si>
  <si>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</si>
  <si>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</si>
  <si>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</si>
  <si>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</si>
  <si>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</si>
  <si>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</si>
  <si>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</si>
  <si>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</si>
  <si>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</si>
  <si>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</si>
  <si>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</si>
  <si>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</si>
  <si>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</si>
  <si>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</si>
  <si>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</si>
  <si>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</si>
  <si>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</si>
  <si>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</si>
  <si>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</si>
  <si>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</si>
  <si>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</si>
  <si>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</si>
  <si>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</si>
  <si>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</si>
  <si>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</si>
  <si>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</si>
  <si>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</si>
  <si>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</si>
  <si>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</si>
  <si>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</si>
  <si>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</si>
  <si>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</si>
  <si>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</si>
  <si>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</si>
  <si>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</si>
  <si>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</si>
  <si>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</si>
  <si>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</si>
  <si>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</si>
  <si>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</si>
  <si>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</si>
  <si>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</si>
  <si>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</si>
  <si>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</si>
  <si>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</si>
  <si>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</si>
  <si>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</si>
  <si>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</si>
  <si>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</si>
  <si>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</si>
  <si>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</si>
  <si>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</si>
  <si>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</si>
  <si>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</si>
  <si>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</si>
  <si>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</si>
  <si>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</si>
  <si>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</si>
  <si>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</si>
  <si>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</si>
  <si>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</si>
  <si>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</si>
  <si>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</si>
  <si>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</si>
  <si>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</si>
  <si>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</si>
  <si>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</si>
  <si>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</si>
  <si>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</si>
  <si>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</si>
  <si>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</si>
  <si>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</si>
  <si>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</si>
  <si>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</si>
  <si>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</si>
  <si>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</si>
  <si>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</si>
  <si>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</si>
  <si>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</si>
  <si>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</si>
  <si>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</si>
  <si>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</si>
  <si>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</si>
  <si>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</si>
  <si>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</si>
  <si>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</si>
  <si>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</si>
  <si>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</si>
  <si>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</si>
  <si>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</si>
  <si>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</si>
  <si>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</si>
  <si>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</si>
  <si>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</si>
  <si>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</si>
  <si>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</si>
  <si>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</si>
  <si>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</si>
  <si>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</si>
  <si>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</si>
  <si>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</si>
  <si>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</si>
  <si>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</si>
  <si>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</si>
  <si>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</si>
  <si>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</si>
  <si>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</si>
  <si>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</si>
  <si>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</si>
  <si>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</si>
  <si>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</si>
  <si>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</si>
  <si>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</si>
  <si>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</si>
  <si>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</si>
  <si>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</si>
  <si>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</si>
  <si>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</si>
  <si>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</si>
  <si>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</si>
  <si>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</si>
  <si>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</si>
  <si>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</si>
  <si>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</si>
  <si>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</si>
  <si>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</si>
  <si>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</si>
  <si>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</si>
  <si>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</si>
  <si>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</si>
  <si>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</si>
  <si>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</si>
  <si>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</si>
  <si>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</si>
  <si>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</si>
  <si>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</si>
  <si>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</si>
  <si>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</si>
  <si>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</si>
  <si>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</si>
  <si>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</si>
  <si>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</si>
  <si>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</si>
  <si>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</si>
  <si>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</si>
  <si>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</si>
  <si>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</si>
  <si>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</si>
  <si>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</si>
  <si>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</si>
  <si>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</si>
  <si>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</si>
  <si>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</si>
  <si>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</si>
  <si>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</si>
  <si>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</si>
  <si>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</si>
  <si>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</si>
  <si>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</si>
  <si>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</si>
  <si>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</si>
  <si>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</si>
  <si>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</si>
  <si>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</si>
  <si>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</si>
  <si>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</si>
  <si>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</si>
  <si>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</si>
  <si>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</si>
  <si>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</si>
  <si>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</si>
  <si>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</si>
  <si>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</si>
  <si>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</si>
  <si>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</si>
  <si>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</si>
  <si>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</si>
  <si>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</si>
  <si>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</si>
  <si>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</si>
  <si>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</si>
  <si>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</si>
  <si>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</si>
  <si>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</si>
  <si>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</si>
  <si>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</si>
  <si>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</si>
  <si>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</si>
  <si>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</si>
  <si>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</si>
  <si>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</si>
  <si>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</si>
  <si>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</si>
  <si>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</si>
  <si>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</si>
  <si>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</si>
  <si>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</si>
  <si>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</si>
  <si>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</si>
  <si>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</si>
  <si>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</si>
  <si>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</si>
  <si>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</si>
  <si>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</si>
  <si>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</si>
  <si>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</si>
  <si>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</si>
  <si>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</si>
  <si>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</si>
  <si>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</si>
  <si>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</si>
  <si>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</si>
  <si>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</si>
  <si>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</si>
  <si>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</si>
  <si>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</si>
  <si>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</si>
  <si>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</si>
  <si>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</si>
  <si>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</si>
  <si>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</si>
  <si>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</si>
  <si>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</si>
  <si>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</si>
  <si>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</si>
  <si>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</si>
  <si>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</si>
  <si>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</si>
  <si>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</si>
  <si>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</si>
  <si>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</si>
  <si>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</si>
  <si>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</si>
  <si>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</si>
  <si>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</si>
  <si>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</si>
  <si>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</si>
  <si>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</si>
  <si>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</si>
  <si>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</si>
  <si>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</si>
  <si>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</si>
  <si>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</si>
  <si>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</si>
  <si>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</si>
  <si>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</si>
  <si>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</si>
  <si>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</si>
  <si>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</si>
  <si>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</si>
  <si>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</si>
  <si>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</si>
  <si>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</si>
  <si>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</si>
  <si>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</si>
  <si>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</si>
  <si>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</si>
  <si>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</si>
  <si>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</si>
  <si>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</si>
  <si>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</si>
  <si>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</si>
  <si>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</si>
  <si>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</si>
  <si>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</si>
  <si>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</si>
  <si>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</si>
  <si>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</si>
  <si>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</si>
  <si>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</si>
  <si>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</si>
  <si>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</si>
  <si>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</si>
  <si>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</si>
  <si>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</si>
  <si>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</si>
  <si>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</si>
  <si>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</si>
  <si>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</si>
  <si>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</si>
  <si>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</si>
  <si>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</si>
  <si>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</si>
  <si>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</si>
  <si>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</si>
  <si>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</si>
  <si>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</si>
  <si>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</si>
  <si>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</si>
  <si>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</si>
  <si>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</si>
  <si>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</si>
  <si>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</si>
  <si>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</si>
  <si>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</si>
  <si>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</si>
  <si>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</si>
  <si>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</si>
  <si>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</si>
  <si>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</si>
  <si>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</si>
  <si>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</si>
  <si>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</si>
  <si>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</si>
  <si>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</si>
  <si>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</si>
  <si>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</si>
  <si>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</si>
  <si>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</si>
  <si>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</si>
  <si>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</si>
  <si>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</si>
  <si>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</si>
  <si>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</si>
  <si>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</si>
  <si>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</si>
  <si>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</si>
  <si>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</si>
  <si>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</si>
  <si>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</si>
  <si>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</si>
  <si>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</si>
  <si>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</si>
  <si>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</si>
  <si>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</si>
  <si>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</si>
  <si>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</si>
  <si>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</si>
  <si>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</si>
  <si>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</si>
  <si>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</si>
  <si>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</si>
  <si>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</si>
  <si>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</si>
  <si>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</si>
  <si>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</si>
  <si>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</si>
  <si>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</si>
  <si>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</si>
  <si>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</si>
  <si>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</si>
  <si>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</si>
  <si>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</si>
  <si>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</si>
  <si>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</si>
  <si>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</si>
  <si>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</si>
  <si>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</si>
  <si>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</si>
  <si>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</si>
  <si>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</si>
  <si>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</si>
  <si>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</si>
  <si>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</si>
  <si>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</si>
  <si>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</si>
  <si>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</si>
  <si>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</si>
  <si>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</si>
  <si>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</si>
  <si>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</si>
  <si>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</si>
  <si>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</si>
  <si>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</si>
  <si>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</si>
  <si>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</si>
  <si>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</si>
  <si>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</si>
  <si>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</si>
  <si>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</si>
  <si>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</si>
  <si>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</si>
  <si>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</si>
  <si>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</si>
  <si>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</si>
  <si>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</si>
  <si>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</si>
  <si>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</si>
  <si>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</si>
  <si>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</si>
  <si>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</si>
  <si>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</si>
  <si>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Call Out Metering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</si>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</sst>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7748363.7000000011</c:v>
                </c:pt>
                <c:pt idx="47">
                  <c:v>7748363.7000000011</c:v>
                </c:pt>
                <c:pt idx="48">
                  <c:v>7748363.7000000011</c:v>
                </c:pt>
                <c:pt idx="49">
                  <c:v>7748363.7000000011</c:v>
                </c:pt>
                <c:pt idx="50">
                  <c:v>7748363.7000000011</c:v>
                </c:pt>
                <c:pt idx="51">
                  <c:v>7748363.7000000011</c:v>
                </c:pt>
                <c:pt idx="52">
                  <c:v>7748363.7000000011</c:v>
                </c:pt>
                <c:pt idx="53">
                  <c:v>7748363.7000000011</c:v>
                </c:pt>
                <c:pt idx="54">
                  <c:v>7748363.7000000011</c:v>
                </c:pt>
                <c:pt idx="55">
                  <c:v>7748363.7000000011</c:v>
                </c:pt>
                <c:pt idx="56">
                  <c:v>7748363.7000000011</c:v>
                </c:pt>
                <c:pt idx="57">
                  <c:v>7748363.7000000011</c:v>
                </c:pt>
                <c:pt idx="58">
                  <c:v>7748363.7000000011</c:v>
                </c:pt>
                <c:pt idx="59">
                  <c:v>7748363.7000000011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138124.11410761252</c:v>
                </c:pt>
                <c:pt idx="47">
                  <c:v>138124.11410761252</c:v>
                </c:pt>
                <c:pt idx="48">
                  <c:v>138124.11410761252</c:v>
                </c:pt>
                <c:pt idx="49">
                  <c:v>138124.11410761252</c:v>
                </c:pt>
                <c:pt idx="50">
                  <c:v>138124.11410761252</c:v>
                </c:pt>
                <c:pt idx="51">
                  <c:v>138124.11410761252</c:v>
                </c:pt>
                <c:pt idx="52">
                  <c:v>138124.11410761252</c:v>
                </c:pt>
                <c:pt idx="53">
                  <c:v>138124.11410761252</c:v>
                </c:pt>
                <c:pt idx="54">
                  <c:v>138124.11410761252</c:v>
                </c:pt>
                <c:pt idx="55">
                  <c:v>138124.11410761252</c:v>
                </c:pt>
                <c:pt idx="56">
                  <c:v>138124.11410761252</c:v>
                </c:pt>
                <c:pt idx="57">
                  <c:v>138124.11410761252</c:v>
                </c:pt>
                <c:pt idx="58">
                  <c:v>138124.11410761252</c:v>
                </c:pt>
                <c:pt idx="59">
                  <c:v>138124.11410761252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6126857.8518749047</c:v>
                </c:pt>
                <c:pt idx="57">
                  <c:v>6303040.3518749047</c:v>
                </c:pt>
                <c:pt idx="58">
                  <c:v>6306512.9118749043</c:v>
                </c:pt>
                <c:pt idx="59">
                  <c:v>6306512.9118749043</c:v>
                </c:pt>
                <c:pt idx="60">
                  <c:v>6306512.9118749043</c:v>
                </c:pt>
                <c:pt idx="61">
                  <c:v>6306512.9118749043</c:v>
                </c:pt>
                <c:pt idx="62">
                  <c:v>6306512.9118749043</c:v>
                </c:pt>
                <c:pt idx="63">
                  <c:v>6306512.9118749043</c:v>
                </c:pt>
                <c:pt idx="64">
                  <c:v>6306512.9118749043</c:v>
                </c:pt>
                <c:pt idx="65">
                  <c:v>6306512.9118749043</c:v>
                </c:pt>
                <c:pt idx="66">
                  <c:v>6306512.9118749043</c:v>
                </c:pt>
                <c:pt idx="67">
                  <c:v>6306512.9118749043</c:v>
                </c:pt>
                <c:pt idx="68">
                  <c:v>6306512.9118749043</c:v>
                </c:pt>
                <c:pt idx="69">
                  <c:v>6306512.9118749043</c:v>
                </c:pt>
                <c:pt idx="70">
                  <c:v>6306512.9118749043</c:v>
                </c:pt>
                <c:pt idx="71">
                  <c:v>6306512.9118749043</c:v>
                </c:pt>
                <c:pt idx="72">
                  <c:v>6306512.9118749043</c:v>
                </c:pt>
                <c:pt idx="73">
                  <c:v>6306512.9118749043</c:v>
                </c:pt>
                <c:pt idx="74">
                  <c:v>6306512.9118749043</c:v>
                </c:pt>
                <c:pt idx="75">
                  <c:v>6306512.9118749043</c:v>
                </c:pt>
                <c:pt idx="76">
                  <c:v>6306512.9118749043</c:v>
                </c:pt>
                <c:pt idx="77">
                  <c:v>6306512.9118749043</c:v>
                </c:pt>
                <c:pt idx="78">
                  <c:v>6306512.9118749043</c:v>
                </c:pt>
                <c:pt idx="79">
                  <c:v>6306512.9118749043</c:v>
                </c:pt>
                <c:pt idx="80">
                  <c:v>6306512.9118749043</c:v>
                </c:pt>
                <c:pt idx="81">
                  <c:v>6306512.9118749043</c:v>
                </c:pt>
                <c:pt idx="82">
                  <c:v>6306512.9118749043</c:v>
                </c:pt>
                <c:pt idx="83">
                  <c:v>6306512.9118749043</c:v>
                </c:pt>
                <c:pt idx="84">
                  <c:v>6306512.9118749043</c:v>
                </c:pt>
                <c:pt idx="85">
                  <c:v>6306512.9118749043</c:v>
                </c:pt>
                <c:pt idx="86">
                  <c:v>6306512.9118749043</c:v>
                </c:pt>
                <c:pt idx="87">
                  <c:v>6306512.9118749043</c:v>
                </c:pt>
                <c:pt idx="88">
                  <c:v>6306512.9118749043</c:v>
                </c:pt>
                <c:pt idx="89">
                  <c:v>6306512.9118749043</c:v>
                </c:pt>
                <c:pt idx="90">
                  <c:v>6306512.9118749043</c:v>
                </c:pt>
                <c:pt idx="91">
                  <c:v>6306512.9118749043</c:v>
                </c:pt>
                <c:pt idx="92">
                  <c:v>6306512.9118749043</c:v>
                </c:pt>
                <c:pt idx="93">
                  <c:v>6306512.9118749043</c:v>
                </c:pt>
                <c:pt idx="94">
                  <c:v>6306512.9118749043</c:v>
                </c:pt>
                <c:pt idx="95">
                  <c:v>6306512.9118749043</c:v>
                </c:pt>
                <c:pt idx="96">
                  <c:v>6306512.9118749043</c:v>
                </c:pt>
                <c:pt idx="97">
                  <c:v>6306512.9118749043</c:v>
                </c:pt>
                <c:pt idx="98">
                  <c:v>6306512.9118749043</c:v>
                </c:pt>
                <c:pt idx="99">
                  <c:v>6306512.9118749043</c:v>
                </c:pt>
                <c:pt idx="100">
                  <c:v>6306512.9118749043</c:v>
                </c:pt>
                <c:pt idx="101">
                  <c:v>6306512.9118749043</c:v>
                </c:pt>
                <c:pt idx="102">
                  <c:v>6306512.9118749043</c:v>
                </c:pt>
                <c:pt idx="103">
                  <c:v>6306512.9118749043</c:v>
                </c:pt>
                <c:pt idx="104">
                  <c:v>6306512.9118749043</c:v>
                </c:pt>
                <c:pt idx="105">
                  <c:v>6306512.9118749043</c:v>
                </c:pt>
                <c:pt idx="106">
                  <c:v>6306512.9118749043</c:v>
                </c:pt>
                <c:pt idx="107">
                  <c:v>6306512.9118749043</c:v>
                </c:pt>
                <c:pt idx="108">
                  <c:v>6306512.9118749043</c:v>
                </c:pt>
                <c:pt idx="109">
                  <c:v>6306512.9118749043</c:v>
                </c:pt>
                <c:pt idx="110">
                  <c:v>6306512.9118749043</c:v>
                </c:pt>
                <c:pt idx="111">
                  <c:v>6306512.9118749043</c:v>
                </c:pt>
                <c:pt idx="112">
                  <c:v>6306512.9118749043</c:v>
                </c:pt>
                <c:pt idx="113">
                  <c:v>6306512.9118749043</c:v>
                </c:pt>
                <c:pt idx="114">
                  <c:v>6306512.9118749043</c:v>
                </c:pt>
                <c:pt idx="115">
                  <c:v>6306512.9118749043</c:v>
                </c:pt>
                <c:pt idx="116">
                  <c:v>6306512.9118749043</c:v>
                </c:pt>
                <c:pt idx="117">
                  <c:v>6306512.9118749043</c:v>
                </c:pt>
                <c:pt idx="118">
                  <c:v>6306512.9118749043</c:v>
                </c:pt>
                <c:pt idx="119">
                  <c:v>6306512.9118749043</c:v>
                </c:pt>
                <c:pt idx="120">
                  <c:v>6306512.9118749043</c:v>
                </c:pt>
                <c:pt idx="121">
                  <c:v>6306512.9118749043</c:v>
                </c:pt>
                <c:pt idx="122">
                  <c:v>6306512.9118749043</c:v>
                </c:pt>
                <c:pt idx="123">
                  <c:v>6306512.9118749043</c:v>
                </c:pt>
                <c:pt idx="124">
                  <c:v>6306512.9118749043</c:v>
                </c:pt>
                <c:pt idx="125">
                  <c:v>6306512.9118749043</c:v>
                </c:pt>
                <c:pt idx="126">
                  <c:v>6306512.9118749043</c:v>
                </c:pt>
                <c:pt idx="127">
                  <c:v>6306512.9118749043</c:v>
                </c:pt>
                <c:pt idx="128">
                  <c:v>6306512.9118749043</c:v>
                </c:pt>
                <c:pt idx="129">
                  <c:v>6306512.9118749043</c:v>
                </c:pt>
                <c:pt idx="130">
                  <c:v>6306512.9118749043</c:v>
                </c:pt>
                <c:pt idx="131">
                  <c:v>6306512.9118749043</c:v>
                </c:pt>
                <c:pt idx="132">
                  <c:v>6306512.9118749043</c:v>
                </c:pt>
                <c:pt idx="133">
                  <c:v>6306512.9118749043</c:v>
                </c:pt>
                <c:pt idx="134">
                  <c:v>6306512.9118749043</c:v>
                </c:pt>
                <c:pt idx="135">
                  <c:v>6306512.9118749043</c:v>
                </c:pt>
                <c:pt idx="136">
                  <c:v>6306512.9118749043</c:v>
                </c:pt>
                <c:pt idx="137">
                  <c:v>6306512.9118749043</c:v>
                </c:pt>
                <c:pt idx="138">
                  <c:v>6306512.9118749043</c:v>
                </c:pt>
                <c:pt idx="139">
                  <c:v>6306512.9118749043</c:v>
                </c:pt>
                <c:pt idx="140">
                  <c:v>6306512.9118749043</c:v>
                </c:pt>
                <c:pt idx="141">
                  <c:v>6306512.9118749043</c:v>
                </c:pt>
                <c:pt idx="142">
                  <c:v>6306512.9118749043</c:v>
                </c:pt>
                <c:pt idx="143">
                  <c:v>6306512.9118749043</c:v>
                </c:pt>
                <c:pt idx="144">
                  <c:v>6306512.9118749043</c:v>
                </c:pt>
                <c:pt idx="145">
                  <c:v>6306512.9118749043</c:v>
                </c:pt>
                <c:pt idx="146">
                  <c:v>6306512.9118749043</c:v>
                </c:pt>
                <c:pt idx="147">
                  <c:v>6306512.9118749043</c:v>
                </c:pt>
                <c:pt idx="148">
                  <c:v>6306512.9118749043</c:v>
                </c:pt>
                <c:pt idx="149">
                  <c:v>6306512.9118749043</c:v>
                </c:pt>
                <c:pt idx="150">
                  <c:v>6306512.9118749043</c:v>
                </c:pt>
                <c:pt idx="151">
                  <c:v>6306512.9118749043</c:v>
                </c:pt>
                <c:pt idx="152">
                  <c:v>6306512.9118749043</c:v>
                </c:pt>
                <c:pt idx="153">
                  <c:v>6306512.9118749043</c:v>
                </c:pt>
                <c:pt idx="154">
                  <c:v>6306512.9118749043</c:v>
                </c:pt>
                <c:pt idx="155">
                  <c:v>6306512.9118749043</c:v>
                </c:pt>
                <c:pt idx="156">
                  <c:v>6306512.9118749043</c:v>
                </c:pt>
                <c:pt idx="157">
                  <c:v>6306512.9118749043</c:v>
                </c:pt>
                <c:pt idx="158">
                  <c:v>6306512.9118749043</c:v>
                </c:pt>
                <c:pt idx="159">
                  <c:v>6306512.9118749043</c:v>
                </c:pt>
                <c:pt idx="160">
                  <c:v>6306512.9118749043</c:v>
                </c:pt>
                <c:pt idx="161">
                  <c:v>6306512.9118749043</c:v>
                </c:pt>
                <c:pt idx="162">
                  <c:v>6306512.9118749043</c:v>
                </c:pt>
                <c:pt idx="163">
                  <c:v>6306512.9118749043</c:v>
                </c:pt>
                <c:pt idx="164">
                  <c:v>6306512.9118749043</c:v>
                </c:pt>
                <c:pt idx="165">
                  <c:v>6306512.9118749043</c:v>
                </c:pt>
                <c:pt idx="166">
                  <c:v>6306512.9118749043</c:v>
                </c:pt>
                <c:pt idx="167">
                  <c:v>6306512.9118749043</c:v>
                </c:pt>
                <c:pt idx="168">
                  <c:v>6306512.9118749043</c:v>
                </c:pt>
                <c:pt idx="169">
                  <c:v>6306512.9118749043</c:v>
                </c:pt>
                <c:pt idx="170">
                  <c:v>6306512.9118749043</c:v>
                </c:pt>
                <c:pt idx="171">
                  <c:v>6306512.9118749043</c:v>
                </c:pt>
                <c:pt idx="172">
                  <c:v>6306512.9118749043</c:v>
                </c:pt>
                <c:pt idx="173">
                  <c:v>6306512.9118749043</c:v>
                </c:pt>
                <c:pt idx="174">
                  <c:v>6306512.9118749043</c:v>
                </c:pt>
                <c:pt idx="175">
                  <c:v>6306512.9118749043</c:v>
                </c:pt>
                <c:pt idx="176">
                  <c:v>6306512.9118749043</c:v>
                </c:pt>
                <c:pt idx="177">
                  <c:v>6306512.9118749043</c:v>
                </c:pt>
                <c:pt idx="178">
                  <c:v>6306512.9118749043</c:v>
                </c:pt>
                <c:pt idx="179">
                  <c:v>6306512.9118749043</c:v>
                </c:pt>
                <c:pt idx="180">
                  <c:v>6306512.9118749043</c:v>
                </c:pt>
                <c:pt idx="181">
                  <c:v>6306512.9118749043</c:v>
                </c:pt>
                <c:pt idx="182">
                  <c:v>6306512.9118749043</c:v>
                </c:pt>
                <c:pt idx="183">
                  <c:v>6306512.9118749043</c:v>
                </c:pt>
                <c:pt idx="184">
                  <c:v>6306512.9118749043</c:v>
                </c:pt>
                <c:pt idx="185">
                  <c:v>6306512.9118749043</c:v>
                </c:pt>
                <c:pt idx="186">
                  <c:v>6306512.9118749043</c:v>
                </c:pt>
                <c:pt idx="187">
                  <c:v>6306512.9118749043</c:v>
                </c:pt>
                <c:pt idx="188">
                  <c:v>6306512.9118749043</c:v>
                </c:pt>
                <c:pt idx="189">
                  <c:v>6306512.9118749043</c:v>
                </c:pt>
                <c:pt idx="190">
                  <c:v>6306512.9118749043</c:v>
                </c:pt>
                <c:pt idx="191">
                  <c:v>6306512.9118749043</c:v>
                </c:pt>
                <c:pt idx="192">
                  <c:v>6306512.9118749043</c:v>
                </c:pt>
                <c:pt idx="193">
                  <c:v>6306512.9118749043</c:v>
                </c:pt>
                <c:pt idx="194">
                  <c:v>6306512.9118749043</c:v>
                </c:pt>
                <c:pt idx="195">
                  <c:v>6306512.9118749043</c:v>
                </c:pt>
                <c:pt idx="196">
                  <c:v>6306512.9118749043</c:v>
                </c:pt>
                <c:pt idx="197">
                  <c:v>6306512.9118749043</c:v>
                </c:pt>
                <c:pt idx="198">
                  <c:v>6306512.9118749043</c:v>
                </c:pt>
                <c:pt idx="199">
                  <c:v>6306512.9118749043</c:v>
                </c:pt>
                <c:pt idx="200">
                  <c:v>6306512.9118749043</c:v>
                </c:pt>
                <c:pt idx="201">
                  <c:v>6306512.9118749043</c:v>
                </c:pt>
                <c:pt idx="202">
                  <c:v>6306512.9118749043</c:v>
                </c:pt>
                <c:pt idx="203">
                  <c:v>6306512.9118749043</c:v>
                </c:pt>
                <c:pt idx="204">
                  <c:v>6306512.9118749043</c:v>
                </c:pt>
                <c:pt idx="205">
                  <c:v>6306512.9118749043</c:v>
                </c:pt>
                <c:pt idx="206">
                  <c:v>6306512.9118749043</c:v>
                </c:pt>
                <c:pt idx="207">
                  <c:v>6306512.9118749043</c:v>
                </c:pt>
                <c:pt idx="208">
                  <c:v>6306512.9118749043</c:v>
                </c:pt>
                <c:pt idx="209">
                  <c:v>6306512.9118749043</c:v>
                </c:pt>
                <c:pt idx="210">
                  <c:v>6306512.9118749043</c:v>
                </c:pt>
                <c:pt idx="211">
                  <c:v>6306512.9118749043</c:v>
                </c:pt>
                <c:pt idx="212">
                  <c:v>6306512.9118749043</c:v>
                </c:pt>
                <c:pt idx="213">
                  <c:v>6306512.9118749043</c:v>
                </c:pt>
                <c:pt idx="214">
                  <c:v>6306512.9118749043</c:v>
                </c:pt>
                <c:pt idx="215">
                  <c:v>6306512.9118749043</c:v>
                </c:pt>
                <c:pt idx="216">
                  <c:v>6306512.9118749043</c:v>
                </c:pt>
                <c:pt idx="217">
                  <c:v>6306512.9118749043</c:v>
                </c:pt>
                <c:pt idx="218">
                  <c:v>6306512.9118749043</c:v>
                </c:pt>
                <c:pt idx="219">
                  <c:v>6306512.9118749043</c:v>
                </c:pt>
                <c:pt idx="220">
                  <c:v>6306512.9118749043</c:v>
                </c:pt>
                <c:pt idx="221">
                  <c:v>6306512.9118749043</c:v>
                </c:pt>
                <c:pt idx="222">
                  <c:v>6306512.9118749043</c:v>
                </c:pt>
                <c:pt idx="223">
                  <c:v>6306512.9118749043</c:v>
                </c:pt>
                <c:pt idx="224">
                  <c:v>6306512.9118749043</c:v>
                </c:pt>
                <c:pt idx="225">
                  <c:v>6306512.9118749043</c:v>
                </c:pt>
                <c:pt idx="226">
                  <c:v>6306512.9118749043</c:v>
                </c:pt>
                <c:pt idx="227">
                  <c:v>6306512.9118749043</c:v>
                </c:pt>
                <c:pt idx="228">
                  <c:v>6306512.9118749043</c:v>
                </c:pt>
                <c:pt idx="229">
                  <c:v>6306512.9118749043</c:v>
                </c:pt>
                <c:pt idx="230">
                  <c:v>6306512.9118749043</c:v>
                </c:pt>
                <c:pt idx="231">
                  <c:v>6306512.9118749043</c:v>
                </c:pt>
                <c:pt idx="232">
                  <c:v>6306512.9118749043</c:v>
                </c:pt>
                <c:pt idx="233">
                  <c:v>6306512.9118749043</c:v>
                </c:pt>
                <c:pt idx="234">
                  <c:v>6306512.9118749043</c:v>
                </c:pt>
                <c:pt idx="235">
                  <c:v>6306512.9118749043</c:v>
                </c:pt>
                <c:pt idx="236">
                  <c:v>6306512.9118749043</c:v>
                </c:pt>
                <c:pt idx="237">
                  <c:v>6306512.9118749043</c:v>
                </c:pt>
                <c:pt idx="238">
                  <c:v>6306512.9118749043</c:v>
                </c:pt>
                <c:pt idx="239">
                  <c:v>6306512.9118749043</c:v>
                </c:pt>
                <c:pt idx="240">
                  <c:v>6306512.9118749043</c:v>
                </c:pt>
                <c:pt idx="241">
                  <c:v>6306512.9118749043</c:v>
                </c:pt>
                <c:pt idx="242">
                  <c:v>6306512.9118749043</c:v>
                </c:pt>
                <c:pt idx="243">
                  <c:v>6306512.9118749043</c:v>
                </c:pt>
                <c:pt idx="244">
                  <c:v>6306512.9118749043</c:v>
                </c:pt>
                <c:pt idx="245">
                  <c:v>6306512.9118749043</c:v>
                </c:pt>
                <c:pt idx="246">
                  <c:v>6306512.9118749043</c:v>
                </c:pt>
                <c:pt idx="247">
                  <c:v>6306512.9118749043</c:v>
                </c:pt>
                <c:pt idx="248">
                  <c:v>6306512.9118749043</c:v>
                </c:pt>
                <c:pt idx="249">
                  <c:v>6306512.9118749043</c:v>
                </c:pt>
                <c:pt idx="250">
                  <c:v>6306512.9118749043</c:v>
                </c:pt>
                <c:pt idx="251">
                  <c:v>6306512.9118749043</c:v>
                </c:pt>
                <c:pt idx="252">
                  <c:v>6306512.9118749043</c:v>
                </c:pt>
                <c:pt idx="253">
                  <c:v>6306512.9118749043</c:v>
                </c:pt>
                <c:pt idx="254">
                  <c:v>6306512.9118749043</c:v>
                </c:pt>
                <c:pt idx="255">
                  <c:v>6306512.9118749043</c:v>
                </c:pt>
                <c:pt idx="256">
                  <c:v>6306512.9118749043</c:v>
                </c:pt>
                <c:pt idx="257">
                  <c:v>6306512.9118749043</c:v>
                </c:pt>
                <c:pt idx="258">
                  <c:v>6306512.9118749043</c:v>
                </c:pt>
                <c:pt idx="259">
                  <c:v>6306512.9118749043</c:v>
                </c:pt>
                <c:pt idx="260">
                  <c:v>6306512.9118749043</c:v>
                </c:pt>
                <c:pt idx="261">
                  <c:v>6306512.9118749043</c:v>
                </c:pt>
                <c:pt idx="262">
                  <c:v>6306512.9118749043</c:v>
                </c:pt>
                <c:pt idx="263">
                  <c:v>6306512.9118749043</c:v>
                </c:pt>
                <c:pt idx="264">
                  <c:v>6306512.9118749043</c:v>
                </c:pt>
                <c:pt idx="265">
                  <c:v>6306512.9118749043</c:v>
                </c:pt>
                <c:pt idx="266">
                  <c:v>6306512.9118749043</c:v>
                </c:pt>
                <c:pt idx="267">
                  <c:v>6306512.9118749043</c:v>
                </c:pt>
                <c:pt idx="268">
                  <c:v>6306512.9118749043</c:v>
                </c:pt>
                <c:pt idx="269">
                  <c:v>6306512.9118749043</c:v>
                </c:pt>
                <c:pt idx="270">
                  <c:v>6306512.9118749043</c:v>
                </c:pt>
                <c:pt idx="271">
                  <c:v>6306512.9118749043</c:v>
                </c:pt>
                <c:pt idx="272">
                  <c:v>6306512.9118749043</c:v>
                </c:pt>
                <c:pt idx="273">
                  <c:v>6306512.9118749043</c:v>
                </c:pt>
                <c:pt idx="274">
                  <c:v>6306512.9118749043</c:v>
                </c:pt>
                <c:pt idx="275">
                  <c:v>6306512.9118749043</c:v>
                </c:pt>
                <c:pt idx="276">
                  <c:v>6306512.9118749043</c:v>
                </c:pt>
                <c:pt idx="277">
                  <c:v>6306512.9118749043</c:v>
                </c:pt>
                <c:pt idx="278">
                  <c:v>6306512.9118749043</c:v>
                </c:pt>
                <c:pt idx="279">
                  <c:v>6306512.9118749043</c:v>
                </c:pt>
                <c:pt idx="280">
                  <c:v>6306512.9118749043</c:v>
                </c:pt>
                <c:pt idx="281">
                  <c:v>6306512.9118749043</c:v>
                </c:pt>
                <c:pt idx="282">
                  <c:v>6306512.9118749043</c:v>
                </c:pt>
                <c:pt idx="283">
                  <c:v>6306512.9118749043</c:v>
                </c:pt>
                <c:pt idx="284">
                  <c:v>6306512.9118749043</c:v>
                </c:pt>
                <c:pt idx="285">
                  <c:v>6306512.9118749043</c:v>
                </c:pt>
                <c:pt idx="286">
                  <c:v>6306512.9118749043</c:v>
                </c:pt>
                <c:pt idx="287">
                  <c:v>6306512.9118749043</c:v>
                </c:pt>
                <c:pt idx="288">
                  <c:v>6306512.9118749043</c:v>
                </c:pt>
                <c:pt idx="289">
                  <c:v>6306512.9118749043</c:v>
                </c:pt>
                <c:pt idx="290">
                  <c:v>6306512.9118749043</c:v>
                </c:pt>
                <c:pt idx="291">
                  <c:v>6306512.9118749043</c:v>
                </c:pt>
                <c:pt idx="292">
                  <c:v>6306512.9118749043</c:v>
                </c:pt>
                <c:pt idx="293">
                  <c:v>6306512.9118749043</c:v>
                </c:pt>
                <c:pt idx="294">
                  <c:v>6306512.9118749043</c:v>
                </c:pt>
                <c:pt idx="295">
                  <c:v>6306512.9118749043</c:v>
                </c:pt>
                <c:pt idx="296">
                  <c:v>6306512.9118749043</c:v>
                </c:pt>
                <c:pt idx="297">
                  <c:v>6306512.9118749043</c:v>
                </c:pt>
                <c:pt idx="298">
                  <c:v>6306512.9118749043</c:v>
                </c:pt>
                <c:pt idx="299">
                  <c:v>6306512.9118749043</c:v>
                </c:pt>
                <c:pt idx="300">
                  <c:v>6306512.9118749043</c:v>
                </c:pt>
                <c:pt idx="301">
                  <c:v>6306512.9118749043</c:v>
                </c:pt>
                <c:pt idx="302">
                  <c:v>6306512.9118749043</c:v>
                </c:pt>
                <c:pt idx="303">
                  <c:v>6306512.9118749043</c:v>
                </c:pt>
                <c:pt idx="304">
                  <c:v>6306512.9118749043</c:v>
                </c:pt>
                <c:pt idx="305">
                  <c:v>6306512.9118749043</c:v>
                </c:pt>
                <c:pt idx="306">
                  <c:v>6306512.9118749043</c:v>
                </c:pt>
                <c:pt idx="307">
                  <c:v>6306512.9118749043</c:v>
                </c:pt>
                <c:pt idx="308">
                  <c:v>6306512.9118749043</c:v>
                </c:pt>
                <c:pt idx="309">
                  <c:v>6306512.9118749043</c:v>
                </c:pt>
                <c:pt idx="310">
                  <c:v>6306512.9118749043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2028875.6481250962</c:v>
                </c:pt>
                <c:pt idx="57">
                  <c:v>1852693.1481250962</c:v>
                </c:pt>
                <c:pt idx="58">
                  <c:v>1849220.5881250966</c:v>
                </c:pt>
                <c:pt idx="59">
                  <c:v>1849220.5881250966</c:v>
                </c:pt>
                <c:pt idx="60">
                  <c:v>1849220.5881250966</c:v>
                </c:pt>
                <c:pt idx="61">
                  <c:v>1849220.5881250966</c:v>
                </c:pt>
                <c:pt idx="62">
                  <c:v>1849220.5881250966</c:v>
                </c:pt>
                <c:pt idx="63">
                  <c:v>1849220.5881250966</c:v>
                </c:pt>
                <c:pt idx="64">
                  <c:v>1849220.5881250966</c:v>
                </c:pt>
                <c:pt idx="65">
                  <c:v>1849220.5881250966</c:v>
                </c:pt>
                <c:pt idx="66">
                  <c:v>1849220.5881250966</c:v>
                </c:pt>
                <c:pt idx="67">
                  <c:v>1849220.5881250966</c:v>
                </c:pt>
                <c:pt idx="68">
                  <c:v>1849220.5881250966</c:v>
                </c:pt>
                <c:pt idx="69">
                  <c:v>1849220.5881250966</c:v>
                </c:pt>
                <c:pt idx="70">
                  <c:v>1849220.5881250966</c:v>
                </c:pt>
                <c:pt idx="71">
                  <c:v>1849220.5881250966</c:v>
                </c:pt>
                <c:pt idx="72">
                  <c:v>1849220.5881250966</c:v>
                </c:pt>
                <c:pt idx="73">
                  <c:v>1849220.5881250966</c:v>
                </c:pt>
                <c:pt idx="74">
                  <c:v>1849220.5881250966</c:v>
                </c:pt>
                <c:pt idx="75">
                  <c:v>1849220.5881250966</c:v>
                </c:pt>
                <c:pt idx="76">
                  <c:v>1849220.5881250966</c:v>
                </c:pt>
                <c:pt idx="77">
                  <c:v>1849220.5881250966</c:v>
                </c:pt>
                <c:pt idx="78">
                  <c:v>1849220.5881250966</c:v>
                </c:pt>
                <c:pt idx="79">
                  <c:v>1849220.5881250966</c:v>
                </c:pt>
                <c:pt idx="80">
                  <c:v>1849220.5881250966</c:v>
                </c:pt>
                <c:pt idx="81">
                  <c:v>1849220.5881250966</c:v>
                </c:pt>
                <c:pt idx="82">
                  <c:v>1849220.5881250966</c:v>
                </c:pt>
                <c:pt idx="83">
                  <c:v>1849220.5881250966</c:v>
                </c:pt>
                <c:pt idx="84">
                  <c:v>1849220.5881250966</c:v>
                </c:pt>
                <c:pt idx="85">
                  <c:v>1849220.5881250966</c:v>
                </c:pt>
                <c:pt idx="86">
                  <c:v>1849220.5881250966</c:v>
                </c:pt>
                <c:pt idx="87">
                  <c:v>1849220.5881250966</c:v>
                </c:pt>
                <c:pt idx="88">
                  <c:v>1849220.5881250966</c:v>
                </c:pt>
                <c:pt idx="89">
                  <c:v>1849220.5881250966</c:v>
                </c:pt>
                <c:pt idx="90">
                  <c:v>1849220.5881250966</c:v>
                </c:pt>
                <c:pt idx="91">
                  <c:v>1849220.5881250966</c:v>
                </c:pt>
                <c:pt idx="92">
                  <c:v>1849220.5881250966</c:v>
                </c:pt>
                <c:pt idx="93">
                  <c:v>1849220.5881250966</c:v>
                </c:pt>
                <c:pt idx="94">
                  <c:v>1849220.5881250966</c:v>
                </c:pt>
                <c:pt idx="95">
                  <c:v>1849220.5881250966</c:v>
                </c:pt>
                <c:pt idx="96">
                  <c:v>1849220.5881250966</c:v>
                </c:pt>
                <c:pt idx="97">
                  <c:v>1849220.5881250966</c:v>
                </c:pt>
                <c:pt idx="98">
                  <c:v>1849220.5881250966</c:v>
                </c:pt>
                <c:pt idx="99">
                  <c:v>1849220.5881250966</c:v>
                </c:pt>
                <c:pt idx="100">
                  <c:v>1849220.5881250966</c:v>
                </c:pt>
                <c:pt idx="101">
                  <c:v>1849220.5881250966</c:v>
                </c:pt>
                <c:pt idx="102">
                  <c:v>1849220.5881250966</c:v>
                </c:pt>
                <c:pt idx="103">
                  <c:v>1849220.5881250966</c:v>
                </c:pt>
                <c:pt idx="104">
                  <c:v>1849220.5881250966</c:v>
                </c:pt>
                <c:pt idx="105">
                  <c:v>1849220.5881250966</c:v>
                </c:pt>
                <c:pt idx="106">
                  <c:v>1849220.5881250966</c:v>
                </c:pt>
                <c:pt idx="107">
                  <c:v>1849220.5881250966</c:v>
                </c:pt>
                <c:pt idx="108">
                  <c:v>1849220.5881250966</c:v>
                </c:pt>
                <c:pt idx="109">
                  <c:v>1849220.5881250966</c:v>
                </c:pt>
                <c:pt idx="110">
                  <c:v>1849220.5881250966</c:v>
                </c:pt>
                <c:pt idx="111">
                  <c:v>1849220.5881250966</c:v>
                </c:pt>
                <c:pt idx="112">
                  <c:v>1849220.5881250966</c:v>
                </c:pt>
                <c:pt idx="113">
                  <c:v>1849220.5881250966</c:v>
                </c:pt>
                <c:pt idx="114">
                  <c:v>1849220.5881250966</c:v>
                </c:pt>
                <c:pt idx="115">
                  <c:v>1849220.5881250966</c:v>
                </c:pt>
                <c:pt idx="116">
                  <c:v>1849220.5881250966</c:v>
                </c:pt>
                <c:pt idx="117">
                  <c:v>1849220.5881250966</c:v>
                </c:pt>
                <c:pt idx="118">
                  <c:v>1849220.5881250966</c:v>
                </c:pt>
                <c:pt idx="119">
                  <c:v>1849220.5881250966</c:v>
                </c:pt>
                <c:pt idx="120">
                  <c:v>1849220.5881250966</c:v>
                </c:pt>
                <c:pt idx="121">
                  <c:v>1849220.5881250966</c:v>
                </c:pt>
                <c:pt idx="122">
                  <c:v>1849220.5881250966</c:v>
                </c:pt>
                <c:pt idx="123">
                  <c:v>1849220.5881250966</c:v>
                </c:pt>
                <c:pt idx="124">
                  <c:v>1849220.5881250966</c:v>
                </c:pt>
                <c:pt idx="125">
                  <c:v>1849220.5881250966</c:v>
                </c:pt>
                <c:pt idx="126">
                  <c:v>1849220.5881250966</c:v>
                </c:pt>
                <c:pt idx="127">
                  <c:v>1849220.5881250966</c:v>
                </c:pt>
                <c:pt idx="128">
                  <c:v>1849220.5881250966</c:v>
                </c:pt>
                <c:pt idx="129">
                  <c:v>1849220.5881250966</c:v>
                </c:pt>
                <c:pt idx="130">
                  <c:v>1849220.5881250966</c:v>
                </c:pt>
                <c:pt idx="131">
                  <c:v>1849220.5881250966</c:v>
                </c:pt>
                <c:pt idx="132">
                  <c:v>1849220.5881250966</c:v>
                </c:pt>
                <c:pt idx="133">
                  <c:v>1849220.5881250966</c:v>
                </c:pt>
                <c:pt idx="134">
                  <c:v>1849220.5881250966</c:v>
                </c:pt>
                <c:pt idx="135">
                  <c:v>1849220.5881250966</c:v>
                </c:pt>
                <c:pt idx="136">
                  <c:v>1849220.5881250966</c:v>
                </c:pt>
                <c:pt idx="137">
                  <c:v>1849220.5881250966</c:v>
                </c:pt>
                <c:pt idx="138">
                  <c:v>1849220.5881250966</c:v>
                </c:pt>
                <c:pt idx="139">
                  <c:v>1849220.5881250966</c:v>
                </c:pt>
                <c:pt idx="140">
                  <c:v>1849220.5881250966</c:v>
                </c:pt>
                <c:pt idx="141">
                  <c:v>1849220.5881250966</c:v>
                </c:pt>
                <c:pt idx="142">
                  <c:v>1849220.5881250966</c:v>
                </c:pt>
                <c:pt idx="143">
                  <c:v>1849220.5881250966</c:v>
                </c:pt>
                <c:pt idx="144">
                  <c:v>1849220.5881250966</c:v>
                </c:pt>
                <c:pt idx="145">
                  <c:v>1849220.5881250966</c:v>
                </c:pt>
                <c:pt idx="146">
                  <c:v>1849220.5881250966</c:v>
                </c:pt>
                <c:pt idx="147">
                  <c:v>1849220.5881250966</c:v>
                </c:pt>
                <c:pt idx="148">
                  <c:v>1849220.5881250966</c:v>
                </c:pt>
                <c:pt idx="149">
                  <c:v>1849220.5881250966</c:v>
                </c:pt>
                <c:pt idx="150">
                  <c:v>1849220.5881250966</c:v>
                </c:pt>
                <c:pt idx="151">
                  <c:v>1849220.5881250966</c:v>
                </c:pt>
                <c:pt idx="152">
                  <c:v>1849220.5881250966</c:v>
                </c:pt>
                <c:pt idx="153">
                  <c:v>1849220.5881250966</c:v>
                </c:pt>
                <c:pt idx="154">
                  <c:v>1849220.5881250966</c:v>
                </c:pt>
                <c:pt idx="155">
                  <c:v>1849220.5881250966</c:v>
                </c:pt>
                <c:pt idx="156">
                  <c:v>1849220.5881250966</c:v>
                </c:pt>
                <c:pt idx="157">
                  <c:v>1849220.5881250966</c:v>
                </c:pt>
                <c:pt idx="158">
                  <c:v>1849220.5881250966</c:v>
                </c:pt>
                <c:pt idx="159">
                  <c:v>1849220.5881250966</c:v>
                </c:pt>
                <c:pt idx="160">
                  <c:v>1849220.5881250966</c:v>
                </c:pt>
                <c:pt idx="161">
                  <c:v>1849220.5881250966</c:v>
                </c:pt>
                <c:pt idx="162">
                  <c:v>1849220.5881250966</c:v>
                </c:pt>
                <c:pt idx="163">
                  <c:v>1849220.5881250966</c:v>
                </c:pt>
                <c:pt idx="164">
                  <c:v>1849220.5881250966</c:v>
                </c:pt>
                <c:pt idx="165">
                  <c:v>1849220.5881250966</c:v>
                </c:pt>
                <c:pt idx="166">
                  <c:v>1849220.5881250966</c:v>
                </c:pt>
                <c:pt idx="167">
                  <c:v>1849220.5881250966</c:v>
                </c:pt>
                <c:pt idx="168">
                  <c:v>1849220.5881250966</c:v>
                </c:pt>
                <c:pt idx="169">
                  <c:v>1849220.5881250966</c:v>
                </c:pt>
                <c:pt idx="170">
                  <c:v>1849220.5881250966</c:v>
                </c:pt>
                <c:pt idx="171">
                  <c:v>1849220.5881250966</c:v>
                </c:pt>
                <c:pt idx="172">
                  <c:v>1849220.5881250966</c:v>
                </c:pt>
                <c:pt idx="173">
                  <c:v>1849220.5881250966</c:v>
                </c:pt>
                <c:pt idx="174">
                  <c:v>1849220.5881250966</c:v>
                </c:pt>
                <c:pt idx="175">
                  <c:v>1849220.5881250966</c:v>
                </c:pt>
                <c:pt idx="176">
                  <c:v>1849220.5881250966</c:v>
                </c:pt>
                <c:pt idx="177">
                  <c:v>1849220.5881250966</c:v>
                </c:pt>
                <c:pt idx="178">
                  <c:v>1849220.5881250966</c:v>
                </c:pt>
                <c:pt idx="179">
                  <c:v>1849220.5881250966</c:v>
                </c:pt>
                <c:pt idx="180">
                  <c:v>1849220.5881250966</c:v>
                </c:pt>
                <c:pt idx="181">
                  <c:v>1849220.5881250966</c:v>
                </c:pt>
                <c:pt idx="182">
                  <c:v>1849220.5881250966</c:v>
                </c:pt>
                <c:pt idx="183">
                  <c:v>1849220.5881250966</c:v>
                </c:pt>
                <c:pt idx="184">
                  <c:v>1849220.5881250966</c:v>
                </c:pt>
                <c:pt idx="185">
                  <c:v>1849220.5881250966</c:v>
                </c:pt>
                <c:pt idx="186">
                  <c:v>1849220.5881250966</c:v>
                </c:pt>
                <c:pt idx="187">
                  <c:v>1849220.5881250966</c:v>
                </c:pt>
                <c:pt idx="188">
                  <c:v>1849220.5881250966</c:v>
                </c:pt>
                <c:pt idx="189">
                  <c:v>1849220.5881250966</c:v>
                </c:pt>
                <c:pt idx="190">
                  <c:v>1849220.5881250966</c:v>
                </c:pt>
                <c:pt idx="191">
                  <c:v>1849220.5881250966</c:v>
                </c:pt>
                <c:pt idx="192">
                  <c:v>1849220.5881250966</c:v>
                </c:pt>
                <c:pt idx="193">
                  <c:v>1849220.5881250966</c:v>
                </c:pt>
                <c:pt idx="194">
                  <c:v>1849220.5881250966</c:v>
                </c:pt>
                <c:pt idx="195">
                  <c:v>1849220.5881250966</c:v>
                </c:pt>
                <c:pt idx="196">
                  <c:v>1849220.5881250966</c:v>
                </c:pt>
                <c:pt idx="197">
                  <c:v>1849220.5881250966</c:v>
                </c:pt>
                <c:pt idx="198">
                  <c:v>1849220.5881250966</c:v>
                </c:pt>
                <c:pt idx="199">
                  <c:v>1849220.5881250966</c:v>
                </c:pt>
                <c:pt idx="200">
                  <c:v>1849220.5881250966</c:v>
                </c:pt>
                <c:pt idx="201">
                  <c:v>1849220.5881250966</c:v>
                </c:pt>
                <c:pt idx="202">
                  <c:v>1849220.5881250966</c:v>
                </c:pt>
                <c:pt idx="203">
                  <c:v>1849220.5881250966</c:v>
                </c:pt>
                <c:pt idx="204">
                  <c:v>1849220.5881250966</c:v>
                </c:pt>
                <c:pt idx="205">
                  <c:v>1849220.5881250966</c:v>
                </c:pt>
                <c:pt idx="206">
                  <c:v>1849220.5881250966</c:v>
                </c:pt>
                <c:pt idx="207">
                  <c:v>1849220.5881250966</c:v>
                </c:pt>
                <c:pt idx="208">
                  <c:v>1849220.5881250966</c:v>
                </c:pt>
                <c:pt idx="209">
                  <c:v>1849220.5881250966</c:v>
                </c:pt>
                <c:pt idx="210">
                  <c:v>1849220.5881250966</c:v>
                </c:pt>
                <c:pt idx="211">
                  <c:v>1849220.5881250966</c:v>
                </c:pt>
                <c:pt idx="212">
                  <c:v>1849220.5881250966</c:v>
                </c:pt>
                <c:pt idx="213">
                  <c:v>1849220.5881250966</c:v>
                </c:pt>
                <c:pt idx="214">
                  <c:v>1849220.5881250966</c:v>
                </c:pt>
                <c:pt idx="215">
                  <c:v>1849220.5881250966</c:v>
                </c:pt>
                <c:pt idx="216">
                  <c:v>1849220.5881250966</c:v>
                </c:pt>
                <c:pt idx="217">
                  <c:v>1849220.5881250966</c:v>
                </c:pt>
                <c:pt idx="218">
                  <c:v>1849220.5881250966</c:v>
                </c:pt>
                <c:pt idx="219">
                  <c:v>1849220.5881250966</c:v>
                </c:pt>
                <c:pt idx="220">
                  <c:v>1849220.5881250966</c:v>
                </c:pt>
                <c:pt idx="221">
                  <c:v>1849220.5881250966</c:v>
                </c:pt>
                <c:pt idx="222">
                  <c:v>1849220.5881250966</c:v>
                </c:pt>
                <c:pt idx="223">
                  <c:v>1849220.5881250966</c:v>
                </c:pt>
                <c:pt idx="224">
                  <c:v>1849220.5881250966</c:v>
                </c:pt>
                <c:pt idx="225">
                  <c:v>1849220.5881250966</c:v>
                </c:pt>
                <c:pt idx="226">
                  <c:v>1849220.5881250966</c:v>
                </c:pt>
                <c:pt idx="227">
                  <c:v>1849220.5881250966</c:v>
                </c:pt>
                <c:pt idx="228">
                  <c:v>1849220.5881250966</c:v>
                </c:pt>
                <c:pt idx="229">
                  <c:v>1849220.5881250966</c:v>
                </c:pt>
                <c:pt idx="230">
                  <c:v>1849220.5881250966</c:v>
                </c:pt>
                <c:pt idx="231">
                  <c:v>1849220.5881250966</c:v>
                </c:pt>
                <c:pt idx="232">
                  <c:v>1849220.5881250966</c:v>
                </c:pt>
                <c:pt idx="233">
                  <c:v>1849220.5881250966</c:v>
                </c:pt>
                <c:pt idx="234">
                  <c:v>1849220.5881250966</c:v>
                </c:pt>
                <c:pt idx="235">
                  <c:v>1849220.5881250966</c:v>
                </c:pt>
                <c:pt idx="236">
                  <c:v>1849220.5881250966</c:v>
                </c:pt>
                <c:pt idx="237">
                  <c:v>1849220.5881250966</c:v>
                </c:pt>
                <c:pt idx="238">
                  <c:v>1849220.5881250966</c:v>
                </c:pt>
                <c:pt idx="239">
                  <c:v>1849220.5881250966</c:v>
                </c:pt>
                <c:pt idx="240">
                  <c:v>1849220.5881250966</c:v>
                </c:pt>
                <c:pt idx="241">
                  <c:v>1849220.5881250966</c:v>
                </c:pt>
                <c:pt idx="242">
                  <c:v>1849220.5881250966</c:v>
                </c:pt>
                <c:pt idx="243">
                  <c:v>1849220.5881250966</c:v>
                </c:pt>
                <c:pt idx="244">
                  <c:v>1849220.5881250966</c:v>
                </c:pt>
                <c:pt idx="245">
                  <c:v>1849220.5881250966</c:v>
                </c:pt>
                <c:pt idx="246">
                  <c:v>1849220.5881250966</c:v>
                </c:pt>
                <c:pt idx="247">
                  <c:v>1849220.5881250966</c:v>
                </c:pt>
                <c:pt idx="248">
                  <c:v>1849220.5881250966</c:v>
                </c:pt>
                <c:pt idx="249">
                  <c:v>1849220.5881250966</c:v>
                </c:pt>
                <c:pt idx="250">
                  <c:v>1849220.5881250966</c:v>
                </c:pt>
                <c:pt idx="251">
                  <c:v>1849220.5881250966</c:v>
                </c:pt>
                <c:pt idx="252">
                  <c:v>1849220.5881250966</c:v>
                </c:pt>
                <c:pt idx="253">
                  <c:v>1849220.5881250966</c:v>
                </c:pt>
                <c:pt idx="254">
                  <c:v>1849220.5881250966</c:v>
                </c:pt>
                <c:pt idx="255">
                  <c:v>1849220.5881250966</c:v>
                </c:pt>
                <c:pt idx="256">
                  <c:v>1849220.5881250966</c:v>
                </c:pt>
                <c:pt idx="257">
                  <c:v>1849220.5881250966</c:v>
                </c:pt>
                <c:pt idx="258">
                  <c:v>1849220.5881250966</c:v>
                </c:pt>
                <c:pt idx="259">
                  <c:v>1849220.5881250966</c:v>
                </c:pt>
                <c:pt idx="260">
                  <c:v>1849220.5881250966</c:v>
                </c:pt>
                <c:pt idx="261">
                  <c:v>1849220.5881250966</c:v>
                </c:pt>
                <c:pt idx="262">
                  <c:v>1849220.5881250966</c:v>
                </c:pt>
                <c:pt idx="263">
                  <c:v>1849220.5881250966</c:v>
                </c:pt>
                <c:pt idx="264">
                  <c:v>1849220.5881250966</c:v>
                </c:pt>
                <c:pt idx="265">
                  <c:v>1849220.5881250966</c:v>
                </c:pt>
                <c:pt idx="266">
                  <c:v>1849220.5881250966</c:v>
                </c:pt>
                <c:pt idx="267">
                  <c:v>1849220.5881250966</c:v>
                </c:pt>
                <c:pt idx="268">
                  <c:v>1849220.5881250966</c:v>
                </c:pt>
                <c:pt idx="269">
                  <c:v>1849220.5881250966</c:v>
                </c:pt>
                <c:pt idx="270">
                  <c:v>1849220.5881250966</c:v>
                </c:pt>
                <c:pt idx="271">
                  <c:v>1849220.5881250966</c:v>
                </c:pt>
                <c:pt idx="272">
                  <c:v>1849220.5881250966</c:v>
                </c:pt>
                <c:pt idx="273">
                  <c:v>1849220.5881250966</c:v>
                </c:pt>
                <c:pt idx="274">
                  <c:v>1849220.5881250966</c:v>
                </c:pt>
                <c:pt idx="275">
                  <c:v>1849220.5881250966</c:v>
                </c:pt>
                <c:pt idx="276">
                  <c:v>1849220.5881250966</c:v>
                </c:pt>
                <c:pt idx="277">
                  <c:v>1849220.5881250966</c:v>
                </c:pt>
                <c:pt idx="278">
                  <c:v>1849220.5881250966</c:v>
                </c:pt>
                <c:pt idx="279">
                  <c:v>1849220.5881250966</c:v>
                </c:pt>
                <c:pt idx="280">
                  <c:v>1849220.5881250966</c:v>
                </c:pt>
                <c:pt idx="281">
                  <c:v>1849220.5881250966</c:v>
                </c:pt>
                <c:pt idx="282">
                  <c:v>1849220.5881250966</c:v>
                </c:pt>
                <c:pt idx="283">
                  <c:v>1849220.5881250966</c:v>
                </c:pt>
                <c:pt idx="284">
                  <c:v>1849220.5881250966</c:v>
                </c:pt>
                <c:pt idx="285">
                  <c:v>1849220.5881250966</c:v>
                </c:pt>
                <c:pt idx="286">
                  <c:v>1849220.5881250966</c:v>
                </c:pt>
                <c:pt idx="287">
                  <c:v>1849220.5881250966</c:v>
                </c:pt>
                <c:pt idx="288">
                  <c:v>1849220.5881250966</c:v>
                </c:pt>
                <c:pt idx="289">
                  <c:v>1849220.5881250966</c:v>
                </c:pt>
                <c:pt idx="290">
                  <c:v>1849220.5881250966</c:v>
                </c:pt>
                <c:pt idx="291">
                  <c:v>1849220.5881250966</c:v>
                </c:pt>
                <c:pt idx="292">
                  <c:v>1849220.5881250966</c:v>
                </c:pt>
                <c:pt idx="293">
                  <c:v>1849220.5881250966</c:v>
                </c:pt>
                <c:pt idx="294">
                  <c:v>1849220.5881250966</c:v>
                </c:pt>
                <c:pt idx="295">
                  <c:v>1849220.5881250966</c:v>
                </c:pt>
                <c:pt idx="296">
                  <c:v>1849220.5881250966</c:v>
                </c:pt>
                <c:pt idx="297">
                  <c:v>1849220.5881250966</c:v>
                </c:pt>
                <c:pt idx="298">
                  <c:v>1849220.5881250966</c:v>
                </c:pt>
                <c:pt idx="299">
                  <c:v>1849220.5881250966</c:v>
                </c:pt>
                <c:pt idx="300">
                  <c:v>1849220.5881250966</c:v>
                </c:pt>
                <c:pt idx="301">
                  <c:v>1849220.5881250966</c:v>
                </c:pt>
                <c:pt idx="302">
                  <c:v>1849220.5881250966</c:v>
                </c:pt>
                <c:pt idx="303">
                  <c:v>1849220.5881250966</c:v>
                </c:pt>
                <c:pt idx="304">
                  <c:v>1849220.5881250966</c:v>
                </c:pt>
                <c:pt idx="305">
                  <c:v>1849220.5881250966</c:v>
                </c:pt>
                <c:pt idx="306">
                  <c:v>1849220.5881250966</c:v>
                </c:pt>
                <c:pt idx="307">
                  <c:v>1849220.5881250966</c:v>
                </c:pt>
                <c:pt idx="308">
                  <c:v>1849220.5881250966</c:v>
                </c:pt>
                <c:pt idx="309">
                  <c:v>1849220.5881250966</c:v>
                </c:pt>
                <c:pt idx="310">
                  <c:v>1849220.5881250966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4" t="s">
        <v>57</v>
      </c>
      <c r="E47" s="764"/>
      <c r="F47" s="765"/>
      <c r="G47" s="67"/>
      <c r="I47" s="68"/>
      <c r="J47" s="68"/>
    </row>
    <row r="48" spans="1:49" ht="13.9" thickBot="1">
      <c r="C48" s="69">
        <v>44014</v>
      </c>
      <c r="D48" s="766"/>
      <c r="E48" s="766"/>
      <c r="F48" s="76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3984375" bestFit="1" customWidth="1"/>
    <col min="5" max="5" width="10.265625" customWidth="1"/>
    <col min="6" max="6" width="33.3984375" customWidth="1"/>
  </cols>
  <sheetData>
    <row r="1" spans="2:10" ht="14.65" thickBot="1"/>
    <row r="2" spans="2:10" ht="15" thickTop="1" thickBot="1">
      <c r="B2" s="768" t="s">
        <v>58</v>
      </c>
      <c r="C2" s="769"/>
      <c r="D2" s="769"/>
      <c r="E2" s="769"/>
      <c r="F2" s="77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8" t="s">
        <v>69</v>
      </c>
      <c r="C16" s="769"/>
      <c r="D16" s="769"/>
      <c r="E16" s="769"/>
      <c r="F16" s="770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3" zoomScale="85" zoomScaleNormal="85" workbookViewId="0">
      <selection activeCell="J51" sqref="J51"/>
    </sheetView>
  </sheetViews>
  <sheetFormatPr defaultColWidth="8.3984375" defaultRowHeight="13.5"/>
  <cols>
    <col min="1" max="1" width="1.3984375" style="112" customWidth="1"/>
    <col min="2" max="2" width="6.3984375" style="170" bestFit="1" customWidth="1"/>
    <col min="3" max="3" width="50.59765625" style="24" bestFit="1" customWidth="1"/>
    <col min="4" max="4" width="3.3984375" style="112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2" customWidth="1"/>
    <col min="9" max="9" width="12.59765625" style="112" bestFit="1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7.3984375" style="112" bestFit="1" customWidth="1"/>
    <col min="15" max="15" width="39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46076</v>
      </c>
      <c r="O1" s="404">
        <f ca="1">TODAY()</f>
        <v>46076</v>
      </c>
      <c r="Q1" s="3"/>
    </row>
    <row r="2" spans="2:28" ht="13.9">
      <c r="B2" s="175"/>
      <c r="C2" s="176" t="s">
        <v>0</v>
      </c>
      <c r="D2" s="177"/>
      <c r="E2" s="774" t="s">
        <v>73</v>
      </c>
      <c r="F2" s="775"/>
      <c r="G2" s="775"/>
      <c r="H2" s="776"/>
      <c r="N2" s="405">
        <v>0</v>
      </c>
      <c r="O2" s="405">
        <v>1</v>
      </c>
    </row>
    <row r="3" spans="2:28" s="112" customFormat="1" ht="13.9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 ht="13.9">
      <c r="B4" s="178"/>
      <c r="C4" s="179" t="s">
        <v>75</v>
      </c>
      <c r="D4" s="177"/>
      <c r="E4" s="777" t="s">
        <v>76</v>
      </c>
      <c r="F4" s="778"/>
      <c r="G4" s="778"/>
      <c r="H4" s="779"/>
      <c r="J4" s="113"/>
      <c r="Q4" s="3"/>
    </row>
    <row r="5" spans="2:28" s="112" customFormat="1" ht="13.9">
      <c r="B5" s="178"/>
      <c r="C5" s="179" t="s">
        <v>77</v>
      </c>
      <c r="D5" s="177"/>
      <c r="E5" s="777" t="s">
        <v>78</v>
      </c>
      <c r="F5" s="778"/>
      <c r="G5" s="778"/>
      <c r="H5" s="779"/>
      <c r="J5" s="113"/>
      <c r="Q5" s="3"/>
    </row>
    <row r="6" spans="2:28" ht="13.9">
      <c r="B6" s="183"/>
      <c r="C6" s="184" t="s">
        <v>79</v>
      </c>
      <c r="D6" s="177"/>
      <c r="E6" s="780">
        <v>8147396</v>
      </c>
      <c r="F6" s="781"/>
      <c r="G6" s="781"/>
      <c r="H6" s="782"/>
    </row>
    <row r="7" spans="2:28" s="112" customFormat="1" ht="13.9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71" t="s">
        <v>81</v>
      </c>
      <c r="C8" s="772" t="s">
        <v>82</v>
      </c>
      <c r="D8" s="214"/>
      <c r="E8" s="773" t="s">
        <v>83</v>
      </c>
      <c r="F8" s="236" t="s">
        <v>84</v>
      </c>
      <c r="G8" s="773" t="s">
        <v>85</v>
      </c>
      <c r="H8" s="237"/>
      <c r="I8" s="773" t="s">
        <v>86</v>
      </c>
      <c r="J8" s="236" t="s">
        <v>84</v>
      </c>
      <c r="K8" s="773" t="s">
        <v>87</v>
      </c>
      <c r="M8" s="411" t="s">
        <v>60</v>
      </c>
      <c r="N8" s="411" t="s">
        <v>88</v>
      </c>
      <c r="O8" s="783" t="s">
        <v>89</v>
      </c>
      <c r="Z8" s="112"/>
      <c r="AA8" s="112"/>
      <c r="AB8" s="112"/>
    </row>
    <row r="9" spans="2:28" ht="13.9">
      <c r="B9" s="771"/>
      <c r="C9" s="772"/>
      <c r="D9" s="214"/>
      <c r="E9" s="773"/>
      <c r="F9" s="126">
        <f>G41-E19</f>
        <v>80</v>
      </c>
      <c r="G9" s="773"/>
      <c r="H9" s="237"/>
      <c r="I9" s="773"/>
      <c r="J9" s="127">
        <f>K41-I19</f>
        <v>148</v>
      </c>
      <c r="K9" s="773"/>
      <c r="M9" s="361">
        <f>AVERAGE(M11,M18,M21,M28,M35,M39,M46,M43)</f>
        <v>0.9821428571428571</v>
      </c>
      <c r="N9" s="361">
        <f ca="1">AVERAGE(N11,N18,N21,N28,N35,N39,N46,N43)</f>
        <v>0.9821428571428571</v>
      </c>
      <c r="O9" s="784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 ht="13.9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 ht="13.9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 ht="13.9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 ht="13.9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147</v>
      </c>
      <c r="K46" s="245">
        <f>MAX(K47:K52)</f>
        <v>46091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0.8571428571428571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 ht="13.9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 ht="13.9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 ht="13.9">
      <c r="B51" s="247">
        <v>8.5</v>
      </c>
      <c r="C51" s="812" t="s">
        <v>141</v>
      </c>
      <c r="D51" s="813"/>
      <c r="E51" s="814">
        <f>WORKDAY.INTL(G50,0,1,Data!$C$3:$C$14)</f>
        <v>45887</v>
      </c>
      <c r="F51" s="815">
        <v>1</v>
      </c>
      <c r="G51" s="814">
        <f>WORKDAY.INTL(E51,F51,1,Data!$C$3:$C$14)</f>
        <v>45888</v>
      </c>
      <c r="H51" s="816"/>
      <c r="I51" s="814">
        <v>46084</v>
      </c>
      <c r="J51" s="815">
        <v>5</v>
      </c>
      <c r="K51" s="814">
        <f>WORKDAY.INTL(I51,J51,1,Data!$C$3:$C$14)</f>
        <v>46091</v>
      </c>
      <c r="L51" s="817"/>
      <c r="M51" s="818">
        <v>0</v>
      </c>
      <c r="N51" s="818">
        <f t="shared" ca="1" si="7"/>
        <v>0</v>
      </c>
      <c r="O51" s="122" t="s">
        <v>142</v>
      </c>
      <c r="Y51" s="24"/>
    </row>
    <row r="52" spans="2:28" ht="13.9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86328125" style="129" bestFit="1" customWidth="1"/>
    <col min="8" max="8" width="18.1328125" style="129" bestFit="1" customWidth="1"/>
    <col min="9" max="9" width="1.3984375" style="129" customWidth="1"/>
    <col min="10" max="10" width="3.3984375" style="93" customWidth="1"/>
    <col min="11" max="11" width="1.3984375" style="174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59765625" style="129" bestFit="1" customWidth="1"/>
    <col min="17" max="17" width="15.265625" style="129" bestFit="1" customWidth="1"/>
    <col min="18" max="18" width="20" style="129" customWidth="1"/>
    <col min="19" max="19" width="16.3984375" style="93" bestFit="1" customWidth="1"/>
    <col min="20" max="20" width="19.59765625" style="129" bestFit="1" customWidth="1"/>
    <col min="21" max="21" width="15.2656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15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.15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254161.61051048408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6306512.9118749052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1849220.5881250957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0.22673872167660891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15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25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.15">
      <c r="B13" s="351">
        <v>1</v>
      </c>
      <c r="C13" s="787" t="s">
        <v>174</v>
      </c>
      <c r="D13" s="788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2.75">
      <c r="B14" s="153">
        <v>2</v>
      </c>
      <c r="C14" s="787" t="s">
        <v>176</v>
      </c>
      <c r="D14" s="788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2.75">
      <c r="B15" s="351">
        <v>3</v>
      </c>
      <c r="C15" s="787" t="s">
        <v>177</v>
      </c>
      <c r="D15" s="788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2.75">
      <c r="B16" s="351">
        <v>4</v>
      </c>
      <c r="C16" s="785" t="s">
        <v>178</v>
      </c>
      <c r="D16" s="786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2.75">
      <c r="B17" s="351">
        <v>5</v>
      </c>
      <c r="C17" s="785" t="s">
        <v>179</v>
      </c>
      <c r="D17" s="786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2.75">
      <c r="B18" s="351">
        <v>6</v>
      </c>
      <c r="C18" s="785" t="s">
        <v>54</v>
      </c>
      <c r="D18" s="786"/>
      <c r="E18" s="135">
        <v>0.05</v>
      </c>
      <c r="F18" s="136">
        <f t="shared" si="0"/>
        <v>407369.80000000005</v>
      </c>
      <c r="G18" s="354"/>
      <c r="H18" s="138">
        <f>'Project Plan'!K51+7</f>
        <v>46098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2.75">
      <c r="B19" s="351">
        <v>7</v>
      </c>
      <c r="C19" s="787" t="s">
        <v>180</v>
      </c>
      <c r="D19" s="788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15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2.75">
      <c r="C24" s="146" t="s">
        <v>184</v>
      </c>
      <c r="D24" s="147"/>
      <c r="F24" s="148"/>
    </row>
    <row r="25" spans="2:18" s="93" customFormat="1" ht="12.75">
      <c r="C25" s="146" t="s">
        <v>185</v>
      </c>
      <c r="D25" s="147"/>
    </row>
    <row r="26" spans="2:18" s="93" customFormat="1" ht="12.75">
      <c r="C26" s="149" t="s">
        <v>186</v>
      </c>
      <c r="D26" s="150"/>
    </row>
    <row r="27" spans="2:18" s="93" customFormat="1" ht="12.75">
      <c r="C27" s="151" t="s">
        <v>187</v>
      </c>
      <c r="D27" s="147"/>
    </row>
    <row r="28" spans="2:18" s="93" customFormat="1" ht="12.75">
      <c r="B28" s="117"/>
      <c r="C28" s="151" t="s">
        <v>188</v>
      </c>
      <c r="D28" s="147"/>
    </row>
    <row r="29" spans="2:18" s="93" customFormat="1" ht="12.75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2.75">
      <c r="B31" s="117"/>
      <c r="F31" s="145"/>
    </row>
    <row r="32" spans="2:18" s="93" customFormat="1" ht="12.75">
      <c r="B32" s="117"/>
      <c r="F32" s="145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15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15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89"/>
      <c r="C4" s="789"/>
      <c r="D4" s="789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25" thickBot="1">
      <c r="A5" s="214"/>
      <c r="B5" s="790" t="s">
        <v>216</v>
      </c>
      <c r="C5" s="790"/>
      <c r="D5" s="790"/>
      <c r="E5" s="413"/>
      <c r="F5" s="221">
        <f>SUM(F9:F23)</f>
        <v>7645523.4258923894</v>
      </c>
      <c r="G5" s="216"/>
      <c r="H5" s="221">
        <f>SUM(H9:H23)</f>
        <v>6306512.9118749052</v>
      </c>
      <c r="I5" s="214"/>
      <c r="J5" s="222">
        <f>SUM(J9:J23)</f>
        <v>1339010.5140174848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 ht="13.9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 ht="13.9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 ht="13.9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 ht="13.9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 ht="13.9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1225472.56</v>
      </c>
      <c r="I23" s="89"/>
      <c r="J23" s="231">
        <f t="shared" si="0"/>
        <v>274527.43999999994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N1" zoomScale="90" zoomScaleNormal="90" workbookViewId="0">
      <pane ySplit="4" topLeftCell="A5" activePane="bottomLeft" state="frozen"/>
      <selection activeCell="X33" sqref="X33"/>
      <selection pane="bottomLeft" activeCell="S17" sqref="S17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3984375" style="24" hidden="1" customWidth="1"/>
    <col min="8" max="8" width="17.3984375" style="112" hidden="1" customWidth="1"/>
    <col min="9" max="9" width="22.265625" style="349" hidden="1" customWidth="1"/>
    <col min="10" max="10" width="22.3984375" style="349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984375" style="112" customWidth="1"/>
    <col min="18" max="18" width="48" style="112" bestFit="1" customWidth="1"/>
    <col min="19" max="19" width="40.3984375" style="112" bestFit="1" customWidth="1"/>
    <col min="20" max="23" width="17.3984375" style="112" customWidth="1"/>
    <col min="24" max="24" width="21.3984375" style="112" customWidth="1"/>
    <col min="25" max="25" width="29.2656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16" t="s">
        <v>223</v>
      </c>
      <c r="C2" s="717"/>
      <c r="D2" s="717"/>
      <c r="E2" s="717"/>
      <c r="F2" s="717"/>
      <c r="G2" s="717"/>
      <c r="H2" s="683"/>
      <c r="I2" s="257">
        <f>SUM(I6:I169)</f>
        <v>7645523.4258923894</v>
      </c>
      <c r="J2" s="257">
        <f>SUM(J6:J169)</f>
        <v>8147396.3388843061</v>
      </c>
      <c r="L2" s="718" t="s">
        <v>224</v>
      </c>
      <c r="M2" s="719"/>
      <c r="N2" s="719"/>
      <c r="O2" s="719"/>
      <c r="P2" s="719"/>
      <c r="Q2" s="719"/>
      <c r="R2" s="723" t="s">
        <v>225</v>
      </c>
      <c r="S2" s="724"/>
      <c r="T2" s="724"/>
      <c r="U2" s="724"/>
      <c r="V2" s="724"/>
      <c r="W2" s="725"/>
      <c r="X2" s="478">
        <f>SUM(X6:X169)</f>
        <v>6306512.9118749052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20">
        <f>SUM(G6:G11)</f>
        <v>1820133.76</v>
      </c>
      <c r="J6" s="720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10">
        <f>J6-SUM(U6:U11)</f>
        <v>0</v>
      </c>
      <c r="W6" s="534">
        <v>45834</v>
      </c>
      <c r="X6" s="707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21"/>
      <c r="J7" s="721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11"/>
      <c r="W7" s="572"/>
      <c r="X7" s="70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21"/>
      <c r="J8" s="721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11"/>
      <c r="W8" s="649">
        <v>45980</v>
      </c>
      <c r="X8" s="70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21"/>
      <c r="J9" s="721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11"/>
      <c r="W9" s="573"/>
      <c r="X9" s="70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21"/>
      <c r="J10" s="721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11"/>
      <c r="W10" s="573"/>
      <c r="X10" s="708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22"/>
      <c r="J11" s="722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12"/>
      <c r="W11" s="574"/>
      <c r="X11" s="709"/>
      <c r="Y11" s="605" t="s">
        <v>247</v>
      </c>
      <c r="Z11" s="606" t="s">
        <v>248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26">
        <f>SUM(G13:G19)</f>
        <v>490000</v>
      </c>
      <c r="J13" s="726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13">
        <f>J13-SUM(U13:U19)</f>
        <v>0</v>
      </c>
      <c r="W13" s="537">
        <f>'Project Plan'!I22+60</f>
        <v>45866</v>
      </c>
      <c r="X13" s="729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27"/>
      <c r="J14" s="727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14"/>
      <c r="W14" s="577"/>
      <c r="X14" s="730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27"/>
      <c r="J15" s="727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14"/>
      <c r="W15" s="577"/>
      <c r="X15" s="730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27"/>
      <c r="J16" s="727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14"/>
      <c r="W16" s="577"/>
      <c r="X16" s="730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27"/>
      <c r="J17" s="727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14"/>
      <c r="W17" s="577"/>
      <c r="X17" s="730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27"/>
      <c r="J18" s="727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14"/>
      <c r="W18" s="577"/>
      <c r="X18" s="730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28"/>
      <c r="J19" s="728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15"/>
      <c r="W19" s="578"/>
      <c r="X19" s="731"/>
      <c r="Y19" s="607" t="s">
        <v>262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20">
        <f>SUM(G21:G26)</f>
        <v>376992</v>
      </c>
      <c r="J21" s="720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10">
        <f>J21-SUM(U21:U26)</f>
        <v>-3.4675512579269707E-3</v>
      </c>
      <c r="W21" s="539">
        <v>45835</v>
      </c>
      <c r="X21" s="707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21"/>
      <c r="J22" s="721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11"/>
      <c r="W22" s="535">
        <f>T22</f>
        <v>45808</v>
      </c>
      <c r="X22" s="708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21"/>
      <c r="J23" s="721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11"/>
      <c r="W23" s="572"/>
      <c r="X23" s="708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21"/>
      <c r="J24" s="721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11"/>
      <c r="W24" s="536">
        <v>45835</v>
      </c>
      <c r="X24" s="708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21"/>
      <c r="J25" s="721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11"/>
      <c r="W25" s="573"/>
      <c r="X25" s="708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22"/>
      <c r="J26" s="722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12"/>
      <c r="W26" s="574"/>
      <c r="X26" s="709"/>
      <c r="Y26" s="613" t="s">
        <v>276</v>
      </c>
      <c r="Z26" s="614" t="s">
        <v>277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26">
        <f>SUM(G28:G43)</f>
        <v>671877.8</v>
      </c>
      <c r="J28" s="726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13">
        <f>J28-SUM(U28:U43)</f>
        <v>-2.4829556932672858E-3</v>
      </c>
      <c r="W28" s="675">
        <v>45867</v>
      </c>
      <c r="X28" s="729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27"/>
      <c r="J29" s="727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14"/>
      <c r="W29" s="577"/>
      <c r="X29" s="730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27"/>
      <c r="J30" s="727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14"/>
      <c r="W30" s="577"/>
      <c r="X30" s="730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27"/>
      <c r="J31" s="727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14"/>
      <c r="W31" s="577"/>
      <c r="X31" s="730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27"/>
      <c r="J32" s="727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32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14"/>
      <c r="W32" s="538">
        <f>W93</f>
        <v>45792</v>
      </c>
      <c r="X32" s="730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27"/>
      <c r="J33" s="727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33"/>
      <c r="S33" s="630" t="s">
        <v>284</v>
      </c>
      <c r="T33" s="652">
        <f t="shared" si="0"/>
        <v>45808</v>
      </c>
      <c r="U33" s="661">
        <v>63943.62785614594</v>
      </c>
      <c r="V33" s="714"/>
      <c r="W33" s="538">
        <f t="shared" ref="W33:W35" si="4">W94</f>
        <v>45806</v>
      </c>
      <c r="X33" s="730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27"/>
      <c r="J34" s="727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33"/>
      <c r="S34" s="630" t="s">
        <v>286</v>
      </c>
      <c r="T34" s="652">
        <v>45869</v>
      </c>
      <c r="U34" s="661">
        <v>85258.16995927284</v>
      </c>
      <c r="V34" s="714"/>
      <c r="W34" s="538">
        <v>45899</v>
      </c>
      <c r="X34" s="730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27"/>
      <c r="J35" s="727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33"/>
      <c r="S35" s="630" t="str">
        <f>S96</f>
        <v>Thula Moya IN04776</v>
      </c>
      <c r="T35" s="652">
        <v>45869</v>
      </c>
      <c r="U35" s="661">
        <v>53286.360640957908</v>
      </c>
      <c r="V35" s="714"/>
      <c r="W35" s="538">
        <f t="shared" si="4"/>
        <v>45849</v>
      </c>
      <c r="X35" s="730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27"/>
      <c r="J36" s="727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33"/>
      <c r="S36" s="630" t="s">
        <v>288</v>
      </c>
      <c r="T36" s="652">
        <v>45900</v>
      </c>
      <c r="U36" s="661">
        <v>53286.356224545518</v>
      </c>
      <c r="V36" s="714"/>
      <c r="W36" s="687">
        <f>W97</f>
        <v>45932</v>
      </c>
      <c r="X36" s="730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27"/>
      <c r="J37" s="727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33"/>
      <c r="S37" s="630" t="s">
        <v>289</v>
      </c>
      <c r="T37" s="652">
        <v>45900</v>
      </c>
      <c r="U37" s="661">
        <v>42629.08497963642</v>
      </c>
      <c r="V37" s="714"/>
      <c r="W37" s="687">
        <f>W98</f>
        <v>45946</v>
      </c>
      <c r="X37" s="730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27"/>
      <c r="J38" s="727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33"/>
      <c r="S38" s="630" t="s">
        <v>291</v>
      </c>
      <c r="T38" s="652">
        <v>45900</v>
      </c>
      <c r="U38" s="661">
        <v>42629.08497963642</v>
      </c>
      <c r="V38" s="714"/>
      <c r="W38" s="538">
        <f>W99</f>
        <v>46003</v>
      </c>
      <c r="X38" s="730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27"/>
      <c r="J39" s="727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33"/>
      <c r="S39" s="630" t="s">
        <v>293</v>
      </c>
      <c r="T39" s="652">
        <v>45900</v>
      </c>
      <c r="U39" s="661">
        <v>21314.54248981821</v>
      </c>
      <c r="V39" s="714"/>
      <c r="W39" s="577">
        <v>46079</v>
      </c>
      <c r="X39" s="730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27"/>
      <c r="J40" s="727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34"/>
      <c r="S40" s="630" t="s">
        <v>295</v>
      </c>
      <c r="T40" s="652">
        <v>45900</v>
      </c>
      <c r="U40" s="661">
        <v>21314.54248981821</v>
      </c>
      <c r="V40" s="714"/>
      <c r="W40" s="577">
        <v>46079</v>
      </c>
      <c r="X40" s="730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27"/>
      <c r="J41" s="727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14"/>
      <c r="W41" s="577"/>
      <c r="X41" s="730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27"/>
      <c r="J42" s="727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14"/>
      <c r="W42" s="577"/>
      <c r="X42" s="730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28"/>
      <c r="J43" s="728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15"/>
      <c r="W43" s="578"/>
      <c r="X43" s="731"/>
      <c r="Y43" s="482"/>
    </row>
    <row r="44" spans="1:26" ht="13.9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20">
        <f>SUM(G45:G54)</f>
        <v>49000</v>
      </c>
      <c r="J45" s="720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10">
        <f>J45-SUM(U45:U54)</f>
        <v>1.8587324157124385E-3</v>
      </c>
      <c r="W45" s="539">
        <v>45855</v>
      </c>
      <c r="X45" s="707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21"/>
      <c r="J46" s="721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11"/>
      <c r="W46" s="535">
        <v>45806</v>
      </c>
      <c r="X46" s="708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21"/>
      <c r="J47" s="721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11"/>
      <c r="W47" s="674">
        <v>45867</v>
      </c>
      <c r="X47" s="708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21"/>
      <c r="J48" s="721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11"/>
      <c r="W48" s="535">
        <v>45838</v>
      </c>
      <c r="X48" s="708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21"/>
      <c r="J49" s="721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11"/>
      <c r="W49" s="649">
        <v>45930</v>
      </c>
      <c r="X49" s="708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21"/>
      <c r="J50" s="721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11"/>
      <c r="W50" s="535">
        <v>45799</v>
      </c>
      <c r="X50" s="708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21"/>
      <c r="J51" s="721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11"/>
      <c r="W51" s="536">
        <v>45835</v>
      </c>
      <c r="X51" s="708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21"/>
      <c r="J52" s="721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11"/>
      <c r="W52" s="536">
        <v>45991</v>
      </c>
      <c r="X52" s="708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21"/>
      <c r="J53" s="721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11"/>
      <c r="W53" s="676">
        <v>45867</v>
      </c>
      <c r="X53" s="708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22"/>
      <c r="J54" s="722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12"/>
      <c r="W54" s="677">
        <v>45867</v>
      </c>
      <c r="X54" s="709"/>
      <c r="Y54" s="482"/>
    </row>
    <row r="55" spans="1:25" ht="14.2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26">
        <f>SUM(G56:G72)</f>
        <v>1125717.3173913043</v>
      </c>
      <c r="J56" s="726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13">
        <f>J56-SUM(U56:U72)</f>
        <v>4.8541049472987652E-3</v>
      </c>
      <c r="W56" s="576"/>
      <c r="X56" s="729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27"/>
      <c r="J57" s="727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14"/>
      <c r="W57" s="678">
        <v>45867</v>
      </c>
      <c r="X57" s="730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27"/>
      <c r="J58" s="727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14"/>
      <c r="W58" s="687">
        <v>46003</v>
      </c>
      <c r="X58" s="730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27"/>
      <c r="J59" s="727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333</v>
      </c>
      <c r="T59" s="652">
        <v>46081</v>
      </c>
      <c r="U59" s="507"/>
      <c r="V59" s="714"/>
      <c r="W59" s="687">
        <f>T59</f>
        <v>46081</v>
      </c>
      <c r="X59" s="730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27"/>
      <c r="J60" s="727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14"/>
      <c r="W60" s="577"/>
      <c r="X60" s="730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27"/>
      <c r="J61" s="727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32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14"/>
      <c r="W61" s="538">
        <f>W93</f>
        <v>45792</v>
      </c>
      <c r="X61" s="730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27"/>
      <c r="J62" s="727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33"/>
      <c r="S62" s="630" t="s">
        <v>284</v>
      </c>
      <c r="T62" s="652">
        <f t="shared" si="0"/>
        <v>45808</v>
      </c>
      <c r="U62" s="661">
        <v>89347.152205268489</v>
      </c>
      <c r="V62" s="714"/>
      <c r="W62" s="538">
        <f t="shared" ref="W62:W64" si="7">W94</f>
        <v>45806</v>
      </c>
      <c r="X62" s="730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27"/>
      <c r="J63" s="727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33"/>
      <c r="S63" s="630" t="s">
        <v>286</v>
      </c>
      <c r="T63" s="652">
        <v>45869</v>
      </c>
      <c r="U63" s="661">
        <v>117582.31641236432</v>
      </c>
      <c r="V63" s="714"/>
      <c r="W63" s="538">
        <v>45899</v>
      </c>
      <c r="X63" s="730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27"/>
      <c r="J64" s="727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33"/>
      <c r="S64" s="630" t="str">
        <f>S96</f>
        <v>Thula Moya IN04776</v>
      </c>
      <c r="T64" s="652">
        <v>45869</v>
      </c>
      <c r="U64" s="661">
        <v>73488.943530009346</v>
      </c>
      <c r="V64" s="714"/>
      <c r="W64" s="538">
        <f t="shared" si="7"/>
        <v>45849</v>
      </c>
      <c r="X64" s="730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27"/>
      <c r="J65" s="727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33"/>
      <c r="S65" s="630" t="s">
        <v>288</v>
      </c>
      <c r="T65" s="652">
        <v>45900</v>
      </c>
      <c r="U65" s="661">
        <v>73488.947757727699</v>
      </c>
      <c r="V65" s="714"/>
      <c r="W65" s="687">
        <f>W97</f>
        <v>45932</v>
      </c>
      <c r="X65" s="730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27"/>
      <c r="J66" s="727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33"/>
      <c r="S66" s="630" t="s">
        <v>289</v>
      </c>
      <c r="T66" s="652">
        <v>45900</v>
      </c>
      <c r="U66" s="661">
        <v>58791.158206182161</v>
      </c>
      <c r="V66" s="714"/>
      <c r="W66" s="687">
        <f>W98</f>
        <v>45946</v>
      </c>
      <c r="X66" s="730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27"/>
      <c r="J67" s="727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33"/>
      <c r="S67" s="634" t="s">
        <v>291</v>
      </c>
      <c r="T67" s="652">
        <v>45900</v>
      </c>
      <c r="U67" s="682">
        <v>58791.158206182161</v>
      </c>
      <c r="V67" s="714"/>
      <c r="W67" s="538">
        <f>W99</f>
        <v>46003</v>
      </c>
      <c r="X67" s="730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27"/>
      <c r="J68" s="727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33"/>
      <c r="S68" s="634" t="s">
        <v>293</v>
      </c>
      <c r="T68" s="652">
        <v>45900</v>
      </c>
      <c r="U68" s="682">
        <v>29395.57910309108</v>
      </c>
      <c r="V68" s="714"/>
      <c r="W68" s="577">
        <v>46079</v>
      </c>
      <c r="X68" s="730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27"/>
      <c r="J69" s="727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34"/>
      <c r="S69" s="634" t="s">
        <v>295</v>
      </c>
      <c r="T69" s="652">
        <v>45900</v>
      </c>
      <c r="U69" s="682">
        <v>29395.57910309108</v>
      </c>
      <c r="V69" s="714"/>
      <c r="W69" s="577">
        <v>46079</v>
      </c>
      <c r="X69" s="730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27"/>
      <c r="J70" s="727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14"/>
      <c r="W70" s="580"/>
      <c r="X70" s="730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27"/>
      <c r="J71" s="727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14"/>
      <c r="W71" s="580"/>
      <c r="X71" s="730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28"/>
      <c r="J72" s="728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15"/>
      <c r="W72" s="578"/>
      <c r="X72" s="731"/>
      <c r="Y72" s="482"/>
    </row>
    <row r="73" spans="1:25" ht="13.9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20">
        <f>SUM(G74:G81)</f>
        <v>0</v>
      </c>
      <c r="J74" s="720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35">
        <f>J74-SUM(U74:U81)</f>
        <v>0</v>
      </c>
      <c r="W74" s="582"/>
      <c r="X74" s="707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21"/>
      <c r="J75" s="721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36"/>
      <c r="W75" s="573"/>
      <c r="X75" s="708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21"/>
      <c r="J76" s="721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36"/>
      <c r="W76" s="573"/>
      <c r="X76" s="708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21"/>
      <c r="J77" s="721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36"/>
      <c r="W77" s="536"/>
      <c r="X77" s="708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21"/>
      <c r="J78" s="721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36"/>
      <c r="W78" s="573"/>
      <c r="X78" s="708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21"/>
      <c r="J79" s="721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36"/>
      <c r="W79" s="573"/>
      <c r="X79" s="708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21"/>
      <c r="J80" s="721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36"/>
      <c r="W80" s="573"/>
      <c r="X80" s="708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22"/>
      <c r="J81" s="722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37"/>
      <c r="W81" s="574"/>
      <c r="X81" s="709"/>
      <c r="Y81" s="482"/>
    </row>
    <row r="82" spans="1:25" ht="13.9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26">
        <f>D177</f>
        <v>200000</v>
      </c>
      <c r="J83" s="726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53">
        <f>J83-SUM(U83:U90)</f>
        <v>-8337.5</v>
      </c>
      <c r="W83" s="690">
        <v>45946</v>
      </c>
      <c r="X83" s="729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27"/>
      <c r="J84" s="727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54"/>
      <c r="W84" s="577"/>
      <c r="X84" s="730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27"/>
      <c r="J85" s="727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54"/>
      <c r="W85" s="538">
        <v>45869</v>
      </c>
      <c r="X85" s="730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27"/>
      <c r="J86" s="727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54"/>
      <c r="W86" s="538">
        <v>45876</v>
      </c>
      <c r="X86" s="730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27"/>
      <c r="J87" s="727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54"/>
      <c r="W87" s="577"/>
      <c r="X87" s="730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27"/>
      <c r="J88" s="727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54"/>
      <c r="W88" s="538">
        <v>45925</v>
      </c>
      <c r="X88" s="730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27"/>
      <c r="J89" s="727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54"/>
      <c r="W89" s="698">
        <f>T89</f>
        <v>45961</v>
      </c>
      <c r="X89" s="730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28"/>
      <c r="J90" s="728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55"/>
      <c r="W90" s="702">
        <v>45989</v>
      </c>
      <c r="X90" s="731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44">
        <f>SUM(G92:G104)</f>
        <v>677600</v>
      </c>
      <c r="J92" s="720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10">
        <f>J92-SUM(U92:U104)</f>
        <v>-8.6441251914948225E-4</v>
      </c>
      <c r="W92" s="579"/>
      <c r="X92" s="747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45"/>
      <c r="J93" s="721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58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11"/>
      <c r="W93" s="535">
        <v>45792</v>
      </c>
      <c r="X93" s="748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45"/>
      <c r="J94" s="721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59"/>
      <c r="S94" s="625" t="s">
        <v>284</v>
      </c>
      <c r="T94" s="654">
        <f t="shared" si="9"/>
        <v>45808</v>
      </c>
      <c r="U94" s="665">
        <v>119576.47058823529</v>
      </c>
      <c r="V94" s="711"/>
      <c r="W94" s="536">
        <v>45806</v>
      </c>
      <c r="X94" s="748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45"/>
      <c r="J95" s="721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59"/>
      <c r="S95" s="626" t="s">
        <v>286</v>
      </c>
      <c r="T95" s="654">
        <v>45869</v>
      </c>
      <c r="U95" s="665">
        <v>159435.29342611699</v>
      </c>
      <c r="V95" s="711"/>
      <c r="W95" s="536">
        <v>45899</v>
      </c>
      <c r="X95" s="748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45"/>
      <c r="J96" s="721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59"/>
      <c r="S96" s="626" t="s">
        <v>362</v>
      </c>
      <c r="T96" s="672">
        <v>45869</v>
      </c>
      <c r="U96" s="665">
        <v>99647.061848973433</v>
      </c>
      <c r="V96" s="711"/>
      <c r="W96" s="536">
        <v>45849</v>
      </c>
      <c r="X96" s="748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45"/>
      <c r="J97" s="721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59"/>
      <c r="S97" s="626" t="s">
        <v>288</v>
      </c>
      <c r="T97" s="654">
        <v>45900</v>
      </c>
      <c r="U97" s="665">
        <v>99647.058391323124</v>
      </c>
      <c r="V97" s="711"/>
      <c r="W97" s="686">
        <v>45932</v>
      </c>
      <c r="X97" s="748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45"/>
      <c r="J98" s="721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59"/>
      <c r="S98" s="626" t="s">
        <v>289</v>
      </c>
      <c r="T98" s="654">
        <v>45900</v>
      </c>
      <c r="U98" s="665">
        <v>79717.646713058493</v>
      </c>
      <c r="V98" s="711"/>
      <c r="W98" s="686">
        <v>45946</v>
      </c>
      <c r="X98" s="748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45"/>
      <c r="J99" s="721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59"/>
      <c r="S99" s="626" t="s">
        <v>363</v>
      </c>
      <c r="T99" s="654">
        <v>45961</v>
      </c>
      <c r="U99" s="701">
        <v>79717.646713058493</v>
      </c>
      <c r="V99" s="711"/>
      <c r="W99" s="536">
        <v>46003</v>
      </c>
      <c r="X99" s="748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45"/>
      <c r="J100" s="721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59"/>
      <c r="S100" s="626" t="s">
        <v>364</v>
      </c>
      <c r="T100" s="654">
        <v>45961</v>
      </c>
      <c r="U100" s="701">
        <v>39858.823356529247</v>
      </c>
      <c r="V100" s="711"/>
      <c r="W100" s="573">
        <v>46079</v>
      </c>
      <c r="X100" s="748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45"/>
      <c r="J101" s="721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60"/>
      <c r="S101" s="626" t="s">
        <v>365</v>
      </c>
      <c r="T101" s="654">
        <v>45961</v>
      </c>
      <c r="U101" s="701">
        <v>39858.823356529247</v>
      </c>
      <c r="V101" s="711"/>
      <c r="W101" s="573">
        <v>46079</v>
      </c>
      <c r="X101" s="748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45"/>
      <c r="J102" s="721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11"/>
      <c r="W102" s="573"/>
      <c r="X102" s="748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45"/>
      <c r="J103" s="721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11"/>
      <c r="W103" s="573"/>
      <c r="X103" s="748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46"/>
      <c r="J104" s="722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12"/>
      <c r="W104" s="574"/>
      <c r="X104" s="749"/>
      <c r="Y104" s="482"/>
    </row>
    <row r="105" spans="1:25" ht="13.9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38">
        <f>SUM(G106:G126)</f>
        <v>169956.4</v>
      </c>
      <c r="J106" s="738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50">
        <f>J106-SUM(U106:U126)</f>
        <v>-4.9512286204844713E-3</v>
      </c>
      <c r="W106" s="583"/>
      <c r="X106" s="741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39"/>
      <c r="J107" s="739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51"/>
      <c r="W107" s="583"/>
      <c r="X107" s="742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39"/>
      <c r="J108" s="739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51"/>
      <c r="W108" s="541">
        <v>45901</v>
      </c>
      <c r="X108" s="742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39"/>
      <c r="J109" s="739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51"/>
      <c r="W109" s="583"/>
      <c r="X109" s="742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39"/>
      <c r="J110" s="739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51"/>
      <c r="W110" s="583"/>
      <c r="X110" s="742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39"/>
      <c r="J111" s="739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51"/>
      <c r="W111" s="584"/>
      <c r="X111" s="742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39"/>
      <c r="J112" s="739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51"/>
      <c r="W112" s="584"/>
      <c r="X112" s="742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39"/>
      <c r="J113" s="739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51"/>
      <c r="W113" s="584"/>
      <c r="X113" s="742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39"/>
      <c r="J114" s="739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61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51"/>
      <c r="W114" s="542">
        <f t="shared" ref="W114:W120" si="14">W93</f>
        <v>45792</v>
      </c>
      <c r="X114" s="742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39"/>
      <c r="J115" s="739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62"/>
      <c r="S115" s="639" t="s">
        <v>284</v>
      </c>
      <c r="T115" s="653">
        <f t="shared" si="9"/>
        <v>45808</v>
      </c>
      <c r="U115" s="666">
        <v>20991.404869592759</v>
      </c>
      <c r="V115" s="751"/>
      <c r="W115" s="542">
        <f t="shared" si="14"/>
        <v>45806</v>
      </c>
      <c r="X115" s="74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39"/>
      <c r="J116" s="739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62"/>
      <c r="S116" s="639" t="s">
        <v>286</v>
      </c>
      <c r="T116" s="653">
        <f>T95</f>
        <v>45869</v>
      </c>
      <c r="U116" s="666">
        <v>27988.525200766198</v>
      </c>
      <c r="V116" s="751"/>
      <c r="W116" s="542">
        <f t="shared" si="14"/>
        <v>45899</v>
      </c>
      <c r="X116" s="74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39"/>
      <c r="J117" s="739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62"/>
      <c r="S117" s="639" t="s">
        <v>362</v>
      </c>
      <c r="T117" s="653">
        <v>45869</v>
      </c>
      <c r="U117" s="666">
        <v>17492.827003452774</v>
      </c>
      <c r="V117" s="751"/>
      <c r="W117" s="542">
        <f t="shared" si="14"/>
        <v>45849</v>
      </c>
      <c r="X117" s="742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39"/>
      <c r="J118" s="739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62"/>
      <c r="S118" s="639" t="s">
        <v>288</v>
      </c>
      <c r="T118" s="653">
        <v>45900</v>
      </c>
      <c r="U118" s="666">
        <v>22066.722808059832</v>
      </c>
      <c r="V118" s="751"/>
      <c r="W118" s="685">
        <f t="shared" si="14"/>
        <v>45932</v>
      </c>
      <c r="X118" s="74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39"/>
      <c r="J119" s="739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62"/>
      <c r="S119" s="639" t="s">
        <v>289</v>
      </c>
      <c r="T119" s="653">
        <v>45900</v>
      </c>
      <c r="U119" s="666">
        <v>17207.311742708505</v>
      </c>
      <c r="V119" s="751"/>
      <c r="W119" s="685">
        <f t="shared" si="14"/>
        <v>45946</v>
      </c>
      <c r="X119" s="74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39"/>
      <c r="J120" s="739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62"/>
      <c r="S120" s="639" t="s">
        <v>291</v>
      </c>
      <c r="T120" s="653">
        <v>45900</v>
      </c>
      <c r="U120" s="666">
        <v>17207.311742708505</v>
      </c>
      <c r="V120" s="751"/>
      <c r="W120" s="542">
        <f t="shared" si="14"/>
        <v>46003</v>
      </c>
      <c r="X120" s="742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39"/>
      <c r="J121" s="739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62"/>
      <c r="S121" s="639" t="s">
        <v>291</v>
      </c>
      <c r="T121" s="653">
        <v>45900</v>
      </c>
      <c r="U121" s="666">
        <v>6.1953851446066112E-2</v>
      </c>
      <c r="V121" s="751"/>
      <c r="W121" s="542">
        <v>46003</v>
      </c>
      <c r="X121" s="74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39"/>
      <c r="J122" s="739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62"/>
      <c r="S122" s="639" t="s">
        <v>293</v>
      </c>
      <c r="T122" s="653">
        <v>45900</v>
      </c>
      <c r="U122" s="666">
        <v>8603.6558713542527</v>
      </c>
      <c r="V122" s="751"/>
      <c r="W122" s="585">
        <v>46079</v>
      </c>
      <c r="X122" s="742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39"/>
      <c r="J123" s="739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63"/>
      <c r="S123" s="639" t="s">
        <v>295</v>
      </c>
      <c r="T123" s="653">
        <v>45900</v>
      </c>
      <c r="U123" s="666">
        <v>8603.6558713542527</v>
      </c>
      <c r="V123" s="751"/>
      <c r="W123" s="585">
        <v>46079</v>
      </c>
      <c r="X123" s="742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39"/>
      <c r="J124" s="739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51"/>
      <c r="W124" s="585"/>
      <c r="X124" s="742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39"/>
      <c r="J125" s="739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51"/>
      <c r="W125" s="585"/>
      <c r="X125" s="742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40"/>
      <c r="J126" s="740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52"/>
      <c r="W126" s="586"/>
      <c r="X126" s="743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20">
        <f>SUM(G128:G132)</f>
        <v>142832</v>
      </c>
      <c r="J128" s="720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10">
        <f>J128-SUM(U128:U132)</f>
        <v>5.3319105063565075E-4</v>
      </c>
      <c r="W128" s="539">
        <v>46051</v>
      </c>
      <c r="X128" s="707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21"/>
      <c r="J129" s="721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11"/>
      <c r="W129" s="649">
        <v>45757</v>
      </c>
      <c r="X129" s="708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21"/>
      <c r="J130" s="721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11"/>
      <c r="W130" s="535">
        <v>45900</v>
      </c>
      <c r="X130" s="708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21"/>
      <c r="J131" s="721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11"/>
      <c r="W131" s="573"/>
      <c r="X131" s="708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22"/>
      <c r="J132" s="722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12"/>
      <c r="W132" s="574"/>
      <c r="X132" s="709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38">
        <f>SUM(G134:G135)</f>
        <v>125468.22824797947</v>
      </c>
      <c r="J134" s="738">
        <v>0</v>
      </c>
      <c r="K134" s="756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41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40"/>
      <c r="J135" s="740"/>
      <c r="K135" s="757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43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20">
        <f>SUM(G137:G141)</f>
        <v>281420.92025310558</v>
      </c>
      <c r="J137" s="720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10">
        <f>J137-SUM(U137:U142)</f>
        <v>0</v>
      </c>
      <c r="W137" s="539">
        <v>45900</v>
      </c>
      <c r="X137" s="707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21"/>
      <c r="J138" s="721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11"/>
      <c r="W138" s="572"/>
      <c r="X138" s="708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21"/>
      <c r="J139" s="721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11"/>
      <c r="W139" s="572"/>
      <c r="X139" s="708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21"/>
      <c r="J140" s="721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11"/>
      <c r="W140" s="572"/>
      <c r="X140" s="708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21"/>
      <c r="J141" s="721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11"/>
      <c r="W141" s="572"/>
      <c r="X141" s="708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22"/>
      <c r="J142" s="722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12"/>
      <c r="W142" s="574"/>
      <c r="X142" s="709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38">
        <f>SUM(G144:G155)</f>
        <v>14525</v>
      </c>
      <c r="J144" s="738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50">
        <f>J144-SUM(U144:U155)</f>
        <v>-7.752064302621875E-4</v>
      </c>
      <c r="W144" s="647">
        <v>45777</v>
      </c>
      <c r="X144" s="741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39"/>
      <c r="J145" s="739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51"/>
      <c r="W145" s="542">
        <v>45817</v>
      </c>
      <c r="X145" s="74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39"/>
      <c r="J146" s="739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51"/>
      <c r="W146" s="542">
        <v>45842</v>
      </c>
      <c r="X146" s="74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39"/>
      <c r="J147" s="739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51"/>
      <c r="W147" s="542">
        <v>45868</v>
      </c>
      <c r="X147" s="74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39"/>
      <c r="J148" s="739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51"/>
      <c r="W148" s="542">
        <v>45899</v>
      </c>
      <c r="X148" s="74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39"/>
      <c r="J149" s="739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51"/>
      <c r="W149" s="685">
        <v>45930</v>
      </c>
      <c r="X149" s="74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39"/>
      <c r="J150" s="739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51"/>
      <c r="W150" s="685">
        <v>45960</v>
      </c>
      <c r="X150" s="74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39"/>
      <c r="J151" s="739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51"/>
      <c r="W151" s="685">
        <v>45996</v>
      </c>
      <c r="X151" s="742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39"/>
      <c r="J152" s="739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51"/>
      <c r="W152" s="685">
        <v>46030</v>
      </c>
      <c r="X152" s="742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39"/>
      <c r="J153" s="739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684">
        <v>46053</v>
      </c>
      <c r="U153" s="516">
        <f>(Q153/$X$144*$J$144)</f>
        <v>0</v>
      </c>
      <c r="V153" s="751"/>
      <c r="W153" s="685">
        <v>46052</v>
      </c>
      <c r="X153" s="742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39"/>
      <c r="J154" s="739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ref="T154" si="17">IF(W154&gt;1,EOMONTH(W154,0),"")</f>
        <v/>
      </c>
      <c r="U154" s="516">
        <f>(Q154/$X$144*$J$144)</f>
        <v>0</v>
      </c>
      <c r="V154" s="751"/>
      <c r="W154" s="585"/>
      <c r="X154" s="742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40"/>
      <c r="J155" s="740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52"/>
      <c r="W155" s="586"/>
      <c r="X155" s="743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20">
        <f>SUM(G157:G168)</f>
        <v>1500000</v>
      </c>
      <c r="J157" s="720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10">
        <f>J157-SUM(U157:U168)</f>
        <v>0</v>
      </c>
      <c r="W157" s="539">
        <v>45849</v>
      </c>
      <c r="X157" s="707">
        <f>SUM(Q157:Q168)</f>
        <v>1225472.56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21"/>
      <c r="J158" s="721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11"/>
      <c r="W158" s="535">
        <v>45960</v>
      </c>
      <c r="X158" s="708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21"/>
      <c r="J159" s="721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11"/>
      <c r="W159" s="572"/>
      <c r="X159" s="708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21"/>
      <c r="J160" s="721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11"/>
      <c r="W160" s="535">
        <v>45900</v>
      </c>
      <c r="X160" s="708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21"/>
      <c r="J161" s="721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11"/>
      <c r="W161" s="572"/>
      <c r="X161" s="708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21"/>
      <c r="J162" s="721"/>
      <c r="K162" s="287"/>
      <c r="L162" s="310">
        <v>15</v>
      </c>
      <c r="M162" s="389" t="s">
        <v>403</v>
      </c>
      <c r="N162" s="312" t="s">
        <v>407</v>
      </c>
      <c r="O162" s="550"/>
      <c r="P162" s="459"/>
      <c r="Q162" s="314">
        <v>3472.56</v>
      </c>
      <c r="R162" s="588"/>
      <c r="S162" s="625"/>
      <c r="T162" s="518">
        <v>46081</v>
      </c>
      <c r="U162" s="502"/>
      <c r="V162" s="711"/>
      <c r="W162" s="572">
        <v>46086</v>
      </c>
      <c r="X162" s="708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21"/>
      <c r="J163" s="721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11"/>
      <c r="W163" s="572"/>
      <c r="X163" s="708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21"/>
      <c r="J164" s="721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11"/>
      <c r="W164" s="572"/>
      <c r="X164" s="708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21"/>
      <c r="J165" s="721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11"/>
      <c r="W165" s="572"/>
      <c r="X165" s="708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21"/>
      <c r="J166" s="721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11"/>
      <c r="W166" s="572"/>
      <c r="X166" s="708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21"/>
      <c r="J167" s="721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11"/>
      <c r="W167" s="572"/>
      <c r="X167" s="708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22"/>
      <c r="J168" s="722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12"/>
      <c r="W168" s="574"/>
      <c r="X168" s="709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408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409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410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411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412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413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414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415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416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417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418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419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420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421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422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423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424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425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412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426</v>
      </c>
      <c r="D195" s="642"/>
      <c r="E195" s="544"/>
      <c r="F195" s="642"/>
      <c r="I195" s="255"/>
      <c r="J195" s="255"/>
    </row>
    <row r="196" spans="3:10" s="112" customFormat="1">
      <c r="C196" s="642" t="s">
        <v>427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428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429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407369.80000000005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430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7748363.7000000011</v>
      </c>
      <c r="BA4" s="197">
        <f t="shared" si="5"/>
        <v>7748363.7000000011</v>
      </c>
      <c r="BB4" s="197">
        <f t="shared" si="5"/>
        <v>7748363.7000000011</v>
      </c>
      <c r="BC4" s="197">
        <f t="shared" si="5"/>
        <v>7748363.7000000011</v>
      </c>
      <c r="BD4" s="197">
        <f t="shared" si="5"/>
        <v>7748363.7000000011</v>
      </c>
      <c r="BE4" s="197">
        <f t="shared" si="5"/>
        <v>7748363.7000000011</v>
      </c>
      <c r="BF4" s="197">
        <f t="shared" si="5"/>
        <v>7748363.7000000011</v>
      </c>
      <c r="BG4" s="197">
        <f t="shared" si="5"/>
        <v>7748363.7000000011</v>
      </c>
      <c r="BH4" s="197">
        <f t="shared" si="5"/>
        <v>7748363.7000000011</v>
      </c>
      <c r="BI4" s="197">
        <f t="shared" si="5"/>
        <v>7748363.7000000011</v>
      </c>
      <c r="BJ4" s="197">
        <f t="shared" si="5"/>
        <v>7748363.7000000011</v>
      </c>
      <c r="BK4" s="197">
        <f t="shared" si="5"/>
        <v>7748363.7000000011</v>
      </c>
      <c r="BL4" s="197">
        <f t="shared" si="5"/>
        <v>7748363.7000000011</v>
      </c>
      <c r="BM4" s="197">
        <f t="shared" si="5"/>
        <v>7748363.7000000011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138124.11410761252</v>
      </c>
      <c r="BA7" s="206">
        <f t="shared" si="16"/>
        <v>138124.11410761252</v>
      </c>
      <c r="BB7" s="206">
        <f t="shared" si="16"/>
        <v>138124.11410761252</v>
      </c>
      <c r="BC7" s="206">
        <f t="shared" si="16"/>
        <v>138124.11410761252</v>
      </c>
      <c r="BD7" s="206">
        <f t="shared" si="16"/>
        <v>138124.11410761252</v>
      </c>
      <c r="BE7" s="206">
        <f t="shared" si="16"/>
        <v>138124.11410761252</v>
      </c>
      <c r="BF7" s="206">
        <f t="shared" si="16"/>
        <v>138124.11410761252</v>
      </c>
      <c r="BG7" s="206">
        <f t="shared" si="16"/>
        <v>138124.11410761252</v>
      </c>
      <c r="BH7" s="206">
        <f t="shared" si="16"/>
        <v>138124.11410761252</v>
      </c>
      <c r="BI7" s="206">
        <f t="shared" si="16"/>
        <v>138124.11410761252</v>
      </c>
      <c r="BJ7" s="206">
        <f t="shared" si="16"/>
        <v>138124.11410761252</v>
      </c>
      <c r="BK7" s="206">
        <f t="shared" si="16"/>
        <v>138124.11410761252</v>
      </c>
      <c r="BL7" s="206">
        <f t="shared" si="16"/>
        <v>138124.11410761252</v>
      </c>
      <c r="BM7" s="206">
        <f t="shared" si="16"/>
        <v>138124.11410761252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433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435</v>
      </c>
      <c r="C11" s="212">
        <f>'Revenue Tracking'!F5</f>
        <v>6306512.9118749052</v>
      </c>
      <c r="D11" s="212">
        <f>SUM(F11:LD11)</f>
        <v>6306512.9118749043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176182.50000000009</v>
      </c>
      <c r="BL11" s="213">
        <f>SUMIFS('Expenditure Breakdown'!$Q$6:$Q$176, 'Expenditure Breakdown'!$W$6:$W$176, "&gt;="&amp;BL1,'Expenditure Breakdown'!$W$6:$W$176, "&lt;"&amp;BM1)</f>
        <v>3472.56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6126857.8518749047</v>
      </c>
      <c r="BK12" s="213">
        <f t="shared" si="26"/>
        <v>6303040.3518749047</v>
      </c>
      <c r="BL12" s="213">
        <f t="shared" si="26"/>
        <v>6306512.9118749043</v>
      </c>
      <c r="BM12" s="213">
        <f t="shared" si="26"/>
        <v>6306512.9118749043</v>
      </c>
      <c r="BN12" s="213">
        <f t="shared" si="26"/>
        <v>6306512.9118749043</v>
      </c>
      <c r="BO12" s="213">
        <f t="shared" si="26"/>
        <v>6306512.9118749043</v>
      </c>
      <c r="BP12" s="213">
        <f t="shared" si="26"/>
        <v>6306512.9118749043</v>
      </c>
      <c r="BQ12" s="213">
        <f t="shared" si="26"/>
        <v>6306512.9118749043</v>
      </c>
      <c r="BR12" s="213">
        <f t="shared" si="26"/>
        <v>6306512.9118749043</v>
      </c>
      <c r="BS12" s="213">
        <f t="shared" si="26"/>
        <v>6306512.9118749043</v>
      </c>
      <c r="BT12" s="213">
        <f t="shared" si="26"/>
        <v>6306512.9118749043</v>
      </c>
      <c r="BU12" s="213">
        <f t="shared" ref="BU12:EF12" si="27">BT12+BU11</f>
        <v>6306512.9118749043</v>
      </c>
      <c r="BV12" s="213">
        <f t="shared" si="27"/>
        <v>6306512.9118749043</v>
      </c>
      <c r="BW12" s="213">
        <f t="shared" si="27"/>
        <v>6306512.9118749043</v>
      </c>
      <c r="BX12" s="213">
        <f t="shared" si="27"/>
        <v>6306512.9118749043</v>
      </c>
      <c r="BY12" s="213">
        <f t="shared" si="27"/>
        <v>6306512.9118749043</v>
      </c>
      <c r="BZ12" s="213">
        <f t="shared" si="27"/>
        <v>6306512.9118749043</v>
      </c>
      <c r="CA12" s="213">
        <f t="shared" si="27"/>
        <v>6306512.9118749043</v>
      </c>
      <c r="CB12" s="213">
        <f t="shared" si="27"/>
        <v>6306512.9118749043</v>
      </c>
      <c r="CC12" s="213">
        <f t="shared" si="27"/>
        <v>6306512.9118749043</v>
      </c>
      <c r="CD12" s="213">
        <f t="shared" si="27"/>
        <v>6306512.9118749043</v>
      </c>
      <c r="CE12" s="213">
        <f t="shared" si="27"/>
        <v>6306512.9118749043</v>
      </c>
      <c r="CF12" s="213">
        <f t="shared" si="27"/>
        <v>6306512.9118749043</v>
      </c>
      <c r="CG12" s="213">
        <f t="shared" si="27"/>
        <v>6306512.9118749043</v>
      </c>
      <c r="CH12" s="213">
        <f t="shared" si="27"/>
        <v>6306512.9118749043</v>
      </c>
      <c r="CI12" s="213">
        <f t="shared" si="27"/>
        <v>6306512.9118749043</v>
      </c>
      <c r="CJ12" s="213">
        <f t="shared" si="27"/>
        <v>6306512.9118749043</v>
      </c>
      <c r="CK12" s="213">
        <f t="shared" si="27"/>
        <v>6306512.9118749043</v>
      </c>
      <c r="CL12" s="213">
        <f t="shared" si="27"/>
        <v>6306512.9118749043</v>
      </c>
      <c r="CM12" s="213">
        <f t="shared" si="27"/>
        <v>6306512.9118749043</v>
      </c>
      <c r="CN12" s="213">
        <f t="shared" si="27"/>
        <v>6306512.9118749043</v>
      </c>
      <c r="CO12" s="213">
        <f t="shared" si="27"/>
        <v>6306512.9118749043</v>
      </c>
      <c r="CP12" s="213">
        <f t="shared" si="27"/>
        <v>6306512.9118749043</v>
      </c>
      <c r="CQ12" s="213">
        <f t="shared" si="27"/>
        <v>6306512.9118749043</v>
      </c>
      <c r="CR12" s="213">
        <f t="shared" si="27"/>
        <v>6306512.9118749043</v>
      </c>
      <c r="CS12" s="213">
        <f t="shared" si="27"/>
        <v>6306512.9118749043</v>
      </c>
      <c r="CT12" s="213">
        <f t="shared" si="27"/>
        <v>6306512.9118749043</v>
      </c>
      <c r="CU12" s="213">
        <f t="shared" si="27"/>
        <v>6306512.9118749043</v>
      </c>
      <c r="CV12" s="213">
        <f t="shared" si="27"/>
        <v>6306512.9118749043</v>
      </c>
      <c r="CW12" s="213">
        <f t="shared" si="27"/>
        <v>6306512.9118749043</v>
      </c>
      <c r="CX12" s="213">
        <f t="shared" si="27"/>
        <v>6306512.9118749043</v>
      </c>
      <c r="CY12" s="213">
        <f t="shared" si="27"/>
        <v>6306512.9118749043</v>
      </c>
      <c r="CZ12" s="213">
        <f t="shared" si="27"/>
        <v>6306512.9118749043</v>
      </c>
      <c r="DA12" s="213">
        <f t="shared" si="27"/>
        <v>6306512.9118749043</v>
      </c>
      <c r="DB12" s="213">
        <f t="shared" si="27"/>
        <v>6306512.9118749043</v>
      </c>
      <c r="DC12" s="213">
        <f t="shared" si="27"/>
        <v>6306512.9118749043</v>
      </c>
      <c r="DD12" s="213">
        <f t="shared" si="27"/>
        <v>6306512.9118749043</v>
      </c>
      <c r="DE12" s="213">
        <f t="shared" si="27"/>
        <v>6306512.9118749043</v>
      </c>
      <c r="DF12" s="213">
        <f t="shared" si="27"/>
        <v>6306512.9118749043</v>
      </c>
      <c r="DG12" s="213">
        <f t="shared" si="27"/>
        <v>6306512.9118749043</v>
      </c>
      <c r="DH12" s="213">
        <f t="shared" si="27"/>
        <v>6306512.9118749043</v>
      </c>
      <c r="DI12" s="213">
        <f t="shared" si="27"/>
        <v>6306512.9118749043</v>
      </c>
      <c r="DJ12" s="213">
        <f t="shared" si="27"/>
        <v>6306512.9118749043</v>
      </c>
      <c r="DK12" s="213">
        <f t="shared" si="27"/>
        <v>6306512.9118749043</v>
      </c>
      <c r="DL12" s="213">
        <f t="shared" si="27"/>
        <v>6306512.9118749043</v>
      </c>
      <c r="DM12" s="213">
        <f t="shared" si="27"/>
        <v>6306512.9118749043</v>
      </c>
      <c r="DN12" s="213">
        <f t="shared" si="27"/>
        <v>6306512.9118749043</v>
      </c>
      <c r="DO12" s="213">
        <f t="shared" si="27"/>
        <v>6306512.9118749043</v>
      </c>
      <c r="DP12" s="213">
        <f t="shared" si="27"/>
        <v>6306512.9118749043</v>
      </c>
      <c r="DQ12" s="213">
        <f t="shared" si="27"/>
        <v>6306512.9118749043</v>
      </c>
      <c r="DR12" s="213">
        <f t="shared" si="27"/>
        <v>6306512.9118749043</v>
      </c>
      <c r="DS12" s="213">
        <f t="shared" si="27"/>
        <v>6306512.9118749043</v>
      </c>
      <c r="DT12" s="213">
        <f t="shared" si="27"/>
        <v>6306512.9118749043</v>
      </c>
      <c r="DU12" s="213">
        <f t="shared" si="27"/>
        <v>6306512.9118749043</v>
      </c>
      <c r="DV12" s="213">
        <f t="shared" si="27"/>
        <v>6306512.9118749043</v>
      </c>
      <c r="DW12" s="213">
        <f t="shared" si="27"/>
        <v>6306512.9118749043</v>
      </c>
      <c r="DX12" s="213">
        <f t="shared" si="27"/>
        <v>6306512.9118749043</v>
      </c>
      <c r="DY12" s="213">
        <f t="shared" si="27"/>
        <v>6306512.9118749043</v>
      </c>
      <c r="DZ12" s="213">
        <f t="shared" si="27"/>
        <v>6306512.9118749043</v>
      </c>
      <c r="EA12" s="213">
        <f t="shared" si="27"/>
        <v>6306512.9118749043</v>
      </c>
      <c r="EB12" s="213">
        <f t="shared" si="27"/>
        <v>6306512.9118749043</v>
      </c>
      <c r="EC12" s="213">
        <f t="shared" si="27"/>
        <v>6306512.9118749043</v>
      </c>
      <c r="ED12" s="213">
        <f t="shared" si="27"/>
        <v>6306512.9118749043</v>
      </c>
      <c r="EE12" s="213">
        <f t="shared" si="27"/>
        <v>6306512.9118749043</v>
      </c>
      <c r="EF12" s="213">
        <f t="shared" si="27"/>
        <v>6306512.9118749043</v>
      </c>
      <c r="EG12" s="213">
        <f t="shared" ref="EG12:GR12" si="28">EF12+EG11</f>
        <v>6306512.9118749043</v>
      </c>
      <c r="EH12" s="213">
        <f t="shared" si="28"/>
        <v>6306512.9118749043</v>
      </c>
      <c r="EI12" s="213">
        <f t="shared" si="28"/>
        <v>6306512.9118749043</v>
      </c>
      <c r="EJ12" s="213">
        <f t="shared" si="28"/>
        <v>6306512.9118749043</v>
      </c>
      <c r="EK12" s="213">
        <f t="shared" si="28"/>
        <v>6306512.9118749043</v>
      </c>
      <c r="EL12" s="213">
        <f t="shared" si="28"/>
        <v>6306512.9118749043</v>
      </c>
      <c r="EM12" s="213">
        <f t="shared" si="28"/>
        <v>6306512.9118749043</v>
      </c>
      <c r="EN12" s="213">
        <f t="shared" si="28"/>
        <v>6306512.9118749043</v>
      </c>
      <c r="EO12" s="213">
        <f t="shared" si="28"/>
        <v>6306512.9118749043</v>
      </c>
      <c r="EP12" s="213">
        <f t="shared" si="28"/>
        <v>6306512.9118749043</v>
      </c>
      <c r="EQ12" s="213">
        <f t="shared" si="28"/>
        <v>6306512.9118749043</v>
      </c>
      <c r="ER12" s="213">
        <f t="shared" si="28"/>
        <v>6306512.9118749043</v>
      </c>
      <c r="ES12" s="213">
        <f t="shared" si="28"/>
        <v>6306512.9118749043</v>
      </c>
      <c r="ET12" s="213">
        <f t="shared" si="28"/>
        <v>6306512.9118749043</v>
      </c>
      <c r="EU12" s="213">
        <f t="shared" si="28"/>
        <v>6306512.9118749043</v>
      </c>
      <c r="EV12" s="213">
        <f t="shared" si="28"/>
        <v>6306512.9118749043</v>
      </c>
      <c r="EW12" s="213">
        <f t="shared" si="28"/>
        <v>6306512.9118749043</v>
      </c>
      <c r="EX12" s="213">
        <f t="shared" si="28"/>
        <v>6306512.9118749043</v>
      </c>
      <c r="EY12" s="213">
        <f t="shared" si="28"/>
        <v>6306512.9118749043</v>
      </c>
      <c r="EZ12" s="213">
        <f t="shared" si="28"/>
        <v>6306512.9118749043</v>
      </c>
      <c r="FA12" s="213">
        <f t="shared" si="28"/>
        <v>6306512.9118749043</v>
      </c>
      <c r="FB12" s="213">
        <f t="shared" si="28"/>
        <v>6306512.9118749043</v>
      </c>
      <c r="FC12" s="213">
        <f t="shared" si="28"/>
        <v>6306512.9118749043</v>
      </c>
      <c r="FD12" s="213">
        <f t="shared" si="28"/>
        <v>6306512.9118749043</v>
      </c>
      <c r="FE12" s="213">
        <f t="shared" si="28"/>
        <v>6306512.9118749043</v>
      </c>
      <c r="FF12" s="213">
        <f t="shared" si="28"/>
        <v>6306512.9118749043</v>
      </c>
      <c r="FG12" s="213">
        <f t="shared" si="28"/>
        <v>6306512.9118749043</v>
      </c>
      <c r="FH12" s="213">
        <f t="shared" si="28"/>
        <v>6306512.9118749043</v>
      </c>
      <c r="FI12" s="213">
        <f t="shared" si="28"/>
        <v>6306512.9118749043</v>
      </c>
      <c r="FJ12" s="213">
        <f t="shared" si="28"/>
        <v>6306512.9118749043</v>
      </c>
      <c r="FK12" s="213">
        <f t="shared" si="28"/>
        <v>6306512.9118749043</v>
      </c>
      <c r="FL12" s="213">
        <f t="shared" si="28"/>
        <v>6306512.9118749043</v>
      </c>
      <c r="FM12" s="213">
        <f t="shared" si="28"/>
        <v>6306512.9118749043</v>
      </c>
      <c r="FN12" s="213">
        <f t="shared" si="28"/>
        <v>6306512.9118749043</v>
      </c>
      <c r="FO12" s="213">
        <f t="shared" si="28"/>
        <v>6306512.9118749043</v>
      </c>
      <c r="FP12" s="213">
        <f t="shared" si="28"/>
        <v>6306512.9118749043</v>
      </c>
      <c r="FQ12" s="213">
        <f t="shared" si="28"/>
        <v>6306512.9118749043</v>
      </c>
      <c r="FR12" s="213">
        <f t="shared" si="28"/>
        <v>6306512.9118749043</v>
      </c>
      <c r="FS12" s="213">
        <f t="shared" si="28"/>
        <v>6306512.9118749043</v>
      </c>
      <c r="FT12" s="213">
        <f t="shared" si="28"/>
        <v>6306512.9118749043</v>
      </c>
      <c r="FU12" s="213">
        <f t="shared" si="28"/>
        <v>6306512.9118749043</v>
      </c>
      <c r="FV12" s="213">
        <f t="shared" si="28"/>
        <v>6306512.9118749043</v>
      </c>
      <c r="FW12" s="213">
        <f t="shared" si="28"/>
        <v>6306512.9118749043</v>
      </c>
      <c r="FX12" s="213">
        <f t="shared" si="28"/>
        <v>6306512.9118749043</v>
      </c>
      <c r="FY12" s="213">
        <f t="shared" si="28"/>
        <v>6306512.9118749043</v>
      </c>
      <c r="FZ12" s="213">
        <f t="shared" si="28"/>
        <v>6306512.9118749043</v>
      </c>
      <c r="GA12" s="213">
        <f t="shared" si="28"/>
        <v>6306512.9118749043</v>
      </c>
      <c r="GB12" s="213">
        <f t="shared" si="28"/>
        <v>6306512.9118749043</v>
      </c>
      <c r="GC12" s="213">
        <f t="shared" si="28"/>
        <v>6306512.9118749043</v>
      </c>
      <c r="GD12" s="213">
        <f t="shared" si="28"/>
        <v>6306512.9118749043</v>
      </c>
      <c r="GE12" s="213">
        <f t="shared" si="28"/>
        <v>6306512.9118749043</v>
      </c>
      <c r="GF12" s="213">
        <f t="shared" si="28"/>
        <v>6306512.9118749043</v>
      </c>
      <c r="GG12" s="213">
        <f t="shared" si="28"/>
        <v>6306512.9118749043</v>
      </c>
      <c r="GH12" s="213">
        <f t="shared" si="28"/>
        <v>6306512.9118749043</v>
      </c>
      <c r="GI12" s="213">
        <f t="shared" si="28"/>
        <v>6306512.9118749043</v>
      </c>
      <c r="GJ12" s="213">
        <f t="shared" si="28"/>
        <v>6306512.9118749043</v>
      </c>
      <c r="GK12" s="213">
        <f t="shared" si="28"/>
        <v>6306512.9118749043</v>
      </c>
      <c r="GL12" s="213">
        <f t="shared" si="28"/>
        <v>6306512.9118749043</v>
      </c>
      <c r="GM12" s="213">
        <f t="shared" si="28"/>
        <v>6306512.9118749043</v>
      </c>
      <c r="GN12" s="213">
        <f t="shared" si="28"/>
        <v>6306512.9118749043</v>
      </c>
      <c r="GO12" s="213">
        <f t="shared" si="28"/>
        <v>6306512.9118749043</v>
      </c>
      <c r="GP12" s="213">
        <f t="shared" si="28"/>
        <v>6306512.9118749043</v>
      </c>
      <c r="GQ12" s="213">
        <f t="shared" si="28"/>
        <v>6306512.9118749043</v>
      </c>
      <c r="GR12" s="213">
        <f t="shared" si="28"/>
        <v>6306512.9118749043</v>
      </c>
      <c r="GS12" s="213">
        <f t="shared" ref="GS12:JD12" si="29">GR12+GS11</f>
        <v>6306512.9118749043</v>
      </c>
      <c r="GT12" s="213">
        <f t="shared" si="29"/>
        <v>6306512.9118749043</v>
      </c>
      <c r="GU12" s="213">
        <f t="shared" si="29"/>
        <v>6306512.9118749043</v>
      </c>
      <c r="GV12" s="213">
        <f t="shared" si="29"/>
        <v>6306512.9118749043</v>
      </c>
      <c r="GW12" s="213">
        <f t="shared" si="29"/>
        <v>6306512.9118749043</v>
      </c>
      <c r="GX12" s="213">
        <f t="shared" si="29"/>
        <v>6306512.9118749043</v>
      </c>
      <c r="GY12" s="213">
        <f t="shared" si="29"/>
        <v>6306512.9118749043</v>
      </c>
      <c r="GZ12" s="213">
        <f t="shared" si="29"/>
        <v>6306512.9118749043</v>
      </c>
      <c r="HA12" s="213">
        <f t="shared" si="29"/>
        <v>6306512.9118749043</v>
      </c>
      <c r="HB12" s="213">
        <f t="shared" si="29"/>
        <v>6306512.9118749043</v>
      </c>
      <c r="HC12" s="213">
        <f t="shared" si="29"/>
        <v>6306512.9118749043</v>
      </c>
      <c r="HD12" s="213">
        <f t="shared" si="29"/>
        <v>6306512.9118749043</v>
      </c>
      <c r="HE12" s="213">
        <f t="shared" si="29"/>
        <v>6306512.9118749043</v>
      </c>
      <c r="HF12" s="213">
        <f t="shared" si="29"/>
        <v>6306512.9118749043</v>
      </c>
      <c r="HG12" s="213">
        <f t="shared" si="29"/>
        <v>6306512.9118749043</v>
      </c>
      <c r="HH12" s="213">
        <f t="shared" si="29"/>
        <v>6306512.9118749043</v>
      </c>
      <c r="HI12" s="213">
        <f t="shared" si="29"/>
        <v>6306512.9118749043</v>
      </c>
      <c r="HJ12" s="213">
        <f t="shared" si="29"/>
        <v>6306512.9118749043</v>
      </c>
      <c r="HK12" s="213">
        <f t="shared" si="29"/>
        <v>6306512.9118749043</v>
      </c>
      <c r="HL12" s="213">
        <f t="shared" si="29"/>
        <v>6306512.9118749043</v>
      </c>
      <c r="HM12" s="213">
        <f t="shared" si="29"/>
        <v>6306512.9118749043</v>
      </c>
      <c r="HN12" s="213">
        <f t="shared" si="29"/>
        <v>6306512.9118749043</v>
      </c>
      <c r="HO12" s="213">
        <f t="shared" si="29"/>
        <v>6306512.9118749043</v>
      </c>
      <c r="HP12" s="213">
        <f t="shared" si="29"/>
        <v>6306512.9118749043</v>
      </c>
      <c r="HQ12" s="213">
        <f t="shared" si="29"/>
        <v>6306512.9118749043</v>
      </c>
      <c r="HR12" s="213">
        <f t="shared" si="29"/>
        <v>6306512.9118749043</v>
      </c>
      <c r="HS12" s="213">
        <f t="shared" si="29"/>
        <v>6306512.9118749043</v>
      </c>
      <c r="HT12" s="213">
        <f t="shared" si="29"/>
        <v>6306512.9118749043</v>
      </c>
      <c r="HU12" s="213">
        <f t="shared" si="29"/>
        <v>6306512.9118749043</v>
      </c>
      <c r="HV12" s="213">
        <f t="shared" si="29"/>
        <v>6306512.9118749043</v>
      </c>
      <c r="HW12" s="213">
        <f t="shared" si="29"/>
        <v>6306512.9118749043</v>
      </c>
      <c r="HX12" s="213">
        <f t="shared" si="29"/>
        <v>6306512.9118749043</v>
      </c>
      <c r="HY12" s="213">
        <f t="shared" si="29"/>
        <v>6306512.9118749043</v>
      </c>
      <c r="HZ12" s="213">
        <f t="shared" si="29"/>
        <v>6306512.9118749043</v>
      </c>
      <c r="IA12" s="213">
        <f t="shared" si="29"/>
        <v>6306512.9118749043</v>
      </c>
      <c r="IB12" s="213">
        <f t="shared" si="29"/>
        <v>6306512.9118749043</v>
      </c>
      <c r="IC12" s="213">
        <f t="shared" si="29"/>
        <v>6306512.9118749043</v>
      </c>
      <c r="ID12" s="213">
        <f t="shared" si="29"/>
        <v>6306512.9118749043</v>
      </c>
      <c r="IE12" s="213">
        <f t="shared" si="29"/>
        <v>6306512.9118749043</v>
      </c>
      <c r="IF12" s="213">
        <f t="shared" si="29"/>
        <v>6306512.9118749043</v>
      </c>
      <c r="IG12" s="213">
        <f t="shared" si="29"/>
        <v>6306512.9118749043</v>
      </c>
      <c r="IH12" s="213">
        <f t="shared" si="29"/>
        <v>6306512.9118749043</v>
      </c>
      <c r="II12" s="213">
        <f t="shared" si="29"/>
        <v>6306512.9118749043</v>
      </c>
      <c r="IJ12" s="213">
        <f t="shared" si="29"/>
        <v>6306512.9118749043</v>
      </c>
      <c r="IK12" s="213">
        <f t="shared" si="29"/>
        <v>6306512.9118749043</v>
      </c>
      <c r="IL12" s="213">
        <f t="shared" si="29"/>
        <v>6306512.9118749043</v>
      </c>
      <c r="IM12" s="213">
        <f t="shared" si="29"/>
        <v>6306512.9118749043</v>
      </c>
      <c r="IN12" s="213">
        <f t="shared" si="29"/>
        <v>6306512.9118749043</v>
      </c>
      <c r="IO12" s="213">
        <f t="shared" si="29"/>
        <v>6306512.9118749043</v>
      </c>
      <c r="IP12" s="213">
        <f t="shared" si="29"/>
        <v>6306512.9118749043</v>
      </c>
      <c r="IQ12" s="213">
        <f t="shared" si="29"/>
        <v>6306512.9118749043</v>
      </c>
      <c r="IR12" s="213">
        <f t="shared" si="29"/>
        <v>6306512.9118749043</v>
      </c>
      <c r="IS12" s="213">
        <f t="shared" si="29"/>
        <v>6306512.9118749043</v>
      </c>
      <c r="IT12" s="213">
        <f t="shared" si="29"/>
        <v>6306512.9118749043</v>
      </c>
      <c r="IU12" s="213">
        <f t="shared" si="29"/>
        <v>6306512.9118749043</v>
      </c>
      <c r="IV12" s="213">
        <f t="shared" si="29"/>
        <v>6306512.9118749043</v>
      </c>
      <c r="IW12" s="213">
        <f t="shared" si="29"/>
        <v>6306512.9118749043</v>
      </c>
      <c r="IX12" s="213">
        <f t="shared" si="29"/>
        <v>6306512.9118749043</v>
      </c>
      <c r="IY12" s="213">
        <f t="shared" si="29"/>
        <v>6306512.9118749043</v>
      </c>
      <c r="IZ12" s="213">
        <f t="shared" si="29"/>
        <v>6306512.9118749043</v>
      </c>
      <c r="JA12" s="213">
        <f t="shared" si="29"/>
        <v>6306512.9118749043</v>
      </c>
      <c r="JB12" s="213">
        <f t="shared" si="29"/>
        <v>6306512.9118749043</v>
      </c>
      <c r="JC12" s="213">
        <f t="shared" si="29"/>
        <v>6306512.9118749043</v>
      </c>
      <c r="JD12" s="213">
        <f t="shared" si="29"/>
        <v>6306512.9118749043</v>
      </c>
      <c r="JE12" s="213">
        <f t="shared" ref="JE12:LD12" si="30">JD12+JE11</f>
        <v>6306512.9118749043</v>
      </c>
      <c r="JF12" s="213">
        <f t="shared" si="30"/>
        <v>6306512.9118749043</v>
      </c>
      <c r="JG12" s="213">
        <f t="shared" si="30"/>
        <v>6306512.9118749043</v>
      </c>
      <c r="JH12" s="213">
        <f t="shared" si="30"/>
        <v>6306512.9118749043</v>
      </c>
      <c r="JI12" s="213">
        <f t="shared" si="30"/>
        <v>6306512.9118749043</v>
      </c>
      <c r="JJ12" s="213">
        <f t="shared" si="30"/>
        <v>6306512.9118749043</v>
      </c>
      <c r="JK12" s="213">
        <f t="shared" si="30"/>
        <v>6306512.9118749043</v>
      </c>
      <c r="JL12" s="213">
        <f t="shared" si="30"/>
        <v>6306512.9118749043</v>
      </c>
      <c r="JM12" s="213">
        <f t="shared" si="30"/>
        <v>6306512.9118749043</v>
      </c>
      <c r="JN12" s="213">
        <f t="shared" si="30"/>
        <v>6306512.9118749043</v>
      </c>
      <c r="JO12" s="213">
        <f t="shared" si="30"/>
        <v>6306512.9118749043</v>
      </c>
      <c r="JP12" s="213">
        <f t="shared" si="30"/>
        <v>6306512.9118749043</v>
      </c>
      <c r="JQ12" s="213">
        <f t="shared" si="30"/>
        <v>6306512.9118749043</v>
      </c>
      <c r="JR12" s="213">
        <f t="shared" si="30"/>
        <v>6306512.9118749043</v>
      </c>
      <c r="JS12" s="213">
        <f t="shared" si="30"/>
        <v>6306512.9118749043</v>
      </c>
      <c r="JT12" s="213">
        <f t="shared" si="30"/>
        <v>6306512.9118749043</v>
      </c>
      <c r="JU12" s="213">
        <f t="shared" si="30"/>
        <v>6306512.9118749043</v>
      </c>
      <c r="JV12" s="213">
        <f t="shared" si="30"/>
        <v>6306512.9118749043</v>
      </c>
      <c r="JW12" s="213">
        <f t="shared" si="30"/>
        <v>6306512.9118749043</v>
      </c>
      <c r="JX12" s="213">
        <f t="shared" si="30"/>
        <v>6306512.9118749043</v>
      </c>
      <c r="JY12" s="213">
        <f t="shared" si="30"/>
        <v>6306512.9118749043</v>
      </c>
      <c r="JZ12" s="213">
        <f t="shared" si="30"/>
        <v>6306512.9118749043</v>
      </c>
      <c r="KA12" s="213">
        <f t="shared" si="30"/>
        <v>6306512.9118749043</v>
      </c>
      <c r="KB12" s="213">
        <f t="shared" si="30"/>
        <v>6306512.9118749043</v>
      </c>
      <c r="KC12" s="213">
        <f t="shared" si="30"/>
        <v>6306512.9118749043</v>
      </c>
      <c r="KD12" s="213">
        <f t="shared" si="30"/>
        <v>6306512.9118749043</v>
      </c>
      <c r="KE12" s="213">
        <f t="shared" si="30"/>
        <v>6306512.9118749043</v>
      </c>
      <c r="KF12" s="213">
        <f t="shared" si="30"/>
        <v>6306512.9118749043</v>
      </c>
      <c r="KG12" s="213">
        <f t="shared" si="30"/>
        <v>6306512.9118749043</v>
      </c>
      <c r="KH12" s="213">
        <f t="shared" si="30"/>
        <v>6306512.9118749043</v>
      </c>
      <c r="KI12" s="213">
        <f t="shared" si="30"/>
        <v>6306512.9118749043</v>
      </c>
      <c r="KJ12" s="213">
        <f t="shared" si="30"/>
        <v>6306512.9118749043</v>
      </c>
      <c r="KK12" s="213">
        <f t="shared" si="30"/>
        <v>6306512.9118749043</v>
      </c>
      <c r="KL12" s="213">
        <f t="shared" si="30"/>
        <v>6306512.9118749043</v>
      </c>
      <c r="KM12" s="213">
        <f t="shared" si="30"/>
        <v>6306512.9118749043</v>
      </c>
      <c r="KN12" s="213">
        <f t="shared" si="30"/>
        <v>6306512.9118749043</v>
      </c>
      <c r="KO12" s="213">
        <f t="shared" si="30"/>
        <v>6306512.9118749043</v>
      </c>
      <c r="KP12" s="213">
        <f t="shared" si="30"/>
        <v>6306512.9118749043</v>
      </c>
      <c r="KQ12" s="213">
        <f t="shared" si="30"/>
        <v>6306512.9118749043</v>
      </c>
      <c r="KR12" s="213">
        <f t="shared" si="30"/>
        <v>6306512.9118749043</v>
      </c>
      <c r="KS12" s="213">
        <f t="shared" si="30"/>
        <v>6306512.9118749043</v>
      </c>
      <c r="KT12" s="213">
        <f t="shared" si="30"/>
        <v>6306512.9118749043</v>
      </c>
      <c r="KU12" s="213">
        <f t="shared" si="30"/>
        <v>6306512.9118749043</v>
      </c>
      <c r="KV12" s="213">
        <f t="shared" si="30"/>
        <v>6306512.9118749043</v>
      </c>
      <c r="KW12" s="213">
        <f t="shared" si="30"/>
        <v>6306512.9118749043</v>
      </c>
      <c r="KX12" s="213">
        <f t="shared" si="30"/>
        <v>6306512.9118749043</v>
      </c>
      <c r="KY12" s="213">
        <f t="shared" si="30"/>
        <v>6306512.9118749043</v>
      </c>
      <c r="KZ12" s="213">
        <f t="shared" si="30"/>
        <v>6306512.9118749043</v>
      </c>
      <c r="LA12" s="213">
        <f t="shared" si="30"/>
        <v>6306512.9118749043</v>
      </c>
      <c r="LB12" s="213">
        <f t="shared" si="30"/>
        <v>6306512.9118749043</v>
      </c>
      <c r="LC12" s="213">
        <f t="shared" si="30"/>
        <v>6306512.9118749043</v>
      </c>
      <c r="LD12" s="213">
        <f t="shared" si="30"/>
        <v>6306512.9118749043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2028875.6481250962</v>
      </c>
      <c r="BK14" s="206">
        <f t="shared" si="32"/>
        <v>1852693.1481250962</v>
      </c>
      <c r="BL14" s="206">
        <f t="shared" si="32"/>
        <v>1849220.5881250966</v>
      </c>
      <c r="BM14" s="206">
        <f t="shared" si="32"/>
        <v>1849220.5881250966</v>
      </c>
      <c r="BN14" s="206">
        <f t="shared" si="32"/>
        <v>1849220.5881250966</v>
      </c>
      <c r="BO14" s="206">
        <f t="shared" si="32"/>
        <v>1849220.5881250966</v>
      </c>
      <c r="BP14" s="206">
        <f t="shared" si="32"/>
        <v>1849220.5881250966</v>
      </c>
      <c r="BQ14" s="206">
        <f t="shared" si="32"/>
        <v>1849220.5881250966</v>
      </c>
      <c r="BR14" s="206">
        <f t="shared" si="32"/>
        <v>1849220.5881250966</v>
      </c>
      <c r="BS14" s="206">
        <f t="shared" si="32"/>
        <v>1849220.5881250966</v>
      </c>
      <c r="BT14" s="206">
        <f t="shared" si="32"/>
        <v>1849220.5881250966</v>
      </c>
      <c r="BU14" s="206">
        <f t="shared" ref="BU14:EF14" si="33">BU10-BU12</f>
        <v>1849220.5881250966</v>
      </c>
      <c r="BV14" s="206">
        <f t="shared" si="33"/>
        <v>1849220.5881250966</v>
      </c>
      <c r="BW14" s="206">
        <f t="shared" si="33"/>
        <v>1849220.5881250966</v>
      </c>
      <c r="BX14" s="206">
        <f t="shared" si="33"/>
        <v>1849220.5881250966</v>
      </c>
      <c r="BY14" s="206">
        <f t="shared" si="33"/>
        <v>1849220.5881250966</v>
      </c>
      <c r="BZ14" s="206">
        <f t="shared" si="33"/>
        <v>1849220.5881250966</v>
      </c>
      <c r="CA14" s="206">
        <f t="shared" si="33"/>
        <v>1849220.5881250966</v>
      </c>
      <c r="CB14" s="206">
        <f t="shared" si="33"/>
        <v>1849220.5881250966</v>
      </c>
      <c r="CC14" s="206">
        <f t="shared" si="33"/>
        <v>1849220.5881250966</v>
      </c>
      <c r="CD14" s="206">
        <f t="shared" si="33"/>
        <v>1849220.5881250966</v>
      </c>
      <c r="CE14" s="206">
        <f t="shared" si="33"/>
        <v>1849220.5881250966</v>
      </c>
      <c r="CF14" s="206">
        <f t="shared" si="33"/>
        <v>1849220.5881250966</v>
      </c>
      <c r="CG14" s="206">
        <f t="shared" si="33"/>
        <v>1849220.5881250966</v>
      </c>
      <c r="CH14" s="206">
        <f t="shared" si="33"/>
        <v>1849220.5881250966</v>
      </c>
      <c r="CI14" s="206">
        <f t="shared" si="33"/>
        <v>1849220.5881250966</v>
      </c>
      <c r="CJ14" s="206">
        <f t="shared" si="33"/>
        <v>1849220.5881250966</v>
      </c>
      <c r="CK14" s="206">
        <f t="shared" si="33"/>
        <v>1849220.5881250966</v>
      </c>
      <c r="CL14" s="206">
        <f t="shared" si="33"/>
        <v>1849220.5881250966</v>
      </c>
      <c r="CM14" s="206">
        <f t="shared" si="33"/>
        <v>1849220.5881250966</v>
      </c>
      <c r="CN14" s="206">
        <f t="shared" si="33"/>
        <v>1849220.5881250966</v>
      </c>
      <c r="CO14" s="206">
        <f t="shared" si="33"/>
        <v>1849220.5881250966</v>
      </c>
      <c r="CP14" s="206">
        <f t="shared" si="33"/>
        <v>1849220.5881250966</v>
      </c>
      <c r="CQ14" s="206">
        <f t="shared" si="33"/>
        <v>1849220.5881250966</v>
      </c>
      <c r="CR14" s="206">
        <f t="shared" si="33"/>
        <v>1849220.5881250966</v>
      </c>
      <c r="CS14" s="206">
        <f t="shared" si="33"/>
        <v>1849220.5881250966</v>
      </c>
      <c r="CT14" s="206">
        <f t="shared" si="33"/>
        <v>1849220.5881250966</v>
      </c>
      <c r="CU14" s="206">
        <f t="shared" si="33"/>
        <v>1849220.5881250966</v>
      </c>
      <c r="CV14" s="206">
        <f t="shared" si="33"/>
        <v>1849220.5881250966</v>
      </c>
      <c r="CW14" s="206">
        <f t="shared" si="33"/>
        <v>1849220.5881250966</v>
      </c>
      <c r="CX14" s="206">
        <f t="shared" si="33"/>
        <v>1849220.5881250966</v>
      </c>
      <c r="CY14" s="206">
        <f t="shared" si="33"/>
        <v>1849220.5881250966</v>
      </c>
      <c r="CZ14" s="206">
        <f t="shared" si="33"/>
        <v>1849220.5881250966</v>
      </c>
      <c r="DA14" s="206">
        <f t="shared" si="33"/>
        <v>1849220.5881250966</v>
      </c>
      <c r="DB14" s="206">
        <f t="shared" si="33"/>
        <v>1849220.5881250966</v>
      </c>
      <c r="DC14" s="206">
        <f t="shared" si="33"/>
        <v>1849220.5881250966</v>
      </c>
      <c r="DD14" s="206">
        <f t="shared" si="33"/>
        <v>1849220.5881250966</v>
      </c>
      <c r="DE14" s="206">
        <f t="shared" si="33"/>
        <v>1849220.5881250966</v>
      </c>
      <c r="DF14" s="206">
        <f t="shared" si="33"/>
        <v>1849220.5881250966</v>
      </c>
      <c r="DG14" s="206">
        <f t="shared" si="33"/>
        <v>1849220.5881250966</v>
      </c>
      <c r="DH14" s="206">
        <f t="shared" si="33"/>
        <v>1849220.5881250966</v>
      </c>
      <c r="DI14" s="206">
        <f t="shared" si="33"/>
        <v>1849220.5881250966</v>
      </c>
      <c r="DJ14" s="206">
        <f t="shared" si="33"/>
        <v>1849220.5881250966</v>
      </c>
      <c r="DK14" s="206">
        <f t="shared" si="33"/>
        <v>1849220.5881250966</v>
      </c>
      <c r="DL14" s="206">
        <f t="shared" si="33"/>
        <v>1849220.5881250966</v>
      </c>
      <c r="DM14" s="206">
        <f t="shared" si="33"/>
        <v>1849220.5881250966</v>
      </c>
      <c r="DN14" s="206">
        <f t="shared" si="33"/>
        <v>1849220.5881250966</v>
      </c>
      <c r="DO14" s="206">
        <f t="shared" si="33"/>
        <v>1849220.5881250966</v>
      </c>
      <c r="DP14" s="206">
        <f t="shared" si="33"/>
        <v>1849220.5881250966</v>
      </c>
      <c r="DQ14" s="206">
        <f t="shared" si="33"/>
        <v>1849220.5881250966</v>
      </c>
      <c r="DR14" s="206">
        <f t="shared" si="33"/>
        <v>1849220.5881250966</v>
      </c>
      <c r="DS14" s="206">
        <f t="shared" si="33"/>
        <v>1849220.5881250966</v>
      </c>
      <c r="DT14" s="206">
        <f t="shared" si="33"/>
        <v>1849220.5881250966</v>
      </c>
      <c r="DU14" s="206">
        <f t="shared" si="33"/>
        <v>1849220.5881250966</v>
      </c>
      <c r="DV14" s="206">
        <f t="shared" si="33"/>
        <v>1849220.5881250966</v>
      </c>
      <c r="DW14" s="206">
        <f t="shared" si="33"/>
        <v>1849220.5881250966</v>
      </c>
      <c r="DX14" s="206">
        <f t="shared" si="33"/>
        <v>1849220.5881250966</v>
      </c>
      <c r="DY14" s="206">
        <f t="shared" si="33"/>
        <v>1849220.5881250966</v>
      </c>
      <c r="DZ14" s="206">
        <f t="shared" si="33"/>
        <v>1849220.5881250966</v>
      </c>
      <c r="EA14" s="206">
        <f t="shared" si="33"/>
        <v>1849220.5881250966</v>
      </c>
      <c r="EB14" s="206">
        <f t="shared" si="33"/>
        <v>1849220.5881250966</v>
      </c>
      <c r="EC14" s="206">
        <f t="shared" si="33"/>
        <v>1849220.5881250966</v>
      </c>
      <c r="ED14" s="206">
        <f t="shared" si="33"/>
        <v>1849220.5881250966</v>
      </c>
      <c r="EE14" s="206">
        <f t="shared" si="33"/>
        <v>1849220.5881250966</v>
      </c>
      <c r="EF14" s="206">
        <f t="shared" si="33"/>
        <v>1849220.5881250966</v>
      </c>
      <c r="EG14" s="206">
        <f t="shared" ref="EG14:GR14" si="34">EG10-EG12</f>
        <v>1849220.5881250966</v>
      </c>
      <c r="EH14" s="206">
        <f t="shared" si="34"/>
        <v>1849220.5881250966</v>
      </c>
      <c r="EI14" s="206">
        <f t="shared" si="34"/>
        <v>1849220.5881250966</v>
      </c>
      <c r="EJ14" s="206">
        <f t="shared" si="34"/>
        <v>1849220.5881250966</v>
      </c>
      <c r="EK14" s="206">
        <f t="shared" si="34"/>
        <v>1849220.5881250966</v>
      </c>
      <c r="EL14" s="206">
        <f t="shared" si="34"/>
        <v>1849220.5881250966</v>
      </c>
      <c r="EM14" s="206">
        <f t="shared" si="34"/>
        <v>1849220.5881250966</v>
      </c>
      <c r="EN14" s="206">
        <f t="shared" si="34"/>
        <v>1849220.5881250966</v>
      </c>
      <c r="EO14" s="206">
        <f t="shared" si="34"/>
        <v>1849220.5881250966</v>
      </c>
      <c r="EP14" s="206">
        <f t="shared" si="34"/>
        <v>1849220.5881250966</v>
      </c>
      <c r="EQ14" s="206">
        <f t="shared" si="34"/>
        <v>1849220.5881250966</v>
      </c>
      <c r="ER14" s="206">
        <f t="shared" si="34"/>
        <v>1849220.5881250966</v>
      </c>
      <c r="ES14" s="206">
        <f t="shared" si="34"/>
        <v>1849220.5881250966</v>
      </c>
      <c r="ET14" s="206">
        <f t="shared" si="34"/>
        <v>1849220.5881250966</v>
      </c>
      <c r="EU14" s="206">
        <f t="shared" si="34"/>
        <v>1849220.5881250966</v>
      </c>
      <c r="EV14" s="206">
        <f t="shared" si="34"/>
        <v>1849220.5881250966</v>
      </c>
      <c r="EW14" s="206">
        <f t="shared" si="34"/>
        <v>1849220.5881250966</v>
      </c>
      <c r="EX14" s="206">
        <f t="shared" si="34"/>
        <v>1849220.5881250966</v>
      </c>
      <c r="EY14" s="206">
        <f t="shared" si="34"/>
        <v>1849220.5881250966</v>
      </c>
      <c r="EZ14" s="206">
        <f t="shared" si="34"/>
        <v>1849220.5881250966</v>
      </c>
      <c r="FA14" s="206">
        <f t="shared" si="34"/>
        <v>1849220.5881250966</v>
      </c>
      <c r="FB14" s="206">
        <f t="shared" si="34"/>
        <v>1849220.5881250966</v>
      </c>
      <c r="FC14" s="206">
        <f t="shared" si="34"/>
        <v>1849220.5881250966</v>
      </c>
      <c r="FD14" s="206">
        <f t="shared" si="34"/>
        <v>1849220.5881250966</v>
      </c>
      <c r="FE14" s="206">
        <f t="shared" si="34"/>
        <v>1849220.5881250966</v>
      </c>
      <c r="FF14" s="206">
        <f t="shared" si="34"/>
        <v>1849220.5881250966</v>
      </c>
      <c r="FG14" s="206">
        <f t="shared" si="34"/>
        <v>1849220.5881250966</v>
      </c>
      <c r="FH14" s="206">
        <f t="shared" si="34"/>
        <v>1849220.5881250966</v>
      </c>
      <c r="FI14" s="206">
        <f t="shared" si="34"/>
        <v>1849220.5881250966</v>
      </c>
      <c r="FJ14" s="206">
        <f t="shared" si="34"/>
        <v>1849220.5881250966</v>
      </c>
      <c r="FK14" s="206">
        <f t="shared" si="34"/>
        <v>1849220.5881250966</v>
      </c>
      <c r="FL14" s="206">
        <f t="shared" si="34"/>
        <v>1849220.5881250966</v>
      </c>
      <c r="FM14" s="206">
        <f t="shared" si="34"/>
        <v>1849220.5881250966</v>
      </c>
      <c r="FN14" s="206">
        <f t="shared" si="34"/>
        <v>1849220.5881250966</v>
      </c>
      <c r="FO14" s="206">
        <f t="shared" si="34"/>
        <v>1849220.5881250966</v>
      </c>
      <c r="FP14" s="206">
        <f t="shared" si="34"/>
        <v>1849220.5881250966</v>
      </c>
      <c r="FQ14" s="206">
        <f t="shared" si="34"/>
        <v>1849220.5881250966</v>
      </c>
      <c r="FR14" s="206">
        <f t="shared" si="34"/>
        <v>1849220.5881250966</v>
      </c>
      <c r="FS14" s="206">
        <f t="shared" si="34"/>
        <v>1849220.5881250966</v>
      </c>
      <c r="FT14" s="206">
        <f t="shared" si="34"/>
        <v>1849220.5881250966</v>
      </c>
      <c r="FU14" s="206">
        <f t="shared" si="34"/>
        <v>1849220.5881250966</v>
      </c>
      <c r="FV14" s="206">
        <f t="shared" si="34"/>
        <v>1849220.5881250966</v>
      </c>
      <c r="FW14" s="206">
        <f t="shared" si="34"/>
        <v>1849220.5881250966</v>
      </c>
      <c r="FX14" s="206">
        <f t="shared" si="34"/>
        <v>1849220.5881250966</v>
      </c>
      <c r="FY14" s="206">
        <f t="shared" si="34"/>
        <v>1849220.5881250966</v>
      </c>
      <c r="FZ14" s="206">
        <f t="shared" si="34"/>
        <v>1849220.5881250966</v>
      </c>
      <c r="GA14" s="206">
        <f t="shared" si="34"/>
        <v>1849220.5881250966</v>
      </c>
      <c r="GB14" s="206">
        <f t="shared" si="34"/>
        <v>1849220.5881250966</v>
      </c>
      <c r="GC14" s="206">
        <f t="shared" si="34"/>
        <v>1849220.5881250966</v>
      </c>
      <c r="GD14" s="206">
        <f t="shared" si="34"/>
        <v>1849220.5881250966</v>
      </c>
      <c r="GE14" s="206">
        <f t="shared" si="34"/>
        <v>1849220.5881250966</v>
      </c>
      <c r="GF14" s="206">
        <f t="shared" si="34"/>
        <v>1849220.5881250966</v>
      </c>
      <c r="GG14" s="206">
        <f t="shared" si="34"/>
        <v>1849220.5881250966</v>
      </c>
      <c r="GH14" s="206">
        <f t="shared" si="34"/>
        <v>1849220.5881250966</v>
      </c>
      <c r="GI14" s="206">
        <f t="shared" si="34"/>
        <v>1849220.5881250966</v>
      </c>
      <c r="GJ14" s="206">
        <f t="shared" si="34"/>
        <v>1849220.5881250966</v>
      </c>
      <c r="GK14" s="206">
        <f t="shared" si="34"/>
        <v>1849220.5881250966</v>
      </c>
      <c r="GL14" s="206">
        <f t="shared" si="34"/>
        <v>1849220.5881250966</v>
      </c>
      <c r="GM14" s="206">
        <f t="shared" si="34"/>
        <v>1849220.5881250966</v>
      </c>
      <c r="GN14" s="206">
        <f t="shared" si="34"/>
        <v>1849220.5881250966</v>
      </c>
      <c r="GO14" s="206">
        <f t="shared" si="34"/>
        <v>1849220.5881250966</v>
      </c>
      <c r="GP14" s="206">
        <f t="shared" si="34"/>
        <v>1849220.5881250966</v>
      </c>
      <c r="GQ14" s="206">
        <f t="shared" si="34"/>
        <v>1849220.5881250966</v>
      </c>
      <c r="GR14" s="206">
        <f t="shared" si="34"/>
        <v>1849220.5881250966</v>
      </c>
      <c r="GS14" s="206">
        <f t="shared" ref="GS14:JD14" si="35">GS10-GS12</f>
        <v>1849220.5881250966</v>
      </c>
      <c r="GT14" s="206">
        <f t="shared" si="35"/>
        <v>1849220.5881250966</v>
      </c>
      <c r="GU14" s="206">
        <f t="shared" si="35"/>
        <v>1849220.5881250966</v>
      </c>
      <c r="GV14" s="206">
        <f t="shared" si="35"/>
        <v>1849220.5881250966</v>
      </c>
      <c r="GW14" s="206">
        <f t="shared" si="35"/>
        <v>1849220.5881250966</v>
      </c>
      <c r="GX14" s="206">
        <f t="shared" si="35"/>
        <v>1849220.5881250966</v>
      </c>
      <c r="GY14" s="206">
        <f t="shared" si="35"/>
        <v>1849220.5881250966</v>
      </c>
      <c r="GZ14" s="206">
        <f t="shared" si="35"/>
        <v>1849220.5881250966</v>
      </c>
      <c r="HA14" s="206">
        <f t="shared" si="35"/>
        <v>1849220.5881250966</v>
      </c>
      <c r="HB14" s="206">
        <f t="shared" si="35"/>
        <v>1849220.5881250966</v>
      </c>
      <c r="HC14" s="206">
        <f t="shared" si="35"/>
        <v>1849220.5881250966</v>
      </c>
      <c r="HD14" s="206">
        <f t="shared" si="35"/>
        <v>1849220.5881250966</v>
      </c>
      <c r="HE14" s="206">
        <f t="shared" si="35"/>
        <v>1849220.5881250966</v>
      </c>
      <c r="HF14" s="206">
        <f t="shared" si="35"/>
        <v>1849220.5881250966</v>
      </c>
      <c r="HG14" s="206">
        <f t="shared" si="35"/>
        <v>1849220.5881250966</v>
      </c>
      <c r="HH14" s="206">
        <f t="shared" si="35"/>
        <v>1849220.5881250966</v>
      </c>
      <c r="HI14" s="206">
        <f t="shared" si="35"/>
        <v>1849220.5881250966</v>
      </c>
      <c r="HJ14" s="206">
        <f t="shared" si="35"/>
        <v>1849220.5881250966</v>
      </c>
      <c r="HK14" s="206">
        <f t="shared" si="35"/>
        <v>1849220.5881250966</v>
      </c>
      <c r="HL14" s="206">
        <f t="shared" si="35"/>
        <v>1849220.5881250966</v>
      </c>
      <c r="HM14" s="206">
        <f t="shared" si="35"/>
        <v>1849220.5881250966</v>
      </c>
      <c r="HN14" s="206">
        <f t="shared" si="35"/>
        <v>1849220.5881250966</v>
      </c>
      <c r="HO14" s="206">
        <f t="shared" si="35"/>
        <v>1849220.5881250966</v>
      </c>
      <c r="HP14" s="206">
        <f t="shared" si="35"/>
        <v>1849220.5881250966</v>
      </c>
      <c r="HQ14" s="206">
        <f t="shared" si="35"/>
        <v>1849220.5881250966</v>
      </c>
      <c r="HR14" s="206">
        <f t="shared" si="35"/>
        <v>1849220.5881250966</v>
      </c>
      <c r="HS14" s="206">
        <f t="shared" si="35"/>
        <v>1849220.5881250966</v>
      </c>
      <c r="HT14" s="206">
        <f t="shared" si="35"/>
        <v>1849220.5881250966</v>
      </c>
      <c r="HU14" s="206">
        <f t="shared" si="35"/>
        <v>1849220.5881250966</v>
      </c>
      <c r="HV14" s="206">
        <f t="shared" si="35"/>
        <v>1849220.5881250966</v>
      </c>
      <c r="HW14" s="206">
        <f t="shared" si="35"/>
        <v>1849220.5881250966</v>
      </c>
      <c r="HX14" s="206">
        <f t="shared" si="35"/>
        <v>1849220.5881250966</v>
      </c>
      <c r="HY14" s="206">
        <f t="shared" si="35"/>
        <v>1849220.5881250966</v>
      </c>
      <c r="HZ14" s="206">
        <f t="shared" si="35"/>
        <v>1849220.5881250966</v>
      </c>
      <c r="IA14" s="206">
        <f t="shared" si="35"/>
        <v>1849220.5881250966</v>
      </c>
      <c r="IB14" s="206">
        <f t="shared" si="35"/>
        <v>1849220.5881250966</v>
      </c>
      <c r="IC14" s="206">
        <f t="shared" si="35"/>
        <v>1849220.5881250966</v>
      </c>
      <c r="ID14" s="206">
        <f t="shared" si="35"/>
        <v>1849220.5881250966</v>
      </c>
      <c r="IE14" s="206">
        <f t="shared" si="35"/>
        <v>1849220.5881250966</v>
      </c>
      <c r="IF14" s="206">
        <f t="shared" si="35"/>
        <v>1849220.5881250966</v>
      </c>
      <c r="IG14" s="206">
        <f t="shared" si="35"/>
        <v>1849220.5881250966</v>
      </c>
      <c r="IH14" s="206">
        <f t="shared" si="35"/>
        <v>1849220.5881250966</v>
      </c>
      <c r="II14" s="206">
        <f t="shared" si="35"/>
        <v>1849220.5881250966</v>
      </c>
      <c r="IJ14" s="206">
        <f t="shared" si="35"/>
        <v>1849220.5881250966</v>
      </c>
      <c r="IK14" s="206">
        <f t="shared" si="35"/>
        <v>1849220.5881250966</v>
      </c>
      <c r="IL14" s="206">
        <f t="shared" si="35"/>
        <v>1849220.5881250966</v>
      </c>
      <c r="IM14" s="206">
        <f t="shared" si="35"/>
        <v>1849220.5881250966</v>
      </c>
      <c r="IN14" s="206">
        <f t="shared" si="35"/>
        <v>1849220.5881250966</v>
      </c>
      <c r="IO14" s="206">
        <f t="shared" si="35"/>
        <v>1849220.5881250966</v>
      </c>
      <c r="IP14" s="206">
        <f t="shared" si="35"/>
        <v>1849220.5881250966</v>
      </c>
      <c r="IQ14" s="206">
        <f t="shared" si="35"/>
        <v>1849220.5881250966</v>
      </c>
      <c r="IR14" s="206">
        <f t="shared" si="35"/>
        <v>1849220.5881250966</v>
      </c>
      <c r="IS14" s="206">
        <f t="shared" si="35"/>
        <v>1849220.5881250966</v>
      </c>
      <c r="IT14" s="206">
        <f t="shared" si="35"/>
        <v>1849220.5881250966</v>
      </c>
      <c r="IU14" s="206">
        <f t="shared" si="35"/>
        <v>1849220.5881250966</v>
      </c>
      <c r="IV14" s="206">
        <f t="shared" si="35"/>
        <v>1849220.5881250966</v>
      </c>
      <c r="IW14" s="206">
        <f t="shared" si="35"/>
        <v>1849220.5881250966</v>
      </c>
      <c r="IX14" s="206">
        <f t="shared" si="35"/>
        <v>1849220.5881250966</v>
      </c>
      <c r="IY14" s="206">
        <f t="shared" si="35"/>
        <v>1849220.5881250966</v>
      </c>
      <c r="IZ14" s="206">
        <f t="shared" si="35"/>
        <v>1849220.5881250966</v>
      </c>
      <c r="JA14" s="206">
        <f t="shared" si="35"/>
        <v>1849220.5881250966</v>
      </c>
      <c r="JB14" s="206">
        <f t="shared" si="35"/>
        <v>1849220.5881250966</v>
      </c>
      <c r="JC14" s="206">
        <f t="shared" si="35"/>
        <v>1849220.5881250966</v>
      </c>
      <c r="JD14" s="206">
        <f t="shared" si="35"/>
        <v>1849220.5881250966</v>
      </c>
      <c r="JE14" s="206">
        <f t="shared" ref="JE14:LD14" si="36">JE10-JE12</f>
        <v>1849220.5881250966</v>
      </c>
      <c r="JF14" s="206">
        <f t="shared" si="36"/>
        <v>1849220.5881250966</v>
      </c>
      <c r="JG14" s="206">
        <f t="shared" si="36"/>
        <v>1849220.5881250966</v>
      </c>
      <c r="JH14" s="206">
        <f t="shared" si="36"/>
        <v>1849220.5881250966</v>
      </c>
      <c r="JI14" s="206">
        <f t="shared" si="36"/>
        <v>1849220.5881250966</v>
      </c>
      <c r="JJ14" s="206">
        <f t="shared" si="36"/>
        <v>1849220.5881250966</v>
      </c>
      <c r="JK14" s="206">
        <f t="shared" si="36"/>
        <v>1849220.5881250966</v>
      </c>
      <c r="JL14" s="206">
        <f t="shared" si="36"/>
        <v>1849220.5881250966</v>
      </c>
      <c r="JM14" s="206">
        <f t="shared" si="36"/>
        <v>1849220.5881250966</v>
      </c>
      <c r="JN14" s="206">
        <f t="shared" si="36"/>
        <v>1849220.5881250966</v>
      </c>
      <c r="JO14" s="206">
        <f t="shared" si="36"/>
        <v>1849220.5881250966</v>
      </c>
      <c r="JP14" s="206">
        <f t="shared" si="36"/>
        <v>1849220.5881250966</v>
      </c>
      <c r="JQ14" s="206">
        <f t="shared" si="36"/>
        <v>1849220.5881250966</v>
      </c>
      <c r="JR14" s="206">
        <f t="shared" si="36"/>
        <v>1849220.5881250966</v>
      </c>
      <c r="JS14" s="206">
        <f t="shared" si="36"/>
        <v>1849220.5881250966</v>
      </c>
      <c r="JT14" s="206">
        <f t="shared" si="36"/>
        <v>1849220.5881250966</v>
      </c>
      <c r="JU14" s="206">
        <f t="shared" si="36"/>
        <v>1849220.5881250966</v>
      </c>
      <c r="JV14" s="206">
        <f t="shared" si="36"/>
        <v>1849220.5881250966</v>
      </c>
      <c r="JW14" s="206">
        <f t="shared" si="36"/>
        <v>1849220.5881250966</v>
      </c>
      <c r="JX14" s="206">
        <f t="shared" si="36"/>
        <v>1849220.5881250966</v>
      </c>
      <c r="JY14" s="206">
        <f t="shared" si="36"/>
        <v>1849220.5881250966</v>
      </c>
      <c r="JZ14" s="206">
        <f t="shared" si="36"/>
        <v>1849220.5881250966</v>
      </c>
      <c r="KA14" s="206">
        <f t="shared" si="36"/>
        <v>1849220.5881250966</v>
      </c>
      <c r="KB14" s="206">
        <f t="shared" si="36"/>
        <v>1849220.5881250966</v>
      </c>
      <c r="KC14" s="206">
        <f t="shared" si="36"/>
        <v>1849220.5881250966</v>
      </c>
      <c r="KD14" s="206">
        <f t="shared" si="36"/>
        <v>1849220.5881250966</v>
      </c>
      <c r="KE14" s="206">
        <f t="shared" si="36"/>
        <v>1849220.5881250966</v>
      </c>
      <c r="KF14" s="206">
        <f t="shared" si="36"/>
        <v>1849220.5881250966</v>
      </c>
      <c r="KG14" s="206">
        <f t="shared" si="36"/>
        <v>1849220.5881250966</v>
      </c>
      <c r="KH14" s="206">
        <f t="shared" si="36"/>
        <v>1849220.5881250966</v>
      </c>
      <c r="KI14" s="206">
        <f t="shared" si="36"/>
        <v>1849220.5881250966</v>
      </c>
      <c r="KJ14" s="206">
        <f t="shared" si="36"/>
        <v>1849220.5881250966</v>
      </c>
      <c r="KK14" s="206">
        <f t="shared" si="36"/>
        <v>1849220.5881250966</v>
      </c>
      <c r="KL14" s="206">
        <f t="shared" si="36"/>
        <v>1849220.5881250966</v>
      </c>
      <c r="KM14" s="206">
        <f t="shared" si="36"/>
        <v>1849220.5881250966</v>
      </c>
      <c r="KN14" s="206">
        <f t="shared" si="36"/>
        <v>1849220.5881250966</v>
      </c>
      <c r="KO14" s="206">
        <f t="shared" si="36"/>
        <v>1849220.5881250966</v>
      </c>
      <c r="KP14" s="206">
        <f t="shared" si="36"/>
        <v>1849220.5881250966</v>
      </c>
      <c r="KQ14" s="206">
        <f t="shared" si="36"/>
        <v>1849220.5881250966</v>
      </c>
      <c r="KR14" s="206">
        <f t="shared" si="36"/>
        <v>1849220.5881250966</v>
      </c>
      <c r="KS14" s="206">
        <f t="shared" si="36"/>
        <v>1849220.5881250966</v>
      </c>
      <c r="KT14" s="206">
        <f t="shared" si="36"/>
        <v>1849220.5881250966</v>
      </c>
      <c r="KU14" s="206">
        <f t="shared" si="36"/>
        <v>1849220.5881250966</v>
      </c>
      <c r="KV14" s="206">
        <f t="shared" si="36"/>
        <v>1849220.5881250966</v>
      </c>
      <c r="KW14" s="206">
        <f t="shared" si="36"/>
        <v>1849220.5881250966</v>
      </c>
      <c r="KX14" s="206">
        <f t="shared" si="36"/>
        <v>1849220.5881250966</v>
      </c>
      <c r="KY14" s="206">
        <f t="shared" si="36"/>
        <v>1849220.5881250966</v>
      </c>
      <c r="KZ14" s="206">
        <f t="shared" si="36"/>
        <v>1849220.5881250966</v>
      </c>
      <c r="LA14" s="206">
        <f t="shared" si="36"/>
        <v>1849220.5881250966</v>
      </c>
      <c r="LB14" s="206">
        <f t="shared" si="36"/>
        <v>1849220.5881250966</v>
      </c>
      <c r="LC14" s="206">
        <f t="shared" si="36"/>
        <v>1849220.5881250966</v>
      </c>
      <c r="LD14" s="206">
        <f t="shared" si="36"/>
        <v>1849220.5881250966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438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439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9765625" defaultRowHeight="14.25"/>
  <cols>
    <col min="1" max="1" width="39.3984375" style="365" bestFit="1" customWidth="1"/>
    <col min="2" max="2" width="17.265625" style="366" bestFit="1" customWidth="1"/>
    <col min="3" max="5" width="14.86328125" style="365" bestFit="1" customWidth="1"/>
    <col min="6" max="6" width="13.265625" style="365" bestFit="1" customWidth="1"/>
    <col min="7" max="7" width="14.86328125" style="365" bestFit="1" customWidth="1"/>
    <col min="8" max="8" width="10.59765625" style="365" bestFit="1" customWidth="1"/>
    <col min="9" max="9" width="13.265625" style="365" bestFit="1" customWidth="1"/>
    <col min="10" max="11" width="11.73046875" style="365" bestFit="1" customWidth="1"/>
    <col min="12" max="12" width="4.86328125" style="365" bestFit="1" customWidth="1"/>
    <col min="13" max="14" width="10.59765625" style="365" bestFit="1" customWidth="1"/>
    <col min="15" max="15" width="14.86328125" style="365" bestFit="1" customWidth="1"/>
    <col min="16" max="16" width="14.3984375" style="365" bestFit="1" customWidth="1"/>
    <col min="17" max="18" width="11.398437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440</v>
      </c>
      <c r="B3" s="446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444</v>
      </c>
      <c r="P4"/>
      <c r="Q4"/>
      <c r="R4"/>
      <c r="S4"/>
      <c r="T4"/>
    </row>
    <row r="5" spans="1:20">
      <c r="A5" s="447" t="s">
        <v>443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444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5" width="14.86328125" style="407" bestFit="1" customWidth="1"/>
    <col min="6" max="7" width="13.265625" style="407" bestFit="1" customWidth="1"/>
    <col min="8" max="8" width="10.86328125" style="407" bestFit="1" customWidth="1"/>
    <col min="9" max="9" width="13.265625" style="407" bestFit="1" customWidth="1"/>
    <col min="10" max="11" width="11.73046875" bestFit="1" customWidth="1"/>
    <col min="12" max="12" width="14.73046875" bestFit="1" customWidth="1"/>
    <col min="13" max="13" width="10.59765625" bestFit="1" customWidth="1"/>
    <col min="14" max="14" width="11" bestFit="1" customWidth="1"/>
    <col min="15" max="15" width="14.86328125" bestFit="1" customWidth="1"/>
    <col min="16" max="16" width="17.398437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445</v>
      </c>
      <c r="B3" s="446" t="s">
        <v>441</v>
      </c>
      <c r="C3"/>
      <c r="D3"/>
      <c r="E3"/>
      <c r="F3"/>
      <c r="G3"/>
      <c r="H3"/>
      <c r="I3"/>
    </row>
    <row r="4" spans="1:16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444</v>
      </c>
    </row>
    <row r="5" spans="1:16">
      <c r="A5" s="447" t="s">
        <v>443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444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265625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6" t="s">
        <v>446</v>
      </c>
      <c r="C2" s="796"/>
      <c r="D2" s="796"/>
      <c r="E2" s="796"/>
      <c r="H2" s="797" t="s">
        <v>447</v>
      </c>
      <c r="I2" s="798"/>
      <c r="J2" s="798"/>
      <c r="K2" s="798"/>
      <c r="L2" s="798"/>
      <c r="M2" s="798"/>
      <c r="N2" s="798"/>
      <c r="O2" s="799"/>
    </row>
    <row r="3" spans="2:15">
      <c r="B3" s="691"/>
      <c r="H3" s="800"/>
      <c r="I3" s="801"/>
      <c r="J3" s="801"/>
      <c r="K3" s="801"/>
      <c r="L3" s="801"/>
      <c r="M3" s="801"/>
      <c r="N3" s="801"/>
      <c r="O3" s="802"/>
    </row>
    <row r="4" spans="2:15">
      <c r="B4" s="692" t="s">
        <v>448</v>
      </c>
      <c r="C4" s="693" t="str">
        <f>'Project Plan'!E2</f>
        <v>Umzimkhulu Mall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92" t="s">
        <v>449</v>
      </c>
      <c r="C5" s="693" t="s">
        <v>450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92" t="s">
        <v>451</v>
      </c>
      <c r="C6" s="693" t="s">
        <v>452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92" t="s">
        <v>453</v>
      </c>
      <c r="C7" s="693" t="s">
        <v>76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91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454</v>
      </c>
      <c r="C9" s="806"/>
      <c r="D9" s="806"/>
      <c r="E9" s="80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0"/>
      <c r="I9" s="801"/>
      <c r="J9" s="801"/>
      <c r="K9" s="801"/>
      <c r="L9" s="801"/>
      <c r="M9" s="801"/>
      <c r="N9" s="801"/>
      <c r="O9" s="802"/>
    </row>
    <row r="10" spans="2:15" ht="14.65" thickBot="1">
      <c r="B10" s="806" t="s">
        <v>455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94" t="s">
        <v>456</v>
      </c>
      <c r="C11" s="794" t="s">
        <v>457</v>
      </c>
      <c r="D11" s="794"/>
      <c r="E11" s="794"/>
    </row>
    <row r="12" spans="2:15">
      <c r="B12" s="694" t="s">
        <v>458</v>
      </c>
      <c r="C12" s="794" t="s">
        <v>457</v>
      </c>
      <c r="D12" s="794"/>
      <c r="E12" s="794"/>
    </row>
    <row r="13" spans="2:15">
      <c r="B13" s="694" t="s">
        <v>459</v>
      </c>
      <c r="C13" s="794" t="s">
        <v>457</v>
      </c>
      <c r="D13" s="794"/>
      <c r="E13" s="794"/>
    </row>
    <row r="14" spans="2:15">
      <c r="B14" s="694" t="s">
        <v>460</v>
      </c>
      <c r="C14" s="794" t="s">
        <v>461</v>
      </c>
      <c r="D14" s="794"/>
      <c r="E14" s="794"/>
    </row>
    <row r="15" spans="2:15">
      <c r="B15" s="694" t="s">
        <v>462</v>
      </c>
      <c r="C15" s="794" t="s">
        <v>463</v>
      </c>
      <c r="D15" s="794"/>
      <c r="E15" s="794"/>
    </row>
    <row r="16" spans="2:15" ht="15" customHeight="1">
      <c r="B16" s="694" t="s">
        <v>464</v>
      </c>
      <c r="C16" s="794" t="s">
        <v>465</v>
      </c>
      <c r="D16" s="794"/>
      <c r="E16" s="794"/>
    </row>
    <row r="17" spans="2:5">
      <c r="B17" s="691"/>
    </row>
    <row r="18" spans="2:5">
      <c r="B18" s="795" t="s">
        <v>466</v>
      </c>
      <c r="C18" s="795"/>
      <c r="D18" s="795"/>
      <c r="E18" s="795"/>
    </row>
    <row r="19" spans="2:5">
      <c r="B19" s="694" t="s">
        <v>467</v>
      </c>
      <c r="C19" s="694" t="s">
        <v>468</v>
      </c>
      <c r="D19" s="694" t="s">
        <v>469</v>
      </c>
      <c r="E19" s="694" t="s">
        <v>62</v>
      </c>
    </row>
    <row r="20" spans="2:5" ht="15" customHeight="1">
      <c r="B20" s="694" t="s">
        <v>470</v>
      </c>
      <c r="C20" s="694" t="s">
        <v>471</v>
      </c>
      <c r="D20" s="695" t="s">
        <v>472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473</v>
      </c>
    </row>
    <row r="2" spans="1:4">
      <c r="A2" s="808"/>
      <c r="B2" s="808"/>
      <c r="C2" s="808"/>
      <c r="D2" s="71"/>
    </row>
    <row r="3" spans="1:4">
      <c r="A3" s="807" t="s">
        <v>474</v>
      </c>
      <c r="B3" s="807"/>
      <c r="C3" s="807"/>
      <c r="D3" s="111">
        <v>0.32</v>
      </c>
    </row>
    <row r="4" spans="1:4">
      <c r="A4" s="807" t="s">
        <v>415</v>
      </c>
      <c r="B4" s="807"/>
      <c r="C4" s="807"/>
      <c r="D4" s="111">
        <v>0.5</v>
      </c>
    </row>
    <row r="5" spans="1:4">
      <c r="A5" s="807" t="s">
        <v>426</v>
      </c>
      <c r="B5" s="807"/>
      <c r="C5" s="807"/>
      <c r="D5" s="111">
        <v>0.15</v>
      </c>
    </row>
    <row r="6" spans="1:4">
      <c r="A6" s="807" t="s">
        <v>475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09" t="s">
        <v>476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 ht="13.15">
      <c r="B4" s="92" t="s">
        <v>477</v>
      </c>
      <c r="C4" s="86"/>
      <c r="D4" s="90" t="s">
        <v>478</v>
      </c>
      <c r="E4" s="95"/>
      <c r="F4" s="90" t="s">
        <v>479</v>
      </c>
      <c r="H4" s="90" t="s">
        <v>480</v>
      </c>
      <c r="I4" s="95"/>
      <c r="J4" s="90" t="s">
        <v>481</v>
      </c>
      <c r="L4" s="90" t="s">
        <v>480</v>
      </c>
      <c r="M4" s="90"/>
      <c r="N4" s="90" t="s">
        <v>482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483</v>
      </c>
      <c r="H7" s="99"/>
      <c r="I7" s="95"/>
      <c r="J7" s="107" t="s">
        <v>483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484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485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486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483</v>
      </c>
      <c r="H15" s="99"/>
      <c r="I15" s="95"/>
      <c r="J15" s="107" t="s">
        <v>483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487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483</v>
      </c>
      <c r="H21" s="99"/>
      <c r="I21" s="95"/>
      <c r="J21" s="107" t="s">
        <v>483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488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486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483</v>
      </c>
      <c r="H27" s="99"/>
      <c r="I27" s="95"/>
      <c r="J27" s="107" t="s">
        <v>483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489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483</v>
      </c>
      <c r="H34" s="99"/>
      <c r="I34" s="95"/>
      <c r="J34" s="107" t="s">
        <v>483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490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496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09" t="s">
        <v>498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 ht="13.15">
      <c r="B4" s="92" t="s">
        <v>477</v>
      </c>
      <c r="C4" s="86"/>
      <c r="D4" s="90" t="s">
        <v>478</v>
      </c>
      <c r="E4" s="95"/>
      <c r="F4" s="95"/>
      <c r="G4" s="90" t="s">
        <v>499</v>
      </c>
      <c r="H4" s="96"/>
      <c r="J4" s="90" t="s">
        <v>480</v>
      </c>
      <c r="L4" s="90" t="s">
        <v>500</v>
      </c>
      <c r="M4" s="96"/>
      <c r="O4" s="90" t="s">
        <v>480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496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477</v>
      </c>
      <c r="C18" s="86"/>
      <c r="D18" s="90" t="s">
        <v>478</v>
      </c>
      <c r="E18" s="95"/>
      <c r="F18" s="95"/>
      <c r="G18" s="90" t="s">
        <v>502</v>
      </c>
      <c r="H18" s="96"/>
      <c r="J18" s="90" t="s">
        <v>480</v>
      </c>
      <c r="L18" s="90" t="s">
        <v>503</v>
      </c>
      <c r="M18" s="96"/>
      <c r="O18" s="90" t="s">
        <v>480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504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505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506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507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496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509</v>
      </c>
      <c r="C32" s="103"/>
      <c r="D32" s="103"/>
    </row>
    <row r="33" spans="2:4" ht="13.15" thickTop="1"/>
    <row r="34" spans="2:4">
      <c r="B34" s="88" t="s">
        <v>478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1" t="str">
        <f>D15</f>
        <v>Umzimkhulu Mall</v>
      </c>
      <c r="C1" s="811"/>
      <c r="D1" s="811"/>
      <c r="E1" s="810" t="s">
        <v>511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512</v>
      </c>
      <c r="C3" s="72" t="s">
        <v>513</v>
      </c>
      <c r="D3" s="72" t="s">
        <v>514</v>
      </c>
      <c r="E3" s="78" t="s">
        <v>515</v>
      </c>
      <c r="F3" s="78" t="s">
        <v>516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