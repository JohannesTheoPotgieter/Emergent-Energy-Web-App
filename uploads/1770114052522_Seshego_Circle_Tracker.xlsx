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5" documentId="13_ncr:1_{DFC80828-CF83-4F91-9EA8-0A631B151EBD}" xr6:coauthVersionLast="47" xr6:coauthVersionMax="47" xr10:uidLastSave="{BBC633D5-A29F-48B4-A8FC-72081300D42B}"/>
  <bookViews>
    <workbookView xWindow="-98" yWindow="-98" windowWidth="21795" windowHeight="12975" tabRatio="690" firstSheet="2" activeTab="7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Compliance" sheetId="23" r:id="rId6"/>
    <sheet name="Project Plan" sheetId="2" r:id="rId7"/>
    <sheet name="Revenue Tracking" sheetId="5" r:id="rId8"/>
    <sheet name="Data" sheetId="8" state="hidden" r:id="rId9"/>
    <sheet name="Expenditure Breakdown" sheetId="18" r:id="rId10"/>
    <sheet name="Expenditure Tracking" sheetId="3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Plan'!$B$63:$G$68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8" l="1"/>
  <c r="W27" i="18" l="1"/>
  <c r="W90" i="18" l="1"/>
  <c r="Q90" i="18"/>
  <c r="I27" i="2"/>
  <c r="W9" i="18"/>
  <c r="Q168" i="18"/>
  <c r="X165" i="18" s="1"/>
  <c r="H23" i="3" s="1"/>
  <c r="K28" i="2"/>
  <c r="W39" i="18"/>
  <c r="W37" i="18"/>
  <c r="W71" i="18"/>
  <c r="W69" i="18"/>
  <c r="W127" i="18"/>
  <c r="W125" i="18"/>
  <c r="T127" i="18"/>
  <c r="T125" i="18"/>
  <c r="T39" i="18"/>
  <c r="T37" i="18"/>
  <c r="T71" i="18"/>
  <c r="T69" i="18"/>
  <c r="F13" i="5"/>
  <c r="Q115" i="18"/>
  <c r="O122" i="18"/>
  <c r="Q131" i="18" s="1"/>
  <c r="Q123" i="18"/>
  <c r="Q124" i="18"/>
  <c r="Q129" i="18"/>
  <c r="Q130" i="18"/>
  <c r="W140" i="18"/>
  <c r="W94" i="18"/>
  <c r="W53" i="18"/>
  <c r="Q53" i="18"/>
  <c r="I35" i="2"/>
  <c r="W31" i="18"/>
  <c r="S35" i="18"/>
  <c r="S67" i="18"/>
  <c r="S123" i="18"/>
  <c r="S34" i="18"/>
  <c r="T66" i="18"/>
  <c r="S66" i="18"/>
  <c r="T122" i="18"/>
  <c r="S122" i="18"/>
  <c r="C4" i="19"/>
  <c r="K21" i="2"/>
  <c r="N21" i="2"/>
  <c r="K20" i="2"/>
  <c r="W116" i="18"/>
  <c r="W156" i="18"/>
  <c r="U139" i="18"/>
  <c r="Q93" i="18"/>
  <c r="X89" i="18" s="1"/>
  <c r="Q92" i="18"/>
  <c r="W48" i="18"/>
  <c r="S48" i="18"/>
  <c r="S31" i="18"/>
  <c r="O31" i="18"/>
  <c r="Q31" i="18" s="1"/>
  <c r="S13" i="18"/>
  <c r="S30" i="18" s="1"/>
  <c r="O7" i="18"/>
  <c r="Q7" i="18"/>
  <c r="C7" i="20"/>
  <c r="C4" i="20"/>
  <c r="H117" i="18"/>
  <c r="H116" i="18"/>
  <c r="H109" i="18"/>
  <c r="H75" i="18"/>
  <c r="H108" i="18"/>
  <c r="H107" i="18"/>
  <c r="H129" i="18" s="1"/>
  <c r="H106" i="18"/>
  <c r="H40" i="18" s="1"/>
  <c r="H104" i="18"/>
  <c r="H38" i="18" s="1"/>
  <c r="H102" i="18"/>
  <c r="H36" i="18"/>
  <c r="H101" i="18"/>
  <c r="H35" i="18" s="1"/>
  <c r="H34" i="18"/>
  <c r="H92" i="18"/>
  <c r="H61" i="18"/>
  <c r="H30" i="18"/>
  <c r="H21" i="18"/>
  <c r="H13" i="18"/>
  <c r="H122" i="18"/>
  <c r="H66" i="18"/>
  <c r="I26" i="2"/>
  <c r="K26" i="2"/>
  <c r="I24" i="2"/>
  <c r="I34" i="2"/>
  <c r="K19" i="2"/>
  <c r="K18" i="2" s="1"/>
  <c r="N19" i="2"/>
  <c r="N18" i="2" s="1"/>
  <c r="I18" i="2"/>
  <c r="J18" i="2" s="1"/>
  <c r="M18" i="2" s="1"/>
  <c r="W35" i="18"/>
  <c r="W123" i="18"/>
  <c r="W66" i="18"/>
  <c r="W61" i="18"/>
  <c r="Q30" i="18"/>
  <c r="Q13" i="18"/>
  <c r="X13" i="18" s="1"/>
  <c r="H10" i="3" s="1"/>
  <c r="Q6" i="18"/>
  <c r="I16" i="2"/>
  <c r="K16" i="2"/>
  <c r="I15" i="2"/>
  <c r="K15" i="2"/>
  <c r="I13" i="2"/>
  <c r="K13" i="2" s="1"/>
  <c r="K12" i="2"/>
  <c r="N12" i="2"/>
  <c r="E24" i="2"/>
  <c r="E42" i="2"/>
  <c r="G24" i="2"/>
  <c r="E25" i="2"/>
  <c r="J80" i="18"/>
  <c r="V80" i="18"/>
  <c r="J89" i="18"/>
  <c r="T176" i="18"/>
  <c r="T175" i="18"/>
  <c r="T174" i="18"/>
  <c r="T173" i="18"/>
  <c r="T172" i="18"/>
  <c r="T171" i="18"/>
  <c r="T170" i="18"/>
  <c r="T164" i="18"/>
  <c r="T163" i="18"/>
  <c r="T162" i="18"/>
  <c r="T161" i="18"/>
  <c r="T160" i="18"/>
  <c r="T159" i="18"/>
  <c r="T158" i="18"/>
  <c r="T151" i="18"/>
  <c r="T143" i="18"/>
  <c r="T142" i="18"/>
  <c r="T141" i="18"/>
  <c r="T135" i="18"/>
  <c r="T134" i="18"/>
  <c r="T133" i="18"/>
  <c r="T132" i="18"/>
  <c r="T121" i="18"/>
  <c r="T120" i="18"/>
  <c r="T113" i="18"/>
  <c r="T112" i="18"/>
  <c r="T111" i="18"/>
  <c r="T110" i="18"/>
  <c r="T99" i="18"/>
  <c r="T98" i="18"/>
  <c r="T97" i="18"/>
  <c r="T95" i="18"/>
  <c r="T91" i="18"/>
  <c r="T89" i="18"/>
  <c r="T88" i="18"/>
  <c r="T79" i="18"/>
  <c r="T78" i="18"/>
  <c r="T77" i="18"/>
  <c r="T76" i="18"/>
  <c r="T65" i="18"/>
  <c r="T64" i="18"/>
  <c r="T63" i="18"/>
  <c r="T62" i="18"/>
  <c r="T60" i="18"/>
  <c r="T59" i="18"/>
  <c r="T58" i="18"/>
  <c r="T57" i="18"/>
  <c r="T47" i="18"/>
  <c r="T46" i="18"/>
  <c r="T45" i="18"/>
  <c r="T44" i="18"/>
  <c r="T33" i="18"/>
  <c r="T32" i="18"/>
  <c r="T19" i="18"/>
  <c r="T18" i="18"/>
  <c r="T17" i="18"/>
  <c r="T16" i="18"/>
  <c r="T15" i="18"/>
  <c r="T14" i="18"/>
  <c r="E26" i="2"/>
  <c r="G26" i="2" s="1"/>
  <c r="E27" i="2" s="1"/>
  <c r="E30" i="2" s="1"/>
  <c r="G30" i="2" s="1"/>
  <c r="E30" i="18"/>
  <c r="I142" i="18"/>
  <c r="F20" i="3"/>
  <c r="J165" i="18"/>
  <c r="G152" i="18"/>
  <c r="I152" i="18" s="1"/>
  <c r="F22" i="3" s="1"/>
  <c r="X136" i="18"/>
  <c r="H19" i="3" s="1"/>
  <c r="G121" i="18"/>
  <c r="Z18" i="18" s="1"/>
  <c r="G120" i="18"/>
  <c r="G115" i="18"/>
  <c r="Z17" i="18" s="1"/>
  <c r="G114" i="18"/>
  <c r="Z16" i="18" s="1"/>
  <c r="G100" i="18"/>
  <c r="Z15" i="18" s="1"/>
  <c r="G99" i="18"/>
  <c r="Z14" i="18"/>
  <c r="G60" i="18"/>
  <c r="Z12" i="18"/>
  <c r="I60" i="18"/>
  <c r="F14" i="3" s="1"/>
  <c r="G48" i="18"/>
  <c r="I48" i="18"/>
  <c r="F13" i="3" s="1"/>
  <c r="G31" i="18"/>
  <c r="Z13" i="18" s="1"/>
  <c r="I30" i="18"/>
  <c r="F12" i="3"/>
  <c r="G21" i="18"/>
  <c r="I21" i="18"/>
  <c r="F11" i="3" s="1"/>
  <c r="G13" i="18"/>
  <c r="I13" i="18"/>
  <c r="G6" i="18"/>
  <c r="I6" i="18" s="1"/>
  <c r="F9" i="3" s="1"/>
  <c r="Q145" i="18"/>
  <c r="X145" i="18" s="1"/>
  <c r="J114" i="18"/>
  <c r="Y35" i="18"/>
  <c r="Y34" i="18"/>
  <c r="Y33" i="18"/>
  <c r="Y32" i="18"/>
  <c r="Y31" i="18"/>
  <c r="Y30" i="18"/>
  <c r="Y29" i="18"/>
  <c r="T150" i="18"/>
  <c r="T144" i="18"/>
  <c r="T29" i="18"/>
  <c r="T20" i="18"/>
  <c r="T12" i="18"/>
  <c r="T11" i="18"/>
  <c r="T10" i="18"/>
  <c r="T8" i="18"/>
  <c r="J152" i="18"/>
  <c r="J145" i="18"/>
  <c r="J136" i="18"/>
  <c r="J99" i="18"/>
  <c r="J60" i="18"/>
  <c r="J48" i="18"/>
  <c r="J30" i="18"/>
  <c r="J21" i="18"/>
  <c r="V21" i="18" s="1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5" i="18"/>
  <c r="F23" i="3"/>
  <c r="X142" i="18"/>
  <c r="H20" i="3" s="1"/>
  <c r="X80" i="18"/>
  <c r="H15" i="3" s="1"/>
  <c r="I80" i="18"/>
  <c r="F15" i="3" s="1"/>
  <c r="I89" i="18"/>
  <c r="F16" i="3" s="1"/>
  <c r="I145" i="18"/>
  <c r="F21" i="3"/>
  <c r="X48" i="18"/>
  <c r="H13" i="3" s="1"/>
  <c r="M51" i="2"/>
  <c r="M46" i="2"/>
  <c r="W30" i="18"/>
  <c r="W13" i="18"/>
  <c r="G12" i="2"/>
  <c r="M54" i="2"/>
  <c r="M41" i="2"/>
  <c r="M32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4" i="18"/>
  <c r="Q43" i="18" s="1"/>
  <c r="O100" i="18"/>
  <c r="Q101" i="18" s="1"/>
  <c r="O66" i="18"/>
  <c r="Q66" i="18" s="1"/>
  <c r="I136" i="18"/>
  <c r="F19" i="3"/>
  <c r="E16" i="2"/>
  <c r="G16" i="2"/>
  <c r="E15" i="2"/>
  <c r="G15" i="2"/>
  <c r="G19" i="2"/>
  <c r="G18" i="2" s="1"/>
  <c r="E18" i="2"/>
  <c r="E13" i="2"/>
  <c r="E14" i="2" s="1"/>
  <c r="G14" i="2"/>
  <c r="Z42" i="18"/>
  <c r="Z43" i="18" s="1"/>
  <c r="X21" i="18"/>
  <c r="H11" i="3" s="1"/>
  <c r="G3" i="6"/>
  <c r="F3" i="6"/>
  <c r="F4" i="6" s="1"/>
  <c r="G9" i="6"/>
  <c r="F9" i="6"/>
  <c r="F10" i="6" s="1"/>
  <c r="G10" i="6" s="1"/>
  <c r="X152" i="18"/>
  <c r="U162" i="18" s="1"/>
  <c r="I99" i="18"/>
  <c r="Q36" i="18"/>
  <c r="Q108" i="18"/>
  <c r="Q106" i="18"/>
  <c r="F18" i="2"/>
  <c r="W122" i="18"/>
  <c r="W34" i="18"/>
  <c r="H68" i="18"/>
  <c r="H124" i="18"/>
  <c r="I42" i="2"/>
  <c r="K42" i="2"/>
  <c r="T123" i="18"/>
  <c r="H70" i="18"/>
  <c r="H126" i="18"/>
  <c r="X6" i="18"/>
  <c r="H9" i="3" s="1"/>
  <c r="F10" i="3"/>
  <c r="J10" i="3" s="1"/>
  <c r="Q38" i="18"/>
  <c r="Q42" i="18"/>
  <c r="Q35" i="18"/>
  <c r="Q41" i="18"/>
  <c r="U140" i="18"/>
  <c r="Q34" i="18"/>
  <c r="W67" i="18"/>
  <c r="H72" i="18"/>
  <c r="H73" i="18"/>
  <c r="H41" i="18"/>
  <c r="F18" i="5"/>
  <c r="H128" i="18"/>
  <c r="N26" i="2"/>
  <c r="G13" i="2"/>
  <c r="G42" i="2"/>
  <c r="E37" i="2"/>
  <c r="G37" i="2"/>
  <c r="E34" i="2"/>
  <c r="G34" i="2" s="1"/>
  <c r="E35" i="2"/>
  <c r="G35" i="2" s="1"/>
  <c r="N16" i="2"/>
  <c r="I14" i="2"/>
  <c r="E11" i="2"/>
  <c r="G27" i="2"/>
  <c r="K34" i="2"/>
  <c r="K35" i="2"/>
  <c r="I43" i="2"/>
  <c r="I41" i="2" s="1"/>
  <c r="I37" i="2"/>
  <c r="K37" i="2" s="1"/>
  <c r="K24" i="2"/>
  <c r="N24" i="2" s="1"/>
  <c r="V13" i="18"/>
  <c r="T34" i="18"/>
  <c r="T35" i="18"/>
  <c r="T67" i="18"/>
  <c r="K14" i="2"/>
  <c r="N34" i="2"/>
  <c r="V6" i="18"/>
  <c r="K43" i="2"/>
  <c r="K29" i="2"/>
  <c r="N28" i="2"/>
  <c r="T38" i="18"/>
  <c r="K48" i="2"/>
  <c r="I49" i="2" s="1"/>
  <c r="K49" i="2" s="1"/>
  <c r="W126" i="18"/>
  <c r="W70" i="18"/>
  <c r="W38" i="18"/>
  <c r="W68" i="18"/>
  <c r="W124" i="18"/>
  <c r="W36" i="18"/>
  <c r="T36" i="18"/>
  <c r="T124" i="18"/>
  <c r="T68" i="18"/>
  <c r="E13" i="5"/>
  <c r="C3" i="6"/>
  <c r="F20" i="5"/>
  <c r="E15" i="5"/>
  <c r="N48" i="2" l="1"/>
  <c r="J9" i="2"/>
  <c r="I52" i="2"/>
  <c r="I51" i="2" s="1"/>
  <c r="H21" i="3"/>
  <c r="J21" i="3" s="1"/>
  <c r="U146" i="18"/>
  <c r="U149" i="18"/>
  <c r="J9" i="3"/>
  <c r="U161" i="18"/>
  <c r="Q40" i="18"/>
  <c r="U159" i="18"/>
  <c r="U160" i="18"/>
  <c r="U158" i="18"/>
  <c r="U145" i="18"/>
  <c r="J2" i="18"/>
  <c r="J4" i="18" s="1"/>
  <c r="U163" i="18"/>
  <c r="H67" i="18"/>
  <c r="U58" i="18"/>
  <c r="H22" i="3"/>
  <c r="J22" i="3" s="1"/>
  <c r="H123" i="18"/>
  <c r="U57" i="18"/>
  <c r="V48" i="18" s="1"/>
  <c r="Q128" i="18"/>
  <c r="Q122" i="18"/>
  <c r="H16" i="3"/>
  <c r="J16" i="3" s="1"/>
  <c r="U97" i="18"/>
  <c r="U94" i="18"/>
  <c r="U89" i="18"/>
  <c r="J15" i="3"/>
  <c r="J13" i="3"/>
  <c r="Z22" i="18"/>
  <c r="Z23" i="18" s="1"/>
  <c r="Z24" i="18" s="1"/>
  <c r="U136" i="18"/>
  <c r="V136" i="18" s="1"/>
  <c r="J20" i="3"/>
  <c r="J11" i="3"/>
  <c r="G4" i="6"/>
  <c r="J19" i="3"/>
  <c r="J23" i="3"/>
  <c r="I114" i="18"/>
  <c r="F18" i="3" s="1"/>
  <c r="N15" i="2"/>
  <c r="I11" i="2"/>
  <c r="I38" i="2"/>
  <c r="I44" i="2"/>
  <c r="H74" i="18"/>
  <c r="H130" i="18"/>
  <c r="H42" i="18"/>
  <c r="N14" i="2"/>
  <c r="K11" i="2"/>
  <c r="H43" i="18"/>
  <c r="H131" i="18"/>
  <c r="N35" i="2"/>
  <c r="E22" i="5"/>
  <c r="N43" i="2"/>
  <c r="N37" i="2"/>
  <c r="I36" i="2"/>
  <c r="F22" i="5"/>
  <c r="E43" i="2"/>
  <c r="E44" i="2"/>
  <c r="G44" i="2" s="1"/>
  <c r="K41" i="2"/>
  <c r="J41" i="2" s="1"/>
  <c r="F17" i="3"/>
  <c r="F5" i="3" s="1"/>
  <c r="D5" i="5" s="1"/>
  <c r="Q107" i="18"/>
  <c r="Q109" i="18"/>
  <c r="Q100" i="18"/>
  <c r="Q104" i="18"/>
  <c r="Q102" i="18"/>
  <c r="N49" i="2"/>
  <c r="N42" i="2"/>
  <c r="U148" i="18"/>
  <c r="U147" i="18"/>
  <c r="U150" i="18"/>
  <c r="Q71" i="18"/>
  <c r="Q67" i="18"/>
  <c r="Q75" i="18"/>
  <c r="Q72" i="18"/>
  <c r="Q73" i="18"/>
  <c r="Q74" i="18"/>
  <c r="U91" i="18"/>
  <c r="U95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29" i="2"/>
  <c r="K30" i="2"/>
  <c r="N30" i="2" s="1"/>
  <c r="K52" i="2"/>
  <c r="I55" i="2"/>
  <c r="S19" i="2"/>
  <c r="S23" i="2" s="1"/>
  <c r="S24" i="2" s="1"/>
  <c r="T126" i="18"/>
  <c r="T70" i="18"/>
  <c r="V152" i="18"/>
  <c r="Q69" i="18"/>
  <c r="Q105" i="18"/>
  <c r="Q103" i="18"/>
  <c r="Q39" i="18"/>
  <c r="Q37" i="18"/>
  <c r="Q127" i="18"/>
  <c r="Q125" i="18"/>
  <c r="I2" i="18" l="1"/>
  <c r="V145" i="18"/>
  <c r="N41" i="2"/>
  <c r="N11" i="2"/>
  <c r="H4" i="6"/>
  <c r="K25" i="2"/>
  <c r="N25" i="2"/>
  <c r="K27" i="2"/>
  <c r="K23" i="2" s="1"/>
  <c r="I47" i="2" s="1"/>
  <c r="G43" i="2"/>
  <c r="E41" i="2"/>
  <c r="F48" i="5"/>
  <c r="F4" i="5"/>
  <c r="C9" i="6" s="1"/>
  <c r="J11" i="2"/>
  <c r="F25" i="3"/>
  <c r="F23" i="2"/>
  <c r="J1" i="6"/>
  <c r="I9" i="6"/>
  <c r="I3" i="6"/>
  <c r="H9" i="6"/>
  <c r="I5" i="6"/>
  <c r="H5" i="6"/>
  <c r="V89" i="18"/>
  <c r="G5" i="6"/>
  <c r="F5" i="6"/>
  <c r="K44" i="2"/>
  <c r="I39" i="2" s="1"/>
  <c r="I23" i="2"/>
  <c r="K36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K38" i="2"/>
  <c r="N38" i="2" s="1"/>
  <c r="C5" i="6"/>
  <c r="D6" i="5"/>
  <c r="D7" i="5" s="1"/>
  <c r="K51" i="2"/>
  <c r="J51" i="2" s="1"/>
  <c r="I56" i="2"/>
  <c r="K55" i="2"/>
  <c r="N55" i="2" s="1"/>
  <c r="N52" i="2"/>
  <c r="N51" i="2" s="1"/>
  <c r="X114" i="18"/>
  <c r="X30" i="18"/>
  <c r="U39" i="18"/>
  <c r="X99" i="18"/>
  <c r="U105" i="18"/>
  <c r="X60" i="18"/>
  <c r="U71" i="18" s="1"/>
  <c r="N27" i="2" l="1"/>
  <c r="N23" i="2" s="1"/>
  <c r="K39" i="2"/>
  <c r="N39" i="2" s="1"/>
  <c r="N32" i="2" s="1"/>
  <c r="F6" i="6"/>
  <c r="F44" i="5"/>
  <c r="F45" i="5"/>
  <c r="F46" i="5"/>
  <c r="F43" i="5"/>
  <c r="F42" i="5"/>
  <c r="I32" i="2"/>
  <c r="G41" i="2"/>
  <c r="F41" i="2" s="1"/>
  <c r="E39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6" i="2"/>
  <c r="K1" i="6"/>
  <c r="J3" i="6"/>
  <c r="J9" i="6"/>
  <c r="J5" i="6"/>
  <c r="I4" i="6"/>
  <c r="N44" i="2"/>
  <c r="J23" i="2"/>
  <c r="I46" i="2"/>
  <c r="K47" i="2"/>
  <c r="K56" i="2"/>
  <c r="N56" i="2" s="1"/>
  <c r="U119" i="18"/>
  <c r="U127" i="18"/>
  <c r="U74" i="18"/>
  <c r="U77" i="18"/>
  <c r="U63" i="18"/>
  <c r="U64" i="18"/>
  <c r="U73" i="18"/>
  <c r="U60" i="18"/>
  <c r="H14" i="3"/>
  <c r="J14" i="3" s="1"/>
  <c r="U72" i="18"/>
  <c r="U65" i="18"/>
  <c r="U78" i="18"/>
  <c r="U76" i="18"/>
  <c r="U62" i="18"/>
  <c r="U75" i="18"/>
  <c r="U69" i="18"/>
  <c r="U107" i="18"/>
  <c r="U99" i="18"/>
  <c r="H17" i="3"/>
  <c r="J17" i="3" s="1"/>
  <c r="U111" i="18"/>
  <c r="U112" i="18"/>
  <c r="U110" i="18"/>
  <c r="U109" i="18"/>
  <c r="U106" i="18"/>
  <c r="U108" i="18"/>
  <c r="U103" i="18"/>
  <c r="U33" i="18"/>
  <c r="U44" i="18"/>
  <c r="U46" i="18"/>
  <c r="U40" i="18"/>
  <c r="U42" i="18"/>
  <c r="U41" i="18"/>
  <c r="U43" i="18"/>
  <c r="H12" i="3"/>
  <c r="U45" i="18"/>
  <c r="U32" i="18"/>
  <c r="X2" i="18"/>
  <c r="U37" i="18"/>
  <c r="U129" i="18"/>
  <c r="U131" i="18"/>
  <c r="H18" i="3"/>
  <c r="J18" i="3" s="1"/>
  <c r="U114" i="18"/>
  <c r="U132" i="18"/>
  <c r="U121" i="18"/>
  <c r="U120" i="18"/>
  <c r="U133" i="18"/>
  <c r="U134" i="18"/>
  <c r="U128" i="18"/>
  <c r="U130" i="18"/>
  <c r="U125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2" i="2"/>
  <c r="J32" i="2" s="1"/>
  <c r="G6" i="6"/>
  <c r="F7" i="6"/>
  <c r="G39" i="2"/>
  <c r="G32" i="2" s="1"/>
  <c r="E32" i="2"/>
  <c r="K46" i="2"/>
  <c r="N47" i="2"/>
  <c r="N46" i="2" s="1"/>
  <c r="W107" i="18"/>
  <c r="I58" i="2"/>
  <c r="W109" i="18"/>
  <c r="W108" i="18"/>
  <c r="V114" i="18"/>
  <c r="V30" i="18"/>
  <c r="J12" i="3"/>
  <c r="J5" i="3" s="1"/>
  <c r="H5" i="3"/>
  <c r="V99" i="18"/>
  <c r="V60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2" i="2"/>
  <c r="E47" i="2"/>
  <c r="K3" i="6"/>
  <c r="K4" i="6" s="1"/>
  <c r="J46" i="2"/>
  <c r="I57" i="2"/>
  <c r="W106" i="18"/>
  <c r="W136" i="18"/>
  <c r="T136" i="18" s="1"/>
  <c r="W145" i="18"/>
  <c r="T145" i="18" s="1"/>
  <c r="W130" i="18"/>
  <c r="T108" i="18"/>
  <c r="W74" i="18"/>
  <c r="W42" i="18"/>
  <c r="W43" i="18"/>
  <c r="W131" i="18"/>
  <c r="W75" i="18"/>
  <c r="T109" i="18"/>
  <c r="K58" i="2"/>
  <c r="N58" i="2" s="1"/>
  <c r="W129" i="18"/>
  <c r="W41" i="18"/>
  <c r="W73" i="18"/>
  <c r="T107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2" i="2"/>
  <c r="G47" i="2"/>
  <c r="N1" i="6"/>
  <c r="M3" i="6" s="1"/>
  <c r="M5" i="6"/>
  <c r="L10" i="6"/>
  <c r="W128" i="18"/>
  <c r="T106" i="18"/>
  <c r="W40" i="18"/>
  <c r="W72" i="18"/>
  <c r="J11" i="6" s="1"/>
  <c r="K57" i="2"/>
  <c r="N57" i="2" s="1"/>
  <c r="T73" i="18"/>
  <c r="T41" i="18"/>
  <c r="T129" i="18"/>
  <c r="T75" i="18"/>
  <c r="T131" i="18"/>
  <c r="T43" i="18"/>
  <c r="T130" i="18"/>
  <c r="T42" i="18"/>
  <c r="T74" i="18"/>
  <c r="I59" i="2"/>
  <c r="C11" i="6"/>
  <c r="F6" i="5"/>
  <c r="F7" i="5" s="1"/>
  <c r="G11" i="6" l="1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49" i="2"/>
  <c r="G52" i="2"/>
  <c r="E51" i="2"/>
  <c r="E55" i="2"/>
  <c r="M11" i="6"/>
  <c r="J6" i="6"/>
  <c r="I7" i="6"/>
  <c r="K11" i="6"/>
  <c r="I11" i="6"/>
  <c r="L11" i="6"/>
  <c r="T40" i="18"/>
  <c r="T128" i="18"/>
  <c r="T72" i="18"/>
  <c r="H11" i="6"/>
  <c r="K59" i="2"/>
  <c r="N59" i="2" s="1"/>
  <c r="I60" i="2"/>
  <c r="I54" i="2" s="1"/>
  <c r="K17" i="6" l="1"/>
  <c r="G12" i="6"/>
  <c r="G14" i="6" s="1"/>
  <c r="G55" i="2"/>
  <c r="G49" i="2"/>
  <c r="E46" i="2"/>
  <c r="P1" i="6"/>
  <c r="O3" i="6"/>
  <c r="O9" i="6"/>
  <c r="O5" i="6"/>
  <c r="O11" i="6"/>
  <c r="N9" i="6"/>
  <c r="N10" i="6" s="1"/>
  <c r="E56" i="2"/>
  <c r="G56" i="2" s="1"/>
  <c r="E58" i="2" s="1"/>
  <c r="G58" i="2" s="1"/>
  <c r="E59" i="2" s="1"/>
  <c r="G51" i="2"/>
  <c r="F51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0" i="2"/>
  <c r="N60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6" i="2"/>
  <c r="G59" i="2"/>
  <c r="E60" i="2"/>
  <c r="G60" i="2" s="1"/>
  <c r="N54" i="2"/>
  <c r="N9" i="2" s="1"/>
  <c r="K54" i="2"/>
  <c r="J54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6" i="2"/>
  <c r="E57" i="2"/>
  <c r="P11" i="6"/>
  <c r="P9" i="6"/>
  <c r="P10" i="6" s="1"/>
  <c r="P5" i="6"/>
  <c r="J12" i="6"/>
  <c r="I14" i="6"/>
  <c r="P18" i="6" l="1"/>
  <c r="G57" i="2"/>
  <c r="G54" i="2" s="1"/>
  <c r="F54" i="2" s="1"/>
  <c r="E54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X45" i="1" l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T10" i="6" s="1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8" i="6" l="1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D18" i="6" s="1"/>
  <c r="AC5" i="6"/>
  <c r="AC3" i="6"/>
  <c r="AC4" i="6" s="1"/>
  <c r="V14" i="6"/>
  <c r="W12" i="6"/>
  <c r="AJ45" i="1" l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E18" i="6" s="1"/>
  <c r="AD3" i="6"/>
  <c r="AD4" i="6" s="1"/>
  <c r="AA6" i="6"/>
  <c r="Z7" i="6"/>
  <c r="X12" i="6"/>
  <c r="W14" i="6"/>
  <c r="AB6" i="6" l="1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F18" i="6" s="1"/>
  <c r="AE3" i="6"/>
  <c r="AE4" i="6" s="1"/>
  <c r="Y12" i="6"/>
  <c r="X14" i="6"/>
  <c r="AF4" i="6" l="1"/>
  <c r="AH1" i="6"/>
  <c r="AG3" i="6"/>
  <c r="AG9" i="6"/>
  <c r="AG10" i="6" s="1"/>
  <c r="AG5" i="6"/>
  <c r="AG11" i="6"/>
  <c r="AG17" i="6"/>
  <c r="AG18" i="6" s="1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I1" i="6" l="1"/>
  <c r="AH9" i="6"/>
  <c r="AH10" i="6" s="1"/>
  <c r="AH5" i="6"/>
  <c r="AH11" i="6"/>
  <c r="AH17" i="6"/>
  <c r="AH18" i="6" s="1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E6" i="6" l="1"/>
  <c r="AD7" i="6"/>
  <c r="AJ1" i="6"/>
  <c r="AI17" i="6"/>
  <c r="AI18" i="6" s="1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K1" i="6" l="1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T10" i="6" s="1"/>
  <c r="AM12" i="6"/>
  <c r="AL14" i="6"/>
  <c r="AV1" i="6" l="1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BA10" i="6" s="1"/>
  <c r="AS14" i="6"/>
  <c r="AT12" i="6"/>
  <c r="BB3" i="6" l="1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G18" i="6" s="1"/>
  <c r="CC6" i="6"/>
  <c r="CB7" i="6"/>
  <c r="CF10" i="6"/>
  <c r="CF4" i="6"/>
  <c r="BZ12" i="6"/>
  <c r="BY14" i="6"/>
  <c r="CD6" i="6" l="1"/>
  <c r="CC7" i="6"/>
  <c r="CI1" i="6"/>
  <c r="CH9" i="6"/>
  <c r="CH5" i="6"/>
  <c r="CH11" i="6"/>
  <c r="CH17" i="6"/>
  <c r="CH18" i="6" s="1"/>
  <c r="CG3" i="6"/>
  <c r="CG4" i="6" s="1"/>
  <c r="CG9" i="6"/>
  <c r="CG10" i="6" s="1"/>
  <c r="BZ14" i="6"/>
  <c r="CA12" i="6"/>
  <c r="CH10" i="6" l="1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O18" i="6" s="1"/>
  <c r="CH12" i="6"/>
  <c r="CG14" i="6"/>
  <c r="CO4" i="6" l="1"/>
  <c r="CP9" i="6"/>
  <c r="CP10" i="6" s="1"/>
  <c r="CQ1" i="6"/>
  <c r="CP3" i="6"/>
  <c r="CP5" i="6"/>
  <c r="CP11" i="6"/>
  <c r="CP17" i="6"/>
  <c r="CP18" i="6" s="1"/>
  <c r="CL6" i="6"/>
  <c r="CK7" i="6"/>
  <c r="CI12" i="6"/>
  <c r="CH14" i="6"/>
  <c r="CP4" i="6" l="1"/>
  <c r="CM6" i="6"/>
  <c r="CL7" i="6"/>
  <c r="CR1" i="6"/>
  <c r="CQ3" i="6"/>
  <c r="CQ9" i="6"/>
  <c r="CQ10" i="6" s="1"/>
  <c r="CQ5" i="6"/>
  <c r="CQ11" i="6"/>
  <c r="CQ17" i="6"/>
  <c r="CQ18" i="6" s="1"/>
  <c r="CI14" i="6"/>
  <c r="CJ12" i="6"/>
  <c r="CS1" i="6" l="1"/>
  <c r="CR5" i="6"/>
  <c r="CR11" i="6"/>
  <c r="CR17" i="6"/>
  <c r="CR18" i="6" s="1"/>
  <c r="CN6" i="6"/>
  <c r="CM7" i="6"/>
  <c r="CQ4" i="6"/>
  <c r="CJ14" i="6"/>
  <c r="CK12" i="6"/>
  <c r="CO6" i="6" l="1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I10" i="6" s="1"/>
  <c r="DH3" i="6"/>
  <c r="DH4" i="6" s="1"/>
  <c r="DB12" i="6"/>
  <c r="DA14" i="6"/>
  <c r="DF6" i="6" l="1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10" i="6" s="1"/>
  <c r="DM5" i="6"/>
  <c r="DM11" i="6"/>
  <c r="DM17" i="6"/>
  <c r="DM18" i="6" s="1"/>
  <c r="DL3" i="6"/>
  <c r="DL4" i="6" s="1"/>
  <c r="DE14" i="6"/>
  <c r="DF12" i="6"/>
  <c r="DJ6" i="6" l="1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Z10" i="6" s="1"/>
  <c r="DR14" i="6"/>
  <c r="DS12" i="6"/>
  <c r="DZ18" i="6" l="1"/>
  <c r="DZ4" i="6"/>
  <c r="DW6" i="6"/>
  <c r="DV7" i="6"/>
  <c r="EA5" i="6"/>
  <c r="EB1" i="6"/>
  <c r="EA3" i="6" s="1"/>
  <c r="EA9" i="6"/>
  <c r="EA10" i="6" s="1"/>
  <c r="EA11" i="6"/>
  <c r="EA17" i="6"/>
  <c r="EA18" i="6" s="1"/>
  <c r="DS14" i="6"/>
  <c r="DT12" i="6"/>
  <c r="EA4" i="6" l="1"/>
  <c r="EC1" i="6"/>
  <c r="EB9" i="6"/>
  <c r="EB10" i="6" s="1"/>
  <c r="EB5" i="6"/>
  <c r="EB3" i="6"/>
  <c r="EB11" i="6"/>
  <c r="EB17" i="6"/>
  <c r="EB18" i="6" s="1"/>
  <c r="DX6" i="6"/>
  <c r="DW7" i="6"/>
  <c r="DU12" i="6"/>
  <c r="DT14" i="6"/>
  <c r="DY6" i="6" l="1"/>
  <c r="DX7" i="6"/>
  <c r="EC9" i="6"/>
  <c r="EC10" i="6" s="1"/>
  <c r="ED1" i="6"/>
  <c r="EC5" i="6"/>
  <c r="EC3" i="6"/>
  <c r="EC11" i="6"/>
  <c r="EC17" i="6"/>
  <c r="EC18" i="6" s="1"/>
  <c r="EB4" i="6"/>
  <c r="DV12" i="6"/>
  <c r="DU14" i="6"/>
  <c r="EC4" i="6" l="1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I18" i="6" s="1"/>
  <c r="EH5" i="6"/>
  <c r="EH3" i="6"/>
  <c r="EH4" i="6" s="1"/>
  <c r="EH9" i="6"/>
  <c r="EH10" i="6" s="1"/>
  <c r="EE6" i="6"/>
  <c r="ED7" i="6"/>
  <c r="EA14" i="6"/>
  <c r="EB12" i="6"/>
  <c r="EI10" i="6" l="1"/>
  <c r="EI4" i="6"/>
  <c r="EF6" i="6"/>
  <c r="EE7" i="6"/>
  <c r="EK1" i="6"/>
  <c r="EJ3" i="6"/>
  <c r="EJ9" i="6"/>
  <c r="EJ10" i="6" s="1"/>
  <c r="EJ5" i="6"/>
  <c r="EJ11" i="6"/>
  <c r="EJ17" i="6"/>
  <c r="EJ18" i="6" s="1"/>
  <c r="EC12" i="6"/>
  <c r="EB14" i="6"/>
  <c r="EG6" i="6" l="1"/>
  <c r="EF7" i="6"/>
  <c r="EJ4" i="6"/>
  <c r="EL1" i="6"/>
  <c r="EK9" i="6" s="1"/>
  <c r="EK10" i="6" s="1"/>
  <c r="EK5" i="6"/>
  <c r="EK11" i="6"/>
  <c r="EK17" i="6"/>
  <c r="EK18" i="6" s="1"/>
  <c r="EC14" i="6"/>
  <c r="ED12" i="6"/>
  <c r="EM1" i="6" l="1"/>
  <c r="EL9" i="6"/>
  <c r="EL10" i="6" s="1"/>
  <c r="EL5" i="6"/>
  <c r="EL11" i="6"/>
  <c r="EL17" i="6"/>
  <c r="EL18" i="6" s="1"/>
  <c r="EK3" i="6"/>
  <c r="EK4" i="6" s="1"/>
  <c r="EH6" i="6"/>
  <c r="EG7" i="6"/>
  <c r="EE12" i="6"/>
  <c r="ED14" i="6"/>
  <c r="EI6" i="6" l="1"/>
  <c r="EH7" i="6"/>
  <c r="EN1" i="6"/>
  <c r="EM3" i="6"/>
  <c r="EM5" i="6"/>
  <c r="EM9" i="6"/>
  <c r="EM10" i="6" s="1"/>
  <c r="EM11" i="6"/>
  <c r="EM17" i="6"/>
  <c r="EM18" i="6" s="1"/>
  <c r="EL3" i="6"/>
  <c r="EL4" i="6" s="1"/>
  <c r="EF12" i="6"/>
  <c r="EE14" i="6"/>
  <c r="EM4" i="6" l="1"/>
  <c r="EO1" i="6"/>
  <c r="EN5" i="6"/>
  <c r="EN17" i="6"/>
  <c r="EN18" i="6" s="1"/>
  <c r="EN11" i="6"/>
  <c r="EJ6" i="6"/>
  <c r="EI7" i="6"/>
  <c r="EG12" i="6"/>
  <c r="EF14" i="6"/>
  <c r="EK6" i="6" l="1"/>
  <c r="EJ7" i="6"/>
  <c r="EP1" i="6"/>
  <c r="EO9" i="6" s="1"/>
  <c r="EO5" i="6"/>
  <c r="EO3" i="6"/>
  <c r="EO11" i="6"/>
  <c r="EO17" i="6"/>
  <c r="EO18" i="6" s="1"/>
  <c r="EN3" i="6"/>
  <c r="EN4" i="6" s="1"/>
  <c r="EN9" i="6"/>
  <c r="EN10" i="6" s="1"/>
  <c r="EG14" i="6"/>
  <c r="EH12" i="6"/>
  <c r="EO4" i="6" l="1"/>
  <c r="EO10" i="6"/>
  <c r="EL6" i="6"/>
  <c r="EK7" i="6"/>
  <c r="EQ1" i="6"/>
  <c r="EP11" i="6"/>
  <c r="EP17" i="6"/>
  <c r="EP18" i="6" s="1"/>
  <c r="EI12" i="6"/>
  <c r="EH14" i="6"/>
  <c r="ER1" i="6" l="1"/>
  <c r="EQ3" i="6"/>
  <c r="EQ5" i="6"/>
  <c r="EQ9" i="6"/>
  <c r="EQ11" i="6"/>
  <c r="EQ17" i="6"/>
  <c r="EQ18" i="6" s="1"/>
  <c r="EP9" i="6"/>
  <c r="EP10" i="6" s="1"/>
  <c r="EQ10" i="6" s="1"/>
  <c r="EP5" i="6"/>
  <c r="EP3" i="6"/>
  <c r="EP4" i="6" s="1"/>
  <c r="EM6" i="6"/>
  <c r="EL7" i="6"/>
  <c r="EI14" i="6"/>
  <c r="EJ12" i="6"/>
  <c r="EQ4" i="6" l="1"/>
  <c r="EN6" i="6"/>
  <c r="EM7" i="6"/>
  <c r="ES1" i="6"/>
  <c r="ER9" i="6"/>
  <c r="ER10" i="6" s="1"/>
  <c r="ER5" i="6"/>
  <c r="ER11" i="6"/>
  <c r="ER17" i="6"/>
  <c r="ER18" i="6" s="1"/>
  <c r="EJ14" i="6"/>
  <c r="EK12" i="6"/>
  <c r="ET1" i="6" l="1"/>
  <c r="ES11" i="6"/>
  <c r="ES17" i="6"/>
  <c r="ES18" i="6" s="1"/>
  <c r="ER3" i="6"/>
  <c r="ER4" i="6" s="1"/>
  <c r="EO6" i="6"/>
  <c r="EN7" i="6"/>
  <c r="EL12" i="6"/>
  <c r="EK14" i="6"/>
  <c r="EP6" i="6" l="1"/>
  <c r="EO7" i="6"/>
  <c r="EU1" i="6"/>
  <c r="ET9" i="6"/>
  <c r="ET5" i="6"/>
  <c r="ET3" i="6"/>
  <c r="ET11" i="6"/>
  <c r="ET17" i="6"/>
  <c r="ET18" i="6" s="1"/>
  <c r="ES5" i="6"/>
  <c r="ES9" i="6"/>
  <c r="ES10" i="6" s="1"/>
  <c r="ES3" i="6"/>
  <c r="ES4" i="6" s="1"/>
  <c r="EL14" i="6"/>
  <c r="EM12" i="6"/>
  <c r="ET10" i="6" l="1"/>
  <c r="EV1" i="6"/>
  <c r="EU3" i="6"/>
  <c r="EU9" i="6"/>
  <c r="EU10" i="6" s="1"/>
  <c r="EU5" i="6"/>
  <c r="EU11" i="6"/>
  <c r="EU17" i="6"/>
  <c r="EU18" i="6" s="1"/>
  <c r="EQ6" i="6"/>
  <c r="EP7" i="6"/>
  <c r="ET4" i="6"/>
  <c r="EM14" i="6"/>
  <c r="EN12" i="6"/>
  <c r="EU4" i="6" l="1"/>
  <c r="ER6" i="6"/>
  <c r="EQ7" i="6"/>
  <c r="EW1" i="6"/>
  <c r="EV11" i="6"/>
  <c r="EV17" i="6"/>
  <c r="EV18" i="6" s="1"/>
  <c r="EN14" i="6"/>
  <c r="EO12" i="6"/>
  <c r="EX1" i="6" l="1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Z18" i="6" s="1"/>
  <c r="EV6" i="6"/>
  <c r="EU7" i="6"/>
  <c r="EY4" i="6"/>
  <c r="EY9" i="6"/>
  <c r="EY10" i="6" s="1"/>
  <c r="ER14" i="6"/>
  <c r="ES12" i="6"/>
  <c r="EZ10" i="6" l="1"/>
  <c r="EZ4" i="6"/>
  <c r="EW6" i="6"/>
  <c r="EV7" i="6"/>
  <c r="FB1" i="6"/>
  <c r="FA9" i="6" s="1"/>
  <c r="FA10" i="6" s="1"/>
  <c r="FA5" i="6"/>
  <c r="FA11" i="6"/>
  <c r="FA17" i="6"/>
  <c r="FA18" i="6" s="1"/>
  <c r="ES14" i="6"/>
  <c r="ET12" i="6"/>
  <c r="EX6" i="6" l="1"/>
  <c r="EW7" i="6"/>
  <c r="FC1" i="6"/>
  <c r="FB9" i="6"/>
  <c r="FB10" i="6" s="1"/>
  <c r="FB3" i="6"/>
  <c r="FB5" i="6"/>
  <c r="FB11" i="6"/>
  <c r="FB17" i="6"/>
  <c r="FB18" i="6" s="1"/>
  <c r="FA3" i="6"/>
  <c r="FA4" i="6" s="1"/>
  <c r="EU12" i="6"/>
  <c r="ET14" i="6"/>
  <c r="FB4" i="6" l="1"/>
  <c r="FD1" i="6"/>
  <c r="FC5" i="6"/>
  <c r="FC11" i="6"/>
  <c r="FC17" i="6"/>
  <c r="FC18" i="6" s="1"/>
  <c r="EY6" i="6"/>
  <c r="EX7" i="6"/>
  <c r="EV12" i="6"/>
  <c r="EU14" i="6"/>
  <c r="EZ6" i="6" l="1"/>
  <c r="EY7" i="6"/>
  <c r="FE1" i="6"/>
  <c r="FD9" i="6"/>
  <c r="FD3" i="6"/>
  <c r="FD5" i="6"/>
  <c r="FD11" i="6"/>
  <c r="FD17" i="6"/>
  <c r="FD18" i="6" s="1"/>
  <c r="FC9" i="6"/>
  <c r="FC10" i="6" s="1"/>
  <c r="FD10" i="6" s="1"/>
  <c r="FC3" i="6"/>
  <c r="FC4" i="6" s="1"/>
  <c r="EW12" i="6"/>
  <c r="EV14" i="6"/>
  <c r="FD4" i="6" l="1"/>
  <c r="FF1" i="6"/>
  <c r="FE3" i="6"/>
  <c r="FE5" i="6"/>
  <c r="FE11" i="6"/>
  <c r="FE17" i="6"/>
  <c r="FE18" i="6" s="1"/>
  <c r="FA6" i="6"/>
  <c r="EZ7" i="6"/>
  <c r="EW14" i="6"/>
  <c r="EX12" i="6"/>
  <c r="FB6" i="6" l="1"/>
  <c r="FA7" i="6"/>
  <c r="FG1" i="6"/>
  <c r="FF11" i="6"/>
  <c r="FF17" i="6"/>
  <c r="FF18" i="6" s="1"/>
  <c r="FE9" i="6"/>
  <c r="FE10" i="6" s="1"/>
  <c r="FE4" i="6"/>
  <c r="EY12" i="6"/>
  <c r="EX14" i="6"/>
  <c r="FH1" i="6" l="1"/>
  <c r="FG9" i="6"/>
  <c r="FG3" i="6"/>
  <c r="FG5" i="6"/>
  <c r="FG11" i="6"/>
  <c r="FG17" i="6"/>
  <c r="FG18" i="6" s="1"/>
  <c r="FF5" i="6"/>
  <c r="FF9" i="6"/>
  <c r="FF10" i="6" s="1"/>
  <c r="FG10" i="6" s="1"/>
  <c r="FF3" i="6"/>
  <c r="FF4" i="6" s="1"/>
  <c r="FC6" i="6"/>
  <c r="FB7" i="6"/>
  <c r="EY14" i="6"/>
  <c r="EZ12" i="6"/>
  <c r="FG4" i="6" l="1"/>
  <c r="FI1" i="6"/>
  <c r="FH9" i="6"/>
  <c r="FH10" i="6" s="1"/>
  <c r="FH3" i="6"/>
  <c r="FH5" i="6"/>
  <c r="FH11" i="6"/>
  <c r="FH17" i="6"/>
  <c r="FH18" i="6" s="1"/>
  <c r="FD6" i="6"/>
  <c r="FC7" i="6"/>
  <c r="EZ14" i="6"/>
  <c r="FA12" i="6"/>
  <c r="FE6" i="6" l="1"/>
  <c r="FD7" i="6"/>
  <c r="FJ1" i="6"/>
  <c r="FI11" i="6"/>
  <c r="FI17" i="6"/>
  <c r="FI18" i="6" s="1"/>
  <c r="FH4" i="6"/>
  <c r="FB12" i="6"/>
  <c r="FA14" i="6"/>
  <c r="FK1" i="6" l="1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R18" i="6" s="1"/>
  <c r="FQ9" i="6"/>
  <c r="FQ10" i="6" s="1"/>
  <c r="FR10" i="6" s="1"/>
  <c r="FQ3" i="6"/>
  <c r="FQ4" i="6" s="1"/>
  <c r="FJ14" i="6"/>
  <c r="FK12" i="6"/>
  <c r="FR4" i="6" l="1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V18" i="6" s="1"/>
  <c r="FN14" i="6"/>
  <c r="FO12" i="6"/>
  <c r="FW9" i="6" l="1"/>
  <c r="FW10" i="6" s="1"/>
  <c r="FX1" i="6"/>
  <c r="FW11" i="6"/>
  <c r="FW17" i="6"/>
  <c r="FW18" i="6" s="1"/>
  <c r="FS6" i="6"/>
  <c r="FR7" i="6"/>
  <c r="FV4" i="6"/>
  <c r="FO14" i="6"/>
  <c r="FP12" i="6"/>
  <c r="FT6" i="6" l="1"/>
  <c r="FS7" i="6"/>
  <c r="FY1" i="6"/>
  <c r="FX3" i="6"/>
  <c r="FX9" i="6"/>
  <c r="FX10" i="6" s="1"/>
  <c r="FX5" i="6"/>
  <c r="FX11" i="6"/>
  <c r="FX17" i="6"/>
  <c r="FX18" i="6" s="1"/>
  <c r="FW5" i="6"/>
  <c r="FW3" i="6"/>
  <c r="FW4" i="6" s="1"/>
  <c r="FQ12" i="6"/>
  <c r="FP14" i="6"/>
  <c r="FX4" i="6" l="1"/>
  <c r="FZ1" i="6"/>
  <c r="FY3" i="6"/>
  <c r="FY9" i="6"/>
  <c r="FY10" i="6" s="1"/>
  <c r="FY5" i="6"/>
  <c r="FY11" i="6"/>
  <c r="FY17" i="6"/>
  <c r="FY18" i="6" s="1"/>
  <c r="FU6" i="6"/>
  <c r="FT7" i="6"/>
  <c r="FR12" i="6"/>
  <c r="FQ14" i="6"/>
  <c r="FY4" i="6" l="1"/>
  <c r="FV6" i="6"/>
  <c r="FU7" i="6"/>
  <c r="GA1" i="6"/>
  <c r="FZ3" i="6"/>
  <c r="FZ9" i="6"/>
  <c r="FZ10" i="6" s="1"/>
  <c r="FZ5" i="6"/>
  <c r="FZ11" i="6"/>
  <c r="FZ17" i="6"/>
  <c r="FZ18" i="6" s="1"/>
  <c r="FS12" i="6"/>
  <c r="FR14" i="6"/>
  <c r="GB1" i="6" l="1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Q18" i="6" s="1"/>
  <c r="HP9" i="6"/>
  <c r="HP10" i="6" s="1"/>
  <c r="HP3" i="6"/>
  <c r="HP4" i="6" s="1"/>
  <c r="HM6" i="6"/>
  <c r="HL7" i="6"/>
  <c r="HJ12" i="6"/>
  <c r="HI14" i="6"/>
  <c r="HQ4" i="6" l="1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S10" i="6" s="1"/>
  <c r="HT1" i="6"/>
  <c r="HS5" i="6"/>
  <c r="HS11" i="6"/>
  <c r="HS17" i="6"/>
  <c r="HS18" i="6" s="1"/>
  <c r="HR3" i="6"/>
  <c r="HR4" i="6" s="1"/>
  <c r="HL12" i="6"/>
  <c r="HK14" i="6"/>
  <c r="HU1" i="6" l="1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U10" i="6" s="1"/>
  <c r="IT4" i="6"/>
  <c r="IM14" i="6"/>
  <c r="IN12" i="6"/>
  <c r="IW1" i="6" l="1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Y18" i="6" s="1"/>
  <c r="IX5" i="6"/>
  <c r="IX9" i="6"/>
  <c r="IX10" i="6" s="1"/>
  <c r="IX3" i="6"/>
  <c r="IX4" i="6" s="1"/>
  <c r="IU6" i="6"/>
  <c r="IT7" i="6"/>
  <c r="IQ14" i="6"/>
  <c r="IR12" i="6"/>
  <c r="IY4" i="6" l="1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V18" i="6" s="1"/>
  <c r="JU9" i="6"/>
  <c r="JU10" i="6" s="1"/>
  <c r="JU3" i="6"/>
  <c r="JU4" i="6" s="1"/>
  <c r="JR6" i="6"/>
  <c r="JQ7" i="6"/>
  <c r="JN14" i="6"/>
  <c r="JO12" i="6"/>
  <c r="JX1" i="6" l="1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E18" i="6" s="1"/>
  <c r="KD3" i="6"/>
  <c r="KD4" i="6" s="1"/>
  <c r="KA6" i="6"/>
  <c r="JZ7" i="6"/>
  <c r="JX12" i="6"/>
  <c r="JW14" i="6"/>
  <c r="KE4" i="6" l="1"/>
  <c r="KB6" i="6"/>
  <c r="KA7" i="6"/>
  <c r="KG1" i="6"/>
  <c r="KF5" i="6"/>
  <c r="KF9" i="6"/>
  <c r="KF10" i="6" s="1"/>
  <c r="KF3" i="6"/>
  <c r="KF11" i="6"/>
  <c r="KF17" i="6"/>
  <c r="KF18" i="6" s="1"/>
  <c r="JY12" i="6"/>
  <c r="JX14" i="6"/>
  <c r="KH1" i="6" l="1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W18" i="6" s="1"/>
  <c r="KS6" i="6"/>
  <c r="KR7" i="6"/>
  <c r="KP12" i="6"/>
  <c r="KO14" i="6"/>
  <c r="KT6" i="6" l="1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18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<sst xmlns="http://schemas.openxmlformats.org/spreadsheetml/2006/main" count="982" uniqueCount="578">
  <si>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</si>
  <si>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</si>
  <si>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</si>
  <si>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</si>
  <si>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</si>
  <si>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</si>
  <si>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</si>
  <si>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</si>
  <si>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</si>
  <si>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</si>
  <si>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</si>
  <si>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</si>
  <si>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</si>
  <si>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</si>
  <si>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</si>
  <si>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</si>
  <si>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</si>
  <si>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</si>
  <si>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</si>
  <si>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</si>
  <si>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</si>
  <si>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</si>
  <si>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</si>
  <si>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</si>
  <si>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</si>
  <si>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</si>
  <si>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</si>
  <si>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</si>
  <si>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</si>
  <si>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</si>
  <si>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</si>
  <si>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</si>
  <si>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</si>
  <si>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</si>
  <si>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</si>
  <si>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</si>
  <si>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</si>
  <si>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</si>
  <si>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</si>
  <si>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</si>
  <si>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</si>
  <si>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</si>
  <si>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</si>
  <si>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</si>
  <si>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</si>
  <si>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</si>
  <si>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</si>
  <si>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</si>
  <si>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</si>
  <si>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</si>
  <si>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</si>
  <si>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</si>
  <si>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</si>
  <si>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</si>
  <si>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</si>
  <si>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</si>
  <si>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</si>
  <si>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</si>
  <si>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</si>
  <si>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</si>
  <si>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</si>
  <si>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</si>
  <si>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</si>
  <si>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</si>
  <si>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</si>
  <si>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</si>
  <si>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</si>
  <si>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</si>
  <si>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</si>
  <si>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</si>
  <si>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</si>
  <si>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</si>
  <si>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</si>
  <si>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</si>
  <si>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</si>
  <si>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</si>
  <si>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</si>
  <si>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</si>
  <si>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</si>
  <si>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</si>
  <si>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</si>
  <si>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</si>
  <si>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</si>
  <si>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</si>
  <si>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</si>
  <si>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</si>
  <si>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</si>
  <si>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</si>
  <si>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</si>
  <si>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</si>
  <si>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</si>
  <si>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</si>
  <si>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</si>
  <si>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</si>
  <si>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</si>
  <si>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</si>
  <si>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</si>
  <si>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</si>
  <si>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</si>
  <si>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</si>
  <si>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</si>
  <si>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</si>
  <si>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</si>
  <si>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</si>
  <si>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</si>
  <si>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</si>
  <si>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</si>
  <si>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</si>
  <si>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</si>
  <si>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</si>
  <si>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</si>
  <si>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</si>
  <si>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</si>
  <si>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</si>
  <si>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</si>
  <si>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</si>
  <si>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</si>
  <si>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</si>
  <si>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</si>
  <si>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</si>
  <si>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</si>
  <si>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</si>
  <si>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</si>
  <si>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</si>
  <si>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</si>
  <si>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</si>
  <si>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</si>
  <si>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</si>
  <si>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</si>
  <si>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</si>
  <si>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</si>
  <si>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</si>
  <si>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</si>
  <si>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</si>
  <si>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</si>
  <si>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</si>
  <si>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</si>
  <si>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</si>
  <si>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</si>
  <si>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</si>
  <si>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</si>
  <si>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</si>
  <si>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</si>
  <si>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</si>
  <si>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</si>
  <si>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</si>
  <si>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</si>
  <si>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</si>
  <si>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</si>
  <si>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</si>
  <si>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</si>
  <si>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</si>
  <si>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</si>
  <si>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</si>
  <si>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</si>
  <si>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</si>
  <si>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</si>
  <si>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</si>
  <si>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</si>
  <si>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</si>
  <si>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</si>
  <si>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</si>
  <si>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</si>
  <si>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</si>
  <si>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</si>
  <si>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</si>
  <si>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</si>
  <si>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</si>
  <si>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</si>
  <si>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</si>
  <si>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</si>
  <si>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</si>
  <si>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</si>
  <si>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</si>
  <si>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</si>
  <si>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</si>
  <si>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</si>
  <si>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</si>
  <si>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</si>
  <si>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</si>
  <si>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</si>
  <si>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</si>
  <si>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</si>
  <si>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</si>
  <si>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</si>
  <si>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</si>
  <si>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</si>
  <si>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</si>
  <si>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</si>
  <si>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</si>
  <si>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</si>
  <si>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</si>
  <si>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</si>
  <si>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</si>
  <si>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</si>
  <si>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</si>
  <si>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</si>
  <si>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</si>
  <si>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</si>
  <si>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</si>
  <si>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</si>
  <si>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</si>
  <si>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</si>
  <si>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Inverter stands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</si>
  <si>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</si>
  <si>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</si>
  <si>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</si>
  <si>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</si>
  <si>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</si>
  <si>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</si>
  <si>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</si>
  <si>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</si>
  <si>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</si>
  <si>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</si>
  <si>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</si>
  <si>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</si>
  <si>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</si>
  <si>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</si>
  <si>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</si>
  <si>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AC Tie In 1</t>
  </si>
  <si>
    <t>3.7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</si>
  <si>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</si>
  <si>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</si>
  <si>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</si>
  <si>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</si>
  <si>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</si>
  <si>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</si>
  <si>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</si>
  <si>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</si>
  <si>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</si>
  <si>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</si>
  <si>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</si>
  <si>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</si>
  <si>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</si>
  <si>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</si>
  <si>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</si>
  <si>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</si>
  <si>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</si>
  <si>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</si>
  <si>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</si>
  <si>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</si>
  <si>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</si>
  <si>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</si>
  <si>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Commissioning - Tie In 1</t>
  </si>
  <si>
    <t>6.2</t>
  </si>
  <si>
    <t>Commissioning - Tie In 2</t>
  </si>
  <si>
    <t>6.3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</si>
  <si>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</si>
  <si>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</si>
  <si>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</si>
  <si>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</si>
  <si>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</si>
  <si>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</si>
  <si>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</si>
  <si>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</si>
  <si>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</si>
  <si>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</si>
  <si>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</si>
  <si>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</si>
  <si>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</si>
  <si>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</si>
  <si>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</si>
  <si>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</si>
  <si>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</si>
  <si>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</si>
  <si>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</si>
  <si>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</si>
  <si>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</si>
  <si>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</si>
  <si>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</si>
  <si>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</si>
  <si>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</si>
  <si>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</si>
  <si>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</si>
  <si>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</si>
  <si>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</si>
  <si>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</si>
  <si>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</si>
  <si>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</si>
  <si>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</si>
  <si>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</si>
  <si>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</si>
  <si>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</si>
  <si>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</si>
  <si>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</si>
  <si>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</si>
  <si>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</si>
  <si>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</si>
  <si>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</si>
  <si>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</si>
  <si>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</si>
  <si>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</si>
  <si>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</si>
  <si>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</si>
  <si>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</si>
  <si>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</si>
  <si>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</si>
  <si>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</si>
  <si>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</si>
  <si>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</si>
  <si>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</si>
  <si>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</si>
  <si>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</si>
  <si>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</si>
  <si>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</si>
  <si>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</si>
  <si>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</si>
  <si>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</si>
  <si>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</si>
  <si>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</si>
  <si>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</si>
  <si>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</si>
  <si>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</si>
  <si>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</si>
  <si>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</si>
  <si>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</si>
  <si>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</si>
  <si>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</si>
  <si>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</si>
  <si>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</si>
  <si>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</si>
  <si>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</si>
  <si>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</si>
  <si>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</si>
  <si>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</si>
  <si>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</si>
  <si>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</si>
  <si>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</si>
  <si>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</si>
  <si>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</si>
  <si>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</si>
  <si>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</si>
  <si>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</si>
  <si>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</si>
  <si>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</si>
  <si>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</si>
  <si>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</si>
  <si>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</si>
  <si>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</si>
  <si>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</si>
  <si>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</si>
  <si>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</si>
  <si>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</si>
  <si>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</si>
  <si>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</si>
  <si>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</si>
  <si>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</si>
  <si>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</si>
  <si>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</si>
  <si>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</si>
  <si>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</si>
  <si>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</si>
  <si>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</si>
  <si>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</si>
  <si>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</si>
  <si>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</si>
  <si>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</si>
  <si>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</si>
  <si>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</si>
  <si>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</si>
  <si>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</si>
  <si>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</si>
  <si>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</si>
  <si>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</si>
  <si>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</si>
  <si>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</si>
  <si>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</si>
  <si>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</si>
  <si>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</si>
  <si>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</si>
  <si>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</si>
  <si>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</si>
  <si>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</si>
  <si>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</si>
  <si>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</si>
  <si>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Universal KL-Clamp</t>
  </si>
  <si>
    <t>PO4553-DSHC-20260116 - RV Approved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</si>
  <si>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</si>
  <si>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</si>
  <si>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</si>
  <si>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</si>
  <si>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</si>
  <si>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</si>
  <si>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</si>
  <si>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</si>
  <si>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</si>
  <si>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</si>
  <si>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</si>
  <si>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</si>
  <si>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</si>
  <si>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</si>
  <si>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</si>
  <si>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</si>
  <si>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</si>
  <si>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</si>
  <si>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</si>
  <si>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</si>
  <si>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</si>
  <si>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</si>
  <si>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</si>
  <si>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</si>
  <si>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</si>
  <si>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</si>
  <si>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</si>
  <si>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</si>
  <si>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</si>
  <si>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</si>
  <si>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</si>
  <si>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</si>
  <si>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</si>
  <si>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</si>
  <si>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</si>
  <si>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</si>
  <si>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</si>
  <si>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</si>
  <si>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</si>
  <si>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</si>
  <si>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</si>
  <si>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</si>
  <si>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</si>
  <si>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</si>
  <si>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</si>
  <si>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</si>
  <si>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</si>
  <si>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</si>
  <si>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</si>
  <si>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</si>
  <si>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</si>
  <si>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</si>
  <si>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</si>
  <si>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</si>
  <si>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</si>
  <si>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</si>
  <si>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</si>
  <si>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</si>
  <si>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</si>
  <si>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</si>
  <si>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</si>
  <si>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</si>
  <si>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</si>
  <si>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</si>
  <si>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</si>
  <si>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</si>
  <si>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</si>
  <si>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</si>
  <si>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</si>
  <si>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</si>
  <si>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</si>
  <si>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</si>
  <si>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</si>
  <si>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</si>
  <si>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</si>
  <si>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</si>
  <si>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</si>
  <si>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</si>
  <si>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</si>
  <si>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</si>
  <si>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</si>
  <si>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</si>
  <si>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</si>
  <si>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</si>
  <si>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</si>
  <si>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</si>
  <si>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</si>
  <si>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</si>
  <si>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</si>
  <si>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</si>
  <si>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</si>
  <si>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</si>
  <si>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</si>
  <si>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</si>
  <si>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</si>
  <si>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</si>
  <si>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</si>
  <si>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</si>
  <si>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</si>
  <si>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</si>
  <si>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</si>
  <si>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</si>
  <si>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</si>
  <si>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</si>
  <si>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</si>
  <si>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</si>
  <si>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</si>
  <si>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</t>
  </si>
  <si>
    <t>PO4518-DSHC-20251203 - RV Approved</t>
  </si>
  <si>
    <t>JA Electrical - Inv 1144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</si>
  <si>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</si>
  <si>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</si>
  <si>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</si>
  <si>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</si>
  <si>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</si>
  <si>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</si>
  <si>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</si>
  <si>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</si>
  <si>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</si>
  <si>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</si>
  <si>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</si>
  <si>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</si>
  <si>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</si>
  <si>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</si>
  <si>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</si>
  <si>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</si>
  <si>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</si>
  <si>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</si>
  <si>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</si>
  <si>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</si>
  <si>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</si>
  <si>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</si>
  <si>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</si>
  <si>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</si>
  <si>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</si>
  <si>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</si>
  <si>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</si>
  <si>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</si>
  <si>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</si>
  <si>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</si>
  <si>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</si>
  <si>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</si>
  <si>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</si>
  <si>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</si>
  <si>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</si>
  <si>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</si>
  <si>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</si>
  <si>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</si>
  <si>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</si>
  <si>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</si>
  <si>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</si>
  <si>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</si>
  <si>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</si>
  <si>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</si>
  <si>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</si>
  <si>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</si>
  <si>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</si>
  <si>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</si>
  <si>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</si>
  <si>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</si>
  <si>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</si>
  <si>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</si>
  <si>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</si>
  <si>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</si>
  <si>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</si>
  <si>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</si>
  <si>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</si>
  <si>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</si>
  <si>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</si>
  <si>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</si>
  <si>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</si>
  <si>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</si>
  <si>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</si>
  <si>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</si>
  <si>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</si>
  <si>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</si>
  <si>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</si>
  <si>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</si>
  <si>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</si>
  <si>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</si>
  <si>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</si>
  <si>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</si>
  <si>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</si>
  <si>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</si>
  <si>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</si>
  <si>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</si>
  <si>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</si>
  <si>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</si>
  <si>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</si>
  <si>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</si>
  <si>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</si>
  <si>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</si>
  <si>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</si>
  <si>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</si>
  <si>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</si>
  <si>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</si>
  <si>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Tie In Kiosk</t>
  </si>
  <si>
    <t>Terragriff (254 clamps short returned) to be deducted from subbie</t>
  </si>
  <si>
    <t>Grounding Washers</t>
  </si>
  <si>
    <t>PO4571-DSHC-20260123 - RV Approved</t>
  </si>
  <si>
    <t>K2 Systems - InvSAI672026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</si>
</sst>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3" fillId="0" borderId="2" xfId="0" applyFont="1" applyFill="1" applyBorder="1" applyProtection="1">
      <protection locked="0"/>
    </xf>
    <xf numFmtId="0" fontId="5" fillId="0" borderId="2" xfId="0" applyFont="1" applyFill="1" applyBorder="1"/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6334387.688000001</c:v>
                </c:pt>
                <c:pt idx="54">
                  <c:v>6331974.2080000006</c:v>
                </c:pt>
                <c:pt idx="55">
                  <c:v>6671429.9880000008</c:v>
                </c:pt>
                <c:pt idx="56">
                  <c:v>6841731.0080000004</c:v>
                </c:pt>
                <c:pt idx="57">
                  <c:v>6995972.8023272408</c:v>
                </c:pt>
                <c:pt idx="58">
                  <c:v>7251424.3323272411</c:v>
                </c:pt>
                <c:pt idx="59">
                  <c:v>7259924.3323272411</c:v>
                </c:pt>
                <c:pt idx="60">
                  <c:v>7259924.3323272411</c:v>
                </c:pt>
                <c:pt idx="61">
                  <c:v>7345074.8423272409</c:v>
                </c:pt>
                <c:pt idx="62">
                  <c:v>7349211.2423272412</c:v>
                </c:pt>
                <c:pt idx="63">
                  <c:v>7349211.2423272412</c:v>
                </c:pt>
                <c:pt idx="64">
                  <c:v>7349211.2423272412</c:v>
                </c:pt>
                <c:pt idx="65">
                  <c:v>7349211.2423272412</c:v>
                </c:pt>
                <c:pt idx="66">
                  <c:v>7349211.2423272412</c:v>
                </c:pt>
                <c:pt idx="67">
                  <c:v>7349211.2423272412</c:v>
                </c:pt>
                <c:pt idx="68">
                  <c:v>7349211.2423272412</c:v>
                </c:pt>
                <c:pt idx="69">
                  <c:v>7349211.2423272412</c:v>
                </c:pt>
                <c:pt idx="70">
                  <c:v>7349211.2423272412</c:v>
                </c:pt>
                <c:pt idx="71">
                  <c:v>7349211.2423272412</c:v>
                </c:pt>
                <c:pt idx="72">
                  <c:v>7349211.2423272412</c:v>
                </c:pt>
                <c:pt idx="73">
                  <c:v>7349211.2423272412</c:v>
                </c:pt>
                <c:pt idx="74">
                  <c:v>7349211.2423272412</c:v>
                </c:pt>
                <c:pt idx="75">
                  <c:v>7349211.2423272412</c:v>
                </c:pt>
                <c:pt idx="76">
                  <c:v>7349211.2423272412</c:v>
                </c:pt>
                <c:pt idx="77">
                  <c:v>7349211.2423272412</c:v>
                </c:pt>
                <c:pt idx="78">
                  <c:v>7349211.2423272412</c:v>
                </c:pt>
                <c:pt idx="79">
                  <c:v>7349211.2423272412</c:v>
                </c:pt>
                <c:pt idx="80">
                  <c:v>7349211.2423272412</c:v>
                </c:pt>
                <c:pt idx="81">
                  <c:v>7349211.2423272412</c:v>
                </c:pt>
                <c:pt idx="82">
                  <c:v>7349211.2423272412</c:v>
                </c:pt>
                <c:pt idx="83">
                  <c:v>7349211.2423272412</c:v>
                </c:pt>
                <c:pt idx="84">
                  <c:v>7349211.2423272412</c:v>
                </c:pt>
                <c:pt idx="85">
                  <c:v>7349211.2423272412</c:v>
                </c:pt>
                <c:pt idx="86">
                  <c:v>7349211.2423272412</c:v>
                </c:pt>
                <c:pt idx="87">
                  <c:v>7349211.2423272412</c:v>
                </c:pt>
                <c:pt idx="88">
                  <c:v>7349211.2423272412</c:v>
                </c:pt>
                <c:pt idx="89">
                  <c:v>7349211.2423272412</c:v>
                </c:pt>
                <c:pt idx="90">
                  <c:v>7349211.2423272412</c:v>
                </c:pt>
                <c:pt idx="91">
                  <c:v>7349211.2423272412</c:v>
                </c:pt>
                <c:pt idx="92">
                  <c:v>7349211.2423272412</c:v>
                </c:pt>
                <c:pt idx="93">
                  <c:v>7349211.2423272412</c:v>
                </c:pt>
                <c:pt idx="94">
                  <c:v>7349211.2423272412</c:v>
                </c:pt>
                <c:pt idx="95">
                  <c:v>7349211.2423272412</c:v>
                </c:pt>
                <c:pt idx="96">
                  <c:v>7349211.2423272412</c:v>
                </c:pt>
                <c:pt idx="97">
                  <c:v>7349211.2423272412</c:v>
                </c:pt>
                <c:pt idx="98">
                  <c:v>7349211.2423272412</c:v>
                </c:pt>
                <c:pt idx="99">
                  <c:v>7349211.2423272412</c:v>
                </c:pt>
                <c:pt idx="100">
                  <c:v>7349211.2423272412</c:v>
                </c:pt>
                <c:pt idx="101">
                  <c:v>7349211.2423272412</c:v>
                </c:pt>
                <c:pt idx="102">
                  <c:v>7349211.2423272412</c:v>
                </c:pt>
                <c:pt idx="103">
                  <c:v>7349211.2423272412</c:v>
                </c:pt>
                <c:pt idx="104">
                  <c:v>7349211.2423272412</c:v>
                </c:pt>
                <c:pt idx="105">
                  <c:v>7349211.2423272412</c:v>
                </c:pt>
                <c:pt idx="106">
                  <c:v>7349211.2423272412</c:v>
                </c:pt>
                <c:pt idx="107">
                  <c:v>7349211.2423272412</c:v>
                </c:pt>
                <c:pt idx="108">
                  <c:v>7349211.2423272412</c:v>
                </c:pt>
                <c:pt idx="109">
                  <c:v>7349211.2423272412</c:v>
                </c:pt>
                <c:pt idx="110">
                  <c:v>7349211.2423272412</c:v>
                </c:pt>
                <c:pt idx="111">
                  <c:v>7349211.2423272412</c:v>
                </c:pt>
                <c:pt idx="112">
                  <c:v>7349211.2423272412</c:v>
                </c:pt>
                <c:pt idx="113">
                  <c:v>7349211.2423272412</c:v>
                </c:pt>
                <c:pt idx="114">
                  <c:v>7349211.2423272412</c:v>
                </c:pt>
                <c:pt idx="115">
                  <c:v>7349211.2423272412</c:v>
                </c:pt>
                <c:pt idx="116">
                  <c:v>7349211.2423272412</c:v>
                </c:pt>
                <c:pt idx="117">
                  <c:v>7349211.2423272412</c:v>
                </c:pt>
                <c:pt idx="118">
                  <c:v>7349211.2423272412</c:v>
                </c:pt>
                <c:pt idx="119">
                  <c:v>7349211.2423272412</c:v>
                </c:pt>
                <c:pt idx="120">
                  <c:v>7349211.2423272412</c:v>
                </c:pt>
                <c:pt idx="121">
                  <c:v>7349211.2423272412</c:v>
                </c:pt>
                <c:pt idx="122">
                  <c:v>7349211.2423272412</c:v>
                </c:pt>
                <c:pt idx="123">
                  <c:v>7349211.2423272412</c:v>
                </c:pt>
                <c:pt idx="124">
                  <c:v>7349211.2423272412</c:v>
                </c:pt>
                <c:pt idx="125">
                  <c:v>7349211.2423272412</c:v>
                </c:pt>
                <c:pt idx="126">
                  <c:v>7349211.2423272412</c:v>
                </c:pt>
                <c:pt idx="127">
                  <c:v>7349211.2423272412</c:v>
                </c:pt>
                <c:pt idx="128">
                  <c:v>7349211.2423272412</c:v>
                </c:pt>
                <c:pt idx="129">
                  <c:v>7349211.2423272412</c:v>
                </c:pt>
                <c:pt idx="130">
                  <c:v>7349211.2423272412</c:v>
                </c:pt>
                <c:pt idx="131">
                  <c:v>7349211.2423272412</c:v>
                </c:pt>
                <c:pt idx="132">
                  <c:v>7349211.2423272412</c:v>
                </c:pt>
                <c:pt idx="133">
                  <c:v>7349211.2423272412</c:v>
                </c:pt>
                <c:pt idx="134">
                  <c:v>7349211.2423272412</c:v>
                </c:pt>
                <c:pt idx="135">
                  <c:v>7349211.2423272412</c:v>
                </c:pt>
                <c:pt idx="136">
                  <c:v>7349211.2423272412</c:v>
                </c:pt>
                <c:pt idx="137">
                  <c:v>7349211.2423272412</c:v>
                </c:pt>
                <c:pt idx="138">
                  <c:v>7349211.2423272412</c:v>
                </c:pt>
                <c:pt idx="139">
                  <c:v>7349211.2423272412</c:v>
                </c:pt>
                <c:pt idx="140">
                  <c:v>7349211.2423272412</c:v>
                </c:pt>
                <c:pt idx="141">
                  <c:v>7349211.2423272412</c:v>
                </c:pt>
                <c:pt idx="142">
                  <c:v>7349211.2423272412</c:v>
                </c:pt>
                <c:pt idx="143">
                  <c:v>7349211.2423272412</c:v>
                </c:pt>
                <c:pt idx="144">
                  <c:v>7349211.2423272412</c:v>
                </c:pt>
                <c:pt idx="145">
                  <c:v>7349211.2423272412</c:v>
                </c:pt>
                <c:pt idx="146">
                  <c:v>7349211.2423272412</c:v>
                </c:pt>
                <c:pt idx="147">
                  <c:v>7349211.2423272412</c:v>
                </c:pt>
                <c:pt idx="148">
                  <c:v>7349211.2423272412</c:v>
                </c:pt>
                <c:pt idx="149">
                  <c:v>7349211.2423272412</c:v>
                </c:pt>
                <c:pt idx="150">
                  <c:v>7349211.2423272412</c:v>
                </c:pt>
                <c:pt idx="151">
                  <c:v>7349211.2423272412</c:v>
                </c:pt>
                <c:pt idx="152">
                  <c:v>7349211.2423272412</c:v>
                </c:pt>
                <c:pt idx="153">
                  <c:v>7349211.2423272412</c:v>
                </c:pt>
                <c:pt idx="154">
                  <c:v>7349211.2423272412</c:v>
                </c:pt>
                <c:pt idx="155">
                  <c:v>7349211.2423272412</c:v>
                </c:pt>
                <c:pt idx="156">
                  <c:v>7349211.2423272412</c:v>
                </c:pt>
                <c:pt idx="157">
                  <c:v>7349211.2423272412</c:v>
                </c:pt>
                <c:pt idx="158">
                  <c:v>7349211.2423272412</c:v>
                </c:pt>
                <c:pt idx="159">
                  <c:v>7349211.2423272412</c:v>
                </c:pt>
                <c:pt idx="160">
                  <c:v>7349211.2423272412</c:v>
                </c:pt>
                <c:pt idx="161">
                  <c:v>7349211.2423272412</c:v>
                </c:pt>
                <c:pt idx="162">
                  <c:v>7349211.2423272412</c:v>
                </c:pt>
                <c:pt idx="163">
                  <c:v>7349211.2423272412</c:v>
                </c:pt>
                <c:pt idx="164">
                  <c:v>7349211.2423272412</c:v>
                </c:pt>
                <c:pt idx="165">
                  <c:v>7349211.2423272412</c:v>
                </c:pt>
                <c:pt idx="166">
                  <c:v>7349211.2423272412</c:v>
                </c:pt>
                <c:pt idx="167">
                  <c:v>7349211.2423272412</c:v>
                </c:pt>
                <c:pt idx="168">
                  <c:v>7349211.2423272412</c:v>
                </c:pt>
                <c:pt idx="169">
                  <c:v>7349211.2423272412</c:v>
                </c:pt>
                <c:pt idx="170">
                  <c:v>7349211.2423272412</c:v>
                </c:pt>
                <c:pt idx="171">
                  <c:v>7349211.2423272412</c:v>
                </c:pt>
                <c:pt idx="172">
                  <c:v>7349211.2423272412</c:v>
                </c:pt>
                <c:pt idx="173">
                  <c:v>7349211.2423272412</c:v>
                </c:pt>
                <c:pt idx="174">
                  <c:v>7349211.2423272412</c:v>
                </c:pt>
                <c:pt idx="175">
                  <c:v>7349211.2423272412</c:v>
                </c:pt>
                <c:pt idx="176">
                  <c:v>7349211.2423272412</c:v>
                </c:pt>
                <c:pt idx="177">
                  <c:v>7349211.2423272412</c:v>
                </c:pt>
                <c:pt idx="178">
                  <c:v>7349211.2423272412</c:v>
                </c:pt>
                <c:pt idx="179">
                  <c:v>7349211.2423272412</c:v>
                </c:pt>
                <c:pt idx="180">
                  <c:v>7349211.2423272412</c:v>
                </c:pt>
                <c:pt idx="181">
                  <c:v>7349211.2423272412</c:v>
                </c:pt>
                <c:pt idx="182">
                  <c:v>7349211.2423272412</c:v>
                </c:pt>
                <c:pt idx="183">
                  <c:v>7349211.2423272412</c:v>
                </c:pt>
                <c:pt idx="184">
                  <c:v>7349211.2423272412</c:v>
                </c:pt>
                <c:pt idx="185">
                  <c:v>7349211.2423272412</c:v>
                </c:pt>
                <c:pt idx="186">
                  <c:v>7349211.2423272412</c:v>
                </c:pt>
                <c:pt idx="187">
                  <c:v>7349211.2423272412</c:v>
                </c:pt>
                <c:pt idx="188">
                  <c:v>7349211.2423272412</c:v>
                </c:pt>
                <c:pt idx="189">
                  <c:v>7349211.2423272412</c:v>
                </c:pt>
                <c:pt idx="190">
                  <c:v>7349211.2423272412</c:v>
                </c:pt>
                <c:pt idx="191">
                  <c:v>7349211.2423272412</c:v>
                </c:pt>
                <c:pt idx="192">
                  <c:v>7349211.2423272412</c:v>
                </c:pt>
                <c:pt idx="193">
                  <c:v>7349211.2423272412</c:v>
                </c:pt>
                <c:pt idx="194">
                  <c:v>7349211.2423272412</c:v>
                </c:pt>
                <c:pt idx="195">
                  <c:v>7349211.2423272412</c:v>
                </c:pt>
                <c:pt idx="196">
                  <c:v>7349211.2423272412</c:v>
                </c:pt>
                <c:pt idx="197">
                  <c:v>7349211.2423272412</c:v>
                </c:pt>
                <c:pt idx="198">
                  <c:v>7349211.2423272412</c:v>
                </c:pt>
                <c:pt idx="199">
                  <c:v>7349211.2423272412</c:v>
                </c:pt>
                <c:pt idx="200">
                  <c:v>7349211.2423272412</c:v>
                </c:pt>
                <c:pt idx="201">
                  <c:v>7349211.2423272412</c:v>
                </c:pt>
                <c:pt idx="202">
                  <c:v>7349211.2423272412</c:v>
                </c:pt>
                <c:pt idx="203">
                  <c:v>7349211.2423272412</c:v>
                </c:pt>
                <c:pt idx="204">
                  <c:v>7349211.2423272412</c:v>
                </c:pt>
                <c:pt idx="205">
                  <c:v>7349211.2423272412</c:v>
                </c:pt>
                <c:pt idx="206">
                  <c:v>7349211.2423272412</c:v>
                </c:pt>
                <c:pt idx="207">
                  <c:v>7349211.2423272412</c:v>
                </c:pt>
                <c:pt idx="208">
                  <c:v>7349211.2423272412</c:v>
                </c:pt>
                <c:pt idx="209">
                  <c:v>7349211.2423272412</c:v>
                </c:pt>
                <c:pt idx="210">
                  <c:v>7349211.2423272412</c:v>
                </c:pt>
                <c:pt idx="211">
                  <c:v>7349211.2423272412</c:v>
                </c:pt>
                <c:pt idx="212">
                  <c:v>7349211.2423272412</c:v>
                </c:pt>
                <c:pt idx="213">
                  <c:v>7349211.2423272412</c:v>
                </c:pt>
                <c:pt idx="214">
                  <c:v>7349211.2423272412</c:v>
                </c:pt>
                <c:pt idx="215">
                  <c:v>7349211.2423272412</c:v>
                </c:pt>
                <c:pt idx="216">
                  <c:v>7349211.2423272412</c:v>
                </c:pt>
                <c:pt idx="217">
                  <c:v>7349211.2423272412</c:v>
                </c:pt>
                <c:pt idx="218">
                  <c:v>7349211.2423272412</c:v>
                </c:pt>
                <c:pt idx="219">
                  <c:v>7349211.2423272412</c:v>
                </c:pt>
                <c:pt idx="220">
                  <c:v>7349211.2423272412</c:v>
                </c:pt>
                <c:pt idx="221">
                  <c:v>7349211.2423272412</c:v>
                </c:pt>
                <c:pt idx="222">
                  <c:v>7349211.2423272412</c:v>
                </c:pt>
                <c:pt idx="223">
                  <c:v>7349211.2423272412</c:v>
                </c:pt>
                <c:pt idx="224">
                  <c:v>7349211.2423272412</c:v>
                </c:pt>
                <c:pt idx="225">
                  <c:v>7349211.2423272412</c:v>
                </c:pt>
                <c:pt idx="226">
                  <c:v>7349211.2423272412</c:v>
                </c:pt>
                <c:pt idx="227">
                  <c:v>7349211.2423272412</c:v>
                </c:pt>
                <c:pt idx="228">
                  <c:v>7349211.2423272412</c:v>
                </c:pt>
                <c:pt idx="229">
                  <c:v>7349211.2423272412</c:v>
                </c:pt>
                <c:pt idx="230">
                  <c:v>7349211.2423272412</c:v>
                </c:pt>
                <c:pt idx="231">
                  <c:v>7349211.2423272412</c:v>
                </c:pt>
                <c:pt idx="232">
                  <c:v>7349211.2423272412</c:v>
                </c:pt>
                <c:pt idx="233">
                  <c:v>7349211.2423272412</c:v>
                </c:pt>
                <c:pt idx="234">
                  <c:v>7349211.2423272412</c:v>
                </c:pt>
                <c:pt idx="235">
                  <c:v>7349211.2423272412</c:v>
                </c:pt>
                <c:pt idx="236">
                  <c:v>7349211.2423272412</c:v>
                </c:pt>
                <c:pt idx="237">
                  <c:v>7349211.2423272412</c:v>
                </c:pt>
                <c:pt idx="238">
                  <c:v>7349211.2423272412</c:v>
                </c:pt>
                <c:pt idx="239">
                  <c:v>7349211.2423272412</c:v>
                </c:pt>
                <c:pt idx="240">
                  <c:v>7349211.2423272412</c:v>
                </c:pt>
                <c:pt idx="241">
                  <c:v>7349211.2423272412</c:v>
                </c:pt>
                <c:pt idx="242">
                  <c:v>7349211.2423272412</c:v>
                </c:pt>
                <c:pt idx="243">
                  <c:v>7349211.2423272412</c:v>
                </c:pt>
                <c:pt idx="244">
                  <c:v>7349211.2423272412</c:v>
                </c:pt>
                <c:pt idx="245">
                  <c:v>7349211.2423272412</c:v>
                </c:pt>
                <c:pt idx="246">
                  <c:v>7349211.2423272412</c:v>
                </c:pt>
                <c:pt idx="247">
                  <c:v>7349211.2423272412</c:v>
                </c:pt>
                <c:pt idx="248">
                  <c:v>7349211.2423272412</c:v>
                </c:pt>
                <c:pt idx="249">
                  <c:v>7349211.2423272412</c:v>
                </c:pt>
                <c:pt idx="250">
                  <c:v>7349211.2423272412</c:v>
                </c:pt>
                <c:pt idx="251">
                  <c:v>7349211.2423272412</c:v>
                </c:pt>
                <c:pt idx="252">
                  <c:v>7349211.2423272412</c:v>
                </c:pt>
                <c:pt idx="253">
                  <c:v>7349211.2423272412</c:v>
                </c:pt>
                <c:pt idx="254">
                  <c:v>7349211.2423272412</c:v>
                </c:pt>
                <c:pt idx="255">
                  <c:v>7349211.2423272412</c:v>
                </c:pt>
                <c:pt idx="256">
                  <c:v>7349211.2423272412</c:v>
                </c:pt>
                <c:pt idx="257">
                  <c:v>7349211.2423272412</c:v>
                </c:pt>
                <c:pt idx="258">
                  <c:v>7349211.2423272412</c:v>
                </c:pt>
                <c:pt idx="259">
                  <c:v>7349211.2423272412</c:v>
                </c:pt>
                <c:pt idx="260">
                  <c:v>7349211.2423272412</c:v>
                </c:pt>
                <c:pt idx="261">
                  <c:v>7349211.2423272412</c:v>
                </c:pt>
                <c:pt idx="262">
                  <c:v>7349211.2423272412</c:v>
                </c:pt>
                <c:pt idx="263">
                  <c:v>7349211.2423272412</c:v>
                </c:pt>
                <c:pt idx="264">
                  <c:v>7349211.2423272412</c:v>
                </c:pt>
                <c:pt idx="265">
                  <c:v>7349211.2423272412</c:v>
                </c:pt>
                <c:pt idx="266">
                  <c:v>7349211.2423272412</c:v>
                </c:pt>
                <c:pt idx="267">
                  <c:v>7349211.2423272412</c:v>
                </c:pt>
                <c:pt idx="268">
                  <c:v>7349211.2423272412</c:v>
                </c:pt>
                <c:pt idx="269">
                  <c:v>7349211.2423272412</c:v>
                </c:pt>
                <c:pt idx="270">
                  <c:v>7349211.2423272412</c:v>
                </c:pt>
                <c:pt idx="271">
                  <c:v>7349211.2423272412</c:v>
                </c:pt>
                <c:pt idx="272">
                  <c:v>7349211.2423272412</c:v>
                </c:pt>
                <c:pt idx="273">
                  <c:v>7349211.2423272412</c:v>
                </c:pt>
                <c:pt idx="274">
                  <c:v>7349211.2423272412</c:v>
                </c:pt>
                <c:pt idx="275">
                  <c:v>7349211.2423272412</c:v>
                </c:pt>
                <c:pt idx="276">
                  <c:v>7349211.2423272412</c:v>
                </c:pt>
                <c:pt idx="277">
                  <c:v>7349211.2423272412</c:v>
                </c:pt>
                <c:pt idx="278">
                  <c:v>7349211.2423272412</c:v>
                </c:pt>
                <c:pt idx="279">
                  <c:v>7349211.2423272412</c:v>
                </c:pt>
                <c:pt idx="280">
                  <c:v>7349211.2423272412</c:v>
                </c:pt>
                <c:pt idx="281">
                  <c:v>7349211.2423272412</c:v>
                </c:pt>
                <c:pt idx="282">
                  <c:v>7349211.2423272412</c:v>
                </c:pt>
                <c:pt idx="283">
                  <c:v>7349211.2423272412</c:v>
                </c:pt>
                <c:pt idx="284">
                  <c:v>7349211.2423272412</c:v>
                </c:pt>
                <c:pt idx="285">
                  <c:v>7349211.2423272412</c:v>
                </c:pt>
                <c:pt idx="286">
                  <c:v>7349211.2423272412</c:v>
                </c:pt>
                <c:pt idx="287">
                  <c:v>7349211.2423272412</c:v>
                </c:pt>
                <c:pt idx="288">
                  <c:v>7349211.2423272412</c:v>
                </c:pt>
                <c:pt idx="289">
                  <c:v>7349211.2423272412</c:v>
                </c:pt>
                <c:pt idx="290">
                  <c:v>7349211.2423272412</c:v>
                </c:pt>
                <c:pt idx="291">
                  <c:v>7349211.2423272412</c:v>
                </c:pt>
                <c:pt idx="292">
                  <c:v>7349211.2423272412</c:v>
                </c:pt>
                <c:pt idx="293">
                  <c:v>7349211.2423272412</c:v>
                </c:pt>
                <c:pt idx="294">
                  <c:v>7349211.2423272412</c:v>
                </c:pt>
                <c:pt idx="295">
                  <c:v>7349211.2423272412</c:v>
                </c:pt>
                <c:pt idx="296">
                  <c:v>7349211.2423272412</c:v>
                </c:pt>
                <c:pt idx="297">
                  <c:v>7349211.2423272412</c:v>
                </c:pt>
                <c:pt idx="298">
                  <c:v>7349211.2423272412</c:v>
                </c:pt>
                <c:pt idx="299">
                  <c:v>7349211.2423272412</c:v>
                </c:pt>
                <c:pt idx="300">
                  <c:v>7349211.2423272412</c:v>
                </c:pt>
                <c:pt idx="301">
                  <c:v>7349211.2423272412</c:v>
                </c:pt>
                <c:pt idx="302">
                  <c:v>7349211.2423272412</c:v>
                </c:pt>
                <c:pt idx="303">
                  <c:v>7349211.2423272412</c:v>
                </c:pt>
                <c:pt idx="304">
                  <c:v>7349211.2423272412</c:v>
                </c:pt>
                <c:pt idx="305">
                  <c:v>7349211.2423272412</c:v>
                </c:pt>
                <c:pt idx="306">
                  <c:v>7349211.2423272412</c:v>
                </c:pt>
                <c:pt idx="307">
                  <c:v>7349211.2423272412</c:v>
                </c:pt>
                <c:pt idx="308">
                  <c:v>7349211.2423272412</c:v>
                </c:pt>
                <c:pt idx="309">
                  <c:v>7349211.2423272412</c:v>
                </c:pt>
                <c:pt idx="310">
                  <c:v>7349211.2423272412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1904386.0719999988</c:v>
                </c:pt>
                <c:pt idx="54">
                  <c:v>1906799.5519999992</c:v>
                </c:pt>
                <c:pt idx="55">
                  <c:v>1567343.7719999989</c:v>
                </c:pt>
                <c:pt idx="56">
                  <c:v>1397042.7519999994</c:v>
                </c:pt>
                <c:pt idx="57">
                  <c:v>3432371.5476727588</c:v>
                </c:pt>
                <c:pt idx="58">
                  <c:v>3176920.0176727585</c:v>
                </c:pt>
                <c:pt idx="59">
                  <c:v>3168420.0176727585</c:v>
                </c:pt>
                <c:pt idx="60">
                  <c:v>3168420.0176727585</c:v>
                </c:pt>
                <c:pt idx="61">
                  <c:v>3083269.5076727588</c:v>
                </c:pt>
                <c:pt idx="62">
                  <c:v>3079133.1076727584</c:v>
                </c:pt>
                <c:pt idx="63">
                  <c:v>3079133.1076727584</c:v>
                </c:pt>
                <c:pt idx="64">
                  <c:v>3079133.1076727584</c:v>
                </c:pt>
                <c:pt idx="65">
                  <c:v>3079133.1076727584</c:v>
                </c:pt>
                <c:pt idx="66">
                  <c:v>3079133.1076727584</c:v>
                </c:pt>
                <c:pt idx="67">
                  <c:v>3079133.1076727584</c:v>
                </c:pt>
                <c:pt idx="68">
                  <c:v>3079133.1076727584</c:v>
                </c:pt>
                <c:pt idx="69">
                  <c:v>3079133.1076727584</c:v>
                </c:pt>
                <c:pt idx="70">
                  <c:v>3079133.1076727584</c:v>
                </c:pt>
                <c:pt idx="71">
                  <c:v>3079133.1076727584</c:v>
                </c:pt>
                <c:pt idx="72">
                  <c:v>3079133.1076727584</c:v>
                </c:pt>
                <c:pt idx="73">
                  <c:v>3079133.1076727584</c:v>
                </c:pt>
                <c:pt idx="74">
                  <c:v>3079133.1076727584</c:v>
                </c:pt>
                <c:pt idx="75">
                  <c:v>3079133.1076727584</c:v>
                </c:pt>
                <c:pt idx="76">
                  <c:v>3079133.1076727584</c:v>
                </c:pt>
                <c:pt idx="77">
                  <c:v>3079133.1076727584</c:v>
                </c:pt>
                <c:pt idx="78">
                  <c:v>3079133.1076727584</c:v>
                </c:pt>
                <c:pt idx="79">
                  <c:v>3079133.1076727584</c:v>
                </c:pt>
                <c:pt idx="80">
                  <c:v>3079133.1076727584</c:v>
                </c:pt>
                <c:pt idx="81">
                  <c:v>3079133.1076727584</c:v>
                </c:pt>
                <c:pt idx="82">
                  <c:v>3079133.1076727584</c:v>
                </c:pt>
                <c:pt idx="83">
                  <c:v>3079133.1076727584</c:v>
                </c:pt>
                <c:pt idx="84">
                  <c:v>3079133.1076727584</c:v>
                </c:pt>
                <c:pt idx="85">
                  <c:v>3079133.1076727584</c:v>
                </c:pt>
                <c:pt idx="86">
                  <c:v>3079133.1076727584</c:v>
                </c:pt>
                <c:pt idx="87">
                  <c:v>3079133.1076727584</c:v>
                </c:pt>
                <c:pt idx="88">
                  <c:v>3079133.1076727584</c:v>
                </c:pt>
                <c:pt idx="89">
                  <c:v>3079133.1076727584</c:v>
                </c:pt>
                <c:pt idx="90">
                  <c:v>3079133.1076727584</c:v>
                </c:pt>
                <c:pt idx="91">
                  <c:v>3079133.1076727584</c:v>
                </c:pt>
                <c:pt idx="92">
                  <c:v>3079133.1076727584</c:v>
                </c:pt>
                <c:pt idx="93">
                  <c:v>3079133.1076727584</c:v>
                </c:pt>
                <c:pt idx="94">
                  <c:v>3079133.1076727584</c:v>
                </c:pt>
                <c:pt idx="95">
                  <c:v>3079133.1076727584</c:v>
                </c:pt>
                <c:pt idx="96">
                  <c:v>3079133.1076727584</c:v>
                </c:pt>
                <c:pt idx="97">
                  <c:v>3079133.1076727584</c:v>
                </c:pt>
                <c:pt idx="98">
                  <c:v>3079133.1076727584</c:v>
                </c:pt>
                <c:pt idx="99">
                  <c:v>3079133.1076727584</c:v>
                </c:pt>
                <c:pt idx="100">
                  <c:v>3079133.1076727584</c:v>
                </c:pt>
                <c:pt idx="101">
                  <c:v>3079133.1076727584</c:v>
                </c:pt>
                <c:pt idx="102">
                  <c:v>3079133.1076727584</c:v>
                </c:pt>
                <c:pt idx="103">
                  <c:v>3079133.1076727584</c:v>
                </c:pt>
                <c:pt idx="104">
                  <c:v>3079133.1076727584</c:v>
                </c:pt>
                <c:pt idx="105">
                  <c:v>3079133.1076727584</c:v>
                </c:pt>
                <c:pt idx="106">
                  <c:v>3079133.1076727584</c:v>
                </c:pt>
                <c:pt idx="107">
                  <c:v>3079133.1076727584</c:v>
                </c:pt>
                <c:pt idx="108">
                  <c:v>3079133.1076727584</c:v>
                </c:pt>
                <c:pt idx="109">
                  <c:v>3079133.1076727584</c:v>
                </c:pt>
                <c:pt idx="110">
                  <c:v>3079133.1076727584</c:v>
                </c:pt>
                <c:pt idx="111">
                  <c:v>3079133.1076727584</c:v>
                </c:pt>
                <c:pt idx="112">
                  <c:v>3079133.1076727584</c:v>
                </c:pt>
                <c:pt idx="113">
                  <c:v>3079133.1076727584</c:v>
                </c:pt>
                <c:pt idx="114">
                  <c:v>3079133.1076727584</c:v>
                </c:pt>
                <c:pt idx="115">
                  <c:v>3079133.1076727584</c:v>
                </c:pt>
                <c:pt idx="116">
                  <c:v>3079133.1076727584</c:v>
                </c:pt>
                <c:pt idx="117">
                  <c:v>3079133.1076727584</c:v>
                </c:pt>
                <c:pt idx="118">
                  <c:v>3079133.1076727584</c:v>
                </c:pt>
                <c:pt idx="119">
                  <c:v>3079133.1076727584</c:v>
                </c:pt>
                <c:pt idx="120">
                  <c:v>3079133.1076727584</c:v>
                </c:pt>
                <c:pt idx="121">
                  <c:v>3079133.1076727584</c:v>
                </c:pt>
                <c:pt idx="122">
                  <c:v>3079133.1076727584</c:v>
                </c:pt>
                <c:pt idx="123">
                  <c:v>3079133.1076727584</c:v>
                </c:pt>
                <c:pt idx="124">
                  <c:v>3079133.1076727584</c:v>
                </c:pt>
                <c:pt idx="125">
                  <c:v>3079133.1076727584</c:v>
                </c:pt>
                <c:pt idx="126">
                  <c:v>3079133.1076727584</c:v>
                </c:pt>
                <c:pt idx="127">
                  <c:v>3079133.1076727584</c:v>
                </c:pt>
                <c:pt idx="128">
                  <c:v>3079133.1076727584</c:v>
                </c:pt>
                <c:pt idx="129">
                  <c:v>3079133.1076727584</c:v>
                </c:pt>
                <c:pt idx="130">
                  <c:v>3079133.1076727584</c:v>
                </c:pt>
                <c:pt idx="131">
                  <c:v>3079133.1076727584</c:v>
                </c:pt>
                <c:pt idx="132">
                  <c:v>3079133.1076727584</c:v>
                </c:pt>
                <c:pt idx="133">
                  <c:v>3079133.1076727584</c:v>
                </c:pt>
                <c:pt idx="134">
                  <c:v>3079133.1076727584</c:v>
                </c:pt>
                <c:pt idx="135">
                  <c:v>3079133.1076727584</c:v>
                </c:pt>
                <c:pt idx="136">
                  <c:v>3079133.1076727584</c:v>
                </c:pt>
                <c:pt idx="137">
                  <c:v>3079133.1076727584</c:v>
                </c:pt>
                <c:pt idx="138">
                  <c:v>3079133.1076727584</c:v>
                </c:pt>
                <c:pt idx="139">
                  <c:v>3079133.1076727584</c:v>
                </c:pt>
                <c:pt idx="140">
                  <c:v>3079133.1076727584</c:v>
                </c:pt>
                <c:pt idx="141">
                  <c:v>3079133.1076727584</c:v>
                </c:pt>
                <c:pt idx="142">
                  <c:v>3079133.1076727584</c:v>
                </c:pt>
                <c:pt idx="143">
                  <c:v>3079133.1076727584</c:v>
                </c:pt>
                <c:pt idx="144">
                  <c:v>3079133.1076727584</c:v>
                </c:pt>
                <c:pt idx="145">
                  <c:v>3079133.1076727584</c:v>
                </c:pt>
                <c:pt idx="146">
                  <c:v>3079133.1076727584</c:v>
                </c:pt>
                <c:pt idx="147">
                  <c:v>3079133.1076727584</c:v>
                </c:pt>
                <c:pt idx="148">
                  <c:v>3079133.1076727584</c:v>
                </c:pt>
                <c:pt idx="149">
                  <c:v>3079133.1076727584</c:v>
                </c:pt>
                <c:pt idx="150">
                  <c:v>3079133.1076727584</c:v>
                </c:pt>
                <c:pt idx="151">
                  <c:v>3079133.1076727584</c:v>
                </c:pt>
                <c:pt idx="152">
                  <c:v>3079133.1076727584</c:v>
                </c:pt>
                <c:pt idx="153">
                  <c:v>3079133.1076727584</c:v>
                </c:pt>
                <c:pt idx="154">
                  <c:v>3079133.1076727584</c:v>
                </c:pt>
                <c:pt idx="155">
                  <c:v>3079133.1076727584</c:v>
                </c:pt>
                <c:pt idx="156">
                  <c:v>3079133.1076727584</c:v>
                </c:pt>
                <c:pt idx="157">
                  <c:v>3079133.1076727584</c:v>
                </c:pt>
                <c:pt idx="158">
                  <c:v>3079133.1076727584</c:v>
                </c:pt>
                <c:pt idx="159">
                  <c:v>3079133.1076727584</c:v>
                </c:pt>
                <c:pt idx="160">
                  <c:v>3079133.1076727584</c:v>
                </c:pt>
                <c:pt idx="161">
                  <c:v>3079133.1076727584</c:v>
                </c:pt>
                <c:pt idx="162">
                  <c:v>3079133.1076727584</c:v>
                </c:pt>
                <c:pt idx="163">
                  <c:v>3079133.1076727584</c:v>
                </c:pt>
                <c:pt idx="164">
                  <c:v>3079133.1076727584</c:v>
                </c:pt>
                <c:pt idx="165">
                  <c:v>3079133.1076727584</c:v>
                </c:pt>
                <c:pt idx="166">
                  <c:v>3079133.1076727584</c:v>
                </c:pt>
                <c:pt idx="167">
                  <c:v>3079133.1076727584</c:v>
                </c:pt>
                <c:pt idx="168">
                  <c:v>3079133.1076727584</c:v>
                </c:pt>
                <c:pt idx="169">
                  <c:v>3079133.1076727584</c:v>
                </c:pt>
                <c:pt idx="170">
                  <c:v>3079133.1076727584</c:v>
                </c:pt>
                <c:pt idx="171">
                  <c:v>3079133.1076727584</c:v>
                </c:pt>
                <c:pt idx="172">
                  <c:v>3079133.1076727584</c:v>
                </c:pt>
                <c:pt idx="173">
                  <c:v>3079133.1076727584</c:v>
                </c:pt>
                <c:pt idx="174">
                  <c:v>3079133.1076727584</c:v>
                </c:pt>
                <c:pt idx="175">
                  <c:v>3079133.1076727584</c:v>
                </c:pt>
                <c:pt idx="176">
                  <c:v>3079133.1076727584</c:v>
                </c:pt>
                <c:pt idx="177">
                  <c:v>3079133.1076727584</c:v>
                </c:pt>
                <c:pt idx="178">
                  <c:v>3079133.1076727584</c:v>
                </c:pt>
                <c:pt idx="179">
                  <c:v>3079133.1076727584</c:v>
                </c:pt>
                <c:pt idx="180">
                  <c:v>3079133.1076727584</c:v>
                </c:pt>
                <c:pt idx="181">
                  <c:v>3079133.1076727584</c:v>
                </c:pt>
                <c:pt idx="182">
                  <c:v>3079133.1076727584</c:v>
                </c:pt>
                <c:pt idx="183">
                  <c:v>3079133.1076727584</c:v>
                </c:pt>
                <c:pt idx="184">
                  <c:v>3079133.1076727584</c:v>
                </c:pt>
                <c:pt idx="185">
                  <c:v>3079133.1076727584</c:v>
                </c:pt>
                <c:pt idx="186">
                  <c:v>3079133.1076727584</c:v>
                </c:pt>
                <c:pt idx="187">
                  <c:v>3079133.1076727584</c:v>
                </c:pt>
                <c:pt idx="188">
                  <c:v>3079133.1076727584</c:v>
                </c:pt>
                <c:pt idx="189">
                  <c:v>3079133.1076727584</c:v>
                </c:pt>
                <c:pt idx="190">
                  <c:v>3079133.1076727584</c:v>
                </c:pt>
                <c:pt idx="191">
                  <c:v>3079133.1076727584</c:v>
                </c:pt>
                <c:pt idx="192">
                  <c:v>3079133.1076727584</c:v>
                </c:pt>
                <c:pt idx="193">
                  <c:v>3079133.1076727584</c:v>
                </c:pt>
                <c:pt idx="194">
                  <c:v>3079133.1076727584</c:v>
                </c:pt>
                <c:pt idx="195">
                  <c:v>3079133.1076727584</c:v>
                </c:pt>
                <c:pt idx="196">
                  <c:v>3079133.1076727584</c:v>
                </c:pt>
                <c:pt idx="197">
                  <c:v>3079133.1076727584</c:v>
                </c:pt>
                <c:pt idx="198">
                  <c:v>3079133.1076727584</c:v>
                </c:pt>
                <c:pt idx="199">
                  <c:v>3079133.1076727584</c:v>
                </c:pt>
                <c:pt idx="200">
                  <c:v>3079133.1076727584</c:v>
                </c:pt>
                <c:pt idx="201">
                  <c:v>3079133.1076727584</c:v>
                </c:pt>
                <c:pt idx="202">
                  <c:v>3079133.1076727584</c:v>
                </c:pt>
                <c:pt idx="203">
                  <c:v>3079133.1076727584</c:v>
                </c:pt>
                <c:pt idx="204">
                  <c:v>3079133.1076727584</c:v>
                </c:pt>
                <c:pt idx="205">
                  <c:v>3079133.1076727584</c:v>
                </c:pt>
                <c:pt idx="206">
                  <c:v>3079133.1076727584</c:v>
                </c:pt>
                <c:pt idx="207">
                  <c:v>3079133.1076727584</c:v>
                </c:pt>
                <c:pt idx="208">
                  <c:v>3079133.1076727584</c:v>
                </c:pt>
                <c:pt idx="209">
                  <c:v>3079133.1076727584</c:v>
                </c:pt>
                <c:pt idx="210">
                  <c:v>3079133.1076727584</c:v>
                </c:pt>
                <c:pt idx="211">
                  <c:v>3079133.1076727584</c:v>
                </c:pt>
                <c:pt idx="212">
                  <c:v>3079133.1076727584</c:v>
                </c:pt>
                <c:pt idx="213">
                  <c:v>3079133.1076727584</c:v>
                </c:pt>
                <c:pt idx="214">
                  <c:v>3079133.1076727584</c:v>
                </c:pt>
                <c:pt idx="215">
                  <c:v>3079133.1076727584</c:v>
                </c:pt>
                <c:pt idx="216">
                  <c:v>3079133.1076727584</c:v>
                </c:pt>
                <c:pt idx="217">
                  <c:v>3079133.1076727584</c:v>
                </c:pt>
                <c:pt idx="218">
                  <c:v>3079133.1076727584</c:v>
                </c:pt>
                <c:pt idx="219">
                  <c:v>3079133.1076727584</c:v>
                </c:pt>
                <c:pt idx="220">
                  <c:v>3079133.1076727584</c:v>
                </c:pt>
                <c:pt idx="221">
                  <c:v>3079133.1076727584</c:v>
                </c:pt>
                <c:pt idx="222">
                  <c:v>3079133.1076727584</c:v>
                </c:pt>
                <c:pt idx="223">
                  <c:v>3079133.1076727584</c:v>
                </c:pt>
                <c:pt idx="224">
                  <c:v>3079133.1076727584</c:v>
                </c:pt>
                <c:pt idx="225">
                  <c:v>3079133.1076727584</c:v>
                </c:pt>
                <c:pt idx="226">
                  <c:v>3079133.1076727584</c:v>
                </c:pt>
                <c:pt idx="227">
                  <c:v>3079133.1076727584</c:v>
                </c:pt>
                <c:pt idx="228">
                  <c:v>3079133.1076727584</c:v>
                </c:pt>
                <c:pt idx="229">
                  <c:v>3079133.1076727584</c:v>
                </c:pt>
                <c:pt idx="230">
                  <c:v>3079133.1076727584</c:v>
                </c:pt>
                <c:pt idx="231">
                  <c:v>3079133.1076727584</c:v>
                </c:pt>
                <c:pt idx="232">
                  <c:v>3079133.1076727584</c:v>
                </c:pt>
                <c:pt idx="233">
                  <c:v>3079133.1076727584</c:v>
                </c:pt>
                <c:pt idx="234">
                  <c:v>3079133.1076727584</c:v>
                </c:pt>
                <c:pt idx="235">
                  <c:v>3079133.1076727584</c:v>
                </c:pt>
                <c:pt idx="236">
                  <c:v>3079133.1076727584</c:v>
                </c:pt>
                <c:pt idx="237">
                  <c:v>3079133.1076727584</c:v>
                </c:pt>
                <c:pt idx="238">
                  <c:v>3079133.1076727584</c:v>
                </c:pt>
                <c:pt idx="239">
                  <c:v>3079133.1076727584</c:v>
                </c:pt>
                <c:pt idx="240">
                  <c:v>3079133.1076727584</c:v>
                </c:pt>
                <c:pt idx="241">
                  <c:v>3079133.1076727584</c:v>
                </c:pt>
                <c:pt idx="242">
                  <c:v>3079133.1076727584</c:v>
                </c:pt>
                <c:pt idx="243">
                  <c:v>3079133.1076727584</c:v>
                </c:pt>
                <c:pt idx="244">
                  <c:v>3079133.1076727584</c:v>
                </c:pt>
                <c:pt idx="245">
                  <c:v>3079133.1076727584</c:v>
                </c:pt>
                <c:pt idx="246">
                  <c:v>3079133.1076727584</c:v>
                </c:pt>
                <c:pt idx="247">
                  <c:v>3079133.1076727584</c:v>
                </c:pt>
                <c:pt idx="248">
                  <c:v>3079133.1076727584</c:v>
                </c:pt>
                <c:pt idx="249">
                  <c:v>3079133.1076727584</c:v>
                </c:pt>
                <c:pt idx="250">
                  <c:v>3079133.1076727584</c:v>
                </c:pt>
                <c:pt idx="251">
                  <c:v>3079133.1076727584</c:v>
                </c:pt>
                <c:pt idx="252">
                  <c:v>3079133.1076727584</c:v>
                </c:pt>
                <c:pt idx="253">
                  <c:v>3079133.1076727584</c:v>
                </c:pt>
                <c:pt idx="254">
                  <c:v>3079133.1076727584</c:v>
                </c:pt>
                <c:pt idx="255">
                  <c:v>3079133.1076727584</c:v>
                </c:pt>
                <c:pt idx="256">
                  <c:v>3079133.1076727584</c:v>
                </c:pt>
                <c:pt idx="257">
                  <c:v>3079133.1076727584</c:v>
                </c:pt>
                <c:pt idx="258">
                  <c:v>3079133.1076727584</c:v>
                </c:pt>
                <c:pt idx="259">
                  <c:v>3079133.1076727584</c:v>
                </c:pt>
                <c:pt idx="260">
                  <c:v>3079133.1076727584</c:v>
                </c:pt>
                <c:pt idx="261">
                  <c:v>3079133.1076727584</c:v>
                </c:pt>
                <c:pt idx="262">
                  <c:v>3079133.1076727584</c:v>
                </c:pt>
                <c:pt idx="263">
                  <c:v>3079133.1076727584</c:v>
                </c:pt>
                <c:pt idx="264">
                  <c:v>3079133.1076727584</c:v>
                </c:pt>
                <c:pt idx="265">
                  <c:v>3079133.1076727584</c:v>
                </c:pt>
                <c:pt idx="266">
                  <c:v>3079133.1076727584</c:v>
                </c:pt>
                <c:pt idx="267">
                  <c:v>3079133.1076727584</c:v>
                </c:pt>
                <c:pt idx="268">
                  <c:v>3079133.1076727584</c:v>
                </c:pt>
                <c:pt idx="269">
                  <c:v>3079133.1076727584</c:v>
                </c:pt>
                <c:pt idx="270">
                  <c:v>3079133.1076727584</c:v>
                </c:pt>
                <c:pt idx="271">
                  <c:v>3079133.1076727584</c:v>
                </c:pt>
                <c:pt idx="272">
                  <c:v>3079133.1076727584</c:v>
                </c:pt>
                <c:pt idx="273">
                  <c:v>3079133.1076727584</c:v>
                </c:pt>
                <c:pt idx="274">
                  <c:v>3079133.1076727584</c:v>
                </c:pt>
                <c:pt idx="275">
                  <c:v>3079133.1076727584</c:v>
                </c:pt>
                <c:pt idx="276">
                  <c:v>3079133.1076727584</c:v>
                </c:pt>
                <c:pt idx="277">
                  <c:v>3079133.1076727584</c:v>
                </c:pt>
                <c:pt idx="278">
                  <c:v>3079133.1076727584</c:v>
                </c:pt>
                <c:pt idx="279">
                  <c:v>3079133.1076727584</c:v>
                </c:pt>
                <c:pt idx="280">
                  <c:v>3079133.1076727584</c:v>
                </c:pt>
                <c:pt idx="281">
                  <c:v>3079133.1076727584</c:v>
                </c:pt>
                <c:pt idx="282">
                  <c:v>3079133.1076727584</c:v>
                </c:pt>
                <c:pt idx="283">
                  <c:v>3079133.1076727584</c:v>
                </c:pt>
                <c:pt idx="284">
                  <c:v>3079133.1076727584</c:v>
                </c:pt>
                <c:pt idx="285">
                  <c:v>3079133.1076727584</c:v>
                </c:pt>
                <c:pt idx="286">
                  <c:v>3079133.1076727584</c:v>
                </c:pt>
                <c:pt idx="287">
                  <c:v>3079133.1076727584</c:v>
                </c:pt>
                <c:pt idx="288">
                  <c:v>3079133.1076727584</c:v>
                </c:pt>
                <c:pt idx="289">
                  <c:v>3079133.1076727584</c:v>
                </c:pt>
                <c:pt idx="290">
                  <c:v>3079133.1076727584</c:v>
                </c:pt>
                <c:pt idx="291">
                  <c:v>3079133.1076727584</c:v>
                </c:pt>
                <c:pt idx="292">
                  <c:v>3079133.1076727584</c:v>
                </c:pt>
                <c:pt idx="293">
                  <c:v>3079133.1076727584</c:v>
                </c:pt>
                <c:pt idx="294">
                  <c:v>3079133.1076727584</c:v>
                </c:pt>
                <c:pt idx="295">
                  <c:v>3079133.1076727584</c:v>
                </c:pt>
                <c:pt idx="296">
                  <c:v>3079133.1076727584</c:v>
                </c:pt>
                <c:pt idx="297">
                  <c:v>3079133.1076727584</c:v>
                </c:pt>
                <c:pt idx="298">
                  <c:v>3079133.1076727584</c:v>
                </c:pt>
                <c:pt idx="299">
                  <c:v>3079133.1076727584</c:v>
                </c:pt>
                <c:pt idx="300">
                  <c:v>3079133.1076727584</c:v>
                </c:pt>
                <c:pt idx="301">
                  <c:v>3079133.1076727584</c:v>
                </c:pt>
                <c:pt idx="302">
                  <c:v>3079133.1076727584</c:v>
                </c:pt>
                <c:pt idx="303">
                  <c:v>3079133.1076727584</c:v>
                </c:pt>
                <c:pt idx="304">
                  <c:v>3079133.1076727584</c:v>
                </c:pt>
                <c:pt idx="305">
                  <c:v>3079133.1076727584</c:v>
                </c:pt>
                <c:pt idx="306">
                  <c:v>3079133.1076727584</c:v>
                </c:pt>
                <c:pt idx="307">
                  <c:v>3079133.1076727584</c:v>
                </c:pt>
                <c:pt idx="308">
                  <c:v>3079133.1076727584</c:v>
                </c:pt>
                <c:pt idx="309">
                  <c:v>3079133.1076727584</c:v>
                </c:pt>
                <c:pt idx="310">
                  <c:v>3079133.1076727584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8805242.0905153286</c:v>
                </c:pt>
                <c:pt idx="50">
                  <c:v>8805242.0905153286</c:v>
                </c:pt>
                <c:pt idx="51">
                  <c:v>8805242.0905153286</c:v>
                </c:pt>
                <c:pt idx="52">
                  <c:v>8805242.0905153286</c:v>
                </c:pt>
                <c:pt idx="53">
                  <c:v>9193745.7375571653</c:v>
                </c:pt>
                <c:pt idx="54">
                  <c:v>9193745.7375571653</c:v>
                </c:pt>
                <c:pt idx="55">
                  <c:v>9193745.7375571653</c:v>
                </c:pt>
                <c:pt idx="56">
                  <c:v>9193745.7375571653</c:v>
                </c:pt>
                <c:pt idx="57">
                  <c:v>10078330.370379446</c:v>
                </c:pt>
                <c:pt idx="58">
                  <c:v>10078330.370379446</c:v>
                </c:pt>
                <c:pt idx="59">
                  <c:v>10078330.370379446</c:v>
                </c:pt>
                <c:pt idx="60">
                  <c:v>10078330.370379446</c:v>
                </c:pt>
                <c:pt idx="61">
                  <c:v>10078330.370379446</c:v>
                </c:pt>
                <c:pt idx="62">
                  <c:v>10418526.266466755</c:v>
                </c:pt>
                <c:pt idx="63">
                  <c:v>10418526.266466755</c:v>
                </c:pt>
                <c:pt idx="64">
                  <c:v>10418526.266466755</c:v>
                </c:pt>
                <c:pt idx="65">
                  <c:v>10418526.266466755</c:v>
                </c:pt>
                <c:pt idx="66">
                  <c:v>10418526.266466755</c:v>
                </c:pt>
                <c:pt idx="67">
                  <c:v>10418526.266466755</c:v>
                </c:pt>
                <c:pt idx="68">
                  <c:v>10418526.266466755</c:v>
                </c:pt>
                <c:pt idx="69">
                  <c:v>10418526.266466755</c:v>
                </c:pt>
                <c:pt idx="70">
                  <c:v>10418526.266466755</c:v>
                </c:pt>
                <c:pt idx="71">
                  <c:v>10418526.266466755</c:v>
                </c:pt>
                <c:pt idx="72">
                  <c:v>10418526.266466755</c:v>
                </c:pt>
                <c:pt idx="73">
                  <c:v>10418526.266466755</c:v>
                </c:pt>
                <c:pt idx="74">
                  <c:v>10418526.266466755</c:v>
                </c:pt>
                <c:pt idx="75">
                  <c:v>10418526.266466755</c:v>
                </c:pt>
                <c:pt idx="76">
                  <c:v>10418526.266466755</c:v>
                </c:pt>
                <c:pt idx="77">
                  <c:v>10418526.266466755</c:v>
                </c:pt>
                <c:pt idx="78">
                  <c:v>10418526.266466755</c:v>
                </c:pt>
                <c:pt idx="79">
                  <c:v>10418526.266466755</c:v>
                </c:pt>
                <c:pt idx="80">
                  <c:v>10418526.266466755</c:v>
                </c:pt>
                <c:pt idx="81">
                  <c:v>10418526.266466755</c:v>
                </c:pt>
                <c:pt idx="82">
                  <c:v>10418526.266466755</c:v>
                </c:pt>
                <c:pt idx="83">
                  <c:v>10418526.266466755</c:v>
                </c:pt>
                <c:pt idx="84">
                  <c:v>10418526.266466755</c:v>
                </c:pt>
                <c:pt idx="85">
                  <c:v>10418526.266466755</c:v>
                </c:pt>
                <c:pt idx="86">
                  <c:v>10418526.266466755</c:v>
                </c:pt>
                <c:pt idx="87">
                  <c:v>10418526.266466755</c:v>
                </c:pt>
                <c:pt idx="88">
                  <c:v>10418526.266466755</c:v>
                </c:pt>
                <c:pt idx="89">
                  <c:v>10418526.266466755</c:v>
                </c:pt>
                <c:pt idx="90">
                  <c:v>10418526.266466755</c:v>
                </c:pt>
                <c:pt idx="91">
                  <c:v>10418526.266466755</c:v>
                </c:pt>
                <c:pt idx="92">
                  <c:v>10418526.266466755</c:v>
                </c:pt>
                <c:pt idx="93">
                  <c:v>10418526.266466755</c:v>
                </c:pt>
                <c:pt idx="94">
                  <c:v>10418526.266466755</c:v>
                </c:pt>
                <c:pt idx="95">
                  <c:v>10418526.266466755</c:v>
                </c:pt>
                <c:pt idx="96">
                  <c:v>10418526.266466755</c:v>
                </c:pt>
                <c:pt idx="97">
                  <c:v>10418526.266466755</c:v>
                </c:pt>
                <c:pt idx="98">
                  <c:v>10418526.266466755</c:v>
                </c:pt>
                <c:pt idx="99">
                  <c:v>10418526.266466755</c:v>
                </c:pt>
                <c:pt idx="100">
                  <c:v>10418526.266466755</c:v>
                </c:pt>
                <c:pt idx="101">
                  <c:v>10418526.266466755</c:v>
                </c:pt>
                <c:pt idx="102">
                  <c:v>10418526.266466755</c:v>
                </c:pt>
                <c:pt idx="103">
                  <c:v>10418526.266466755</c:v>
                </c:pt>
                <c:pt idx="104">
                  <c:v>10418526.266466755</c:v>
                </c:pt>
                <c:pt idx="105">
                  <c:v>10418526.266466755</c:v>
                </c:pt>
                <c:pt idx="106">
                  <c:v>10418526.266466755</c:v>
                </c:pt>
                <c:pt idx="107">
                  <c:v>10418526.266466755</c:v>
                </c:pt>
                <c:pt idx="108">
                  <c:v>10418526.266466755</c:v>
                </c:pt>
                <c:pt idx="109">
                  <c:v>10418526.266466755</c:v>
                </c:pt>
                <c:pt idx="110">
                  <c:v>10418526.266466755</c:v>
                </c:pt>
                <c:pt idx="111">
                  <c:v>10418526.266466755</c:v>
                </c:pt>
                <c:pt idx="112">
                  <c:v>10418526.266466755</c:v>
                </c:pt>
                <c:pt idx="113">
                  <c:v>10418526.266466755</c:v>
                </c:pt>
                <c:pt idx="114">
                  <c:v>10418526.266466755</c:v>
                </c:pt>
                <c:pt idx="115">
                  <c:v>10418526.266466755</c:v>
                </c:pt>
                <c:pt idx="116">
                  <c:v>10418526.266466755</c:v>
                </c:pt>
                <c:pt idx="117">
                  <c:v>10418526.266466755</c:v>
                </c:pt>
                <c:pt idx="118">
                  <c:v>10418526.266466755</c:v>
                </c:pt>
                <c:pt idx="119">
                  <c:v>10418526.266466755</c:v>
                </c:pt>
                <c:pt idx="120">
                  <c:v>10418526.266466755</c:v>
                </c:pt>
                <c:pt idx="121">
                  <c:v>10418526.266466755</c:v>
                </c:pt>
                <c:pt idx="122">
                  <c:v>10418526.266466755</c:v>
                </c:pt>
                <c:pt idx="123">
                  <c:v>10418526.266466755</c:v>
                </c:pt>
                <c:pt idx="124">
                  <c:v>10418526.266466755</c:v>
                </c:pt>
                <c:pt idx="125">
                  <c:v>10418526.266466755</c:v>
                </c:pt>
                <c:pt idx="126">
                  <c:v>10418526.266466755</c:v>
                </c:pt>
                <c:pt idx="127">
                  <c:v>10418526.266466755</c:v>
                </c:pt>
                <c:pt idx="128">
                  <c:v>10418526.266466755</c:v>
                </c:pt>
                <c:pt idx="129">
                  <c:v>10418526.266466755</c:v>
                </c:pt>
                <c:pt idx="130">
                  <c:v>10418526.266466755</c:v>
                </c:pt>
                <c:pt idx="131">
                  <c:v>10418526.266466755</c:v>
                </c:pt>
                <c:pt idx="132">
                  <c:v>10418526.266466755</c:v>
                </c:pt>
                <c:pt idx="133">
                  <c:v>10418526.266466755</c:v>
                </c:pt>
                <c:pt idx="134">
                  <c:v>10418526.266466755</c:v>
                </c:pt>
                <c:pt idx="135">
                  <c:v>10418526.266466755</c:v>
                </c:pt>
                <c:pt idx="136">
                  <c:v>10418526.266466755</c:v>
                </c:pt>
                <c:pt idx="137">
                  <c:v>10418526.266466755</c:v>
                </c:pt>
                <c:pt idx="138">
                  <c:v>10418526.266466755</c:v>
                </c:pt>
                <c:pt idx="139">
                  <c:v>10418526.266466755</c:v>
                </c:pt>
                <c:pt idx="140">
                  <c:v>10418526.266466755</c:v>
                </c:pt>
                <c:pt idx="141">
                  <c:v>10418526.266466755</c:v>
                </c:pt>
                <c:pt idx="142">
                  <c:v>10418526.266466755</c:v>
                </c:pt>
                <c:pt idx="143">
                  <c:v>10418526.266466755</c:v>
                </c:pt>
                <c:pt idx="144">
                  <c:v>10418526.266466755</c:v>
                </c:pt>
                <c:pt idx="145">
                  <c:v>10418526.266466755</c:v>
                </c:pt>
                <c:pt idx="146">
                  <c:v>10418526.266466755</c:v>
                </c:pt>
                <c:pt idx="147">
                  <c:v>10418526.266466755</c:v>
                </c:pt>
                <c:pt idx="148">
                  <c:v>10418526.266466755</c:v>
                </c:pt>
                <c:pt idx="149">
                  <c:v>10418526.266466755</c:v>
                </c:pt>
                <c:pt idx="150">
                  <c:v>10418526.266466755</c:v>
                </c:pt>
                <c:pt idx="151">
                  <c:v>10418526.266466755</c:v>
                </c:pt>
                <c:pt idx="152">
                  <c:v>10418526.266466755</c:v>
                </c:pt>
                <c:pt idx="153">
                  <c:v>10418526.266466755</c:v>
                </c:pt>
                <c:pt idx="154">
                  <c:v>10418526.266466755</c:v>
                </c:pt>
                <c:pt idx="155">
                  <c:v>10418526.266466755</c:v>
                </c:pt>
                <c:pt idx="156">
                  <c:v>10418526.266466755</c:v>
                </c:pt>
                <c:pt idx="157">
                  <c:v>10418526.266466755</c:v>
                </c:pt>
                <c:pt idx="158">
                  <c:v>10418526.266466755</c:v>
                </c:pt>
                <c:pt idx="159">
                  <c:v>10418526.266466755</c:v>
                </c:pt>
                <c:pt idx="160">
                  <c:v>10418526.266466755</c:v>
                </c:pt>
                <c:pt idx="161">
                  <c:v>10418526.266466755</c:v>
                </c:pt>
                <c:pt idx="162">
                  <c:v>10418526.266466755</c:v>
                </c:pt>
                <c:pt idx="163">
                  <c:v>10418526.266466755</c:v>
                </c:pt>
                <c:pt idx="164">
                  <c:v>10418526.266466755</c:v>
                </c:pt>
                <c:pt idx="165">
                  <c:v>10418526.266466755</c:v>
                </c:pt>
                <c:pt idx="166">
                  <c:v>10418526.266466755</c:v>
                </c:pt>
                <c:pt idx="167">
                  <c:v>10418526.266466755</c:v>
                </c:pt>
                <c:pt idx="168">
                  <c:v>10418526.266466755</c:v>
                </c:pt>
                <c:pt idx="169">
                  <c:v>10418526.266466755</c:v>
                </c:pt>
                <c:pt idx="170">
                  <c:v>10418526.266466755</c:v>
                </c:pt>
                <c:pt idx="171">
                  <c:v>10418526.266466755</c:v>
                </c:pt>
                <c:pt idx="172">
                  <c:v>10418526.266466755</c:v>
                </c:pt>
                <c:pt idx="173">
                  <c:v>10418526.266466755</c:v>
                </c:pt>
                <c:pt idx="174">
                  <c:v>10418526.266466755</c:v>
                </c:pt>
                <c:pt idx="175">
                  <c:v>10418526.266466755</c:v>
                </c:pt>
                <c:pt idx="176">
                  <c:v>10418526.266466755</c:v>
                </c:pt>
                <c:pt idx="177">
                  <c:v>10418526.266466755</c:v>
                </c:pt>
                <c:pt idx="178">
                  <c:v>10418526.266466755</c:v>
                </c:pt>
                <c:pt idx="179">
                  <c:v>10418526.266466755</c:v>
                </c:pt>
                <c:pt idx="180">
                  <c:v>10418526.266466755</c:v>
                </c:pt>
                <c:pt idx="181">
                  <c:v>10418526.266466755</c:v>
                </c:pt>
                <c:pt idx="182">
                  <c:v>10418526.266466755</c:v>
                </c:pt>
                <c:pt idx="183">
                  <c:v>10418526.266466755</c:v>
                </c:pt>
                <c:pt idx="184">
                  <c:v>10418526.266466755</c:v>
                </c:pt>
                <c:pt idx="185">
                  <c:v>10418526.266466755</c:v>
                </c:pt>
                <c:pt idx="186">
                  <c:v>10418526.266466755</c:v>
                </c:pt>
                <c:pt idx="187">
                  <c:v>10418526.266466755</c:v>
                </c:pt>
                <c:pt idx="188">
                  <c:v>10418526.266466755</c:v>
                </c:pt>
                <c:pt idx="189">
                  <c:v>10418526.266466755</c:v>
                </c:pt>
                <c:pt idx="190">
                  <c:v>10418526.266466755</c:v>
                </c:pt>
                <c:pt idx="191">
                  <c:v>10418526.266466755</c:v>
                </c:pt>
                <c:pt idx="192">
                  <c:v>10418526.266466755</c:v>
                </c:pt>
                <c:pt idx="193">
                  <c:v>10418526.266466755</c:v>
                </c:pt>
                <c:pt idx="194">
                  <c:v>10418526.266466755</c:v>
                </c:pt>
                <c:pt idx="195">
                  <c:v>10418526.266466755</c:v>
                </c:pt>
                <c:pt idx="196">
                  <c:v>10418526.266466755</c:v>
                </c:pt>
                <c:pt idx="197">
                  <c:v>10418526.266466755</c:v>
                </c:pt>
                <c:pt idx="198">
                  <c:v>10418526.266466755</c:v>
                </c:pt>
                <c:pt idx="199">
                  <c:v>10418526.266466755</c:v>
                </c:pt>
                <c:pt idx="200">
                  <c:v>10418526.266466755</c:v>
                </c:pt>
                <c:pt idx="201">
                  <c:v>10418526.266466755</c:v>
                </c:pt>
                <c:pt idx="202">
                  <c:v>10418526.266466755</c:v>
                </c:pt>
                <c:pt idx="203">
                  <c:v>10418526.266466755</c:v>
                </c:pt>
                <c:pt idx="204">
                  <c:v>10418526.266466755</c:v>
                </c:pt>
                <c:pt idx="205">
                  <c:v>10418526.266466755</c:v>
                </c:pt>
                <c:pt idx="206">
                  <c:v>10418526.266466755</c:v>
                </c:pt>
                <c:pt idx="207">
                  <c:v>10418526.266466755</c:v>
                </c:pt>
                <c:pt idx="208">
                  <c:v>10418526.266466755</c:v>
                </c:pt>
                <c:pt idx="209">
                  <c:v>10418526.266466755</c:v>
                </c:pt>
                <c:pt idx="210">
                  <c:v>10418526.266466755</c:v>
                </c:pt>
                <c:pt idx="211">
                  <c:v>10418526.266466755</c:v>
                </c:pt>
                <c:pt idx="212">
                  <c:v>10418526.266466755</c:v>
                </c:pt>
                <c:pt idx="213">
                  <c:v>10418526.266466755</c:v>
                </c:pt>
                <c:pt idx="214">
                  <c:v>10418526.266466755</c:v>
                </c:pt>
                <c:pt idx="215">
                  <c:v>10418526.266466755</c:v>
                </c:pt>
                <c:pt idx="216">
                  <c:v>10418526.266466755</c:v>
                </c:pt>
                <c:pt idx="217">
                  <c:v>10418526.266466755</c:v>
                </c:pt>
                <c:pt idx="218">
                  <c:v>10418526.266466755</c:v>
                </c:pt>
                <c:pt idx="219">
                  <c:v>10418526.266466755</c:v>
                </c:pt>
                <c:pt idx="220">
                  <c:v>10418526.266466755</c:v>
                </c:pt>
                <c:pt idx="221">
                  <c:v>10418526.266466755</c:v>
                </c:pt>
                <c:pt idx="222">
                  <c:v>10418526.266466755</c:v>
                </c:pt>
                <c:pt idx="223">
                  <c:v>10418526.266466755</c:v>
                </c:pt>
                <c:pt idx="224">
                  <c:v>10418526.266466755</c:v>
                </c:pt>
                <c:pt idx="225">
                  <c:v>10418526.266466755</c:v>
                </c:pt>
                <c:pt idx="226">
                  <c:v>10418526.266466755</c:v>
                </c:pt>
                <c:pt idx="227">
                  <c:v>10418526.266466755</c:v>
                </c:pt>
                <c:pt idx="228">
                  <c:v>10418526.266466755</c:v>
                </c:pt>
                <c:pt idx="229">
                  <c:v>10418526.266466755</c:v>
                </c:pt>
                <c:pt idx="230">
                  <c:v>10418526.266466755</c:v>
                </c:pt>
                <c:pt idx="231">
                  <c:v>10418526.266466755</c:v>
                </c:pt>
                <c:pt idx="232">
                  <c:v>10418526.266466755</c:v>
                </c:pt>
                <c:pt idx="233">
                  <c:v>10418526.266466755</c:v>
                </c:pt>
                <c:pt idx="234">
                  <c:v>10418526.266466755</c:v>
                </c:pt>
                <c:pt idx="235">
                  <c:v>10418526.266466755</c:v>
                </c:pt>
                <c:pt idx="236">
                  <c:v>10418526.266466755</c:v>
                </c:pt>
                <c:pt idx="237">
                  <c:v>10418526.266466755</c:v>
                </c:pt>
                <c:pt idx="238">
                  <c:v>10418526.266466755</c:v>
                </c:pt>
                <c:pt idx="239">
                  <c:v>10418526.266466755</c:v>
                </c:pt>
                <c:pt idx="240">
                  <c:v>10418526.266466755</c:v>
                </c:pt>
                <c:pt idx="241">
                  <c:v>10418526.266466755</c:v>
                </c:pt>
                <c:pt idx="242">
                  <c:v>10418526.266466755</c:v>
                </c:pt>
                <c:pt idx="243">
                  <c:v>10418526.266466755</c:v>
                </c:pt>
                <c:pt idx="244">
                  <c:v>10418526.266466755</c:v>
                </c:pt>
                <c:pt idx="245">
                  <c:v>10418526.266466755</c:v>
                </c:pt>
                <c:pt idx="246">
                  <c:v>10418526.266466755</c:v>
                </c:pt>
                <c:pt idx="247">
                  <c:v>10418526.266466755</c:v>
                </c:pt>
                <c:pt idx="248">
                  <c:v>10418526.266466755</c:v>
                </c:pt>
                <c:pt idx="249">
                  <c:v>10418526.266466755</c:v>
                </c:pt>
                <c:pt idx="250">
                  <c:v>10418526.266466755</c:v>
                </c:pt>
                <c:pt idx="251">
                  <c:v>10418526.266466755</c:v>
                </c:pt>
                <c:pt idx="252">
                  <c:v>10418526.266466755</c:v>
                </c:pt>
                <c:pt idx="253">
                  <c:v>10418526.266466755</c:v>
                </c:pt>
                <c:pt idx="254">
                  <c:v>10418526.266466755</c:v>
                </c:pt>
                <c:pt idx="255">
                  <c:v>10418526.266466755</c:v>
                </c:pt>
                <c:pt idx="256">
                  <c:v>10418526.266466755</c:v>
                </c:pt>
                <c:pt idx="257">
                  <c:v>10418526.266466755</c:v>
                </c:pt>
                <c:pt idx="258">
                  <c:v>10418526.266466755</c:v>
                </c:pt>
                <c:pt idx="259">
                  <c:v>10418526.266466755</c:v>
                </c:pt>
                <c:pt idx="260">
                  <c:v>10418526.266466755</c:v>
                </c:pt>
                <c:pt idx="261">
                  <c:v>10418526.266466755</c:v>
                </c:pt>
                <c:pt idx="262">
                  <c:v>10418526.266466755</c:v>
                </c:pt>
                <c:pt idx="263">
                  <c:v>10418526.266466755</c:v>
                </c:pt>
                <c:pt idx="264">
                  <c:v>10418526.266466755</c:v>
                </c:pt>
                <c:pt idx="265">
                  <c:v>10418526.266466755</c:v>
                </c:pt>
                <c:pt idx="266">
                  <c:v>10418526.266466755</c:v>
                </c:pt>
                <c:pt idx="267">
                  <c:v>10418526.266466755</c:v>
                </c:pt>
                <c:pt idx="268">
                  <c:v>10418526.266466755</c:v>
                </c:pt>
                <c:pt idx="269">
                  <c:v>10418526.266466755</c:v>
                </c:pt>
                <c:pt idx="270">
                  <c:v>10418526.266466755</c:v>
                </c:pt>
                <c:pt idx="271">
                  <c:v>10418526.266466755</c:v>
                </c:pt>
                <c:pt idx="272">
                  <c:v>10418526.266466755</c:v>
                </c:pt>
                <c:pt idx="273">
                  <c:v>10418526.266466755</c:v>
                </c:pt>
                <c:pt idx="274">
                  <c:v>10418526.266466755</c:v>
                </c:pt>
                <c:pt idx="275">
                  <c:v>10418526.266466755</c:v>
                </c:pt>
                <c:pt idx="276">
                  <c:v>10418526.266466755</c:v>
                </c:pt>
                <c:pt idx="277">
                  <c:v>10418526.266466755</c:v>
                </c:pt>
                <c:pt idx="278">
                  <c:v>10418526.266466755</c:v>
                </c:pt>
                <c:pt idx="279">
                  <c:v>10418526.266466755</c:v>
                </c:pt>
                <c:pt idx="280">
                  <c:v>10418526.266466755</c:v>
                </c:pt>
                <c:pt idx="281">
                  <c:v>10418526.266466755</c:v>
                </c:pt>
                <c:pt idx="282">
                  <c:v>10418526.266466755</c:v>
                </c:pt>
                <c:pt idx="283">
                  <c:v>10418526.266466755</c:v>
                </c:pt>
                <c:pt idx="284">
                  <c:v>10418526.266466755</c:v>
                </c:pt>
                <c:pt idx="285">
                  <c:v>10418526.266466755</c:v>
                </c:pt>
                <c:pt idx="286">
                  <c:v>10418526.266466755</c:v>
                </c:pt>
                <c:pt idx="287">
                  <c:v>10418526.266466755</c:v>
                </c:pt>
                <c:pt idx="288">
                  <c:v>10418526.266466755</c:v>
                </c:pt>
                <c:pt idx="289">
                  <c:v>10418526.266466755</c:v>
                </c:pt>
                <c:pt idx="290">
                  <c:v>10418526.266466755</c:v>
                </c:pt>
                <c:pt idx="291">
                  <c:v>10418526.266466755</c:v>
                </c:pt>
                <c:pt idx="292">
                  <c:v>10418526.266466755</c:v>
                </c:pt>
                <c:pt idx="293">
                  <c:v>10418526.266466755</c:v>
                </c:pt>
                <c:pt idx="294">
                  <c:v>10418526.266466755</c:v>
                </c:pt>
                <c:pt idx="295">
                  <c:v>10418526.266466755</c:v>
                </c:pt>
                <c:pt idx="296">
                  <c:v>10418526.266466755</c:v>
                </c:pt>
                <c:pt idx="297">
                  <c:v>10418526.266466755</c:v>
                </c:pt>
                <c:pt idx="298">
                  <c:v>10418526.266466755</c:v>
                </c:pt>
                <c:pt idx="299">
                  <c:v>10418526.266466755</c:v>
                </c:pt>
                <c:pt idx="300">
                  <c:v>10418526.266466755</c:v>
                </c:pt>
                <c:pt idx="301">
                  <c:v>10418526.266466755</c:v>
                </c:pt>
                <c:pt idx="302">
                  <c:v>10418526.266466755</c:v>
                </c:pt>
                <c:pt idx="303">
                  <c:v>10418526.266466755</c:v>
                </c:pt>
                <c:pt idx="304">
                  <c:v>10418526.266466755</c:v>
                </c:pt>
                <c:pt idx="305">
                  <c:v>10418526.266466755</c:v>
                </c:pt>
                <c:pt idx="306">
                  <c:v>10418526.266466755</c:v>
                </c:pt>
                <c:pt idx="307">
                  <c:v>10418526.266466755</c:v>
                </c:pt>
                <c:pt idx="308">
                  <c:v>10418526.266466755</c:v>
                </c:pt>
                <c:pt idx="309">
                  <c:v>10418526.266466755</c:v>
                </c:pt>
                <c:pt idx="310">
                  <c:v>10418526.266466755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14852430555" createdVersion="8" refreshedVersion="8" minRefreshableVersion="3" recordCount="170" xr:uid="{D37A5069-1A2D-4864-A726-735BFBE61275}">
  <cacheSource type="worksheet">
    <worksheetSource ref="L4:X176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44000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3-01T00:00:00" count="17">
        <m/>
        <d v="2025-10-31T00:00:00"/>
        <s v=""/>
        <d v="2026-01-31T00:00:00"/>
        <d v="2025-11-30T00:00:00"/>
        <d v="2025-12-31T00:00:00"/>
        <d v="2026-02-28T00:00:00"/>
        <d v="2025-09-30T00:00:00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729623.9294687072"/>
    </cacheField>
    <cacheField name="CHECK" numFmtId="0">
      <sharedItems containsString="0" containsBlank="1" containsNumber="1" minValue="0" maxValue="4.039382423798088E-3"/>
    </cacheField>
    <cacheField name="FINANCE PAYMENT DATE" numFmtId="0">
      <sharedItems containsNonDate="0" containsDate="1" containsString="0" containsBlank="1" minDate="2025-02-28T00:00:00" maxDate="2026-04-02T00:00:00"/>
    </cacheField>
    <cacheField name="Total COS" numFmtId="0">
      <sharedItems containsString="0" containsBlank="1" containsNumber="1" minValue="0" maxValue="265718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57189.4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m/>
    <x v="3"/>
    <n v="0"/>
    <m/>
    <d v="2026-04-01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426468.08999999997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s v="Universal KL-Clamp"/>
    <m/>
    <m/>
    <n v="15556.95"/>
    <s v="PO4553-DSHC-20260116 - RV Approved"/>
    <m/>
    <x v="3"/>
    <n v="0"/>
    <m/>
    <d v="2026-03-02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5"/>
    <n v="28570.632008815413"/>
    <m/>
    <d v="2025-12-12T00:00:00"/>
    <m/>
  </r>
  <r>
    <n v="4"/>
    <x v="4"/>
    <s v="AC Installation Complete"/>
    <m/>
    <n v="0.1"/>
    <n v="16966.52"/>
    <m/>
    <m/>
    <x v="3"/>
    <n v="28570.632008815413"/>
    <m/>
    <d v="2026-02-14T00:00:00"/>
    <m/>
  </r>
  <r>
    <n v="4"/>
    <x v="4"/>
    <s v="DC Installation Complete"/>
    <m/>
    <n v="0.2"/>
    <n v="33933.040000000001"/>
    <m/>
    <s v="JA ElectricalInv 1142"/>
    <x v="5"/>
    <n v="57141.264017630827"/>
    <m/>
    <d v="2025-12-12T00:00:00"/>
    <m/>
  </r>
  <r>
    <n v="4"/>
    <x v="4"/>
    <s v="DC Installation Complete"/>
    <m/>
    <n v="0.05"/>
    <n v="8483.26"/>
    <m/>
    <m/>
    <x v="3"/>
    <n v="14285.316004407707"/>
    <m/>
    <d v="2026-02-14T00:00:00"/>
    <m/>
  </r>
  <r>
    <n v="4"/>
    <x v="4"/>
    <s v="Commissioning Complete"/>
    <m/>
    <n v="0.1"/>
    <n v="16966.52"/>
    <m/>
    <m/>
    <x v="6"/>
    <n v="28570.632008815413"/>
    <m/>
    <d v="2026-02-11T00:00:00"/>
    <m/>
  </r>
  <r>
    <n v="4"/>
    <x v="4"/>
    <s v="Site De-establisment"/>
    <m/>
    <n v="0.1"/>
    <n v="16966.52"/>
    <m/>
    <m/>
    <x v="6"/>
    <n v="28570.632008815413"/>
    <m/>
    <d v="2026-02-23T00:00:00"/>
    <m/>
  </r>
  <r>
    <n v="4"/>
    <x v="4"/>
    <s v="Handover Document Complete"/>
    <m/>
    <n v="0.05"/>
    <n v="8483.26"/>
    <m/>
    <m/>
    <x v="6"/>
    <n v="14285.316004407707"/>
    <m/>
    <d v="2026-02-23T00:00:00"/>
    <m/>
  </r>
  <r>
    <n v="4"/>
    <x v="4"/>
    <s v="End of Defects Period"/>
    <m/>
    <n v="0.05"/>
    <n v="8483.26"/>
    <m/>
    <m/>
    <x v="6"/>
    <n v="14285.316004407707"/>
    <m/>
    <d v="2026-03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7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7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7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83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5"/>
    <n v="64141.287346352467"/>
    <m/>
    <d v="2025-12-12T00:00:00"/>
    <m/>
  </r>
  <r>
    <s v="6."/>
    <x v="6"/>
    <s v="AC Installation Complete"/>
    <m/>
    <n v="0.1"/>
    <n v="23150.880000000001"/>
    <m/>
    <m/>
    <x v="3"/>
    <n v="64141.174403528712"/>
    <m/>
    <d v="2026-02-14T00:00:00"/>
    <m/>
  </r>
  <r>
    <n v="6"/>
    <x v="6"/>
    <s v="DC Installation Complete"/>
    <m/>
    <n v="0.2"/>
    <n v="46301.66"/>
    <m/>
    <s v="JA ElectricalInv 1142"/>
    <x v="5"/>
    <n v="128282.07174988119"/>
    <m/>
    <d v="2025-12-12T00:00:00"/>
    <m/>
  </r>
  <r>
    <n v="6"/>
    <x v="6"/>
    <s v="DC Installation Complete"/>
    <m/>
    <n v="0.05"/>
    <n v="11575.44"/>
    <m/>
    <m/>
    <x v="3"/>
    <n v="32070.587201764356"/>
    <m/>
    <d v="2026-02-14T00:00:00"/>
    <m/>
  </r>
  <r>
    <n v="6"/>
    <x v="6"/>
    <s v="Commissioning Complete"/>
    <m/>
    <n v="0.1"/>
    <n v="23150.880000000001"/>
    <m/>
    <m/>
    <x v="6"/>
    <n v="64141.174403528712"/>
    <m/>
    <d v="2026-02-11T00:00:00"/>
    <m/>
  </r>
  <r>
    <n v="6"/>
    <x v="6"/>
    <s v="Site De-establisment"/>
    <m/>
    <n v="0.1"/>
    <n v="23150.880000000001"/>
    <m/>
    <m/>
    <x v="6"/>
    <n v="64141.174403528712"/>
    <m/>
    <d v="2026-02-23T00:00:00"/>
    <m/>
  </r>
  <r>
    <n v="6"/>
    <x v="6"/>
    <s v="Handover Document Complete"/>
    <m/>
    <n v="0.05"/>
    <n v="11575.44"/>
    <m/>
    <m/>
    <x v="6"/>
    <n v="32070.587201764356"/>
    <m/>
    <d v="2026-02-23T00:00:00"/>
    <m/>
  </r>
  <r>
    <n v="6"/>
    <x v="6"/>
    <s v="End of Defects Period"/>
    <m/>
    <n v="0.05"/>
    <n v="11575.44"/>
    <m/>
    <m/>
    <x v="6"/>
    <n v="32070.587201764356"/>
    <m/>
    <d v="2026-03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281676"/>
  </r>
  <r>
    <n v="8"/>
    <x v="8"/>
    <s v="MV Metering"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m/>
    <x v="3"/>
    <n v="55795.058976476743"/>
    <m/>
    <d v="2026-01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05292.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5"/>
    <n v="120469.60227272728"/>
    <m/>
    <d v="2025-12-12T00:00:00"/>
    <m/>
  </r>
  <r>
    <n v="9"/>
    <x v="9"/>
    <s v="AC Installation Complete"/>
    <m/>
    <n v="0.1"/>
    <n v="110529.22"/>
    <m/>
    <m/>
    <x v="3"/>
    <n v="120469.60227272728"/>
    <m/>
    <d v="2026-02-14T00:00:00"/>
    <m/>
  </r>
  <r>
    <n v="9"/>
    <x v="9"/>
    <s v="DC Installation Complete"/>
    <m/>
    <n v="0.2"/>
    <n v="221058.44"/>
    <m/>
    <s v="JA ElectricalInv 1142"/>
    <x v="5"/>
    <n v="240939.20454545456"/>
    <m/>
    <d v="2025-12-12T00:00:00"/>
    <m/>
  </r>
  <r>
    <n v="9"/>
    <x v="9"/>
    <s v="DC Installation Complete"/>
    <m/>
    <n v="0.05"/>
    <n v="55264.61"/>
    <m/>
    <m/>
    <x v="3"/>
    <n v="60234.80113636364"/>
    <m/>
    <d v="2026-02-14T00:00:00"/>
    <m/>
  </r>
  <r>
    <n v="9"/>
    <x v="9"/>
    <s v="Commissioning Complete"/>
    <m/>
    <n v="0.1"/>
    <n v="110529.22"/>
    <m/>
    <m/>
    <x v="6"/>
    <n v="120469.60227272728"/>
    <m/>
    <d v="2026-02-11T00:00:00"/>
    <m/>
  </r>
  <r>
    <n v="9"/>
    <x v="9"/>
    <s v="Site De-establisment"/>
    <m/>
    <n v="0.1"/>
    <n v="110529.22"/>
    <m/>
    <m/>
    <x v="6"/>
    <n v="120469.60227272728"/>
    <m/>
    <d v="2026-02-23T00:00:00"/>
    <m/>
  </r>
  <r>
    <n v="9"/>
    <x v="9"/>
    <s v="Handover Document Complete"/>
    <m/>
    <n v="0.05"/>
    <n v="55264.61"/>
    <m/>
    <m/>
    <x v="6"/>
    <n v="60234.80113636364"/>
    <m/>
    <d v="2026-02-23T00:00:00"/>
    <m/>
  </r>
  <r>
    <n v="9"/>
    <x v="9"/>
    <s v="End of Defects Period"/>
    <m/>
    <n v="0.05"/>
    <n v="55264.61"/>
    <m/>
    <m/>
    <x v="6"/>
    <n v="60234.80113636364"/>
    <m/>
    <d v="2026-03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8945914052892476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5"/>
    <n v="6927.6372583925622"/>
    <m/>
    <d v="2025-12-12T00:00:00"/>
    <m/>
  </r>
  <r>
    <n v="13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5"/>
    <n v="16832.875373135081"/>
    <m/>
    <d v="2025-12-12T00:00:00"/>
    <m/>
  </r>
  <r>
    <n v="10"/>
    <x v="10"/>
    <s v="AC Installation Complete"/>
    <m/>
    <n v="0.1"/>
    <n v="19654.400000000001"/>
    <m/>
    <m/>
    <x v="3"/>
    <n v="13615.85537313508"/>
    <m/>
    <d v="2026-02-14T00:00:00"/>
    <m/>
  </r>
  <r>
    <n v="10"/>
    <x v="10"/>
    <s v="DC Installation Complete"/>
    <m/>
    <n v="0.2"/>
    <n v="39308.699999999997"/>
    <m/>
    <s v="JA ElectricalInv 1142"/>
    <x v="5"/>
    <n v="27231.641469897571"/>
    <m/>
    <d v="2025-12-12T00:00:00"/>
    <m/>
  </r>
  <r>
    <n v="10"/>
    <x v="10"/>
    <s v="DC Installation Complete"/>
    <m/>
    <n v="0.05"/>
    <n v="9827.2000000000007"/>
    <m/>
    <m/>
    <x v="3"/>
    <n v="6807.9276865675401"/>
    <m/>
    <d v="2026-02-14T00:00:00"/>
    <m/>
  </r>
  <r>
    <n v="10"/>
    <x v="10"/>
    <s v="Commissioning Complete"/>
    <m/>
    <n v="0.1"/>
    <n v="19654.400000000001"/>
    <m/>
    <m/>
    <x v="6"/>
    <n v="13615.85537313508"/>
    <m/>
    <d v="2026-02-11T00:00:00"/>
    <m/>
  </r>
  <r>
    <n v="10"/>
    <x v="10"/>
    <s v="Site De-establisment"/>
    <m/>
    <n v="0.1"/>
    <n v="19654.400000000001"/>
    <m/>
    <m/>
    <x v="6"/>
    <n v="13615.85537313508"/>
    <m/>
    <d v="2026-02-23T00:00:00"/>
    <m/>
  </r>
  <r>
    <n v="10"/>
    <x v="10"/>
    <s v="Handover Document Complete"/>
    <m/>
    <n v="0.05"/>
    <n v="9827.2000000000007"/>
    <m/>
    <m/>
    <x v="6"/>
    <n v="6807.9276865675401"/>
    <m/>
    <d v="2026-02-23T00:00:00"/>
    <m/>
  </r>
  <r>
    <n v="10"/>
    <x v="10"/>
    <s v="End of Defects Period"/>
    <m/>
    <n v="0.05"/>
    <n v="9827.2000000000007"/>
    <m/>
    <m/>
    <x v="6"/>
    <n v="6807.9276865675401"/>
    <m/>
    <d v="2026-03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6"/>
    <n v="39765.390940981844"/>
    <n v="2.1007240866310894E-4"/>
    <d v="2026-02-04T00:00:00"/>
    <n v="142343.85"/>
  </r>
  <r>
    <n v="11"/>
    <x v="11"/>
    <s v="Structural sign off"/>
    <m/>
    <m/>
    <n v="9019.6"/>
    <m/>
    <s v="L &amp; B consulting Inv: 1934"/>
    <x v="7"/>
    <n v="14096.219464915206"/>
    <m/>
    <d v="2025-04-10T00:00:00"/>
    <m/>
  </r>
  <r>
    <n v="11"/>
    <x v="11"/>
    <s v="Site Inspection"/>
    <m/>
    <m/>
    <n v="9620"/>
    <m/>
    <s v="Ace Properties: Inv 3031"/>
    <x v="7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7"/>
    <n v="123406.013657562"/>
    <m/>
    <d v="2025-02-28T00:00:00"/>
    <m/>
  </r>
  <r>
    <n v="11"/>
    <x v="11"/>
    <s v="Red Team"/>
    <m/>
    <m/>
    <n v="10000"/>
    <m/>
    <m/>
    <x v="6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6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7"/>
    <n v="16326.887799201642"/>
    <n v="0"/>
    <d v="2025-09-05T00:00:00"/>
    <n v="470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8500"/>
    <m/>
    <m/>
    <x v="3"/>
    <n v="2330.7654933327576"/>
    <m/>
    <d v="2026-02-07T00:00:00"/>
    <m/>
  </r>
  <r>
    <n v="14"/>
    <x v="14"/>
    <m/>
    <m/>
    <m/>
    <n v="8500"/>
    <m/>
    <m/>
    <x v="6"/>
    <n v="2330.7654933327576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110570.16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5"/>
    <m/>
    <m/>
    <d v="2026-01-15T00:00:00"/>
    <m/>
  </r>
  <r>
    <n v="15"/>
    <x v="15"/>
    <s v="Trenching"/>
    <m/>
    <m/>
    <n v="5717.4400000000023"/>
    <s v="PO4518-DSHC-20251203 - RV Approved"/>
    <m/>
    <x v="3"/>
    <m/>
    <m/>
    <d v="2026-01-31T00:00:00"/>
    <m/>
  </r>
  <r>
    <n v="15"/>
    <x v="15"/>
    <m/>
    <m/>
    <m/>
    <n v="48720"/>
    <m/>
    <s v="JA Electrical - Inv 1144"/>
    <x v="5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1"/>
        <item m="1" x="10"/>
        <item m="1" x="9"/>
        <item x="7"/>
        <item x="1"/>
        <item x="4"/>
        <item x="5"/>
        <item x="2"/>
        <item m="1" x="16"/>
        <item m="1" x="13"/>
        <item m="1" x="12"/>
        <item x="3"/>
        <item x="6"/>
        <item m="1"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1"/>
        <item m="1" x="10"/>
        <item m="1" x="9"/>
        <item x="7"/>
        <item x="1"/>
        <item x="4"/>
        <item x="5"/>
        <item x="2"/>
        <item m="1" x="16"/>
        <item m="1" x="13"/>
        <item m="1" x="12"/>
        <item x="3"/>
        <item x="6"/>
        <item m="1"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18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199218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199218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5" t="s">
        <v>57</v>
      </c>
      <c r="E47" s="705"/>
      <c r="F47" s="706"/>
      <c r="G47" s="67"/>
      <c r="I47" s="68"/>
      <c r="J47" s="68"/>
    </row>
    <row r="48" spans="1:49" ht="13.9" thickBot="1">
      <c r="C48" s="69">
        <v>44014</v>
      </c>
      <c r="D48" s="707"/>
      <c r="E48" s="707"/>
      <c r="F48" s="70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10" t="s">
        <v>58</v>
      </c>
      <c r="C2" s="710"/>
      <c r="D2" s="710"/>
      <c r="E2" s="710"/>
      <c r="H2" s="711" t="s">
        <v>59</v>
      </c>
      <c r="I2" s="712"/>
      <c r="J2" s="712"/>
      <c r="K2" s="712"/>
      <c r="L2" s="712"/>
      <c r="M2" s="712"/>
      <c r="N2" s="712"/>
      <c r="O2" s="713"/>
    </row>
    <row r="3" spans="2:15">
      <c r="B3" s="646"/>
      <c r="H3" s="714"/>
      <c r="I3" s="715"/>
      <c r="J3" s="715"/>
      <c r="K3" s="715"/>
      <c r="L3" s="715"/>
      <c r="M3" s="715"/>
      <c r="N3" s="715"/>
      <c r="O3" s="716"/>
    </row>
    <row r="4" spans="2:15">
      <c r="B4" s="647" t="s">
        <v>60</v>
      </c>
      <c r="C4" s="648" t="str">
        <f>'Project Plan'!E2</f>
        <v>Seshego Circle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47" t="s">
        <v>61</v>
      </c>
      <c r="C5" s="648" t="s">
        <v>62</v>
      </c>
      <c r="H5" s="714"/>
      <c r="I5" s="715"/>
      <c r="J5" s="715"/>
      <c r="K5" s="715"/>
      <c r="L5" s="715"/>
      <c r="M5" s="715"/>
      <c r="N5" s="715"/>
      <c r="O5" s="716"/>
    </row>
    <row r="6" spans="2:15">
      <c r="B6" s="647" t="s">
        <v>63</v>
      </c>
      <c r="C6" s="648" t="s">
        <v>64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47" t="s">
        <v>65</v>
      </c>
      <c r="C7" s="648" t="s">
        <v>66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46"/>
      <c r="H8" s="714"/>
      <c r="I8" s="715"/>
      <c r="J8" s="715"/>
      <c r="K8" s="715"/>
      <c r="L8" s="715"/>
      <c r="M8" s="715"/>
      <c r="N8" s="715"/>
      <c r="O8" s="716"/>
    </row>
    <row r="9" spans="2:15">
      <c r="B9" s="720" t="s">
        <v>67</v>
      </c>
      <c r="C9" s="720"/>
      <c r="D9" s="720"/>
      <c r="E9" s="720"/>
      <c r="H9" s="714"/>
      <c r="I9" s="715"/>
      <c r="J9" s="715"/>
      <c r="K9" s="715"/>
      <c r="L9" s="715"/>
      <c r="M9" s="715"/>
      <c r="N9" s="715"/>
      <c r="O9" s="716"/>
    </row>
    <row r="10" spans="2:15" ht="14.65" thickBot="1">
      <c r="B10" s="720" t="s">
        <v>68</v>
      </c>
      <c r="C10" s="720"/>
      <c r="D10" s="720"/>
      <c r="E10" s="720"/>
      <c r="H10" s="717"/>
      <c r="I10" s="718"/>
      <c r="J10" s="718"/>
      <c r="K10" s="718"/>
      <c r="L10" s="718"/>
      <c r="M10" s="718"/>
      <c r="N10" s="718"/>
      <c r="O10" s="719"/>
    </row>
    <row r="11" spans="2:15">
      <c r="B11" s="649" t="s">
        <v>69</v>
      </c>
      <c r="C11" s="709"/>
      <c r="D11" s="709"/>
      <c r="E11" s="709"/>
    </row>
    <row r="12" spans="2:15">
      <c r="B12" s="649" t="s">
        <v>70</v>
      </c>
      <c r="C12" s="709"/>
      <c r="D12" s="709"/>
      <c r="E12" s="709"/>
    </row>
    <row r="13" spans="2:15">
      <c r="B13" s="649" t="s">
        <v>71</v>
      </c>
      <c r="C13" s="709"/>
      <c r="D13" s="709"/>
      <c r="E13" s="709"/>
    </row>
    <row r="14" spans="2:15">
      <c r="B14" s="649" t="s">
        <v>72</v>
      </c>
      <c r="C14" s="709"/>
      <c r="D14" s="709"/>
      <c r="E14" s="709"/>
    </row>
    <row r="15" spans="2:15">
      <c r="B15" s="649" t="s">
        <v>73</v>
      </c>
      <c r="C15" s="709"/>
      <c r="D15" s="709"/>
      <c r="E15" s="709"/>
    </row>
    <row r="16" spans="2:15" ht="15" customHeight="1">
      <c r="B16" s="649" t="s">
        <v>74</v>
      </c>
      <c r="C16" s="709"/>
      <c r="D16" s="709"/>
      <c r="E16" s="709"/>
    </row>
    <row r="17" spans="2:5">
      <c r="B17" s="646"/>
    </row>
    <row r="18" spans="2:5">
      <c r="B18" s="721" t="s">
        <v>75</v>
      </c>
      <c r="C18" s="721"/>
      <c r="D18" s="721"/>
      <c r="E18" s="721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10" t="s">
        <v>80</v>
      </c>
      <c r="C2" s="710"/>
      <c r="D2" s="710"/>
      <c r="E2" s="710"/>
      <c r="H2" s="711" t="s">
        <v>81</v>
      </c>
      <c r="I2" s="712"/>
      <c r="J2" s="712"/>
      <c r="K2" s="712"/>
      <c r="L2" s="712"/>
      <c r="M2" s="712"/>
      <c r="N2" s="712"/>
      <c r="O2" s="713"/>
    </row>
    <row r="3" spans="2:15">
      <c r="B3" s="646"/>
      <c r="H3" s="714"/>
      <c r="I3" s="715"/>
      <c r="J3" s="715"/>
      <c r="K3" s="715"/>
      <c r="L3" s="715"/>
      <c r="M3" s="715"/>
      <c r="N3" s="715"/>
      <c r="O3" s="716"/>
    </row>
    <row r="4" spans="2:15">
      <c r="B4" s="647" t="s">
        <v>60</v>
      </c>
      <c r="C4" s="648" t="str">
        <f>'Project Plan'!E2</f>
        <v>Seshego Circle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47" t="s">
        <v>82</v>
      </c>
      <c r="C5" s="648"/>
      <c r="H5" s="714"/>
      <c r="I5" s="715"/>
      <c r="J5" s="715"/>
      <c r="K5" s="715"/>
      <c r="L5" s="715"/>
      <c r="M5" s="715"/>
      <c r="N5" s="715"/>
      <c r="O5" s="716"/>
    </row>
    <row r="6" spans="2:15">
      <c r="B6" s="647" t="s">
        <v>63</v>
      </c>
      <c r="C6" s="648" t="s">
        <v>64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47" t="s">
        <v>83</v>
      </c>
      <c r="C7" s="648" t="str">
        <f>'Project Plan'!E5</f>
        <v>Eon Van Rensburg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47" t="s">
        <v>84</v>
      </c>
      <c r="C8" s="648"/>
      <c r="H8" s="714"/>
      <c r="I8" s="715"/>
      <c r="J8" s="715"/>
      <c r="K8" s="715"/>
      <c r="L8" s="715"/>
      <c r="M8" s="715"/>
      <c r="N8" s="715"/>
      <c r="O8" s="716"/>
    </row>
    <row r="9" spans="2:15">
      <c r="B9" s="646"/>
      <c r="H9" s="714"/>
      <c r="I9" s="715"/>
      <c r="J9" s="715"/>
      <c r="K9" s="715"/>
      <c r="L9" s="715"/>
      <c r="M9" s="715"/>
      <c r="N9" s="715"/>
      <c r="O9" s="716"/>
    </row>
    <row r="10" spans="2:15">
      <c r="B10" s="720" t="s">
        <v>67</v>
      </c>
      <c r="C10" s="720"/>
      <c r="D10" s="720"/>
      <c r="E10" s="720"/>
      <c r="H10" s="714"/>
      <c r="I10" s="715"/>
      <c r="J10" s="715"/>
      <c r="K10" s="715"/>
      <c r="L10" s="715"/>
      <c r="M10" s="715"/>
      <c r="N10" s="715"/>
      <c r="O10" s="716"/>
    </row>
    <row r="11" spans="2:15" ht="14.65" thickBot="1">
      <c r="B11" s="720" t="s">
        <v>68</v>
      </c>
      <c r="C11" s="720"/>
      <c r="D11" s="720"/>
      <c r="E11" s="720"/>
      <c r="H11" s="717"/>
      <c r="I11" s="718"/>
      <c r="J11" s="718"/>
      <c r="K11" s="718"/>
      <c r="L11" s="718"/>
      <c r="M11" s="718"/>
      <c r="N11" s="718"/>
      <c r="O11" s="719"/>
    </row>
    <row r="12" spans="2:15" ht="25.5">
      <c r="B12" s="649" t="s">
        <v>85</v>
      </c>
      <c r="C12" s="709"/>
      <c r="D12" s="709"/>
      <c r="E12" s="709"/>
    </row>
    <row r="13" spans="2:15">
      <c r="B13" s="649" t="s">
        <v>86</v>
      </c>
      <c r="C13" s="709"/>
      <c r="D13" s="709"/>
      <c r="E13" s="709"/>
    </row>
    <row r="14" spans="2:15">
      <c r="B14" s="649" t="s">
        <v>87</v>
      </c>
      <c r="C14" s="709"/>
      <c r="D14" s="709"/>
      <c r="E14" s="709"/>
    </row>
    <row r="15" spans="2:15">
      <c r="B15" s="649" t="s">
        <v>88</v>
      </c>
      <c r="C15" s="709"/>
      <c r="D15" s="709"/>
      <c r="E15" s="709"/>
    </row>
    <row r="16" spans="2:15" ht="25.5">
      <c r="B16" s="649" t="s">
        <v>89</v>
      </c>
      <c r="C16" s="709"/>
      <c r="D16" s="709"/>
      <c r="E16" s="709"/>
    </row>
    <row r="17" spans="2:5">
      <c r="B17" s="649" t="s">
        <v>90</v>
      </c>
      <c r="C17" s="709"/>
      <c r="D17" s="709"/>
      <c r="E17" s="709"/>
    </row>
    <row r="18" spans="2:5">
      <c r="B18" s="649" t="s">
        <v>91</v>
      </c>
      <c r="C18" s="709"/>
      <c r="D18" s="709"/>
      <c r="E18" s="709"/>
    </row>
    <row r="19" spans="2:5">
      <c r="B19" s="649" t="s">
        <v>92</v>
      </c>
      <c r="C19" s="709"/>
      <c r="D19" s="709"/>
      <c r="E19" s="709"/>
    </row>
    <row r="20" spans="2:5">
      <c r="B20" s="649" t="s">
        <v>93</v>
      </c>
      <c r="C20" s="709"/>
      <c r="D20" s="709"/>
      <c r="E20" s="709"/>
    </row>
    <row r="21" spans="2:5">
      <c r="B21" s="649" t="s">
        <v>94</v>
      </c>
      <c r="C21" s="709"/>
      <c r="D21" s="709"/>
      <c r="E21" s="709"/>
    </row>
    <row r="22" spans="2:5" ht="15" customHeight="1">
      <c r="B22" s="649" t="s">
        <v>74</v>
      </c>
      <c r="C22" s="709"/>
      <c r="D22" s="709"/>
      <c r="E22" s="709"/>
    </row>
    <row r="23" spans="2:5">
      <c r="B23" s="646"/>
    </row>
    <row r="24" spans="2:5">
      <c r="B24" s="721" t="s">
        <v>75</v>
      </c>
      <c r="C24" s="721"/>
      <c r="D24" s="721"/>
      <c r="E24" s="721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722"/>
      <c r="C1" s="723"/>
      <c r="D1" s="723"/>
      <c r="E1" s="723"/>
      <c r="F1" s="724" t="s">
        <v>95</v>
      </c>
      <c r="G1" s="724"/>
      <c r="H1" s="724"/>
      <c r="I1" s="724"/>
      <c r="J1" s="724"/>
      <c r="K1" s="725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52"/>
      <c r="G4" s="74"/>
      <c r="H4" s="76"/>
      <c r="I4" s="76"/>
      <c r="J4" s="653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6484375" defaultRowHeight="13.5"/>
  <cols>
    <col min="1" max="1" width="1.46484375" style="24" customWidth="1"/>
    <col min="2" max="2" width="30.53125" style="24" bestFit="1" customWidth="1"/>
    <col min="3" max="3" width="19.53125" style="24" customWidth="1"/>
    <col min="4" max="4" width="33" style="24" customWidth="1"/>
    <col min="5" max="5" width="9.53125" style="24" customWidth="1"/>
    <col min="6" max="6" width="53.46484375" style="24" customWidth="1"/>
    <col min="7" max="16384" width="8.464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136</v>
      </c>
      <c r="C2" s="78" t="s">
        <v>137</v>
      </c>
      <c r="D2" s="78" t="s">
        <v>97</v>
      </c>
      <c r="E2" s="78" t="s">
        <v>138</v>
      </c>
      <c r="F2" s="78" t="s">
        <v>8</v>
      </c>
      <c r="G2" s="3"/>
    </row>
    <row r="3" spans="1:7">
      <c r="A3" s="216"/>
      <c r="B3" s="654" t="s">
        <v>139</v>
      </c>
      <c r="C3" s="654"/>
      <c r="D3" s="654"/>
      <c r="E3" s="655"/>
      <c r="F3" s="654"/>
      <c r="G3" s="3"/>
    </row>
    <row r="4" spans="1:7">
      <c r="A4" s="216"/>
      <c r="B4" s="654" t="s">
        <v>140</v>
      </c>
      <c r="C4" s="654"/>
      <c r="D4" s="654"/>
      <c r="E4" s="655"/>
      <c r="F4" s="654"/>
      <c r="G4" s="3"/>
    </row>
    <row r="5" spans="1:7">
      <c r="A5" s="216"/>
      <c r="B5" s="654" t="s">
        <v>141</v>
      </c>
      <c r="C5" s="654"/>
      <c r="D5" s="654"/>
      <c r="E5" s="655"/>
      <c r="F5" s="654"/>
      <c r="G5" s="3"/>
    </row>
    <row r="6" spans="1:7">
      <c r="A6" s="216"/>
      <c r="B6" s="654" t="s">
        <v>142</v>
      </c>
      <c r="C6" s="654"/>
      <c r="D6" s="654"/>
      <c r="E6" s="655"/>
      <c r="F6" s="654"/>
      <c r="G6" s="3"/>
    </row>
    <row r="7" spans="1:7">
      <c r="A7" s="216"/>
      <c r="B7" s="654" t="s">
        <v>143</v>
      </c>
      <c r="C7" s="654"/>
      <c r="D7" s="654"/>
      <c r="E7" s="655"/>
      <c r="F7" s="654"/>
      <c r="G7" s="3"/>
    </row>
    <row r="8" spans="1:7">
      <c r="A8" s="216"/>
      <c r="B8" s="654" t="s">
        <v>144</v>
      </c>
      <c r="C8" s="654"/>
      <c r="D8" s="654"/>
      <c r="E8" s="655"/>
      <c r="F8" s="654"/>
      <c r="G8" s="3"/>
    </row>
    <row r="9" spans="1:7">
      <c r="A9" s="216"/>
      <c r="B9" s="654" t="s">
        <v>145</v>
      </c>
      <c r="C9" s="654"/>
      <c r="D9" s="654"/>
      <c r="E9" s="655"/>
      <c r="F9" s="654"/>
      <c r="G9" s="3"/>
    </row>
    <row r="10" spans="1:7">
      <c r="A10" s="216"/>
      <c r="B10" s="654" t="s">
        <v>146</v>
      </c>
      <c r="C10" s="654"/>
      <c r="D10" s="654"/>
      <c r="E10" s="655"/>
      <c r="F10" s="654"/>
      <c r="G10" s="3"/>
    </row>
    <row r="11" spans="1:7">
      <c r="A11" s="216"/>
      <c r="B11" s="654" t="s">
        <v>147</v>
      </c>
      <c r="C11" s="654"/>
      <c r="D11" s="654"/>
      <c r="E11" s="655"/>
      <c r="F11" s="654"/>
      <c r="G11" s="3"/>
    </row>
    <row r="12" spans="1:7">
      <c r="A12" s="216"/>
      <c r="B12" s="654" t="s">
        <v>148</v>
      </c>
      <c r="C12" s="654"/>
      <c r="D12" s="654"/>
      <c r="E12" s="655"/>
      <c r="F12" s="654"/>
      <c r="G12" s="3"/>
    </row>
    <row r="13" spans="1:7">
      <c r="A13" s="216"/>
      <c r="B13" s="654" t="s">
        <v>149</v>
      </c>
      <c r="C13" s="654"/>
      <c r="D13" s="654"/>
      <c r="E13" s="655"/>
      <c r="F13" s="654"/>
      <c r="G13" s="3"/>
    </row>
    <row r="14" spans="1:7">
      <c r="A14" s="216"/>
      <c r="B14" s="654" t="s">
        <v>150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151</v>
      </c>
      <c r="C23" s="112"/>
      <c r="D23" s="112"/>
      <c r="E23" s="112"/>
      <c r="F23" s="112"/>
      <c r="G23" s="112"/>
    </row>
    <row r="24" spans="1:7">
      <c r="A24" s="112"/>
      <c r="B24" s="657" t="s">
        <v>152</v>
      </c>
      <c r="C24" s="112"/>
      <c r="D24" s="112"/>
      <c r="E24" s="112"/>
      <c r="F24" s="112"/>
    </row>
    <row r="25" spans="1:7">
      <c r="A25" s="112"/>
      <c r="B25" s="657" t="s">
        <v>153</v>
      </c>
      <c r="C25" s="112"/>
      <c r="D25" s="112"/>
      <c r="E25" s="112"/>
      <c r="F25" s="112"/>
    </row>
    <row r="26" spans="1:7">
      <c r="A26" s="112"/>
      <c r="B26" s="657" t="s">
        <v>154</v>
      </c>
      <c r="C26" s="112"/>
      <c r="D26" s="112"/>
      <c r="E26" s="112"/>
      <c r="F26" s="112"/>
    </row>
    <row r="27" spans="1:7">
      <c r="A27" s="112"/>
      <c r="B27" s="657" t="s">
        <v>155</v>
      </c>
      <c r="C27" s="112"/>
      <c r="D27" s="112"/>
      <c r="E27" s="112"/>
      <c r="F27" s="112"/>
    </row>
    <row r="28" spans="1:7">
      <c r="A28" s="112"/>
      <c r="B28" s="657" t="s">
        <v>156</v>
      </c>
      <c r="C28" s="112"/>
      <c r="D28" s="112"/>
      <c r="E28" s="112"/>
      <c r="F28" s="112"/>
    </row>
    <row r="29" spans="1:7">
      <c r="A29" s="112"/>
      <c r="B29" s="657" t="s">
        <v>157</v>
      </c>
      <c r="C29" s="112"/>
      <c r="D29" s="112"/>
      <c r="E29" s="112"/>
      <c r="F29" s="112"/>
    </row>
    <row r="30" spans="1:7">
      <c r="A30" s="112"/>
      <c r="B30" s="657" t="s">
        <v>158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26" t="s">
        <v>159</v>
      </c>
      <c r="C2" s="727"/>
      <c r="D2" s="727"/>
      <c r="E2" s="727"/>
      <c r="F2" s="728"/>
      <c r="G2" s="77"/>
      <c r="H2" s="77"/>
      <c r="I2" s="77"/>
      <c r="J2" s="77"/>
    </row>
    <row r="3" spans="2:10" ht="6.75" customHeight="1" thickTop="1"/>
    <row r="4" spans="2:10">
      <c r="B4" s="72" t="s">
        <v>160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161</v>
      </c>
      <c r="C5" s="76"/>
      <c r="D5" s="76"/>
      <c r="E5" s="76"/>
      <c r="F5" s="71"/>
    </row>
    <row r="6" spans="2:10">
      <c r="B6" s="74" t="s">
        <v>162</v>
      </c>
      <c r="C6" s="76"/>
      <c r="D6" s="76"/>
      <c r="E6" s="76"/>
      <c r="F6" s="71"/>
    </row>
    <row r="7" spans="2:10">
      <c r="B7" s="74" t="s">
        <v>163</v>
      </c>
      <c r="C7" s="76"/>
      <c r="D7" s="76"/>
      <c r="E7" s="76"/>
      <c r="F7" s="71"/>
    </row>
    <row r="8" spans="2:10">
      <c r="B8" s="74" t="s">
        <v>164</v>
      </c>
      <c r="C8" s="76"/>
      <c r="D8" s="76"/>
      <c r="E8" s="76"/>
      <c r="F8" s="71"/>
    </row>
    <row r="9" spans="2:10">
      <c r="B9" s="75" t="s">
        <v>165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6" t="s">
        <v>166</v>
      </c>
      <c r="C16" s="727"/>
      <c r="D16" s="727"/>
      <c r="E16" s="727"/>
      <c r="F16" s="728"/>
    </row>
    <row r="17" spans="2:6" ht="14.65" thickTop="1"/>
    <row r="18" spans="2:6">
      <c r="B18" s="72" t="s">
        <v>160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167</v>
      </c>
      <c r="C20" s="76"/>
      <c r="D20" s="76"/>
      <c r="E20" s="76"/>
      <c r="F20" s="71"/>
    </row>
    <row r="21" spans="2:6">
      <c r="B21" s="74" t="s">
        <v>168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23" zoomScale="85" zoomScaleNormal="85" workbookViewId="0">
      <selection activeCell="J50" sqref="J50"/>
    </sheetView>
  </sheetViews>
  <sheetFormatPr defaultColWidth="8.46484375" defaultRowHeight="13.5"/>
  <cols>
    <col min="1" max="1" width="1.46484375" style="112" customWidth="1"/>
    <col min="2" max="2" width="6.46484375" style="172" bestFit="1" customWidth="1"/>
    <col min="3" max="3" width="50.53125" style="24" customWidth="1"/>
    <col min="4" max="4" width="3.46484375" style="112" customWidth="1"/>
    <col min="5" max="5" width="14.53125" style="24" customWidth="1"/>
    <col min="6" max="6" width="10.46484375" style="169" customWidth="1"/>
    <col min="7" max="7" width="13.53125" style="64" customWidth="1"/>
    <col min="8" max="8" width="1.5312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46484375" style="112" customWidth="1"/>
    <col min="14" max="14" width="11.46484375" style="112" bestFit="1" customWidth="1"/>
    <col min="15" max="15" width="39.46484375" style="112" bestFit="1" customWidth="1"/>
    <col min="16" max="16" width="1.46484375" style="112" customWidth="1"/>
    <col min="17" max="17" width="5.19921875" style="3" customWidth="1"/>
    <col min="18" max="25" width="8.46484375" style="112"/>
    <col min="26" max="16384" width="8.464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46055</v>
      </c>
      <c r="O1" s="404">
        <f ca="1">TODAY()</f>
        <v>46055</v>
      </c>
      <c r="Q1" s="3"/>
    </row>
    <row r="2" spans="2:28" ht="13.9">
      <c r="B2" s="177"/>
      <c r="C2" s="178" t="s">
        <v>0</v>
      </c>
      <c r="D2" s="179"/>
      <c r="E2" s="729" t="s">
        <v>169</v>
      </c>
      <c r="F2" s="730"/>
      <c r="G2" s="730"/>
      <c r="H2" s="731"/>
      <c r="N2" s="405">
        <v>0</v>
      </c>
      <c r="O2" s="405">
        <v>1</v>
      </c>
    </row>
    <row r="3" spans="2:28" s="112" customFormat="1" ht="13.9">
      <c r="B3" s="180"/>
      <c r="C3" s="181" t="s">
        <v>170</v>
      </c>
      <c r="D3" s="179"/>
      <c r="E3" s="412">
        <v>1360</v>
      </c>
      <c r="F3" s="182"/>
      <c r="G3" s="183"/>
      <c r="H3" s="184"/>
      <c r="J3" s="113"/>
      <c r="Q3" s="3"/>
    </row>
    <row r="4" spans="2:28" s="112" customFormat="1" ht="13.9">
      <c r="B4" s="180"/>
      <c r="C4" s="181" t="s">
        <v>171</v>
      </c>
      <c r="D4" s="179"/>
      <c r="E4" s="732" t="s">
        <v>172</v>
      </c>
      <c r="F4" s="733"/>
      <c r="G4" s="733"/>
      <c r="H4" s="734"/>
      <c r="J4" s="641" t="s">
        <v>173</v>
      </c>
      <c r="K4" s="642">
        <v>45961</v>
      </c>
      <c r="Q4" s="3"/>
    </row>
    <row r="5" spans="2:28" s="112" customFormat="1" ht="13.9">
      <c r="B5" s="180"/>
      <c r="C5" s="181" t="s">
        <v>174</v>
      </c>
      <c r="D5" s="179"/>
      <c r="E5" s="732" t="s">
        <v>175</v>
      </c>
      <c r="F5" s="733"/>
      <c r="G5" s="733"/>
      <c r="H5" s="734"/>
      <c r="J5" s="113"/>
      <c r="Q5" s="3"/>
    </row>
    <row r="6" spans="2:28" ht="13.9">
      <c r="B6" s="185"/>
      <c r="C6" s="186" t="s">
        <v>176</v>
      </c>
      <c r="D6" s="179"/>
      <c r="E6" s="735">
        <v>10428344.3461792</v>
      </c>
      <c r="F6" s="736"/>
      <c r="G6" s="736"/>
      <c r="H6" s="737"/>
    </row>
    <row r="7" spans="2:28" s="112" customFormat="1" ht="13.9">
      <c r="B7" s="168"/>
      <c r="C7" s="699" t="s">
        <v>177</v>
      </c>
      <c r="E7" s="698" t="s">
        <v>178</v>
      </c>
      <c r="F7" s="169"/>
      <c r="G7" s="187"/>
      <c r="J7" s="113"/>
      <c r="Q7" s="3"/>
    </row>
    <row r="8" spans="2:28" ht="30" customHeight="1">
      <c r="B8" s="741" t="s">
        <v>179</v>
      </c>
      <c r="C8" s="742" t="s">
        <v>180</v>
      </c>
      <c r="D8" s="216"/>
      <c r="E8" s="740" t="s">
        <v>181</v>
      </c>
      <c r="F8" s="238" t="s">
        <v>182</v>
      </c>
      <c r="G8" s="740" t="s">
        <v>183</v>
      </c>
      <c r="H8" s="239"/>
      <c r="I8" s="740" t="s">
        <v>184</v>
      </c>
      <c r="J8" s="238" t="s">
        <v>182</v>
      </c>
      <c r="K8" s="740" t="s">
        <v>185</v>
      </c>
      <c r="M8" s="411" t="s">
        <v>102</v>
      </c>
      <c r="N8" s="411" t="s">
        <v>102</v>
      </c>
      <c r="O8" s="738" t="s">
        <v>186</v>
      </c>
      <c r="Z8" s="112"/>
      <c r="AA8" s="112"/>
      <c r="AB8" s="112"/>
    </row>
    <row r="9" spans="2:28" ht="13.9">
      <c r="B9" s="741"/>
      <c r="C9" s="742"/>
      <c r="D9" s="216"/>
      <c r="E9" s="740"/>
      <c r="F9" s="126">
        <f>G49-E19</f>
        <v>60</v>
      </c>
      <c r="G9" s="740"/>
      <c r="H9" s="239"/>
      <c r="I9" s="740"/>
      <c r="J9" s="127">
        <f>K49-I19</f>
        <v>123</v>
      </c>
      <c r="K9" s="740"/>
      <c r="M9" s="363">
        <f>AVERAGE(M11,M18,M23,M32,M41,M46,M54,M51)</f>
        <v>0.55776906628652889</v>
      </c>
      <c r="N9" s="363">
        <f ca="1">AVERAGE(N11,N18,N23,N32,N41,N46,N54,N51)</f>
        <v>0.53062263424529688</v>
      </c>
      <c r="O9" s="739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187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188</v>
      </c>
      <c r="C12" s="250" t="s">
        <v>189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190</v>
      </c>
      <c r="C13" s="250" t="s">
        <v>191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192</v>
      </c>
      <c r="C14" s="250" t="s">
        <v>159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193</v>
      </c>
      <c r="C15" s="250" t="s">
        <v>194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195</v>
      </c>
      <c r="C16" s="250" t="s">
        <v>196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197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198</v>
      </c>
      <c r="C19" s="250" t="s">
        <v>199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NETWORKDAYS(I19,K49,Data!C3:C46)</f>
        <v>66</v>
      </c>
      <c r="T19" s="121" t="s">
        <v>200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201</v>
      </c>
      <c r="C20" s="250" t="s">
        <v>202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 t="s">
        <v>203</v>
      </c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201</v>
      </c>
      <c r="C21" s="250" t="s">
        <v>204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19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205</v>
      </c>
      <c r="D23" s="220"/>
      <c r="E23" s="247">
        <f>MIN(E24:E30)</f>
        <v>45929</v>
      </c>
      <c r="F23" s="248">
        <f>G23-E23</f>
        <v>52</v>
      </c>
      <c r="G23" s="247">
        <f>MAX(G24:G30)</f>
        <v>45981</v>
      </c>
      <c r="H23" s="253"/>
      <c r="I23" s="247">
        <f>MIN(I24:I30)</f>
        <v>45929</v>
      </c>
      <c r="J23" s="248">
        <f>K23-I23</f>
        <v>133</v>
      </c>
      <c r="K23" s="247">
        <f>MAX(K24:K30)</f>
        <v>46062</v>
      </c>
      <c r="M23" s="362">
        <f>(J24*M24+J25*M25+J26*M26+J27*M27+J30*M30)/SUM(J24:J30)</f>
        <v>0.83606557377049184</v>
      </c>
      <c r="N23" s="362">
        <f ca="1">(K24*N24+K25*N25+K26*N26+K27*N27+K30*N30)/SUM(K24:K30)</f>
        <v>0.57106803048411381</v>
      </c>
      <c r="O23" s="119"/>
      <c r="P23" s="112"/>
      <c r="Q23" s="123"/>
      <c r="R23" s="118"/>
      <c r="S23" s="121">
        <f>S19/5</f>
        <v>13.2</v>
      </c>
      <c r="T23" s="121" t="s">
        <v>206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207</v>
      </c>
      <c r="C24" s="250" t="s">
        <v>208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0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103.03030303030303</v>
      </c>
      <c r="T24" s="118" t="s">
        <v>209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210</v>
      </c>
      <c r="C25" s="250" t="s">
        <v>211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212</v>
      </c>
      <c r="C26" s="250" t="s">
        <v>213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214</v>
      </c>
      <c r="C27" s="817" t="s">
        <v>215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816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216</v>
      </c>
      <c r="C28" s="250" t="s">
        <v>217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218</v>
      </c>
      <c r="C29" s="250" t="s">
        <v>219</v>
      </c>
      <c r="D29" s="216"/>
      <c r="E29" s="251"/>
      <c r="F29" s="252"/>
      <c r="G29" s="251"/>
      <c r="H29" s="239"/>
      <c r="I29" s="251">
        <v>46059</v>
      </c>
      <c r="J29" s="252">
        <v>1</v>
      </c>
      <c r="K29" s="251">
        <f>WORKDAY.INTL(I29,J29,1,Data!$C$3:$C$45)</f>
        <v>46062</v>
      </c>
      <c r="M29" s="255">
        <v>0</v>
      </c>
      <c r="N29" s="255">
        <f t="shared" ca="1" si="1"/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220</v>
      </c>
      <c r="C30" s="250" t="s">
        <v>221</v>
      </c>
      <c r="D30" s="216"/>
      <c r="E30" s="251">
        <f>WORKDAY.INTL(E27,0,1,Data!$C$3:$C$45)</f>
        <v>45971</v>
      </c>
      <c r="F30" s="252">
        <v>2</v>
      </c>
      <c r="G30" s="251">
        <f>WORKDAY.INTL(E30,F30,1,Data!$C$3:$C$45)</f>
        <v>45973</v>
      </c>
      <c r="H30" s="239"/>
      <c r="I30" s="251">
        <v>46059</v>
      </c>
      <c r="J30" s="252">
        <v>1</v>
      </c>
      <c r="K30" s="251">
        <f>WORKDAY.INTL(I30,J30,1,Data!$C$3:$C$45)</f>
        <v>46062</v>
      </c>
      <c r="M30" s="255">
        <v>0</v>
      </c>
      <c r="N30" s="255">
        <f t="shared" ca="1" si="1"/>
        <v>0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4.5" customHeight="1">
      <c r="B31" s="240"/>
      <c r="C31" s="216"/>
      <c r="D31" s="216"/>
      <c r="E31" s="241"/>
      <c r="F31" s="241"/>
      <c r="G31" s="242"/>
      <c r="H31" s="239"/>
      <c r="I31" s="241"/>
      <c r="J31" s="241"/>
      <c r="K31" s="242"/>
      <c r="Q31" s="3"/>
    </row>
    <row r="32" spans="2:28" s="112" customFormat="1" ht="13.9">
      <c r="B32" s="245">
        <v>4</v>
      </c>
      <c r="C32" s="246" t="s">
        <v>34</v>
      </c>
      <c r="D32" s="220"/>
      <c r="E32" s="247">
        <f>MIN(E34:E39)</f>
        <v>45943</v>
      </c>
      <c r="F32" s="248">
        <f>G32-E32</f>
        <v>53</v>
      </c>
      <c r="G32" s="247">
        <f>MAX(G34:G39)</f>
        <v>45996</v>
      </c>
      <c r="H32" s="253"/>
      <c r="I32" s="247">
        <f>MIN(I34:I39)</f>
        <v>45943</v>
      </c>
      <c r="J32" s="248">
        <f>K32-I32</f>
        <v>100</v>
      </c>
      <c r="K32" s="247">
        <f>MAX(K34:K39)</f>
        <v>46043</v>
      </c>
      <c r="L32" s="114"/>
      <c r="M32" s="362">
        <f>(J34*M34+J35*M35+J39*M39)/SUM(J34:J39)</f>
        <v>0.62608695652173918</v>
      </c>
      <c r="N32" s="362">
        <f ca="1">(J34*N34+J35*N35+J39*N39)/SUM(J34:J39)</f>
        <v>0.67391304347826086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 hidden="1">
      <c r="B33" s="249" t="s">
        <v>222</v>
      </c>
      <c r="C33" s="250" t="s">
        <v>223</v>
      </c>
      <c r="D33" s="216"/>
      <c r="E33" s="251"/>
      <c r="F33" s="252"/>
      <c r="G33" s="251"/>
      <c r="H33" s="239"/>
      <c r="I33" s="251"/>
      <c r="J33" s="252"/>
      <c r="K33" s="251"/>
      <c r="M33" s="255">
        <v>0</v>
      </c>
      <c r="N33" s="255">
        <v>0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9" t="s">
        <v>222</v>
      </c>
      <c r="C34" s="250" t="s">
        <v>224</v>
      </c>
      <c r="D34" s="216"/>
      <c r="E34" s="251">
        <f>E24</f>
        <v>45943</v>
      </c>
      <c r="F34" s="252">
        <v>1</v>
      </c>
      <c r="G34" s="251">
        <f>WORKDAY.INTL(E34,F34,1,Data!$C$3:$C$45)</f>
        <v>45944</v>
      </c>
      <c r="H34" s="239"/>
      <c r="I34" s="251">
        <f>I24</f>
        <v>45943</v>
      </c>
      <c r="J34" s="252">
        <v>1</v>
      </c>
      <c r="K34" s="251">
        <f>WORKDAY.INTL(I34,J34,1,Data!$C$3:$C$45)</f>
        <v>45944</v>
      </c>
      <c r="M34" s="255">
        <v>1</v>
      </c>
      <c r="N34" s="255">
        <f t="shared" ref="N34:N39" ca="1" si="2">_xlfn.LET(
  _xlpm.s,VALUE($I34),
  _xlpm.e,VALUE($K34),
  IF(OR(_xlpm.s="",_xlpm.e=""),"", IF(_xlpm.e&lt;=_xlpm.s, IF(TODAY()&gt;=_xlpm.e,1,0), MAX(0,MIN(1,(TODAY()-_xlpm.s)/(_xlpm.e-_xlpm.s)))))
)</f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225</v>
      </c>
      <c r="C35" s="250" t="s">
        <v>226</v>
      </c>
      <c r="D35" s="216"/>
      <c r="E35" s="251">
        <f>WORKDAY.INTL(G34,0,1,Data!$C$3:$C$45)</f>
        <v>45944</v>
      </c>
      <c r="F35" s="252">
        <v>10</v>
      </c>
      <c r="G35" s="251">
        <f>WORKDAY.INTL(E35,F35,1,Data!$C$3:$C$45)</f>
        <v>45958</v>
      </c>
      <c r="H35" s="239"/>
      <c r="I35" s="251">
        <f>WORKDAY.INTL(K21,0,1,Data!$C$3:$C$45)-3</f>
        <v>45957</v>
      </c>
      <c r="J35" s="252">
        <v>8</v>
      </c>
      <c r="K35" s="251">
        <f>WORKDAY.INTL(I35,J35,1,Data!$C$3:$C$45)</f>
        <v>45967</v>
      </c>
      <c r="M35" s="255">
        <v>1</v>
      </c>
      <c r="N35" s="255">
        <f t="shared" ca="1" si="2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227</v>
      </c>
      <c r="C36" s="250" t="s">
        <v>228</v>
      </c>
      <c r="D36" s="216"/>
      <c r="E36" s="251"/>
      <c r="F36" s="252"/>
      <c r="G36" s="251"/>
      <c r="H36" s="239"/>
      <c r="I36" s="251">
        <f>WORKDAY.INTL(K35,0,1,Data!$C$3:$C$45)+7</f>
        <v>45974</v>
      </c>
      <c r="J36" s="252">
        <v>8</v>
      </c>
      <c r="K36" s="251">
        <f>WORKDAY.INTL(I36,J36,1,Data!$C$3:$C$45)</f>
        <v>45986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229</v>
      </c>
      <c r="C37" s="250" t="s">
        <v>230</v>
      </c>
      <c r="D37" s="216"/>
      <c r="E37" s="251">
        <f>E24</f>
        <v>45943</v>
      </c>
      <c r="F37" s="252">
        <v>1</v>
      </c>
      <c r="G37" s="251">
        <f>WORKDAY.INTL(E37,F37,1,Data!$C$3:$C$45)</f>
        <v>45944</v>
      </c>
      <c r="H37" s="239"/>
      <c r="I37" s="251">
        <f>I24</f>
        <v>45943</v>
      </c>
      <c r="J37" s="252">
        <v>1</v>
      </c>
      <c r="K37" s="251">
        <f>WORKDAY.INTL(I37,J37,1,Data!$C$3:$C$45)</f>
        <v>45944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231</v>
      </c>
      <c r="C38" s="250" t="s">
        <v>232</v>
      </c>
      <c r="D38" s="216"/>
      <c r="E38" s="251"/>
      <c r="F38" s="252"/>
      <c r="G38" s="251"/>
      <c r="H38" s="239"/>
      <c r="I38" s="251">
        <f>K43-5</f>
        <v>45976</v>
      </c>
      <c r="J38" s="252">
        <v>6</v>
      </c>
      <c r="K38" s="251">
        <f>WORKDAY.INTL(I38,J38,1,Data!$C$3:$C$45)</f>
        <v>45985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ht="13.9">
      <c r="B39" s="249" t="s">
        <v>233</v>
      </c>
      <c r="C39" s="244" t="s">
        <v>234</v>
      </c>
      <c r="D39" s="216"/>
      <c r="E39" s="254">
        <f>WORKDAY.INTL(G43,0,1,Data!$C$3:$C$45)-3</f>
        <v>45976</v>
      </c>
      <c r="F39" s="252">
        <v>15</v>
      </c>
      <c r="G39" s="254">
        <f>WORKDAY.INTL(E39,F39,1,Data!$C$3:$C$45)</f>
        <v>45996</v>
      </c>
      <c r="H39" s="239"/>
      <c r="I39" s="254">
        <f>WORKDAY.INTL(K44,0,1,Data!$C$3:$C$45)-14</f>
        <v>45979</v>
      </c>
      <c r="J39" s="252">
        <v>22</v>
      </c>
      <c r="K39" s="254">
        <f>WORKDAY.INTL(I39,J39,1,Data!$C$3:$C$45)</f>
        <v>46043</v>
      </c>
      <c r="M39" s="255">
        <v>0.9</v>
      </c>
      <c r="N39" s="255">
        <f t="shared" ca="1" si="2"/>
        <v>1</v>
      </c>
      <c r="O39" s="122"/>
      <c r="Y39" s="24"/>
    </row>
    <row r="40" spans="2:28" s="112" customFormat="1" ht="4.5" customHeight="1">
      <c r="B40" s="240"/>
      <c r="C40" s="216"/>
      <c r="D40" s="216"/>
      <c r="E40" s="241"/>
      <c r="F40" s="241"/>
      <c r="G40" s="242"/>
      <c r="H40" s="239"/>
      <c r="I40" s="241"/>
      <c r="J40" s="241"/>
      <c r="K40" s="242"/>
      <c r="Q40" s="3"/>
    </row>
    <row r="41" spans="2:28" s="112" customFormat="1" ht="13.9">
      <c r="B41" s="245">
        <v>5</v>
      </c>
      <c r="C41" s="246" t="s">
        <v>235</v>
      </c>
      <c r="D41" s="220"/>
      <c r="E41" s="247">
        <f>MIN(E42:E43)</f>
        <v>45943</v>
      </c>
      <c r="F41" s="248">
        <f>G41-E41</f>
        <v>36</v>
      </c>
      <c r="G41" s="247">
        <f>MAX(G42:G43)</f>
        <v>45979</v>
      </c>
      <c r="H41" s="221"/>
      <c r="I41" s="247">
        <f>MIN(I42:I43)</f>
        <v>45943</v>
      </c>
      <c r="J41" s="248">
        <f>K41-I41</f>
        <v>38</v>
      </c>
      <c r="K41" s="247">
        <f>MAX(K42:K43)</f>
        <v>45981</v>
      </c>
      <c r="L41" s="114"/>
      <c r="M41" s="362">
        <f>(J42*M42+J43*M43)/SUM(J42:J43)</f>
        <v>1</v>
      </c>
      <c r="N41" s="362">
        <f ca="1">(J42*N42+J43*N43)/SUM(J42:J43)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9" t="s">
        <v>236</v>
      </c>
      <c r="C42" s="250" t="s">
        <v>237</v>
      </c>
      <c r="D42" s="216"/>
      <c r="E42" s="254">
        <f>E24</f>
        <v>45943</v>
      </c>
      <c r="F42" s="252">
        <v>1</v>
      </c>
      <c r="G42" s="251">
        <f>WORKDAY.INTL(E42,F42,1,Data!$C$3:$C$45)</f>
        <v>45944</v>
      </c>
      <c r="H42" s="239"/>
      <c r="I42" s="254">
        <f>I24</f>
        <v>45943</v>
      </c>
      <c r="J42" s="252">
        <v>1</v>
      </c>
      <c r="K42" s="251">
        <f>WORKDAY.INTL(I42,J42,1,Data!$C$3:$C$45)</f>
        <v>45944</v>
      </c>
      <c r="M42" s="255">
        <v>1</v>
      </c>
      <c r="N42" s="255">
        <f t="shared" ref="N42:N44" ca="1" si="3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238</v>
      </c>
      <c r="C43" s="250" t="s">
        <v>239</v>
      </c>
      <c r="D43" s="216"/>
      <c r="E43" s="254">
        <f>G35-7</f>
        <v>45951</v>
      </c>
      <c r="F43" s="252">
        <v>20</v>
      </c>
      <c r="G43" s="251">
        <f>WORKDAY.INTL(E43,F43,1,Data!$C$3:$C$45)</f>
        <v>45979</v>
      </c>
      <c r="H43" s="239"/>
      <c r="I43" s="254">
        <f>K35-2</f>
        <v>45965</v>
      </c>
      <c r="J43" s="252">
        <v>12</v>
      </c>
      <c r="K43" s="251">
        <f>WORKDAY.INTL(I43,J43,1,Data!$C$3:$C$45)</f>
        <v>45981</v>
      </c>
      <c r="M43" s="255">
        <v>1</v>
      </c>
      <c r="N43" s="255">
        <f t="shared" ca="1" si="3"/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 ht="13.9">
      <c r="B44" s="249" t="s">
        <v>238</v>
      </c>
      <c r="C44" s="250" t="s">
        <v>240</v>
      </c>
      <c r="D44" s="216"/>
      <c r="E44" s="254">
        <f>G35-7</f>
        <v>45951</v>
      </c>
      <c r="F44" s="252">
        <v>20</v>
      </c>
      <c r="G44" s="251">
        <f>WORKDAY.INTL(E44,F44,1,Data!$C$3:$C$45)</f>
        <v>45979</v>
      </c>
      <c r="H44" s="239"/>
      <c r="I44" s="254">
        <f>K43-2</f>
        <v>45979</v>
      </c>
      <c r="J44" s="252">
        <v>10</v>
      </c>
      <c r="K44" s="251">
        <f>WORKDAY.INTL(I44,J44,1,Data!$C$3:$C$45)</f>
        <v>45993</v>
      </c>
      <c r="M44" s="255">
        <v>1</v>
      </c>
      <c r="N44" s="255">
        <f t="shared" ca="1" si="3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 ht="13.9">
      <c r="B46" s="245">
        <v>6</v>
      </c>
      <c r="C46" s="246" t="s">
        <v>241</v>
      </c>
      <c r="D46" s="220"/>
      <c r="E46" s="247">
        <f>MIN(E47:E49)</f>
        <v>45996</v>
      </c>
      <c r="F46" s="248">
        <f>G46-E46</f>
        <v>7</v>
      </c>
      <c r="G46" s="247">
        <f>MAX(G47:G49)</f>
        <v>46003</v>
      </c>
      <c r="H46" s="221"/>
      <c r="I46" s="247">
        <f>MIN(I47:I49)</f>
        <v>46062</v>
      </c>
      <c r="J46" s="248">
        <f>K46-I46</f>
        <v>4</v>
      </c>
      <c r="K46" s="247">
        <f>MAX(K47:K49)</f>
        <v>46066</v>
      </c>
      <c r="L46" s="114"/>
      <c r="M46" s="362">
        <f>(J47*M47+J49*M49)/SUM(J47:J49)</f>
        <v>0</v>
      </c>
      <c r="N46" s="362">
        <f ca="1">(K47*N47+K49*N49)/SUM(K47:K49)</f>
        <v>0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9" t="s">
        <v>242</v>
      </c>
      <c r="C47" s="244" t="s">
        <v>243</v>
      </c>
      <c r="D47" s="216"/>
      <c r="E47" s="254">
        <f>WORKDAY.INTL(MAX(G23,G32,G41),0,1,Data!$C$3:$C$45)</f>
        <v>45996</v>
      </c>
      <c r="F47" s="252">
        <v>2</v>
      </c>
      <c r="G47" s="254">
        <f>WORKDAY.INTL(E47,F47,1,Data!$C$3:$C$45)</f>
        <v>46000</v>
      </c>
      <c r="H47" s="239"/>
      <c r="I47" s="254">
        <f>WORKDAY.INTL(K23,0,1,Data!$C$3:$C$45)</f>
        <v>46062</v>
      </c>
      <c r="J47" s="252">
        <v>1</v>
      </c>
      <c r="K47" s="254">
        <f>WORKDAY.INTL(I47,J47,1,Data!$C$3:$C$45)</f>
        <v>46063</v>
      </c>
      <c r="M47" s="255">
        <v>0</v>
      </c>
      <c r="N47" s="255">
        <f ca="1">_xlfn.LET(
  _xlpm.s,VALUE($I47),
  _xlpm.e,VALUE($K47),
  IF(OR(_xlpm.s="",_xlpm.e=""),"", IF(_xlpm.e&lt;=_xlpm.s, IF(TODAY()&gt;=_xlpm.e,1,0), MAX(0,MIN(1,(TODAY()-_xlpm.s)/(_xlpm.e-_xlpm.s)))))
)</f>
        <v>0</v>
      </c>
      <c r="O47" s="122"/>
      <c r="Y47" s="24"/>
    </row>
    <row r="48" spans="2:28" ht="13.9">
      <c r="B48" s="249" t="s">
        <v>244</v>
      </c>
      <c r="C48" s="244" t="s">
        <v>245</v>
      </c>
      <c r="D48" s="216"/>
      <c r="E48" s="254"/>
      <c r="F48" s="252"/>
      <c r="G48" s="254"/>
      <c r="H48" s="239"/>
      <c r="I48" s="254">
        <v>46062</v>
      </c>
      <c r="J48" s="252">
        <v>1</v>
      </c>
      <c r="K48" s="254">
        <f>WORKDAY.INTL(I48,J48,1,Data!$C$3:$C$45)</f>
        <v>46063</v>
      </c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Y48" s="24"/>
    </row>
    <row r="49" spans="2:28" ht="13.9">
      <c r="B49" s="249" t="s">
        <v>246</v>
      </c>
      <c r="C49" s="244" t="s">
        <v>247</v>
      </c>
      <c r="D49" s="216"/>
      <c r="E49" s="254">
        <f>WORKDAY.INTL(G47,0,1,Data!$C$3:$C$45)</f>
        <v>46000</v>
      </c>
      <c r="F49" s="252">
        <v>3</v>
      </c>
      <c r="G49" s="254">
        <f>WORKDAY.INTL(E49,F49,1,Data!$C$3:$C$45)</f>
        <v>46003</v>
      </c>
      <c r="H49" s="239"/>
      <c r="I49" s="254">
        <f>WORKDAY.INTL(K48,0,1,Data!$C$3:$C$45)</f>
        <v>46063</v>
      </c>
      <c r="J49" s="252">
        <v>3</v>
      </c>
      <c r="K49" s="254">
        <f>WORKDAY.INTL(I49,J49,1,Data!$C$3:$C$45)</f>
        <v>46066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 ht="13.9">
      <c r="B51" s="245">
        <v>7</v>
      </c>
      <c r="C51" s="246" t="s">
        <v>248</v>
      </c>
      <c r="D51" s="220"/>
      <c r="E51" s="247">
        <f>MIN(E52)</f>
        <v>45996</v>
      </c>
      <c r="F51" s="248">
        <f>G51-E51</f>
        <v>3</v>
      </c>
      <c r="G51" s="247">
        <f>MAX(G52)</f>
        <v>45999</v>
      </c>
      <c r="H51" s="221"/>
      <c r="I51" s="247">
        <f>MIN(I52)</f>
        <v>46066</v>
      </c>
      <c r="J51" s="248">
        <f>K51-I51</f>
        <v>5</v>
      </c>
      <c r="K51" s="247">
        <f>MAX(K52)</f>
        <v>46071</v>
      </c>
      <c r="L51" s="114"/>
      <c r="M51" s="362">
        <f>(J52*M52)/SUM(J52)</f>
        <v>0</v>
      </c>
      <c r="N51" s="362">
        <f ca="1">(K52*N52)/SUM(K52)</f>
        <v>0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9">
        <v>7.1</v>
      </c>
      <c r="C52" s="244" t="s">
        <v>249</v>
      </c>
      <c r="D52" s="216"/>
      <c r="E52" s="254">
        <f>WORKDAY.INTL(E47,0,1,Data!$C$3:$C$45)</f>
        <v>45996</v>
      </c>
      <c r="F52" s="252">
        <v>1</v>
      </c>
      <c r="G52" s="254">
        <f>WORKDAY.INTL(E52,F52,1,Data!$C$3:$C$45)</f>
        <v>45999</v>
      </c>
      <c r="H52" s="239"/>
      <c r="I52" s="254">
        <f>WORKDAY.INTL(K49,0,1,Data!$C$3:$C$45)</f>
        <v>46066</v>
      </c>
      <c r="J52" s="252">
        <v>3</v>
      </c>
      <c r="K52" s="254">
        <f>WORKDAY.INTL(I52,J52,1,Data!$C$3:$C$45)</f>
        <v>46071</v>
      </c>
      <c r="M52" s="255">
        <v>0</v>
      </c>
      <c r="N52" s="255">
        <f ca="1">_xlfn.LET(
  _xlpm.s,VALUE($I52),
  _xlpm.e,VALUE($K52),
  IF(OR(_xlpm.s="",_xlpm.e=""),"", IF(_xlpm.e&lt;=_xlpm.s, IF(TODAY()&gt;=_xlpm.e,1,0), MAX(0,MIN(1,(TODAY()-_xlpm.s)/(_xlpm.e-_xlpm.s)))))
)</f>
        <v>0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 ht="13.9">
      <c r="B54" s="245">
        <v>8</v>
      </c>
      <c r="C54" s="246" t="s">
        <v>250</v>
      </c>
      <c r="D54" s="220"/>
      <c r="E54" s="247">
        <f>MIN(E55:E60)</f>
        <v>45996</v>
      </c>
      <c r="F54" s="248">
        <f>G54-E54</f>
        <v>48</v>
      </c>
      <c r="G54" s="247">
        <f>MAX(G55:G60)</f>
        <v>46044</v>
      </c>
      <c r="H54" s="221"/>
      <c r="I54" s="247">
        <f>MIN(I55:I60)</f>
        <v>46066</v>
      </c>
      <c r="J54" s="248">
        <f>K54-I54</f>
        <v>20</v>
      </c>
      <c r="K54" s="247">
        <f>MAX(K55:K60)</f>
        <v>46086</v>
      </c>
      <c r="L54" s="114"/>
      <c r="M54" s="362">
        <f>(J55*M55+J56*M56+J57*M57+J58*M58+J59*M59+J60*M60)/SUM(J55:J60)</f>
        <v>0</v>
      </c>
      <c r="N54" s="362">
        <f ca="1">(K55*N55+K56*N56+K57*N57+K58*N58+K59*N59+K60*N60)/SUM(K55:K60)</f>
        <v>0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ht="13.9">
      <c r="B55" s="249">
        <v>8.1</v>
      </c>
      <c r="C55" s="244" t="s">
        <v>251</v>
      </c>
      <c r="D55" s="216"/>
      <c r="E55" s="254">
        <f>E52</f>
        <v>45996</v>
      </c>
      <c r="F55" s="252">
        <v>1</v>
      </c>
      <c r="G55" s="254">
        <f>WORKDAY.INTL(E55,F55,1,Data!$C$3:$C$45)</f>
        <v>45999</v>
      </c>
      <c r="H55" s="239"/>
      <c r="I55" s="254">
        <f>I52</f>
        <v>46066</v>
      </c>
      <c r="J55" s="252">
        <v>1</v>
      </c>
      <c r="K55" s="254">
        <f>WORKDAY.INTL(I55,J55,1,Data!$C$3:$C$45)</f>
        <v>46069</v>
      </c>
      <c r="M55" s="255">
        <v>0</v>
      </c>
      <c r="N55" s="255">
        <f t="shared" ref="N55:N60" ca="1" si="4">_xlfn.LET(
  _xlpm.s,VALUE($I55),
  _xlpm.e,VALUE($K55),
  IF(OR(_xlpm.s="",_xlpm.e=""),"", IF(_xlpm.e&lt;=_xlpm.s, IF(TODAY()&gt;=_xlpm.e,1,0), MAX(0,MIN(1,(TODAY()-_xlpm.s)/(_xlpm.e-_xlpm.s)))))
)</f>
        <v>0</v>
      </c>
      <c r="O55" s="122"/>
      <c r="Y55" s="24"/>
    </row>
    <row r="56" spans="2:28" ht="13.9">
      <c r="B56" s="249">
        <v>8.1999999999999993</v>
      </c>
      <c r="C56" s="244" t="s">
        <v>252</v>
      </c>
      <c r="D56" s="216"/>
      <c r="E56" s="254">
        <f>G52</f>
        <v>45999</v>
      </c>
      <c r="F56" s="252">
        <v>5</v>
      </c>
      <c r="G56" s="254">
        <f>WORKDAY.INTL(E56,F56,1,Data!$C$3:$C$45)</f>
        <v>46006</v>
      </c>
      <c r="H56" s="239"/>
      <c r="I56" s="254">
        <f>K52</f>
        <v>46071</v>
      </c>
      <c r="J56" s="252">
        <v>5</v>
      </c>
      <c r="K56" s="254">
        <f>WORKDAY.INTL(I56,J56,1,Data!$C$3:$C$45)</f>
        <v>46078</v>
      </c>
      <c r="M56" s="255">
        <v>0</v>
      </c>
      <c r="N56" s="255">
        <f t="shared" ca="1" si="4"/>
        <v>0</v>
      </c>
      <c r="O56" s="122"/>
      <c r="Y56" s="24"/>
    </row>
    <row r="57" spans="2:28" ht="13.9">
      <c r="B57" s="249">
        <v>8.3000000000000007</v>
      </c>
      <c r="C57" s="244" t="s">
        <v>253</v>
      </c>
      <c r="D57" s="216"/>
      <c r="E57" s="254">
        <f>WORKDAY.INTL(G46,0,1,Data!$C$3:$C$45)</f>
        <v>46003</v>
      </c>
      <c r="F57" s="252">
        <v>5</v>
      </c>
      <c r="G57" s="254">
        <f>WORKDAY.INTL(E57,F57,1,Data!$C$3:$C$45)</f>
        <v>46044</v>
      </c>
      <c r="H57" s="239"/>
      <c r="I57" s="254">
        <f>WORKDAY.INTL(K46,0,1,Data!$C$3:$C$45)</f>
        <v>46066</v>
      </c>
      <c r="J57" s="252">
        <v>5</v>
      </c>
      <c r="K57" s="254">
        <f>WORKDAY.INTL(I57,J57,1,Data!$C$3:$C$45)</f>
        <v>46073</v>
      </c>
      <c r="M57" s="255">
        <v>0</v>
      </c>
      <c r="N57" s="255">
        <f t="shared" ca="1" si="4"/>
        <v>0</v>
      </c>
      <c r="O57" s="122"/>
      <c r="Y57" s="24"/>
    </row>
    <row r="58" spans="2:28" ht="13.9">
      <c r="B58" s="249">
        <v>8.4</v>
      </c>
      <c r="C58" s="244" t="s">
        <v>254</v>
      </c>
      <c r="D58" s="216"/>
      <c r="E58" s="254">
        <f>WORKDAY.INTL(G56,0,1,Data!$C$3:$C$45)</f>
        <v>46006</v>
      </c>
      <c r="F58" s="252">
        <v>1</v>
      </c>
      <c r="G58" s="254">
        <f>WORKDAY.INTL(E58,F58,1,Data!$C$3:$C$45)</f>
        <v>46041</v>
      </c>
      <c r="H58" s="239"/>
      <c r="I58" s="254">
        <f>WORKDAY.INTL(K56,0,1,Data!$C$3:$C$45)</f>
        <v>46078</v>
      </c>
      <c r="J58" s="252">
        <v>1</v>
      </c>
      <c r="K58" s="254">
        <f>WORKDAY.INTL(I58,J58,1,Data!$C$3:$C$45)</f>
        <v>46079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8.5</v>
      </c>
      <c r="C59" s="244" t="s">
        <v>255</v>
      </c>
      <c r="D59" s="216"/>
      <c r="E59" s="254">
        <f>WORKDAY.INTL(G58,0,1,Data!$C$3:$C$45)</f>
        <v>46041</v>
      </c>
      <c r="F59" s="252">
        <v>1</v>
      </c>
      <c r="G59" s="254">
        <f>WORKDAY.INTL(E59,F59,1,Data!$C$3:$C$45)</f>
        <v>46042</v>
      </c>
      <c r="H59" s="239"/>
      <c r="I59" s="254">
        <f>WORKDAY.INTL(K58,0,1,Data!$C$3:$C$45)</f>
        <v>46079</v>
      </c>
      <c r="J59" s="252">
        <v>1</v>
      </c>
      <c r="K59" s="254">
        <f>WORKDAY.INTL(I59,J59,1,Data!$C$3:$C$45)</f>
        <v>46080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8.6</v>
      </c>
      <c r="C60" s="244" t="s">
        <v>256</v>
      </c>
      <c r="D60" s="216"/>
      <c r="E60" s="254">
        <f>WORKDAY.INTL(E59,0,1,Data!$C$3:$C$45)</f>
        <v>46041</v>
      </c>
      <c r="F60" s="252">
        <v>1</v>
      </c>
      <c r="G60" s="254">
        <f>WORKDAY.INTL(E60,F60,1,Data!$C$3:$C$45)</f>
        <v>46042</v>
      </c>
      <c r="H60" s="239"/>
      <c r="I60" s="254">
        <f>WORKDAY.INTL(I59,0,1,Data!$C$3:$C$45)</f>
        <v>46079</v>
      </c>
      <c r="J60" s="252">
        <v>5</v>
      </c>
      <c r="K60" s="254">
        <f>WORKDAY.INTL(I60,J60,1,Data!$C$3:$C$45)</f>
        <v>46086</v>
      </c>
      <c r="M60" s="255">
        <v>0</v>
      </c>
      <c r="N60" s="255">
        <f t="shared" ca="1" si="4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M1:P7 O8:P60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5:N60 M52:N52 M12:N16 M47:N49 M33:N39 M42:N44 M24:N30 M19:N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zoomScale="85" zoomScaleNormal="85" workbookViewId="0">
      <selection activeCell="P26" sqref="P26"/>
    </sheetView>
  </sheetViews>
  <sheetFormatPr defaultColWidth="8.46484375" defaultRowHeight="14.25"/>
  <cols>
    <col min="1" max="1" width="5.19921875" style="93" customWidth="1"/>
    <col min="2" max="2" width="5.19921875" style="131" customWidth="1"/>
    <col min="3" max="4" width="23.19921875" style="129" customWidth="1"/>
    <col min="5" max="5" width="6.53125" style="129" customWidth="1"/>
    <col min="6" max="6" width="16.46484375" style="129" customWidth="1"/>
    <col min="7" max="7" width="4.46484375" style="129" customWidth="1"/>
    <col min="8" max="8" width="15.46484375" style="129" customWidth="1"/>
    <col min="9" max="9" width="1.53125" style="129" customWidth="1"/>
    <col min="10" max="10" width="3.46484375" style="93" customWidth="1"/>
    <col min="11" max="11" width="1.53125" style="176" customWidth="1"/>
    <col min="12" max="12" width="29.46484375" style="93" customWidth="1"/>
    <col min="13" max="13" width="1.53125" style="129" customWidth="1"/>
    <col min="14" max="14" width="29.46484375" style="129" customWidth="1"/>
    <col min="15" max="15" width="1.46484375" style="93" customWidth="1"/>
    <col min="16" max="16" width="16.53125" style="129" customWidth="1"/>
    <col min="17" max="17" width="5.19921875" style="129" customWidth="1"/>
    <col min="18" max="18" width="112.46484375" style="129" bestFit="1" customWidth="1"/>
    <col min="19" max="19" width="4.46484375" style="129" customWidth="1"/>
    <col min="20" max="20" width="14.19921875" style="129" customWidth="1"/>
    <col min="21" max="21" width="10.46484375" style="93" bestFit="1" customWidth="1"/>
    <col min="22" max="23" width="8.46484375" style="93"/>
    <col min="24" max="24" width="5.19921875" style="93" bestFit="1" customWidth="1"/>
    <col min="25" max="25" width="14.19921875" style="93" bestFit="1" customWidth="1"/>
    <col min="26" max="26" width="8.46484375" style="93"/>
    <col min="27" max="27" width="14.19921875" style="93" bestFit="1" customWidth="1"/>
    <col min="28" max="28" width="8.46484375" style="129"/>
    <col min="29" max="29" width="12.46484375" style="129" bestFit="1" customWidth="1"/>
    <col min="30" max="16384" width="8.464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257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258</v>
      </c>
      <c r="F3" s="125" t="s">
        <v>259</v>
      </c>
      <c r="J3" s="142"/>
      <c r="L3" s="409" t="s">
        <v>260</v>
      </c>
      <c r="N3" s="409" t="s">
        <v>261</v>
      </c>
      <c r="S3" s="142"/>
    </row>
    <row r="4" spans="1:21" s="93" customFormat="1" ht="13.15">
      <c r="B4" s="353">
        <v>1</v>
      </c>
      <c r="C4" s="354" t="s">
        <v>262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263</v>
      </c>
      <c r="Q4" s="130"/>
      <c r="S4" s="142"/>
    </row>
    <row r="5" spans="1:21" s="93" customFormat="1" ht="15" customHeight="1">
      <c r="B5" s="353">
        <v>2</v>
      </c>
      <c r="C5" s="354" t="s">
        <v>264</v>
      </c>
      <c r="D5" s="355">
        <f>+'Expenditure Tracking'!F5</f>
        <v>9590676.1310892869</v>
      </c>
      <c r="E5" s="356"/>
      <c r="F5" s="355">
        <f>+'Expenditure Tracking'!H5</f>
        <v>7349211.2423272394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265</v>
      </c>
      <c r="D6" s="355">
        <f>+D4-D5</f>
        <v>837668.21508991346</v>
      </c>
      <c r="E6" s="356"/>
      <c r="F6" s="355">
        <f>+F4-F5</f>
        <v>3079133.1076727603</v>
      </c>
      <c r="H6" s="116"/>
      <c r="J6" s="142"/>
      <c r="L6" s="375"/>
      <c r="N6" s="375" t="s">
        <v>266</v>
      </c>
      <c r="S6" s="142"/>
    </row>
    <row r="7" spans="1:21" s="93" customFormat="1" ht="15" customHeight="1" thickBot="1">
      <c r="B7" s="353">
        <v>4</v>
      </c>
      <c r="C7" s="354" t="s">
        <v>267</v>
      </c>
      <c r="D7" s="357">
        <f>+D6/D4</f>
        <v>8.0326098494898995E-2</v>
      </c>
      <c r="E7" s="356"/>
      <c r="F7" s="357">
        <f>+F6/F4</f>
        <v>0.29526576840289709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268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179</v>
      </c>
      <c r="C12" s="133" t="s">
        <v>269</v>
      </c>
      <c r="D12" s="134"/>
      <c r="E12" s="132" t="s">
        <v>270</v>
      </c>
      <c r="F12" s="132" t="s">
        <v>271</v>
      </c>
      <c r="H12" s="358" t="s">
        <v>272</v>
      </c>
      <c r="J12" s="142"/>
      <c r="L12" s="167" t="s">
        <v>273</v>
      </c>
      <c r="M12" s="135"/>
      <c r="N12" s="167" t="s">
        <v>274</v>
      </c>
      <c r="O12" s="129"/>
      <c r="P12" s="167" t="s">
        <v>275</v>
      </c>
      <c r="R12" s="378" t="s">
        <v>276</v>
      </c>
      <c r="S12" s="142"/>
    </row>
    <row r="13" spans="1:21" s="93" customFormat="1" ht="13.15">
      <c r="B13" s="353">
        <v>1</v>
      </c>
      <c r="C13" s="745" t="s">
        <v>277</v>
      </c>
      <c r="D13" s="746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278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45" t="s">
        <v>277</v>
      </c>
      <c r="D14" s="746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278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45" t="s">
        <v>279</v>
      </c>
      <c r="D15" s="746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280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45" t="s">
        <v>281</v>
      </c>
      <c r="D16" s="746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43" t="s">
        <v>282</v>
      </c>
      <c r="D17" s="744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46078</v>
      </c>
      <c r="R17" s="379"/>
      <c r="S17" s="142"/>
    </row>
    <row r="18" spans="2:19" s="93" customFormat="1" ht="12.75">
      <c r="B18" s="353">
        <v>5</v>
      </c>
      <c r="C18" s="743"/>
      <c r="D18" s="744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43"/>
      <c r="D19" s="744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45" t="s">
        <v>283</v>
      </c>
      <c r="D20" s="746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284</v>
      </c>
      <c r="C24" s="146" t="s">
        <v>285</v>
      </c>
      <c r="D24" s="146"/>
      <c r="F24" s="147"/>
    </row>
    <row r="25" spans="2:19" s="93" customFormat="1" ht="12.75">
      <c r="C25" s="148" t="s">
        <v>286</v>
      </c>
      <c r="D25" s="149"/>
      <c r="F25" s="150"/>
    </row>
    <row r="26" spans="2:19" s="93" customFormat="1" ht="12.75">
      <c r="C26" s="148" t="s">
        <v>287</v>
      </c>
      <c r="D26" s="149"/>
      <c r="L26" s="675"/>
    </row>
    <row r="27" spans="2:19" s="93" customFormat="1" ht="12.75">
      <c r="C27" s="151" t="s">
        <v>288</v>
      </c>
      <c r="D27" s="152"/>
    </row>
    <row r="28" spans="2:19" s="93" customFormat="1" ht="12.75">
      <c r="C28" s="153" t="s">
        <v>289</v>
      </c>
      <c r="D28" s="149"/>
    </row>
    <row r="29" spans="2:19" s="93" customFormat="1" ht="12.75">
      <c r="B29" s="117"/>
      <c r="C29" s="153" t="s">
        <v>290</v>
      </c>
      <c r="D29" s="149"/>
    </row>
    <row r="30" spans="2:19" s="93" customFormat="1" ht="12.75">
      <c r="B30" s="117"/>
      <c r="C30" s="93" t="s">
        <v>291</v>
      </c>
    </row>
    <row r="31" spans="2:19" s="93" customFormat="1" ht="27.75" customHeight="1">
      <c r="B31" s="117"/>
      <c r="C31" s="154" t="s">
        <v>292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179</v>
      </c>
      <c r="C41" s="133" t="s">
        <v>269</v>
      </c>
      <c r="D41" s="134"/>
      <c r="E41" s="132" t="s">
        <v>270</v>
      </c>
      <c r="F41" s="132" t="s">
        <v>271</v>
      </c>
    </row>
    <row r="42" spans="2:6" s="93" customFormat="1" ht="12.75" hidden="1" customHeight="1">
      <c r="B42" s="155">
        <v>1</v>
      </c>
      <c r="C42" s="156" t="s">
        <v>293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294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295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296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297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298</v>
      </c>
      <c r="F2" s="83" t="s">
        <v>299</v>
      </c>
    </row>
    <row r="3" spans="3:8">
      <c r="C3" s="79">
        <v>45658</v>
      </c>
      <c r="D3" s="73" t="s">
        <v>300</v>
      </c>
      <c r="F3" s="81" t="s">
        <v>301</v>
      </c>
    </row>
    <row r="4" spans="3:8">
      <c r="C4" s="79">
        <v>45737</v>
      </c>
      <c r="D4" s="73" t="s">
        <v>302</v>
      </c>
      <c r="F4" s="81" t="s">
        <v>303</v>
      </c>
    </row>
    <row r="5" spans="3:8">
      <c r="C5" s="79">
        <v>45765</v>
      </c>
      <c r="D5" s="73" t="s">
        <v>304</v>
      </c>
      <c r="F5" s="81" t="s">
        <v>305</v>
      </c>
    </row>
    <row r="6" spans="3:8" ht="13.15" thickBot="1">
      <c r="C6" s="79">
        <v>45768</v>
      </c>
      <c r="D6" s="73" t="s">
        <v>306</v>
      </c>
      <c r="F6" s="82" t="s">
        <v>307</v>
      </c>
    </row>
    <row r="7" spans="3:8">
      <c r="C7" s="79">
        <v>45774</v>
      </c>
      <c r="D7" s="73" t="s">
        <v>308</v>
      </c>
    </row>
    <row r="8" spans="3:8">
      <c r="C8" s="79">
        <v>45765</v>
      </c>
      <c r="D8" s="73" t="s">
        <v>309</v>
      </c>
    </row>
    <row r="9" spans="3:8">
      <c r="C9" s="79">
        <v>45778</v>
      </c>
      <c r="D9" s="73" t="s">
        <v>310</v>
      </c>
    </row>
    <row r="10" spans="3:8">
      <c r="C10" s="79">
        <v>45824</v>
      </c>
      <c r="D10" s="73" t="s">
        <v>311</v>
      </c>
    </row>
    <row r="11" spans="3:8">
      <c r="C11" s="79">
        <v>45878</v>
      </c>
      <c r="D11" s="73" t="s">
        <v>312</v>
      </c>
    </row>
    <row r="12" spans="3:8">
      <c r="C12" s="79">
        <v>45924</v>
      </c>
      <c r="D12" s="73" t="s">
        <v>313</v>
      </c>
    </row>
    <row r="13" spans="3:8">
      <c r="C13" s="79">
        <v>46007</v>
      </c>
      <c r="D13" s="73" t="s">
        <v>314</v>
      </c>
      <c r="F13" s="85"/>
      <c r="H13" s="73" t="s">
        <v>315</v>
      </c>
    </row>
    <row r="14" spans="3:8">
      <c r="C14" s="79">
        <v>46008</v>
      </c>
      <c r="D14" s="73" t="s">
        <v>316</v>
      </c>
      <c r="F14" s="85"/>
    </row>
    <row r="15" spans="3:8">
      <c r="C15" s="79">
        <v>46009</v>
      </c>
      <c r="D15" s="73" t="s">
        <v>316</v>
      </c>
      <c r="F15" s="85"/>
    </row>
    <row r="16" spans="3:8">
      <c r="C16" s="79">
        <v>46010</v>
      </c>
      <c r="D16" s="73" t="s">
        <v>316</v>
      </c>
      <c r="F16" s="85"/>
    </row>
    <row r="17" spans="3:6">
      <c r="C17" s="79">
        <v>46011</v>
      </c>
      <c r="D17" s="73" t="s">
        <v>316</v>
      </c>
      <c r="F17" s="85"/>
    </row>
    <row r="18" spans="3:6">
      <c r="C18" s="79">
        <v>46012</v>
      </c>
      <c r="D18" s="73" t="s">
        <v>316</v>
      </c>
      <c r="F18" s="85"/>
    </row>
    <row r="19" spans="3:6">
      <c r="C19" s="79">
        <v>46013</v>
      </c>
      <c r="D19" s="73" t="s">
        <v>316</v>
      </c>
      <c r="F19" s="85"/>
    </row>
    <row r="20" spans="3:6">
      <c r="C20" s="79">
        <v>46014</v>
      </c>
      <c r="D20" s="73" t="s">
        <v>316</v>
      </c>
      <c r="F20" s="85"/>
    </row>
    <row r="21" spans="3:6">
      <c r="C21" s="79">
        <v>46015</v>
      </c>
      <c r="D21" s="73" t="s">
        <v>316</v>
      </c>
      <c r="F21" s="85"/>
    </row>
    <row r="22" spans="3:6">
      <c r="C22" s="79">
        <v>46016</v>
      </c>
      <c r="D22" s="73" t="s">
        <v>316</v>
      </c>
      <c r="F22" s="85"/>
    </row>
    <row r="23" spans="3:6">
      <c r="C23" s="79">
        <v>46017</v>
      </c>
      <c r="D23" s="73" t="s">
        <v>316</v>
      </c>
      <c r="F23" s="85"/>
    </row>
    <row r="24" spans="3:6">
      <c r="C24" s="79">
        <v>46018</v>
      </c>
      <c r="D24" s="73" t="s">
        <v>316</v>
      </c>
      <c r="F24" s="85"/>
    </row>
    <row r="25" spans="3:6">
      <c r="C25" s="79">
        <v>46019</v>
      </c>
      <c r="D25" s="73" t="s">
        <v>316</v>
      </c>
      <c r="F25" s="85"/>
    </row>
    <row r="26" spans="3:6">
      <c r="C26" s="79">
        <v>46020</v>
      </c>
      <c r="D26" s="73" t="s">
        <v>316</v>
      </c>
      <c r="F26" s="85"/>
    </row>
    <row r="27" spans="3:6">
      <c r="C27" s="79">
        <v>46021</v>
      </c>
      <c r="D27" s="73" t="s">
        <v>316</v>
      </c>
      <c r="F27" s="85"/>
    </row>
    <row r="28" spans="3:6">
      <c r="C28" s="79">
        <v>46022</v>
      </c>
      <c r="D28" s="73" t="s">
        <v>316</v>
      </c>
      <c r="F28" s="85"/>
    </row>
    <row r="29" spans="3:6">
      <c r="C29" s="79">
        <v>46023</v>
      </c>
      <c r="D29" s="73" t="s">
        <v>316</v>
      </c>
      <c r="F29" s="85"/>
    </row>
    <row r="30" spans="3:6">
      <c r="C30" s="79">
        <v>46024</v>
      </c>
      <c r="D30" s="73" t="s">
        <v>316</v>
      </c>
      <c r="F30" s="85"/>
    </row>
    <row r="31" spans="3:6">
      <c r="C31" s="79">
        <v>46025</v>
      </c>
      <c r="D31" s="73" t="s">
        <v>316</v>
      </c>
      <c r="F31" s="85"/>
    </row>
    <row r="32" spans="3:6">
      <c r="C32" s="79">
        <v>46026</v>
      </c>
      <c r="D32" s="73" t="s">
        <v>316</v>
      </c>
      <c r="F32" s="85"/>
    </row>
    <row r="33" spans="3:6">
      <c r="C33" s="79">
        <v>46027</v>
      </c>
      <c r="D33" s="73" t="s">
        <v>316</v>
      </c>
      <c r="F33" s="85"/>
    </row>
    <row r="34" spans="3:6">
      <c r="C34" s="79">
        <v>46028</v>
      </c>
      <c r="D34" s="73" t="s">
        <v>316</v>
      </c>
      <c r="F34" s="85"/>
    </row>
    <row r="35" spans="3:6">
      <c r="C35" s="79">
        <v>46029</v>
      </c>
      <c r="D35" s="73" t="s">
        <v>316</v>
      </c>
      <c r="F35" s="85"/>
    </row>
    <row r="36" spans="3:6">
      <c r="C36" s="79">
        <v>46030</v>
      </c>
      <c r="D36" s="73" t="s">
        <v>316</v>
      </c>
      <c r="F36" s="85"/>
    </row>
    <row r="37" spans="3:6">
      <c r="C37" s="79">
        <v>46031</v>
      </c>
      <c r="D37" s="73" t="s">
        <v>316</v>
      </c>
      <c r="F37" s="85"/>
    </row>
    <row r="38" spans="3:6">
      <c r="C38" s="79">
        <v>46032</v>
      </c>
      <c r="D38" s="73" t="s">
        <v>316</v>
      </c>
      <c r="F38" s="85"/>
    </row>
    <row r="39" spans="3:6">
      <c r="C39" s="79">
        <v>46033</v>
      </c>
      <c r="D39" s="73" t="s">
        <v>316</v>
      </c>
      <c r="F39" s="85"/>
    </row>
    <row r="40" spans="3:6">
      <c r="C40" s="79">
        <v>46034</v>
      </c>
      <c r="D40" s="73" t="s">
        <v>316</v>
      </c>
      <c r="F40" s="85"/>
    </row>
    <row r="41" spans="3:6">
      <c r="C41" s="79">
        <v>46035</v>
      </c>
      <c r="D41" s="73" t="s">
        <v>316</v>
      </c>
      <c r="F41" s="85"/>
    </row>
    <row r="42" spans="3:6">
      <c r="C42" s="79">
        <v>46036</v>
      </c>
      <c r="D42" s="73" t="s">
        <v>316</v>
      </c>
      <c r="F42" s="85"/>
    </row>
    <row r="43" spans="3:6">
      <c r="C43" s="79">
        <v>46037</v>
      </c>
      <c r="D43" s="73" t="s">
        <v>316</v>
      </c>
      <c r="F43" s="85"/>
    </row>
    <row r="44" spans="3:6">
      <c r="C44" s="79">
        <v>46038</v>
      </c>
      <c r="D44" s="73" t="s">
        <v>316</v>
      </c>
      <c r="F44" s="85"/>
    </row>
    <row r="45" spans="3:6">
      <c r="C45" s="79">
        <v>46016</v>
      </c>
      <c r="D45" s="73" t="s">
        <v>317</v>
      </c>
    </row>
    <row r="46" spans="3:6" ht="13.15" thickBot="1">
      <c r="C46" s="80">
        <v>46017</v>
      </c>
      <c r="D46" s="73" t="s">
        <v>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opLeftCell="O1" zoomScale="85" zoomScaleNormal="85" workbookViewId="0">
      <pane ySplit="4" topLeftCell="A16" activePane="bottomLeft" state="frozen"/>
      <selection activeCell="X33" sqref="X33"/>
      <selection pane="bottomLeft" activeCell="Z55" sqref="Z55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3" style="70" hidden="1" customWidth="1"/>
    <col min="6" max="6" width="16.53125" style="474" hidden="1" customWidth="1"/>
    <col min="7" max="7" width="17.46484375" style="24" hidden="1" customWidth="1"/>
    <col min="8" max="8" width="17.46484375" style="541" hidden="1" customWidth="1"/>
    <col min="9" max="9" width="22.46484375" style="351" hidden="1" customWidth="1"/>
    <col min="10" max="10" width="22.46484375" style="351" bestFit="1" customWidth="1"/>
    <col min="11" max="12" width="5.19921875" style="112" customWidth="1"/>
    <col min="13" max="13" width="25.53125" style="112" customWidth="1"/>
    <col min="14" max="14" width="48.46484375" style="112" customWidth="1"/>
    <col min="15" max="15" width="15.796875" style="112" customWidth="1"/>
    <col min="16" max="17" width="17.46484375" style="112" customWidth="1"/>
    <col min="18" max="18" width="39.46484375" style="112" bestFit="1" customWidth="1"/>
    <col min="19" max="19" width="28.19921875" style="112" bestFit="1" customWidth="1"/>
    <col min="20" max="21" width="17.46484375" style="541" customWidth="1"/>
    <col min="22" max="22" width="17.46484375" style="112" customWidth="1"/>
    <col min="23" max="23" width="17.46484375" style="541" customWidth="1"/>
    <col min="24" max="24" width="21.199218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99" t="s">
        <v>319</v>
      </c>
      <c r="C2" s="800"/>
      <c r="D2" s="800"/>
      <c r="E2" s="800"/>
      <c r="F2" s="800"/>
      <c r="G2" s="800"/>
      <c r="H2" s="502"/>
      <c r="I2" s="259">
        <f>SUM(I6:I177)</f>
        <v>9590676.1310892869</v>
      </c>
      <c r="J2" s="259">
        <f>SUM(J6:J177)</f>
        <v>12428344.346179174</v>
      </c>
      <c r="L2" s="801" t="s">
        <v>320</v>
      </c>
      <c r="M2" s="802"/>
      <c r="N2" s="802"/>
      <c r="O2" s="802"/>
      <c r="P2" s="802"/>
      <c r="Q2" s="802"/>
      <c r="R2" s="803" t="s">
        <v>321</v>
      </c>
      <c r="S2" s="804"/>
      <c r="T2" s="804"/>
      <c r="U2" s="804"/>
      <c r="V2" s="804"/>
      <c r="W2" s="805"/>
      <c r="X2" s="478">
        <f>SUM(X6:X177)</f>
        <v>7349211.2423272394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322</v>
      </c>
      <c r="C4" s="261" t="s">
        <v>323</v>
      </c>
      <c r="D4" s="261" t="s">
        <v>324</v>
      </c>
      <c r="E4" s="261" t="s">
        <v>325</v>
      </c>
      <c r="F4" s="465" t="s">
        <v>326</v>
      </c>
      <c r="G4" s="262" t="s">
        <v>327</v>
      </c>
      <c r="H4" s="639" t="s">
        <v>328</v>
      </c>
      <c r="I4" s="263" t="s">
        <v>329</v>
      </c>
      <c r="J4" s="263" t="str">
        <f>IF(J2-'Revenue Tracking'!D4&gt;=0, "Total Revenue", "ERROR on REV" )</f>
        <v>Total Revenue</v>
      </c>
      <c r="K4" s="166"/>
      <c r="L4" s="260" t="s">
        <v>322</v>
      </c>
      <c r="M4" s="261" t="s">
        <v>330</v>
      </c>
      <c r="N4" s="261" t="s">
        <v>324</v>
      </c>
      <c r="O4" s="261" t="s">
        <v>325</v>
      </c>
      <c r="P4" s="465" t="s">
        <v>326</v>
      </c>
      <c r="Q4" s="373" t="s">
        <v>331</v>
      </c>
      <c r="R4" s="614" t="s">
        <v>332</v>
      </c>
      <c r="S4" s="615" t="s">
        <v>273</v>
      </c>
      <c r="T4" s="639" t="s">
        <v>274</v>
      </c>
      <c r="U4" s="640" t="s">
        <v>333</v>
      </c>
      <c r="V4" s="373" t="s">
        <v>334</v>
      </c>
      <c r="W4" s="639" t="s">
        <v>328</v>
      </c>
      <c r="X4" s="480" t="s">
        <v>329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335</v>
      </c>
      <c r="D6" s="283" t="s">
        <v>336</v>
      </c>
      <c r="E6" s="284"/>
      <c r="F6" s="437"/>
      <c r="G6" s="391">
        <f>D178</f>
        <v>2857717.17</v>
      </c>
      <c r="H6" s="565">
        <v>46022</v>
      </c>
      <c r="I6" s="747">
        <f>SUM(G6:G11)</f>
        <v>2857717.17</v>
      </c>
      <c r="J6" s="747">
        <f>F178</f>
        <v>3072814.1612903224</v>
      </c>
      <c r="K6" s="388"/>
      <c r="L6" s="282">
        <v>1</v>
      </c>
      <c r="M6" s="417" t="s">
        <v>337</v>
      </c>
      <c r="N6" s="283" t="s">
        <v>338</v>
      </c>
      <c r="O6" s="638">
        <v>1298</v>
      </c>
      <c r="P6" s="437">
        <v>1150.5</v>
      </c>
      <c r="Q6" s="391">
        <f>O6*P6</f>
        <v>1493349</v>
      </c>
      <c r="R6" s="581"/>
      <c r="S6" s="617" t="s">
        <v>339</v>
      </c>
      <c r="T6" s="662">
        <v>45961</v>
      </c>
      <c r="U6" s="669">
        <v>1729623.9294687072</v>
      </c>
      <c r="V6" s="759">
        <f>J6-SUM(U6:U11)</f>
        <v>0</v>
      </c>
      <c r="W6" s="692">
        <v>46003</v>
      </c>
      <c r="X6" s="750">
        <f>SUM(Q6:Q11)</f>
        <v>2657189.4</v>
      </c>
      <c r="Y6" s="482"/>
    </row>
    <row r="7" spans="1:76" ht="15" customHeight="1">
      <c r="B7" s="312">
        <v>1</v>
      </c>
      <c r="C7" s="418"/>
      <c r="D7" s="389" t="s">
        <v>340</v>
      </c>
      <c r="E7" s="390"/>
      <c r="F7" s="459"/>
      <c r="G7" s="316"/>
      <c r="H7" s="566"/>
      <c r="I7" s="748"/>
      <c r="J7" s="748"/>
      <c r="K7" s="289"/>
      <c r="L7" s="312">
        <v>1</v>
      </c>
      <c r="M7" s="314" t="s">
        <v>337</v>
      </c>
      <c r="N7" s="389" t="s">
        <v>341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342</v>
      </c>
      <c r="T7" s="659">
        <v>45961</v>
      </c>
      <c r="U7" s="669">
        <v>1343190.2318216152</v>
      </c>
      <c r="V7" s="760"/>
      <c r="W7" s="693">
        <v>46009</v>
      </c>
      <c r="X7" s="75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48"/>
      <c r="J8" s="748"/>
      <c r="K8" s="289"/>
      <c r="L8" s="312">
        <v>1</v>
      </c>
      <c r="M8" s="314" t="s">
        <v>337</v>
      </c>
      <c r="N8" s="485"/>
      <c r="O8" s="544"/>
      <c r="P8" s="444"/>
      <c r="Q8" s="316"/>
      <c r="R8" s="582"/>
      <c r="S8" s="618"/>
      <c r="T8" s="518" t="str">
        <f t="shared" ref="T8:T79" si="0">IF(W8&gt;1,EOMONTH(W8,0),"")</f>
        <v/>
      </c>
      <c r="U8" s="669">
        <v>0</v>
      </c>
      <c r="V8" s="760"/>
      <c r="W8" s="566"/>
      <c r="X8" s="75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48"/>
      <c r="J9" s="748"/>
      <c r="K9" s="289"/>
      <c r="L9" s="312">
        <v>1</v>
      </c>
      <c r="M9" s="314" t="s">
        <v>337</v>
      </c>
      <c r="N9" s="485" t="s">
        <v>343</v>
      </c>
      <c r="O9" s="544">
        <v>2</v>
      </c>
      <c r="P9" s="444"/>
      <c r="Q9" s="386">
        <v>4136.3999999999996</v>
      </c>
      <c r="R9" s="583" t="s">
        <v>344</v>
      </c>
      <c r="S9" s="619" t="s">
        <v>345</v>
      </c>
      <c r="T9" s="667">
        <v>46053</v>
      </c>
      <c r="U9" s="669">
        <v>0</v>
      </c>
      <c r="V9" s="760"/>
      <c r="W9" s="567">
        <f>T9+60</f>
        <v>46113</v>
      </c>
      <c r="X9" s="75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48"/>
      <c r="J10" s="748"/>
      <c r="K10" s="289"/>
      <c r="L10" s="312">
        <v>1</v>
      </c>
      <c r="M10" s="314" t="s">
        <v>337</v>
      </c>
      <c r="N10" s="485"/>
      <c r="O10" s="544"/>
      <c r="P10" s="444"/>
      <c r="Q10" s="386"/>
      <c r="R10" s="583"/>
      <c r="S10" s="619"/>
      <c r="T10" s="519" t="str">
        <f t="shared" si="0"/>
        <v/>
      </c>
      <c r="U10" s="669">
        <v>0</v>
      </c>
      <c r="V10" s="760"/>
      <c r="W10" s="567"/>
      <c r="X10" s="751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49"/>
      <c r="J11" s="749"/>
      <c r="K11" s="290"/>
      <c r="L11" s="317">
        <v>1</v>
      </c>
      <c r="M11" s="419" t="s">
        <v>337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61"/>
      <c r="W11" s="568"/>
      <c r="X11" s="752"/>
      <c r="Y11" s="598" t="s">
        <v>346</v>
      </c>
      <c r="Z11" s="599" t="s">
        <v>347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348</v>
      </c>
      <c r="Z12" s="601">
        <f>G60</f>
        <v>1511034.3</v>
      </c>
    </row>
    <row r="13" spans="1:76" ht="14.25" customHeight="1">
      <c r="B13" s="294">
        <v>2</v>
      </c>
      <c r="C13" s="320" t="s">
        <v>141</v>
      </c>
      <c r="D13" s="320" t="s">
        <v>349</v>
      </c>
      <c r="E13" s="366">
        <v>11</v>
      </c>
      <c r="F13" s="457"/>
      <c r="G13" s="297">
        <f>D179</f>
        <v>770000</v>
      </c>
      <c r="H13" s="570">
        <f>H6</f>
        <v>46022</v>
      </c>
      <c r="I13" s="767">
        <f>SUM(G13:G19)</f>
        <v>770000</v>
      </c>
      <c r="J13" s="767">
        <f>F179</f>
        <v>827956.98924731184</v>
      </c>
      <c r="K13" s="298"/>
      <c r="L13" s="294">
        <v>2</v>
      </c>
      <c r="M13" s="420" t="s">
        <v>350</v>
      </c>
      <c r="N13" s="320" t="s">
        <v>351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0">
        <f>J13-SUM(U13:U19)</f>
        <v>0</v>
      </c>
      <c r="W13" s="694">
        <f>W6</f>
        <v>46003</v>
      </c>
      <c r="X13" s="770">
        <f>SUM(Q13:Q19)</f>
        <v>757573.93799999997</v>
      </c>
      <c r="Y13" s="600" t="s">
        <v>352</v>
      </c>
      <c r="Z13" s="602">
        <f>G31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68"/>
      <c r="J14" s="768"/>
      <c r="K14" s="302"/>
      <c r="L14" s="299">
        <v>2</v>
      </c>
      <c r="M14" s="426" t="s">
        <v>350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1"/>
      <c r="W14" s="571"/>
      <c r="X14" s="771"/>
      <c r="Y14" s="600" t="s">
        <v>353</v>
      </c>
      <c r="Z14" s="601">
        <f>G99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68"/>
      <c r="J15" s="768"/>
      <c r="K15" s="302"/>
      <c r="L15" s="299">
        <v>2</v>
      </c>
      <c r="M15" s="426" t="s">
        <v>350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1"/>
      <c r="W15" s="571"/>
      <c r="X15" s="771"/>
      <c r="Y15" s="600" t="s">
        <v>354</v>
      </c>
      <c r="Z15" s="601">
        <f>G100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68"/>
      <c r="J16" s="768"/>
      <c r="K16" s="302"/>
      <c r="L16" s="299">
        <v>2</v>
      </c>
      <c r="M16" s="426" t="s">
        <v>350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1"/>
      <c r="W16" s="571"/>
      <c r="X16" s="771"/>
      <c r="Y16" s="600" t="s">
        <v>355</v>
      </c>
      <c r="Z16" s="601">
        <f>G114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68"/>
      <c r="J17" s="768"/>
      <c r="K17" s="302"/>
      <c r="L17" s="299">
        <v>2</v>
      </c>
      <c r="M17" s="426" t="s">
        <v>350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1"/>
      <c r="W17" s="571"/>
      <c r="X17" s="771"/>
      <c r="Y17" s="600" t="s">
        <v>356</v>
      </c>
      <c r="Z17" s="601">
        <f>G115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68"/>
      <c r="J18" s="768"/>
      <c r="K18" s="302"/>
      <c r="L18" s="299">
        <v>2</v>
      </c>
      <c r="M18" s="426" t="s">
        <v>350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1"/>
      <c r="W18" s="571"/>
      <c r="X18" s="771"/>
      <c r="Y18" s="600" t="s">
        <v>357</v>
      </c>
      <c r="Z18" s="601">
        <f>G121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69"/>
      <c r="J19" s="769"/>
      <c r="K19" s="307"/>
      <c r="L19" s="395">
        <v>2</v>
      </c>
      <c r="M19" s="421" t="s">
        <v>350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2"/>
      <c r="W19" s="572"/>
      <c r="X19" s="772"/>
      <c r="Y19" s="600" t="s">
        <v>358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359</v>
      </c>
      <c r="D21" s="328" t="s">
        <v>360</v>
      </c>
      <c r="E21" s="284"/>
      <c r="F21" s="437"/>
      <c r="G21" s="285">
        <f>D180</f>
        <v>1105818.21</v>
      </c>
      <c r="H21" s="573">
        <f>E21+30</f>
        <v>30</v>
      </c>
      <c r="I21" s="747">
        <f>SUM(G21:G28)</f>
        <v>1105818.21</v>
      </c>
      <c r="J21" s="747">
        <f>F180</f>
        <v>1189051.8387096773</v>
      </c>
      <c r="K21" s="286"/>
      <c r="L21" s="282">
        <v>3</v>
      </c>
      <c r="M21" s="422" t="s">
        <v>361</v>
      </c>
      <c r="N21" s="328" t="s">
        <v>362</v>
      </c>
      <c r="O21" s="542"/>
      <c r="P21" s="437"/>
      <c r="Q21" s="285">
        <v>40621.449999999997</v>
      </c>
      <c r="R21" s="589" t="s">
        <v>363</v>
      </c>
      <c r="S21" s="625" t="s">
        <v>364</v>
      </c>
      <c r="T21" s="666">
        <v>45961</v>
      </c>
      <c r="U21" s="669">
        <v>142264.21881568199</v>
      </c>
      <c r="V21" s="759">
        <f>J21-SUM(U21:U28)</f>
        <v>0</v>
      </c>
      <c r="W21" s="695">
        <v>46003</v>
      </c>
      <c r="X21" s="750">
        <f>SUM(Q21:Q28)</f>
        <v>363159.37999999995</v>
      </c>
      <c r="Y21" s="600" t="s">
        <v>365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48"/>
      <c r="J22" s="748"/>
      <c r="K22" s="289"/>
      <c r="L22" s="312">
        <v>3</v>
      </c>
      <c r="M22" s="423" t="s">
        <v>361</v>
      </c>
      <c r="N22" s="329"/>
      <c r="O22" s="543"/>
      <c r="P22" s="459"/>
      <c r="Q22" s="316">
        <v>45778.95</v>
      </c>
      <c r="R22" s="582"/>
      <c r="S22" s="618" t="s">
        <v>366</v>
      </c>
      <c r="T22" s="644">
        <v>45961</v>
      </c>
      <c r="U22" s="669">
        <v>160326.78695497487</v>
      </c>
      <c r="V22" s="760"/>
      <c r="W22" s="693">
        <v>46009</v>
      </c>
      <c r="X22" s="751"/>
      <c r="Y22" s="600" t="s">
        <v>297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48"/>
      <c r="J23" s="748"/>
      <c r="K23" s="289"/>
      <c r="L23" s="312">
        <v>3</v>
      </c>
      <c r="M23" s="423" t="s">
        <v>361</v>
      </c>
      <c r="N23" s="329"/>
      <c r="O23" s="543"/>
      <c r="P23" s="459"/>
      <c r="Q23" s="316">
        <v>50931.199999999997</v>
      </c>
      <c r="R23" s="582"/>
      <c r="S23" s="618" t="s">
        <v>367</v>
      </c>
      <c r="T23" s="644">
        <v>45961</v>
      </c>
      <c r="U23" s="669">
        <v>178370.96857313716</v>
      </c>
      <c r="V23" s="760"/>
      <c r="W23" s="693">
        <v>46003</v>
      </c>
      <c r="X23" s="751"/>
      <c r="Y23" s="600" t="s">
        <v>368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48"/>
      <c r="J24" s="748"/>
      <c r="K24" s="289"/>
      <c r="L24" s="312">
        <v>3</v>
      </c>
      <c r="M24" s="423" t="s">
        <v>361</v>
      </c>
      <c r="N24" s="385"/>
      <c r="O24" s="544"/>
      <c r="P24" s="444"/>
      <c r="Q24" s="386">
        <v>202184.62</v>
      </c>
      <c r="R24" s="583"/>
      <c r="S24" s="619" t="s">
        <v>369</v>
      </c>
      <c r="T24" s="667">
        <v>45961</v>
      </c>
      <c r="U24" s="669">
        <v>708089.8643658834</v>
      </c>
      <c r="V24" s="760"/>
      <c r="W24" s="680">
        <v>46003</v>
      </c>
      <c r="X24" s="751"/>
      <c r="Y24" s="605" t="s">
        <v>370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48"/>
      <c r="J25" s="748"/>
      <c r="K25" s="289"/>
      <c r="L25" s="312">
        <v>3</v>
      </c>
      <c r="M25" s="423" t="s">
        <v>361</v>
      </c>
      <c r="N25" s="385" t="s">
        <v>371</v>
      </c>
      <c r="O25" s="544"/>
      <c r="P25" s="444"/>
      <c r="Q25" s="386">
        <v>71394.92</v>
      </c>
      <c r="R25" s="583" t="s">
        <v>372</v>
      </c>
      <c r="S25" s="619" t="s">
        <v>373</v>
      </c>
      <c r="T25" s="667">
        <v>45991</v>
      </c>
      <c r="U25" s="669">
        <v>0</v>
      </c>
      <c r="V25" s="760"/>
      <c r="W25" s="535">
        <v>45989</v>
      </c>
      <c r="X25" s="751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48"/>
      <c r="J26" s="748"/>
      <c r="K26" s="289"/>
      <c r="L26" s="312">
        <v>3</v>
      </c>
      <c r="M26" s="423" t="s">
        <v>361</v>
      </c>
      <c r="N26" s="385"/>
      <c r="O26" s="544"/>
      <c r="P26" s="444"/>
      <c r="Q26" s="386">
        <v>-67046.2</v>
      </c>
      <c r="R26" s="583"/>
      <c r="S26" s="619" t="s">
        <v>374</v>
      </c>
      <c r="T26" s="667">
        <v>46053</v>
      </c>
      <c r="U26" s="669">
        <v>0</v>
      </c>
      <c r="V26" s="760"/>
      <c r="W26" s="567">
        <v>46059</v>
      </c>
      <c r="X26" s="751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48"/>
      <c r="J27" s="748"/>
      <c r="K27" s="289"/>
      <c r="L27" s="312">
        <v>3</v>
      </c>
      <c r="M27" s="423" t="s">
        <v>361</v>
      </c>
      <c r="N27" s="385" t="s">
        <v>574</v>
      </c>
      <c r="O27" s="544"/>
      <c r="P27" s="444"/>
      <c r="Q27" s="386">
        <v>3737.49</v>
      </c>
      <c r="R27" s="583"/>
      <c r="S27" s="619"/>
      <c r="T27" s="519">
        <v>46081</v>
      </c>
      <c r="U27" s="669"/>
      <c r="V27" s="760"/>
      <c r="W27" s="567">
        <f>T27</f>
        <v>46081</v>
      </c>
      <c r="X27" s="751"/>
    </row>
    <row r="28" spans="1:26" ht="15" customHeight="1" thickBot="1">
      <c r="B28" s="317">
        <v>3</v>
      </c>
      <c r="C28" s="338"/>
      <c r="D28" s="330"/>
      <c r="E28" s="319"/>
      <c r="F28" s="460"/>
      <c r="G28" s="331"/>
      <c r="H28" s="568"/>
      <c r="I28" s="749"/>
      <c r="J28" s="749"/>
      <c r="K28" s="290"/>
      <c r="L28" s="317">
        <v>3</v>
      </c>
      <c r="M28" s="424" t="s">
        <v>361</v>
      </c>
      <c r="N28" s="330" t="s">
        <v>375</v>
      </c>
      <c r="O28" s="545"/>
      <c r="P28" s="460"/>
      <c r="Q28" s="331">
        <v>15556.95</v>
      </c>
      <c r="R28" s="584" t="s">
        <v>376</v>
      </c>
      <c r="S28" s="619" t="s">
        <v>577</v>
      </c>
      <c r="T28" s="703">
        <v>46053</v>
      </c>
      <c r="U28" s="686">
        <v>0</v>
      </c>
      <c r="V28" s="761"/>
      <c r="W28" s="704">
        <v>46045</v>
      </c>
      <c r="X28" s="752"/>
      <c r="Y28" s="606" t="s">
        <v>377</v>
      </c>
      <c r="Z28" s="607" t="s">
        <v>378</v>
      </c>
    </row>
    <row r="29" spans="1:26" ht="14.2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6"/>
      <c r="P29" s="456"/>
      <c r="Q29" s="293"/>
      <c r="R29" s="585"/>
      <c r="S29" s="621"/>
      <c r="T29" s="521" t="str">
        <f t="shared" si="0"/>
        <v/>
      </c>
      <c r="U29" s="510"/>
      <c r="V29" s="492"/>
      <c r="W29" s="569"/>
      <c r="X29" s="351"/>
      <c r="Y29" s="608" t="str">
        <f t="shared" ref="Y29:Y35" si="1">Y12</f>
        <v>AC Equipment</v>
      </c>
      <c r="Z29" s="609">
        <v>231508.8</v>
      </c>
    </row>
    <row r="30" spans="1:26" ht="14.25" customHeight="1">
      <c r="B30" s="294">
        <v>4</v>
      </c>
      <c r="C30" s="295" t="s">
        <v>352</v>
      </c>
      <c r="D30" s="295" t="s">
        <v>379</v>
      </c>
      <c r="E30" s="366">
        <f>G30/14*1.15</f>
        <v>36274.449999999997</v>
      </c>
      <c r="F30" s="457"/>
      <c r="G30" s="297">
        <v>441602</v>
      </c>
      <c r="H30" s="570">
        <f>H6</f>
        <v>46022</v>
      </c>
      <c r="I30" s="767">
        <f>SUM(G30:G46)</f>
        <v>1117490.1000000001</v>
      </c>
      <c r="J30" s="767">
        <f>F181</f>
        <v>1201602.2580645164</v>
      </c>
      <c r="K30" s="298"/>
      <c r="L30" s="294">
        <v>4</v>
      </c>
      <c r="M30" s="425" t="s">
        <v>380</v>
      </c>
      <c r="N30" s="295" t="s">
        <v>381</v>
      </c>
      <c r="O30" s="539">
        <v>14000</v>
      </c>
      <c r="P30" s="457">
        <v>13.5</v>
      </c>
      <c r="Q30" s="297">
        <f>O30*P30</f>
        <v>189000</v>
      </c>
      <c r="R30" s="586"/>
      <c r="S30" s="622" t="str">
        <f>S13</f>
        <v>Menlo - INV0003320</v>
      </c>
      <c r="T30" s="661">
        <v>45961</v>
      </c>
      <c r="U30" s="684">
        <v>318264.99775240372</v>
      </c>
      <c r="V30" s="790">
        <f>J30-SUM(U30:U46)</f>
        <v>0</v>
      </c>
      <c r="W30" s="696">
        <f>W6</f>
        <v>46003</v>
      </c>
      <c r="X30" s="770">
        <f>SUM(Q30:Q46)</f>
        <v>713565.20000000019</v>
      </c>
      <c r="Y30" s="608" t="str">
        <f t="shared" si="1"/>
        <v>DC Equipment</v>
      </c>
      <c r="Z30" s="609">
        <v>169665.2</v>
      </c>
    </row>
    <row r="31" spans="1:26" ht="14.25" customHeight="1">
      <c r="B31" s="321">
        <v>4</v>
      </c>
      <c r="C31" s="408"/>
      <c r="D31" s="408" t="s">
        <v>382</v>
      </c>
      <c r="E31" s="394"/>
      <c r="F31" s="453"/>
      <c r="G31" s="634">
        <f>D181-G30</f>
        <v>675888.10000000009</v>
      </c>
      <c r="H31" s="570">
        <v>46022</v>
      </c>
      <c r="I31" s="768"/>
      <c r="J31" s="768"/>
      <c r="K31" s="302"/>
      <c r="L31" s="299">
        <v>4</v>
      </c>
      <c r="M31" s="426" t="s">
        <v>380</v>
      </c>
      <c r="N31" s="408"/>
      <c r="O31" s="540">
        <f>40000-O30</f>
        <v>26000</v>
      </c>
      <c r="P31" s="453">
        <v>13.65</v>
      </c>
      <c r="Q31" s="301">
        <f>P31*O31</f>
        <v>354900</v>
      </c>
      <c r="R31" s="587"/>
      <c r="S31" s="623" t="str">
        <f>S6</f>
        <v>Menlo - INV0003320</v>
      </c>
      <c r="T31" s="660">
        <v>45961</v>
      </c>
      <c r="U31" s="684">
        <v>597630.94022395811</v>
      </c>
      <c r="V31" s="791"/>
      <c r="W31" s="696">
        <f>W7</f>
        <v>46009</v>
      </c>
      <c r="X31" s="771"/>
      <c r="Y31" s="608" t="str">
        <f t="shared" si="1"/>
        <v>AC Labour</v>
      </c>
      <c r="Z31" s="609">
        <v>142795.4</v>
      </c>
    </row>
    <row r="32" spans="1:26" ht="14.25" customHeight="1">
      <c r="B32" s="321">
        <v>4</v>
      </c>
      <c r="C32" s="408"/>
      <c r="D32" s="408"/>
      <c r="E32" s="394"/>
      <c r="F32" s="453"/>
      <c r="G32" s="301"/>
      <c r="H32" s="571"/>
      <c r="I32" s="768"/>
      <c r="J32" s="768"/>
      <c r="K32" s="302"/>
      <c r="L32" s="299">
        <v>4</v>
      </c>
      <c r="M32" s="426" t="s">
        <v>380</v>
      </c>
      <c r="N32" s="408"/>
      <c r="O32" s="540"/>
      <c r="P32" s="453"/>
      <c r="Q32" s="301"/>
      <c r="R32" s="587"/>
      <c r="S32" s="623"/>
      <c r="T32" s="523" t="str">
        <f t="shared" si="0"/>
        <v/>
      </c>
      <c r="U32" s="508">
        <f t="shared" ref="U32:U46" si="2">(Q32/$X$30*$J$30)</f>
        <v>0</v>
      </c>
      <c r="V32" s="791"/>
      <c r="W32" s="571"/>
      <c r="X32" s="771"/>
      <c r="Y32" s="608" t="str">
        <f t="shared" si="1"/>
        <v>DC Labour</v>
      </c>
      <c r="Z32" s="609">
        <v>962496.8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68"/>
      <c r="J33" s="768"/>
      <c r="K33" s="302"/>
      <c r="L33" s="299">
        <v>4</v>
      </c>
      <c r="M33" s="426" t="s">
        <v>380</v>
      </c>
      <c r="N33" s="408"/>
      <c r="O33" s="548"/>
      <c r="P33" s="453"/>
      <c r="Q33" s="301"/>
      <c r="R33" s="587"/>
      <c r="S33" s="623"/>
      <c r="T33" s="523" t="str">
        <f t="shared" si="0"/>
        <v/>
      </c>
      <c r="U33" s="508">
        <f t="shared" si="2"/>
        <v>0</v>
      </c>
      <c r="V33" s="791"/>
      <c r="W33" s="571"/>
      <c r="X33" s="771"/>
      <c r="Y33" s="608" t="str">
        <f t="shared" si="1"/>
        <v>Offloading</v>
      </c>
      <c r="Z33" s="609">
        <v>55490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1">
        <f>H100</f>
        <v>45900</v>
      </c>
      <c r="I34" s="768"/>
      <c r="J34" s="768"/>
      <c r="K34" s="302"/>
      <c r="L34" s="299">
        <v>4</v>
      </c>
      <c r="M34" s="426" t="s">
        <v>380</v>
      </c>
      <c r="N34" s="408" t="s">
        <v>383</v>
      </c>
      <c r="O34" s="559">
        <f>Z30</f>
        <v>169665.2</v>
      </c>
      <c r="P34" s="560">
        <v>0.1</v>
      </c>
      <c r="Q34" s="301">
        <f>$O$34*P34</f>
        <v>16966.52</v>
      </c>
      <c r="R34" s="788"/>
      <c r="S34" s="623" t="str">
        <f>S100</f>
        <v>JA Electrical - Inv 1104</v>
      </c>
      <c r="T34" s="674">
        <f>T100</f>
        <v>45961</v>
      </c>
      <c r="U34" s="684">
        <v>28570.632008815413</v>
      </c>
      <c r="V34" s="791"/>
      <c r="W34" s="689">
        <f t="shared" ref="W34:W39" si="3">W100</f>
        <v>45967</v>
      </c>
      <c r="X34" s="771"/>
      <c r="Y34" s="608" t="str">
        <f t="shared" si="1"/>
        <v>Scaffolding</v>
      </c>
      <c r="Z34" s="609">
        <v>75760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1" t="e">
        <f>H101</f>
        <v>#REF!</v>
      </c>
      <c r="I35" s="768"/>
      <c r="J35" s="768"/>
      <c r="K35" s="302"/>
      <c r="L35" s="299">
        <v>4</v>
      </c>
      <c r="M35" s="426" t="s">
        <v>380</v>
      </c>
      <c r="N35" s="408" t="s">
        <v>197</v>
      </c>
      <c r="O35" s="548"/>
      <c r="P35" s="560">
        <v>0.15</v>
      </c>
      <c r="Q35" s="301">
        <f t="shared" ref="Q35:Q43" si="4">$O$34*P35</f>
        <v>25449.780000000002</v>
      </c>
      <c r="R35" s="793"/>
      <c r="S35" s="623" t="str">
        <f>S101</f>
        <v>JA Electrical - Inv 1105</v>
      </c>
      <c r="T35" s="674">
        <f>T101</f>
        <v>45961</v>
      </c>
      <c r="U35" s="684">
        <v>42855.948013223126</v>
      </c>
      <c r="V35" s="791"/>
      <c r="W35" s="689">
        <f t="shared" si="3"/>
        <v>45967</v>
      </c>
      <c r="X35" s="771"/>
      <c r="Y35" s="608" t="str">
        <f t="shared" si="1"/>
        <v>Storage</v>
      </c>
      <c r="Z35" s="609">
        <v>11407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 t="e">
        <f>H102</f>
        <v>#REF!</v>
      </c>
      <c r="I36" s="768"/>
      <c r="J36" s="768"/>
      <c r="K36" s="302"/>
      <c r="L36" s="299">
        <v>4</v>
      </c>
      <c r="M36" s="426" t="s">
        <v>380</v>
      </c>
      <c r="N36" s="408" t="s">
        <v>384</v>
      </c>
      <c r="O36" s="548"/>
      <c r="P36" s="560">
        <v>0.1</v>
      </c>
      <c r="Q36" s="301">
        <f t="shared" si="4"/>
        <v>16966.52</v>
      </c>
      <c r="R36" s="793"/>
      <c r="S36" s="623" t="s">
        <v>385</v>
      </c>
      <c r="T36" s="660">
        <f>T102</f>
        <v>46022</v>
      </c>
      <c r="U36" s="684">
        <v>28570.632008815413</v>
      </c>
      <c r="V36" s="791"/>
      <c r="W36" s="689">
        <f t="shared" si="3"/>
        <v>46003</v>
      </c>
      <c r="X36" s="771"/>
      <c r="Y36" s="608" t="s">
        <v>386</v>
      </c>
      <c r="Z36" s="609">
        <v>17072</v>
      </c>
    </row>
    <row r="37" spans="1:26" ht="14.25" customHeight="1">
      <c r="B37" s="321"/>
      <c r="C37" s="408"/>
      <c r="D37" s="408"/>
      <c r="E37" s="394"/>
      <c r="F37" s="453"/>
      <c r="G37" s="301"/>
      <c r="H37" s="571"/>
      <c r="I37" s="768"/>
      <c r="J37" s="768"/>
      <c r="K37" s="302"/>
      <c r="L37" s="299">
        <v>4</v>
      </c>
      <c r="M37" s="426" t="s">
        <v>380</v>
      </c>
      <c r="N37" s="408" t="s">
        <v>384</v>
      </c>
      <c r="O37" s="548"/>
      <c r="P37" s="560">
        <v>0.1</v>
      </c>
      <c r="Q37" s="301">
        <f t="shared" ref="Q37" si="5">$O$34*P37</f>
        <v>16966.52</v>
      </c>
      <c r="R37" s="793"/>
      <c r="S37" s="623"/>
      <c r="T37" s="523">
        <f>T103</f>
        <v>46053</v>
      </c>
      <c r="U37" s="508">
        <f t="shared" si="2"/>
        <v>28570.632008815413</v>
      </c>
      <c r="V37" s="791"/>
      <c r="W37" s="571">
        <f t="shared" si="3"/>
        <v>46067</v>
      </c>
      <c r="X37" s="771"/>
      <c r="Y37" s="608"/>
      <c r="Z37" s="609"/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 t="e">
        <f>H104</f>
        <v>#REF!</v>
      </c>
      <c r="I38" s="768"/>
      <c r="J38" s="768"/>
      <c r="K38" s="302"/>
      <c r="L38" s="299">
        <v>4</v>
      </c>
      <c r="M38" s="426" t="s">
        <v>380</v>
      </c>
      <c r="N38" s="408" t="s">
        <v>387</v>
      </c>
      <c r="O38" s="548"/>
      <c r="P38" s="560">
        <v>0.2</v>
      </c>
      <c r="Q38" s="301">
        <f t="shared" si="4"/>
        <v>33933.040000000001</v>
      </c>
      <c r="R38" s="793"/>
      <c r="S38" s="623" t="s">
        <v>385</v>
      </c>
      <c r="T38" s="660">
        <f>T104</f>
        <v>46022</v>
      </c>
      <c r="U38" s="684">
        <v>57141.264017630827</v>
      </c>
      <c r="V38" s="791"/>
      <c r="W38" s="689">
        <f t="shared" si="3"/>
        <v>46003</v>
      </c>
      <c r="X38" s="771"/>
      <c r="Y38" s="608" t="s">
        <v>388</v>
      </c>
      <c r="Z38" s="609">
        <v>14195</v>
      </c>
    </row>
    <row r="39" spans="1:26" ht="14.25" customHeight="1">
      <c r="B39" s="321"/>
      <c r="C39" s="408"/>
      <c r="D39" s="408"/>
      <c r="E39" s="394"/>
      <c r="F39" s="453"/>
      <c r="G39" s="301"/>
      <c r="H39" s="571"/>
      <c r="I39" s="768"/>
      <c r="J39" s="768"/>
      <c r="K39" s="302"/>
      <c r="L39" s="299">
        <v>4</v>
      </c>
      <c r="M39" s="426" t="s">
        <v>380</v>
      </c>
      <c r="N39" s="408" t="s">
        <v>387</v>
      </c>
      <c r="O39" s="548"/>
      <c r="P39" s="560">
        <v>0.05</v>
      </c>
      <c r="Q39" s="301">
        <f t="shared" si="4"/>
        <v>8483.26</v>
      </c>
      <c r="R39" s="793"/>
      <c r="S39" s="623"/>
      <c r="T39" s="523">
        <f>T105</f>
        <v>46053</v>
      </c>
      <c r="U39" s="508">
        <f t="shared" si="2"/>
        <v>14285.316004407707</v>
      </c>
      <c r="V39" s="791"/>
      <c r="W39" s="571">
        <f t="shared" si="3"/>
        <v>46067</v>
      </c>
      <c r="X39" s="771"/>
      <c r="Y39" s="608"/>
      <c r="Z39" s="609"/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 t="e">
        <f t="shared" ref="H40:H43" si="6">H106</f>
        <v>#REF!</v>
      </c>
      <c r="I40" s="768"/>
      <c r="J40" s="768"/>
      <c r="K40" s="302"/>
      <c r="L40" s="299">
        <v>4</v>
      </c>
      <c r="M40" s="426" t="s">
        <v>380</v>
      </c>
      <c r="N40" s="408" t="s">
        <v>389</v>
      </c>
      <c r="O40" s="548"/>
      <c r="P40" s="560">
        <v>0.1</v>
      </c>
      <c r="Q40" s="301">
        <f t="shared" si="4"/>
        <v>16966.52</v>
      </c>
      <c r="R40" s="793"/>
      <c r="S40" s="623"/>
      <c r="T40" s="523">
        <f t="shared" ref="T40:T43" si="7">T106</f>
        <v>46081</v>
      </c>
      <c r="U40" s="508">
        <f t="shared" si="2"/>
        <v>28570.632008815413</v>
      </c>
      <c r="V40" s="791"/>
      <c r="W40" s="571">
        <f t="shared" ref="W40:W43" si="8">W106</f>
        <v>46073</v>
      </c>
      <c r="X40" s="771"/>
      <c r="Y40" s="608" t="s">
        <v>390</v>
      </c>
      <c r="Z40" s="609">
        <v>22620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 t="e">
        <f t="shared" si="6"/>
        <v>#REF!</v>
      </c>
      <c r="I41" s="768"/>
      <c r="J41" s="768"/>
      <c r="K41" s="302"/>
      <c r="L41" s="299">
        <v>4</v>
      </c>
      <c r="M41" s="426" t="s">
        <v>380</v>
      </c>
      <c r="N41" s="408" t="s">
        <v>391</v>
      </c>
      <c r="O41" s="548"/>
      <c r="P41" s="560">
        <v>0.1</v>
      </c>
      <c r="Q41" s="301">
        <f t="shared" si="4"/>
        <v>16966.52</v>
      </c>
      <c r="R41" s="793"/>
      <c r="S41" s="623"/>
      <c r="T41" s="523">
        <f t="shared" si="7"/>
        <v>46112</v>
      </c>
      <c r="U41" s="508">
        <f t="shared" si="2"/>
        <v>28570.632008815413</v>
      </c>
      <c r="V41" s="791"/>
      <c r="W41" s="571">
        <f t="shared" si="8"/>
        <v>46085</v>
      </c>
      <c r="X41" s="771"/>
      <c r="Y41" s="608" t="s">
        <v>365</v>
      </c>
      <c r="Z41" s="610">
        <v>0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 t="e">
        <f t="shared" si="6"/>
        <v>#REF!</v>
      </c>
      <c r="I42" s="768"/>
      <c r="J42" s="768"/>
      <c r="K42" s="302"/>
      <c r="L42" s="299">
        <v>4</v>
      </c>
      <c r="M42" s="426" t="s">
        <v>380</v>
      </c>
      <c r="N42" s="408" t="s">
        <v>392</v>
      </c>
      <c r="O42" s="548"/>
      <c r="P42" s="560">
        <v>0.05</v>
      </c>
      <c r="Q42" s="301">
        <f t="shared" si="4"/>
        <v>8483.26</v>
      </c>
      <c r="R42" s="793"/>
      <c r="S42" s="623"/>
      <c r="T42" s="523">
        <f t="shared" si="7"/>
        <v>46112</v>
      </c>
      <c r="U42" s="508">
        <f t="shared" si="2"/>
        <v>14285.316004407707</v>
      </c>
      <c r="V42" s="791"/>
      <c r="W42" s="571">
        <f t="shared" si="8"/>
        <v>46085</v>
      </c>
      <c r="X42" s="771"/>
      <c r="Y42" s="608" t="s">
        <v>297</v>
      </c>
      <c r="Z42" s="609">
        <f>SUM(Z29:Z41)</f>
        <v>1703010.2000000002</v>
      </c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 t="e">
        <f t="shared" si="6"/>
        <v>#REF!</v>
      </c>
      <c r="I43" s="768"/>
      <c r="J43" s="768"/>
      <c r="K43" s="302"/>
      <c r="L43" s="299">
        <v>4</v>
      </c>
      <c r="M43" s="426" t="s">
        <v>380</v>
      </c>
      <c r="N43" s="408" t="s">
        <v>393</v>
      </c>
      <c r="O43" s="548"/>
      <c r="P43" s="560">
        <v>0.05</v>
      </c>
      <c r="Q43" s="301">
        <f t="shared" si="4"/>
        <v>8483.26</v>
      </c>
      <c r="R43" s="789"/>
      <c r="S43" s="623"/>
      <c r="T43" s="523">
        <f t="shared" si="7"/>
        <v>46081</v>
      </c>
      <c r="U43" s="508">
        <f t="shared" si="2"/>
        <v>14285.316004407707</v>
      </c>
      <c r="V43" s="791"/>
      <c r="W43" s="571">
        <f t="shared" si="8"/>
        <v>46108</v>
      </c>
      <c r="X43" s="771"/>
      <c r="Y43" s="611" t="s">
        <v>370</v>
      </c>
      <c r="Z43" s="610">
        <f>Z42/'Project Plan'!$E$3/1000</f>
        <v>1.2522133823529413</v>
      </c>
    </row>
    <row r="44" spans="1:26" ht="14.25" customHeight="1">
      <c r="B44" s="321">
        <v>4</v>
      </c>
      <c r="C44" s="408"/>
      <c r="D44" s="408"/>
      <c r="E44" s="394"/>
      <c r="F44" s="453"/>
      <c r="G44" s="301"/>
      <c r="H44" s="571"/>
      <c r="I44" s="768"/>
      <c r="J44" s="768"/>
      <c r="K44" s="302"/>
      <c r="L44" s="299">
        <v>4</v>
      </c>
      <c r="M44" s="426" t="s">
        <v>380</v>
      </c>
      <c r="N44" s="408"/>
      <c r="O44" s="548"/>
      <c r="P44" s="453"/>
      <c r="Q44" s="301"/>
      <c r="R44" s="587"/>
      <c r="S44" s="623"/>
      <c r="T44" s="523" t="str">
        <f t="shared" si="0"/>
        <v/>
      </c>
      <c r="U44" s="508">
        <f t="shared" si="2"/>
        <v>0</v>
      </c>
      <c r="V44" s="791"/>
      <c r="W44" s="571"/>
      <c r="X44" s="771"/>
      <c r="Y44" s="482"/>
    </row>
    <row r="45" spans="1:26" ht="14.25" customHeight="1">
      <c r="B45" s="321">
        <v>4</v>
      </c>
      <c r="C45" s="408"/>
      <c r="D45" s="408"/>
      <c r="E45" s="394"/>
      <c r="F45" s="453"/>
      <c r="G45" s="301"/>
      <c r="H45" s="571"/>
      <c r="I45" s="768"/>
      <c r="J45" s="768"/>
      <c r="K45" s="302"/>
      <c r="L45" s="299">
        <v>4</v>
      </c>
      <c r="M45" s="426" t="s">
        <v>380</v>
      </c>
      <c r="N45" s="408"/>
      <c r="O45" s="548"/>
      <c r="P45" s="453"/>
      <c r="Q45" s="301"/>
      <c r="R45" s="587"/>
      <c r="S45" s="623"/>
      <c r="T45" s="523" t="str">
        <f t="shared" si="0"/>
        <v/>
      </c>
      <c r="U45" s="508">
        <f t="shared" si="2"/>
        <v>0</v>
      </c>
      <c r="V45" s="791"/>
      <c r="W45" s="571"/>
      <c r="X45" s="771"/>
      <c r="Y45" s="482"/>
    </row>
    <row r="46" spans="1:26" ht="15" customHeight="1" thickBot="1">
      <c r="B46" s="303">
        <v>4</v>
      </c>
      <c r="C46" s="326"/>
      <c r="D46" s="326"/>
      <c r="E46" s="397"/>
      <c r="F46" s="455"/>
      <c r="G46" s="306"/>
      <c r="H46" s="572"/>
      <c r="I46" s="769"/>
      <c r="J46" s="769"/>
      <c r="K46" s="307"/>
      <c r="L46" s="303">
        <v>4</v>
      </c>
      <c r="M46" s="427" t="s">
        <v>380</v>
      </c>
      <c r="N46" s="326"/>
      <c r="O46" s="549"/>
      <c r="P46" s="455"/>
      <c r="Q46" s="306"/>
      <c r="R46" s="588"/>
      <c r="S46" s="624"/>
      <c r="T46" s="524" t="str">
        <f t="shared" si="0"/>
        <v/>
      </c>
      <c r="U46" s="509">
        <f t="shared" si="2"/>
        <v>0</v>
      </c>
      <c r="V46" s="792"/>
      <c r="W46" s="572"/>
      <c r="X46" s="772"/>
      <c r="Y46" s="482"/>
    </row>
    <row r="47" spans="1:26" ht="13.9" thickBot="1">
      <c r="A47" s="24"/>
      <c r="B47" s="277"/>
      <c r="C47" s="278"/>
      <c r="D47" s="309"/>
      <c r="E47" s="292"/>
      <c r="F47" s="456"/>
      <c r="G47" s="293"/>
      <c r="H47" s="569"/>
      <c r="I47" s="281"/>
      <c r="J47" s="281"/>
      <c r="K47" s="24"/>
      <c r="L47" s="277"/>
      <c r="M47" s="278"/>
      <c r="N47" s="309"/>
      <c r="O47" s="546"/>
      <c r="P47" s="456"/>
      <c r="Q47" s="293"/>
      <c r="R47" s="590"/>
      <c r="S47" s="626"/>
      <c r="T47" s="521" t="str">
        <f t="shared" si="0"/>
        <v/>
      </c>
      <c r="U47" s="512"/>
      <c r="V47" s="495"/>
      <c r="W47" s="569"/>
      <c r="X47" s="351"/>
      <c r="Y47" s="482"/>
    </row>
    <row r="48" spans="1:26" ht="14.25" customHeight="1">
      <c r="B48" s="282">
        <v>5</v>
      </c>
      <c r="C48" s="310" t="s">
        <v>394</v>
      </c>
      <c r="D48" s="328" t="s">
        <v>395</v>
      </c>
      <c r="E48" s="284"/>
      <c r="F48" s="437"/>
      <c r="G48" s="285">
        <f>D183-G49</f>
        <v>34000</v>
      </c>
      <c r="H48" s="573">
        <v>45900</v>
      </c>
      <c r="I48" s="747">
        <f>SUM(G48:G58)</f>
        <v>49000</v>
      </c>
      <c r="J48" s="747">
        <f>F183</f>
        <v>52688.172043010753</v>
      </c>
      <c r="K48" s="286"/>
      <c r="L48" s="282">
        <v>5</v>
      </c>
      <c r="M48" s="422" t="s">
        <v>396</v>
      </c>
      <c r="N48" s="328" t="s">
        <v>397</v>
      </c>
      <c r="O48" s="542"/>
      <c r="P48" s="437"/>
      <c r="Q48" s="285">
        <v>8598.34</v>
      </c>
      <c r="R48" s="589"/>
      <c r="S48" s="625" t="str">
        <f>S6</f>
        <v>Menlo - INV0003320</v>
      </c>
      <c r="T48" s="659">
        <v>45961</v>
      </c>
      <c r="U48" s="668">
        <v>5015.4617253406423</v>
      </c>
      <c r="V48" s="759">
        <f>J48-SUM(U48:U58)</f>
        <v>4.039382423798088E-3</v>
      </c>
      <c r="W48" s="697">
        <f>W6</f>
        <v>46003</v>
      </c>
      <c r="X48" s="750">
        <f>SUM(Q48:Q58)</f>
        <v>91265.29</v>
      </c>
      <c r="Y48" s="482"/>
    </row>
    <row r="49" spans="1:25" ht="14.25" customHeight="1">
      <c r="B49" s="287">
        <v>5</v>
      </c>
      <c r="C49" s="311"/>
      <c r="D49" s="314" t="s">
        <v>398</v>
      </c>
      <c r="E49" s="451"/>
      <c r="F49" s="452"/>
      <c r="G49" s="316">
        <v>15000</v>
      </c>
      <c r="H49" s="566">
        <v>45900</v>
      </c>
      <c r="I49" s="748"/>
      <c r="J49" s="748"/>
      <c r="K49" s="289"/>
      <c r="L49" s="287">
        <v>5</v>
      </c>
      <c r="M49" s="428" t="s">
        <v>396</v>
      </c>
      <c r="N49" s="288" t="s">
        <v>399</v>
      </c>
      <c r="O49" s="550"/>
      <c r="P49" s="452"/>
      <c r="Q49" s="316">
        <v>27301</v>
      </c>
      <c r="R49" s="635" t="s">
        <v>400</v>
      </c>
      <c r="S49" s="618" t="s">
        <v>401</v>
      </c>
      <c r="T49" s="679">
        <v>45961</v>
      </c>
      <c r="U49" s="668">
        <v>9478.9399762657522</v>
      </c>
      <c r="V49" s="760"/>
      <c r="W49" s="693">
        <v>45989</v>
      </c>
      <c r="X49" s="751"/>
      <c r="Y49" s="482"/>
    </row>
    <row r="50" spans="1:25" ht="14.25" customHeight="1">
      <c r="B50" s="287">
        <v>5</v>
      </c>
      <c r="C50" s="311"/>
      <c r="D50" s="314"/>
      <c r="E50" s="315"/>
      <c r="F50" s="459"/>
      <c r="G50" s="316"/>
      <c r="H50" s="534">
        <v>45900</v>
      </c>
      <c r="I50" s="748"/>
      <c r="J50" s="748"/>
      <c r="K50" s="289"/>
      <c r="L50" s="287">
        <v>5</v>
      </c>
      <c r="M50" s="428" t="s">
        <v>396</v>
      </c>
      <c r="N50" s="314" t="s">
        <v>158</v>
      </c>
      <c r="O50" s="543"/>
      <c r="P50" s="459"/>
      <c r="Q50" s="316">
        <v>11169</v>
      </c>
      <c r="R50" s="582"/>
      <c r="S50" s="618" t="s">
        <v>402</v>
      </c>
      <c r="T50" s="644">
        <v>45930</v>
      </c>
      <c r="U50" s="668">
        <v>7261.7211113769454</v>
      </c>
      <c r="V50" s="760"/>
      <c r="W50" s="534">
        <v>45900</v>
      </c>
      <c r="X50" s="751"/>
      <c r="Y50" s="482"/>
    </row>
    <row r="51" spans="1:25" ht="14.25" customHeight="1">
      <c r="B51" s="287"/>
      <c r="C51" s="311"/>
      <c r="D51" s="314"/>
      <c r="E51" s="315"/>
      <c r="F51" s="459"/>
      <c r="G51" s="316"/>
      <c r="H51" s="534"/>
      <c r="I51" s="748"/>
      <c r="J51" s="748"/>
      <c r="K51" s="289"/>
      <c r="L51" s="287">
        <v>5</v>
      </c>
      <c r="M51" s="428" t="s">
        <v>396</v>
      </c>
      <c r="N51" s="314" t="s">
        <v>403</v>
      </c>
      <c r="O51" s="543"/>
      <c r="P51" s="459"/>
      <c r="Q51" s="316">
        <v>335.86</v>
      </c>
      <c r="R51" s="582"/>
      <c r="S51" s="619" t="s">
        <v>404</v>
      </c>
      <c r="T51" s="644">
        <v>45991</v>
      </c>
      <c r="U51" s="668">
        <v>0</v>
      </c>
      <c r="V51" s="760"/>
      <c r="W51" s="534">
        <v>46022</v>
      </c>
      <c r="X51" s="751"/>
      <c r="Y51" s="482"/>
    </row>
    <row r="52" spans="1:25" ht="14.25" customHeight="1">
      <c r="B52" s="312">
        <v>5</v>
      </c>
      <c r="C52" s="313"/>
      <c r="D52" s="314"/>
      <c r="E52" s="315"/>
      <c r="F52" s="459"/>
      <c r="G52" s="316"/>
      <c r="H52" s="534">
        <v>45900</v>
      </c>
      <c r="I52" s="748"/>
      <c r="J52" s="748"/>
      <c r="K52" s="289"/>
      <c r="L52" s="312">
        <v>5</v>
      </c>
      <c r="M52" s="428" t="s">
        <v>396</v>
      </c>
      <c r="N52" s="314" t="s">
        <v>405</v>
      </c>
      <c r="O52" s="543"/>
      <c r="P52" s="459"/>
      <c r="Q52" s="316">
        <v>44000</v>
      </c>
      <c r="R52" s="582" t="s">
        <v>406</v>
      </c>
      <c r="S52" s="618" t="s">
        <v>407</v>
      </c>
      <c r="T52" s="644">
        <v>45930</v>
      </c>
      <c r="U52" s="668">
        <v>28607.371197115732</v>
      </c>
      <c r="V52" s="760"/>
      <c r="W52" s="534">
        <v>45900</v>
      </c>
      <c r="X52" s="751"/>
      <c r="Y52" s="482"/>
    </row>
    <row r="53" spans="1:25" ht="14.25" customHeight="1">
      <c r="B53" s="383"/>
      <c r="C53" s="384"/>
      <c r="D53" s="387"/>
      <c r="E53" s="406"/>
      <c r="F53" s="444"/>
      <c r="G53" s="386"/>
      <c r="H53" s="535"/>
      <c r="I53" s="748"/>
      <c r="J53" s="748"/>
      <c r="K53" s="289"/>
      <c r="L53" s="312">
        <v>5</v>
      </c>
      <c r="M53" s="428" t="s">
        <v>396</v>
      </c>
      <c r="N53" s="387" t="s">
        <v>408</v>
      </c>
      <c r="O53" s="544"/>
      <c r="P53" s="444"/>
      <c r="Q53" s="386">
        <f>-1*Q52</f>
        <v>-44000</v>
      </c>
      <c r="R53" s="583"/>
      <c r="S53" s="619" t="s">
        <v>409</v>
      </c>
      <c r="T53" s="679">
        <v>45961</v>
      </c>
      <c r="U53" s="668">
        <v>0</v>
      </c>
      <c r="V53" s="760"/>
      <c r="W53" s="680">
        <f>T53</f>
        <v>45961</v>
      </c>
      <c r="X53" s="751"/>
      <c r="Y53" s="482"/>
    </row>
    <row r="54" spans="1:25" ht="14.25" customHeight="1">
      <c r="B54" s="383"/>
      <c r="C54" s="384"/>
      <c r="D54" s="387"/>
      <c r="E54" s="406"/>
      <c r="F54" s="444"/>
      <c r="G54" s="386"/>
      <c r="H54" s="535"/>
      <c r="I54" s="748"/>
      <c r="J54" s="748"/>
      <c r="K54" s="289"/>
      <c r="L54" s="312">
        <v>5</v>
      </c>
      <c r="M54" s="428" t="s">
        <v>396</v>
      </c>
      <c r="N54" s="387" t="s">
        <v>410</v>
      </c>
      <c r="O54" s="544"/>
      <c r="P54" s="444"/>
      <c r="Q54" s="386">
        <v>40000</v>
      </c>
      <c r="R54" s="583" t="s">
        <v>411</v>
      </c>
      <c r="S54" s="619" t="s">
        <v>412</v>
      </c>
      <c r="T54" s="644">
        <v>45991</v>
      </c>
      <c r="U54" s="668">
        <v>0</v>
      </c>
      <c r="V54" s="760"/>
      <c r="W54" s="680">
        <v>46021</v>
      </c>
      <c r="X54" s="751"/>
      <c r="Y54" s="482"/>
    </row>
    <row r="55" spans="1:25" ht="14.25" customHeight="1">
      <c r="B55" s="383"/>
      <c r="C55" s="384"/>
      <c r="D55" s="387"/>
      <c r="E55" s="406"/>
      <c r="F55" s="444"/>
      <c r="G55" s="386"/>
      <c r="H55" s="535"/>
      <c r="I55" s="748"/>
      <c r="J55" s="748"/>
      <c r="K55" s="289"/>
      <c r="L55" s="312">
        <v>5</v>
      </c>
      <c r="M55" s="428" t="s">
        <v>396</v>
      </c>
      <c r="N55" s="387" t="s">
        <v>413</v>
      </c>
      <c r="O55" s="544"/>
      <c r="P55" s="444"/>
      <c r="Q55" s="386">
        <v>285.58999999999997</v>
      </c>
      <c r="R55" s="583"/>
      <c r="S55" s="619" t="s">
        <v>414</v>
      </c>
      <c r="T55" s="644">
        <v>45991</v>
      </c>
      <c r="U55" s="668">
        <v>0</v>
      </c>
      <c r="V55" s="760"/>
      <c r="W55" s="680">
        <v>46021</v>
      </c>
      <c r="X55" s="751"/>
      <c r="Y55" s="482"/>
    </row>
    <row r="56" spans="1:25" ht="14.25" customHeight="1">
      <c r="B56" s="383">
        <v>5</v>
      </c>
      <c r="C56" s="384"/>
      <c r="D56" s="387"/>
      <c r="E56" s="406"/>
      <c r="F56" s="444"/>
      <c r="G56" s="386"/>
      <c r="H56" s="535">
        <v>45876</v>
      </c>
      <c r="I56" s="748"/>
      <c r="J56" s="748"/>
      <c r="K56" s="289"/>
      <c r="L56" s="312">
        <v>5</v>
      </c>
      <c r="M56" s="428" t="s">
        <v>396</v>
      </c>
      <c r="N56" s="387" t="s">
        <v>415</v>
      </c>
      <c r="O56" s="544"/>
      <c r="P56" s="444"/>
      <c r="Q56" s="386">
        <v>3575.5</v>
      </c>
      <c r="R56" s="583" t="s">
        <v>416</v>
      </c>
      <c r="S56" s="619" t="s">
        <v>417</v>
      </c>
      <c r="T56" s="644">
        <v>45930</v>
      </c>
      <c r="U56" s="668">
        <v>2324.6739935292567</v>
      </c>
      <c r="V56" s="760"/>
      <c r="W56" s="535">
        <v>45876</v>
      </c>
      <c r="X56" s="751"/>
      <c r="Y56" s="482"/>
    </row>
    <row r="57" spans="1:25" ht="14.25" customHeight="1">
      <c r="B57" s="383">
        <v>5</v>
      </c>
      <c r="C57" s="384"/>
      <c r="D57" s="387"/>
      <c r="E57" s="406"/>
      <c r="F57" s="444"/>
      <c r="G57" s="386"/>
      <c r="H57" s="567"/>
      <c r="I57" s="748"/>
      <c r="J57" s="748"/>
      <c r="K57" s="289"/>
      <c r="L57" s="312">
        <v>5</v>
      </c>
      <c r="M57" s="428" t="s">
        <v>396</v>
      </c>
      <c r="N57" s="387"/>
      <c r="O57" s="544"/>
      <c r="P57" s="444"/>
      <c r="Q57" s="386"/>
      <c r="R57" s="583"/>
      <c r="S57" s="619"/>
      <c r="T57" s="519" t="str">
        <f t="shared" si="0"/>
        <v/>
      </c>
      <c r="U57" s="504">
        <f t="shared" ref="U57:U58" si="9">(Q57/$X$48*$J$48)</f>
        <v>0</v>
      </c>
      <c r="V57" s="760"/>
      <c r="W57" s="567"/>
      <c r="X57" s="751"/>
      <c r="Y57" s="482"/>
    </row>
    <row r="58" spans="1:25" ht="15" customHeight="1" thickBot="1">
      <c r="B58" s="317">
        <v>5</v>
      </c>
      <c r="C58" s="338"/>
      <c r="D58" s="318"/>
      <c r="E58" s="319"/>
      <c r="F58" s="460"/>
      <c r="G58" s="331"/>
      <c r="H58" s="568"/>
      <c r="I58" s="749"/>
      <c r="J58" s="749"/>
      <c r="K58" s="290"/>
      <c r="L58" s="317">
        <v>5</v>
      </c>
      <c r="M58" s="424" t="s">
        <v>396</v>
      </c>
      <c r="N58" s="318"/>
      <c r="O58" s="545"/>
      <c r="P58" s="460"/>
      <c r="Q58" s="331"/>
      <c r="R58" s="584"/>
      <c r="S58" s="620"/>
      <c r="T58" s="520" t="str">
        <f t="shared" si="0"/>
        <v/>
      </c>
      <c r="U58" s="505">
        <f t="shared" si="9"/>
        <v>0</v>
      </c>
      <c r="V58" s="761"/>
      <c r="W58" s="568"/>
      <c r="X58" s="752"/>
      <c r="Y58" s="482"/>
    </row>
    <row r="59" spans="1:25" ht="14.25" thickBot="1">
      <c r="A59" s="24"/>
      <c r="B59" s="291"/>
      <c r="C59" s="308"/>
      <c r="D59" s="279"/>
      <c r="E59" s="292"/>
      <c r="F59" s="456"/>
      <c r="G59" s="293"/>
      <c r="H59" s="569"/>
      <c r="I59" s="327"/>
      <c r="J59" s="327"/>
      <c r="K59" s="24"/>
      <c r="L59" s="291"/>
      <c r="M59" s="308"/>
      <c r="N59" s="279"/>
      <c r="O59" s="546"/>
      <c r="P59" s="456"/>
      <c r="Q59" s="293"/>
      <c r="R59" s="585"/>
      <c r="S59" s="621"/>
      <c r="T59" s="521" t="str">
        <f t="shared" si="0"/>
        <v/>
      </c>
      <c r="U59" s="510"/>
      <c r="V59" s="492"/>
      <c r="W59" s="569"/>
      <c r="X59" s="483"/>
      <c r="Y59" s="482"/>
    </row>
    <row r="60" spans="1:25" ht="14.25" customHeight="1">
      <c r="B60" s="294">
        <v>6</v>
      </c>
      <c r="C60" s="295" t="s">
        <v>348</v>
      </c>
      <c r="D60" s="296" t="s">
        <v>418</v>
      </c>
      <c r="E60" s="475"/>
      <c r="F60" s="457"/>
      <c r="G60" s="297">
        <f>D182</f>
        <v>1511034.3</v>
      </c>
      <c r="H60" s="570">
        <v>45900</v>
      </c>
      <c r="I60" s="767">
        <f>SUM(G60:G78)</f>
        <v>1511034.3</v>
      </c>
      <c r="J60" s="767">
        <f>F182</f>
        <v>1624768.0645161292</v>
      </c>
      <c r="K60" s="298"/>
      <c r="L60" s="294">
        <v>6</v>
      </c>
      <c r="M60" s="431" t="s">
        <v>419</v>
      </c>
      <c r="N60" s="296"/>
      <c r="O60" s="538"/>
      <c r="P60" s="457"/>
      <c r="Q60" s="297"/>
      <c r="R60" s="586"/>
      <c r="S60" s="622"/>
      <c r="T60" s="522" t="str">
        <f t="shared" si="0"/>
        <v/>
      </c>
      <c r="U60" s="507">
        <f t="shared" ref="U60:U78" si="10">(Q60/$X$60*$J$60)</f>
        <v>0</v>
      </c>
      <c r="V60" s="790">
        <f>J60-SUM(U60:U78)</f>
        <v>5.3090509027242661E-5</v>
      </c>
      <c r="W60" s="570"/>
      <c r="X60" s="770">
        <f>SUM(Q60:Q78)</f>
        <v>586437.81999999983</v>
      </c>
      <c r="Y60" s="482"/>
    </row>
    <row r="61" spans="1:25" ht="14.25" customHeight="1">
      <c r="B61" s="299">
        <v>6</v>
      </c>
      <c r="C61" s="408"/>
      <c r="D61" s="443"/>
      <c r="E61" s="394"/>
      <c r="F61" s="453"/>
      <c r="G61" s="322"/>
      <c r="H61" s="571">
        <f>E61+30</f>
        <v>30</v>
      </c>
      <c r="I61" s="768"/>
      <c r="J61" s="768"/>
      <c r="K61" s="302"/>
      <c r="L61" s="299">
        <v>6</v>
      </c>
      <c r="M61" s="429" t="s">
        <v>419</v>
      </c>
      <c r="N61" s="443" t="s">
        <v>150</v>
      </c>
      <c r="O61" s="548"/>
      <c r="P61" s="453"/>
      <c r="Q61" s="322">
        <v>354929.22</v>
      </c>
      <c r="R61" s="587" t="s">
        <v>420</v>
      </c>
      <c r="S61" s="623" t="s">
        <v>421</v>
      </c>
      <c r="T61" s="674">
        <v>45991</v>
      </c>
      <c r="U61" s="684">
        <v>983356.53922919161</v>
      </c>
      <c r="V61" s="791"/>
      <c r="W61" s="676">
        <f>T61+30</f>
        <v>46021</v>
      </c>
      <c r="X61" s="771"/>
      <c r="Y61" s="482"/>
    </row>
    <row r="62" spans="1:25" ht="14.25" customHeight="1">
      <c r="B62" s="299">
        <v>6</v>
      </c>
      <c r="C62" s="408"/>
      <c r="D62" s="443"/>
      <c r="E62" s="394"/>
      <c r="F62" s="453"/>
      <c r="G62" s="322"/>
      <c r="H62" s="571"/>
      <c r="I62" s="768"/>
      <c r="J62" s="768"/>
      <c r="K62" s="302"/>
      <c r="L62" s="299">
        <v>6</v>
      </c>
      <c r="M62" s="429" t="s">
        <v>419</v>
      </c>
      <c r="N62" s="443"/>
      <c r="O62" s="548"/>
      <c r="P62" s="453"/>
      <c r="Q62" s="322"/>
      <c r="R62" s="587"/>
      <c r="S62" s="623"/>
      <c r="T62" s="523" t="str">
        <f t="shared" si="0"/>
        <v/>
      </c>
      <c r="U62" s="508">
        <f t="shared" si="10"/>
        <v>0</v>
      </c>
      <c r="V62" s="791"/>
      <c r="W62" s="571"/>
      <c r="X62" s="771"/>
      <c r="Y62" s="482"/>
    </row>
    <row r="63" spans="1:25" ht="14.25" customHeight="1">
      <c r="B63" s="299">
        <v>6</v>
      </c>
      <c r="C63" s="408"/>
      <c r="D63" s="443"/>
      <c r="E63" s="394"/>
      <c r="F63" s="453"/>
      <c r="G63" s="322"/>
      <c r="H63" s="571"/>
      <c r="I63" s="768"/>
      <c r="J63" s="768"/>
      <c r="K63" s="302"/>
      <c r="L63" s="299">
        <v>6</v>
      </c>
      <c r="M63" s="429" t="s">
        <v>419</v>
      </c>
      <c r="N63" s="443"/>
      <c r="O63" s="548"/>
      <c r="P63" s="453"/>
      <c r="Q63" s="322"/>
      <c r="R63" s="587"/>
      <c r="S63" s="623"/>
      <c r="T63" s="523" t="str">
        <f t="shared" si="0"/>
        <v/>
      </c>
      <c r="U63" s="508">
        <f t="shared" si="10"/>
        <v>0</v>
      </c>
      <c r="V63" s="791"/>
      <c r="W63" s="571"/>
      <c r="X63" s="771"/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/>
      <c r="I64" s="768"/>
      <c r="J64" s="768"/>
      <c r="K64" s="302"/>
      <c r="L64" s="299">
        <v>6</v>
      </c>
      <c r="M64" s="429" t="s">
        <v>419</v>
      </c>
      <c r="N64" s="443"/>
      <c r="O64" s="548"/>
      <c r="P64" s="453"/>
      <c r="Q64" s="322"/>
      <c r="R64" s="587"/>
      <c r="S64" s="623"/>
      <c r="T64" s="523" t="str">
        <f t="shared" si="0"/>
        <v/>
      </c>
      <c r="U64" s="508">
        <f t="shared" si="10"/>
        <v>0</v>
      </c>
      <c r="V64" s="791"/>
      <c r="W64" s="571"/>
      <c r="X64" s="771"/>
      <c r="Y64" s="482"/>
    </row>
    <row r="65" spans="1:25" ht="14.25" customHeight="1">
      <c r="B65" s="299">
        <v>6</v>
      </c>
      <c r="C65" s="408"/>
      <c r="D65" s="443"/>
      <c r="E65" s="394"/>
      <c r="F65" s="453"/>
      <c r="G65" s="322"/>
      <c r="H65" s="571"/>
      <c r="I65" s="768"/>
      <c r="J65" s="768"/>
      <c r="K65" s="302"/>
      <c r="L65" s="299">
        <v>6</v>
      </c>
      <c r="M65" s="429" t="s">
        <v>419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0"/>
        <v>0</v>
      </c>
      <c r="V65" s="791"/>
      <c r="W65" s="571"/>
      <c r="X65" s="771"/>
      <c r="Y65" s="482"/>
    </row>
    <row r="66" spans="1:25" ht="14.25" customHeight="1">
      <c r="B66" s="299">
        <v>6</v>
      </c>
      <c r="C66" s="450"/>
      <c r="D66" s="300"/>
      <c r="E66" s="399"/>
      <c r="F66" s="454"/>
      <c r="G66" s="322"/>
      <c r="H66" s="571">
        <f>H100</f>
        <v>45900</v>
      </c>
      <c r="I66" s="768"/>
      <c r="J66" s="768"/>
      <c r="K66" s="302"/>
      <c r="L66" s="299">
        <v>6</v>
      </c>
      <c r="M66" s="429" t="s">
        <v>419</v>
      </c>
      <c r="N66" s="408" t="s">
        <v>383</v>
      </c>
      <c r="O66" s="559">
        <f>Z29</f>
        <v>231508.8</v>
      </c>
      <c r="P66" s="560">
        <v>0.1</v>
      </c>
      <c r="Q66" s="301">
        <f>$O$66*P66</f>
        <v>23150.880000000001</v>
      </c>
      <c r="R66" s="788"/>
      <c r="S66" s="623" t="str">
        <f>S100</f>
        <v>JA Electrical - Inv 1104</v>
      </c>
      <c r="T66" s="674">
        <f>T100</f>
        <v>45961</v>
      </c>
      <c r="U66" s="684">
        <v>64141.152528693783</v>
      </c>
      <c r="V66" s="791"/>
      <c r="W66" s="689">
        <f t="shared" ref="W66:W71" si="11">W100</f>
        <v>45967</v>
      </c>
      <c r="X66" s="771"/>
      <c r="Y66" s="482"/>
    </row>
    <row r="67" spans="1:25" ht="14.25" customHeight="1">
      <c r="B67" s="299">
        <v>6</v>
      </c>
      <c r="C67" s="400"/>
      <c r="D67" s="300"/>
      <c r="E67" s="399"/>
      <c r="F67" s="454"/>
      <c r="G67" s="322"/>
      <c r="H67" s="571" t="e">
        <f>H101</f>
        <v>#REF!</v>
      </c>
      <c r="I67" s="768"/>
      <c r="J67" s="768"/>
      <c r="K67" s="302"/>
      <c r="L67" s="299">
        <v>6</v>
      </c>
      <c r="M67" s="430" t="s">
        <v>419</v>
      </c>
      <c r="N67" s="408" t="s">
        <v>197</v>
      </c>
      <c r="O67" s="548"/>
      <c r="P67" s="560">
        <v>0.15</v>
      </c>
      <c r="Q67" s="301">
        <f t="shared" ref="Q67:Q75" si="12">$O$66*P67</f>
        <v>34726.32</v>
      </c>
      <c r="R67" s="793"/>
      <c r="S67" s="623" t="str">
        <f>S101</f>
        <v>JA Electrical - Inv 1105</v>
      </c>
      <c r="T67" s="674">
        <f>T101</f>
        <v>45961</v>
      </c>
      <c r="U67" s="684">
        <v>96211.72879304066</v>
      </c>
      <c r="V67" s="791"/>
      <c r="W67" s="689">
        <f t="shared" si="11"/>
        <v>45967</v>
      </c>
      <c r="X67" s="771"/>
      <c r="Y67" s="482"/>
    </row>
    <row r="68" spans="1:25" ht="14.25" customHeight="1">
      <c r="B68" s="299">
        <v>6</v>
      </c>
      <c r="C68" s="400"/>
      <c r="D68" s="300"/>
      <c r="E68" s="399"/>
      <c r="F68" s="454"/>
      <c r="G68" s="322"/>
      <c r="H68" s="571" t="e">
        <f>H102</f>
        <v>#REF!</v>
      </c>
      <c r="I68" s="768"/>
      <c r="J68" s="768"/>
      <c r="K68" s="302"/>
      <c r="L68" s="299">
        <v>6</v>
      </c>
      <c r="M68" s="430" t="s">
        <v>419</v>
      </c>
      <c r="N68" s="408" t="s">
        <v>384</v>
      </c>
      <c r="O68" s="548"/>
      <c r="P68" s="560">
        <v>0.1</v>
      </c>
      <c r="Q68" s="301">
        <v>23150.78</v>
      </c>
      <c r="R68" s="793"/>
      <c r="S68" s="623" t="s">
        <v>385</v>
      </c>
      <c r="T68" s="660">
        <f>T102</f>
        <v>46022</v>
      </c>
      <c r="U68" s="684">
        <v>64141.287346352467</v>
      </c>
      <c r="V68" s="791"/>
      <c r="W68" s="689">
        <f t="shared" si="11"/>
        <v>46003</v>
      </c>
      <c r="X68" s="771"/>
      <c r="Y68" s="482"/>
    </row>
    <row r="69" spans="1:25" ht="14.25" customHeight="1">
      <c r="B69" s="299"/>
      <c r="C69" s="400"/>
      <c r="D69" s="300"/>
      <c r="E69" s="399"/>
      <c r="F69" s="454"/>
      <c r="G69" s="322"/>
      <c r="H69" s="571"/>
      <c r="I69" s="768"/>
      <c r="J69" s="768"/>
      <c r="K69" s="302"/>
      <c r="L69" s="299" t="s">
        <v>422</v>
      </c>
      <c r="M69" s="430" t="s">
        <v>419</v>
      </c>
      <c r="N69" s="408" t="s">
        <v>384</v>
      </c>
      <c r="O69" s="548"/>
      <c r="P69" s="560">
        <v>0.1</v>
      </c>
      <c r="Q69" s="301">
        <f t="shared" si="12"/>
        <v>23150.880000000001</v>
      </c>
      <c r="R69" s="793"/>
      <c r="S69" s="623"/>
      <c r="T69" s="523">
        <f>T103</f>
        <v>46053</v>
      </c>
      <c r="U69" s="508">
        <f t="shared" si="10"/>
        <v>64141.174403528712</v>
      </c>
      <c r="V69" s="791"/>
      <c r="W69" s="571">
        <f t="shared" si="11"/>
        <v>46067</v>
      </c>
      <c r="X69" s="771"/>
      <c r="Y69" s="482"/>
    </row>
    <row r="70" spans="1:25" ht="14.25" customHeight="1">
      <c r="B70" s="299">
        <v>6</v>
      </c>
      <c r="C70" s="400"/>
      <c r="D70" s="300"/>
      <c r="E70" s="399"/>
      <c r="F70" s="454"/>
      <c r="G70" s="322"/>
      <c r="H70" s="571" t="e">
        <f>H104</f>
        <v>#REF!</v>
      </c>
      <c r="I70" s="768"/>
      <c r="J70" s="768"/>
      <c r="K70" s="302"/>
      <c r="L70" s="299">
        <v>6</v>
      </c>
      <c r="M70" s="430" t="s">
        <v>419</v>
      </c>
      <c r="N70" s="408" t="s">
        <v>387</v>
      </c>
      <c r="O70" s="548"/>
      <c r="P70" s="560">
        <v>0.2</v>
      </c>
      <c r="Q70" s="301">
        <v>46301.66</v>
      </c>
      <c r="R70" s="793"/>
      <c r="S70" s="623" t="s">
        <v>385</v>
      </c>
      <c r="T70" s="660">
        <f>T104</f>
        <v>46022</v>
      </c>
      <c r="U70" s="684">
        <v>128282.07174988119</v>
      </c>
      <c r="V70" s="791"/>
      <c r="W70" s="689">
        <f t="shared" si="11"/>
        <v>46003</v>
      </c>
      <c r="X70" s="771"/>
      <c r="Y70" s="482"/>
    </row>
    <row r="71" spans="1:25" ht="14.25" customHeight="1">
      <c r="B71" s="299"/>
      <c r="C71" s="400"/>
      <c r="D71" s="300"/>
      <c r="E71" s="399"/>
      <c r="F71" s="454"/>
      <c r="G71" s="322"/>
      <c r="H71" s="571"/>
      <c r="I71" s="768"/>
      <c r="J71" s="768"/>
      <c r="K71" s="302"/>
      <c r="L71" s="299">
        <v>6</v>
      </c>
      <c r="M71" s="430" t="s">
        <v>419</v>
      </c>
      <c r="N71" s="408" t="s">
        <v>387</v>
      </c>
      <c r="O71" s="548"/>
      <c r="P71" s="560">
        <v>0.05</v>
      </c>
      <c r="Q71" s="301">
        <f>$O$66*P71</f>
        <v>11575.44</v>
      </c>
      <c r="R71" s="793"/>
      <c r="S71" s="623"/>
      <c r="T71" s="523">
        <f>T105</f>
        <v>46053</v>
      </c>
      <c r="U71" s="508">
        <f t="shared" si="10"/>
        <v>32070.587201764356</v>
      </c>
      <c r="V71" s="791"/>
      <c r="W71" s="571">
        <f t="shared" si="11"/>
        <v>46067</v>
      </c>
      <c r="X71" s="771"/>
      <c r="Y71" s="482"/>
    </row>
    <row r="72" spans="1:25" ht="14.25" customHeight="1">
      <c r="B72" s="299">
        <v>6</v>
      </c>
      <c r="C72" s="400"/>
      <c r="D72" s="300"/>
      <c r="E72" s="399"/>
      <c r="F72" s="454"/>
      <c r="G72" s="322"/>
      <c r="H72" s="571" t="e">
        <f t="shared" ref="H72:H75" si="13">H106</f>
        <v>#REF!</v>
      </c>
      <c r="I72" s="768"/>
      <c r="J72" s="768"/>
      <c r="K72" s="302"/>
      <c r="L72" s="299">
        <v>6</v>
      </c>
      <c r="M72" s="430" t="s">
        <v>419</v>
      </c>
      <c r="N72" s="408" t="s">
        <v>389</v>
      </c>
      <c r="O72" s="548"/>
      <c r="P72" s="560">
        <v>0.1</v>
      </c>
      <c r="Q72" s="301">
        <f t="shared" si="12"/>
        <v>23150.880000000001</v>
      </c>
      <c r="R72" s="793"/>
      <c r="S72" s="623"/>
      <c r="T72" s="523">
        <f t="shared" ref="T72:T75" si="14">T106</f>
        <v>46081</v>
      </c>
      <c r="U72" s="508">
        <f t="shared" si="10"/>
        <v>64141.174403528712</v>
      </c>
      <c r="V72" s="791"/>
      <c r="W72" s="571">
        <f t="shared" ref="W72:W75" si="15">W106</f>
        <v>46073</v>
      </c>
      <c r="X72" s="771"/>
      <c r="Y72" s="482"/>
    </row>
    <row r="73" spans="1:25" ht="14.25" customHeight="1">
      <c r="B73" s="299">
        <v>6</v>
      </c>
      <c r="C73" s="499"/>
      <c r="D73" s="336"/>
      <c r="E73" s="415"/>
      <c r="F73" s="461"/>
      <c r="G73" s="322"/>
      <c r="H73" s="571" t="e">
        <f t="shared" si="13"/>
        <v>#REF!</v>
      </c>
      <c r="I73" s="768"/>
      <c r="J73" s="768"/>
      <c r="K73" s="302"/>
      <c r="L73" s="299">
        <v>6</v>
      </c>
      <c r="M73" s="430" t="s">
        <v>419</v>
      </c>
      <c r="N73" s="408" t="s">
        <v>391</v>
      </c>
      <c r="O73" s="548"/>
      <c r="P73" s="560">
        <v>0.1</v>
      </c>
      <c r="Q73" s="301">
        <f t="shared" si="12"/>
        <v>23150.880000000001</v>
      </c>
      <c r="R73" s="793"/>
      <c r="S73" s="627"/>
      <c r="T73" s="523">
        <f t="shared" si="14"/>
        <v>46112</v>
      </c>
      <c r="U73" s="513">
        <f t="shared" si="10"/>
        <v>64141.174403528712</v>
      </c>
      <c r="V73" s="791"/>
      <c r="W73" s="571">
        <f t="shared" si="15"/>
        <v>46085</v>
      </c>
      <c r="X73" s="771"/>
      <c r="Y73" s="482"/>
    </row>
    <row r="74" spans="1:25" ht="14.25" customHeight="1">
      <c r="B74" s="299">
        <v>6</v>
      </c>
      <c r="C74" s="499"/>
      <c r="D74" s="336"/>
      <c r="E74" s="415"/>
      <c r="F74" s="461"/>
      <c r="G74" s="322"/>
      <c r="H74" s="571" t="e">
        <f t="shared" si="13"/>
        <v>#REF!</v>
      </c>
      <c r="I74" s="768"/>
      <c r="J74" s="768"/>
      <c r="K74" s="302"/>
      <c r="L74" s="299">
        <v>6</v>
      </c>
      <c r="M74" s="430" t="s">
        <v>419</v>
      </c>
      <c r="N74" s="408" t="s">
        <v>392</v>
      </c>
      <c r="O74" s="548"/>
      <c r="P74" s="560">
        <v>0.05</v>
      </c>
      <c r="Q74" s="301">
        <f t="shared" si="12"/>
        <v>11575.44</v>
      </c>
      <c r="R74" s="793"/>
      <c r="S74" s="627"/>
      <c r="T74" s="523">
        <f t="shared" si="14"/>
        <v>46112</v>
      </c>
      <c r="U74" s="513">
        <f t="shared" si="10"/>
        <v>32070.587201764356</v>
      </c>
      <c r="V74" s="791"/>
      <c r="W74" s="571">
        <f t="shared" si="15"/>
        <v>46085</v>
      </c>
      <c r="X74" s="771"/>
      <c r="Y74" s="482"/>
    </row>
    <row r="75" spans="1:25" ht="14.25" customHeight="1">
      <c r="B75" s="299">
        <v>6</v>
      </c>
      <c r="C75" s="499"/>
      <c r="D75" s="336"/>
      <c r="E75" s="415"/>
      <c r="F75" s="461"/>
      <c r="G75" s="322"/>
      <c r="H75" s="571" t="e">
        <f t="shared" si="13"/>
        <v>#REF!</v>
      </c>
      <c r="I75" s="768"/>
      <c r="J75" s="768"/>
      <c r="K75" s="302"/>
      <c r="L75" s="299">
        <v>6</v>
      </c>
      <c r="M75" s="430" t="s">
        <v>419</v>
      </c>
      <c r="N75" s="408" t="s">
        <v>393</v>
      </c>
      <c r="O75" s="548"/>
      <c r="P75" s="560">
        <v>0.05</v>
      </c>
      <c r="Q75" s="301">
        <f t="shared" si="12"/>
        <v>11575.44</v>
      </c>
      <c r="R75" s="789"/>
      <c r="S75" s="627"/>
      <c r="T75" s="523">
        <f t="shared" si="14"/>
        <v>46081</v>
      </c>
      <c r="U75" s="513">
        <f t="shared" si="10"/>
        <v>32070.587201764356</v>
      </c>
      <c r="V75" s="791"/>
      <c r="W75" s="571">
        <f t="shared" si="15"/>
        <v>46108</v>
      </c>
      <c r="X75" s="771"/>
      <c r="Y75" s="482"/>
    </row>
    <row r="76" spans="1:25" ht="14.25" customHeight="1">
      <c r="B76" s="299">
        <v>6</v>
      </c>
      <c r="C76" s="499"/>
      <c r="D76" s="336"/>
      <c r="E76" s="415"/>
      <c r="F76" s="461"/>
      <c r="G76" s="322"/>
      <c r="H76" s="574"/>
      <c r="I76" s="768"/>
      <c r="J76" s="768"/>
      <c r="K76" s="302"/>
      <c r="L76" s="299">
        <v>6</v>
      </c>
      <c r="M76" s="430" t="s">
        <v>419</v>
      </c>
      <c r="N76" s="408"/>
      <c r="O76" s="548"/>
      <c r="P76" s="560"/>
      <c r="Q76" s="301"/>
      <c r="R76" s="591"/>
      <c r="S76" s="627"/>
      <c r="T76" s="526" t="str">
        <f t="shared" si="0"/>
        <v/>
      </c>
      <c r="U76" s="513">
        <f t="shared" si="10"/>
        <v>0</v>
      </c>
      <c r="V76" s="791"/>
      <c r="W76" s="574"/>
      <c r="X76" s="771"/>
      <c r="Y76" s="482"/>
    </row>
    <row r="77" spans="1:25" ht="14.25" customHeight="1">
      <c r="B77" s="299">
        <v>6</v>
      </c>
      <c r="C77" s="499"/>
      <c r="D77" s="336"/>
      <c r="E77" s="415"/>
      <c r="F77" s="461"/>
      <c r="G77" s="322"/>
      <c r="H77" s="574"/>
      <c r="I77" s="768"/>
      <c r="J77" s="768"/>
      <c r="K77" s="302"/>
      <c r="L77" s="299">
        <v>6</v>
      </c>
      <c r="M77" s="430" t="s">
        <v>419</v>
      </c>
      <c r="N77" s="408"/>
      <c r="O77" s="548"/>
      <c r="P77" s="560"/>
      <c r="Q77" s="301"/>
      <c r="R77" s="591"/>
      <c r="S77" s="627"/>
      <c r="T77" s="526" t="str">
        <f t="shared" si="0"/>
        <v/>
      </c>
      <c r="U77" s="513">
        <f t="shared" si="10"/>
        <v>0</v>
      </c>
      <c r="V77" s="791"/>
      <c r="W77" s="574"/>
      <c r="X77" s="771"/>
      <c r="Y77" s="482"/>
    </row>
    <row r="78" spans="1:25" ht="15" customHeight="1" thickBot="1">
      <c r="B78" s="303">
        <v>6</v>
      </c>
      <c r="C78" s="401"/>
      <c r="D78" s="305"/>
      <c r="E78" s="458"/>
      <c r="F78" s="455"/>
      <c r="G78" s="306"/>
      <c r="H78" s="572"/>
      <c r="I78" s="769"/>
      <c r="J78" s="769"/>
      <c r="K78" s="307"/>
      <c r="L78" s="303">
        <v>6</v>
      </c>
      <c r="M78" s="432" t="s">
        <v>419</v>
      </c>
      <c r="N78" s="305"/>
      <c r="O78" s="552"/>
      <c r="P78" s="455"/>
      <c r="Q78" s="306"/>
      <c r="R78" s="588"/>
      <c r="S78" s="624"/>
      <c r="T78" s="524" t="str">
        <f t="shared" si="0"/>
        <v/>
      </c>
      <c r="U78" s="509">
        <f t="shared" si="10"/>
        <v>0</v>
      </c>
      <c r="V78" s="792"/>
      <c r="W78" s="572"/>
      <c r="X78" s="772"/>
      <c r="Y78" s="482"/>
    </row>
    <row r="79" spans="1:25" ht="13.9" thickBot="1">
      <c r="A79" s="24"/>
      <c r="B79" s="291"/>
      <c r="C79" s="332"/>
      <c r="D79" s="309"/>
      <c r="E79" s="292"/>
      <c r="F79" s="456"/>
      <c r="G79" s="293"/>
      <c r="H79" s="575"/>
      <c r="I79" s="281"/>
      <c r="J79" s="281"/>
      <c r="K79" s="24"/>
      <c r="L79" s="291"/>
      <c r="M79" s="332"/>
      <c r="N79" s="309"/>
      <c r="O79" s="546"/>
      <c r="P79" s="456"/>
      <c r="Q79" s="293"/>
      <c r="R79" s="592"/>
      <c r="S79" s="628"/>
      <c r="T79" s="527" t="str">
        <f t="shared" si="0"/>
        <v/>
      </c>
      <c r="U79" s="514"/>
      <c r="V79" s="488"/>
      <c r="W79" s="575"/>
      <c r="X79" s="351"/>
      <c r="Y79" s="482"/>
    </row>
    <row r="80" spans="1:25" ht="14.25" customHeight="1">
      <c r="B80" s="380">
        <v>7</v>
      </c>
      <c r="C80" s="310" t="s">
        <v>423</v>
      </c>
      <c r="D80" s="381"/>
      <c r="E80" s="462"/>
      <c r="F80" s="468"/>
      <c r="G80" s="382"/>
      <c r="H80" s="576"/>
      <c r="I80" s="747">
        <f>SUM(G80:G87)</f>
        <v>0</v>
      </c>
      <c r="J80" s="747">
        <f>F187</f>
        <v>0</v>
      </c>
      <c r="K80" s="286"/>
      <c r="L80" s="380">
        <v>7</v>
      </c>
      <c r="M80" s="310" t="s">
        <v>424</v>
      </c>
      <c r="N80" s="381"/>
      <c r="O80" s="553"/>
      <c r="P80" s="468"/>
      <c r="Q80" s="382"/>
      <c r="R80" s="794"/>
      <c r="S80" s="629"/>
      <c r="T80" s="528"/>
      <c r="U80" s="643"/>
      <c r="V80" s="796">
        <f>J80-SUM(U80:U87)</f>
        <v>0</v>
      </c>
      <c r="W80" s="576"/>
      <c r="X80" s="750">
        <f>SUM(Q80:Q87)</f>
        <v>0</v>
      </c>
      <c r="Y80" s="482"/>
    </row>
    <row r="81" spans="1:25" ht="14.25" customHeight="1">
      <c r="B81" s="383">
        <v>7</v>
      </c>
      <c r="C81" s="384"/>
      <c r="D81" s="385"/>
      <c r="E81" s="406"/>
      <c r="F81" s="444"/>
      <c r="G81" s="386"/>
      <c r="H81" s="567"/>
      <c r="I81" s="748"/>
      <c r="J81" s="748"/>
      <c r="K81" s="289"/>
      <c r="L81" s="383">
        <v>7</v>
      </c>
      <c r="M81" s="384" t="s">
        <v>424</v>
      </c>
      <c r="N81" s="385"/>
      <c r="O81" s="544"/>
      <c r="P81" s="444"/>
      <c r="Q81" s="386"/>
      <c r="R81" s="795"/>
      <c r="S81" s="619"/>
      <c r="T81" s="519"/>
      <c r="U81" s="504"/>
      <c r="V81" s="797"/>
      <c r="W81" s="567"/>
      <c r="X81" s="751"/>
      <c r="Y81" s="482"/>
    </row>
    <row r="82" spans="1:25" ht="14.25" customHeight="1">
      <c r="B82" s="383">
        <v>7</v>
      </c>
      <c r="C82" s="384"/>
      <c r="D82" s="385"/>
      <c r="E82" s="406"/>
      <c r="F82" s="444"/>
      <c r="G82" s="386"/>
      <c r="H82" s="567"/>
      <c r="I82" s="748"/>
      <c r="J82" s="748"/>
      <c r="K82" s="289"/>
      <c r="L82" s="383">
        <v>7</v>
      </c>
      <c r="M82" s="384" t="s">
        <v>424</v>
      </c>
      <c r="N82" s="385"/>
      <c r="O82" s="544"/>
      <c r="P82" s="444"/>
      <c r="Q82" s="386"/>
      <c r="R82" s="583"/>
      <c r="S82" s="619"/>
      <c r="T82" s="519"/>
      <c r="U82" s="504"/>
      <c r="V82" s="797"/>
      <c r="W82" s="567"/>
      <c r="X82" s="751"/>
      <c r="Y82" s="482"/>
    </row>
    <row r="83" spans="1:25" ht="14.25" customHeight="1">
      <c r="B83" s="383">
        <v>7</v>
      </c>
      <c r="C83" s="384"/>
      <c r="D83" s="385"/>
      <c r="E83" s="406"/>
      <c r="F83" s="444"/>
      <c r="G83" s="386"/>
      <c r="H83" s="567"/>
      <c r="I83" s="748"/>
      <c r="J83" s="748"/>
      <c r="K83" s="289"/>
      <c r="L83" s="383">
        <v>7</v>
      </c>
      <c r="M83" s="384" t="s">
        <v>424</v>
      </c>
      <c r="N83" s="385"/>
      <c r="O83" s="406"/>
      <c r="P83" s="444"/>
      <c r="Q83" s="386"/>
      <c r="R83" s="583"/>
      <c r="S83" s="619"/>
      <c r="T83" s="519"/>
      <c r="U83" s="504"/>
      <c r="V83" s="797"/>
      <c r="W83" s="567"/>
      <c r="X83" s="751"/>
      <c r="Y83" s="482"/>
    </row>
    <row r="84" spans="1:25" ht="14.25" customHeight="1">
      <c r="B84" s="383">
        <v>7</v>
      </c>
      <c r="C84" s="384"/>
      <c r="D84" s="385"/>
      <c r="E84" s="406"/>
      <c r="F84" s="444"/>
      <c r="G84" s="386"/>
      <c r="H84" s="567"/>
      <c r="I84" s="748"/>
      <c r="J84" s="748"/>
      <c r="K84" s="289"/>
      <c r="L84" s="383">
        <v>7</v>
      </c>
      <c r="M84" s="384" t="s">
        <v>424</v>
      </c>
      <c r="N84" s="385"/>
      <c r="O84" s="406"/>
      <c r="P84" s="444"/>
      <c r="Q84" s="386"/>
      <c r="R84" s="583"/>
      <c r="S84" s="619"/>
      <c r="T84" s="519"/>
      <c r="U84" s="504"/>
      <c r="V84" s="797"/>
      <c r="W84" s="567"/>
      <c r="X84" s="751"/>
      <c r="Y84" s="482"/>
    </row>
    <row r="85" spans="1:25" ht="14.25" customHeight="1">
      <c r="B85" s="383">
        <v>7</v>
      </c>
      <c r="C85" s="384"/>
      <c r="D85" s="385"/>
      <c r="E85" s="406"/>
      <c r="F85" s="444"/>
      <c r="G85" s="386"/>
      <c r="H85" s="567"/>
      <c r="I85" s="748"/>
      <c r="J85" s="748"/>
      <c r="K85" s="289"/>
      <c r="L85" s="383">
        <v>7</v>
      </c>
      <c r="M85" s="384" t="s">
        <v>424</v>
      </c>
      <c r="N85" s="385"/>
      <c r="O85" s="406"/>
      <c r="P85" s="444"/>
      <c r="Q85" s="386"/>
      <c r="R85" s="583"/>
      <c r="S85" s="619"/>
      <c r="T85" s="519"/>
      <c r="U85" s="504"/>
      <c r="V85" s="797"/>
      <c r="W85" s="567"/>
      <c r="X85" s="751"/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48"/>
      <c r="J86" s="748"/>
      <c r="K86" s="289"/>
      <c r="L86" s="383">
        <v>7</v>
      </c>
      <c r="M86" s="384" t="s">
        <v>424</v>
      </c>
      <c r="N86" s="385"/>
      <c r="O86" s="544"/>
      <c r="P86" s="444"/>
      <c r="Q86" s="386"/>
      <c r="R86" s="583"/>
      <c r="S86" s="619"/>
      <c r="T86" s="519"/>
      <c r="U86" s="504"/>
      <c r="V86" s="797"/>
      <c r="W86" s="567"/>
      <c r="X86" s="751"/>
      <c r="Y86" s="482"/>
    </row>
    <row r="87" spans="1:25" ht="15" customHeight="1" thickBot="1">
      <c r="B87" s="317">
        <v>7</v>
      </c>
      <c r="C87" s="338"/>
      <c r="D87" s="330"/>
      <c r="E87" s="319"/>
      <c r="F87" s="460"/>
      <c r="G87" s="331"/>
      <c r="H87" s="568"/>
      <c r="I87" s="749"/>
      <c r="J87" s="749"/>
      <c r="K87" s="290"/>
      <c r="L87" s="317">
        <v>7</v>
      </c>
      <c r="M87" s="338" t="s">
        <v>424</v>
      </c>
      <c r="N87" s="330"/>
      <c r="O87" s="545"/>
      <c r="P87" s="460"/>
      <c r="Q87" s="331"/>
      <c r="R87" s="584"/>
      <c r="S87" s="620"/>
      <c r="T87" s="520"/>
      <c r="U87" s="505"/>
      <c r="V87" s="798"/>
      <c r="W87" s="568"/>
      <c r="X87" s="752"/>
      <c r="Y87" s="482"/>
    </row>
    <row r="88" spans="1:25" ht="13.9" thickBot="1">
      <c r="A88" s="24"/>
      <c r="B88" s="291"/>
      <c r="C88" s="332"/>
      <c r="D88" s="309"/>
      <c r="E88" s="292"/>
      <c r="F88" s="456"/>
      <c r="G88" s="293"/>
      <c r="H88" s="569"/>
      <c r="I88" s="281"/>
      <c r="J88" s="281"/>
      <c r="K88" s="24"/>
      <c r="L88" s="291"/>
      <c r="M88" s="332"/>
      <c r="N88" s="309"/>
      <c r="O88" s="546"/>
      <c r="P88" s="456"/>
      <c r="Q88" s="293"/>
      <c r="R88" s="585"/>
      <c r="S88" s="621"/>
      <c r="T88" s="521" t="str">
        <f t="shared" ref="T88:T143" si="16">IF(W88&gt;1,EOMONTH(W88,0),"")</f>
        <v/>
      </c>
      <c r="U88" s="510"/>
      <c r="V88" s="492"/>
      <c r="W88" s="569"/>
      <c r="X88" s="351"/>
      <c r="Y88" s="482"/>
    </row>
    <row r="89" spans="1:25" ht="14.25" customHeight="1">
      <c r="B89" s="333">
        <v>8</v>
      </c>
      <c r="C89" s="295" t="s">
        <v>425</v>
      </c>
      <c r="D89" s="334"/>
      <c r="E89" s="463"/>
      <c r="F89" s="416"/>
      <c r="G89" s="335"/>
      <c r="H89" s="570"/>
      <c r="I89" s="767">
        <f>SUM(G89:G97)</f>
        <v>300000</v>
      </c>
      <c r="J89" s="767">
        <f>F185+F186</f>
        <v>322580.6451612903</v>
      </c>
      <c r="K89" s="298"/>
      <c r="L89" s="333">
        <v>8</v>
      </c>
      <c r="M89" s="425" t="s">
        <v>426</v>
      </c>
      <c r="N89" s="334"/>
      <c r="O89" s="554"/>
      <c r="P89" s="416"/>
      <c r="Q89" s="335"/>
      <c r="R89" s="586"/>
      <c r="S89" s="622"/>
      <c r="T89" s="522" t="str">
        <f t="shared" si="16"/>
        <v/>
      </c>
      <c r="U89" s="507">
        <f>(Q89/$X$89*$J$89)</f>
        <v>0</v>
      </c>
      <c r="V89" s="779">
        <f>J89-SUM(U89:U97)</f>
        <v>9818.0735152828274</v>
      </c>
      <c r="W89" s="570"/>
      <c r="X89" s="770">
        <f>SUM(Q89:Q97)</f>
        <v>341826</v>
      </c>
      <c r="Y89" s="482"/>
    </row>
    <row r="90" spans="1:25" ht="14.25" customHeight="1">
      <c r="B90" s="323">
        <v>8</v>
      </c>
      <c r="C90" s="324"/>
      <c r="D90" s="336" t="s">
        <v>427</v>
      </c>
      <c r="E90" s="415"/>
      <c r="F90" s="461"/>
      <c r="G90" s="325">
        <v>300000</v>
      </c>
      <c r="H90" s="571">
        <v>45900</v>
      </c>
      <c r="I90" s="768"/>
      <c r="J90" s="768"/>
      <c r="K90" s="302"/>
      <c r="L90" s="323">
        <v>8</v>
      </c>
      <c r="M90" s="433" t="s">
        <v>426</v>
      </c>
      <c r="N90" s="336" t="s">
        <v>573</v>
      </c>
      <c r="O90" s="415">
        <v>2</v>
      </c>
      <c r="P90" s="461">
        <v>25000</v>
      </c>
      <c r="Q90" s="325">
        <f>O90*P90</f>
        <v>50000</v>
      </c>
      <c r="R90" s="587"/>
      <c r="S90" s="623"/>
      <c r="T90" s="523">
        <v>46081</v>
      </c>
      <c r="U90" s="508">
        <v>0</v>
      </c>
      <c r="V90" s="780"/>
      <c r="W90" s="571">
        <f>T90-14</f>
        <v>46067</v>
      </c>
      <c r="X90" s="771"/>
      <c r="Y90" s="482"/>
    </row>
    <row r="91" spans="1:25" ht="14.25" customHeight="1">
      <c r="B91" s="323">
        <v>8</v>
      </c>
      <c r="C91" s="324"/>
      <c r="D91" s="336"/>
      <c r="E91" s="415"/>
      <c r="F91" s="461"/>
      <c r="G91" s="325"/>
      <c r="H91" s="571"/>
      <c r="I91" s="768"/>
      <c r="J91" s="768"/>
      <c r="K91" s="302"/>
      <c r="L91" s="323">
        <v>8</v>
      </c>
      <c r="M91" s="433" t="s">
        <v>426</v>
      </c>
      <c r="N91" s="336"/>
      <c r="O91" s="415"/>
      <c r="P91" s="461"/>
      <c r="Q91" s="325"/>
      <c r="R91" s="587"/>
      <c r="S91" s="623"/>
      <c r="T91" s="523" t="str">
        <f t="shared" si="16"/>
        <v/>
      </c>
      <c r="U91" s="508">
        <f>(Q91/$X$89*$J$89)</f>
        <v>0</v>
      </c>
      <c r="V91" s="780"/>
      <c r="W91" s="571"/>
      <c r="X91" s="771"/>
      <c r="Y91" s="482"/>
    </row>
    <row r="92" spans="1:25" ht="14.25" customHeight="1">
      <c r="B92" s="323">
        <v>8</v>
      </c>
      <c r="C92" s="324"/>
      <c r="D92" s="336"/>
      <c r="E92" s="415"/>
      <c r="F92" s="461"/>
      <c r="G92" s="325"/>
      <c r="H92" s="571">
        <f>E92+30</f>
        <v>30</v>
      </c>
      <c r="I92" s="768"/>
      <c r="J92" s="768"/>
      <c r="K92" s="302"/>
      <c r="L92" s="323">
        <v>8</v>
      </c>
      <c r="M92" s="433" t="s">
        <v>426</v>
      </c>
      <c r="N92" s="336" t="s">
        <v>428</v>
      </c>
      <c r="O92" s="664">
        <v>232956</v>
      </c>
      <c r="P92" s="665">
        <v>0.75</v>
      </c>
      <c r="Q92" s="325">
        <f>$O$92*P92</f>
        <v>174717</v>
      </c>
      <c r="R92" s="788" t="s">
        <v>429</v>
      </c>
      <c r="S92" s="623" t="s">
        <v>430</v>
      </c>
      <c r="T92" s="671">
        <v>45961</v>
      </c>
      <c r="U92" s="684">
        <v>200089.18963861017</v>
      </c>
      <c r="V92" s="780"/>
      <c r="W92" s="676">
        <v>45946</v>
      </c>
      <c r="X92" s="771"/>
      <c r="Y92" s="482"/>
    </row>
    <row r="93" spans="1:25" ht="14.25" customHeight="1">
      <c r="B93" s="323">
        <v>8</v>
      </c>
      <c r="C93" s="324"/>
      <c r="D93" s="336"/>
      <c r="E93" s="415"/>
      <c r="F93" s="461"/>
      <c r="G93" s="325"/>
      <c r="H93" s="571"/>
      <c r="I93" s="768"/>
      <c r="J93" s="768"/>
      <c r="K93" s="302"/>
      <c r="L93" s="323">
        <v>8</v>
      </c>
      <c r="M93" s="433" t="s">
        <v>426</v>
      </c>
      <c r="N93" s="336"/>
      <c r="O93" s="551"/>
      <c r="P93" s="665">
        <v>0.25</v>
      </c>
      <c r="Q93" s="325">
        <f>$O$92*P93</f>
        <v>58239</v>
      </c>
      <c r="R93" s="789"/>
      <c r="S93" s="623" t="s">
        <v>431</v>
      </c>
      <c r="T93" s="674">
        <v>45961</v>
      </c>
      <c r="U93" s="684">
        <v>66696.396546203396</v>
      </c>
      <c r="V93" s="780"/>
      <c r="W93" s="676">
        <v>46009</v>
      </c>
      <c r="X93" s="771"/>
      <c r="Y93" s="482"/>
    </row>
    <row r="94" spans="1:25" ht="14.25" customHeight="1">
      <c r="B94" s="323">
        <v>8</v>
      </c>
      <c r="C94" s="324"/>
      <c r="D94" s="336"/>
      <c r="E94" s="415"/>
      <c r="F94" s="461"/>
      <c r="G94" s="325"/>
      <c r="H94" s="571"/>
      <c r="I94" s="768"/>
      <c r="J94" s="768"/>
      <c r="K94" s="302"/>
      <c r="L94" s="323">
        <v>8</v>
      </c>
      <c r="M94" s="433" t="s">
        <v>426</v>
      </c>
      <c r="N94" s="336" t="s">
        <v>432</v>
      </c>
      <c r="O94" s="551"/>
      <c r="P94" s="461"/>
      <c r="Q94" s="325">
        <v>48720</v>
      </c>
      <c r="R94" s="587" t="s">
        <v>433</v>
      </c>
      <c r="S94" s="623"/>
      <c r="T94" s="523">
        <v>46053</v>
      </c>
      <c r="U94" s="508">
        <f>(Q94/$X$89*$J$89)</f>
        <v>45976.985461193894</v>
      </c>
      <c r="V94" s="780"/>
      <c r="W94" s="571">
        <f>T94</f>
        <v>46053</v>
      </c>
      <c r="X94" s="771"/>
      <c r="Y94" s="482"/>
    </row>
    <row r="95" spans="1:25" ht="14.25" customHeight="1">
      <c r="B95" s="323">
        <v>8</v>
      </c>
      <c r="C95" s="324"/>
      <c r="D95" s="336"/>
      <c r="E95" s="415"/>
      <c r="F95" s="461"/>
      <c r="G95" s="325"/>
      <c r="H95" s="571"/>
      <c r="I95" s="768"/>
      <c r="J95" s="768"/>
      <c r="K95" s="302"/>
      <c r="L95" s="323">
        <v>8</v>
      </c>
      <c r="M95" s="433" t="s">
        <v>426</v>
      </c>
      <c r="N95" s="336"/>
      <c r="O95" s="551"/>
      <c r="P95" s="461"/>
      <c r="Q95" s="325"/>
      <c r="R95" s="587"/>
      <c r="S95" s="623"/>
      <c r="T95" s="523" t="str">
        <f t="shared" si="16"/>
        <v/>
      </c>
      <c r="U95" s="508">
        <f>(Q95/$X$89*$J$89)</f>
        <v>0</v>
      </c>
      <c r="V95" s="780"/>
      <c r="W95" s="571"/>
      <c r="X95" s="771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4"/>
      <c r="I96" s="768"/>
      <c r="J96" s="768"/>
      <c r="K96" s="302"/>
      <c r="L96" s="323">
        <v>8</v>
      </c>
      <c r="M96" s="433" t="s">
        <v>426</v>
      </c>
      <c r="N96" s="336" t="s">
        <v>575</v>
      </c>
      <c r="O96" s="551"/>
      <c r="P96" s="461"/>
      <c r="Q96" s="325">
        <v>10150</v>
      </c>
      <c r="R96" s="591" t="s">
        <v>576</v>
      </c>
      <c r="S96" s="627"/>
      <c r="T96" s="526">
        <v>46081</v>
      </c>
      <c r="U96" s="513">
        <v>0</v>
      </c>
      <c r="V96" s="780"/>
      <c r="W96" s="574">
        <f>T96</f>
        <v>46081</v>
      </c>
      <c r="X96" s="771"/>
      <c r="Y96" s="482"/>
    </row>
    <row r="97" spans="1:25" ht="15" customHeight="1" thickBot="1">
      <c r="B97" s="323">
        <v>8</v>
      </c>
      <c r="C97" s="304"/>
      <c r="D97" s="305"/>
      <c r="E97" s="458"/>
      <c r="F97" s="455"/>
      <c r="G97" s="306"/>
      <c r="H97" s="572"/>
      <c r="I97" s="769"/>
      <c r="J97" s="769"/>
      <c r="K97" s="307"/>
      <c r="L97" s="303">
        <v>8</v>
      </c>
      <c r="M97" s="432" t="s">
        <v>426</v>
      </c>
      <c r="N97" s="305"/>
      <c r="O97" s="552"/>
      <c r="P97" s="455"/>
      <c r="Q97" s="306"/>
      <c r="R97" s="588"/>
      <c r="S97" s="624"/>
      <c r="T97" s="524" t="str">
        <f t="shared" si="16"/>
        <v/>
      </c>
      <c r="U97" s="509">
        <f>(Q97/$X$89*$J$89)</f>
        <v>0</v>
      </c>
      <c r="V97" s="781"/>
      <c r="W97" s="572"/>
      <c r="X97" s="772"/>
      <c r="Y97" s="482"/>
    </row>
    <row r="98" spans="1:25" ht="22.5" customHeight="1" thickBot="1">
      <c r="A98" s="24"/>
      <c r="B98" s="337"/>
      <c r="C98" s="165"/>
      <c r="D98" s="165"/>
      <c r="E98" s="165"/>
      <c r="F98" s="469"/>
      <c r="G98" s="165"/>
      <c r="H98" s="536"/>
      <c r="I98" s="439"/>
      <c r="J98" s="440"/>
      <c r="K98" s="165" t="s">
        <v>434</v>
      </c>
      <c r="L98" s="337"/>
      <c r="M98" s="165"/>
      <c r="N98" s="165"/>
      <c r="O98" s="555"/>
      <c r="P98" s="469"/>
      <c r="Q98" s="165"/>
      <c r="R98" s="593"/>
      <c r="S98" s="337"/>
      <c r="T98" s="529" t="str">
        <f t="shared" si="16"/>
        <v/>
      </c>
      <c r="U98" s="494"/>
      <c r="V98" s="494"/>
      <c r="W98" s="536"/>
      <c r="X98" s="439"/>
      <c r="Y98" s="482"/>
    </row>
    <row r="99" spans="1:25" ht="15" customHeight="1">
      <c r="B99" s="312">
        <v>9</v>
      </c>
      <c r="C99" s="442" t="s">
        <v>435</v>
      </c>
      <c r="D99" s="328" t="s">
        <v>436</v>
      </c>
      <c r="E99" s="315"/>
      <c r="F99" s="437"/>
      <c r="G99" s="613">
        <f>D191</f>
        <v>340042.5</v>
      </c>
      <c r="H99" s="573">
        <v>45900</v>
      </c>
      <c r="I99" s="773">
        <f>SUM(G99:G112)</f>
        <v>1060132.5</v>
      </c>
      <c r="J99" s="747">
        <f>F191+F192</f>
        <v>1204696.0227272727</v>
      </c>
      <c r="K99" s="289"/>
      <c r="L99" s="312">
        <v>9</v>
      </c>
      <c r="M99" s="423" t="s">
        <v>437</v>
      </c>
      <c r="N99" s="328"/>
      <c r="O99" s="543"/>
      <c r="P99" s="437"/>
      <c r="Q99" s="316"/>
      <c r="R99" s="589"/>
      <c r="S99" s="625"/>
      <c r="T99" s="525" t="str">
        <f t="shared" si="16"/>
        <v/>
      </c>
      <c r="U99" s="511">
        <f t="shared" ref="U99:U112" si="17">(Q99/$X$99*$J$99)</f>
        <v>0</v>
      </c>
      <c r="V99" s="759">
        <f>J99-SUM(U99:U112)</f>
        <v>0</v>
      </c>
      <c r="W99" s="573"/>
      <c r="X99" s="776">
        <f>SUM(Q99:Q112)</f>
        <v>1105292.2</v>
      </c>
      <c r="Y99" s="482"/>
    </row>
    <row r="100" spans="1:25" ht="15" customHeight="1">
      <c r="B100" s="312">
        <v>9</v>
      </c>
      <c r="C100" s="442"/>
      <c r="D100" s="329" t="s">
        <v>438</v>
      </c>
      <c r="E100" s="315"/>
      <c r="F100" s="459"/>
      <c r="G100" s="613">
        <f>D192</f>
        <v>720090</v>
      </c>
      <c r="H100" s="566">
        <v>45900</v>
      </c>
      <c r="I100" s="774"/>
      <c r="J100" s="748"/>
      <c r="K100" s="289"/>
      <c r="L100" s="312">
        <v>9</v>
      </c>
      <c r="M100" s="423" t="s">
        <v>437</v>
      </c>
      <c r="N100" s="329" t="s">
        <v>383</v>
      </c>
      <c r="O100" s="562">
        <f>Z32+Z31</f>
        <v>1105292.2</v>
      </c>
      <c r="P100" s="563">
        <v>0.1</v>
      </c>
      <c r="Q100" s="316">
        <f>$O$100*P100</f>
        <v>110529.22</v>
      </c>
      <c r="R100" s="785"/>
      <c r="S100" s="618" t="s">
        <v>439</v>
      </c>
      <c r="T100" s="667">
        <v>45961</v>
      </c>
      <c r="U100" s="669">
        <v>120469.60227272725</v>
      </c>
      <c r="V100" s="760"/>
      <c r="W100" s="534">
        <v>45967</v>
      </c>
      <c r="X100" s="777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 t="e">
        <f>'Project Plan'!#REF!+14</f>
        <v>#REF!</v>
      </c>
      <c r="I101" s="774"/>
      <c r="J101" s="748"/>
      <c r="K101" s="289"/>
      <c r="L101" s="383">
        <v>9</v>
      </c>
      <c r="M101" s="501" t="s">
        <v>437</v>
      </c>
      <c r="N101" s="385" t="s">
        <v>197</v>
      </c>
      <c r="O101" s="544"/>
      <c r="P101" s="561">
        <v>0.15</v>
      </c>
      <c r="Q101" s="316">
        <f t="shared" ref="Q101:Q109" si="18">$O$100*P101</f>
        <v>165793.82999999999</v>
      </c>
      <c r="R101" s="786"/>
      <c r="S101" s="619" t="s">
        <v>440</v>
      </c>
      <c r="T101" s="667">
        <v>45961</v>
      </c>
      <c r="U101" s="669">
        <v>180704.40340909085</v>
      </c>
      <c r="V101" s="760"/>
      <c r="W101" s="535">
        <v>45967</v>
      </c>
      <c r="X101" s="777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 t="e">
        <f>'Project Plan'!#REF!+7</f>
        <v>#REF!</v>
      </c>
      <c r="I102" s="774"/>
      <c r="J102" s="748"/>
      <c r="K102" s="289"/>
      <c r="L102" s="383">
        <v>9</v>
      </c>
      <c r="M102" s="501" t="s">
        <v>437</v>
      </c>
      <c r="N102" s="385" t="s">
        <v>384</v>
      </c>
      <c r="O102" s="544"/>
      <c r="P102" s="561">
        <v>0.1</v>
      </c>
      <c r="Q102" s="316">
        <f t="shared" si="18"/>
        <v>110529.22</v>
      </c>
      <c r="R102" s="786"/>
      <c r="S102" s="619" t="s">
        <v>385</v>
      </c>
      <c r="T102" s="702">
        <v>46022</v>
      </c>
      <c r="U102" s="669">
        <v>120469.60227272728</v>
      </c>
      <c r="V102" s="760"/>
      <c r="W102" s="535">
        <v>46003</v>
      </c>
      <c r="X102" s="777"/>
      <c r="Y102" s="482"/>
    </row>
    <row r="103" spans="1:25" ht="15" customHeight="1">
      <c r="B103" s="383"/>
      <c r="C103" s="500"/>
      <c r="D103" s="385"/>
      <c r="E103" s="406"/>
      <c r="F103" s="444"/>
      <c r="G103" s="386"/>
      <c r="H103" s="567"/>
      <c r="I103" s="774"/>
      <c r="J103" s="748"/>
      <c r="K103" s="289"/>
      <c r="L103" s="383">
        <v>9</v>
      </c>
      <c r="M103" s="501" t="s">
        <v>437</v>
      </c>
      <c r="N103" s="385" t="s">
        <v>384</v>
      </c>
      <c r="O103" s="544"/>
      <c r="P103" s="561">
        <v>0.1</v>
      </c>
      <c r="Q103" s="316">
        <f t="shared" si="18"/>
        <v>110529.22</v>
      </c>
      <c r="R103" s="786"/>
      <c r="S103" s="619"/>
      <c r="T103" s="519">
        <v>46053</v>
      </c>
      <c r="U103" s="504">
        <f t="shared" si="17"/>
        <v>120469.60227272728</v>
      </c>
      <c r="V103" s="760"/>
      <c r="W103" s="567">
        <v>46067</v>
      </c>
      <c r="X103" s="777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67" t="e">
        <f>'Project Plan'!#REF!+7</f>
        <v>#REF!</v>
      </c>
      <c r="I104" s="774"/>
      <c r="J104" s="748"/>
      <c r="K104" s="289"/>
      <c r="L104" s="383">
        <v>9</v>
      </c>
      <c r="M104" s="501" t="s">
        <v>437</v>
      </c>
      <c r="N104" s="385" t="s">
        <v>387</v>
      </c>
      <c r="O104" s="544"/>
      <c r="P104" s="561">
        <v>0.2</v>
      </c>
      <c r="Q104" s="316">
        <f t="shared" si="18"/>
        <v>221058.44</v>
      </c>
      <c r="R104" s="786"/>
      <c r="S104" s="619" t="s">
        <v>385</v>
      </c>
      <c r="T104" s="702">
        <v>46022</v>
      </c>
      <c r="U104" s="669">
        <v>240939.20454545456</v>
      </c>
      <c r="V104" s="760"/>
      <c r="W104" s="535">
        <v>46003</v>
      </c>
      <c r="X104" s="777"/>
      <c r="Y104" s="482"/>
    </row>
    <row r="105" spans="1:25" ht="15" customHeight="1">
      <c r="B105" s="383"/>
      <c r="C105" s="500"/>
      <c r="D105" s="385"/>
      <c r="E105" s="406"/>
      <c r="F105" s="444"/>
      <c r="G105" s="386"/>
      <c r="H105" s="567"/>
      <c r="I105" s="774"/>
      <c r="J105" s="748"/>
      <c r="K105" s="289"/>
      <c r="L105" s="383">
        <v>9</v>
      </c>
      <c r="M105" s="501" t="s">
        <v>437</v>
      </c>
      <c r="N105" s="385" t="s">
        <v>387</v>
      </c>
      <c r="O105" s="544"/>
      <c r="P105" s="561">
        <v>0.05</v>
      </c>
      <c r="Q105" s="316">
        <f t="shared" si="18"/>
        <v>55264.61</v>
      </c>
      <c r="R105" s="786"/>
      <c r="S105" s="619"/>
      <c r="T105" s="519">
        <v>46053</v>
      </c>
      <c r="U105" s="504">
        <f t="shared" si="17"/>
        <v>60234.80113636364</v>
      </c>
      <c r="V105" s="760"/>
      <c r="W105" s="567">
        <v>46067</v>
      </c>
      <c r="X105" s="777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Plan'!#REF!+7</f>
        <v>#REF!</v>
      </c>
      <c r="I106" s="774"/>
      <c r="J106" s="748"/>
      <c r="K106" s="289"/>
      <c r="L106" s="383">
        <v>9</v>
      </c>
      <c r="M106" s="501" t="s">
        <v>437</v>
      </c>
      <c r="N106" s="385" t="s">
        <v>389</v>
      </c>
      <c r="O106" s="544"/>
      <c r="P106" s="561">
        <v>0.1</v>
      </c>
      <c r="Q106" s="316">
        <f t="shared" si="18"/>
        <v>110529.22</v>
      </c>
      <c r="R106" s="786"/>
      <c r="S106" s="619"/>
      <c r="T106" s="519">
        <f t="shared" si="16"/>
        <v>46081</v>
      </c>
      <c r="U106" s="504">
        <f t="shared" si="17"/>
        <v>120469.60227272728</v>
      </c>
      <c r="V106" s="760"/>
      <c r="W106" s="567">
        <f>'Project Plan'!K46+7</f>
        <v>46073</v>
      </c>
      <c r="X106" s="777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74"/>
      <c r="J107" s="748"/>
      <c r="K107" s="289"/>
      <c r="L107" s="383">
        <v>9</v>
      </c>
      <c r="M107" s="501" t="s">
        <v>437</v>
      </c>
      <c r="N107" s="385" t="s">
        <v>391</v>
      </c>
      <c r="O107" s="544"/>
      <c r="P107" s="561">
        <v>0.1</v>
      </c>
      <c r="Q107" s="316">
        <f t="shared" si="18"/>
        <v>110529.22</v>
      </c>
      <c r="R107" s="786"/>
      <c r="S107" s="619"/>
      <c r="T107" s="519">
        <f t="shared" si="16"/>
        <v>46112</v>
      </c>
      <c r="U107" s="504">
        <f t="shared" si="17"/>
        <v>120469.60227272728</v>
      </c>
      <c r="V107" s="760"/>
      <c r="W107" s="567">
        <f>'Project Plan'!K56+7</f>
        <v>46085</v>
      </c>
      <c r="X107" s="777"/>
      <c r="Y107" s="482"/>
    </row>
    <row r="108" spans="1:25" ht="15" customHeight="1">
      <c r="B108" s="383">
        <v>9</v>
      </c>
      <c r="C108" s="500"/>
      <c r="D108" s="385"/>
      <c r="E108" s="406"/>
      <c r="F108" s="444"/>
      <c r="G108" s="386"/>
      <c r="H108" s="567" t="e">
        <f>'Project Plan'!#REF!+7</f>
        <v>#REF!</v>
      </c>
      <c r="I108" s="774"/>
      <c r="J108" s="748"/>
      <c r="K108" s="289"/>
      <c r="L108" s="383">
        <v>9</v>
      </c>
      <c r="M108" s="501" t="s">
        <v>437</v>
      </c>
      <c r="N108" s="385" t="s">
        <v>392</v>
      </c>
      <c r="O108" s="544"/>
      <c r="P108" s="561">
        <v>0.05</v>
      </c>
      <c r="Q108" s="316">
        <f t="shared" si="18"/>
        <v>55264.61</v>
      </c>
      <c r="R108" s="786"/>
      <c r="S108" s="619"/>
      <c r="T108" s="519">
        <f t="shared" si="16"/>
        <v>46112</v>
      </c>
      <c r="U108" s="504">
        <f t="shared" si="17"/>
        <v>60234.80113636364</v>
      </c>
      <c r="V108" s="760"/>
      <c r="W108" s="567">
        <f>'Project Plan'!K56+7</f>
        <v>46085</v>
      </c>
      <c r="X108" s="777"/>
      <c r="Y108" s="482"/>
    </row>
    <row r="109" spans="1:25" ht="15" customHeight="1">
      <c r="B109" s="383">
        <v>9</v>
      </c>
      <c r="C109" s="500"/>
      <c r="D109" s="385"/>
      <c r="E109" s="406"/>
      <c r="F109" s="444"/>
      <c r="G109" s="386"/>
      <c r="H109" s="567" t="e">
        <f>'Project Plan'!#REF!+30</f>
        <v>#REF!</v>
      </c>
      <c r="I109" s="774"/>
      <c r="J109" s="748"/>
      <c r="K109" s="289"/>
      <c r="L109" s="383">
        <v>9</v>
      </c>
      <c r="M109" s="501" t="s">
        <v>437</v>
      </c>
      <c r="N109" s="385" t="s">
        <v>393</v>
      </c>
      <c r="O109" s="544"/>
      <c r="P109" s="561">
        <v>0.05</v>
      </c>
      <c r="Q109" s="316">
        <f t="shared" si="18"/>
        <v>55264.61</v>
      </c>
      <c r="R109" s="787"/>
      <c r="S109" s="619"/>
      <c r="T109" s="519">
        <f>IF(W109&gt;1,EOMONTH(W109,-1),"")</f>
        <v>46081</v>
      </c>
      <c r="U109" s="504">
        <f t="shared" si="17"/>
        <v>60234.80113636364</v>
      </c>
      <c r="V109" s="760"/>
      <c r="W109" s="567">
        <f>'Project Plan'!K56+30</f>
        <v>46108</v>
      </c>
      <c r="X109" s="777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/>
      <c r="I110" s="774"/>
      <c r="J110" s="748"/>
      <c r="K110" s="289"/>
      <c r="L110" s="383">
        <v>9</v>
      </c>
      <c r="M110" s="501" t="s">
        <v>437</v>
      </c>
      <c r="N110" s="385"/>
      <c r="O110" s="544"/>
      <c r="P110" s="444"/>
      <c r="Q110" s="386"/>
      <c r="R110" s="583"/>
      <c r="S110" s="619"/>
      <c r="T110" s="519" t="str">
        <f t="shared" si="16"/>
        <v/>
      </c>
      <c r="U110" s="504">
        <f t="shared" si="17"/>
        <v>0</v>
      </c>
      <c r="V110" s="760"/>
      <c r="W110" s="567"/>
      <c r="X110" s="777"/>
      <c r="Y110" s="482"/>
    </row>
    <row r="111" spans="1:25" ht="15" customHeight="1">
      <c r="B111" s="383">
        <v>9</v>
      </c>
      <c r="C111" s="500"/>
      <c r="D111" s="385"/>
      <c r="E111" s="406"/>
      <c r="F111" s="444"/>
      <c r="G111" s="386"/>
      <c r="H111" s="567"/>
      <c r="I111" s="774"/>
      <c r="J111" s="748"/>
      <c r="K111" s="289"/>
      <c r="L111" s="383">
        <v>9</v>
      </c>
      <c r="M111" s="501" t="s">
        <v>437</v>
      </c>
      <c r="N111" s="385"/>
      <c r="O111" s="544"/>
      <c r="P111" s="444"/>
      <c r="Q111" s="386"/>
      <c r="R111" s="583"/>
      <c r="S111" s="619"/>
      <c r="T111" s="519" t="str">
        <f t="shared" si="16"/>
        <v/>
      </c>
      <c r="U111" s="504">
        <f t="shared" si="17"/>
        <v>0</v>
      </c>
      <c r="V111" s="760"/>
      <c r="W111" s="567"/>
      <c r="X111" s="777"/>
      <c r="Y111" s="482"/>
    </row>
    <row r="112" spans="1:25" ht="15" customHeight="1" thickBot="1">
      <c r="B112" s="317">
        <v>9</v>
      </c>
      <c r="C112" s="438"/>
      <c r="D112" s="330"/>
      <c r="E112" s="319"/>
      <c r="F112" s="460"/>
      <c r="G112" s="331"/>
      <c r="H112" s="568"/>
      <c r="I112" s="775"/>
      <c r="J112" s="749"/>
      <c r="K112" s="365"/>
      <c r="L112" s="317">
        <v>9</v>
      </c>
      <c r="M112" s="441" t="s">
        <v>437</v>
      </c>
      <c r="N112" s="330"/>
      <c r="O112" s="545"/>
      <c r="P112" s="460"/>
      <c r="Q112" s="331"/>
      <c r="R112" s="584"/>
      <c r="S112" s="620"/>
      <c r="T112" s="520" t="str">
        <f t="shared" si="16"/>
        <v/>
      </c>
      <c r="U112" s="505">
        <f t="shared" si="17"/>
        <v>0</v>
      </c>
      <c r="V112" s="761"/>
      <c r="W112" s="568"/>
      <c r="X112" s="778"/>
      <c r="Y112" s="482"/>
    </row>
    <row r="113" spans="1:25" ht="13.9" thickBot="1">
      <c r="A113" s="24"/>
      <c r="B113" s="291"/>
      <c r="C113" s="308"/>
      <c r="D113" s="309"/>
      <c r="E113" s="292"/>
      <c r="F113" s="456"/>
      <c r="G113" s="293"/>
      <c r="H113" s="569"/>
      <c r="I113" s="281"/>
      <c r="J113" s="402"/>
      <c r="K113" s="24"/>
      <c r="L113" s="291"/>
      <c r="M113" s="308"/>
      <c r="N113" s="309"/>
      <c r="O113" s="546"/>
      <c r="P113" s="456"/>
      <c r="Q113" s="293"/>
      <c r="R113" s="585"/>
      <c r="S113" s="621"/>
      <c r="T113" s="521" t="str">
        <f t="shared" si="16"/>
        <v/>
      </c>
      <c r="U113" s="510"/>
      <c r="V113" s="492"/>
      <c r="W113" s="569"/>
      <c r="X113" s="351"/>
      <c r="Y113" s="482"/>
    </row>
    <row r="114" spans="1:25" ht="14.25" customHeight="1">
      <c r="B114" s="270">
        <v>10</v>
      </c>
      <c r="C114" s="271" t="s">
        <v>441</v>
      </c>
      <c r="D114" s="271" t="s">
        <v>355</v>
      </c>
      <c r="E114" s="272"/>
      <c r="F114" s="470"/>
      <c r="G114" s="339">
        <f>D195</f>
        <v>8500</v>
      </c>
      <c r="H114" s="577">
        <v>45900</v>
      </c>
      <c r="I114" s="753">
        <f>SUM(G114:G134)</f>
        <v>184440.46666666665</v>
      </c>
      <c r="J114" s="753">
        <f>F195+F198+F199+F197</f>
        <v>209591.43939393942</v>
      </c>
      <c r="K114" s="340"/>
      <c r="L114" s="270">
        <v>10</v>
      </c>
      <c r="M114" s="434" t="s">
        <v>442</v>
      </c>
      <c r="N114" s="271"/>
      <c r="O114" s="556"/>
      <c r="P114" s="470"/>
      <c r="Q114" s="339"/>
      <c r="R114" s="594"/>
      <c r="S114" s="630"/>
      <c r="T114" s="530"/>
      <c r="U114" s="515">
        <f t="shared" ref="U114:U134" si="19">(Q114/$X$114*$J$114)</f>
        <v>0</v>
      </c>
      <c r="V114" s="762">
        <f>J114-SUM(U114:U134)</f>
        <v>1.8945914052892476E-3</v>
      </c>
      <c r="W114" s="577"/>
      <c r="X114" s="756">
        <f>SUM(Q114:Q134)</f>
        <v>302543.90000000008</v>
      </c>
      <c r="Y114" s="482"/>
    </row>
    <row r="115" spans="1:25" ht="14.25" customHeight="1">
      <c r="B115" s="341">
        <v>10</v>
      </c>
      <c r="C115" s="342"/>
      <c r="D115" s="342" t="s">
        <v>356</v>
      </c>
      <c r="E115" s="343"/>
      <c r="F115" s="471"/>
      <c r="G115" s="344">
        <f>D199</f>
        <v>70393.8</v>
      </c>
      <c r="H115" s="578">
        <v>45900</v>
      </c>
      <c r="I115" s="754"/>
      <c r="J115" s="754"/>
      <c r="K115" s="273"/>
      <c r="L115" s="341">
        <v>10</v>
      </c>
      <c r="M115" s="435" t="s">
        <v>442</v>
      </c>
      <c r="N115" s="342" t="s">
        <v>443</v>
      </c>
      <c r="O115" s="557"/>
      <c r="P115" s="471"/>
      <c r="Q115" s="344">
        <f>20700/1.15</f>
        <v>18000</v>
      </c>
      <c r="R115" s="782" t="s">
        <v>444</v>
      </c>
      <c r="S115" s="631" t="s">
        <v>445</v>
      </c>
      <c r="T115" s="663">
        <v>45961</v>
      </c>
      <c r="U115" s="687">
        <v>12469.742943475689</v>
      </c>
      <c r="V115" s="763"/>
      <c r="W115" s="678">
        <v>45946</v>
      </c>
      <c r="X115" s="757"/>
      <c r="Y115" s="482"/>
    </row>
    <row r="116" spans="1:25" ht="14.25" customHeight="1">
      <c r="B116" s="341"/>
      <c r="C116" s="342"/>
      <c r="D116" s="342"/>
      <c r="E116" s="343"/>
      <c r="F116" s="471"/>
      <c r="G116" s="344"/>
      <c r="H116" s="578">
        <f>E116+30</f>
        <v>30</v>
      </c>
      <c r="I116" s="754"/>
      <c r="J116" s="754"/>
      <c r="K116" s="273"/>
      <c r="L116" s="341">
        <v>11</v>
      </c>
      <c r="M116" s="435" t="s">
        <v>442</v>
      </c>
      <c r="N116" s="342" t="s">
        <v>446</v>
      </c>
      <c r="O116" s="557"/>
      <c r="P116" s="471"/>
      <c r="Q116" s="344">
        <v>18000</v>
      </c>
      <c r="R116" s="784"/>
      <c r="S116" s="631" t="s">
        <v>445</v>
      </c>
      <c r="T116" s="677">
        <v>45961</v>
      </c>
      <c r="U116" s="687">
        <v>12469.742943475689</v>
      </c>
      <c r="V116" s="763"/>
      <c r="W116" s="678">
        <f>T116</f>
        <v>45961</v>
      </c>
      <c r="X116" s="757"/>
      <c r="Y116" s="482"/>
    </row>
    <row r="117" spans="1:25" ht="14.25" customHeight="1">
      <c r="B117" s="341"/>
      <c r="C117" s="342"/>
      <c r="D117" s="342"/>
      <c r="E117" s="343"/>
      <c r="F117" s="471"/>
      <c r="G117" s="344"/>
      <c r="H117" s="578">
        <f>E117+30</f>
        <v>30</v>
      </c>
      <c r="I117" s="754"/>
      <c r="J117" s="754"/>
      <c r="K117" s="273"/>
      <c r="L117" s="341">
        <v>12</v>
      </c>
      <c r="M117" s="435" t="s">
        <v>442</v>
      </c>
      <c r="N117" s="342" t="s">
        <v>447</v>
      </c>
      <c r="O117" s="557"/>
      <c r="P117" s="471"/>
      <c r="Q117" s="344">
        <v>60000</v>
      </c>
      <c r="R117" s="595"/>
      <c r="S117" s="631" t="s">
        <v>448</v>
      </c>
      <c r="T117" s="663">
        <v>45991</v>
      </c>
      <c r="U117" s="687">
        <v>38348.821150162417</v>
      </c>
      <c r="V117" s="763"/>
      <c r="W117" s="690">
        <v>45989</v>
      </c>
      <c r="X117" s="757"/>
      <c r="Y117" s="482"/>
    </row>
    <row r="118" spans="1:25" ht="14.25" customHeight="1">
      <c r="B118" s="341"/>
      <c r="C118" s="342"/>
      <c r="D118" s="342"/>
      <c r="E118" s="343"/>
      <c r="F118" s="471"/>
      <c r="G118" s="344"/>
      <c r="H118" s="578"/>
      <c r="I118" s="754"/>
      <c r="J118" s="754"/>
      <c r="K118" s="273"/>
      <c r="L118" s="341">
        <v>12</v>
      </c>
      <c r="M118" s="435" t="s">
        <v>442</v>
      </c>
      <c r="N118" s="342" t="s">
        <v>449</v>
      </c>
      <c r="O118" s="557"/>
      <c r="P118" s="471"/>
      <c r="Q118" s="344">
        <v>10000</v>
      </c>
      <c r="R118" s="595" t="s">
        <v>450</v>
      </c>
      <c r="S118" s="631" t="s">
        <v>451</v>
      </c>
      <c r="T118" s="663">
        <v>46022</v>
      </c>
      <c r="U118" s="687">
        <v>6927.6372583925622</v>
      </c>
      <c r="V118" s="763"/>
      <c r="W118" s="690">
        <v>46003</v>
      </c>
      <c r="X118" s="757"/>
      <c r="Y118" s="482"/>
    </row>
    <row r="119" spans="1:25" ht="14.25" customHeight="1">
      <c r="B119" s="341"/>
      <c r="C119" s="342"/>
      <c r="D119" s="342"/>
      <c r="E119" s="343"/>
      <c r="F119" s="471"/>
      <c r="G119" s="344"/>
      <c r="H119" s="578"/>
      <c r="I119" s="754"/>
      <c r="J119" s="754"/>
      <c r="K119" s="273"/>
      <c r="L119" s="341">
        <v>13</v>
      </c>
      <c r="M119" s="435" t="s">
        <v>442</v>
      </c>
      <c r="N119" s="342"/>
      <c r="O119" s="557"/>
      <c r="P119" s="471"/>
      <c r="Q119" s="344"/>
      <c r="R119" s="595"/>
      <c r="S119" s="631"/>
      <c r="T119" s="531"/>
      <c r="U119" s="516">
        <f t="shared" si="19"/>
        <v>0</v>
      </c>
      <c r="V119" s="763"/>
      <c r="W119" s="578"/>
      <c r="X119" s="757"/>
      <c r="Y119" s="482"/>
    </row>
    <row r="120" spans="1:25" ht="14.25" customHeight="1">
      <c r="B120" s="341">
        <v>10</v>
      </c>
      <c r="C120" s="342"/>
      <c r="D120" s="342" t="s">
        <v>452</v>
      </c>
      <c r="E120" s="343"/>
      <c r="F120" s="471"/>
      <c r="G120" s="344">
        <f>D198</f>
        <v>72000</v>
      </c>
      <c r="H120" s="578">
        <v>45900</v>
      </c>
      <c r="I120" s="754"/>
      <c r="J120" s="754"/>
      <c r="K120" s="273"/>
      <c r="L120" s="341">
        <v>10</v>
      </c>
      <c r="M120" s="435" t="s">
        <v>442</v>
      </c>
      <c r="N120" s="342"/>
      <c r="O120" s="557"/>
      <c r="P120" s="471"/>
      <c r="Q120" s="344"/>
      <c r="R120" s="595"/>
      <c r="S120" s="631"/>
      <c r="T120" s="531" t="str">
        <f t="shared" si="16"/>
        <v/>
      </c>
      <c r="U120" s="516">
        <f t="shared" si="19"/>
        <v>0</v>
      </c>
      <c r="V120" s="763"/>
      <c r="W120" s="578"/>
      <c r="X120" s="757"/>
      <c r="Y120" s="482"/>
    </row>
    <row r="121" spans="1:25" ht="14.25" customHeight="1">
      <c r="B121" s="341">
        <v>10</v>
      </c>
      <c r="C121" s="342"/>
      <c r="D121" s="342" t="s">
        <v>357</v>
      </c>
      <c r="E121" s="343"/>
      <c r="F121" s="471"/>
      <c r="G121" s="344">
        <f>D197</f>
        <v>33546.666666666664</v>
      </c>
      <c r="H121" s="578">
        <v>45900</v>
      </c>
      <c r="I121" s="754"/>
      <c r="J121" s="754"/>
      <c r="K121" s="273"/>
      <c r="L121" s="341">
        <v>10</v>
      </c>
      <c r="M121" s="435" t="s">
        <v>442</v>
      </c>
      <c r="N121" s="342"/>
      <c r="O121" s="557"/>
      <c r="P121" s="471"/>
      <c r="Q121" s="344"/>
      <c r="R121" s="595"/>
      <c r="S121" s="631"/>
      <c r="T121" s="531" t="str">
        <f t="shared" si="16"/>
        <v/>
      </c>
      <c r="U121" s="516">
        <f t="shared" si="19"/>
        <v>0</v>
      </c>
      <c r="V121" s="763"/>
      <c r="W121" s="578"/>
      <c r="X121" s="757"/>
      <c r="Y121" s="482"/>
    </row>
    <row r="122" spans="1:25" ht="14.25" customHeight="1">
      <c r="B122" s="341">
        <v>10</v>
      </c>
      <c r="C122" s="342"/>
      <c r="D122" s="342"/>
      <c r="E122" s="343"/>
      <c r="F122" s="471"/>
      <c r="G122" s="344"/>
      <c r="H122" s="579">
        <f>H100</f>
        <v>45900</v>
      </c>
      <c r="I122" s="754"/>
      <c r="J122" s="754"/>
      <c r="K122" s="273"/>
      <c r="L122" s="341">
        <v>10</v>
      </c>
      <c r="M122" s="435" t="s">
        <v>442</v>
      </c>
      <c r="N122" s="342" t="s">
        <v>383</v>
      </c>
      <c r="O122" s="612">
        <f>SUM(Z33:Z40)</f>
        <v>196544</v>
      </c>
      <c r="P122" s="564">
        <v>0.1</v>
      </c>
      <c r="Q122" s="344">
        <f>$O$122*P122</f>
        <v>19654.400000000001</v>
      </c>
      <c r="R122" s="782"/>
      <c r="S122" s="632" t="str">
        <f>S100</f>
        <v>JA Electrical - Inv 1104</v>
      </c>
      <c r="T122" s="673">
        <f>T100</f>
        <v>45961</v>
      </c>
      <c r="U122" s="687">
        <v>13615.850872680478</v>
      </c>
      <c r="V122" s="763"/>
      <c r="W122" s="537">
        <f t="shared" ref="W122:W127" si="20">W100</f>
        <v>45967</v>
      </c>
      <c r="X122" s="757"/>
      <c r="Y122" s="482"/>
    </row>
    <row r="123" spans="1:25" ht="14.25" customHeight="1">
      <c r="B123" s="341">
        <v>10</v>
      </c>
      <c r="C123" s="342"/>
      <c r="D123" s="342"/>
      <c r="E123" s="343"/>
      <c r="F123" s="471"/>
      <c r="G123" s="344"/>
      <c r="H123" s="579" t="e">
        <f>H101</f>
        <v>#REF!</v>
      </c>
      <c r="I123" s="754"/>
      <c r="J123" s="754"/>
      <c r="K123" s="273"/>
      <c r="L123" s="341">
        <v>10</v>
      </c>
      <c r="M123" s="435" t="s">
        <v>442</v>
      </c>
      <c r="N123" s="342" t="s">
        <v>197</v>
      </c>
      <c r="O123" s="557"/>
      <c r="P123" s="564">
        <v>0.15</v>
      </c>
      <c r="Q123" s="344">
        <f t="shared" ref="Q123:Q131" si="21">$O$122*P123</f>
        <v>29481.599999999999</v>
      </c>
      <c r="R123" s="783"/>
      <c r="S123" s="637" t="str">
        <f>S101</f>
        <v>JA Electrical - Inv 1105</v>
      </c>
      <c r="T123" s="673">
        <f>T101</f>
        <v>45961</v>
      </c>
      <c r="U123" s="687">
        <v>20423.776309020712</v>
      </c>
      <c r="V123" s="763"/>
      <c r="W123" s="537">
        <f t="shared" si="20"/>
        <v>45967</v>
      </c>
      <c r="X123" s="757"/>
      <c r="Y123" s="482"/>
    </row>
    <row r="124" spans="1:25" ht="14.25" customHeight="1">
      <c r="B124" s="341">
        <v>10</v>
      </c>
      <c r="C124" s="342"/>
      <c r="D124" s="342"/>
      <c r="E124" s="343"/>
      <c r="F124" s="471"/>
      <c r="G124" s="344"/>
      <c r="H124" s="579" t="e">
        <f>H102</f>
        <v>#REF!</v>
      </c>
      <c r="I124" s="754"/>
      <c r="J124" s="754"/>
      <c r="K124" s="273"/>
      <c r="L124" s="341">
        <v>10</v>
      </c>
      <c r="M124" s="435" t="s">
        <v>442</v>
      </c>
      <c r="N124" s="342" t="s">
        <v>384</v>
      </c>
      <c r="O124" s="557"/>
      <c r="P124" s="564">
        <v>0.1</v>
      </c>
      <c r="Q124" s="344">
        <f t="shared" si="21"/>
        <v>19654.400000000001</v>
      </c>
      <c r="R124" s="783"/>
      <c r="S124" s="632" t="s">
        <v>385</v>
      </c>
      <c r="T124" s="691">
        <f>T102</f>
        <v>46022</v>
      </c>
      <c r="U124" s="687">
        <v>16832.875373135081</v>
      </c>
      <c r="V124" s="763"/>
      <c r="W124" s="537">
        <f t="shared" si="20"/>
        <v>46003</v>
      </c>
      <c r="X124" s="757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9"/>
      <c r="I125" s="754"/>
      <c r="J125" s="754"/>
      <c r="K125" s="273"/>
      <c r="L125" s="341">
        <v>10</v>
      </c>
      <c r="M125" s="435" t="s">
        <v>442</v>
      </c>
      <c r="N125" s="342" t="s">
        <v>384</v>
      </c>
      <c r="O125" s="557"/>
      <c r="P125" s="564">
        <v>0.1</v>
      </c>
      <c r="Q125" s="344">
        <f t="shared" si="21"/>
        <v>19654.400000000001</v>
      </c>
      <c r="R125" s="783"/>
      <c r="S125" s="632"/>
      <c r="T125" s="532">
        <f>T103</f>
        <v>46053</v>
      </c>
      <c r="U125" s="516">
        <f t="shared" si="19"/>
        <v>13615.85537313508</v>
      </c>
      <c r="V125" s="763"/>
      <c r="W125" s="579">
        <f t="shared" si="20"/>
        <v>46067</v>
      </c>
      <c r="X125" s="757"/>
      <c r="Y125" s="482"/>
    </row>
    <row r="126" spans="1:25" ht="14.25" customHeight="1">
      <c r="B126" s="341">
        <v>10</v>
      </c>
      <c r="C126" s="342"/>
      <c r="D126" s="342"/>
      <c r="E126" s="343"/>
      <c r="F126" s="471"/>
      <c r="G126" s="344"/>
      <c r="H126" s="579" t="e">
        <f>H104</f>
        <v>#REF!</v>
      </c>
      <c r="I126" s="754"/>
      <c r="J126" s="754"/>
      <c r="K126" s="273"/>
      <c r="L126" s="341">
        <v>10</v>
      </c>
      <c r="M126" s="435" t="s">
        <v>442</v>
      </c>
      <c r="N126" s="342" t="s">
        <v>387</v>
      </c>
      <c r="O126" s="557"/>
      <c r="P126" s="564">
        <v>0.2</v>
      </c>
      <c r="Q126" s="344">
        <v>39308.699999999997</v>
      </c>
      <c r="R126" s="783"/>
      <c r="S126" s="632" t="s">
        <v>385</v>
      </c>
      <c r="T126" s="691">
        <f>T104</f>
        <v>46022</v>
      </c>
      <c r="U126" s="687">
        <v>27231.641469897571</v>
      </c>
      <c r="V126" s="763"/>
      <c r="W126" s="537">
        <f t="shared" si="20"/>
        <v>46003</v>
      </c>
      <c r="X126" s="757"/>
      <c r="Y126" s="482"/>
    </row>
    <row r="127" spans="1:25" ht="14.25" customHeight="1">
      <c r="B127" s="341"/>
      <c r="C127" s="342"/>
      <c r="D127" s="342"/>
      <c r="E127" s="343"/>
      <c r="F127" s="471"/>
      <c r="G127" s="344"/>
      <c r="H127" s="579"/>
      <c r="I127" s="754"/>
      <c r="J127" s="754"/>
      <c r="K127" s="273"/>
      <c r="L127" s="341">
        <v>10</v>
      </c>
      <c r="M127" s="435" t="s">
        <v>442</v>
      </c>
      <c r="N127" s="342" t="s">
        <v>387</v>
      </c>
      <c r="O127" s="557"/>
      <c r="P127" s="564">
        <v>0.05</v>
      </c>
      <c r="Q127" s="344">
        <f t="shared" si="21"/>
        <v>9827.2000000000007</v>
      </c>
      <c r="R127" s="783"/>
      <c r="S127" s="632"/>
      <c r="T127" s="532">
        <f>T105</f>
        <v>46053</v>
      </c>
      <c r="U127" s="516">
        <f t="shared" si="19"/>
        <v>6807.9276865675401</v>
      </c>
      <c r="V127" s="763"/>
      <c r="W127" s="579">
        <f t="shared" si="20"/>
        <v>46067</v>
      </c>
      <c r="X127" s="757"/>
      <c r="Y127" s="482"/>
    </row>
    <row r="128" spans="1:25" ht="14.25" customHeight="1">
      <c r="B128" s="341">
        <v>10</v>
      </c>
      <c r="C128" s="342"/>
      <c r="D128" s="342"/>
      <c r="E128" s="343"/>
      <c r="F128" s="471"/>
      <c r="G128" s="344"/>
      <c r="H128" s="579" t="e">
        <f t="shared" ref="H128:H131" si="22">H106</f>
        <v>#REF!</v>
      </c>
      <c r="I128" s="754"/>
      <c r="J128" s="754"/>
      <c r="K128" s="273"/>
      <c r="L128" s="341">
        <v>10</v>
      </c>
      <c r="M128" s="435" t="s">
        <v>442</v>
      </c>
      <c r="N128" s="342" t="s">
        <v>389</v>
      </c>
      <c r="O128" s="557"/>
      <c r="P128" s="564">
        <v>0.1</v>
      </c>
      <c r="Q128" s="344">
        <f t="shared" si="21"/>
        <v>19654.400000000001</v>
      </c>
      <c r="R128" s="783"/>
      <c r="S128" s="632"/>
      <c r="T128" s="532">
        <f t="shared" ref="T128:T131" si="23">T106</f>
        <v>46081</v>
      </c>
      <c r="U128" s="516">
        <f t="shared" si="19"/>
        <v>13615.85537313508</v>
      </c>
      <c r="V128" s="763"/>
      <c r="W128" s="579">
        <f t="shared" ref="W128:W131" si="24">W106</f>
        <v>46073</v>
      </c>
      <c r="X128" s="757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 t="e">
        <f t="shared" si="22"/>
        <v>#REF!</v>
      </c>
      <c r="I129" s="754"/>
      <c r="J129" s="754"/>
      <c r="K129" s="273"/>
      <c r="L129" s="341">
        <v>10</v>
      </c>
      <c r="M129" s="435" t="s">
        <v>442</v>
      </c>
      <c r="N129" s="342" t="s">
        <v>391</v>
      </c>
      <c r="O129" s="557"/>
      <c r="P129" s="564">
        <v>0.1</v>
      </c>
      <c r="Q129" s="344">
        <f t="shared" si="21"/>
        <v>19654.400000000001</v>
      </c>
      <c r="R129" s="783"/>
      <c r="S129" s="632"/>
      <c r="T129" s="532">
        <f t="shared" si="23"/>
        <v>46112</v>
      </c>
      <c r="U129" s="516">
        <f t="shared" si="19"/>
        <v>13615.85537313508</v>
      </c>
      <c r="V129" s="763"/>
      <c r="W129" s="579">
        <f t="shared" si="24"/>
        <v>46085</v>
      </c>
      <c r="X129" s="757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 t="shared" si="22"/>
        <v>#REF!</v>
      </c>
      <c r="I130" s="754"/>
      <c r="J130" s="754"/>
      <c r="K130" s="273"/>
      <c r="L130" s="341">
        <v>10</v>
      </c>
      <c r="M130" s="435" t="s">
        <v>442</v>
      </c>
      <c r="N130" s="342" t="s">
        <v>392</v>
      </c>
      <c r="O130" s="557"/>
      <c r="P130" s="564">
        <v>0.05</v>
      </c>
      <c r="Q130" s="344">
        <f t="shared" si="21"/>
        <v>9827.2000000000007</v>
      </c>
      <c r="R130" s="783"/>
      <c r="S130" s="632"/>
      <c r="T130" s="532">
        <f t="shared" si="23"/>
        <v>46112</v>
      </c>
      <c r="U130" s="516">
        <f t="shared" si="19"/>
        <v>6807.9276865675401</v>
      </c>
      <c r="V130" s="763"/>
      <c r="W130" s="579">
        <f t="shared" si="24"/>
        <v>46085</v>
      </c>
      <c r="X130" s="757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 t="shared" si="22"/>
        <v>#REF!</v>
      </c>
      <c r="I131" s="754"/>
      <c r="J131" s="754"/>
      <c r="K131" s="273"/>
      <c r="L131" s="341">
        <v>10</v>
      </c>
      <c r="M131" s="435" t="s">
        <v>442</v>
      </c>
      <c r="N131" s="342" t="s">
        <v>393</v>
      </c>
      <c r="O131" s="557"/>
      <c r="P131" s="564">
        <v>0.05</v>
      </c>
      <c r="Q131" s="344">
        <f t="shared" si="21"/>
        <v>9827.2000000000007</v>
      </c>
      <c r="R131" s="784"/>
      <c r="S131" s="632"/>
      <c r="T131" s="532">
        <f t="shared" si="23"/>
        <v>46081</v>
      </c>
      <c r="U131" s="516">
        <f t="shared" si="19"/>
        <v>6807.9276865675401</v>
      </c>
      <c r="V131" s="763"/>
      <c r="W131" s="579">
        <f t="shared" si="24"/>
        <v>46108</v>
      </c>
      <c r="X131" s="757"/>
      <c r="Y131" s="482"/>
    </row>
    <row r="132" spans="1:25" ht="14.25" customHeight="1">
      <c r="B132" s="341">
        <v>10</v>
      </c>
      <c r="C132" s="342"/>
      <c r="D132" s="342"/>
      <c r="E132" s="343"/>
      <c r="F132" s="471"/>
      <c r="G132" s="344"/>
      <c r="H132" s="579"/>
      <c r="I132" s="754"/>
      <c r="J132" s="754"/>
      <c r="K132" s="273"/>
      <c r="L132" s="341">
        <v>10</v>
      </c>
      <c r="M132" s="435" t="s">
        <v>442</v>
      </c>
      <c r="N132" s="342"/>
      <c r="O132" s="557"/>
      <c r="P132" s="471"/>
      <c r="Q132" s="344"/>
      <c r="R132" s="596"/>
      <c r="S132" s="632"/>
      <c r="T132" s="532" t="str">
        <f t="shared" si="16"/>
        <v/>
      </c>
      <c r="U132" s="516">
        <f t="shared" si="19"/>
        <v>0</v>
      </c>
      <c r="V132" s="763"/>
      <c r="W132" s="579"/>
      <c r="X132" s="757"/>
      <c r="Y132" s="482"/>
    </row>
    <row r="133" spans="1:25" ht="14.25" customHeight="1">
      <c r="B133" s="341">
        <v>10</v>
      </c>
      <c r="C133" s="342"/>
      <c r="D133" s="342"/>
      <c r="E133" s="343"/>
      <c r="F133" s="471"/>
      <c r="G133" s="344"/>
      <c r="H133" s="579"/>
      <c r="I133" s="754"/>
      <c r="J133" s="754"/>
      <c r="K133" s="273"/>
      <c r="L133" s="341">
        <v>10</v>
      </c>
      <c r="M133" s="435" t="s">
        <v>442</v>
      </c>
      <c r="N133" s="342"/>
      <c r="O133" s="557"/>
      <c r="P133" s="471"/>
      <c r="Q133" s="344"/>
      <c r="R133" s="596"/>
      <c r="S133" s="632"/>
      <c r="T133" s="532" t="str">
        <f t="shared" si="16"/>
        <v/>
      </c>
      <c r="U133" s="516">
        <f t="shared" si="19"/>
        <v>0</v>
      </c>
      <c r="V133" s="763"/>
      <c r="W133" s="579"/>
      <c r="X133" s="757"/>
      <c r="Y133" s="482"/>
    </row>
    <row r="134" spans="1:25" ht="15" customHeight="1" thickBot="1">
      <c r="B134" s="274">
        <v>10</v>
      </c>
      <c r="C134" s="345"/>
      <c r="D134" s="345"/>
      <c r="E134" s="346"/>
      <c r="F134" s="472"/>
      <c r="G134" s="275"/>
      <c r="H134" s="580"/>
      <c r="I134" s="755"/>
      <c r="J134" s="755"/>
      <c r="K134" s="276"/>
      <c r="L134" s="274">
        <v>10</v>
      </c>
      <c r="M134" s="436" t="s">
        <v>442</v>
      </c>
      <c r="N134" s="345"/>
      <c r="O134" s="558"/>
      <c r="P134" s="472"/>
      <c r="Q134" s="275"/>
      <c r="R134" s="597"/>
      <c r="S134" s="633"/>
      <c r="T134" s="533" t="str">
        <f t="shared" si="16"/>
        <v/>
      </c>
      <c r="U134" s="517">
        <f t="shared" si="19"/>
        <v>0</v>
      </c>
      <c r="V134" s="764"/>
      <c r="W134" s="580"/>
      <c r="X134" s="758"/>
      <c r="Y134" s="482"/>
    </row>
    <row r="135" spans="1:25" ht="13.9" thickBot="1">
      <c r="A135" s="24"/>
      <c r="B135" s="277"/>
      <c r="C135" s="278"/>
      <c r="D135" s="278"/>
      <c r="E135" s="292"/>
      <c r="F135" s="456"/>
      <c r="G135" s="280"/>
      <c r="H135" s="569"/>
      <c r="I135" s="281"/>
      <c r="J135" s="402"/>
      <c r="K135" s="24"/>
      <c r="L135" s="277"/>
      <c r="M135" s="278"/>
      <c r="N135" s="278"/>
      <c r="O135" s="546"/>
      <c r="P135" s="456"/>
      <c r="Q135" s="280"/>
      <c r="R135" s="590"/>
      <c r="S135" s="626"/>
      <c r="T135" s="521" t="str">
        <f t="shared" si="16"/>
        <v/>
      </c>
      <c r="U135" s="506"/>
      <c r="V135" s="493"/>
      <c r="W135" s="569"/>
      <c r="X135" s="351"/>
      <c r="Y135" s="482"/>
    </row>
    <row r="136" spans="1:25" ht="14.25" customHeight="1">
      <c r="B136" s="282">
        <v>11</v>
      </c>
      <c r="C136" s="283" t="s">
        <v>453</v>
      </c>
      <c r="D136" s="352" t="s">
        <v>454</v>
      </c>
      <c r="E136" s="284"/>
      <c r="F136" s="437"/>
      <c r="G136" s="285">
        <v>34004.250000000007</v>
      </c>
      <c r="H136" s="573">
        <v>45900</v>
      </c>
      <c r="I136" s="747">
        <f>SUM(G136:G140)</f>
        <v>182012.75000000003</v>
      </c>
      <c r="J136" s="747">
        <f>F194</f>
        <v>206832.67045454547</v>
      </c>
      <c r="K136" s="286"/>
      <c r="L136" s="282">
        <v>11</v>
      </c>
      <c r="M136" s="352" t="s">
        <v>455</v>
      </c>
      <c r="N136" s="352" t="s">
        <v>454</v>
      </c>
      <c r="O136" s="284"/>
      <c r="P136" s="437"/>
      <c r="Q136" s="285">
        <v>34004.250000000007</v>
      </c>
      <c r="R136" s="589"/>
      <c r="S136" s="625"/>
      <c r="T136" s="525">
        <f t="shared" si="16"/>
        <v>46081</v>
      </c>
      <c r="U136" s="511">
        <f>(Q136/$X$136*$J$136)-9644.47</f>
        <v>39765.390940981844</v>
      </c>
      <c r="V136" s="759">
        <f>J136-SUM(U136:U140)</f>
        <v>2.1007240866310894E-4</v>
      </c>
      <c r="W136" s="573">
        <f>'Project Plan'!K46</f>
        <v>46066</v>
      </c>
      <c r="X136" s="750">
        <f>SUM(Q136:Q140)</f>
        <v>142343.85</v>
      </c>
      <c r="Y136" s="482"/>
    </row>
    <row r="137" spans="1:25" ht="15" customHeight="1">
      <c r="B137" s="312">
        <v>11</v>
      </c>
      <c r="C137" s="314"/>
      <c r="D137" s="314" t="s">
        <v>456</v>
      </c>
      <c r="E137" s="315"/>
      <c r="F137" s="459"/>
      <c r="G137" s="316">
        <v>68008.500000000015</v>
      </c>
      <c r="H137" s="534">
        <v>45900</v>
      </c>
      <c r="I137" s="748"/>
      <c r="J137" s="748"/>
      <c r="K137" s="289"/>
      <c r="L137" s="312">
        <v>11</v>
      </c>
      <c r="M137" s="389" t="s">
        <v>455</v>
      </c>
      <c r="N137" s="314" t="s">
        <v>456</v>
      </c>
      <c r="O137" s="315"/>
      <c r="P137" s="459"/>
      <c r="Q137" s="316">
        <v>9019.6</v>
      </c>
      <c r="R137" s="635"/>
      <c r="S137" s="618" t="s">
        <v>457</v>
      </c>
      <c r="T137" s="644">
        <v>45930</v>
      </c>
      <c r="U137" s="669">
        <v>14096.219464915206</v>
      </c>
      <c r="V137" s="760"/>
      <c r="W137" s="534">
        <v>45757</v>
      </c>
      <c r="X137" s="751"/>
      <c r="Y137" s="482"/>
    </row>
    <row r="138" spans="1:25" ht="15" customHeight="1">
      <c r="B138" s="312">
        <v>11</v>
      </c>
      <c r="C138" s="314"/>
      <c r="D138" s="314"/>
      <c r="E138" s="315"/>
      <c r="F138" s="459"/>
      <c r="G138" s="316"/>
      <c r="H138" s="534">
        <v>45900</v>
      </c>
      <c r="I138" s="748"/>
      <c r="J138" s="748"/>
      <c r="K138" s="289"/>
      <c r="L138" s="312">
        <v>11</v>
      </c>
      <c r="M138" s="389" t="s">
        <v>455</v>
      </c>
      <c r="N138" s="314" t="s">
        <v>458</v>
      </c>
      <c r="O138" s="315"/>
      <c r="P138" s="459"/>
      <c r="Q138" s="316">
        <v>9620</v>
      </c>
      <c r="R138" s="582"/>
      <c r="S138" s="618" t="s">
        <v>459</v>
      </c>
      <c r="T138" s="644">
        <v>45930</v>
      </c>
      <c r="U138" s="669">
        <v>15034.550451514953</v>
      </c>
      <c r="V138" s="760"/>
      <c r="W138" s="534">
        <v>45723</v>
      </c>
      <c r="X138" s="751"/>
      <c r="Y138" s="482"/>
    </row>
    <row r="139" spans="1:25" ht="15" customHeight="1">
      <c r="B139" s="312">
        <v>11</v>
      </c>
      <c r="C139" s="387"/>
      <c r="D139" s="387" t="s">
        <v>460</v>
      </c>
      <c r="E139" s="406"/>
      <c r="F139" s="444"/>
      <c r="G139" s="386">
        <v>80000</v>
      </c>
      <c r="H139" s="567">
        <v>45900</v>
      </c>
      <c r="I139" s="748"/>
      <c r="J139" s="748"/>
      <c r="K139" s="289"/>
      <c r="L139" s="312">
        <v>11</v>
      </c>
      <c r="M139" s="389" t="s">
        <v>455</v>
      </c>
      <c r="N139" s="387" t="s">
        <v>460</v>
      </c>
      <c r="O139" s="406"/>
      <c r="P139" s="444"/>
      <c r="Q139" s="386">
        <v>79700</v>
      </c>
      <c r="R139" s="583" t="s">
        <v>461</v>
      </c>
      <c r="S139" s="619" t="s">
        <v>462</v>
      </c>
      <c r="T139" s="644">
        <v>45930</v>
      </c>
      <c r="U139" s="669">
        <f>124558.593657562-1152.58</f>
        <v>123406.013657562</v>
      </c>
      <c r="V139" s="760"/>
      <c r="W139" s="567">
        <v>45716</v>
      </c>
      <c r="X139" s="751"/>
      <c r="Y139" s="482"/>
    </row>
    <row r="140" spans="1:25" ht="15" customHeight="1" thickBot="1">
      <c r="B140" s="317">
        <v>11</v>
      </c>
      <c r="C140" s="318"/>
      <c r="D140" s="318"/>
      <c r="E140" s="319"/>
      <c r="F140" s="460"/>
      <c r="G140" s="331"/>
      <c r="H140" s="568"/>
      <c r="I140" s="749"/>
      <c r="J140" s="749"/>
      <c r="K140" s="290"/>
      <c r="L140" s="317">
        <v>11</v>
      </c>
      <c r="M140" s="419" t="s">
        <v>455</v>
      </c>
      <c r="N140" s="318" t="s">
        <v>463</v>
      </c>
      <c r="O140" s="545"/>
      <c r="P140" s="460"/>
      <c r="Q140" s="331">
        <v>10000</v>
      </c>
      <c r="R140" s="584"/>
      <c r="S140" s="620"/>
      <c r="T140" s="520">
        <v>46081</v>
      </c>
      <c r="U140" s="505">
        <f>(Q140/$X$136*$J$136)</f>
        <v>14530.49572949906</v>
      </c>
      <c r="V140" s="761"/>
      <c r="W140" s="568">
        <f>T140</f>
        <v>46081</v>
      </c>
      <c r="X140" s="752"/>
      <c r="Y140" s="482"/>
    </row>
    <row r="141" spans="1:25" ht="15" customHeight="1" thickBot="1">
      <c r="A141" s="24"/>
      <c r="B141" s="291"/>
      <c r="C141" s="278"/>
      <c r="D141" s="278"/>
      <c r="E141" s="292"/>
      <c r="F141" s="456"/>
      <c r="G141" s="293"/>
      <c r="H141" s="569"/>
      <c r="I141" s="281"/>
      <c r="J141" s="281"/>
      <c r="K141" s="24"/>
      <c r="L141" s="291"/>
      <c r="M141" s="278"/>
      <c r="N141" s="278"/>
      <c r="O141" s="546"/>
      <c r="P141" s="456"/>
      <c r="Q141" s="293"/>
      <c r="R141" s="585"/>
      <c r="S141" s="621"/>
      <c r="T141" s="521" t="str">
        <f t="shared" si="16"/>
        <v/>
      </c>
      <c r="U141" s="510"/>
      <c r="V141" s="492"/>
      <c r="W141" s="569"/>
      <c r="X141" s="351"/>
      <c r="Y141" s="482"/>
    </row>
    <row r="142" spans="1:25">
      <c r="B142" s="270">
        <v>12</v>
      </c>
      <c r="C142" s="271" t="s">
        <v>464</v>
      </c>
      <c r="D142" s="271"/>
      <c r="E142" s="272"/>
      <c r="F142" s="470"/>
      <c r="G142" s="339"/>
      <c r="H142" s="577"/>
      <c r="I142" s="753">
        <f>SUM(G142:G143)</f>
        <v>0</v>
      </c>
      <c r="J142" s="753">
        <v>0</v>
      </c>
      <c r="K142" s="765"/>
      <c r="L142" s="270">
        <v>12</v>
      </c>
      <c r="M142" s="271" t="s">
        <v>465</v>
      </c>
      <c r="N142" s="271"/>
      <c r="O142" s="556"/>
      <c r="P142" s="470"/>
      <c r="Q142" s="339"/>
      <c r="R142" s="594"/>
      <c r="S142" s="630"/>
      <c r="T142" s="530" t="str">
        <f t="shared" si="16"/>
        <v/>
      </c>
      <c r="U142" s="515"/>
      <c r="V142" s="491"/>
      <c r="W142" s="577"/>
      <c r="X142" s="756">
        <f>SUM(Q142:Q143)</f>
        <v>0</v>
      </c>
      <c r="Y142" s="482"/>
    </row>
    <row r="143" spans="1:25" ht="15" customHeight="1" thickBot="1">
      <c r="B143" s="274">
        <v>12</v>
      </c>
      <c r="C143" s="345" t="s">
        <v>464</v>
      </c>
      <c r="D143" s="345"/>
      <c r="E143" s="346"/>
      <c r="F143" s="472"/>
      <c r="G143" s="275"/>
      <c r="H143" s="580"/>
      <c r="I143" s="755"/>
      <c r="J143" s="755"/>
      <c r="K143" s="766"/>
      <c r="L143" s="274">
        <v>12</v>
      </c>
      <c r="M143" s="345" t="s">
        <v>465</v>
      </c>
      <c r="N143" s="345"/>
      <c r="O143" s="558"/>
      <c r="P143" s="472"/>
      <c r="Q143" s="275"/>
      <c r="R143" s="597"/>
      <c r="S143" s="633"/>
      <c r="T143" s="533" t="str">
        <f t="shared" si="16"/>
        <v/>
      </c>
      <c r="U143" s="517"/>
      <c r="V143" s="490"/>
      <c r="W143" s="580"/>
      <c r="X143" s="758"/>
      <c r="Y143" s="482"/>
    </row>
    <row r="144" spans="1:25" ht="14.25" thickBot="1">
      <c r="A144" s="24"/>
      <c r="B144" s="291"/>
      <c r="C144" s="278"/>
      <c r="D144" s="278"/>
      <c r="E144" s="292"/>
      <c r="F144" s="456"/>
      <c r="G144" s="293"/>
      <c r="H144" s="569"/>
      <c r="I144" s="327"/>
      <c r="J144" s="327"/>
      <c r="K144" s="24"/>
      <c r="L144" s="291"/>
      <c r="M144" s="278"/>
      <c r="N144" s="278"/>
      <c r="O144" s="546"/>
      <c r="P144" s="456"/>
      <c r="Q144" s="293"/>
      <c r="R144" s="585"/>
      <c r="S144" s="621"/>
      <c r="T144" s="521" t="str">
        <f t="shared" ref="T144:T163" si="25">IF(W144&gt;1,EOMONTH(W144,0),"")</f>
        <v/>
      </c>
      <c r="U144" s="510"/>
      <c r="V144" s="492"/>
      <c r="W144" s="569"/>
      <c r="X144" s="483"/>
      <c r="Y144" s="482"/>
    </row>
    <row r="145" spans="1:25" ht="15.75" customHeight="1">
      <c r="B145" s="282">
        <v>13</v>
      </c>
      <c r="C145" s="283" t="s">
        <v>466</v>
      </c>
      <c r="D145" s="352" t="s">
        <v>467</v>
      </c>
      <c r="E145" s="284"/>
      <c r="F145" s="437"/>
      <c r="G145" s="285">
        <v>110470.56870833333</v>
      </c>
      <c r="H145" s="573">
        <v>45900</v>
      </c>
      <c r="I145" s="747">
        <f>SUM(G145:G149)</f>
        <v>429230.63442261907</v>
      </c>
      <c r="J145" s="747">
        <f>F193</f>
        <v>487762.08457115805</v>
      </c>
      <c r="K145" s="286"/>
      <c r="L145" s="282">
        <v>13</v>
      </c>
      <c r="M145" s="352" t="s">
        <v>468</v>
      </c>
      <c r="N145" s="352" t="s">
        <v>469</v>
      </c>
      <c r="O145" s="542"/>
      <c r="P145" s="437"/>
      <c r="Q145" s="285">
        <f>'Project Plan'!$E$6*1.25%</f>
        <v>130354.30432724001</v>
      </c>
      <c r="R145" s="589"/>
      <c r="S145" s="625"/>
      <c r="T145" s="525">
        <f t="shared" si="25"/>
        <v>46081</v>
      </c>
      <c r="U145" s="511">
        <f t="shared" ref="U145:U150" si="26">(Q145/$X$145*$J$145)</f>
        <v>487762.08457115805</v>
      </c>
      <c r="V145" s="759">
        <f>J145-SUM(U145:U150)</f>
        <v>0</v>
      </c>
      <c r="W145" s="573">
        <f>EOMONTH('Project Plan'!K46,0)</f>
        <v>46081</v>
      </c>
      <c r="X145" s="750">
        <f>SUM(Q145:Q150)</f>
        <v>130354.30432724001</v>
      </c>
      <c r="Y145" s="482"/>
    </row>
    <row r="146" spans="1:25" ht="15.75" customHeight="1">
      <c r="B146" s="312">
        <v>13</v>
      </c>
      <c r="C146" s="314"/>
      <c r="D146" s="314" t="s">
        <v>470</v>
      </c>
      <c r="E146" s="315"/>
      <c r="F146" s="459"/>
      <c r="G146" s="316">
        <v>77714.28571428571</v>
      </c>
      <c r="H146" s="566">
        <v>45900</v>
      </c>
      <c r="I146" s="748"/>
      <c r="J146" s="748"/>
      <c r="K146" s="289"/>
      <c r="L146" s="312">
        <v>13</v>
      </c>
      <c r="M146" s="389" t="s">
        <v>468</v>
      </c>
      <c r="N146" s="314" t="s">
        <v>470</v>
      </c>
      <c r="O146" s="543"/>
      <c r="P146" s="459"/>
      <c r="Q146" s="316"/>
      <c r="R146" s="582"/>
      <c r="S146" s="618"/>
      <c r="T146" s="518"/>
      <c r="U146" s="503">
        <f t="shared" si="26"/>
        <v>0</v>
      </c>
      <c r="V146" s="760"/>
      <c r="W146" s="566"/>
      <c r="X146" s="751"/>
      <c r="Y146" s="482"/>
    </row>
    <row r="147" spans="1:25" ht="15.75" customHeight="1">
      <c r="B147" s="312">
        <v>13</v>
      </c>
      <c r="C147" s="314"/>
      <c r="D147" s="314" t="s">
        <v>471</v>
      </c>
      <c r="E147" s="315"/>
      <c r="F147" s="459"/>
      <c r="G147" s="316">
        <v>136000</v>
      </c>
      <c r="H147" s="566">
        <v>45900</v>
      </c>
      <c r="I147" s="748"/>
      <c r="J147" s="748"/>
      <c r="K147" s="289"/>
      <c r="L147" s="312">
        <v>13</v>
      </c>
      <c r="M147" s="389" t="s">
        <v>468</v>
      </c>
      <c r="N147" s="314" t="s">
        <v>471</v>
      </c>
      <c r="O147" s="543"/>
      <c r="P147" s="459"/>
      <c r="Q147" s="316"/>
      <c r="R147" s="582"/>
      <c r="S147" s="618"/>
      <c r="T147" s="518"/>
      <c r="U147" s="503">
        <f t="shared" si="26"/>
        <v>0</v>
      </c>
      <c r="V147" s="760"/>
      <c r="W147" s="566"/>
      <c r="X147" s="751"/>
      <c r="Y147" s="482"/>
    </row>
    <row r="148" spans="1:25" ht="15.75" customHeight="1">
      <c r="B148" s="312">
        <v>13</v>
      </c>
      <c r="C148" s="314"/>
      <c r="D148" s="314" t="s">
        <v>472</v>
      </c>
      <c r="E148" s="315"/>
      <c r="F148" s="459"/>
      <c r="G148" s="316">
        <v>52000</v>
      </c>
      <c r="H148" s="566">
        <v>45900</v>
      </c>
      <c r="I148" s="748"/>
      <c r="J148" s="748"/>
      <c r="K148" s="289"/>
      <c r="L148" s="312">
        <v>13</v>
      </c>
      <c r="M148" s="389" t="s">
        <v>468</v>
      </c>
      <c r="N148" s="314" t="s">
        <v>472</v>
      </c>
      <c r="O148" s="543"/>
      <c r="P148" s="459"/>
      <c r="Q148" s="316"/>
      <c r="R148" s="582"/>
      <c r="S148" s="618"/>
      <c r="T148" s="518"/>
      <c r="U148" s="503">
        <f t="shared" si="26"/>
        <v>0</v>
      </c>
      <c r="V148" s="760"/>
      <c r="W148" s="566"/>
      <c r="X148" s="751"/>
      <c r="Y148" s="482"/>
    </row>
    <row r="149" spans="1:25" ht="15.75" customHeight="1">
      <c r="B149" s="312">
        <v>13</v>
      </c>
      <c r="C149" s="314"/>
      <c r="D149" s="314" t="s">
        <v>473</v>
      </c>
      <c r="E149" s="315"/>
      <c r="F149" s="459"/>
      <c r="G149" s="316">
        <v>53045.780000000006</v>
      </c>
      <c r="H149" s="566">
        <v>45900</v>
      </c>
      <c r="I149" s="748"/>
      <c r="J149" s="748"/>
      <c r="K149" s="289"/>
      <c r="L149" s="312">
        <v>13</v>
      </c>
      <c r="M149" s="389" t="s">
        <v>468</v>
      </c>
      <c r="N149" s="314" t="s">
        <v>473</v>
      </c>
      <c r="O149" s="543"/>
      <c r="P149" s="459"/>
      <c r="Q149" s="316"/>
      <c r="R149" s="582"/>
      <c r="S149" s="618"/>
      <c r="T149" s="518"/>
      <c r="U149" s="503">
        <f t="shared" si="26"/>
        <v>0</v>
      </c>
      <c r="V149" s="760"/>
      <c r="W149" s="566"/>
      <c r="X149" s="751"/>
      <c r="Y149" s="482"/>
    </row>
    <row r="150" spans="1:25" ht="15.75" customHeight="1" thickBot="1">
      <c r="B150" s="317">
        <v>13</v>
      </c>
      <c r="C150" s="318"/>
      <c r="D150" s="318"/>
      <c r="E150" s="319"/>
      <c r="F150" s="460"/>
      <c r="G150" s="331"/>
      <c r="H150" s="568"/>
      <c r="I150" s="749"/>
      <c r="J150" s="749"/>
      <c r="K150" s="365"/>
      <c r="L150" s="317">
        <v>13</v>
      </c>
      <c r="M150" s="419" t="s">
        <v>468</v>
      </c>
      <c r="N150" s="318"/>
      <c r="O150" s="545"/>
      <c r="P150" s="460"/>
      <c r="Q150" s="331"/>
      <c r="R150" s="584"/>
      <c r="S150" s="620"/>
      <c r="T150" s="520" t="str">
        <f t="shared" si="25"/>
        <v/>
      </c>
      <c r="U150" s="505">
        <f t="shared" si="26"/>
        <v>0</v>
      </c>
      <c r="V150" s="761"/>
      <c r="W150" s="568"/>
      <c r="X150" s="752"/>
      <c r="Y150" s="482"/>
    </row>
    <row r="151" spans="1:25" ht="14.25" thickBot="1">
      <c r="A151" s="24"/>
      <c r="B151" s="291"/>
      <c r="C151" s="278"/>
      <c r="D151" s="278"/>
      <c r="E151" s="292"/>
      <c r="F151" s="456"/>
      <c r="G151" s="293"/>
      <c r="H151" s="569"/>
      <c r="I151" s="281"/>
      <c r="J151" s="281"/>
      <c r="K151" s="24"/>
      <c r="L151" s="291"/>
      <c r="M151" s="278"/>
      <c r="N151" s="278"/>
      <c r="O151" s="546"/>
      <c r="P151" s="456"/>
      <c r="Q151" s="293"/>
      <c r="R151" s="585"/>
      <c r="S151" s="621"/>
      <c r="T151" s="521" t="str">
        <f t="shared" si="25"/>
        <v/>
      </c>
      <c r="U151" s="510"/>
      <c r="V151" s="492"/>
      <c r="W151" s="569"/>
      <c r="X151" s="483"/>
      <c r="Y151" s="482"/>
    </row>
    <row r="152" spans="1:25" ht="14.25" customHeight="1">
      <c r="B152" s="270">
        <v>14</v>
      </c>
      <c r="C152" s="271" t="s">
        <v>474</v>
      </c>
      <c r="D152" s="271" t="s">
        <v>475</v>
      </c>
      <c r="E152" s="272"/>
      <c r="F152" s="470"/>
      <c r="G152" s="339">
        <f>D204</f>
        <v>23800</v>
      </c>
      <c r="H152" s="537">
        <v>45905</v>
      </c>
      <c r="I152" s="753">
        <f>SUM(G152:G163)</f>
        <v>23800</v>
      </c>
      <c r="J152" s="753">
        <f>F204</f>
        <v>28000</v>
      </c>
      <c r="K152" s="340"/>
      <c r="L152" s="270">
        <v>14</v>
      </c>
      <c r="M152" s="434" t="s">
        <v>476</v>
      </c>
      <c r="N152" s="271" t="s">
        <v>477</v>
      </c>
      <c r="O152" s="556"/>
      <c r="P152" s="470"/>
      <c r="Q152" s="339">
        <v>13986.749999999998</v>
      </c>
      <c r="R152" s="594"/>
      <c r="S152" s="636" t="s">
        <v>478</v>
      </c>
      <c r="T152" s="645">
        <v>45930</v>
      </c>
      <c r="U152" s="670">
        <v>16326.887799201642</v>
      </c>
      <c r="V152" s="762">
        <f>J152-SUM(U152:U163)</f>
        <v>0</v>
      </c>
      <c r="W152" s="537">
        <v>45905</v>
      </c>
      <c r="X152" s="756">
        <f>SUM(Q152:Q163)</f>
        <v>47089.799999999996</v>
      </c>
      <c r="Y152" s="482"/>
    </row>
    <row r="153" spans="1:25" ht="14.25" customHeight="1">
      <c r="B153" s="341">
        <v>14</v>
      </c>
      <c r="C153" s="342"/>
      <c r="D153" s="342"/>
      <c r="E153" s="343"/>
      <c r="F153" s="471"/>
      <c r="G153" s="344"/>
      <c r="H153" s="579">
        <v>45869</v>
      </c>
      <c r="I153" s="754"/>
      <c r="J153" s="754"/>
      <c r="K153" s="273"/>
      <c r="L153" s="341">
        <v>14</v>
      </c>
      <c r="M153" s="435" t="s">
        <v>476</v>
      </c>
      <c r="N153" s="342" t="s">
        <v>477</v>
      </c>
      <c r="O153" s="557"/>
      <c r="P153" s="471"/>
      <c r="Q153" s="344">
        <v>10587.7</v>
      </c>
      <c r="R153" s="596"/>
      <c r="S153" s="630" t="s">
        <v>478</v>
      </c>
      <c r="T153" s="681">
        <v>45961</v>
      </c>
      <c r="U153" s="687">
        <v>3732.1066782460925</v>
      </c>
      <c r="V153" s="763"/>
      <c r="W153" s="682">
        <v>45967</v>
      </c>
      <c r="X153" s="757"/>
      <c r="Y153" s="482"/>
    </row>
    <row r="154" spans="1:25" ht="14.25" customHeight="1">
      <c r="B154" s="341">
        <v>14</v>
      </c>
      <c r="C154" s="342"/>
      <c r="D154" s="342"/>
      <c r="E154" s="343"/>
      <c r="F154" s="471"/>
      <c r="G154" s="344"/>
      <c r="H154" s="579">
        <v>45900</v>
      </c>
      <c r="I154" s="754"/>
      <c r="J154" s="754"/>
      <c r="K154" s="273"/>
      <c r="L154" s="341">
        <v>14</v>
      </c>
      <c r="M154" s="435" t="s">
        <v>476</v>
      </c>
      <c r="N154" s="342" t="s">
        <v>477</v>
      </c>
      <c r="O154" s="557"/>
      <c r="P154" s="471"/>
      <c r="Q154" s="344">
        <v>5515.35</v>
      </c>
      <c r="R154" s="596"/>
      <c r="S154" s="630" t="s">
        <v>478</v>
      </c>
      <c r="T154" s="681">
        <v>45991</v>
      </c>
      <c r="U154" s="687">
        <v>3279.4745358867531</v>
      </c>
      <c r="V154" s="763"/>
      <c r="W154" s="682">
        <v>45996</v>
      </c>
      <c r="X154" s="757"/>
      <c r="Y154" s="482"/>
    </row>
    <row r="155" spans="1:25" ht="14.25" customHeight="1">
      <c r="B155" s="341">
        <v>14</v>
      </c>
      <c r="C155" s="342"/>
      <c r="D155" s="342"/>
      <c r="E155" s="343"/>
      <c r="F155" s="471"/>
      <c r="G155" s="344"/>
      <c r="H155" s="579">
        <v>45930</v>
      </c>
      <c r="I155" s="754"/>
      <c r="J155" s="754"/>
      <c r="K155" s="273"/>
      <c r="L155" s="341">
        <v>14</v>
      </c>
      <c r="M155" s="435" t="s">
        <v>476</v>
      </c>
      <c r="N155" s="342" t="s">
        <v>477</v>
      </c>
      <c r="O155" s="557"/>
      <c r="P155" s="471"/>
      <c r="Q155" s="344">
        <v>0</v>
      </c>
      <c r="R155" s="596"/>
      <c r="S155" s="630" t="s">
        <v>478</v>
      </c>
      <c r="T155" s="681">
        <v>46022</v>
      </c>
      <c r="U155" s="701">
        <v>0</v>
      </c>
      <c r="V155" s="763"/>
      <c r="W155" s="682">
        <v>46022</v>
      </c>
      <c r="X155" s="757"/>
      <c r="Y155" s="482"/>
    </row>
    <row r="156" spans="1:25" ht="14.25" customHeight="1">
      <c r="B156" s="341">
        <v>14</v>
      </c>
      <c r="C156" s="342"/>
      <c r="D156" s="342"/>
      <c r="E156" s="343"/>
      <c r="F156" s="471"/>
      <c r="G156" s="344"/>
      <c r="H156" s="579"/>
      <c r="I156" s="754"/>
      <c r="J156" s="754"/>
      <c r="K156" s="273"/>
      <c r="L156" s="341">
        <v>14</v>
      </c>
      <c r="M156" s="435" t="s">
        <v>476</v>
      </c>
      <c r="N156" s="342" t="s">
        <v>477</v>
      </c>
      <c r="O156" s="557"/>
      <c r="P156" s="471"/>
      <c r="Q156" s="344">
        <v>8500</v>
      </c>
      <c r="R156" s="596"/>
      <c r="S156" s="630"/>
      <c r="T156" s="532">
        <v>46053</v>
      </c>
      <c r="U156" s="683">
        <v>2330.7654933327576</v>
      </c>
      <c r="V156" s="763"/>
      <c r="W156" s="579">
        <f>T156+7</f>
        <v>46060</v>
      </c>
      <c r="X156" s="757"/>
      <c r="Y156" s="482"/>
    </row>
    <row r="157" spans="1:25" ht="14.25" customHeight="1">
      <c r="B157" s="341">
        <v>14</v>
      </c>
      <c r="C157" s="342"/>
      <c r="D157" s="342"/>
      <c r="E157" s="343"/>
      <c r="F157" s="471"/>
      <c r="G157" s="344"/>
      <c r="H157" s="579"/>
      <c r="I157" s="754"/>
      <c r="J157" s="754"/>
      <c r="K157" s="273"/>
      <c r="L157" s="341">
        <v>14</v>
      </c>
      <c r="M157" s="435" t="s">
        <v>476</v>
      </c>
      <c r="N157" s="342"/>
      <c r="O157" s="557"/>
      <c r="P157" s="471"/>
      <c r="Q157" s="344">
        <v>8500</v>
      </c>
      <c r="R157" s="596"/>
      <c r="S157" s="683"/>
      <c r="T157" s="532">
        <v>46081</v>
      </c>
      <c r="U157" s="683">
        <v>2330.7654933327576</v>
      </c>
      <c r="V157" s="763"/>
      <c r="W157" s="579">
        <v>46093</v>
      </c>
      <c r="X157" s="757"/>
      <c r="Y157" s="482"/>
    </row>
    <row r="158" spans="1:25" ht="14.25" customHeight="1">
      <c r="B158" s="341">
        <v>14</v>
      </c>
      <c r="C158" s="342"/>
      <c r="D158" s="342"/>
      <c r="E158" s="343"/>
      <c r="F158" s="471"/>
      <c r="G158" s="344"/>
      <c r="H158" s="579"/>
      <c r="I158" s="754"/>
      <c r="J158" s="754"/>
      <c r="K158" s="273"/>
      <c r="L158" s="341">
        <v>14</v>
      </c>
      <c r="M158" s="435" t="s">
        <v>476</v>
      </c>
      <c r="N158" s="342"/>
      <c r="O158" s="557"/>
      <c r="P158" s="471"/>
      <c r="Q158" s="344"/>
      <c r="R158" s="596"/>
      <c r="S158" s="630"/>
      <c r="T158" s="532" t="str">
        <f t="shared" si="25"/>
        <v/>
      </c>
      <c r="U158" s="516">
        <f t="shared" ref="U158:U163" si="27">(Q158/$X$152*$J$152)</f>
        <v>0</v>
      </c>
      <c r="V158" s="763"/>
      <c r="W158" s="579"/>
      <c r="X158" s="757"/>
      <c r="Y158" s="482"/>
    </row>
    <row r="159" spans="1:25" ht="14.25" customHeight="1">
      <c r="B159" s="341">
        <v>14</v>
      </c>
      <c r="C159" s="342"/>
      <c r="D159" s="342"/>
      <c r="E159" s="343"/>
      <c r="F159" s="471"/>
      <c r="G159" s="344"/>
      <c r="H159" s="579"/>
      <c r="I159" s="754"/>
      <c r="J159" s="754"/>
      <c r="K159" s="273"/>
      <c r="L159" s="341">
        <v>14</v>
      </c>
      <c r="M159" s="435" t="s">
        <v>476</v>
      </c>
      <c r="N159" s="342"/>
      <c r="O159" s="557"/>
      <c r="P159" s="471"/>
      <c r="Q159" s="344"/>
      <c r="R159" s="596"/>
      <c r="S159" s="683"/>
      <c r="T159" s="532" t="str">
        <f t="shared" si="25"/>
        <v/>
      </c>
      <c r="U159" s="516">
        <f t="shared" si="27"/>
        <v>0</v>
      </c>
      <c r="V159" s="763"/>
      <c r="W159" s="579"/>
      <c r="X159" s="757"/>
      <c r="Y159" s="482"/>
    </row>
    <row r="160" spans="1:25" ht="14.25" customHeight="1">
      <c r="B160" s="341">
        <v>14</v>
      </c>
      <c r="C160" s="342"/>
      <c r="D160" s="342"/>
      <c r="E160" s="343"/>
      <c r="F160" s="471"/>
      <c r="G160" s="344"/>
      <c r="H160" s="579"/>
      <c r="I160" s="754"/>
      <c r="J160" s="754"/>
      <c r="K160" s="273"/>
      <c r="L160" s="341">
        <v>14</v>
      </c>
      <c r="M160" s="435" t="s">
        <v>476</v>
      </c>
      <c r="N160" s="342"/>
      <c r="O160" s="557"/>
      <c r="P160" s="471"/>
      <c r="Q160" s="344"/>
      <c r="R160" s="596"/>
      <c r="S160" s="630"/>
      <c r="T160" s="532" t="str">
        <f t="shared" si="25"/>
        <v/>
      </c>
      <c r="U160" s="516">
        <f t="shared" si="27"/>
        <v>0</v>
      </c>
      <c r="V160" s="763"/>
      <c r="W160" s="579"/>
      <c r="X160" s="757"/>
      <c r="Y160" s="482"/>
    </row>
    <row r="161" spans="1:25" ht="14.25" customHeight="1">
      <c r="B161" s="341">
        <v>14</v>
      </c>
      <c r="C161" s="342"/>
      <c r="D161" s="342"/>
      <c r="E161" s="343"/>
      <c r="F161" s="471"/>
      <c r="G161" s="344"/>
      <c r="H161" s="579"/>
      <c r="I161" s="754"/>
      <c r="J161" s="754"/>
      <c r="K161" s="273"/>
      <c r="L161" s="341">
        <v>14</v>
      </c>
      <c r="M161" s="435" t="s">
        <v>476</v>
      </c>
      <c r="N161" s="342"/>
      <c r="O161" s="557"/>
      <c r="P161" s="471"/>
      <c r="Q161" s="344"/>
      <c r="R161" s="596"/>
      <c r="S161" s="630"/>
      <c r="T161" s="532" t="str">
        <f t="shared" si="25"/>
        <v/>
      </c>
      <c r="U161" s="516">
        <f t="shared" si="27"/>
        <v>0</v>
      </c>
      <c r="V161" s="763"/>
      <c r="W161" s="579"/>
      <c r="X161" s="757"/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/>
      <c r="I162" s="754"/>
      <c r="J162" s="754"/>
      <c r="K162" s="273"/>
      <c r="L162" s="341">
        <v>14</v>
      </c>
      <c r="M162" s="435" t="s">
        <v>476</v>
      </c>
      <c r="N162" s="342"/>
      <c r="O162" s="557"/>
      <c r="P162" s="471"/>
      <c r="Q162" s="344"/>
      <c r="R162" s="596"/>
      <c r="S162" s="632"/>
      <c r="T162" s="532" t="str">
        <f t="shared" si="25"/>
        <v/>
      </c>
      <c r="U162" s="516">
        <f t="shared" si="27"/>
        <v>0</v>
      </c>
      <c r="V162" s="763"/>
      <c r="W162" s="579"/>
      <c r="X162" s="757"/>
      <c r="Y162" s="482"/>
    </row>
    <row r="163" spans="1:25" ht="15" customHeight="1" thickBot="1">
      <c r="B163" s="274">
        <v>14</v>
      </c>
      <c r="C163" s="345"/>
      <c r="D163" s="345"/>
      <c r="E163" s="346"/>
      <c r="F163" s="472"/>
      <c r="G163" s="275"/>
      <c r="H163" s="580"/>
      <c r="I163" s="755"/>
      <c r="J163" s="755"/>
      <c r="K163" s="276"/>
      <c r="L163" s="274">
        <v>14</v>
      </c>
      <c r="M163" s="436" t="s">
        <v>476</v>
      </c>
      <c r="N163" s="345"/>
      <c r="O163" s="558"/>
      <c r="P163" s="472"/>
      <c r="Q163" s="275"/>
      <c r="R163" s="597"/>
      <c r="S163" s="633"/>
      <c r="T163" s="533" t="str">
        <f t="shared" si="25"/>
        <v/>
      </c>
      <c r="U163" s="517">
        <f t="shared" si="27"/>
        <v>0</v>
      </c>
      <c r="V163" s="764"/>
      <c r="W163" s="580"/>
      <c r="X163" s="758"/>
      <c r="Y163" s="482"/>
    </row>
    <row r="164" spans="1:25" ht="14.25" thickBot="1">
      <c r="A164" s="24"/>
      <c r="B164" s="291"/>
      <c r="C164" s="278"/>
      <c r="D164" s="278"/>
      <c r="E164" s="292"/>
      <c r="F164" s="456"/>
      <c r="G164" s="293"/>
      <c r="H164" s="569"/>
      <c r="I164" s="347"/>
      <c r="J164" s="347"/>
      <c r="K164" s="24"/>
      <c r="L164" s="291"/>
      <c r="M164" s="278"/>
      <c r="N164" s="278"/>
      <c r="O164" s="546"/>
      <c r="P164" s="456"/>
      <c r="Q164" s="293"/>
      <c r="R164" s="585"/>
      <c r="S164" s="621"/>
      <c r="T164" s="521" t="str">
        <f t="shared" ref="T164:T176" si="28">IF(W164&gt;1,EOMONTH(W164,0),"")</f>
        <v/>
      </c>
      <c r="U164" s="510"/>
      <c r="V164" s="492"/>
      <c r="W164" s="569"/>
      <c r="X164" s="489"/>
      <c r="Y164" s="482"/>
    </row>
    <row r="165" spans="1:25">
      <c r="B165" s="282">
        <v>15</v>
      </c>
      <c r="C165" s="283" t="s">
        <v>479</v>
      </c>
      <c r="D165" s="283"/>
      <c r="E165" s="284"/>
      <c r="F165" s="437"/>
      <c r="G165" s="285"/>
      <c r="H165" s="573"/>
      <c r="I165" s="747">
        <f>SUM(G165:G176)</f>
        <v>0</v>
      </c>
      <c r="J165" s="747">
        <f>F201</f>
        <v>2000000</v>
      </c>
      <c r="K165" s="286"/>
      <c r="L165" s="282">
        <v>15</v>
      </c>
      <c r="M165" s="352" t="s">
        <v>480</v>
      </c>
      <c r="N165" s="283"/>
      <c r="O165" s="284"/>
      <c r="P165" s="437"/>
      <c r="Q165" s="285"/>
      <c r="R165" s="589"/>
      <c r="S165" s="625"/>
      <c r="T165" s="525"/>
      <c r="U165" s="511"/>
      <c r="V165" s="759">
        <v>0</v>
      </c>
      <c r="W165" s="573"/>
      <c r="X165" s="750">
        <f>SUM(Q165:Q176)</f>
        <v>110570.16</v>
      </c>
      <c r="Y165" s="482"/>
    </row>
    <row r="166" spans="1:25">
      <c r="B166" s="312">
        <v>15</v>
      </c>
      <c r="C166" s="314"/>
      <c r="D166" s="314"/>
      <c r="E166" s="315"/>
      <c r="F166" s="459"/>
      <c r="G166" s="316"/>
      <c r="H166" s="566"/>
      <c r="I166" s="748"/>
      <c r="J166" s="748"/>
      <c r="K166" s="289"/>
      <c r="L166" s="312">
        <v>15</v>
      </c>
      <c r="M166" s="389" t="s">
        <v>480</v>
      </c>
      <c r="N166" s="314"/>
      <c r="O166" s="543"/>
      <c r="P166" s="459"/>
      <c r="Q166" s="316"/>
      <c r="R166" s="582"/>
      <c r="S166" s="618"/>
      <c r="T166" s="518"/>
      <c r="U166" s="503"/>
      <c r="V166" s="760"/>
      <c r="W166" s="566"/>
      <c r="X166" s="751"/>
      <c r="Y166" s="482"/>
    </row>
    <row r="167" spans="1:25">
      <c r="B167" s="312">
        <v>15</v>
      </c>
      <c r="C167" s="314"/>
      <c r="D167" s="314"/>
      <c r="E167" s="315"/>
      <c r="F167" s="459"/>
      <c r="G167" s="316"/>
      <c r="H167" s="566">
        <v>45991</v>
      </c>
      <c r="I167" s="748"/>
      <c r="J167" s="748"/>
      <c r="K167" s="289"/>
      <c r="L167" s="312">
        <v>15</v>
      </c>
      <c r="M167" s="389" t="s">
        <v>480</v>
      </c>
      <c r="N167" s="314" t="s">
        <v>481</v>
      </c>
      <c r="O167" s="543"/>
      <c r="P167" s="459"/>
      <c r="Q167" s="316">
        <v>56132.72</v>
      </c>
      <c r="R167" s="582" t="s">
        <v>482</v>
      </c>
      <c r="S167" s="618" t="s">
        <v>483</v>
      </c>
      <c r="T167" s="644">
        <v>46022</v>
      </c>
      <c r="U167" s="503"/>
      <c r="V167" s="760"/>
      <c r="W167" s="566">
        <v>46058</v>
      </c>
      <c r="X167" s="751"/>
      <c r="Y167" s="482"/>
    </row>
    <row r="168" spans="1:25">
      <c r="B168" s="312">
        <v>15</v>
      </c>
      <c r="C168" s="314"/>
      <c r="D168" s="314"/>
      <c r="E168" s="315"/>
      <c r="F168" s="459"/>
      <c r="G168" s="316"/>
      <c r="H168" s="566"/>
      <c r="I168" s="748"/>
      <c r="J168" s="748"/>
      <c r="K168" s="289"/>
      <c r="L168" s="312">
        <v>15</v>
      </c>
      <c r="M168" s="389" t="s">
        <v>480</v>
      </c>
      <c r="N168" s="314" t="s">
        <v>484</v>
      </c>
      <c r="O168" s="543"/>
      <c r="P168" s="459"/>
      <c r="Q168" s="316">
        <f>54437.44-Q169</f>
        <v>5717.4400000000023</v>
      </c>
      <c r="R168" s="582" t="s">
        <v>485</v>
      </c>
      <c r="S168" s="618"/>
      <c r="T168" s="518">
        <v>46053</v>
      </c>
      <c r="U168" s="503"/>
      <c r="V168" s="760"/>
      <c r="W168" s="566">
        <v>46053</v>
      </c>
      <c r="X168" s="751"/>
      <c r="Y168" s="482"/>
    </row>
    <row r="169" spans="1:25">
      <c r="B169" s="312">
        <v>15</v>
      </c>
      <c r="C169" s="314"/>
      <c r="D169" s="314"/>
      <c r="E169" s="315"/>
      <c r="F169" s="459"/>
      <c r="G169" s="316"/>
      <c r="H169" s="566"/>
      <c r="I169" s="748"/>
      <c r="J169" s="748"/>
      <c r="K169" s="289"/>
      <c r="L169" s="312">
        <v>15</v>
      </c>
      <c r="M169" s="389" t="s">
        <v>480</v>
      </c>
      <c r="N169" s="314"/>
      <c r="O169" s="543"/>
      <c r="P169" s="459"/>
      <c r="Q169" s="316">
        <v>48720</v>
      </c>
      <c r="R169" s="582"/>
      <c r="S169" s="618" t="s">
        <v>486</v>
      </c>
      <c r="T169" s="644">
        <v>46022</v>
      </c>
      <c r="U169" s="503"/>
      <c r="V169" s="760"/>
      <c r="W169" s="566">
        <v>46053</v>
      </c>
      <c r="X169" s="751"/>
      <c r="Y169" s="482"/>
    </row>
    <row r="170" spans="1:25">
      <c r="B170" s="312">
        <v>15</v>
      </c>
      <c r="C170" s="314"/>
      <c r="D170" s="314"/>
      <c r="E170" s="315"/>
      <c r="F170" s="459"/>
      <c r="G170" s="316"/>
      <c r="H170" s="566"/>
      <c r="I170" s="748"/>
      <c r="J170" s="748"/>
      <c r="K170" s="289"/>
      <c r="L170" s="312">
        <v>15</v>
      </c>
      <c r="M170" s="389" t="s">
        <v>480</v>
      </c>
      <c r="N170" s="314"/>
      <c r="O170" s="543"/>
      <c r="P170" s="459"/>
      <c r="Q170" s="316"/>
      <c r="R170" s="582"/>
      <c r="S170" s="618"/>
      <c r="T170" s="518" t="str">
        <f t="shared" si="28"/>
        <v/>
      </c>
      <c r="U170" s="503"/>
      <c r="V170" s="760"/>
      <c r="W170" s="566"/>
      <c r="X170" s="751"/>
      <c r="Y170" s="482"/>
    </row>
    <row r="171" spans="1:25">
      <c r="B171" s="312">
        <v>15</v>
      </c>
      <c r="C171" s="314"/>
      <c r="D171" s="314"/>
      <c r="E171" s="315"/>
      <c r="F171" s="459"/>
      <c r="G171" s="316"/>
      <c r="H171" s="566"/>
      <c r="I171" s="748"/>
      <c r="J171" s="748"/>
      <c r="K171" s="289"/>
      <c r="L171" s="312">
        <v>15</v>
      </c>
      <c r="M171" s="389" t="s">
        <v>480</v>
      </c>
      <c r="N171" s="314"/>
      <c r="O171" s="543"/>
      <c r="P171" s="459"/>
      <c r="Q171" s="316"/>
      <c r="R171" s="582"/>
      <c r="S171" s="618"/>
      <c r="T171" s="518" t="str">
        <f t="shared" si="28"/>
        <v/>
      </c>
      <c r="U171" s="503"/>
      <c r="V171" s="760"/>
      <c r="W171" s="566"/>
      <c r="X171" s="751"/>
      <c r="Y171" s="482"/>
    </row>
    <row r="172" spans="1:25">
      <c r="B172" s="312">
        <v>15</v>
      </c>
      <c r="C172" s="314"/>
      <c r="D172" s="314"/>
      <c r="E172" s="315"/>
      <c r="F172" s="459"/>
      <c r="G172" s="316"/>
      <c r="H172" s="566"/>
      <c r="I172" s="748"/>
      <c r="J172" s="748"/>
      <c r="K172" s="289"/>
      <c r="L172" s="312">
        <v>15</v>
      </c>
      <c r="M172" s="389" t="s">
        <v>480</v>
      </c>
      <c r="N172" s="314"/>
      <c r="O172" s="543"/>
      <c r="P172" s="459"/>
      <c r="Q172" s="316"/>
      <c r="R172" s="582"/>
      <c r="S172" s="618"/>
      <c r="T172" s="518" t="str">
        <f t="shared" si="28"/>
        <v/>
      </c>
      <c r="U172" s="503"/>
      <c r="V172" s="760"/>
      <c r="W172" s="566"/>
      <c r="X172" s="751"/>
      <c r="Y172" s="482"/>
    </row>
    <row r="173" spans="1:25">
      <c r="B173" s="312">
        <v>15</v>
      </c>
      <c r="C173" s="314"/>
      <c r="D173" s="314"/>
      <c r="E173" s="315"/>
      <c r="F173" s="459"/>
      <c r="G173" s="316"/>
      <c r="H173" s="566"/>
      <c r="I173" s="748"/>
      <c r="J173" s="748"/>
      <c r="K173" s="289"/>
      <c r="L173" s="312">
        <v>15</v>
      </c>
      <c r="M173" s="389" t="s">
        <v>480</v>
      </c>
      <c r="N173" s="314"/>
      <c r="O173" s="543"/>
      <c r="P173" s="459"/>
      <c r="Q173" s="316"/>
      <c r="R173" s="582"/>
      <c r="S173" s="618"/>
      <c r="T173" s="518" t="str">
        <f t="shared" si="28"/>
        <v/>
      </c>
      <c r="U173" s="503"/>
      <c r="V173" s="760"/>
      <c r="W173" s="566"/>
      <c r="X173" s="751"/>
      <c r="Y173" s="482"/>
    </row>
    <row r="174" spans="1:25">
      <c r="B174" s="312">
        <v>15</v>
      </c>
      <c r="C174" s="314"/>
      <c r="D174" s="314"/>
      <c r="E174" s="315"/>
      <c r="F174" s="459"/>
      <c r="G174" s="316"/>
      <c r="H174" s="566"/>
      <c r="I174" s="748"/>
      <c r="J174" s="748"/>
      <c r="K174" s="289"/>
      <c r="L174" s="312">
        <v>15</v>
      </c>
      <c r="M174" s="389" t="s">
        <v>480</v>
      </c>
      <c r="N174" s="314"/>
      <c r="O174" s="543"/>
      <c r="P174" s="459"/>
      <c r="Q174" s="316"/>
      <c r="R174" s="582"/>
      <c r="S174" s="618"/>
      <c r="T174" s="518" t="str">
        <f t="shared" si="28"/>
        <v/>
      </c>
      <c r="U174" s="503"/>
      <c r="V174" s="760"/>
      <c r="W174" s="566"/>
      <c r="X174" s="751"/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48"/>
      <c r="J175" s="748"/>
      <c r="K175" s="289"/>
      <c r="L175" s="312">
        <v>15</v>
      </c>
      <c r="M175" s="389" t="s">
        <v>480</v>
      </c>
      <c r="N175" s="314"/>
      <c r="O175" s="543"/>
      <c r="P175" s="459"/>
      <c r="Q175" s="316"/>
      <c r="R175" s="582"/>
      <c r="S175" s="618"/>
      <c r="T175" s="518" t="str">
        <f t="shared" si="28"/>
        <v/>
      </c>
      <c r="U175" s="503"/>
      <c r="V175" s="760"/>
      <c r="W175" s="566"/>
      <c r="X175" s="751"/>
      <c r="Y175" s="482"/>
    </row>
    <row r="176" spans="1:25" ht="15" customHeight="1" thickBot="1">
      <c r="B176" s="317">
        <v>15</v>
      </c>
      <c r="C176" s="318"/>
      <c r="D176" s="318"/>
      <c r="E176" s="319"/>
      <c r="F176" s="460"/>
      <c r="G176" s="331"/>
      <c r="H176" s="568"/>
      <c r="I176" s="749"/>
      <c r="J176" s="749"/>
      <c r="K176" s="290"/>
      <c r="L176" s="317">
        <v>15</v>
      </c>
      <c r="M176" s="419" t="s">
        <v>480</v>
      </c>
      <c r="N176" s="318"/>
      <c r="O176" s="545"/>
      <c r="P176" s="460"/>
      <c r="Q176" s="331"/>
      <c r="R176" s="584"/>
      <c r="S176" s="620"/>
      <c r="T176" s="520" t="str">
        <f t="shared" si="28"/>
        <v/>
      </c>
      <c r="U176" s="505"/>
      <c r="V176" s="761"/>
      <c r="W176" s="568"/>
      <c r="X176" s="752"/>
      <c r="Y176" s="482"/>
    </row>
    <row r="177" spans="2:24" s="3" customFormat="1">
      <c r="B177" s="109"/>
      <c r="E177" s="4"/>
      <c r="F177" s="473"/>
      <c r="G177" s="5"/>
      <c r="H177" s="349"/>
      <c r="I177" s="348"/>
      <c r="J177" s="348"/>
      <c r="L177" s="109"/>
      <c r="O177" s="4"/>
      <c r="P177" s="473"/>
      <c r="Q177" s="349"/>
      <c r="R177" s="349"/>
      <c r="S177" s="349"/>
      <c r="T177" s="349"/>
      <c r="U177" s="349"/>
      <c r="V177" s="349"/>
      <c r="W177" s="349"/>
      <c r="X177" s="349"/>
    </row>
    <row r="178" spans="2:24">
      <c r="B178" s="112"/>
      <c r="C178" s="541" t="s">
        <v>487</v>
      </c>
      <c r="D178" s="24">
        <v>2857717.17</v>
      </c>
      <c r="E178" s="166"/>
      <c r="F178" s="541">
        <v>3072814.1612903224</v>
      </c>
      <c r="G178" s="112"/>
      <c r="I178" s="112"/>
      <c r="J178" s="112"/>
    </row>
    <row r="179" spans="2:24">
      <c r="B179" s="112"/>
      <c r="C179" s="541" t="s">
        <v>488</v>
      </c>
      <c r="D179" s="24">
        <v>770000</v>
      </c>
      <c r="E179" s="166"/>
      <c r="F179" s="541">
        <v>827956.98924731184</v>
      </c>
      <c r="G179" s="112"/>
      <c r="I179" s="257"/>
      <c r="J179" s="257"/>
    </row>
    <row r="180" spans="2:24">
      <c r="B180" s="112"/>
      <c r="C180" s="541" t="s">
        <v>489</v>
      </c>
      <c r="D180" s="24">
        <v>1105818.21</v>
      </c>
      <c r="E180" s="166"/>
      <c r="F180" s="541">
        <v>1189051.8387096773</v>
      </c>
      <c r="G180" s="112"/>
      <c r="I180" s="350"/>
      <c r="J180" s="350"/>
    </row>
    <row r="181" spans="2:24">
      <c r="B181" s="112"/>
      <c r="C181" s="541" t="s">
        <v>382</v>
      </c>
      <c r="D181" s="24">
        <v>1117490.1000000001</v>
      </c>
      <c r="E181" s="166"/>
      <c r="F181" s="541">
        <v>1201602.2580645164</v>
      </c>
      <c r="G181" s="112"/>
      <c r="I181" s="257"/>
      <c r="J181" s="257"/>
    </row>
    <row r="182" spans="2:24">
      <c r="B182" s="112"/>
      <c r="C182" s="541" t="s">
        <v>418</v>
      </c>
      <c r="D182" s="24">
        <v>1511034.3</v>
      </c>
      <c r="E182" s="166"/>
      <c r="F182" s="541">
        <v>1624768.0645161292</v>
      </c>
      <c r="G182" s="112"/>
      <c r="I182" s="350"/>
      <c r="J182" s="350"/>
    </row>
    <row r="183" spans="2:24">
      <c r="B183" s="112"/>
      <c r="C183" s="541" t="s">
        <v>395</v>
      </c>
      <c r="D183" s="24">
        <v>49000</v>
      </c>
      <c r="E183" s="166"/>
      <c r="F183" s="541">
        <v>52688.172043010753</v>
      </c>
      <c r="G183" s="112"/>
      <c r="I183" s="257"/>
      <c r="J183" s="257"/>
    </row>
    <row r="184" spans="2:24">
      <c r="B184" s="112"/>
      <c r="C184" s="541" t="s">
        <v>490</v>
      </c>
      <c r="D184" s="24">
        <v>0</v>
      </c>
      <c r="E184" s="166"/>
      <c r="F184" s="541">
        <v>0</v>
      </c>
      <c r="G184" s="112"/>
      <c r="I184" s="257"/>
      <c r="J184" s="257"/>
    </row>
    <row r="185" spans="2:24">
      <c r="B185" s="112"/>
      <c r="C185" s="541" t="s">
        <v>491</v>
      </c>
      <c r="D185" s="24">
        <v>300000</v>
      </c>
      <c r="E185" s="166"/>
      <c r="F185" s="541">
        <v>322580.6451612903</v>
      </c>
      <c r="G185" s="112"/>
      <c r="I185" s="257"/>
      <c r="J185" s="257"/>
    </row>
    <row r="186" spans="2:24">
      <c r="B186" s="112"/>
      <c r="C186" s="541" t="s">
        <v>492</v>
      </c>
      <c r="D186" s="24">
        <v>0</v>
      </c>
      <c r="E186" s="166"/>
      <c r="F186" s="541">
        <v>0</v>
      </c>
      <c r="G186" s="112"/>
      <c r="I186" s="257"/>
      <c r="J186" s="257"/>
    </row>
    <row r="187" spans="2:24">
      <c r="B187" s="112"/>
      <c r="C187" s="541" t="s">
        <v>493</v>
      </c>
      <c r="D187" s="24">
        <v>0</v>
      </c>
      <c r="E187" s="166"/>
      <c r="F187" s="541">
        <v>0</v>
      </c>
      <c r="G187" s="112"/>
      <c r="I187" s="257"/>
      <c r="J187" s="257"/>
    </row>
    <row r="188" spans="2:24">
      <c r="B188" s="112"/>
      <c r="C188" s="541" t="s">
        <v>494</v>
      </c>
      <c r="D188" s="24">
        <v>0</v>
      </c>
      <c r="E188" s="166"/>
      <c r="F188" s="541">
        <v>0</v>
      </c>
      <c r="G188" s="112"/>
      <c r="I188" s="257"/>
      <c r="J188" s="257"/>
    </row>
    <row r="189" spans="2:24">
      <c r="B189" s="112"/>
      <c r="C189" s="541" t="s">
        <v>495</v>
      </c>
      <c r="E189" s="166"/>
      <c r="F189" s="541"/>
      <c r="G189" s="112"/>
      <c r="I189" s="257"/>
      <c r="J189" s="257"/>
    </row>
    <row r="190" spans="2:24">
      <c r="B190" s="112"/>
      <c r="C190" s="541"/>
      <c r="E190" s="166"/>
      <c r="F190" s="541"/>
      <c r="G190" s="112"/>
      <c r="I190" s="257"/>
      <c r="J190" s="257"/>
    </row>
    <row r="191" spans="2:24" s="112" customFormat="1">
      <c r="C191" s="541" t="s">
        <v>496</v>
      </c>
      <c r="D191" s="112">
        <v>340042.5</v>
      </c>
      <c r="E191" s="166"/>
      <c r="F191" s="541">
        <v>386411.93181818182</v>
      </c>
      <c r="H191" s="541"/>
      <c r="I191" s="257"/>
      <c r="J191" s="257"/>
      <c r="T191" s="541"/>
      <c r="U191" s="541"/>
      <c r="W191" s="541"/>
    </row>
    <row r="192" spans="2:24" s="112" customFormat="1">
      <c r="C192" s="541" t="s">
        <v>497</v>
      </c>
      <c r="D192" s="112">
        <v>720090</v>
      </c>
      <c r="E192" s="166"/>
      <c r="F192" s="541">
        <v>818284.09090909094</v>
      </c>
      <c r="H192" s="541"/>
      <c r="I192" s="257"/>
      <c r="J192" s="257"/>
      <c r="T192" s="541"/>
      <c r="U192" s="541"/>
      <c r="W192" s="541"/>
    </row>
    <row r="193" spans="3:23" s="112" customFormat="1">
      <c r="C193" s="541" t="s">
        <v>498</v>
      </c>
      <c r="D193" s="112">
        <v>429230.63442261907</v>
      </c>
      <c r="E193" s="166"/>
      <c r="F193" s="541">
        <v>487762.08457115805</v>
      </c>
      <c r="H193" s="541"/>
      <c r="I193" s="257"/>
      <c r="J193" s="257"/>
      <c r="T193" s="541"/>
      <c r="U193" s="541"/>
      <c r="W193" s="541"/>
    </row>
    <row r="194" spans="3:23" s="112" customFormat="1">
      <c r="C194" s="541" t="s">
        <v>499</v>
      </c>
      <c r="D194" s="112">
        <v>182012.75000000003</v>
      </c>
      <c r="E194" s="166"/>
      <c r="F194" s="541">
        <v>206832.67045454547</v>
      </c>
      <c r="H194" s="541"/>
      <c r="I194" s="257"/>
      <c r="J194" s="257"/>
      <c r="T194" s="541"/>
      <c r="U194" s="541"/>
      <c r="W194" s="541"/>
    </row>
    <row r="195" spans="3:23" s="112" customFormat="1">
      <c r="C195" s="541" t="s">
        <v>500</v>
      </c>
      <c r="D195" s="112">
        <v>8500</v>
      </c>
      <c r="E195" s="166"/>
      <c r="F195" s="541">
        <v>9659.0909090909081</v>
      </c>
      <c r="H195" s="541"/>
      <c r="I195" s="257"/>
      <c r="J195" s="257"/>
      <c r="T195" s="541"/>
      <c r="U195" s="541"/>
      <c r="W195" s="541"/>
    </row>
    <row r="196" spans="3:23" s="112" customFormat="1">
      <c r="C196" s="541" t="s">
        <v>501</v>
      </c>
      <c r="D196" s="112">
        <v>0</v>
      </c>
      <c r="E196" s="166"/>
      <c r="F196" s="541">
        <v>0</v>
      </c>
      <c r="H196" s="541"/>
      <c r="I196" s="257"/>
      <c r="J196" s="257"/>
      <c r="T196" s="541"/>
      <c r="U196" s="541"/>
      <c r="W196" s="541"/>
    </row>
    <row r="197" spans="3:23" s="112" customFormat="1">
      <c r="C197" s="541" t="s">
        <v>502</v>
      </c>
      <c r="D197" s="112">
        <v>33546.666666666664</v>
      </c>
      <c r="E197" s="166"/>
      <c r="F197" s="541">
        <v>38121.21212121212</v>
      </c>
      <c r="H197" s="541"/>
      <c r="I197" s="257"/>
      <c r="J197" s="257"/>
      <c r="T197" s="541"/>
      <c r="U197" s="541"/>
      <c r="W197" s="541"/>
    </row>
    <row r="198" spans="3:23" s="112" customFormat="1">
      <c r="C198" s="541" t="s">
        <v>503</v>
      </c>
      <c r="D198" s="112">
        <v>72000</v>
      </c>
      <c r="E198" s="166"/>
      <c r="F198" s="541">
        <v>81818.181818181823</v>
      </c>
      <c r="H198" s="541"/>
      <c r="I198" s="257"/>
      <c r="J198" s="257"/>
      <c r="T198" s="541"/>
      <c r="U198" s="541"/>
      <c r="W198" s="541"/>
    </row>
    <row r="199" spans="3:23" s="112" customFormat="1">
      <c r="C199" s="541" t="s">
        <v>504</v>
      </c>
      <c r="D199" s="112">
        <v>70393.8</v>
      </c>
      <c r="E199" s="166"/>
      <c r="F199" s="541">
        <v>79992.954545454544</v>
      </c>
      <c r="H199" s="541"/>
      <c r="I199" s="257"/>
      <c r="J199" s="257"/>
      <c r="T199" s="541"/>
      <c r="U199" s="541"/>
      <c r="W199" s="541"/>
    </row>
    <row r="200" spans="3:23" s="112" customFormat="1">
      <c r="C200" s="541" t="s">
        <v>505</v>
      </c>
      <c r="D200" s="112">
        <v>0</v>
      </c>
      <c r="E200" s="166"/>
      <c r="F200" s="541">
        <v>0</v>
      </c>
      <c r="H200" s="541"/>
      <c r="I200" s="257"/>
      <c r="J200" s="257"/>
      <c r="T200" s="541"/>
      <c r="U200" s="541"/>
      <c r="W200" s="541"/>
    </row>
    <row r="201" spans="3:23" s="112" customFormat="1">
      <c r="C201" s="541" t="s">
        <v>492</v>
      </c>
      <c r="D201" s="112">
        <v>2000000</v>
      </c>
      <c r="E201" s="166"/>
      <c r="F201" s="541">
        <v>2000000</v>
      </c>
      <c r="H201" s="541"/>
      <c r="I201" s="257"/>
      <c r="J201" s="257"/>
      <c r="T201" s="541"/>
      <c r="U201" s="541"/>
      <c r="W201" s="541"/>
    </row>
    <row r="202" spans="3:23" s="112" customFormat="1">
      <c r="C202" s="541"/>
      <c r="E202" s="166"/>
      <c r="F202" s="541"/>
      <c r="H202" s="541"/>
      <c r="I202" s="257"/>
      <c r="J202" s="257"/>
      <c r="T202" s="541"/>
      <c r="U202" s="541"/>
      <c r="W202" s="541"/>
    </row>
    <row r="203" spans="3:23" s="112" customFormat="1">
      <c r="C203" s="541" t="s">
        <v>506</v>
      </c>
      <c r="E203" s="166"/>
      <c r="F203" s="541"/>
      <c r="H203" s="541"/>
      <c r="I203" s="257"/>
      <c r="J203" s="257"/>
      <c r="T203" s="541"/>
      <c r="U203" s="541"/>
      <c r="W203" s="541"/>
    </row>
    <row r="204" spans="3:23" s="112" customFormat="1">
      <c r="C204" s="541" t="s">
        <v>507</v>
      </c>
      <c r="D204" s="112">
        <v>23800</v>
      </c>
      <c r="E204" s="166"/>
      <c r="F204" s="541">
        <v>28000</v>
      </c>
      <c r="H204" s="541"/>
      <c r="I204" s="257"/>
      <c r="J204" s="257"/>
      <c r="T204" s="541"/>
      <c r="U204" s="541"/>
      <c r="W204" s="541"/>
    </row>
    <row r="205" spans="3:23" s="112" customFormat="1">
      <c r="C205" s="541"/>
      <c r="D205" s="541"/>
      <c r="E205" s="166"/>
      <c r="F205" s="464"/>
      <c r="H205" s="541"/>
      <c r="I205" s="257"/>
      <c r="J205" s="257"/>
      <c r="T205" s="541"/>
      <c r="U205" s="541"/>
      <c r="W205" s="541"/>
    </row>
    <row r="206" spans="3:23" s="112" customFormat="1">
      <c r="C206" s="541"/>
      <c r="D206" s="541"/>
      <c r="E206" s="166"/>
      <c r="F206" s="464"/>
      <c r="H206" s="541"/>
      <c r="I206" s="257"/>
      <c r="J206" s="257"/>
      <c r="T206" s="541"/>
      <c r="U206" s="541"/>
      <c r="W206" s="541"/>
    </row>
    <row r="207" spans="3:23" s="112" customFormat="1">
      <c r="C207" s="541"/>
      <c r="D207" s="541"/>
      <c r="E207" s="166"/>
      <c r="F207" s="464"/>
      <c r="H207" s="541"/>
      <c r="I207" s="257"/>
      <c r="J207" s="257"/>
      <c r="T207" s="541"/>
      <c r="U207" s="541"/>
      <c r="W207" s="541"/>
    </row>
    <row r="208" spans="3:23" s="112" customFormat="1">
      <c r="C208" s="541"/>
      <c r="D208" s="541"/>
      <c r="E208" s="166"/>
      <c r="F208" s="464"/>
      <c r="H208" s="541"/>
      <c r="I208" s="257"/>
      <c r="J208" s="257"/>
      <c r="T208" s="541"/>
      <c r="U208" s="541"/>
      <c r="W208" s="541"/>
    </row>
    <row r="209" spans="3:23" s="112" customFormat="1">
      <c r="C209" s="541"/>
      <c r="D209" s="541"/>
      <c r="E209" s="166"/>
      <c r="F209" s="464"/>
      <c r="H209" s="541"/>
      <c r="I209" s="257"/>
      <c r="J209" s="257"/>
      <c r="T209" s="541"/>
      <c r="U209" s="541"/>
      <c r="W209" s="541"/>
    </row>
    <row r="210" spans="3:23" s="112" customFormat="1">
      <c r="C210" s="541"/>
      <c r="D210" s="541"/>
      <c r="E210" s="166"/>
      <c r="F210" s="464"/>
      <c r="H210" s="541"/>
      <c r="I210" s="257"/>
      <c r="J210" s="257"/>
      <c r="T210" s="541"/>
      <c r="U210" s="541"/>
      <c r="W210" s="541"/>
    </row>
    <row r="211" spans="3:23" s="112" customFormat="1">
      <c r="C211" s="541"/>
      <c r="D211" s="541"/>
      <c r="E211" s="166"/>
      <c r="F211" s="464"/>
      <c r="H211" s="541"/>
      <c r="I211" s="257"/>
      <c r="J211" s="257"/>
      <c r="T211" s="541"/>
      <c r="U211" s="541"/>
      <c r="W211" s="541"/>
    </row>
    <row r="212" spans="3:23" s="112" customFormat="1">
      <c r="C212" s="541"/>
      <c r="D212" s="541"/>
      <c r="E212" s="166"/>
      <c r="F212" s="464"/>
      <c r="H212" s="541"/>
      <c r="I212" s="257"/>
      <c r="J212" s="257"/>
      <c r="T212" s="541"/>
      <c r="U212" s="541"/>
      <c r="W212" s="541"/>
    </row>
    <row r="213" spans="3:23" s="112" customFormat="1">
      <c r="C213" s="541"/>
      <c r="D213" s="541"/>
      <c r="E213" s="166"/>
      <c r="F213" s="464"/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5:23" s="112" customFormat="1">
      <c r="E225" s="166"/>
      <c r="F225" s="464"/>
      <c r="H225" s="541"/>
      <c r="I225" s="257"/>
      <c r="J225" s="257"/>
      <c r="T225" s="541"/>
      <c r="U225" s="541"/>
      <c r="W225" s="541"/>
    </row>
    <row r="226" spans="5:23" s="112" customFormat="1">
      <c r="E226" s="166"/>
      <c r="F226" s="464"/>
      <c r="H226" s="541"/>
      <c r="I226" s="257"/>
      <c r="J226" s="257"/>
      <c r="T226" s="541"/>
      <c r="U226" s="541"/>
      <c r="W226" s="541"/>
    </row>
    <row r="227" spans="5:23" s="112" customFormat="1">
      <c r="E227" s="166"/>
      <c r="F227" s="464"/>
      <c r="H227" s="541"/>
      <c r="I227" s="257"/>
      <c r="J227" s="257"/>
      <c r="T227" s="541"/>
      <c r="U227" s="541"/>
      <c r="W227" s="541"/>
    </row>
    <row r="228" spans="5:23" s="112" customFormat="1">
      <c r="E228" s="166"/>
      <c r="F228" s="464"/>
      <c r="H228" s="541"/>
      <c r="I228" s="257"/>
      <c r="J228" s="257"/>
      <c r="T228" s="541"/>
      <c r="U228" s="541"/>
      <c r="W228" s="541"/>
    </row>
    <row r="229" spans="5:23" s="112" customFormat="1">
      <c r="E229" s="166"/>
      <c r="F229" s="464"/>
      <c r="H229" s="541"/>
      <c r="I229" s="257"/>
      <c r="J229" s="257"/>
      <c r="T229" s="541"/>
      <c r="U229" s="541"/>
      <c r="W229" s="541"/>
    </row>
    <row r="230" spans="5:23" s="112" customFormat="1">
      <c r="E230" s="166"/>
      <c r="F230" s="464"/>
      <c r="H230" s="541"/>
      <c r="I230" s="257"/>
      <c r="J230" s="257"/>
      <c r="T230" s="541"/>
      <c r="U230" s="541"/>
      <c r="W230" s="541"/>
    </row>
    <row r="231" spans="5:23" s="112" customFormat="1">
      <c r="E231" s="166"/>
      <c r="F231" s="464"/>
      <c r="H231" s="541"/>
      <c r="I231" s="257"/>
      <c r="J231" s="257"/>
      <c r="T231" s="541"/>
      <c r="U231" s="541"/>
      <c r="W231" s="541"/>
    </row>
    <row r="232" spans="5:23" s="112" customFormat="1">
      <c r="E232" s="166"/>
      <c r="F232" s="464"/>
      <c r="H232" s="541"/>
      <c r="I232" s="257"/>
      <c r="J232" s="257"/>
      <c r="T232" s="541"/>
      <c r="U232" s="541"/>
      <c r="W232" s="541"/>
    </row>
    <row r="233" spans="5:23" s="112" customFormat="1">
      <c r="E233" s="166"/>
      <c r="F233" s="464"/>
      <c r="H233" s="541"/>
      <c r="I233" s="257"/>
      <c r="J233" s="257"/>
      <c r="T233" s="541"/>
      <c r="U233" s="541"/>
      <c r="W233" s="541"/>
    </row>
    <row r="234" spans="5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5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5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5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5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5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5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0:I46"/>
    <mergeCell ref="J30:J46"/>
    <mergeCell ref="X30:X46"/>
    <mergeCell ref="I13:I19"/>
    <mergeCell ref="J13:J19"/>
    <mergeCell ref="X13:X19"/>
    <mergeCell ref="I21:I28"/>
    <mergeCell ref="J21:J28"/>
    <mergeCell ref="B2:G2"/>
    <mergeCell ref="L2:Q2"/>
    <mergeCell ref="I6:I11"/>
    <mergeCell ref="J6:J11"/>
    <mergeCell ref="R2:W2"/>
    <mergeCell ref="X6:X11"/>
    <mergeCell ref="V6:V11"/>
    <mergeCell ref="V13:V19"/>
    <mergeCell ref="V21:V28"/>
    <mergeCell ref="V30:V46"/>
    <mergeCell ref="X21:X28"/>
    <mergeCell ref="J60:J78"/>
    <mergeCell ref="X60:X78"/>
    <mergeCell ref="I80:I87"/>
    <mergeCell ref="J80:J87"/>
    <mergeCell ref="V80:V87"/>
    <mergeCell ref="X80:X87"/>
    <mergeCell ref="V48:V58"/>
    <mergeCell ref="V60:V78"/>
    <mergeCell ref="R66:R75"/>
    <mergeCell ref="R80:R81"/>
    <mergeCell ref="R34:R43"/>
    <mergeCell ref="V114:V134"/>
    <mergeCell ref="V89:V97"/>
    <mergeCell ref="V99:V112"/>
    <mergeCell ref="R122:R131"/>
    <mergeCell ref="R100:R109"/>
    <mergeCell ref="R92:R93"/>
    <mergeCell ref="R115:R116"/>
    <mergeCell ref="I48:I58"/>
    <mergeCell ref="J48:J58"/>
    <mergeCell ref="X48:X58"/>
    <mergeCell ref="I60:I78"/>
    <mergeCell ref="I136:I140"/>
    <mergeCell ref="J136:J140"/>
    <mergeCell ref="X136:X140"/>
    <mergeCell ref="I114:I134"/>
    <mergeCell ref="J114:J134"/>
    <mergeCell ref="X114:X134"/>
    <mergeCell ref="I89:I97"/>
    <mergeCell ref="J89:J97"/>
    <mergeCell ref="X89:X97"/>
    <mergeCell ref="I99:I112"/>
    <mergeCell ref="J99:J112"/>
    <mergeCell ref="X99:X112"/>
    <mergeCell ref="I142:I143"/>
    <mergeCell ref="J142:J143"/>
    <mergeCell ref="K142:K143"/>
    <mergeCell ref="X142:X143"/>
    <mergeCell ref="V136:V140"/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</mergeCells>
  <phoneticPr fontId="19" type="noConversion"/>
  <conditionalFormatting sqref="J4">
    <cfRule type="containsText" dxfId="24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1" sqref="J11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199218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19921875" style="24" customWidth="1"/>
    <col min="13" max="16384" width="8.464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508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806"/>
      <c r="C4" s="806"/>
      <c r="D4" s="806"/>
      <c r="E4" s="413"/>
      <c r="F4" s="221" t="s">
        <v>258</v>
      </c>
      <c r="G4" s="216"/>
      <c r="H4" s="221" t="s">
        <v>259</v>
      </c>
      <c r="I4" s="216"/>
      <c r="J4" s="222" t="s">
        <v>509</v>
      </c>
      <c r="K4" s="112"/>
      <c r="L4" s="112"/>
    </row>
    <row r="5" spans="1:12" ht="14.25" thickBot="1">
      <c r="A5" s="216"/>
      <c r="B5" s="807" t="s">
        <v>510</v>
      </c>
      <c r="C5" s="807"/>
      <c r="D5" s="807"/>
      <c r="E5" s="413"/>
      <c r="F5" s="223">
        <f>SUM(F9:F23)</f>
        <v>9590676.1310892869</v>
      </c>
      <c r="G5" s="218"/>
      <c r="H5" s="223">
        <f>SUM(H9:H23)</f>
        <v>7349211.2423272394</v>
      </c>
      <c r="I5" s="216"/>
      <c r="J5" s="224">
        <f>SUM(J9:J23)</f>
        <v>2241464.8887620461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179</v>
      </c>
      <c r="C7" s="227"/>
      <c r="D7" s="226" t="s">
        <v>136</v>
      </c>
      <c r="E7" s="227"/>
      <c r="F7" s="228" t="s">
        <v>511</v>
      </c>
      <c r="G7" s="229"/>
      <c r="H7" s="228" t="s">
        <v>512</v>
      </c>
      <c r="I7" s="229"/>
      <c r="J7" s="228" t="s">
        <v>513</v>
      </c>
      <c r="K7" s="173"/>
      <c r="L7" s="115" t="s">
        <v>514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2657189.4</v>
      </c>
      <c r="I9" s="89"/>
      <c r="J9" s="233">
        <f t="shared" ref="J9:J23" si="0">F9-H9</f>
        <v>200527.77000000002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363159.37999999995</v>
      </c>
      <c r="I11" s="89"/>
      <c r="J11" s="233">
        <f t="shared" si="0"/>
        <v>742658.83000000007</v>
      </c>
      <c r="K11" s="174"/>
      <c r="L11" s="256"/>
    </row>
    <row r="12" spans="1:12" ht="13.9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1117490.1000000001</v>
      </c>
      <c r="G12" s="86"/>
      <c r="H12" s="232">
        <f>'Expenditure Breakdown'!X30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Breakdown'!L60</f>
        <v>6</v>
      </c>
      <c r="C14" s="219"/>
      <c r="D14" s="231" t="str">
        <f>'Expenditure Breakdown'!M60</f>
        <v>6. AC Equipment</v>
      </c>
      <c r="E14" s="234"/>
      <c r="F14" s="232">
        <f>'Expenditure Breakdown'!I60</f>
        <v>1511034.3</v>
      </c>
      <c r="G14" s="86"/>
      <c r="H14" s="232">
        <f>'Expenditure Breakdown'!X60</f>
        <v>586437.81999999983</v>
      </c>
      <c r="I14" s="89"/>
      <c r="J14" s="233">
        <f t="shared" si="0"/>
        <v>924596.48000000021</v>
      </c>
      <c r="K14" s="174"/>
      <c r="L14" s="256"/>
    </row>
    <row r="15" spans="1:12" ht="13.9">
      <c r="A15" s="216"/>
      <c r="B15" s="230">
        <f>'Expenditure Breakdown'!L80</f>
        <v>7</v>
      </c>
      <c r="C15" s="219"/>
      <c r="D15" s="231" t="str">
        <f>'Expenditure Breakdown'!M80</f>
        <v>7.BESS</v>
      </c>
      <c r="E15" s="234"/>
      <c r="F15" s="232">
        <f>'Expenditure Breakdown'!I80</f>
        <v>0</v>
      </c>
      <c r="G15" s="86"/>
      <c r="H15" s="232">
        <f>'Expenditure Breakdown'!X80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Breakdown'!L89</f>
        <v>8</v>
      </c>
      <c r="C16" s="219"/>
      <c r="D16" s="231" t="str">
        <f>'Expenditure Breakdown'!M89</f>
        <v xml:space="preserve">8. Product Add On </v>
      </c>
      <c r="E16" s="234"/>
      <c r="F16" s="232">
        <f>'Expenditure Breakdown'!I89</f>
        <v>300000</v>
      </c>
      <c r="G16" s="86"/>
      <c r="H16" s="232">
        <f>'Expenditure Breakdown'!X89</f>
        <v>341826</v>
      </c>
      <c r="I16" s="89"/>
      <c r="J16" s="233">
        <f t="shared" si="0"/>
        <v>-41826</v>
      </c>
      <c r="K16" s="174"/>
      <c r="L16" s="256"/>
    </row>
    <row r="17" spans="1:12" ht="13.9">
      <c r="A17" s="216"/>
      <c r="B17" s="230">
        <f>'Expenditure Breakdown'!L99</f>
        <v>9</v>
      </c>
      <c r="C17" s="219"/>
      <c r="D17" s="231" t="str">
        <f>'Expenditure Breakdown'!M99</f>
        <v>9. AC &amp; DC installation</v>
      </c>
      <c r="E17" s="234"/>
      <c r="F17" s="232">
        <f>'Expenditure Breakdown'!I99</f>
        <v>1060132.5</v>
      </c>
      <c r="G17" s="86"/>
      <c r="H17" s="232">
        <f>'Expenditure Breakdown'!X99</f>
        <v>1105292.2</v>
      </c>
      <c r="I17" s="89"/>
      <c r="J17" s="233">
        <f t="shared" si="0"/>
        <v>-45159.699999999953</v>
      </c>
      <c r="K17" s="174"/>
      <c r="L17" s="256"/>
    </row>
    <row r="18" spans="1:12" ht="13.9">
      <c r="A18" s="216"/>
      <c r="B18" s="230">
        <f>'Expenditure Breakdown'!L114</f>
        <v>10</v>
      </c>
      <c r="C18" s="219"/>
      <c r="D18" s="231" t="str">
        <f>'Expenditure Breakdown'!M114</f>
        <v>10. Site Logistics</v>
      </c>
      <c r="E18" s="86"/>
      <c r="F18" s="232">
        <f>'Expenditure Breakdown'!I114</f>
        <v>184440.46666666665</v>
      </c>
      <c r="G18" s="86"/>
      <c r="H18" s="232">
        <f>'Expenditure Breakdown'!X114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Breakdown'!L136</f>
        <v>11</v>
      </c>
      <c r="C19" s="219"/>
      <c r="D19" s="231" t="str">
        <f>'Expenditure Breakdown'!M136</f>
        <v>11. Due Dilligence</v>
      </c>
      <c r="E19" s="86"/>
      <c r="F19" s="232">
        <f>'Expenditure Breakdown'!I136</f>
        <v>182012.75000000003</v>
      </c>
      <c r="G19" s="86"/>
      <c r="H19" s="232">
        <f>'Expenditure Breakdown'!X136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Breakdown'!L142</f>
        <v>12</v>
      </c>
      <c r="C20" s="219"/>
      <c r="D20" s="231" t="str">
        <f>'Expenditure Breakdown'!M142</f>
        <v>12. BDP Commission</v>
      </c>
      <c r="E20" s="86"/>
      <c r="F20" s="232">
        <f>'Expenditure Breakdown'!I142</f>
        <v>0</v>
      </c>
      <c r="G20" s="86"/>
      <c r="H20" s="232">
        <f>'Expenditure Breakdown'!X142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Breakdown'!L145</f>
        <v>13</v>
      </c>
      <c r="C21" s="219"/>
      <c r="D21" s="231" t="str">
        <f>'Expenditure Breakdown'!M146</f>
        <v>13. Engineering</v>
      </c>
      <c r="E21" s="86"/>
      <c r="F21" s="232">
        <f>'Expenditure Breakdown'!I145</f>
        <v>429230.63442261907</v>
      </c>
      <c r="G21" s="86"/>
      <c r="H21" s="232">
        <f>'Expenditure Breakdown'!X145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Breakdown'!L152</f>
        <v>14</v>
      </c>
      <c r="C22" s="219"/>
      <c r="D22" s="231" t="str">
        <f>'Expenditure Breakdown'!M152</f>
        <v>14. General Expenses</v>
      </c>
      <c r="E22" s="86"/>
      <c r="F22" s="232">
        <f>'Expenditure Breakdown'!I152</f>
        <v>23800</v>
      </c>
      <c r="G22" s="86"/>
      <c r="H22" s="232">
        <f>'Expenditure Breakdown'!X152</f>
        <v>47089.799999999996</v>
      </c>
      <c r="I22" s="89"/>
      <c r="J22" s="233">
        <f t="shared" si="0"/>
        <v>-23289.799999999996</v>
      </c>
      <c r="K22" s="174"/>
      <c r="L22" s="256"/>
    </row>
    <row r="23" spans="1:12" ht="13.9">
      <c r="A23" s="216"/>
      <c r="B23" s="230">
        <f>'Expenditure Breakdown'!L165</f>
        <v>15</v>
      </c>
      <c r="C23" s="219"/>
      <c r="D23" s="231" t="str">
        <f>'Expenditure Breakdown'!M165</f>
        <v>15. Service Add On</v>
      </c>
      <c r="E23" s="86"/>
      <c r="F23" s="232">
        <f>'Expenditure Breakdown'!I165</f>
        <v>0</v>
      </c>
      <c r="G23" s="86"/>
      <c r="H23" s="232">
        <f>'Expenditure Breakdown'!X165</f>
        <v>110570.16</v>
      </c>
      <c r="I23" s="89"/>
      <c r="J23" s="233">
        <f t="shared" si="0"/>
        <v>-110570.16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3" priority="5" operator="notEqual">
      <formula>0</formula>
    </cfRule>
  </conditionalFormatting>
  <conditionalFormatting sqref="H25">
    <cfRule type="cellIs" dxfId="22" priority="4" operator="notEqual">
      <formula>0</formula>
    </cfRule>
  </conditionalFormatting>
  <conditionalFormatting sqref="J5 J9:J23">
    <cfRule type="cellIs" dxfId="21" priority="6" operator="lessThan">
      <formula>0</formula>
    </cfRule>
    <cfRule type="cellIs" dxfId="20" priority="7" operator="greater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B1" sqref="B1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2"/>
  </cols>
  <sheetData>
    <row r="1" spans="1:794">
      <c r="D1" s="188" t="s">
        <v>516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517</v>
      </c>
      <c r="B2" s="193"/>
      <c r="C2" s="194" t="s">
        <v>334</v>
      </c>
      <c r="D2" s="194" t="s">
        <v>334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262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09"/>
      <c r="B4" s="196" t="s">
        <v>518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09"/>
      <c r="B5" s="200" t="s">
        <v>264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Breakdown'!$G$6:$G$215, 'Expenditure Breakdown'!$H$6:$H$215, "&gt;="&amp;F1,'Expenditure Breakdown'!$H$6:$H$215, "&lt;"&amp;G1)</f>
        <v>0</v>
      </c>
      <c r="G5" s="202">
        <f>SUMIFS('Expenditure Breakdown'!$G$6:$G$215, 'Expenditure Breakdown'!$H$6:$H$215, "&gt;="&amp;G1,'Expenditure Breakdown'!$H$6:$H$215, "&lt;"&amp;H1)</f>
        <v>0</v>
      </c>
      <c r="H5" s="202">
        <f>SUMIFS('Expenditure Breakdown'!$G$6:$G$215, 'Expenditure Breakdown'!$H$6:$H$215, "&gt;="&amp;H1,'Expenditure Breakdown'!$H$6:$H$215, "&lt;"&amp;I1)</f>
        <v>0</v>
      </c>
      <c r="I5" s="202">
        <f>SUMIFS('Expenditure Breakdown'!$G$6:$G$215, 'Expenditure Breakdown'!$H$6:$H$215, "&gt;="&amp;I1,'Expenditure Breakdown'!$H$6:$H$215, "&lt;"&amp;J1)</f>
        <v>0</v>
      </c>
      <c r="J5" s="202">
        <f>SUMIFS('Expenditure Breakdown'!$G$6:$G$215, 'Expenditure Breakdown'!$H$6:$H$215, "&gt;="&amp;J1,'Expenditure Breakdown'!$H$6:$H$215, "&lt;"&amp;K1)</f>
        <v>0</v>
      </c>
      <c r="K5" s="202">
        <f>SUMIFS('Expenditure Breakdown'!$G$6:$G$215, 'Expenditure Breakdown'!$H$6:$H$215, "&gt;="&amp;K1,'Expenditure Breakdown'!$H$6:$H$215, "&lt;"&amp;L1)</f>
        <v>0</v>
      </c>
      <c r="L5" s="202">
        <f>SUMIFS('Expenditure Breakdown'!$G$6:$G$215, 'Expenditure Breakdown'!$H$6:$H$215, "&gt;="&amp;L1,'Expenditure Breakdown'!$H$6:$H$215, "&lt;"&amp;M1)</f>
        <v>0</v>
      </c>
      <c r="M5" s="202">
        <f>SUMIFS('Expenditure Breakdown'!$G$6:$G$215, 'Expenditure Breakdown'!$H$6:$H$215, "&gt;="&amp;M1,'Expenditure Breakdown'!$H$6:$H$215, "&lt;"&amp;N1)</f>
        <v>0</v>
      </c>
      <c r="N5" s="202">
        <f>SUMIFS('Expenditure Breakdown'!$G$6:$G$215, 'Expenditure Breakdown'!$H$6:$H$215, "&gt;="&amp;N1,'Expenditure Breakdown'!$H$6:$H$215, "&lt;"&amp;O1)</f>
        <v>0</v>
      </c>
      <c r="O5" s="202">
        <f>SUMIFS('Expenditure Breakdown'!$G$6:$G$215, 'Expenditure Breakdown'!$H$6:$H$215, "&gt;="&amp;O1,'Expenditure Breakdown'!$H$6:$H$215, "&lt;"&amp;P1)</f>
        <v>0</v>
      </c>
      <c r="P5" s="202">
        <f>SUMIFS('Expenditure Breakdown'!$G$6:$G$215, 'Expenditure Breakdown'!$H$6:$H$215, "&gt;="&amp;P1,'Expenditure Breakdown'!$H$6:$H$215, "&lt;"&amp;Q1)</f>
        <v>0</v>
      </c>
      <c r="Q5" s="202">
        <f>SUMIFS('Expenditure Breakdown'!$G$6:$G$215, 'Expenditure Breakdown'!$H$6:$H$215, "&gt;="&amp;Q1,'Expenditure Breakdown'!$H$6:$H$215, "&lt;"&amp;R1)</f>
        <v>0</v>
      </c>
      <c r="R5" s="202">
        <f>SUMIFS('Expenditure Breakdown'!$G$6:$G$215, 'Expenditure Breakdown'!$H$6:$H$215, "&gt;="&amp;R1,'Expenditure Breakdown'!$H$6:$H$215, "&lt;"&amp;S1)</f>
        <v>0</v>
      </c>
      <c r="S5" s="202">
        <f>SUMIFS('Expenditure Breakdown'!$G$6:$G$215, 'Expenditure Breakdown'!$H$6:$H$215, "&gt;="&amp;S1,'Expenditure Breakdown'!$H$6:$H$215, "&lt;"&amp;T1)</f>
        <v>0</v>
      </c>
      <c r="T5" s="202">
        <f>SUMIFS('Expenditure Breakdown'!$G$6:$G$215, 'Expenditure Breakdown'!$H$6:$H$215, "&gt;="&amp;T1,'Expenditure Breakdown'!$H$6:$H$215, "&lt;"&amp;U1)</f>
        <v>0</v>
      </c>
      <c r="U5" s="202">
        <f>SUMIFS('Expenditure Breakdown'!$G$6:$G$215, 'Expenditure Breakdown'!$H$6:$H$215, "&gt;="&amp;U1,'Expenditure Breakdown'!$H$6:$H$215, "&lt;"&amp;V1)</f>
        <v>0</v>
      </c>
      <c r="V5" s="202">
        <f>SUMIFS('Expenditure Breakdown'!$G$6:$G$215, 'Expenditure Breakdown'!$H$6:$H$215, "&gt;="&amp;V1,'Expenditure Breakdown'!$H$6:$H$215, "&lt;"&amp;W1)</f>
        <v>0</v>
      </c>
      <c r="W5" s="202">
        <f>SUMIFS('Expenditure Breakdown'!$G$6:$G$215, 'Expenditure Breakdown'!$H$6:$H$215, "&gt;="&amp;W1,'Expenditure Breakdown'!$H$6:$H$215, "&lt;"&amp;X1)</f>
        <v>0</v>
      </c>
      <c r="X5" s="202">
        <f>SUMIFS('Expenditure Breakdown'!$G$6:$G$215, 'Expenditure Breakdown'!$H$6:$H$215, "&gt;="&amp;X1,'Expenditure Breakdown'!$H$6:$H$215, "&lt;"&amp;Y1)</f>
        <v>0</v>
      </c>
      <c r="Y5" s="202">
        <f>SUMIFS('Expenditure Breakdown'!$G$6:$G$215, 'Expenditure Breakdown'!$H$6:$H$215, "&gt;="&amp;Y1,'Expenditure Breakdown'!$H$6:$H$215, "&lt;"&amp;Z1)</f>
        <v>0</v>
      </c>
      <c r="Z5" s="202">
        <f>SUMIFS('Expenditure Breakdown'!$G$6:$G$215, 'Expenditure Breakdown'!$H$6:$H$215, "&gt;="&amp;Z1,'Expenditure Breakdown'!$H$6:$H$215, "&lt;"&amp;AA1)</f>
        <v>0</v>
      </c>
      <c r="AA5" s="202">
        <f>SUMIFS('Expenditure Breakdown'!$G$6:$G$215, 'Expenditure Breakdown'!$H$6:$H$215, "&gt;="&amp;AA1,'Expenditure Breakdown'!$H$6:$H$215, "&lt;"&amp;AB1)</f>
        <v>0</v>
      </c>
      <c r="AB5" s="202">
        <f>SUMIFS('Expenditure Breakdown'!$G$6:$G$215, 'Expenditure Breakdown'!$H$6:$H$215, "&gt;="&amp;AB1,'Expenditure Breakdown'!$H$6:$H$215, "&lt;"&amp;AC1)</f>
        <v>0</v>
      </c>
      <c r="AC5" s="202">
        <f>SUMIFS('Expenditure Breakdown'!$G$6:$G$215, 'Expenditure Breakdown'!$H$6:$H$215, "&gt;="&amp;AC1,'Expenditure Breakdown'!$H$6:$H$215, "&lt;"&amp;AD1)</f>
        <v>0</v>
      </c>
      <c r="AD5" s="202">
        <f>SUMIFS('Expenditure Breakdown'!$G$6:$G$215, 'Expenditure Breakdown'!$H$6:$H$215, "&gt;="&amp;AD1,'Expenditure Breakdown'!$H$6:$H$215, "&lt;"&amp;AE1)</f>
        <v>0</v>
      </c>
      <c r="AE5" s="202">
        <f>SUMIFS('Expenditure Breakdown'!$G$6:$G$215, 'Expenditure Breakdown'!$H$6:$H$215, "&gt;="&amp;AE1,'Expenditure Breakdown'!$H$6:$H$215, "&lt;"&amp;AF1)</f>
        <v>0</v>
      </c>
      <c r="AF5" s="202">
        <f>SUMIFS('Expenditure Breakdown'!$G$6:$G$215, 'Expenditure Breakdown'!$H$6:$H$215, "&gt;="&amp;AF1,'Expenditure Breakdown'!$H$6:$H$215, "&lt;"&amp;AG1)</f>
        <v>0</v>
      </c>
      <c r="AG5" s="202">
        <f>SUMIFS('Expenditure Breakdown'!$G$6:$G$215, 'Expenditure Breakdown'!$H$6:$H$215, "&gt;="&amp;AG1,'Expenditure Breakdown'!$H$6:$H$215, "&lt;"&amp;AH1)</f>
        <v>0</v>
      </c>
      <c r="AH5" s="202">
        <f>SUMIFS('Expenditure Breakdown'!$G$6:$G$215, 'Expenditure Breakdown'!$H$6:$H$215, "&gt;="&amp;AH1,'Expenditure Breakdown'!$H$6:$H$215, "&lt;"&amp;AI1)</f>
        <v>0</v>
      </c>
      <c r="AI5" s="202">
        <f>SUMIFS('Expenditure Breakdown'!$G$6:$G$215, 'Expenditure Breakdown'!$H$6:$H$215, "&gt;="&amp;AI1,'Expenditure Breakdown'!$H$6:$H$215, "&lt;"&amp;AJ1)</f>
        <v>0</v>
      </c>
      <c r="AJ5" s="202">
        <f>SUMIFS('Expenditure Breakdown'!$G$6:$G$215, 'Expenditure Breakdown'!$H$6:$H$215, "&gt;="&amp;AJ1,'Expenditure Breakdown'!$H$6:$H$215, "&lt;"&amp;AK1)</f>
        <v>0</v>
      </c>
      <c r="AK5" s="202">
        <f>SUMIFS('Expenditure Breakdown'!$G$6:$G$215, 'Expenditure Breakdown'!$H$6:$H$215, "&gt;="&amp;AK1,'Expenditure Breakdown'!$H$6:$H$215, "&lt;"&amp;AL1)</f>
        <v>3715850.651089285</v>
      </c>
      <c r="AL5" s="202">
        <f>SUMIFS('Expenditure Breakdown'!$G$6:$G$215, 'Expenditure Breakdown'!$H$6:$H$215, "&gt;="&amp;AL1,'Expenditure Breakdown'!$H$6:$H$215, "&lt;"&amp;AM1)</f>
        <v>23800</v>
      </c>
      <c r="AM5" s="202">
        <f>SUMIFS('Expenditure Breakdown'!$G$6:$G$215, 'Expenditure Breakdown'!$H$6:$H$215, "&gt;="&amp;AM1,'Expenditure Breakdown'!$H$6:$H$215, "&lt;"&amp;AN1)</f>
        <v>0</v>
      </c>
      <c r="AN5" s="202">
        <f>SUMIFS('Expenditure Breakdown'!$G$6:$G$215, 'Expenditure Breakdown'!$H$6:$H$215, "&gt;="&amp;AN1,'Expenditure Breakdown'!$H$6:$H$215, "&lt;"&amp;AO1)</f>
        <v>0</v>
      </c>
      <c r="AO5" s="202">
        <f>SUMIFS('Expenditure Breakdown'!$G$6:$G$215, 'Expenditure Breakdown'!$H$6:$H$215, "&gt;="&amp;AO1,'Expenditure Breakdown'!$H$6:$H$215, "&lt;"&amp;AP1)</f>
        <v>0</v>
      </c>
      <c r="AP5" s="202">
        <f>SUMIFS('Expenditure Breakdown'!$G$6:$G$215, 'Expenditure Breakdown'!$H$6:$H$215, "&gt;="&amp;AP1,'Expenditure Breakdown'!$H$6:$H$215, "&lt;"&amp;AQ1)</f>
        <v>0</v>
      </c>
      <c r="AQ5" s="202">
        <f>SUMIFS('Expenditure Breakdown'!$G$6:$G$215, 'Expenditure Breakdown'!$H$6:$H$215, "&gt;="&amp;AQ1,'Expenditure Breakdown'!$H$6:$H$215, "&lt;"&amp;AR1)</f>
        <v>0</v>
      </c>
      <c r="AR5" s="202">
        <f>SUMIFS('Expenditure Breakdown'!$G$6:$G$215, 'Expenditure Breakdown'!$H$6:$H$215, "&gt;="&amp;AR1,'Expenditure Breakdown'!$H$6:$H$215, "&lt;"&amp;AS1)</f>
        <v>0</v>
      </c>
      <c r="AS5" s="202">
        <f>SUMIFS('Expenditure Breakdown'!$G$6:$G$215, 'Expenditure Breakdown'!$H$6:$H$215, "&gt;="&amp;AS1,'Expenditure Breakdown'!$H$6:$H$215, "&lt;"&amp;AT1)</f>
        <v>0</v>
      </c>
      <c r="AT5" s="202">
        <f>SUMIFS('Expenditure Breakdown'!$G$6:$G$215, 'Expenditure Breakdown'!$H$6:$H$215, "&gt;="&amp;AT1,'Expenditure Breakdown'!$H$6:$H$215, "&lt;"&amp;AU1)</f>
        <v>0</v>
      </c>
      <c r="AU5" s="202">
        <f>SUMIFS('Expenditure Breakdown'!$G$6:$G$215, 'Expenditure Breakdown'!$H$6:$H$215, "&gt;="&amp;AU1,'Expenditure Breakdown'!$H$6:$H$215, "&lt;"&amp;AV1)</f>
        <v>0</v>
      </c>
      <c r="AV5" s="202">
        <f>SUMIFS('Expenditure Breakdown'!$G$6:$G$215, 'Expenditure Breakdown'!$H$6:$H$215, "&gt;="&amp;AV1,'Expenditure Breakdown'!$H$6:$H$215, "&lt;"&amp;AW1)</f>
        <v>0</v>
      </c>
      <c r="AW5" s="202">
        <f>SUMIFS('Expenditure Breakdown'!$G$6:$G$215, 'Expenditure Breakdown'!$H$6:$H$215, "&gt;="&amp;AW1,'Expenditure Breakdown'!$H$6:$H$215, "&lt;"&amp;AX1)</f>
        <v>0</v>
      </c>
      <c r="AX5" s="202">
        <f>SUMIFS('Expenditure Breakdown'!$G$6:$G$215, 'Expenditure Breakdown'!$H$6:$H$215, "&gt;="&amp;AX1,'Expenditure Breakdown'!$H$6:$H$215, "&lt;"&amp;AY1)</f>
        <v>0</v>
      </c>
      <c r="AY5" s="202">
        <f>SUMIFS('Expenditure Breakdown'!$G$6:$G$215, 'Expenditure Breakdown'!$H$6:$H$215, "&gt;="&amp;AY1,'Expenditure Breakdown'!$H$6:$H$215, "&lt;"&amp;AZ1)</f>
        <v>0</v>
      </c>
      <c r="AZ5" s="202">
        <f>SUMIFS('Expenditure Breakdown'!$G$6:$G$215, 'Expenditure Breakdown'!$H$6:$H$215, "&gt;="&amp;AZ1,'Expenditure Breakdown'!$H$6:$H$215, "&lt;"&amp;BA1)</f>
        <v>0</v>
      </c>
      <c r="BA5" s="202">
        <f>SUMIFS('Expenditure Breakdown'!$G$6:$G$215, 'Expenditure Breakdown'!$H$6:$H$215, "&gt;="&amp;BA1,'Expenditure Breakdown'!$H$6:$H$215, "&lt;"&amp;BB1)</f>
        <v>0</v>
      </c>
      <c r="BB5" s="202">
        <f>SUMIFS('Expenditure Breakdown'!$G$6:$G$215, 'Expenditure Breakdown'!$H$6:$H$215, "&gt;="&amp;BB1,'Expenditure Breakdown'!$H$6:$H$215, "&lt;"&amp;BC1)</f>
        <v>0</v>
      </c>
      <c r="BC5" s="202">
        <f>SUMIFS('Expenditure Breakdown'!$G$6:$G$215, 'Expenditure Breakdown'!$H$6:$H$215, "&gt;="&amp;BC1,'Expenditure Breakdown'!$H$6:$H$215, "&lt;"&amp;BD1)</f>
        <v>4745207.2699999996</v>
      </c>
      <c r="BD5" s="202">
        <f>SUMIFS('Expenditure Breakdown'!$G$6:$G$215, 'Expenditure Breakdown'!$H$6:$H$215, "&gt;="&amp;BD1,'Expenditure Breakdown'!$H$6:$H$215, "&lt;"&amp;BE1)</f>
        <v>0</v>
      </c>
      <c r="BE5" s="202">
        <f>SUMIFS('Expenditure Breakdown'!$G$6:$G$215, 'Expenditure Breakdown'!$H$6:$H$215, "&gt;="&amp;BE1,'Expenditure Breakdown'!$H$6:$H$215, "&lt;"&amp;BF1)</f>
        <v>0</v>
      </c>
      <c r="BF5" s="202">
        <f>SUMIFS('Expenditure Breakdown'!$G$6:$G$215, 'Expenditure Breakdown'!$H$6:$H$215, "&gt;="&amp;BF1,'Expenditure Breakdown'!$H$6:$H$215, "&lt;"&amp;BG1)</f>
        <v>0</v>
      </c>
      <c r="BG5" s="202">
        <f>SUMIFS('Expenditure Breakdown'!$G$6:$G$215, 'Expenditure Breakdown'!$H$6:$H$215, "&gt;="&amp;BG1,'Expenditure Breakdown'!$H$6:$H$215, "&lt;"&amp;BH1)</f>
        <v>0</v>
      </c>
      <c r="BH5" s="202">
        <f>SUMIFS('Expenditure Breakdown'!$G$6:$G$215, 'Expenditure Breakdown'!$H$6:$H$215, "&gt;="&amp;BH1,'Expenditure Breakdown'!$H$6:$H$215, "&lt;"&amp;BI1)</f>
        <v>0</v>
      </c>
      <c r="BI5" s="202">
        <f>SUMIFS('Expenditure Breakdown'!$G$6:$G$215, 'Expenditure Breakdown'!$H$6:$H$215, "&gt;="&amp;BI1,'Expenditure Breakdown'!$H$6:$H$215, "&lt;"&amp;BJ1)</f>
        <v>0</v>
      </c>
      <c r="BJ5" s="202">
        <f>SUMIFS('Expenditure Breakdown'!$G$6:$G$215, 'Expenditure Breakdown'!$H$6:$H$215, "&gt;="&amp;BJ1,'Expenditure Breakdown'!$H$6:$H$215, "&lt;"&amp;BK1)</f>
        <v>0</v>
      </c>
      <c r="BK5" s="202">
        <f>SUMIFS('Expenditure Breakdown'!$G$6:$G$215, 'Expenditure Breakdown'!$H$6:$H$215, "&gt;="&amp;BK1,'Expenditure Breakdown'!$H$6:$H$215, "&lt;"&amp;BL1)</f>
        <v>0</v>
      </c>
      <c r="BL5" s="202">
        <f>SUMIFS('Expenditure Breakdown'!$G$6:$G$215, 'Expenditure Breakdown'!$H$6:$H$215, "&gt;="&amp;BL1,'Expenditure Breakdown'!$H$6:$H$215, "&lt;"&amp;BM1)</f>
        <v>0</v>
      </c>
      <c r="BM5" s="202">
        <f>SUMIFS('Expenditure Breakdown'!$G$6:$G$215, 'Expenditure Breakdown'!$H$6:$H$215, "&gt;="&amp;BM1,'Expenditure Breakdown'!$H$6:$H$215, "&lt;"&amp;BN1)</f>
        <v>0</v>
      </c>
      <c r="BN5" s="202">
        <f>SUMIFS('Expenditure Breakdown'!$G$6:$G$215, 'Expenditure Breakdown'!$H$6:$H$215, "&gt;="&amp;BN1,'Expenditure Breakdown'!$H$6:$H$215, "&lt;"&amp;BO1)</f>
        <v>0</v>
      </c>
      <c r="BO5" s="202">
        <f>SUMIFS('Expenditure Breakdown'!$G$6:$G$215, 'Expenditure Breakdown'!$H$6:$H$215, "&gt;="&amp;BO1,'Expenditure Breakdown'!$H$6:$H$215, "&lt;"&amp;BP1)</f>
        <v>0</v>
      </c>
      <c r="BP5" s="202">
        <f>SUMIFS('Expenditure Breakdown'!$G$6:$G$215, 'Expenditure Breakdown'!$H$6:$H$215, "&gt;="&amp;BP1,'Expenditure Breakdown'!$H$6:$H$215, "&lt;"&amp;BQ1)</f>
        <v>0</v>
      </c>
      <c r="BQ5" s="202">
        <f>SUMIFS('Expenditure Breakdown'!$G$6:$G$215, 'Expenditure Breakdown'!$H$6:$H$215, "&gt;="&amp;BQ1,'Expenditure Breakdown'!$H$6:$H$215, "&lt;"&amp;BR1)</f>
        <v>0</v>
      </c>
      <c r="BR5" s="202">
        <f>SUMIFS('Expenditure Breakdown'!$G$6:$G$215, 'Expenditure Breakdown'!$H$6:$H$215, "&gt;="&amp;BR1,'Expenditure Breakdown'!$H$6:$H$215, "&lt;"&amp;BS1)</f>
        <v>0</v>
      </c>
      <c r="BS5" s="202">
        <f>SUMIFS('Expenditure Breakdown'!$G$6:$G$215, 'Expenditure Breakdown'!$H$6:$H$215, "&gt;="&amp;BS1,'Expenditure Breakdown'!$H$6:$H$215, "&lt;"&amp;BT1)</f>
        <v>0</v>
      </c>
      <c r="BT5" s="202">
        <f>SUMIFS('Expenditure Breakdown'!$G$6:$G$215, 'Expenditure Breakdown'!$H$6:$H$215, "&gt;="&amp;BT1,'Expenditure Breakdown'!$H$6:$H$215, "&lt;"&amp;BU1)</f>
        <v>0</v>
      </c>
      <c r="BU5" s="202">
        <f>SUMIFS('Expenditure Breakdown'!$G$6:$G$215, 'Expenditure Breakdown'!$H$6:$H$215, "&gt;="&amp;BU1,'Expenditure Breakdown'!$H$6:$H$215, "&lt;"&amp;BV1)</f>
        <v>0</v>
      </c>
      <c r="BV5" s="202">
        <f>SUMIFS('Expenditure Breakdown'!$G$6:$G$215, 'Expenditure Breakdown'!$H$6:$H$215, "&gt;="&amp;BV1,'Expenditure Breakdown'!$H$6:$H$215, "&lt;"&amp;BW1)</f>
        <v>0</v>
      </c>
      <c r="BW5" s="202">
        <f>SUMIFS('Expenditure Breakdown'!$G$6:$G$215, 'Expenditure Breakdown'!$H$6:$H$215, "&gt;="&amp;BW1,'Expenditure Breakdown'!$H$6:$H$215, "&lt;"&amp;BX1)</f>
        <v>0</v>
      </c>
      <c r="BX5" s="202">
        <f>SUMIFS('Expenditure Breakdown'!$G$6:$G$215, 'Expenditure Breakdown'!$H$6:$H$215, "&gt;="&amp;BX1,'Expenditure Breakdown'!$H$6:$H$215, "&lt;"&amp;BY1)</f>
        <v>0</v>
      </c>
      <c r="BY5" s="202">
        <f>SUMIFS('Expenditure Breakdown'!$G$6:$G$215, 'Expenditure Breakdown'!$H$6:$H$215, "&gt;="&amp;BY1,'Expenditure Breakdown'!$H$6:$H$215, "&lt;"&amp;BZ1)</f>
        <v>0</v>
      </c>
      <c r="BZ5" s="202">
        <f>SUMIFS('Expenditure Breakdown'!$G$6:$G$215, 'Expenditure Breakdown'!$H$6:$H$215, "&gt;="&amp;BZ1,'Expenditure Breakdown'!$H$6:$H$215, "&lt;"&amp;CA1)</f>
        <v>0</v>
      </c>
      <c r="CA5" s="202">
        <f>SUMIFS('Expenditure Breakdown'!$G$6:$G$215, 'Expenditure Breakdown'!$H$6:$H$215, "&gt;="&amp;CA1,'Expenditure Breakdown'!$H$6:$H$215, "&lt;"&amp;CB1)</f>
        <v>0</v>
      </c>
      <c r="CB5" s="202">
        <f>SUMIFS('Expenditure Breakdown'!$G$6:$G$215, 'Expenditure Breakdown'!$H$6:$H$215, "&gt;="&amp;CB1,'Expenditure Breakdown'!$H$6:$H$215, "&lt;"&amp;CC1)</f>
        <v>0</v>
      </c>
      <c r="CC5" s="202">
        <f>SUMIFS('Expenditure Breakdown'!$G$6:$G$215, 'Expenditure Breakdown'!$H$6:$H$215, "&gt;="&amp;CC1,'Expenditure Breakdown'!$H$6:$H$215, "&lt;"&amp;CD1)</f>
        <v>0</v>
      </c>
      <c r="CD5" s="202">
        <f>SUMIFS('Expenditure Breakdown'!$G$6:$G$215, 'Expenditure Breakdown'!$H$6:$H$215, "&gt;="&amp;CD1,'Expenditure Breakdown'!$H$6:$H$215, "&lt;"&amp;CE1)</f>
        <v>0</v>
      </c>
      <c r="CE5" s="202">
        <f>SUMIFS('Expenditure Breakdown'!$G$6:$G$215, 'Expenditure Breakdown'!$H$6:$H$215, "&gt;="&amp;CE1,'Expenditure Breakdown'!$H$6:$H$215, "&lt;"&amp;CF1)</f>
        <v>0</v>
      </c>
      <c r="CF5" s="202">
        <f>SUMIFS('Expenditure Breakdown'!$G$6:$G$215, 'Expenditure Breakdown'!$H$6:$H$215, "&gt;="&amp;CF1,'Expenditure Breakdown'!$H$6:$H$215, "&lt;"&amp;CG1)</f>
        <v>0</v>
      </c>
      <c r="CG5" s="202">
        <f>SUMIFS('Expenditure Breakdown'!$G$6:$G$215, 'Expenditure Breakdown'!$H$6:$H$215, "&gt;="&amp;CG1,'Expenditure Breakdown'!$H$6:$H$215, "&lt;"&amp;CH1)</f>
        <v>0</v>
      </c>
      <c r="CH5" s="202">
        <f>SUMIFS('Expenditure Breakdown'!$G$6:$G$215, 'Expenditure Breakdown'!$H$6:$H$215, "&gt;="&amp;CH1,'Expenditure Breakdown'!$H$6:$H$215, "&lt;"&amp;CI1)</f>
        <v>0</v>
      </c>
      <c r="CI5" s="202">
        <f>SUMIFS('Expenditure Breakdown'!$G$6:$G$215, 'Expenditure Breakdown'!$H$6:$H$215, "&gt;="&amp;CI1,'Expenditure Breakdown'!$H$6:$H$215, "&lt;"&amp;CJ1)</f>
        <v>0</v>
      </c>
      <c r="CJ5" s="202">
        <f>SUMIFS('Expenditure Breakdown'!$G$6:$G$215, 'Expenditure Breakdown'!$H$6:$H$215, "&gt;="&amp;CJ1,'Expenditure Breakdown'!$H$6:$H$215, "&lt;"&amp;CK1)</f>
        <v>0</v>
      </c>
      <c r="CK5" s="202">
        <f>SUMIFS('Expenditure Breakdown'!$G$6:$G$215, 'Expenditure Breakdown'!$H$6:$H$215, "&gt;="&amp;CK1,'Expenditure Breakdown'!$H$6:$H$215, "&lt;"&amp;CL1)</f>
        <v>0</v>
      </c>
      <c r="CL5" s="202">
        <f>SUMIFS('Expenditure Breakdown'!$G$6:$G$215, 'Expenditure Breakdown'!$H$6:$H$215, "&gt;="&amp;CL1,'Expenditure Breakdown'!$H$6:$H$215, "&lt;"&amp;CM1)</f>
        <v>0</v>
      </c>
      <c r="CM5" s="202">
        <f>SUMIFS('Expenditure Breakdown'!$G$6:$G$215, 'Expenditure Breakdown'!$H$6:$H$215, "&gt;="&amp;CM1,'Expenditure Breakdown'!$H$6:$H$215, "&lt;"&amp;CN1)</f>
        <v>0</v>
      </c>
      <c r="CN5" s="202">
        <f>SUMIFS('Expenditure Breakdown'!$G$6:$G$215, 'Expenditure Breakdown'!$H$6:$H$215, "&gt;="&amp;CN1,'Expenditure Breakdown'!$H$6:$H$215, "&lt;"&amp;CO1)</f>
        <v>0</v>
      </c>
      <c r="CO5" s="202">
        <f>SUMIFS('Expenditure Breakdown'!$G$6:$G$215, 'Expenditure Breakdown'!$H$6:$H$215, "&gt;="&amp;CO1,'Expenditure Breakdown'!$H$6:$H$215, "&lt;"&amp;CP1)</f>
        <v>0</v>
      </c>
      <c r="CP5" s="202">
        <f>SUMIFS('Expenditure Breakdown'!$G$6:$G$215, 'Expenditure Breakdown'!$H$6:$H$215, "&gt;="&amp;CP1,'Expenditure Breakdown'!$H$6:$H$215, "&lt;"&amp;CQ1)</f>
        <v>0</v>
      </c>
      <c r="CQ5" s="202">
        <f>SUMIFS('Expenditure Breakdown'!$G$6:$G$215, 'Expenditure Breakdown'!$H$6:$H$215, "&gt;="&amp;CQ1,'Expenditure Breakdown'!$H$6:$H$215, "&lt;"&amp;CR1)</f>
        <v>0</v>
      </c>
      <c r="CR5" s="202">
        <f>SUMIFS('Expenditure Breakdown'!$G$6:$G$215, 'Expenditure Breakdown'!$H$6:$H$215, "&gt;="&amp;CR1,'Expenditure Breakdown'!$H$6:$H$215, "&lt;"&amp;CS1)</f>
        <v>0</v>
      </c>
      <c r="CS5" s="202">
        <f>SUMIFS('Expenditure Breakdown'!$G$6:$G$215, 'Expenditure Breakdown'!$H$6:$H$215, "&gt;="&amp;CS1,'Expenditure Breakdown'!$H$6:$H$215, "&lt;"&amp;CT1)</f>
        <v>0</v>
      </c>
      <c r="CT5" s="202">
        <f>SUMIFS('Expenditure Breakdown'!$G$6:$G$215, 'Expenditure Breakdown'!$H$6:$H$215, "&gt;="&amp;CT1,'Expenditure Breakdown'!$H$6:$H$215, "&lt;"&amp;CU1)</f>
        <v>0</v>
      </c>
      <c r="CU5" s="202">
        <f>SUMIFS('Expenditure Breakdown'!$G$6:$G$215, 'Expenditure Breakdown'!$H$6:$H$215, "&gt;="&amp;CU1,'Expenditure Breakdown'!$H$6:$H$215, "&lt;"&amp;CV1)</f>
        <v>0</v>
      </c>
      <c r="CV5" s="202">
        <f>SUMIFS('Expenditure Breakdown'!$G$6:$G$215, 'Expenditure Breakdown'!$H$6:$H$215, "&gt;="&amp;CV1,'Expenditure Breakdown'!$H$6:$H$215, "&lt;"&amp;CW1)</f>
        <v>0</v>
      </c>
      <c r="CW5" s="202">
        <f>SUMIFS('Expenditure Breakdown'!$G$6:$G$215, 'Expenditure Breakdown'!$H$6:$H$215, "&gt;="&amp;CW1,'Expenditure Breakdown'!$H$6:$H$215, "&lt;"&amp;CX1)</f>
        <v>0</v>
      </c>
      <c r="CX5" s="202">
        <f>SUMIFS('Expenditure Breakdown'!$G$6:$G$215, 'Expenditure Breakdown'!$H$6:$H$215, "&gt;="&amp;CX1,'Expenditure Breakdown'!$H$6:$H$215, "&lt;"&amp;CY1)</f>
        <v>0</v>
      </c>
      <c r="CY5" s="202">
        <f>SUMIFS('Expenditure Breakdown'!$G$6:$G$215, 'Expenditure Breakdown'!$H$6:$H$215, "&gt;="&amp;CY1,'Expenditure Breakdown'!$H$6:$H$215, "&lt;"&amp;CZ1)</f>
        <v>0</v>
      </c>
      <c r="CZ5" s="202">
        <f>SUMIFS('Expenditure Breakdown'!$G$6:$G$215, 'Expenditure Breakdown'!$H$6:$H$215, "&gt;="&amp;CZ1,'Expenditure Breakdown'!$H$6:$H$215, "&lt;"&amp;DA1)</f>
        <v>0</v>
      </c>
      <c r="DA5" s="202">
        <f>SUMIFS('Expenditure Breakdown'!$G$6:$G$215, 'Expenditure Breakdown'!$H$6:$H$215, "&gt;="&amp;DA1,'Expenditure Breakdown'!$H$6:$H$215, "&lt;"&amp;DB1)</f>
        <v>0</v>
      </c>
      <c r="DB5" s="202">
        <f>SUMIFS('Expenditure Breakdown'!$G$6:$G$215, 'Expenditure Breakdown'!$H$6:$H$215, "&gt;="&amp;DB1,'Expenditure Breakdown'!$H$6:$H$215, "&lt;"&amp;DC1)</f>
        <v>0</v>
      </c>
      <c r="DC5" s="202">
        <f>SUMIFS('Expenditure Breakdown'!$G$6:$G$215, 'Expenditure Breakdown'!$H$6:$H$215, "&gt;="&amp;DC1,'Expenditure Breakdown'!$H$6:$H$215, "&lt;"&amp;DD1)</f>
        <v>0</v>
      </c>
      <c r="DD5" s="202">
        <f>SUMIFS('Expenditure Breakdown'!$G$6:$G$215, 'Expenditure Breakdown'!$H$6:$H$215, "&gt;="&amp;DD1,'Expenditure Breakdown'!$H$6:$H$215, "&lt;"&amp;DE1)</f>
        <v>0</v>
      </c>
      <c r="DE5" s="202">
        <f>SUMIFS('Expenditure Breakdown'!$G$6:$G$215, 'Expenditure Breakdown'!$H$6:$H$215, "&gt;="&amp;DE1,'Expenditure Breakdown'!$H$6:$H$215, "&lt;"&amp;DF1)</f>
        <v>0</v>
      </c>
      <c r="DF5" s="202">
        <f>SUMIFS('Expenditure Breakdown'!$G$6:$G$215, 'Expenditure Breakdown'!$H$6:$H$215, "&gt;="&amp;DF1,'Expenditure Breakdown'!$H$6:$H$215, "&lt;"&amp;DG1)</f>
        <v>0</v>
      </c>
      <c r="DG5" s="202">
        <f>SUMIFS('Expenditure Breakdown'!$G$6:$G$215, 'Expenditure Breakdown'!$H$6:$H$215, "&gt;="&amp;DG1,'Expenditure Breakdown'!$H$6:$H$215, "&lt;"&amp;DH1)</f>
        <v>0</v>
      </c>
      <c r="DH5" s="202">
        <f>SUMIFS('Expenditure Breakdown'!$G$6:$G$215, 'Expenditure Breakdown'!$H$6:$H$215, "&gt;="&amp;DH1,'Expenditure Breakdown'!$H$6:$H$215, "&lt;"&amp;DI1)</f>
        <v>0</v>
      </c>
      <c r="DI5" s="202">
        <f>SUMIFS('Expenditure Breakdown'!$G$6:$G$215, 'Expenditure Breakdown'!$H$6:$H$215, "&gt;="&amp;DI1,'Expenditure Breakdown'!$H$6:$H$215, "&lt;"&amp;DJ1)</f>
        <v>0</v>
      </c>
      <c r="DJ5" s="202">
        <f>SUMIFS('Expenditure Breakdown'!$G$6:$G$215, 'Expenditure Breakdown'!$H$6:$H$215, "&gt;="&amp;DJ1,'Expenditure Breakdown'!$H$6:$H$215, "&lt;"&amp;DK1)</f>
        <v>0</v>
      </c>
      <c r="DK5" s="202">
        <f>SUMIFS('Expenditure Breakdown'!$G$6:$G$215, 'Expenditure Breakdown'!$H$6:$H$215, "&gt;="&amp;DK1,'Expenditure Breakdown'!$H$6:$H$215, "&lt;"&amp;DL1)</f>
        <v>0</v>
      </c>
      <c r="DL5" s="202">
        <f>SUMIFS('Expenditure Breakdown'!$G$6:$G$215, 'Expenditure Breakdown'!$H$6:$H$215, "&gt;="&amp;DL1,'Expenditure Breakdown'!$H$6:$H$215, "&lt;"&amp;DM1)</f>
        <v>0</v>
      </c>
      <c r="DM5" s="202">
        <f>SUMIFS('Expenditure Breakdown'!$G$6:$G$215, 'Expenditure Breakdown'!$H$6:$H$215, "&gt;="&amp;DM1,'Expenditure Breakdown'!$H$6:$H$215, "&lt;"&amp;DN1)</f>
        <v>0</v>
      </c>
      <c r="DN5" s="202">
        <f>SUMIFS('Expenditure Breakdown'!$G$6:$G$215, 'Expenditure Breakdown'!$H$6:$H$215, "&gt;="&amp;DN1,'Expenditure Breakdown'!$H$6:$H$215, "&lt;"&amp;DO1)</f>
        <v>0</v>
      </c>
      <c r="DO5" s="202">
        <f>SUMIFS('Expenditure Breakdown'!$G$6:$G$215, 'Expenditure Breakdown'!$H$6:$H$215, "&gt;="&amp;DO1,'Expenditure Breakdown'!$H$6:$H$215, "&lt;"&amp;DP1)</f>
        <v>0</v>
      </c>
      <c r="DP5" s="202">
        <f>SUMIFS('Expenditure Breakdown'!$G$6:$G$215, 'Expenditure Breakdown'!$H$6:$H$215, "&gt;="&amp;DP1,'Expenditure Breakdown'!$H$6:$H$215, "&lt;"&amp;DQ1)</f>
        <v>0</v>
      </c>
      <c r="DQ5" s="202">
        <f>SUMIFS('Expenditure Breakdown'!$G$6:$G$215, 'Expenditure Breakdown'!$H$6:$H$215, "&gt;="&amp;DQ1,'Expenditure Breakdown'!$H$6:$H$215, "&lt;"&amp;DR1)</f>
        <v>0</v>
      </c>
      <c r="DR5" s="202">
        <f>SUMIFS('Expenditure Breakdown'!$G$6:$G$215, 'Expenditure Breakdown'!$H$6:$H$215, "&gt;="&amp;DR1,'Expenditure Breakdown'!$H$6:$H$215, "&lt;"&amp;DS1)</f>
        <v>0</v>
      </c>
      <c r="DS5" s="202">
        <f>SUMIFS('Expenditure Breakdown'!$G$6:$G$215, 'Expenditure Breakdown'!$H$6:$H$215, "&gt;="&amp;DS1,'Expenditure Breakdown'!$H$6:$H$215, "&lt;"&amp;DT1)</f>
        <v>0</v>
      </c>
      <c r="DT5" s="202">
        <f>SUMIFS('Expenditure Breakdown'!$G$6:$G$215, 'Expenditure Breakdown'!$H$6:$H$215, "&gt;="&amp;DT1,'Expenditure Breakdown'!$H$6:$H$215, "&lt;"&amp;DU1)</f>
        <v>0</v>
      </c>
      <c r="DU5" s="202">
        <f>SUMIFS('Expenditure Breakdown'!$G$6:$G$215, 'Expenditure Breakdown'!$H$6:$H$215, "&gt;="&amp;DU1,'Expenditure Breakdown'!$H$6:$H$215, "&lt;"&amp;DV1)</f>
        <v>0</v>
      </c>
      <c r="DV5" s="202">
        <f>SUMIFS('Expenditure Breakdown'!$G$6:$G$215, 'Expenditure Breakdown'!$H$6:$H$215, "&gt;="&amp;DV1,'Expenditure Breakdown'!$H$6:$H$215, "&lt;"&amp;DW1)</f>
        <v>0</v>
      </c>
      <c r="DW5" s="202">
        <f>SUMIFS('Expenditure Breakdown'!$G$6:$G$215, 'Expenditure Breakdown'!$H$6:$H$215, "&gt;="&amp;DW1,'Expenditure Breakdown'!$H$6:$H$215, "&lt;"&amp;DX1)</f>
        <v>0</v>
      </c>
      <c r="DX5" s="202">
        <f>SUMIFS('Expenditure Breakdown'!$G$6:$G$215, 'Expenditure Breakdown'!$H$6:$H$215, "&gt;="&amp;DX1,'Expenditure Breakdown'!$H$6:$H$215, "&lt;"&amp;DY1)</f>
        <v>0</v>
      </c>
      <c r="DY5" s="202">
        <f>SUMIFS('Expenditure Breakdown'!$G$6:$G$215, 'Expenditure Breakdown'!$H$6:$H$215, "&gt;="&amp;DY1,'Expenditure Breakdown'!$H$6:$H$215, "&lt;"&amp;DZ1)</f>
        <v>0</v>
      </c>
      <c r="DZ5" s="202">
        <f>SUMIFS('Expenditure Breakdown'!$G$6:$G$215, 'Expenditure Breakdown'!$H$6:$H$215, "&gt;="&amp;DZ1,'Expenditure Breakdown'!$H$6:$H$215, "&lt;"&amp;EA1)</f>
        <v>0</v>
      </c>
      <c r="EA5" s="202">
        <f>SUMIFS('Expenditure Breakdown'!$G$6:$G$215, 'Expenditure Breakdown'!$H$6:$H$215, "&gt;="&amp;EA1,'Expenditure Breakdown'!$H$6:$H$215, "&lt;"&amp;EB1)</f>
        <v>0</v>
      </c>
      <c r="EB5" s="202">
        <f>SUMIFS('Expenditure Breakdown'!$G$6:$G$215, 'Expenditure Breakdown'!$H$6:$H$215, "&gt;="&amp;EB1,'Expenditure Breakdown'!$H$6:$H$215, "&lt;"&amp;EC1)</f>
        <v>0</v>
      </c>
      <c r="EC5" s="202">
        <f>SUMIFS('Expenditure Breakdown'!$G$6:$G$215, 'Expenditure Breakdown'!$H$6:$H$215, "&gt;="&amp;EC1,'Expenditure Breakdown'!$H$6:$H$215, "&lt;"&amp;ED1)</f>
        <v>0</v>
      </c>
      <c r="ED5" s="202">
        <f>SUMIFS('Expenditure Breakdown'!$G$6:$G$215, 'Expenditure Breakdown'!$H$6:$H$215, "&gt;="&amp;ED1,'Expenditure Breakdown'!$H$6:$H$215, "&lt;"&amp;EE1)</f>
        <v>0</v>
      </c>
      <c r="EE5" s="202">
        <f>SUMIFS('Expenditure Breakdown'!$G$6:$G$215, 'Expenditure Breakdown'!$H$6:$H$215, "&gt;="&amp;EE1,'Expenditure Breakdown'!$H$6:$H$215, "&lt;"&amp;EF1)</f>
        <v>0</v>
      </c>
      <c r="EF5" s="202">
        <f>SUMIFS('Expenditure Breakdown'!$G$6:$G$215, 'Expenditure Breakdown'!$H$6:$H$215, "&gt;="&amp;EF1,'Expenditure Breakdown'!$H$6:$H$215, "&lt;"&amp;EG1)</f>
        <v>0</v>
      </c>
      <c r="EG5" s="202">
        <f>SUMIFS('Expenditure Breakdown'!$G$6:$G$215, 'Expenditure Breakdown'!$H$6:$H$215, "&gt;="&amp;EG1,'Expenditure Breakdown'!$H$6:$H$215, "&lt;"&amp;EH1)</f>
        <v>0</v>
      </c>
      <c r="EH5" s="202">
        <f>SUMIFS('Expenditure Breakdown'!$G$6:$G$215, 'Expenditure Breakdown'!$H$6:$H$215, "&gt;="&amp;EH1,'Expenditure Breakdown'!$H$6:$H$215, "&lt;"&amp;EI1)</f>
        <v>0</v>
      </c>
      <c r="EI5" s="202">
        <f>SUMIFS('Expenditure Breakdown'!$G$6:$G$215, 'Expenditure Breakdown'!$H$6:$H$215, "&gt;="&amp;EI1,'Expenditure Breakdown'!$H$6:$H$215, "&lt;"&amp;EJ1)</f>
        <v>0</v>
      </c>
      <c r="EJ5" s="202">
        <f>SUMIFS('Expenditure Breakdown'!$G$6:$G$215, 'Expenditure Breakdown'!$H$6:$H$215, "&gt;="&amp;EJ1,'Expenditure Breakdown'!$H$6:$H$215, "&lt;"&amp;EK1)</f>
        <v>0</v>
      </c>
      <c r="EK5" s="202">
        <f>SUMIFS('Expenditure Breakdown'!$G$6:$G$215, 'Expenditure Breakdown'!$H$6:$H$215, "&gt;="&amp;EK1,'Expenditure Breakdown'!$H$6:$H$215, "&lt;"&amp;EL1)</f>
        <v>0</v>
      </c>
      <c r="EL5" s="202">
        <f>SUMIFS('Expenditure Breakdown'!$G$6:$G$215, 'Expenditure Breakdown'!$H$6:$H$215, "&gt;="&amp;EL1,'Expenditure Breakdown'!$H$6:$H$215, "&lt;"&amp;EM1)</f>
        <v>0</v>
      </c>
      <c r="EM5" s="202">
        <f>SUMIFS('Expenditure Breakdown'!$G$6:$G$215, 'Expenditure Breakdown'!$H$6:$H$215, "&gt;="&amp;EM1,'Expenditure Breakdown'!$H$6:$H$215, "&lt;"&amp;EN1)</f>
        <v>0</v>
      </c>
      <c r="EN5" s="202">
        <f>SUMIFS('Expenditure Breakdown'!$G$6:$G$215, 'Expenditure Breakdown'!$H$6:$H$215, "&gt;="&amp;EN1,'Expenditure Breakdown'!$H$6:$H$215, "&lt;"&amp;EO1)</f>
        <v>0</v>
      </c>
      <c r="EO5" s="202">
        <f>SUMIFS('Expenditure Breakdown'!$G$6:$G$215, 'Expenditure Breakdown'!$H$6:$H$215, "&gt;="&amp;EO1,'Expenditure Breakdown'!$H$6:$H$215, "&lt;"&amp;EP1)</f>
        <v>0</v>
      </c>
      <c r="EP5" s="202">
        <f>SUMIFS('Expenditure Breakdown'!$G$6:$G$215, 'Expenditure Breakdown'!$H$6:$H$215, "&gt;="&amp;EP1,'Expenditure Breakdown'!$H$6:$H$215, "&lt;"&amp;EQ1)</f>
        <v>0</v>
      </c>
      <c r="EQ5" s="202">
        <f>SUMIFS('Expenditure Breakdown'!$G$6:$G$215, 'Expenditure Breakdown'!$H$6:$H$215, "&gt;="&amp;EQ1,'Expenditure Breakdown'!$H$6:$H$215, "&lt;"&amp;ER1)</f>
        <v>0</v>
      </c>
      <c r="ER5" s="202">
        <f>SUMIFS('Expenditure Breakdown'!$G$6:$G$215, 'Expenditure Breakdown'!$H$6:$H$215, "&gt;="&amp;ER1,'Expenditure Breakdown'!$H$6:$H$215, "&lt;"&amp;ES1)</f>
        <v>0</v>
      </c>
      <c r="ES5" s="202">
        <f>SUMIFS('Expenditure Breakdown'!$G$6:$G$215, 'Expenditure Breakdown'!$H$6:$H$215, "&gt;="&amp;ES1,'Expenditure Breakdown'!$H$6:$H$215, "&lt;"&amp;ET1)</f>
        <v>0</v>
      </c>
      <c r="ET5" s="202">
        <f>SUMIFS('Expenditure Breakdown'!$G$6:$G$215, 'Expenditure Breakdown'!$H$6:$H$215, "&gt;="&amp;ET1,'Expenditure Breakdown'!$H$6:$H$215, "&lt;"&amp;EU1)</f>
        <v>0</v>
      </c>
      <c r="EU5" s="202">
        <f>SUMIFS('Expenditure Breakdown'!$G$6:$G$215, 'Expenditure Breakdown'!$H$6:$H$215, "&gt;="&amp;EU1,'Expenditure Breakdown'!$H$6:$H$215, "&lt;"&amp;EV1)</f>
        <v>0</v>
      </c>
      <c r="EV5" s="202">
        <f>SUMIFS('Expenditure Breakdown'!$G$6:$G$215, 'Expenditure Breakdown'!$H$6:$H$215, "&gt;="&amp;EV1,'Expenditure Breakdown'!$H$6:$H$215, "&lt;"&amp;EW1)</f>
        <v>0</v>
      </c>
      <c r="EW5" s="202">
        <f>SUMIFS('Expenditure Breakdown'!$G$6:$G$215, 'Expenditure Breakdown'!$H$6:$H$215, "&gt;="&amp;EW1,'Expenditure Breakdown'!$H$6:$H$215, "&lt;"&amp;EX1)</f>
        <v>0</v>
      </c>
      <c r="EX5" s="202">
        <f>SUMIFS('Expenditure Breakdown'!$G$6:$G$215, 'Expenditure Breakdown'!$H$6:$H$215, "&gt;="&amp;EX1,'Expenditure Breakdown'!$H$6:$H$215, "&lt;"&amp;EY1)</f>
        <v>0</v>
      </c>
      <c r="EY5" s="202">
        <f>SUMIFS('Expenditure Breakdown'!$G$6:$G$215, 'Expenditure Breakdown'!$H$6:$H$215, "&gt;="&amp;EY1,'Expenditure Breakdown'!$H$6:$H$215, "&lt;"&amp;EZ1)</f>
        <v>0</v>
      </c>
      <c r="EZ5" s="202">
        <f>SUMIFS('Expenditure Breakdown'!$G$6:$G$215, 'Expenditure Breakdown'!$H$6:$H$215, "&gt;="&amp;EZ1,'Expenditure Breakdown'!$H$6:$H$215, "&lt;"&amp;FA1)</f>
        <v>0</v>
      </c>
      <c r="FA5" s="202">
        <f>SUMIFS('Expenditure Breakdown'!$G$6:$G$215, 'Expenditure Breakdown'!$H$6:$H$215, "&gt;="&amp;FA1,'Expenditure Breakdown'!$H$6:$H$215, "&lt;"&amp;FB1)</f>
        <v>0</v>
      </c>
      <c r="FB5" s="202">
        <f>SUMIFS('Expenditure Breakdown'!$G$6:$G$215, 'Expenditure Breakdown'!$H$6:$H$215, "&gt;="&amp;FB1,'Expenditure Breakdown'!$H$6:$H$215, "&lt;"&amp;FC1)</f>
        <v>0</v>
      </c>
      <c r="FC5" s="202">
        <f>SUMIFS('Expenditure Breakdown'!$G$6:$G$215, 'Expenditure Breakdown'!$H$6:$H$215, "&gt;="&amp;FC1,'Expenditure Breakdown'!$H$6:$H$215, "&lt;"&amp;FD1)</f>
        <v>0</v>
      </c>
      <c r="FD5" s="202">
        <f>SUMIFS('Expenditure Breakdown'!$G$6:$G$215, 'Expenditure Breakdown'!$H$6:$H$215, "&gt;="&amp;FD1,'Expenditure Breakdown'!$H$6:$H$215, "&lt;"&amp;FE1)</f>
        <v>0</v>
      </c>
      <c r="FE5" s="202">
        <f>SUMIFS('Expenditure Breakdown'!$G$6:$G$215, 'Expenditure Breakdown'!$H$6:$H$215, "&gt;="&amp;FE1,'Expenditure Breakdown'!$H$6:$H$215, "&lt;"&amp;FF1)</f>
        <v>0</v>
      </c>
      <c r="FF5" s="202">
        <f>SUMIFS('Expenditure Breakdown'!$G$6:$G$215, 'Expenditure Breakdown'!$H$6:$H$215, "&gt;="&amp;FF1,'Expenditure Breakdown'!$H$6:$H$215, "&lt;"&amp;FG1)</f>
        <v>0</v>
      </c>
      <c r="FG5" s="202">
        <f>SUMIFS('Expenditure Breakdown'!$G$6:$G$215, 'Expenditure Breakdown'!$H$6:$H$215, "&gt;="&amp;FG1,'Expenditure Breakdown'!$H$6:$H$215, "&lt;"&amp;FH1)</f>
        <v>0</v>
      </c>
      <c r="FH5" s="202">
        <f>SUMIFS('Expenditure Breakdown'!$G$6:$G$215, 'Expenditure Breakdown'!$H$6:$H$215, "&gt;="&amp;FH1,'Expenditure Breakdown'!$H$6:$H$215, "&lt;"&amp;FI1)</f>
        <v>0</v>
      </c>
      <c r="FI5" s="202">
        <f>SUMIFS('Expenditure Breakdown'!$G$6:$G$215, 'Expenditure Breakdown'!$H$6:$H$215, "&gt;="&amp;FI1,'Expenditure Breakdown'!$H$6:$H$215, "&lt;"&amp;FJ1)</f>
        <v>0</v>
      </c>
      <c r="FJ5" s="202">
        <f>SUMIFS('Expenditure Breakdown'!$G$6:$G$215, 'Expenditure Breakdown'!$H$6:$H$215, "&gt;="&amp;FJ1,'Expenditure Breakdown'!$H$6:$H$215, "&lt;"&amp;FK1)</f>
        <v>0</v>
      </c>
      <c r="FK5" s="202">
        <f>SUMIFS('Expenditure Breakdown'!$G$6:$G$215, 'Expenditure Breakdown'!$H$6:$H$215, "&gt;="&amp;FK1,'Expenditure Breakdown'!$H$6:$H$215, "&lt;"&amp;FL1)</f>
        <v>0</v>
      </c>
      <c r="FL5" s="202">
        <f>SUMIFS('Expenditure Breakdown'!$G$6:$G$215, 'Expenditure Breakdown'!$H$6:$H$215, "&gt;="&amp;FL1,'Expenditure Breakdown'!$H$6:$H$215, "&lt;"&amp;FM1)</f>
        <v>0</v>
      </c>
      <c r="FM5" s="202">
        <f>SUMIFS('Expenditure Breakdown'!$G$6:$G$215, 'Expenditure Breakdown'!$H$6:$H$215, "&gt;="&amp;FM1,'Expenditure Breakdown'!$H$6:$H$215, "&lt;"&amp;FN1)</f>
        <v>0</v>
      </c>
      <c r="FN5" s="202">
        <f>SUMIFS('Expenditure Breakdown'!$G$6:$G$215, 'Expenditure Breakdown'!$H$6:$H$215, "&gt;="&amp;FN1,'Expenditure Breakdown'!$H$6:$H$215, "&lt;"&amp;FO1)</f>
        <v>0</v>
      </c>
      <c r="FO5" s="202">
        <f>SUMIFS('Expenditure Breakdown'!$G$6:$G$215, 'Expenditure Breakdown'!$H$6:$H$215, "&gt;="&amp;FO1,'Expenditure Breakdown'!$H$6:$H$215, "&lt;"&amp;FP1)</f>
        <v>0</v>
      </c>
      <c r="FP5" s="202">
        <f>SUMIFS('Expenditure Breakdown'!$G$6:$G$215, 'Expenditure Breakdown'!$H$6:$H$215, "&gt;="&amp;FP1,'Expenditure Breakdown'!$H$6:$H$215, "&lt;"&amp;FQ1)</f>
        <v>0</v>
      </c>
      <c r="FQ5" s="202">
        <f>SUMIFS('Expenditure Breakdown'!$G$6:$G$215, 'Expenditure Breakdown'!$H$6:$H$215, "&gt;="&amp;FQ1,'Expenditure Breakdown'!$H$6:$H$215, "&lt;"&amp;FR1)</f>
        <v>0</v>
      </c>
      <c r="FR5" s="202">
        <f>SUMIFS('Expenditure Breakdown'!$G$6:$G$215, 'Expenditure Breakdown'!$H$6:$H$215, "&gt;="&amp;FR1,'Expenditure Breakdown'!$H$6:$H$215, "&lt;"&amp;FS1)</f>
        <v>0</v>
      </c>
      <c r="FS5" s="202">
        <f>SUMIFS('Expenditure Breakdown'!$G$6:$G$215, 'Expenditure Breakdown'!$H$6:$H$215, "&gt;="&amp;FS1,'Expenditure Breakdown'!$H$6:$H$215, "&lt;"&amp;FT1)</f>
        <v>0</v>
      </c>
      <c r="FT5" s="202">
        <f>SUMIFS('Expenditure Breakdown'!$G$6:$G$215, 'Expenditure Breakdown'!$H$6:$H$215, "&gt;="&amp;FT1,'Expenditure Breakdown'!$H$6:$H$215, "&lt;"&amp;FU1)</f>
        <v>0</v>
      </c>
      <c r="FU5" s="202">
        <f>SUMIFS('Expenditure Breakdown'!$G$6:$G$215, 'Expenditure Breakdown'!$H$6:$H$215, "&gt;="&amp;FU1,'Expenditure Breakdown'!$H$6:$H$215, "&lt;"&amp;FV1)</f>
        <v>0</v>
      </c>
      <c r="FV5" s="202">
        <f>SUMIFS('Expenditure Breakdown'!$G$6:$G$215, 'Expenditure Breakdown'!$H$6:$H$215, "&gt;="&amp;FV1,'Expenditure Breakdown'!$H$6:$H$215, "&lt;"&amp;FW1)</f>
        <v>0</v>
      </c>
      <c r="FW5" s="202">
        <f>SUMIFS('Expenditure Breakdown'!$G$6:$G$215, 'Expenditure Breakdown'!$H$6:$H$215, "&gt;="&amp;FW1,'Expenditure Breakdown'!$H$6:$H$215, "&lt;"&amp;FX1)</f>
        <v>0</v>
      </c>
      <c r="FX5" s="202">
        <f>SUMIFS('Expenditure Breakdown'!$G$6:$G$215, 'Expenditure Breakdown'!$H$6:$H$215, "&gt;="&amp;FX1,'Expenditure Breakdown'!$H$6:$H$215, "&lt;"&amp;FY1)</f>
        <v>0</v>
      </c>
      <c r="FY5" s="202">
        <f>SUMIFS('Expenditure Breakdown'!$G$6:$G$215, 'Expenditure Breakdown'!$H$6:$H$215, "&gt;="&amp;FY1,'Expenditure Breakdown'!$H$6:$H$215, "&lt;"&amp;FZ1)</f>
        <v>0</v>
      </c>
      <c r="FZ5" s="202">
        <f>SUMIFS('Expenditure Breakdown'!$G$6:$G$215, 'Expenditure Breakdown'!$H$6:$H$215, "&gt;="&amp;FZ1,'Expenditure Breakdown'!$H$6:$H$215, "&lt;"&amp;GA1)</f>
        <v>0</v>
      </c>
      <c r="GA5" s="202">
        <f>SUMIFS('Expenditure Breakdown'!$G$6:$G$215, 'Expenditure Breakdown'!$H$6:$H$215, "&gt;="&amp;GA1,'Expenditure Breakdown'!$H$6:$H$215, "&lt;"&amp;GB1)</f>
        <v>0</v>
      </c>
      <c r="GB5" s="202">
        <f>SUMIFS('Expenditure Breakdown'!$G$6:$G$215, 'Expenditure Breakdown'!$H$6:$H$215, "&gt;="&amp;GB1,'Expenditure Breakdown'!$H$6:$H$215, "&lt;"&amp;GC1)</f>
        <v>0</v>
      </c>
      <c r="GC5" s="202">
        <f>SUMIFS('Expenditure Breakdown'!$G$6:$G$215, 'Expenditure Breakdown'!$H$6:$H$215, "&gt;="&amp;GC1,'Expenditure Breakdown'!$H$6:$H$215, "&lt;"&amp;GD1)</f>
        <v>0</v>
      </c>
      <c r="GD5" s="202">
        <f>SUMIFS('Expenditure Breakdown'!$G$6:$G$215, 'Expenditure Breakdown'!$H$6:$H$215, "&gt;="&amp;GD1,'Expenditure Breakdown'!$H$6:$H$215, "&lt;"&amp;GE1)</f>
        <v>0</v>
      </c>
      <c r="GE5" s="202">
        <f>SUMIFS('Expenditure Breakdown'!$G$6:$G$215, 'Expenditure Breakdown'!$H$6:$H$215, "&gt;="&amp;GE1,'Expenditure Breakdown'!$H$6:$H$215, "&lt;"&amp;GF1)</f>
        <v>0</v>
      </c>
      <c r="GF5" s="202">
        <f>SUMIFS('Expenditure Breakdown'!$G$6:$G$215, 'Expenditure Breakdown'!$H$6:$H$215, "&gt;="&amp;GF1,'Expenditure Breakdown'!$H$6:$H$215, "&lt;"&amp;GG1)</f>
        <v>0</v>
      </c>
      <c r="GG5" s="202">
        <f>SUMIFS('Expenditure Breakdown'!$G$6:$G$215, 'Expenditure Breakdown'!$H$6:$H$215, "&gt;="&amp;GG1,'Expenditure Breakdown'!$H$6:$H$215, "&lt;"&amp;GH1)</f>
        <v>0</v>
      </c>
      <c r="GH5" s="202">
        <f>SUMIFS('Expenditure Breakdown'!$G$6:$G$215, 'Expenditure Breakdown'!$H$6:$H$215, "&gt;="&amp;GH1,'Expenditure Breakdown'!$H$6:$H$215, "&lt;"&amp;GI1)</f>
        <v>0</v>
      </c>
      <c r="GI5" s="202">
        <f>SUMIFS('Expenditure Breakdown'!$G$6:$G$215, 'Expenditure Breakdown'!$H$6:$H$215, "&gt;="&amp;GI1,'Expenditure Breakdown'!$H$6:$H$215, "&lt;"&amp;GJ1)</f>
        <v>0</v>
      </c>
      <c r="GJ5" s="202">
        <f>SUMIFS('Expenditure Breakdown'!$G$6:$G$215, 'Expenditure Breakdown'!$H$6:$H$215, "&gt;="&amp;GJ1,'Expenditure Breakdown'!$H$6:$H$215, "&lt;"&amp;GK1)</f>
        <v>0</v>
      </c>
      <c r="GK5" s="202">
        <f>SUMIFS('Expenditure Breakdown'!$G$6:$G$215, 'Expenditure Breakdown'!$H$6:$H$215, "&gt;="&amp;GK1,'Expenditure Breakdown'!$H$6:$H$215, "&lt;"&amp;GL1)</f>
        <v>0</v>
      </c>
      <c r="GL5" s="202">
        <f>SUMIFS('Expenditure Breakdown'!$G$6:$G$215, 'Expenditure Breakdown'!$H$6:$H$215, "&gt;="&amp;GL1,'Expenditure Breakdown'!$H$6:$H$215, "&lt;"&amp;GM1)</f>
        <v>0</v>
      </c>
      <c r="GM5" s="202">
        <f>SUMIFS('Expenditure Breakdown'!$G$6:$G$215, 'Expenditure Breakdown'!$H$6:$H$215, "&gt;="&amp;GM1,'Expenditure Breakdown'!$H$6:$H$215, "&lt;"&amp;GN1)</f>
        <v>0</v>
      </c>
      <c r="GN5" s="202">
        <f>SUMIFS('Expenditure Breakdown'!$G$6:$G$215, 'Expenditure Breakdown'!$H$6:$H$215, "&gt;="&amp;GN1,'Expenditure Breakdown'!$H$6:$H$215, "&lt;"&amp;GO1)</f>
        <v>0</v>
      </c>
      <c r="GO5" s="202">
        <f>SUMIFS('Expenditure Breakdown'!$G$6:$G$215, 'Expenditure Breakdown'!$H$6:$H$215, "&gt;="&amp;GO1,'Expenditure Breakdown'!$H$6:$H$215, "&lt;"&amp;GP1)</f>
        <v>0</v>
      </c>
      <c r="GP5" s="202">
        <f>SUMIFS('Expenditure Breakdown'!$G$6:$G$215, 'Expenditure Breakdown'!$H$6:$H$215, "&gt;="&amp;GP1,'Expenditure Breakdown'!$H$6:$H$215, "&lt;"&amp;GQ1)</f>
        <v>0</v>
      </c>
      <c r="GQ5" s="202">
        <f>SUMIFS('Expenditure Breakdown'!$G$6:$G$215, 'Expenditure Breakdown'!$H$6:$H$215, "&gt;="&amp;GQ1,'Expenditure Breakdown'!$H$6:$H$215, "&lt;"&amp;GR1)</f>
        <v>0</v>
      </c>
      <c r="GR5" s="202">
        <f>SUMIFS('Expenditure Breakdown'!$G$6:$G$215, 'Expenditure Breakdown'!$H$6:$H$215, "&gt;="&amp;GR1,'Expenditure Breakdown'!$H$6:$H$215, "&lt;"&amp;GS1)</f>
        <v>0</v>
      </c>
      <c r="GS5" s="202">
        <f>SUMIFS('Expenditure Breakdown'!$G$6:$G$215, 'Expenditure Breakdown'!$H$6:$H$215, "&gt;="&amp;GS1,'Expenditure Breakdown'!$H$6:$H$215, "&lt;"&amp;GT1)</f>
        <v>0</v>
      </c>
      <c r="GT5" s="202">
        <f>SUMIFS('Expenditure Breakdown'!$G$6:$G$215, 'Expenditure Breakdown'!$H$6:$H$215, "&gt;="&amp;GT1,'Expenditure Breakdown'!$H$6:$H$215, "&lt;"&amp;GU1)</f>
        <v>0</v>
      </c>
      <c r="GU5" s="202">
        <f>SUMIFS('Expenditure Breakdown'!$G$6:$G$215, 'Expenditure Breakdown'!$H$6:$H$215, "&gt;="&amp;GU1,'Expenditure Breakdown'!$H$6:$H$215, "&lt;"&amp;GV1)</f>
        <v>0</v>
      </c>
      <c r="GV5" s="202">
        <f>SUMIFS('Expenditure Breakdown'!$G$6:$G$215, 'Expenditure Breakdown'!$H$6:$H$215, "&gt;="&amp;GV1,'Expenditure Breakdown'!$H$6:$H$215, "&lt;"&amp;GW1)</f>
        <v>0</v>
      </c>
      <c r="GW5" s="202">
        <f>SUMIFS('Expenditure Breakdown'!$G$6:$G$215, 'Expenditure Breakdown'!$H$6:$H$215, "&gt;="&amp;GW1,'Expenditure Breakdown'!$H$6:$H$215, "&lt;"&amp;GX1)</f>
        <v>0</v>
      </c>
      <c r="GX5" s="202">
        <f>SUMIFS('Expenditure Breakdown'!$G$6:$G$215, 'Expenditure Breakdown'!$H$6:$H$215, "&gt;="&amp;GX1,'Expenditure Breakdown'!$H$6:$H$215, "&lt;"&amp;GY1)</f>
        <v>0</v>
      </c>
      <c r="GY5" s="202">
        <f>SUMIFS('Expenditure Breakdown'!$G$6:$G$215, 'Expenditure Breakdown'!$H$6:$H$215, "&gt;="&amp;GY1,'Expenditure Breakdown'!$H$6:$H$215, "&lt;"&amp;GZ1)</f>
        <v>0</v>
      </c>
      <c r="GZ5" s="202">
        <f>SUMIFS('Expenditure Breakdown'!$G$6:$G$215, 'Expenditure Breakdown'!$H$6:$H$215, "&gt;="&amp;GZ1,'Expenditure Breakdown'!$H$6:$H$215, "&lt;"&amp;HA1)</f>
        <v>0</v>
      </c>
      <c r="HA5" s="202">
        <f>SUMIFS('Expenditure Breakdown'!$G$6:$G$215, 'Expenditure Breakdown'!$H$6:$H$215, "&gt;="&amp;HA1,'Expenditure Breakdown'!$H$6:$H$215, "&lt;"&amp;HB1)</f>
        <v>0</v>
      </c>
      <c r="HB5" s="202">
        <f>SUMIFS('Expenditure Breakdown'!$G$6:$G$215, 'Expenditure Breakdown'!$H$6:$H$215, "&gt;="&amp;HB1,'Expenditure Breakdown'!$H$6:$H$215, "&lt;"&amp;HC1)</f>
        <v>0</v>
      </c>
      <c r="HC5" s="202">
        <f>SUMIFS('Expenditure Breakdown'!$G$6:$G$215, 'Expenditure Breakdown'!$H$6:$H$215, "&gt;="&amp;HC1,'Expenditure Breakdown'!$H$6:$H$215, "&lt;"&amp;HD1)</f>
        <v>0</v>
      </c>
      <c r="HD5" s="202">
        <f>SUMIFS('Expenditure Breakdown'!$G$6:$G$215, 'Expenditure Breakdown'!$H$6:$H$215, "&gt;="&amp;HD1,'Expenditure Breakdown'!$H$6:$H$215, "&lt;"&amp;HE1)</f>
        <v>0</v>
      </c>
      <c r="HE5" s="202">
        <f>SUMIFS('Expenditure Breakdown'!$G$6:$G$215, 'Expenditure Breakdown'!$H$6:$H$215, "&gt;="&amp;HE1,'Expenditure Breakdown'!$H$6:$H$215, "&lt;"&amp;HF1)</f>
        <v>0</v>
      </c>
      <c r="HF5" s="202">
        <f>SUMIFS('Expenditure Breakdown'!$G$6:$G$215, 'Expenditure Breakdown'!$H$6:$H$215, "&gt;="&amp;HF1,'Expenditure Breakdown'!$H$6:$H$215, "&lt;"&amp;HG1)</f>
        <v>0</v>
      </c>
      <c r="HG5" s="202">
        <f>SUMIFS('Expenditure Breakdown'!$G$6:$G$215, 'Expenditure Breakdown'!$H$6:$H$215, "&gt;="&amp;HG1,'Expenditure Breakdown'!$H$6:$H$215, "&lt;"&amp;HH1)</f>
        <v>0</v>
      </c>
      <c r="HH5" s="202">
        <f>SUMIFS('Expenditure Breakdown'!$G$6:$G$215, 'Expenditure Breakdown'!$H$6:$H$215, "&gt;="&amp;HH1,'Expenditure Breakdown'!$H$6:$H$215, "&lt;"&amp;HI1)</f>
        <v>0</v>
      </c>
      <c r="HI5" s="202">
        <f>SUMIFS('Expenditure Breakdown'!$G$6:$G$215, 'Expenditure Breakdown'!$H$6:$H$215, "&gt;="&amp;HI1,'Expenditure Breakdown'!$H$6:$H$215, "&lt;"&amp;HJ1)</f>
        <v>0</v>
      </c>
      <c r="HJ5" s="202">
        <f>SUMIFS('Expenditure Breakdown'!$G$6:$G$215, 'Expenditure Breakdown'!$H$6:$H$215, "&gt;="&amp;HJ1,'Expenditure Breakdown'!$H$6:$H$215, "&lt;"&amp;HK1)</f>
        <v>0</v>
      </c>
      <c r="HK5" s="202">
        <f>SUMIFS('Expenditure Breakdown'!$G$6:$G$215, 'Expenditure Breakdown'!$H$6:$H$215, "&gt;="&amp;HK1,'Expenditure Breakdown'!$H$6:$H$215, "&lt;"&amp;HL1)</f>
        <v>0</v>
      </c>
      <c r="HL5" s="202">
        <f>SUMIFS('Expenditure Breakdown'!$G$6:$G$215, 'Expenditure Breakdown'!$H$6:$H$215, "&gt;="&amp;HL1,'Expenditure Breakdown'!$H$6:$H$215, "&lt;"&amp;HM1)</f>
        <v>0</v>
      </c>
      <c r="HM5" s="202">
        <f>SUMIFS('Expenditure Breakdown'!$G$6:$G$215, 'Expenditure Breakdown'!$H$6:$H$215, "&gt;="&amp;HM1,'Expenditure Breakdown'!$H$6:$H$215, "&lt;"&amp;HN1)</f>
        <v>0</v>
      </c>
      <c r="HN5" s="202">
        <f>SUMIFS('Expenditure Breakdown'!$G$6:$G$215, 'Expenditure Breakdown'!$H$6:$H$215, "&gt;="&amp;HN1,'Expenditure Breakdown'!$H$6:$H$215, "&lt;"&amp;HO1)</f>
        <v>0</v>
      </c>
      <c r="HO5" s="202">
        <f>SUMIFS('Expenditure Breakdown'!$G$6:$G$215, 'Expenditure Breakdown'!$H$6:$H$215, "&gt;="&amp;HO1,'Expenditure Breakdown'!$H$6:$H$215, "&lt;"&amp;HP1)</f>
        <v>0</v>
      </c>
      <c r="HP5" s="202">
        <f>SUMIFS('Expenditure Breakdown'!$G$6:$G$215, 'Expenditure Breakdown'!$H$6:$H$215, "&gt;="&amp;HP1,'Expenditure Breakdown'!$H$6:$H$215, "&lt;"&amp;HQ1)</f>
        <v>0</v>
      </c>
      <c r="HQ5" s="202">
        <f>SUMIFS('Expenditure Breakdown'!$G$6:$G$215, 'Expenditure Breakdown'!$H$6:$H$215, "&gt;="&amp;HQ1,'Expenditure Breakdown'!$H$6:$H$215, "&lt;"&amp;HR1)</f>
        <v>0</v>
      </c>
      <c r="HR5" s="202">
        <f>SUMIFS('Expenditure Breakdown'!$G$6:$G$215, 'Expenditure Breakdown'!$H$6:$H$215, "&gt;="&amp;HR1,'Expenditure Breakdown'!$H$6:$H$215, "&lt;"&amp;HS1)</f>
        <v>0</v>
      </c>
      <c r="HS5" s="202">
        <f>SUMIFS('Expenditure Breakdown'!$G$6:$G$215, 'Expenditure Breakdown'!$H$6:$H$215, "&gt;="&amp;HS1,'Expenditure Breakdown'!$H$6:$H$215, "&lt;"&amp;HT1)</f>
        <v>0</v>
      </c>
      <c r="HT5" s="202">
        <f>SUMIFS('Expenditure Breakdown'!$G$6:$G$215, 'Expenditure Breakdown'!$H$6:$H$215, "&gt;="&amp;HT1,'Expenditure Breakdown'!$H$6:$H$215, "&lt;"&amp;HU1)</f>
        <v>0</v>
      </c>
      <c r="HU5" s="202">
        <f>SUMIFS('Expenditure Breakdown'!$G$6:$G$215, 'Expenditure Breakdown'!$H$6:$H$215, "&gt;="&amp;HU1,'Expenditure Breakdown'!$H$6:$H$215, "&lt;"&amp;HV1)</f>
        <v>0</v>
      </c>
      <c r="HV5" s="202">
        <f>SUMIFS('Expenditure Breakdown'!$G$6:$G$215, 'Expenditure Breakdown'!$H$6:$H$215, "&gt;="&amp;HV1,'Expenditure Breakdown'!$H$6:$H$215, "&lt;"&amp;HW1)</f>
        <v>0</v>
      </c>
      <c r="HW5" s="202">
        <f>SUMIFS('Expenditure Breakdown'!$G$6:$G$215, 'Expenditure Breakdown'!$H$6:$H$215, "&gt;="&amp;HW1,'Expenditure Breakdown'!$H$6:$H$215, "&lt;"&amp;HX1)</f>
        <v>0</v>
      </c>
      <c r="HX5" s="202">
        <f>SUMIFS('Expenditure Breakdown'!$G$6:$G$215, 'Expenditure Breakdown'!$H$6:$H$215, "&gt;="&amp;HX1,'Expenditure Breakdown'!$H$6:$H$215, "&lt;"&amp;HY1)</f>
        <v>0</v>
      </c>
      <c r="HY5" s="202">
        <f>SUMIFS('Expenditure Breakdown'!$G$6:$G$215, 'Expenditure Breakdown'!$H$6:$H$215, "&gt;="&amp;HY1,'Expenditure Breakdown'!$H$6:$H$215, "&lt;"&amp;HZ1)</f>
        <v>0</v>
      </c>
      <c r="HZ5" s="202">
        <f>SUMIFS('Expenditure Breakdown'!$G$6:$G$215, 'Expenditure Breakdown'!$H$6:$H$215, "&gt;="&amp;HZ1,'Expenditure Breakdown'!$H$6:$H$215, "&lt;"&amp;IA1)</f>
        <v>0</v>
      </c>
      <c r="IA5" s="202">
        <f>SUMIFS('Expenditure Breakdown'!$G$6:$G$215, 'Expenditure Breakdown'!$H$6:$H$215, "&gt;="&amp;IA1,'Expenditure Breakdown'!$H$6:$H$215, "&lt;"&amp;IB1)</f>
        <v>0</v>
      </c>
      <c r="IB5" s="202">
        <f>SUMIFS('Expenditure Breakdown'!$G$6:$G$215, 'Expenditure Breakdown'!$H$6:$H$215, "&gt;="&amp;IB1,'Expenditure Breakdown'!$H$6:$H$215, "&lt;"&amp;IC1)</f>
        <v>0</v>
      </c>
      <c r="IC5" s="202">
        <f>SUMIFS('Expenditure Breakdown'!$G$6:$G$215, 'Expenditure Breakdown'!$H$6:$H$215, "&gt;="&amp;IC1,'Expenditure Breakdown'!$H$6:$H$215, "&lt;"&amp;ID1)</f>
        <v>0</v>
      </c>
      <c r="ID5" s="202">
        <f>SUMIFS('Expenditure Breakdown'!$G$6:$G$215, 'Expenditure Breakdown'!$H$6:$H$215, "&gt;="&amp;ID1,'Expenditure Breakdown'!$H$6:$H$215, "&lt;"&amp;IE1)</f>
        <v>0</v>
      </c>
      <c r="IE5" s="202">
        <f>SUMIFS('Expenditure Breakdown'!$G$6:$G$215, 'Expenditure Breakdown'!$H$6:$H$215, "&gt;="&amp;IE1,'Expenditure Breakdown'!$H$6:$H$215, "&lt;"&amp;IF1)</f>
        <v>0</v>
      </c>
      <c r="IF5" s="202">
        <f>SUMIFS('Expenditure Breakdown'!$G$6:$G$215, 'Expenditure Breakdown'!$H$6:$H$215, "&gt;="&amp;IF1,'Expenditure Breakdown'!$H$6:$H$215, "&lt;"&amp;IG1)</f>
        <v>0</v>
      </c>
      <c r="IG5" s="202">
        <f>SUMIFS('Expenditure Breakdown'!$G$6:$G$215, 'Expenditure Breakdown'!$H$6:$H$215, "&gt;="&amp;IG1,'Expenditure Breakdown'!$H$6:$H$215, "&lt;"&amp;IH1)</f>
        <v>0</v>
      </c>
      <c r="IH5" s="202">
        <f>SUMIFS('Expenditure Breakdown'!$G$6:$G$215, 'Expenditure Breakdown'!$H$6:$H$215, "&gt;="&amp;IH1,'Expenditure Breakdown'!$H$6:$H$215, "&lt;"&amp;II1)</f>
        <v>0</v>
      </c>
      <c r="II5" s="202">
        <f>SUMIFS('Expenditure Breakdown'!$G$6:$G$215, 'Expenditure Breakdown'!$H$6:$H$215, "&gt;="&amp;II1,'Expenditure Breakdown'!$H$6:$H$215, "&lt;"&amp;IJ1)</f>
        <v>0</v>
      </c>
      <c r="IJ5" s="202">
        <f>SUMIFS('Expenditure Breakdown'!$G$6:$G$215, 'Expenditure Breakdown'!$H$6:$H$215, "&gt;="&amp;IJ1,'Expenditure Breakdown'!$H$6:$H$215, "&lt;"&amp;IK1)</f>
        <v>0</v>
      </c>
      <c r="IK5" s="202">
        <f>SUMIFS('Expenditure Breakdown'!$G$6:$G$215, 'Expenditure Breakdown'!$H$6:$H$215, "&gt;="&amp;IK1,'Expenditure Breakdown'!$H$6:$H$215, "&lt;"&amp;IL1)</f>
        <v>0</v>
      </c>
      <c r="IL5" s="202">
        <f>SUMIFS('Expenditure Breakdown'!$G$6:$G$215, 'Expenditure Breakdown'!$H$6:$H$215, "&gt;="&amp;IL1,'Expenditure Breakdown'!$H$6:$H$215, "&lt;"&amp;IM1)</f>
        <v>0</v>
      </c>
      <c r="IM5" s="202">
        <f>SUMIFS('Expenditure Breakdown'!$G$6:$G$215, 'Expenditure Breakdown'!$H$6:$H$215, "&gt;="&amp;IM1,'Expenditure Breakdown'!$H$6:$H$215, "&lt;"&amp;IN1)</f>
        <v>0</v>
      </c>
      <c r="IN5" s="202">
        <f>SUMIFS('Expenditure Breakdown'!$G$6:$G$215, 'Expenditure Breakdown'!$H$6:$H$215, "&gt;="&amp;IN1,'Expenditure Breakdown'!$H$6:$H$215, "&lt;"&amp;IO1)</f>
        <v>0</v>
      </c>
      <c r="IO5" s="202">
        <f>SUMIFS('Expenditure Breakdown'!$G$6:$G$215, 'Expenditure Breakdown'!$H$6:$H$215, "&gt;="&amp;IO1,'Expenditure Breakdown'!$H$6:$H$215, "&lt;"&amp;IP1)</f>
        <v>0</v>
      </c>
      <c r="IP5" s="202">
        <f>SUMIFS('Expenditure Breakdown'!$G$6:$G$215, 'Expenditure Breakdown'!$H$6:$H$215, "&gt;="&amp;IP1,'Expenditure Breakdown'!$H$6:$H$215, "&lt;"&amp;IQ1)</f>
        <v>0</v>
      </c>
      <c r="IQ5" s="202">
        <f>SUMIFS('Expenditure Breakdown'!$G$6:$G$215, 'Expenditure Breakdown'!$H$6:$H$215, "&gt;="&amp;IQ1,'Expenditure Breakdown'!$H$6:$H$215, "&lt;"&amp;IR1)</f>
        <v>0</v>
      </c>
      <c r="IR5" s="202">
        <f>SUMIFS('Expenditure Breakdown'!$G$6:$G$215, 'Expenditure Breakdown'!$H$6:$H$215, "&gt;="&amp;IR1,'Expenditure Breakdown'!$H$6:$H$215, "&lt;"&amp;IS1)</f>
        <v>0</v>
      </c>
      <c r="IS5" s="202">
        <f>SUMIFS('Expenditure Breakdown'!$G$6:$G$215, 'Expenditure Breakdown'!$H$6:$H$215, "&gt;="&amp;IS1,'Expenditure Breakdown'!$H$6:$H$215, "&lt;"&amp;IT1)</f>
        <v>0</v>
      </c>
      <c r="IT5" s="202">
        <f>SUMIFS('Expenditure Breakdown'!$G$6:$G$215, 'Expenditure Breakdown'!$H$6:$H$215, "&gt;="&amp;IT1,'Expenditure Breakdown'!$H$6:$H$215, "&lt;"&amp;IU1)</f>
        <v>0</v>
      </c>
      <c r="IU5" s="202">
        <f>SUMIFS('Expenditure Breakdown'!$G$6:$G$215, 'Expenditure Breakdown'!$H$6:$H$215, "&gt;="&amp;IU1,'Expenditure Breakdown'!$H$6:$H$215, "&lt;"&amp;IV1)</f>
        <v>0</v>
      </c>
      <c r="IV5" s="202">
        <f>SUMIFS('Expenditure Breakdown'!$G$6:$G$215, 'Expenditure Breakdown'!$H$6:$H$215, "&gt;="&amp;IV1,'Expenditure Breakdown'!$H$6:$H$215, "&lt;"&amp;IW1)</f>
        <v>0</v>
      </c>
      <c r="IW5" s="202">
        <f>SUMIFS('Expenditure Breakdown'!$G$6:$G$215, 'Expenditure Breakdown'!$H$6:$H$215, "&gt;="&amp;IW1,'Expenditure Breakdown'!$H$6:$H$215, "&lt;"&amp;IX1)</f>
        <v>0</v>
      </c>
      <c r="IX5" s="202">
        <f>SUMIFS('Expenditure Breakdown'!$G$6:$G$215, 'Expenditure Breakdown'!$H$6:$H$215, "&gt;="&amp;IX1,'Expenditure Breakdown'!$H$6:$H$215, "&lt;"&amp;IY1)</f>
        <v>0</v>
      </c>
      <c r="IY5" s="202">
        <f>SUMIFS('Expenditure Breakdown'!$G$6:$G$215, 'Expenditure Breakdown'!$H$6:$H$215, "&gt;="&amp;IY1,'Expenditure Breakdown'!$H$6:$H$215, "&lt;"&amp;IZ1)</f>
        <v>0</v>
      </c>
      <c r="IZ5" s="202">
        <f>SUMIFS('Expenditure Breakdown'!$G$6:$G$215, 'Expenditure Breakdown'!$H$6:$H$215, "&gt;="&amp;IZ1,'Expenditure Breakdown'!$H$6:$H$215, "&lt;"&amp;JA1)</f>
        <v>0</v>
      </c>
      <c r="JA5" s="202">
        <f>SUMIFS('Expenditure Breakdown'!$G$6:$G$215, 'Expenditure Breakdown'!$H$6:$H$215, "&gt;="&amp;JA1,'Expenditure Breakdown'!$H$6:$H$215, "&lt;"&amp;JB1)</f>
        <v>0</v>
      </c>
      <c r="JB5" s="202">
        <f>SUMIFS('Expenditure Breakdown'!$G$6:$G$215, 'Expenditure Breakdown'!$H$6:$H$215, "&gt;="&amp;JB1,'Expenditure Breakdown'!$H$6:$H$215, "&lt;"&amp;JC1)</f>
        <v>0</v>
      </c>
      <c r="JC5" s="202">
        <f>SUMIFS('Expenditure Breakdown'!$G$6:$G$215, 'Expenditure Breakdown'!$H$6:$H$215, "&gt;="&amp;JC1,'Expenditure Breakdown'!$H$6:$H$215, "&lt;"&amp;JD1)</f>
        <v>0</v>
      </c>
      <c r="JD5" s="202">
        <f>SUMIFS('Expenditure Breakdown'!$G$6:$G$215, 'Expenditure Breakdown'!$H$6:$H$215, "&gt;="&amp;JD1,'Expenditure Breakdown'!$H$6:$H$215, "&lt;"&amp;JE1)</f>
        <v>0</v>
      </c>
      <c r="JE5" s="202">
        <f>SUMIFS('Expenditure Breakdown'!$G$6:$G$215, 'Expenditure Breakdown'!$H$6:$H$215, "&gt;="&amp;JE1,'Expenditure Breakdown'!$H$6:$H$215, "&lt;"&amp;JF1)</f>
        <v>0</v>
      </c>
      <c r="JF5" s="202">
        <f>SUMIFS('Expenditure Breakdown'!$G$6:$G$215, 'Expenditure Breakdown'!$H$6:$H$215, "&gt;="&amp;JF1,'Expenditure Breakdown'!$H$6:$H$215, "&lt;"&amp;JG1)</f>
        <v>0</v>
      </c>
      <c r="JG5" s="202">
        <f>SUMIFS('Expenditure Breakdown'!$G$6:$G$215, 'Expenditure Breakdown'!$H$6:$H$215, "&gt;="&amp;JG1,'Expenditure Breakdown'!$H$6:$H$215, "&lt;"&amp;JH1)</f>
        <v>0</v>
      </c>
      <c r="JH5" s="202">
        <f>SUMIFS('Expenditure Breakdown'!$G$6:$G$215, 'Expenditure Breakdown'!$H$6:$H$215, "&gt;="&amp;JH1,'Expenditure Breakdown'!$H$6:$H$215, "&lt;"&amp;JI1)</f>
        <v>0</v>
      </c>
      <c r="JI5" s="202">
        <f>SUMIFS('Expenditure Breakdown'!$G$6:$G$215, 'Expenditure Breakdown'!$H$6:$H$215, "&gt;="&amp;JI1,'Expenditure Breakdown'!$H$6:$H$215, "&lt;"&amp;JJ1)</f>
        <v>0</v>
      </c>
      <c r="JJ5" s="202">
        <f>SUMIFS('Expenditure Breakdown'!$G$6:$G$215, 'Expenditure Breakdown'!$H$6:$H$215, "&gt;="&amp;JJ1,'Expenditure Breakdown'!$H$6:$H$215, "&lt;"&amp;JK1)</f>
        <v>0</v>
      </c>
      <c r="JK5" s="202">
        <f>SUMIFS('Expenditure Breakdown'!$G$6:$G$215, 'Expenditure Breakdown'!$H$6:$H$215, "&gt;="&amp;JK1,'Expenditure Breakdown'!$H$6:$H$215, "&lt;"&amp;JL1)</f>
        <v>0</v>
      </c>
      <c r="JL5" s="202">
        <f>SUMIFS('Expenditure Breakdown'!$G$6:$G$215, 'Expenditure Breakdown'!$H$6:$H$215, "&gt;="&amp;JL1,'Expenditure Breakdown'!$H$6:$H$215, "&lt;"&amp;JM1)</f>
        <v>0</v>
      </c>
      <c r="JM5" s="202">
        <f>SUMIFS('Expenditure Breakdown'!$G$6:$G$215, 'Expenditure Breakdown'!$H$6:$H$215, "&gt;="&amp;JM1,'Expenditure Breakdown'!$H$6:$H$215, "&lt;"&amp;JN1)</f>
        <v>0</v>
      </c>
      <c r="JN5" s="202">
        <f>SUMIFS('Expenditure Breakdown'!$G$6:$G$215, 'Expenditure Breakdown'!$H$6:$H$215, "&gt;="&amp;JN1,'Expenditure Breakdown'!$H$6:$H$215, "&lt;"&amp;JO1)</f>
        <v>0</v>
      </c>
      <c r="JO5" s="202">
        <f>SUMIFS('Expenditure Breakdown'!$G$6:$G$215, 'Expenditure Breakdown'!$H$6:$H$215, "&gt;="&amp;JO1,'Expenditure Breakdown'!$H$6:$H$215, "&lt;"&amp;JP1)</f>
        <v>0</v>
      </c>
      <c r="JP5" s="202">
        <f>SUMIFS('Expenditure Breakdown'!$G$6:$G$215, 'Expenditure Breakdown'!$H$6:$H$215, "&gt;="&amp;JP1,'Expenditure Breakdown'!$H$6:$H$215, "&lt;"&amp;JQ1)</f>
        <v>0</v>
      </c>
      <c r="JQ5" s="202">
        <f>SUMIFS('Expenditure Breakdown'!$G$6:$G$215, 'Expenditure Breakdown'!$H$6:$H$215, "&gt;="&amp;JQ1,'Expenditure Breakdown'!$H$6:$H$215, "&lt;"&amp;JR1)</f>
        <v>0</v>
      </c>
      <c r="JR5" s="202">
        <f>SUMIFS('Expenditure Breakdown'!$G$6:$G$215, 'Expenditure Breakdown'!$H$6:$H$215, "&gt;="&amp;JR1,'Expenditure Breakdown'!$H$6:$H$215, "&lt;"&amp;JS1)</f>
        <v>0</v>
      </c>
      <c r="JS5" s="202">
        <f>SUMIFS('Expenditure Breakdown'!$G$6:$G$215, 'Expenditure Breakdown'!$H$6:$H$215, "&gt;="&amp;JS1,'Expenditure Breakdown'!$H$6:$H$215, "&lt;"&amp;JT1)</f>
        <v>0</v>
      </c>
      <c r="JT5" s="202">
        <f>SUMIFS('Expenditure Breakdown'!$G$6:$G$215, 'Expenditure Breakdown'!$H$6:$H$215, "&gt;="&amp;JT1,'Expenditure Breakdown'!$H$6:$H$215, "&lt;"&amp;JU1)</f>
        <v>0</v>
      </c>
      <c r="JU5" s="202">
        <f>SUMIFS('Expenditure Breakdown'!$G$6:$G$215, 'Expenditure Breakdown'!$H$6:$H$215, "&gt;="&amp;JU1,'Expenditure Breakdown'!$H$6:$H$215, "&lt;"&amp;JV1)</f>
        <v>0</v>
      </c>
      <c r="JV5" s="202">
        <f>SUMIFS('Expenditure Breakdown'!$G$6:$G$215, 'Expenditure Breakdown'!$H$6:$H$215, "&gt;="&amp;JV1,'Expenditure Breakdown'!$H$6:$H$215, "&lt;"&amp;JW1)</f>
        <v>0</v>
      </c>
      <c r="JW5" s="202">
        <f>SUMIFS('Expenditure Breakdown'!$G$6:$G$215, 'Expenditure Breakdown'!$H$6:$H$215, "&gt;="&amp;JW1,'Expenditure Breakdown'!$H$6:$H$215, "&lt;"&amp;JX1)</f>
        <v>0</v>
      </c>
      <c r="JX5" s="202">
        <f>SUMIFS('Expenditure Breakdown'!$G$6:$G$215, 'Expenditure Breakdown'!$H$6:$H$215, "&gt;="&amp;JX1,'Expenditure Breakdown'!$H$6:$H$215, "&lt;"&amp;JY1)</f>
        <v>0</v>
      </c>
      <c r="JY5" s="202">
        <f>SUMIFS('Expenditure Breakdown'!$G$6:$G$215, 'Expenditure Breakdown'!$H$6:$H$215, "&gt;="&amp;JY1,'Expenditure Breakdown'!$H$6:$H$215, "&lt;"&amp;JZ1)</f>
        <v>0</v>
      </c>
      <c r="JZ5" s="202">
        <f>SUMIFS('Expenditure Breakdown'!$G$6:$G$215, 'Expenditure Breakdown'!$H$6:$H$215, "&gt;="&amp;JZ1,'Expenditure Breakdown'!$H$6:$H$215, "&lt;"&amp;KA1)</f>
        <v>0</v>
      </c>
      <c r="KA5" s="202">
        <f>SUMIFS('Expenditure Breakdown'!$G$6:$G$215, 'Expenditure Breakdown'!$H$6:$H$215, "&gt;="&amp;KA1,'Expenditure Breakdown'!$H$6:$H$215, "&lt;"&amp;KB1)</f>
        <v>0</v>
      </c>
      <c r="KB5" s="202">
        <f>SUMIFS('Expenditure Breakdown'!$G$6:$G$215, 'Expenditure Breakdown'!$H$6:$H$215, "&gt;="&amp;KB1,'Expenditure Breakdown'!$H$6:$H$215, "&lt;"&amp;KC1)</f>
        <v>0</v>
      </c>
      <c r="KC5" s="202">
        <f>SUMIFS('Expenditure Breakdown'!$G$6:$G$215, 'Expenditure Breakdown'!$H$6:$H$215, "&gt;="&amp;KC1,'Expenditure Breakdown'!$H$6:$H$215, "&lt;"&amp;KD1)</f>
        <v>0</v>
      </c>
      <c r="KD5" s="202">
        <f>SUMIFS('Expenditure Breakdown'!$G$6:$G$215, 'Expenditure Breakdown'!$H$6:$H$215, "&gt;="&amp;KD1,'Expenditure Breakdown'!$H$6:$H$215, "&lt;"&amp;KE1)</f>
        <v>0</v>
      </c>
      <c r="KE5" s="202">
        <f>SUMIFS('Expenditure Breakdown'!$G$6:$G$215, 'Expenditure Breakdown'!$H$6:$H$215, "&gt;="&amp;KE1,'Expenditure Breakdown'!$H$6:$H$215, "&lt;"&amp;KF1)</f>
        <v>0</v>
      </c>
      <c r="KF5" s="202">
        <f>SUMIFS('Expenditure Breakdown'!$G$6:$G$215, 'Expenditure Breakdown'!$H$6:$H$215, "&gt;="&amp;KF1,'Expenditure Breakdown'!$H$6:$H$215, "&lt;"&amp;KG1)</f>
        <v>0</v>
      </c>
      <c r="KG5" s="202">
        <f>SUMIFS('Expenditure Breakdown'!$G$6:$G$215, 'Expenditure Breakdown'!$H$6:$H$215, "&gt;="&amp;KG1,'Expenditure Breakdown'!$H$6:$H$215, "&lt;"&amp;KH1)</f>
        <v>0</v>
      </c>
      <c r="KH5" s="202">
        <f>SUMIFS('Expenditure Breakdown'!$G$6:$G$215, 'Expenditure Breakdown'!$H$6:$H$215, "&gt;="&amp;KH1,'Expenditure Breakdown'!$H$6:$H$215, "&lt;"&amp;KI1)</f>
        <v>0</v>
      </c>
      <c r="KI5" s="202">
        <f>SUMIFS('Expenditure Breakdown'!$G$6:$G$215, 'Expenditure Breakdown'!$H$6:$H$215, "&gt;="&amp;KI1,'Expenditure Breakdown'!$H$6:$H$215, "&lt;"&amp;KJ1)</f>
        <v>0</v>
      </c>
      <c r="KJ5" s="202">
        <f>SUMIFS('Expenditure Breakdown'!$G$6:$G$215, 'Expenditure Breakdown'!$H$6:$H$215, "&gt;="&amp;KJ1,'Expenditure Breakdown'!$H$6:$H$215, "&lt;"&amp;KK1)</f>
        <v>0</v>
      </c>
      <c r="KK5" s="202">
        <f>SUMIFS('Expenditure Breakdown'!$G$6:$G$215, 'Expenditure Breakdown'!$H$6:$H$215, "&gt;="&amp;KK1,'Expenditure Breakdown'!$H$6:$H$215, "&lt;"&amp;KL1)</f>
        <v>0</v>
      </c>
      <c r="KL5" s="202">
        <f>SUMIFS('Expenditure Breakdown'!$G$6:$G$215, 'Expenditure Breakdown'!$H$6:$H$215, "&gt;="&amp;KL1,'Expenditure Breakdown'!$H$6:$H$215, "&lt;"&amp;KM1)</f>
        <v>0</v>
      </c>
      <c r="KM5" s="202">
        <f>SUMIFS('Expenditure Breakdown'!$G$6:$G$215, 'Expenditure Breakdown'!$H$6:$H$215, "&gt;="&amp;KM1,'Expenditure Breakdown'!$H$6:$H$215, "&lt;"&amp;KN1)</f>
        <v>0</v>
      </c>
      <c r="KN5" s="202">
        <f>SUMIFS('Expenditure Breakdown'!$G$6:$G$215, 'Expenditure Breakdown'!$H$6:$H$215, "&gt;="&amp;KN1,'Expenditure Breakdown'!$H$6:$H$215, "&lt;"&amp;KO1)</f>
        <v>0</v>
      </c>
      <c r="KO5" s="202">
        <f>SUMIFS('Expenditure Breakdown'!$G$6:$G$215, 'Expenditure Breakdown'!$H$6:$H$215, "&gt;="&amp;KO1,'Expenditure Breakdown'!$H$6:$H$215, "&lt;"&amp;KP1)</f>
        <v>0</v>
      </c>
      <c r="KP5" s="202">
        <f>SUMIFS('Expenditure Breakdown'!$G$6:$G$215, 'Expenditure Breakdown'!$H$6:$H$215, "&gt;="&amp;KP1,'Expenditure Breakdown'!$H$6:$H$215, "&lt;"&amp;KQ1)</f>
        <v>0</v>
      </c>
      <c r="KQ5" s="202">
        <f>SUMIFS('Expenditure Breakdown'!$G$6:$G$215, 'Expenditure Breakdown'!$H$6:$H$215, "&gt;="&amp;KQ1,'Expenditure Breakdown'!$H$6:$H$215, "&lt;"&amp;KR1)</f>
        <v>0</v>
      </c>
      <c r="KR5" s="202">
        <f>SUMIFS('Expenditure Breakdown'!$G$6:$G$215, 'Expenditure Breakdown'!$H$6:$H$215, "&gt;="&amp;KR1,'Expenditure Breakdown'!$H$6:$H$215, "&lt;"&amp;KS1)</f>
        <v>0</v>
      </c>
      <c r="KS5" s="202">
        <f>SUMIFS('Expenditure Breakdown'!$G$6:$G$215, 'Expenditure Breakdown'!$H$6:$H$215, "&gt;="&amp;KS1,'Expenditure Breakdown'!$H$6:$H$215, "&lt;"&amp;KT1)</f>
        <v>0</v>
      </c>
      <c r="KT5" s="202">
        <f>SUMIFS('Expenditure Breakdown'!$G$6:$G$215, 'Expenditure Breakdown'!$H$6:$H$215, "&gt;="&amp;KT1,'Expenditure Breakdown'!$H$6:$H$215, "&lt;"&amp;KU1)</f>
        <v>0</v>
      </c>
      <c r="KU5" s="202">
        <f>SUMIFS('Expenditure Breakdown'!$G$6:$G$215, 'Expenditure Breakdown'!$H$6:$H$215, "&gt;="&amp;KU1,'Expenditure Breakdown'!$H$6:$H$215, "&lt;"&amp;KV1)</f>
        <v>0</v>
      </c>
      <c r="KV5" s="202">
        <f>SUMIFS('Expenditure Breakdown'!$G$6:$G$215, 'Expenditure Breakdown'!$H$6:$H$215, "&gt;="&amp;KV1,'Expenditure Breakdown'!$H$6:$H$215, "&lt;"&amp;KW1)</f>
        <v>0</v>
      </c>
      <c r="KW5" s="202">
        <f>SUMIFS('Expenditure Breakdown'!$G$6:$G$215, 'Expenditure Breakdown'!$H$6:$H$215, "&gt;="&amp;KW1,'Expenditure Breakdown'!$H$6:$H$215, "&lt;"&amp;KX1)</f>
        <v>0</v>
      </c>
      <c r="KX5" s="202">
        <f>SUMIFS('Expenditure Breakdown'!$G$6:$G$215, 'Expenditure Breakdown'!$H$6:$H$215, "&gt;="&amp;KX1,'Expenditure Breakdown'!$H$6:$H$215, "&lt;"&amp;KY1)</f>
        <v>0</v>
      </c>
      <c r="KY5" s="202">
        <f>SUMIFS('Expenditure Breakdown'!$G$6:$G$215, 'Expenditure Breakdown'!$H$6:$H$215, "&gt;="&amp;KY1,'Expenditure Breakdown'!$H$6:$H$215, "&lt;"&amp;KZ1)</f>
        <v>0</v>
      </c>
      <c r="KZ5" s="202">
        <f>SUMIFS('Expenditure Breakdown'!$G$6:$G$215, 'Expenditure Breakdown'!$H$6:$H$215, "&gt;="&amp;KZ1,'Expenditure Breakdown'!$H$6:$H$215, "&lt;"&amp;LA1)</f>
        <v>0</v>
      </c>
      <c r="LA5" s="202">
        <f>SUMIFS('Expenditure Breakdown'!$G$6:$G$215, 'Expenditure Breakdown'!$H$6:$H$215, "&gt;="&amp;LA1,'Expenditure Breakdown'!$H$6:$H$215, "&lt;"&amp;LB1)</f>
        <v>0</v>
      </c>
      <c r="LB5" s="202">
        <f>SUMIFS('Expenditure Breakdown'!$G$6:$G$215, 'Expenditure Breakdown'!$H$6:$H$215, "&gt;="&amp;LB1,'Expenditure Breakdown'!$H$6:$H$215, "&lt;"&amp;LC1)</f>
        <v>0</v>
      </c>
      <c r="LC5" s="202">
        <f>SUMIFS('Expenditure Breakdown'!$G$6:$G$215, 'Expenditure Breakdown'!$H$6:$H$215, "&gt;="&amp;LC1,'Expenditure Breakdown'!$H$6:$H$215, "&lt;"&amp;LD1)</f>
        <v>0</v>
      </c>
      <c r="LD5" s="202">
        <f>SUMIFS('Expenditure Breakdown'!$G$6:$G$215, 'Expenditure Breakdown'!$H$6:$H$215, "&gt;="&amp;LD1,'Expenditure Breakdown'!$H$6:$H$215, "&lt;"&amp;#REF!)</f>
        <v>0</v>
      </c>
      <c r="LE5" s="192"/>
      <c r="LF5" s="203"/>
      <c r="LG5" s="203"/>
    </row>
    <row r="6" spans="1:794" s="204" customFormat="1">
      <c r="A6" s="809"/>
      <c r="B6" s="200" t="s">
        <v>519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09"/>
      <c r="B7" s="205" t="s">
        <v>520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08" t="s">
        <v>259</v>
      </c>
      <c r="B8" s="193"/>
      <c r="C8" s="194" t="s">
        <v>334</v>
      </c>
      <c r="D8" s="194" t="s">
        <v>334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521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2189570.59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0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09"/>
      <c r="B10" s="210" t="s">
        <v>522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10428344.35</v>
      </c>
      <c r="BL10" s="212">
        <f t="shared" si="21"/>
        <v>10428344.35</v>
      </c>
      <c r="BM10" s="212">
        <f t="shared" si="21"/>
        <v>10428344.35</v>
      </c>
      <c r="BN10" s="212">
        <f t="shared" si="21"/>
        <v>10428344.35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09"/>
      <c r="B11" s="213" t="s">
        <v>523</v>
      </c>
      <c r="C11" s="214">
        <f>'Revenue Tracking'!F5</f>
        <v>7349211.2423272394</v>
      </c>
      <c r="D11" s="214">
        <f>SUM(F11:LD11)</f>
        <v>7349211.2423272412</v>
      </c>
      <c r="E11" s="198"/>
      <c r="F11" s="215">
        <f>SUMIFS('Expenditure Breakdown'!$Q$6:$Q$184, 'Expenditure Breakdown'!$W$6:$W$184, "&gt;="&amp;F1,'Expenditure Breakdown'!$W$6:$W$184, "&lt;"&amp;G1)</f>
        <v>0</v>
      </c>
      <c r="G11" s="215">
        <f>SUMIFS('Expenditure Breakdown'!$Q$6:$Q$184, 'Expenditure Breakdown'!$W$6:$W$184, "&gt;="&amp;G1,'Expenditure Breakdown'!$W$6:$W$184, "&lt;"&amp;H1)</f>
        <v>0</v>
      </c>
      <c r="H11" s="215">
        <f>SUMIFS('Expenditure Breakdown'!$Q$6:$Q$184, 'Expenditure Breakdown'!$W$6:$W$184, "&gt;="&amp;H1,'Expenditure Breakdown'!$W$6:$W$184, "&lt;"&amp;I1)</f>
        <v>0</v>
      </c>
      <c r="I11" s="215">
        <f>SUMIFS('Expenditure Breakdown'!$Q$6:$Q$184, 'Expenditure Breakdown'!$W$6:$W$184, "&gt;="&amp;I1,'Expenditure Breakdown'!$W$6:$W$184, "&lt;"&amp;J1)</f>
        <v>0</v>
      </c>
      <c r="J11" s="215">
        <f>SUMIFS('Expenditure Breakdown'!$Q$6:$Q$184, 'Expenditure Breakdown'!$W$6:$W$184, "&gt;="&amp;J1,'Expenditure Breakdown'!$W$6:$W$184, "&lt;"&amp;K1)</f>
        <v>0</v>
      </c>
      <c r="K11" s="215">
        <f>SUMIFS('Expenditure Breakdown'!$Q$6:$Q$184, 'Expenditure Breakdown'!$W$6:$W$184, "&gt;="&amp;K1,'Expenditure Breakdown'!$W$6:$W$184, "&lt;"&amp;L1)</f>
        <v>79700</v>
      </c>
      <c r="L11" s="215">
        <f>SUMIFS('Expenditure Breakdown'!$Q$6:$Q$184, 'Expenditure Breakdown'!$W$6:$W$184, "&gt;="&amp;L1,'Expenditure Breakdown'!$W$6:$W$184, "&lt;"&amp;M1)</f>
        <v>9620</v>
      </c>
      <c r="M11" s="215">
        <f>SUMIFS('Expenditure Breakdown'!$Q$6:$Q$184, 'Expenditure Breakdown'!$W$6:$W$184, "&gt;="&amp;M1,'Expenditure Breakdown'!$W$6:$W$184, "&lt;"&amp;N1)</f>
        <v>0</v>
      </c>
      <c r="N11" s="215">
        <f>SUMIFS('Expenditure Breakdown'!$Q$6:$Q$184, 'Expenditure Breakdown'!$W$6:$W$184, "&gt;="&amp;N1,'Expenditure Breakdown'!$W$6:$W$184, "&lt;"&amp;O1)</f>
        <v>0</v>
      </c>
      <c r="O11" s="215">
        <f>SUMIFS('Expenditure Breakdown'!$Q$6:$Q$184, 'Expenditure Breakdown'!$W$6:$W$184, "&gt;="&amp;O1,'Expenditure Breakdown'!$W$6:$W$184, "&lt;"&amp;P1)</f>
        <v>0</v>
      </c>
      <c r="P11" s="215">
        <f>SUMIFS('Expenditure Breakdown'!$Q$6:$Q$184, 'Expenditure Breakdown'!$W$6:$W$184, "&gt;="&amp;P1,'Expenditure Breakdown'!$W$6:$W$184, "&lt;"&amp;Q1)</f>
        <v>0</v>
      </c>
      <c r="Q11" s="215">
        <f>SUMIFS('Expenditure Breakdown'!$Q$6:$Q$184, 'Expenditure Breakdown'!$W$6:$W$184, "&gt;="&amp;Q1,'Expenditure Breakdown'!$W$6:$W$184, "&lt;"&amp;R1)</f>
        <v>9019.6</v>
      </c>
      <c r="R11" s="215">
        <f>SUMIFS('Expenditure Breakdown'!$Q$6:$Q$184, 'Expenditure Breakdown'!$W$6:$W$184, "&gt;="&amp;R1,'Expenditure Breakdown'!$W$6:$W$184, "&lt;"&amp;S1)</f>
        <v>0</v>
      </c>
      <c r="S11" s="215">
        <f>SUMIFS('Expenditure Breakdown'!$Q$6:$Q$184, 'Expenditure Breakdown'!$W$6:$W$184, "&gt;="&amp;S1,'Expenditure Breakdown'!$W$6:$W$184, "&lt;"&amp;T1)</f>
        <v>0</v>
      </c>
      <c r="T11" s="215">
        <f>SUMIFS('Expenditure Breakdown'!$Q$6:$Q$184, 'Expenditure Breakdown'!$W$6:$W$184, "&gt;="&amp;T1,'Expenditure Breakdown'!$W$6:$W$184, "&lt;"&amp;U1)</f>
        <v>0</v>
      </c>
      <c r="U11" s="215">
        <f>SUMIFS('Expenditure Breakdown'!$Q$6:$Q$184, 'Expenditure Breakdown'!$W$6:$W$184, "&gt;="&amp;U1,'Expenditure Breakdown'!$W$6:$W$184, "&lt;"&amp;V1)</f>
        <v>0</v>
      </c>
      <c r="V11" s="215">
        <f>SUMIFS('Expenditure Breakdown'!$Q$6:$Q$184, 'Expenditure Breakdown'!$W$6:$W$184, "&gt;="&amp;V1,'Expenditure Breakdown'!$W$6:$W$184, "&lt;"&amp;W1)</f>
        <v>0</v>
      </c>
      <c r="W11" s="215">
        <f>SUMIFS('Expenditure Breakdown'!$Q$6:$Q$184, 'Expenditure Breakdown'!$W$6:$W$184, "&gt;="&amp;W1,'Expenditure Breakdown'!$W$6:$W$184, "&lt;"&amp;X1)</f>
        <v>0</v>
      </c>
      <c r="X11" s="215">
        <f>SUMIFS('Expenditure Breakdown'!$Q$6:$Q$184, 'Expenditure Breakdown'!$W$6:$W$184, "&gt;="&amp;X1,'Expenditure Breakdown'!$W$6:$W$184, "&lt;"&amp;Y1)</f>
        <v>0</v>
      </c>
      <c r="Y11" s="215">
        <f>SUMIFS('Expenditure Breakdown'!$Q$6:$Q$184, 'Expenditure Breakdown'!$W$6:$W$184, "&gt;="&amp;Y1,'Expenditure Breakdown'!$W$6:$W$184, "&lt;"&amp;Z1)</f>
        <v>0</v>
      </c>
      <c r="Z11" s="215">
        <f>SUMIFS('Expenditure Breakdown'!$Q$6:$Q$184, 'Expenditure Breakdown'!$W$6:$W$184, "&gt;="&amp;Z1,'Expenditure Breakdown'!$W$6:$W$184, "&lt;"&amp;AA1)</f>
        <v>0</v>
      </c>
      <c r="AA11" s="215">
        <f>SUMIFS('Expenditure Breakdown'!$Q$6:$Q$184, 'Expenditure Breakdown'!$W$6:$W$184, "&gt;="&amp;AA1,'Expenditure Breakdown'!$W$6:$W$184, "&lt;"&amp;AB1)</f>
        <v>0</v>
      </c>
      <c r="AB11" s="215">
        <f>SUMIFS('Expenditure Breakdown'!$Q$6:$Q$184, 'Expenditure Breakdown'!$W$6:$W$184, "&gt;="&amp;AB1,'Expenditure Breakdown'!$W$6:$W$184, "&lt;"&amp;AC1)</f>
        <v>0</v>
      </c>
      <c r="AC11" s="215">
        <f>SUMIFS('Expenditure Breakdown'!$Q$6:$Q$184, 'Expenditure Breakdown'!$W$6:$W$184, "&gt;="&amp;AC1,'Expenditure Breakdown'!$W$6:$W$184, "&lt;"&amp;AD1)</f>
        <v>0</v>
      </c>
      <c r="AD11" s="215">
        <f>SUMIFS('Expenditure Breakdown'!$Q$6:$Q$184, 'Expenditure Breakdown'!$W$6:$W$184, "&gt;="&amp;AD1,'Expenditure Breakdown'!$W$6:$W$184, "&lt;"&amp;AE1)</f>
        <v>0</v>
      </c>
      <c r="AE11" s="215">
        <f>SUMIFS('Expenditure Breakdown'!$Q$6:$Q$184, 'Expenditure Breakdown'!$W$6:$W$184, "&gt;="&amp;AE1,'Expenditure Breakdown'!$W$6:$W$184, "&lt;"&amp;AF1)</f>
        <v>0</v>
      </c>
      <c r="AF11" s="215">
        <f>SUMIFS('Expenditure Breakdown'!$Q$6:$Q$184, 'Expenditure Breakdown'!$W$6:$W$184, "&gt;="&amp;AF1,'Expenditure Breakdown'!$W$6:$W$184, "&lt;"&amp;AG1)</f>
        <v>0</v>
      </c>
      <c r="AG11" s="215">
        <f>SUMIFS('Expenditure Breakdown'!$Q$6:$Q$184, 'Expenditure Breakdown'!$W$6:$W$184, "&gt;="&amp;AG1,'Expenditure Breakdown'!$W$6:$W$184, "&lt;"&amp;AH1)</f>
        <v>0</v>
      </c>
      <c r="AH11" s="215">
        <f>SUMIFS('Expenditure Breakdown'!$Q$6:$Q$184, 'Expenditure Breakdown'!$W$6:$W$184, "&gt;="&amp;AH1,'Expenditure Breakdown'!$W$6:$W$184, "&lt;"&amp;AI1)</f>
        <v>3575.5</v>
      </c>
      <c r="AI11" s="215">
        <f>SUMIFS('Expenditure Breakdown'!$Q$6:$Q$184, 'Expenditure Breakdown'!$W$6:$W$184, "&gt;="&amp;AI1,'Expenditure Breakdown'!$W$6:$W$184, "&lt;"&amp;AJ1)</f>
        <v>0</v>
      </c>
      <c r="AJ11" s="215">
        <f>SUMIFS('Expenditure Breakdown'!$Q$6:$Q$184, 'Expenditure Breakdown'!$W$6:$W$184, "&gt;="&amp;AJ1,'Expenditure Breakdown'!$W$6:$W$184, "&lt;"&amp;AK1)</f>
        <v>0</v>
      </c>
      <c r="AK11" s="215">
        <f>SUMIFS('Expenditure Breakdown'!$Q$6:$Q$184, 'Expenditure Breakdown'!$W$6:$W$184, "&gt;="&amp;AK1,'Expenditure Breakdown'!$W$6:$W$184, "&lt;"&amp;AL1)</f>
        <v>55169</v>
      </c>
      <c r="AL11" s="215">
        <f>SUMIFS('Expenditure Breakdown'!$Q$6:$Q$184, 'Expenditure Breakdown'!$W$6:$W$184, "&gt;="&amp;AL1,'Expenditure Breakdown'!$W$6:$W$184, "&lt;"&amp;AM1)</f>
        <v>13986.749999999998</v>
      </c>
      <c r="AM11" s="215">
        <f>SUMIFS('Expenditure Breakdown'!$Q$6:$Q$184, 'Expenditure Breakdown'!$W$6:$W$184, "&gt;="&amp;AM1,'Expenditure Breakdown'!$W$6:$W$184, "&lt;"&amp;AN1)</f>
        <v>0</v>
      </c>
      <c r="AN11" s="215">
        <f>SUMIFS('Expenditure Breakdown'!$Q$6:$Q$184, 'Expenditure Breakdown'!$W$6:$W$184, "&gt;="&amp;AN1,'Expenditure Breakdown'!$W$6:$W$184, "&lt;"&amp;AO1)</f>
        <v>0</v>
      </c>
      <c r="AO11" s="215">
        <f>SUMIFS('Expenditure Breakdown'!$Q$6:$Q$184, 'Expenditure Breakdown'!$W$6:$W$184, "&gt;="&amp;AO1,'Expenditure Breakdown'!$W$6:$W$184, "&lt;"&amp;AP1)</f>
        <v>0</v>
      </c>
      <c r="AP11" s="215">
        <f>SUMIFS('Expenditure Breakdown'!$Q$6:$Q$184, 'Expenditure Breakdown'!$W$6:$W$184, "&gt;="&amp;AP1,'Expenditure Breakdown'!$W$6:$W$184, "&lt;"&amp;AQ1)</f>
        <v>0</v>
      </c>
      <c r="AQ11" s="215">
        <f>SUMIFS('Expenditure Breakdown'!$Q$6:$Q$184, 'Expenditure Breakdown'!$W$6:$W$184, "&gt;="&amp;AQ1,'Expenditure Breakdown'!$W$6:$W$184, "&lt;"&amp;AR1)</f>
        <v>0</v>
      </c>
      <c r="AR11" s="215">
        <f>SUMIFS('Expenditure Breakdown'!$Q$6:$Q$184, 'Expenditure Breakdown'!$W$6:$W$184, "&gt;="&amp;AR1,'Expenditure Breakdown'!$W$6:$W$184, "&lt;"&amp;AS1)</f>
        <v>192717</v>
      </c>
      <c r="AS11" s="215">
        <f>SUMIFS('Expenditure Breakdown'!$Q$6:$Q$184, 'Expenditure Breakdown'!$W$6:$W$184, "&gt;="&amp;AS1,'Expenditure Breakdown'!$W$6:$W$184, "&lt;"&amp;AT1)</f>
        <v>0</v>
      </c>
      <c r="AT11" s="215">
        <f>SUMIFS('Expenditure Breakdown'!$Q$6:$Q$184, 'Expenditure Breakdown'!$W$6:$W$184, "&gt;="&amp;AT1,'Expenditure Breakdown'!$W$6:$W$184, "&lt;"&amp;AU1)</f>
        <v>-26000</v>
      </c>
      <c r="AU11" s="215">
        <f>SUMIFS('Expenditure Breakdown'!$Q$6:$Q$184, 'Expenditure Breakdown'!$W$6:$W$184, "&gt;="&amp;AU1,'Expenditure Breakdown'!$W$6:$W$184, "&lt;"&amp;AV1)</f>
        <v>436340.25</v>
      </c>
      <c r="AV11" s="215">
        <f>SUMIFS('Expenditure Breakdown'!$Q$6:$Q$184, 'Expenditure Breakdown'!$W$6:$W$184, "&gt;="&amp;AV1,'Expenditure Breakdown'!$W$6:$W$184, "&lt;"&amp;AW1)</f>
        <v>0</v>
      </c>
      <c r="AW11" s="215">
        <f>SUMIFS('Expenditure Breakdown'!$Q$6:$Q$184, 'Expenditure Breakdown'!$W$6:$W$184, "&gt;="&amp;AW1,'Expenditure Breakdown'!$W$6:$W$184, "&lt;"&amp;AX1)</f>
        <v>0</v>
      </c>
      <c r="AX11" s="215">
        <f>SUMIFS('Expenditure Breakdown'!$Q$6:$Q$184, 'Expenditure Breakdown'!$W$6:$W$184, "&gt;="&amp;AX1,'Expenditure Breakdown'!$W$6:$W$184, "&lt;"&amp;AY1)</f>
        <v>158695.91999999998</v>
      </c>
      <c r="AY11" s="215">
        <f>SUMIFS('Expenditure Breakdown'!$Q$6:$Q$184, 'Expenditure Breakdown'!$W$6:$W$184, "&gt;="&amp;AY1,'Expenditure Breakdown'!$W$6:$W$184, "&lt;"&amp;AZ1)</f>
        <v>5515.35</v>
      </c>
      <c r="AZ11" s="215">
        <f>SUMIFS('Expenditure Breakdown'!$Q$6:$Q$184, 'Expenditure Breakdown'!$W$6:$W$184, "&gt;="&amp;AZ1,'Expenditure Breakdown'!$W$6:$W$184, "&lt;"&amp;BA1)</f>
        <v>3263161.3080000007</v>
      </c>
      <c r="BA11" s="215">
        <f>SUMIFS('Expenditure Breakdown'!$Q$6:$Q$184, 'Expenditure Breakdown'!$W$6:$W$184, "&gt;="&amp;BA1,'Expenditure Breakdown'!$W$6:$W$184, "&lt;"&amp;BB1)</f>
        <v>1618621.95</v>
      </c>
      <c r="BB11" s="215">
        <f>SUMIFS('Expenditure Breakdown'!$Q$6:$Q$184, 'Expenditure Breakdown'!$W$6:$W$184, "&gt;="&amp;BB1,'Expenditure Breakdown'!$W$6:$W$184, "&lt;"&amp;BC1)</f>
        <v>0</v>
      </c>
      <c r="BC11" s="215">
        <f>SUMIFS('Expenditure Breakdown'!$Q$6:$Q$184, 'Expenditure Breakdown'!$W$6:$W$184, "&gt;="&amp;BC1,'Expenditure Breakdown'!$W$6:$W$184, "&lt;"&amp;BD1)</f>
        <v>395550.67</v>
      </c>
      <c r="BD11" s="215">
        <f>SUMIFS('Expenditure Breakdown'!$Q$6:$Q$184, 'Expenditure Breakdown'!$W$6:$W$184, "&gt;="&amp;BD1,'Expenditure Breakdown'!$W$6:$W$184, "&lt;"&amp;BE1)</f>
        <v>0</v>
      </c>
      <c r="BE11" s="215">
        <f>SUMIFS('Expenditure Breakdown'!$Q$6:$Q$184, 'Expenditure Breakdown'!$W$6:$W$184, "&gt;="&amp;BE1,'Expenditure Breakdown'!$W$6:$W$184, "&lt;"&amp;BF1)</f>
        <v>0</v>
      </c>
      <c r="BF11" s="215">
        <f>SUMIFS('Expenditure Breakdown'!$Q$6:$Q$184, 'Expenditure Breakdown'!$W$6:$W$184, "&gt;="&amp;BF1,'Expenditure Breakdown'!$W$6:$W$184, "&lt;"&amp;BG1)</f>
        <v>15556.95</v>
      </c>
      <c r="BG11" s="215">
        <f>SUMIFS('Expenditure Breakdown'!$Q$6:$Q$184, 'Expenditure Breakdown'!$W$6:$W$184, "&gt;="&amp;BG1,'Expenditure Breakdown'!$W$6:$W$184, "&lt;"&amp;BH1)</f>
        <v>103157.44</v>
      </c>
      <c r="BH11" s="215">
        <f>SUMIFS('Expenditure Breakdown'!$Q$6:$Q$184, 'Expenditure Breakdown'!$W$6:$W$184, "&gt;="&amp;BH1,'Expenditure Breakdown'!$W$6:$W$184, "&lt;"&amp;BI1)</f>
        <v>-2413.4799999999959</v>
      </c>
      <c r="BI11" s="215">
        <f>SUMIFS('Expenditure Breakdown'!$Q$6:$Q$184, 'Expenditure Breakdown'!$W$6:$W$184, "&gt;="&amp;BI1,'Expenditure Breakdown'!$W$6:$W$184, "&lt;"&amp;BJ1)</f>
        <v>339455.78</v>
      </c>
      <c r="BJ11" s="215">
        <f>SUMIFS('Expenditure Breakdown'!$Q$6:$Q$184, 'Expenditure Breakdown'!$W$6:$W$184, "&gt;="&amp;BJ1,'Expenditure Breakdown'!$W$6:$W$184, "&lt;"&amp;BK1)</f>
        <v>170301.02</v>
      </c>
      <c r="BK11" s="215">
        <f>SUMIFS('Expenditure Breakdown'!$Q$6:$Q$184, 'Expenditure Breakdown'!$W$6:$W$184, "&gt;="&amp;BK1,'Expenditure Breakdown'!$W$6:$W$184, "&lt;"&amp;BL1)</f>
        <v>154241.79432724</v>
      </c>
      <c r="BL11" s="215">
        <f>SUMIFS('Expenditure Breakdown'!$Q$6:$Q$184, 'Expenditure Breakdown'!$W$6:$W$184, "&gt;="&amp;BL1,'Expenditure Breakdown'!$W$6:$W$184, "&lt;"&amp;BM1)</f>
        <v>255451.53</v>
      </c>
      <c r="BM11" s="215">
        <f>SUMIFS('Expenditure Breakdown'!$Q$6:$Q$184, 'Expenditure Breakdown'!$W$6:$W$184, "&gt;="&amp;BM1,'Expenditure Breakdown'!$W$6:$W$184, "&lt;"&amp;BN1)</f>
        <v>8500</v>
      </c>
      <c r="BN11" s="215">
        <f>SUMIFS('Expenditure Breakdown'!$Q$6:$Q$184, 'Expenditure Breakdown'!$W$6:$W$184, "&gt;="&amp;BN1,'Expenditure Breakdown'!$W$6:$W$184, "&lt;"&amp;BO1)</f>
        <v>0</v>
      </c>
      <c r="BO11" s="215">
        <f>SUMIFS('Expenditure Breakdown'!$Q$6:$Q$184, 'Expenditure Breakdown'!$W$6:$W$184, "&gt;="&amp;BO1,'Expenditure Breakdown'!$W$6:$W$184, "&lt;"&amp;BP1)</f>
        <v>85150.51</v>
      </c>
      <c r="BP11" s="215">
        <f>SUMIFS('Expenditure Breakdown'!$Q$6:$Q$184, 'Expenditure Breakdown'!$W$6:$W$184, "&gt;="&amp;BP1,'Expenditure Breakdown'!$W$6:$W$184, "&lt;"&amp;BQ1)</f>
        <v>4136.3999999999996</v>
      </c>
      <c r="BQ11" s="215">
        <f>SUMIFS('Expenditure Breakdown'!$Q$6:$Q$184, 'Expenditure Breakdown'!$W$6:$W$184, "&gt;="&amp;BQ1,'Expenditure Breakdown'!$W$6:$W$184, "&lt;"&amp;BR1)</f>
        <v>0</v>
      </c>
      <c r="BR11" s="215">
        <f>SUMIFS('Expenditure Breakdown'!$Q$6:$Q$184, 'Expenditure Breakdown'!$W$6:$W$184, "&gt;="&amp;BR1,'Expenditure Breakdown'!$W$6:$W$184, "&lt;"&amp;BS1)</f>
        <v>0</v>
      </c>
      <c r="BS11" s="215">
        <f>SUMIFS('Expenditure Breakdown'!$Q$6:$Q$184, 'Expenditure Breakdown'!$W$6:$W$184, "&gt;="&amp;BS1,'Expenditure Breakdown'!$W$6:$W$184, "&lt;"&amp;BT1)</f>
        <v>0</v>
      </c>
      <c r="BT11" s="215">
        <f>SUMIFS('Expenditure Breakdown'!$Q$6:$Q$184, 'Expenditure Breakdown'!$W$6:$W$184, "&gt;="&amp;BT1,'Expenditure Breakdown'!$W$6:$W$184, "&lt;"&amp;BU1)</f>
        <v>0</v>
      </c>
      <c r="BU11" s="215">
        <f>SUMIFS('Expenditure Breakdown'!$Q$6:$Q$184, 'Expenditure Breakdown'!$W$6:$W$184, "&gt;="&amp;BU1,'Expenditure Breakdown'!$W$6:$W$184, "&lt;"&amp;BV1)</f>
        <v>0</v>
      </c>
      <c r="BV11" s="215">
        <f>SUMIFS('Expenditure Breakdown'!$Q$6:$Q$184, 'Expenditure Breakdown'!$W$6:$W$184, "&gt;="&amp;BV1,'Expenditure Breakdown'!$W$6:$W$184, "&lt;"&amp;BW1)</f>
        <v>0</v>
      </c>
      <c r="BW11" s="215">
        <f>SUMIFS('Expenditure Breakdown'!$Q$6:$Q$184, 'Expenditure Breakdown'!$W$6:$W$184, "&gt;="&amp;BW1,'Expenditure Breakdown'!$W$6:$W$184, "&lt;"&amp;BX1)</f>
        <v>0</v>
      </c>
      <c r="BX11" s="215">
        <f>SUMIFS('Expenditure Breakdown'!$Q$6:$Q$184, 'Expenditure Breakdown'!$W$6:$W$184, "&gt;="&amp;BX1,'Expenditure Breakdown'!$W$6:$W$184, "&lt;"&amp;BY1)</f>
        <v>0</v>
      </c>
      <c r="BY11" s="215">
        <f>SUMIFS('Expenditure Breakdown'!$Q$6:$Q$184, 'Expenditure Breakdown'!$W$6:$W$184, "&gt;="&amp;BY1,'Expenditure Breakdown'!$W$6:$W$184, "&lt;"&amp;BZ1)</f>
        <v>0</v>
      </c>
      <c r="BZ11" s="215">
        <f>SUMIFS('Expenditure Breakdown'!$Q$6:$Q$184, 'Expenditure Breakdown'!$W$6:$W$184, "&gt;="&amp;BZ1,'Expenditure Breakdown'!$W$6:$W$184, "&lt;"&amp;CA1)</f>
        <v>0</v>
      </c>
      <c r="CA11" s="215">
        <f>SUMIFS('Expenditure Breakdown'!$Q$6:$Q$184, 'Expenditure Breakdown'!$W$6:$W$184, "&gt;="&amp;CA1,'Expenditure Breakdown'!$W$6:$W$184, "&lt;"&amp;CB1)</f>
        <v>0</v>
      </c>
      <c r="CB11" s="215">
        <f>SUMIFS('Expenditure Breakdown'!$Q$6:$Q$184, 'Expenditure Breakdown'!$W$6:$W$184, "&gt;="&amp;CB1,'Expenditure Breakdown'!$W$6:$W$184, "&lt;"&amp;CC1)</f>
        <v>0</v>
      </c>
      <c r="CC11" s="215">
        <f>SUMIFS('Expenditure Breakdown'!$Q$6:$Q$184, 'Expenditure Breakdown'!$W$6:$W$184, "&gt;="&amp;CC1,'Expenditure Breakdown'!$W$6:$W$184, "&lt;"&amp;CD1)</f>
        <v>0</v>
      </c>
      <c r="CD11" s="215">
        <f>SUMIFS('Expenditure Breakdown'!$Q$6:$Q$184, 'Expenditure Breakdown'!$W$6:$W$184, "&gt;="&amp;CD1,'Expenditure Breakdown'!$W$6:$W$184, "&lt;"&amp;CE1)</f>
        <v>0</v>
      </c>
      <c r="CE11" s="215">
        <f>SUMIFS('Expenditure Breakdown'!$Q$6:$Q$184, 'Expenditure Breakdown'!$W$6:$W$184, "&gt;="&amp;CE1,'Expenditure Breakdown'!$W$6:$W$184, "&lt;"&amp;CF1)</f>
        <v>0</v>
      </c>
      <c r="CF11" s="215">
        <f>SUMIFS('Expenditure Breakdown'!$Q$6:$Q$184, 'Expenditure Breakdown'!$W$6:$W$184, "&gt;="&amp;CF1,'Expenditure Breakdown'!$W$6:$W$184, "&lt;"&amp;CG1)</f>
        <v>0</v>
      </c>
      <c r="CG11" s="215">
        <f>SUMIFS('Expenditure Breakdown'!$Q$6:$Q$184, 'Expenditure Breakdown'!$W$6:$W$184, "&gt;="&amp;CG1,'Expenditure Breakdown'!$W$6:$W$184, "&lt;"&amp;CH1)</f>
        <v>0</v>
      </c>
      <c r="CH11" s="215">
        <f>SUMIFS('Expenditure Breakdown'!$Q$6:$Q$184, 'Expenditure Breakdown'!$W$6:$W$184, "&gt;="&amp;CH1,'Expenditure Breakdown'!$W$6:$W$184, "&lt;"&amp;CI1)</f>
        <v>0</v>
      </c>
      <c r="CI11" s="215">
        <f>SUMIFS('Expenditure Breakdown'!$Q$6:$Q$184, 'Expenditure Breakdown'!$W$6:$W$184, "&gt;="&amp;CI1,'Expenditure Breakdown'!$W$6:$W$184, "&lt;"&amp;CJ1)</f>
        <v>0</v>
      </c>
      <c r="CJ11" s="215">
        <f>SUMIFS('Expenditure Breakdown'!$Q$6:$Q$184, 'Expenditure Breakdown'!$W$6:$W$184, "&gt;="&amp;CJ1,'Expenditure Breakdown'!$W$6:$W$184, "&lt;"&amp;CK1)</f>
        <v>0</v>
      </c>
      <c r="CK11" s="215">
        <f>SUMIFS('Expenditure Breakdown'!$Q$6:$Q$184, 'Expenditure Breakdown'!$W$6:$W$184, "&gt;="&amp;CK1,'Expenditure Breakdown'!$W$6:$W$184, "&lt;"&amp;CL1)</f>
        <v>0</v>
      </c>
      <c r="CL11" s="215">
        <f>SUMIFS('Expenditure Breakdown'!$Q$6:$Q$184, 'Expenditure Breakdown'!$W$6:$W$184, "&gt;="&amp;CL1,'Expenditure Breakdown'!$W$6:$W$184, "&lt;"&amp;CM1)</f>
        <v>0</v>
      </c>
      <c r="CM11" s="215">
        <f>SUMIFS('Expenditure Breakdown'!$Q$6:$Q$184, 'Expenditure Breakdown'!$W$6:$W$184, "&gt;="&amp;CM1,'Expenditure Breakdown'!$W$6:$W$184, "&lt;"&amp;CN1)</f>
        <v>0</v>
      </c>
      <c r="CN11" s="215">
        <f>SUMIFS('Expenditure Breakdown'!$Q$6:$Q$184, 'Expenditure Breakdown'!$W$6:$W$184, "&gt;="&amp;CN1,'Expenditure Breakdown'!$W$6:$W$184, "&lt;"&amp;CO1)</f>
        <v>0</v>
      </c>
      <c r="CO11" s="215">
        <f>SUMIFS('Expenditure Breakdown'!$Q$6:$Q$184, 'Expenditure Breakdown'!$W$6:$W$184, "&gt;="&amp;CO1,'Expenditure Breakdown'!$W$6:$W$184, "&lt;"&amp;CP1)</f>
        <v>0</v>
      </c>
      <c r="CP11" s="215">
        <f>SUMIFS('Expenditure Breakdown'!$Q$6:$Q$184, 'Expenditure Breakdown'!$W$6:$W$184, "&gt;="&amp;CP1,'Expenditure Breakdown'!$W$6:$W$184, "&lt;"&amp;CQ1)</f>
        <v>0</v>
      </c>
      <c r="CQ11" s="215">
        <f>SUMIFS('Expenditure Breakdown'!$Q$6:$Q$184, 'Expenditure Breakdown'!$W$6:$W$184, "&gt;="&amp;CQ1,'Expenditure Breakdown'!$W$6:$W$184, "&lt;"&amp;CR1)</f>
        <v>0</v>
      </c>
      <c r="CR11" s="215">
        <f>SUMIFS('Expenditure Breakdown'!$Q$6:$Q$184, 'Expenditure Breakdown'!$W$6:$W$184, "&gt;="&amp;CR1,'Expenditure Breakdown'!$W$6:$W$184, "&lt;"&amp;CS1)</f>
        <v>0</v>
      </c>
      <c r="CS11" s="215">
        <f>SUMIFS('Expenditure Breakdown'!$Q$6:$Q$184, 'Expenditure Breakdown'!$W$6:$W$184, "&gt;="&amp;CS1,'Expenditure Breakdown'!$W$6:$W$184, "&lt;"&amp;CT1)</f>
        <v>0</v>
      </c>
      <c r="CT11" s="215">
        <f>SUMIFS('Expenditure Breakdown'!$Q$6:$Q$184, 'Expenditure Breakdown'!$W$6:$W$184, "&gt;="&amp;CT1,'Expenditure Breakdown'!$W$6:$W$184, "&lt;"&amp;CU1)</f>
        <v>0</v>
      </c>
      <c r="CU11" s="215">
        <f>SUMIFS('Expenditure Breakdown'!$Q$6:$Q$184, 'Expenditure Breakdown'!$W$6:$W$184, "&gt;="&amp;CU1,'Expenditure Breakdown'!$W$6:$W$184, "&lt;"&amp;CV1)</f>
        <v>0</v>
      </c>
      <c r="CV11" s="215">
        <f>SUMIFS('Expenditure Breakdown'!$Q$6:$Q$184, 'Expenditure Breakdown'!$W$6:$W$184, "&gt;="&amp;CV1,'Expenditure Breakdown'!$W$6:$W$184, "&lt;"&amp;CW1)</f>
        <v>0</v>
      </c>
      <c r="CW11" s="215">
        <f>SUMIFS('Expenditure Breakdown'!$Q$6:$Q$184, 'Expenditure Breakdown'!$W$6:$W$184, "&gt;="&amp;CW1,'Expenditure Breakdown'!$W$6:$W$184, "&lt;"&amp;CX1)</f>
        <v>0</v>
      </c>
      <c r="CX11" s="215">
        <f>SUMIFS('Expenditure Breakdown'!$Q$6:$Q$184, 'Expenditure Breakdown'!$W$6:$W$184, "&gt;="&amp;CX1,'Expenditure Breakdown'!$W$6:$W$184, "&lt;"&amp;CY1)</f>
        <v>0</v>
      </c>
      <c r="CY11" s="215">
        <f>SUMIFS('Expenditure Breakdown'!$Q$6:$Q$184, 'Expenditure Breakdown'!$W$6:$W$184, "&gt;="&amp;CY1,'Expenditure Breakdown'!$W$6:$W$184, "&lt;"&amp;CZ1)</f>
        <v>0</v>
      </c>
      <c r="CZ11" s="215">
        <f>SUMIFS('Expenditure Breakdown'!$Q$6:$Q$184, 'Expenditure Breakdown'!$W$6:$W$184, "&gt;="&amp;CZ1,'Expenditure Breakdown'!$W$6:$W$184, "&lt;"&amp;DA1)</f>
        <v>0</v>
      </c>
      <c r="DA11" s="215">
        <f>SUMIFS('Expenditure Breakdown'!$Q$6:$Q$184, 'Expenditure Breakdown'!$W$6:$W$184, "&gt;="&amp;DA1,'Expenditure Breakdown'!$W$6:$W$184, "&lt;"&amp;DB1)</f>
        <v>0</v>
      </c>
      <c r="DB11" s="215">
        <f>SUMIFS('Expenditure Breakdown'!$Q$6:$Q$184, 'Expenditure Breakdown'!$W$6:$W$184, "&gt;="&amp;DB1,'Expenditure Breakdown'!$W$6:$W$184, "&lt;"&amp;DC1)</f>
        <v>0</v>
      </c>
      <c r="DC11" s="215">
        <f>SUMIFS('Expenditure Breakdown'!$Q$6:$Q$184, 'Expenditure Breakdown'!$W$6:$W$184, "&gt;="&amp;DC1,'Expenditure Breakdown'!$W$6:$W$184, "&lt;"&amp;DD1)</f>
        <v>0</v>
      </c>
      <c r="DD11" s="215">
        <f>SUMIFS('Expenditure Breakdown'!$Q$6:$Q$184, 'Expenditure Breakdown'!$W$6:$W$184, "&gt;="&amp;DD1,'Expenditure Breakdown'!$W$6:$W$184, "&lt;"&amp;DE1)</f>
        <v>0</v>
      </c>
      <c r="DE11" s="215">
        <f>SUMIFS('Expenditure Breakdown'!$Q$6:$Q$184, 'Expenditure Breakdown'!$W$6:$W$184, "&gt;="&amp;DE1,'Expenditure Breakdown'!$W$6:$W$184, "&lt;"&amp;DF1)</f>
        <v>0</v>
      </c>
      <c r="DF11" s="215">
        <f>SUMIFS('Expenditure Breakdown'!$Q$6:$Q$184, 'Expenditure Breakdown'!$W$6:$W$184, "&gt;="&amp;DF1,'Expenditure Breakdown'!$W$6:$W$184, "&lt;"&amp;DG1)</f>
        <v>0</v>
      </c>
      <c r="DG11" s="215">
        <f>SUMIFS('Expenditure Breakdown'!$Q$6:$Q$184, 'Expenditure Breakdown'!$W$6:$W$184, "&gt;="&amp;DG1,'Expenditure Breakdown'!$W$6:$W$184, "&lt;"&amp;DH1)</f>
        <v>0</v>
      </c>
      <c r="DH11" s="215">
        <f>SUMIFS('Expenditure Breakdown'!$Q$6:$Q$184, 'Expenditure Breakdown'!$W$6:$W$184, "&gt;="&amp;DH1,'Expenditure Breakdown'!$W$6:$W$184, "&lt;"&amp;DI1)</f>
        <v>0</v>
      </c>
      <c r="DI11" s="215">
        <f>SUMIFS('Expenditure Breakdown'!$Q$6:$Q$184, 'Expenditure Breakdown'!$W$6:$W$184, "&gt;="&amp;DI1,'Expenditure Breakdown'!$W$6:$W$184, "&lt;"&amp;DJ1)</f>
        <v>0</v>
      </c>
      <c r="DJ11" s="215">
        <f>SUMIFS('Expenditure Breakdown'!$Q$6:$Q$184, 'Expenditure Breakdown'!$W$6:$W$184, "&gt;="&amp;DJ1,'Expenditure Breakdown'!$W$6:$W$184, "&lt;"&amp;DK1)</f>
        <v>0</v>
      </c>
      <c r="DK11" s="215">
        <f>SUMIFS('Expenditure Breakdown'!$Q$6:$Q$184, 'Expenditure Breakdown'!$W$6:$W$184, "&gt;="&amp;DK1,'Expenditure Breakdown'!$W$6:$W$184, "&lt;"&amp;DL1)</f>
        <v>0</v>
      </c>
      <c r="DL11" s="215">
        <f>SUMIFS('Expenditure Breakdown'!$Q$6:$Q$184, 'Expenditure Breakdown'!$W$6:$W$184, "&gt;="&amp;DL1,'Expenditure Breakdown'!$W$6:$W$184, "&lt;"&amp;DM1)</f>
        <v>0</v>
      </c>
      <c r="DM11" s="215">
        <f>SUMIFS('Expenditure Breakdown'!$Q$6:$Q$184, 'Expenditure Breakdown'!$W$6:$W$184, "&gt;="&amp;DM1,'Expenditure Breakdown'!$W$6:$W$184, "&lt;"&amp;DN1)</f>
        <v>0</v>
      </c>
      <c r="DN11" s="215">
        <f>SUMIFS('Expenditure Breakdown'!$Q$6:$Q$184, 'Expenditure Breakdown'!$W$6:$W$184, "&gt;="&amp;DN1,'Expenditure Breakdown'!$W$6:$W$184, "&lt;"&amp;DO1)</f>
        <v>0</v>
      </c>
      <c r="DO11" s="215">
        <f>SUMIFS('Expenditure Breakdown'!$Q$6:$Q$184, 'Expenditure Breakdown'!$W$6:$W$184, "&gt;="&amp;DO1,'Expenditure Breakdown'!$W$6:$W$184, "&lt;"&amp;DP1)</f>
        <v>0</v>
      </c>
      <c r="DP11" s="215">
        <f>SUMIFS('Expenditure Breakdown'!$Q$6:$Q$184, 'Expenditure Breakdown'!$W$6:$W$184, "&gt;="&amp;DP1,'Expenditure Breakdown'!$W$6:$W$184, "&lt;"&amp;DQ1)</f>
        <v>0</v>
      </c>
      <c r="DQ11" s="215">
        <f>SUMIFS('Expenditure Breakdown'!$Q$6:$Q$184, 'Expenditure Breakdown'!$W$6:$W$184, "&gt;="&amp;DQ1,'Expenditure Breakdown'!$W$6:$W$184, "&lt;"&amp;DR1)</f>
        <v>0</v>
      </c>
      <c r="DR11" s="215">
        <f>SUMIFS('Expenditure Breakdown'!$Q$6:$Q$184, 'Expenditure Breakdown'!$W$6:$W$184, "&gt;="&amp;DR1,'Expenditure Breakdown'!$W$6:$W$184, "&lt;"&amp;DS1)</f>
        <v>0</v>
      </c>
      <c r="DS11" s="215">
        <f>SUMIFS('Expenditure Breakdown'!$Q$6:$Q$184, 'Expenditure Breakdown'!$W$6:$W$184, "&gt;="&amp;DS1,'Expenditure Breakdown'!$W$6:$W$184, "&lt;"&amp;DT1)</f>
        <v>0</v>
      </c>
      <c r="DT11" s="215">
        <f>SUMIFS('Expenditure Breakdown'!$Q$6:$Q$184, 'Expenditure Breakdown'!$W$6:$W$184, "&gt;="&amp;DT1,'Expenditure Breakdown'!$W$6:$W$184, "&lt;"&amp;DU1)</f>
        <v>0</v>
      </c>
      <c r="DU11" s="215">
        <f>SUMIFS('Expenditure Breakdown'!$Q$6:$Q$184, 'Expenditure Breakdown'!$W$6:$W$184, "&gt;="&amp;DU1,'Expenditure Breakdown'!$W$6:$W$184, "&lt;"&amp;DV1)</f>
        <v>0</v>
      </c>
      <c r="DV11" s="215">
        <f>SUMIFS('Expenditure Breakdown'!$Q$6:$Q$184, 'Expenditure Breakdown'!$W$6:$W$184, "&gt;="&amp;DV1,'Expenditure Breakdown'!$W$6:$W$184, "&lt;"&amp;DW1)</f>
        <v>0</v>
      </c>
      <c r="DW11" s="215">
        <f>SUMIFS('Expenditure Breakdown'!$Q$6:$Q$184, 'Expenditure Breakdown'!$W$6:$W$184, "&gt;="&amp;DW1,'Expenditure Breakdown'!$W$6:$W$184, "&lt;"&amp;DX1)</f>
        <v>0</v>
      </c>
      <c r="DX11" s="215">
        <f>SUMIFS('Expenditure Breakdown'!$Q$6:$Q$184, 'Expenditure Breakdown'!$W$6:$W$184, "&gt;="&amp;DX1,'Expenditure Breakdown'!$W$6:$W$184, "&lt;"&amp;DY1)</f>
        <v>0</v>
      </c>
      <c r="DY11" s="215">
        <f>SUMIFS('Expenditure Breakdown'!$Q$6:$Q$184, 'Expenditure Breakdown'!$W$6:$W$184, "&gt;="&amp;DY1,'Expenditure Breakdown'!$W$6:$W$184, "&lt;"&amp;DZ1)</f>
        <v>0</v>
      </c>
      <c r="DZ11" s="215">
        <f>SUMIFS('Expenditure Breakdown'!$Q$6:$Q$184, 'Expenditure Breakdown'!$W$6:$W$184, "&gt;="&amp;DZ1,'Expenditure Breakdown'!$W$6:$W$184, "&lt;"&amp;EA1)</f>
        <v>0</v>
      </c>
      <c r="EA11" s="215">
        <f>SUMIFS('Expenditure Breakdown'!$Q$6:$Q$184, 'Expenditure Breakdown'!$W$6:$W$184, "&gt;="&amp;EA1,'Expenditure Breakdown'!$W$6:$W$184, "&lt;"&amp;EB1)</f>
        <v>0</v>
      </c>
      <c r="EB11" s="215">
        <f>SUMIFS('Expenditure Breakdown'!$Q$6:$Q$184, 'Expenditure Breakdown'!$W$6:$W$184, "&gt;="&amp;EB1,'Expenditure Breakdown'!$W$6:$W$184, "&lt;"&amp;EC1)</f>
        <v>0</v>
      </c>
      <c r="EC11" s="215">
        <f>SUMIFS('Expenditure Breakdown'!$Q$6:$Q$184, 'Expenditure Breakdown'!$W$6:$W$184, "&gt;="&amp;EC1,'Expenditure Breakdown'!$W$6:$W$184, "&lt;"&amp;ED1)</f>
        <v>0</v>
      </c>
      <c r="ED11" s="215">
        <f>SUMIFS('Expenditure Breakdown'!$Q$6:$Q$184, 'Expenditure Breakdown'!$W$6:$W$184, "&gt;="&amp;ED1,'Expenditure Breakdown'!$W$6:$W$184, "&lt;"&amp;EE1)</f>
        <v>0</v>
      </c>
      <c r="EE11" s="215">
        <f>SUMIFS('Expenditure Breakdown'!$Q$6:$Q$184, 'Expenditure Breakdown'!$W$6:$W$184, "&gt;="&amp;EE1,'Expenditure Breakdown'!$W$6:$W$184, "&lt;"&amp;EF1)</f>
        <v>0</v>
      </c>
      <c r="EF11" s="215">
        <f>SUMIFS('Expenditure Breakdown'!$Q$6:$Q$184, 'Expenditure Breakdown'!$W$6:$W$184, "&gt;="&amp;EF1,'Expenditure Breakdown'!$W$6:$W$184, "&lt;"&amp;EG1)</f>
        <v>0</v>
      </c>
      <c r="EG11" s="215">
        <f>SUMIFS('Expenditure Breakdown'!$Q$6:$Q$184, 'Expenditure Breakdown'!$W$6:$W$184, "&gt;="&amp;EG1,'Expenditure Breakdown'!$W$6:$W$184, "&lt;"&amp;EH1)</f>
        <v>0</v>
      </c>
      <c r="EH11" s="215">
        <f>SUMIFS('Expenditure Breakdown'!$Q$6:$Q$184, 'Expenditure Breakdown'!$W$6:$W$184, "&gt;="&amp;EH1,'Expenditure Breakdown'!$W$6:$W$184, "&lt;"&amp;EI1)</f>
        <v>0</v>
      </c>
      <c r="EI11" s="215">
        <f>SUMIFS('Expenditure Breakdown'!$Q$6:$Q$184, 'Expenditure Breakdown'!$W$6:$W$184, "&gt;="&amp;EI1,'Expenditure Breakdown'!$W$6:$W$184, "&lt;"&amp;EJ1)</f>
        <v>0</v>
      </c>
      <c r="EJ11" s="215">
        <f>SUMIFS('Expenditure Breakdown'!$Q$6:$Q$184, 'Expenditure Breakdown'!$W$6:$W$184, "&gt;="&amp;EJ1,'Expenditure Breakdown'!$W$6:$W$184, "&lt;"&amp;EK1)</f>
        <v>0</v>
      </c>
      <c r="EK11" s="215">
        <f>SUMIFS('Expenditure Breakdown'!$Q$6:$Q$184, 'Expenditure Breakdown'!$W$6:$W$184, "&gt;="&amp;EK1,'Expenditure Breakdown'!$W$6:$W$184, "&lt;"&amp;EL1)</f>
        <v>0</v>
      </c>
      <c r="EL11" s="215">
        <f>SUMIFS('Expenditure Breakdown'!$Q$6:$Q$184, 'Expenditure Breakdown'!$W$6:$W$184, "&gt;="&amp;EL1,'Expenditure Breakdown'!$W$6:$W$184, "&lt;"&amp;EM1)</f>
        <v>0</v>
      </c>
      <c r="EM11" s="215">
        <f>SUMIFS('Expenditure Breakdown'!$Q$6:$Q$184, 'Expenditure Breakdown'!$W$6:$W$184, "&gt;="&amp;EM1,'Expenditure Breakdown'!$W$6:$W$184, "&lt;"&amp;EN1)</f>
        <v>0</v>
      </c>
      <c r="EN11" s="215">
        <f>SUMIFS('Expenditure Breakdown'!$Q$6:$Q$184, 'Expenditure Breakdown'!$W$6:$W$184, "&gt;="&amp;EN1,'Expenditure Breakdown'!$W$6:$W$184, "&lt;"&amp;EO1)</f>
        <v>0</v>
      </c>
      <c r="EO11" s="215">
        <f>SUMIFS('Expenditure Breakdown'!$Q$6:$Q$184, 'Expenditure Breakdown'!$W$6:$W$184, "&gt;="&amp;EO1,'Expenditure Breakdown'!$W$6:$W$184, "&lt;"&amp;EP1)</f>
        <v>0</v>
      </c>
      <c r="EP11" s="215">
        <f>SUMIFS('Expenditure Breakdown'!$Q$6:$Q$184, 'Expenditure Breakdown'!$W$6:$W$184, "&gt;="&amp;EP1,'Expenditure Breakdown'!$W$6:$W$184, "&lt;"&amp;EQ1)</f>
        <v>0</v>
      </c>
      <c r="EQ11" s="215">
        <f>SUMIFS('Expenditure Breakdown'!$Q$6:$Q$184, 'Expenditure Breakdown'!$W$6:$W$184, "&gt;="&amp;EQ1,'Expenditure Breakdown'!$W$6:$W$184, "&lt;"&amp;ER1)</f>
        <v>0</v>
      </c>
      <c r="ER11" s="215">
        <f>SUMIFS('Expenditure Breakdown'!$Q$6:$Q$184, 'Expenditure Breakdown'!$W$6:$W$184, "&gt;="&amp;ER1,'Expenditure Breakdown'!$W$6:$W$184, "&lt;"&amp;ES1)</f>
        <v>0</v>
      </c>
      <c r="ES11" s="215">
        <f>SUMIFS('Expenditure Breakdown'!$Q$6:$Q$184, 'Expenditure Breakdown'!$W$6:$W$184, "&gt;="&amp;ES1,'Expenditure Breakdown'!$W$6:$W$184, "&lt;"&amp;ET1)</f>
        <v>0</v>
      </c>
      <c r="ET11" s="215">
        <f>SUMIFS('Expenditure Breakdown'!$Q$6:$Q$184, 'Expenditure Breakdown'!$W$6:$W$184, "&gt;="&amp;ET1,'Expenditure Breakdown'!$W$6:$W$184, "&lt;"&amp;EU1)</f>
        <v>0</v>
      </c>
      <c r="EU11" s="215">
        <f>SUMIFS('Expenditure Breakdown'!$Q$6:$Q$184, 'Expenditure Breakdown'!$W$6:$W$184, "&gt;="&amp;EU1,'Expenditure Breakdown'!$W$6:$W$184, "&lt;"&amp;EV1)</f>
        <v>0</v>
      </c>
      <c r="EV11" s="215">
        <f>SUMIFS('Expenditure Breakdown'!$Q$6:$Q$184, 'Expenditure Breakdown'!$W$6:$W$184, "&gt;="&amp;EV1,'Expenditure Breakdown'!$W$6:$W$184, "&lt;"&amp;EW1)</f>
        <v>0</v>
      </c>
      <c r="EW11" s="215">
        <f>SUMIFS('Expenditure Breakdown'!$Q$6:$Q$184, 'Expenditure Breakdown'!$W$6:$W$184, "&gt;="&amp;EW1,'Expenditure Breakdown'!$W$6:$W$184, "&lt;"&amp;EX1)</f>
        <v>0</v>
      </c>
      <c r="EX11" s="215">
        <f>SUMIFS('Expenditure Breakdown'!$Q$6:$Q$184, 'Expenditure Breakdown'!$W$6:$W$184, "&gt;="&amp;EX1,'Expenditure Breakdown'!$W$6:$W$184, "&lt;"&amp;EY1)</f>
        <v>0</v>
      </c>
      <c r="EY11" s="215">
        <f>SUMIFS('Expenditure Breakdown'!$Q$6:$Q$184, 'Expenditure Breakdown'!$W$6:$W$184, "&gt;="&amp;EY1,'Expenditure Breakdown'!$W$6:$W$184, "&lt;"&amp;EZ1)</f>
        <v>0</v>
      </c>
      <c r="EZ11" s="215">
        <f>SUMIFS('Expenditure Breakdown'!$Q$6:$Q$184, 'Expenditure Breakdown'!$W$6:$W$184, "&gt;="&amp;EZ1,'Expenditure Breakdown'!$W$6:$W$184, "&lt;"&amp;FA1)</f>
        <v>0</v>
      </c>
      <c r="FA11" s="215">
        <f>SUMIFS('Expenditure Breakdown'!$Q$6:$Q$184, 'Expenditure Breakdown'!$W$6:$W$184, "&gt;="&amp;FA1,'Expenditure Breakdown'!$W$6:$W$184, "&lt;"&amp;FB1)</f>
        <v>0</v>
      </c>
      <c r="FB11" s="215">
        <f>SUMIFS('Expenditure Breakdown'!$Q$6:$Q$184, 'Expenditure Breakdown'!$W$6:$W$184, "&gt;="&amp;FB1,'Expenditure Breakdown'!$W$6:$W$184, "&lt;"&amp;FC1)</f>
        <v>0</v>
      </c>
      <c r="FC11" s="215">
        <f>SUMIFS('Expenditure Breakdown'!$Q$6:$Q$184, 'Expenditure Breakdown'!$W$6:$W$184, "&gt;="&amp;FC1,'Expenditure Breakdown'!$W$6:$W$184, "&lt;"&amp;FD1)</f>
        <v>0</v>
      </c>
      <c r="FD11" s="215">
        <f>SUMIFS('Expenditure Breakdown'!$Q$6:$Q$184, 'Expenditure Breakdown'!$W$6:$W$184, "&gt;="&amp;FD1,'Expenditure Breakdown'!$W$6:$W$184, "&lt;"&amp;FE1)</f>
        <v>0</v>
      </c>
      <c r="FE11" s="215">
        <f>SUMIFS('Expenditure Breakdown'!$Q$6:$Q$184, 'Expenditure Breakdown'!$W$6:$W$184, "&gt;="&amp;FE1,'Expenditure Breakdown'!$W$6:$W$184, "&lt;"&amp;FF1)</f>
        <v>0</v>
      </c>
      <c r="FF11" s="215">
        <f>SUMIFS('Expenditure Breakdown'!$Q$6:$Q$184, 'Expenditure Breakdown'!$W$6:$W$184, "&gt;="&amp;FF1,'Expenditure Breakdown'!$W$6:$W$184, "&lt;"&amp;FG1)</f>
        <v>0</v>
      </c>
      <c r="FG11" s="215">
        <f>SUMIFS('Expenditure Breakdown'!$Q$6:$Q$184, 'Expenditure Breakdown'!$W$6:$W$184, "&gt;="&amp;FG1,'Expenditure Breakdown'!$W$6:$W$184, "&lt;"&amp;FH1)</f>
        <v>0</v>
      </c>
      <c r="FH11" s="215">
        <f>SUMIFS('Expenditure Breakdown'!$Q$6:$Q$184, 'Expenditure Breakdown'!$W$6:$W$184, "&gt;="&amp;FH1,'Expenditure Breakdown'!$W$6:$W$184, "&lt;"&amp;FI1)</f>
        <v>0</v>
      </c>
      <c r="FI11" s="215">
        <f>SUMIFS('Expenditure Breakdown'!$Q$6:$Q$184, 'Expenditure Breakdown'!$W$6:$W$184, "&gt;="&amp;FI1,'Expenditure Breakdown'!$W$6:$W$184, "&lt;"&amp;FJ1)</f>
        <v>0</v>
      </c>
      <c r="FJ11" s="215">
        <f>SUMIFS('Expenditure Breakdown'!$Q$6:$Q$184, 'Expenditure Breakdown'!$W$6:$W$184, "&gt;="&amp;FJ1,'Expenditure Breakdown'!$W$6:$W$184, "&lt;"&amp;FK1)</f>
        <v>0</v>
      </c>
      <c r="FK11" s="215">
        <f>SUMIFS('Expenditure Breakdown'!$Q$6:$Q$184, 'Expenditure Breakdown'!$W$6:$W$184, "&gt;="&amp;FK1,'Expenditure Breakdown'!$W$6:$W$184, "&lt;"&amp;FL1)</f>
        <v>0</v>
      </c>
      <c r="FL11" s="215">
        <f>SUMIFS('Expenditure Breakdown'!$Q$6:$Q$184, 'Expenditure Breakdown'!$W$6:$W$184, "&gt;="&amp;FL1,'Expenditure Breakdown'!$W$6:$W$184, "&lt;"&amp;FM1)</f>
        <v>0</v>
      </c>
      <c r="FM11" s="215">
        <f>SUMIFS('Expenditure Breakdown'!$Q$6:$Q$184, 'Expenditure Breakdown'!$W$6:$W$184, "&gt;="&amp;FM1,'Expenditure Breakdown'!$W$6:$W$184, "&lt;"&amp;FN1)</f>
        <v>0</v>
      </c>
      <c r="FN11" s="215">
        <f>SUMIFS('Expenditure Breakdown'!$Q$6:$Q$184, 'Expenditure Breakdown'!$W$6:$W$184, "&gt;="&amp;FN1,'Expenditure Breakdown'!$W$6:$W$184, "&lt;"&amp;FO1)</f>
        <v>0</v>
      </c>
      <c r="FO11" s="215">
        <f>SUMIFS('Expenditure Breakdown'!$Q$6:$Q$184, 'Expenditure Breakdown'!$W$6:$W$184, "&gt;="&amp;FO1,'Expenditure Breakdown'!$W$6:$W$184, "&lt;"&amp;FP1)</f>
        <v>0</v>
      </c>
      <c r="FP11" s="215">
        <f>SUMIFS('Expenditure Breakdown'!$Q$6:$Q$184, 'Expenditure Breakdown'!$W$6:$W$184, "&gt;="&amp;FP1,'Expenditure Breakdown'!$W$6:$W$184, "&lt;"&amp;FQ1)</f>
        <v>0</v>
      </c>
      <c r="FQ11" s="215">
        <f>SUMIFS('Expenditure Breakdown'!$Q$6:$Q$184, 'Expenditure Breakdown'!$W$6:$W$184, "&gt;="&amp;FQ1,'Expenditure Breakdown'!$W$6:$W$184, "&lt;"&amp;FR1)</f>
        <v>0</v>
      </c>
      <c r="FR11" s="215">
        <f>SUMIFS('Expenditure Breakdown'!$Q$6:$Q$184, 'Expenditure Breakdown'!$W$6:$W$184, "&gt;="&amp;FR1,'Expenditure Breakdown'!$W$6:$W$184, "&lt;"&amp;FS1)</f>
        <v>0</v>
      </c>
      <c r="FS11" s="215">
        <f>SUMIFS('Expenditure Breakdown'!$Q$6:$Q$184, 'Expenditure Breakdown'!$W$6:$W$184, "&gt;="&amp;FS1,'Expenditure Breakdown'!$W$6:$W$184, "&lt;"&amp;FT1)</f>
        <v>0</v>
      </c>
      <c r="FT11" s="215">
        <f>SUMIFS('Expenditure Breakdown'!$Q$6:$Q$184, 'Expenditure Breakdown'!$W$6:$W$184, "&gt;="&amp;FT1,'Expenditure Breakdown'!$W$6:$W$184, "&lt;"&amp;FU1)</f>
        <v>0</v>
      </c>
      <c r="FU11" s="215">
        <f>SUMIFS('Expenditure Breakdown'!$Q$6:$Q$184, 'Expenditure Breakdown'!$W$6:$W$184, "&gt;="&amp;FU1,'Expenditure Breakdown'!$W$6:$W$184, "&lt;"&amp;FV1)</f>
        <v>0</v>
      </c>
      <c r="FV11" s="215">
        <f>SUMIFS('Expenditure Breakdown'!$Q$6:$Q$184, 'Expenditure Breakdown'!$W$6:$W$184, "&gt;="&amp;FV1,'Expenditure Breakdown'!$W$6:$W$184, "&lt;"&amp;FW1)</f>
        <v>0</v>
      </c>
      <c r="FW11" s="215">
        <f>SUMIFS('Expenditure Breakdown'!$Q$6:$Q$184, 'Expenditure Breakdown'!$W$6:$W$184, "&gt;="&amp;FW1,'Expenditure Breakdown'!$W$6:$W$184, "&lt;"&amp;FX1)</f>
        <v>0</v>
      </c>
      <c r="FX11" s="215">
        <f>SUMIFS('Expenditure Breakdown'!$Q$6:$Q$184, 'Expenditure Breakdown'!$W$6:$W$184, "&gt;="&amp;FX1,'Expenditure Breakdown'!$W$6:$W$184, "&lt;"&amp;FY1)</f>
        <v>0</v>
      </c>
      <c r="FY11" s="215">
        <f>SUMIFS('Expenditure Breakdown'!$Q$6:$Q$184, 'Expenditure Breakdown'!$W$6:$W$184, "&gt;="&amp;FY1,'Expenditure Breakdown'!$W$6:$W$184, "&lt;"&amp;FZ1)</f>
        <v>0</v>
      </c>
      <c r="FZ11" s="215">
        <f>SUMIFS('Expenditure Breakdown'!$Q$6:$Q$184, 'Expenditure Breakdown'!$W$6:$W$184, "&gt;="&amp;FZ1,'Expenditure Breakdown'!$W$6:$W$184, "&lt;"&amp;GA1)</f>
        <v>0</v>
      </c>
      <c r="GA11" s="215">
        <f>SUMIFS('Expenditure Breakdown'!$Q$6:$Q$184, 'Expenditure Breakdown'!$W$6:$W$184, "&gt;="&amp;GA1,'Expenditure Breakdown'!$W$6:$W$184, "&lt;"&amp;GB1)</f>
        <v>0</v>
      </c>
      <c r="GB11" s="215">
        <f>SUMIFS('Expenditure Breakdown'!$Q$6:$Q$184, 'Expenditure Breakdown'!$W$6:$W$184, "&gt;="&amp;GB1,'Expenditure Breakdown'!$W$6:$W$184, "&lt;"&amp;GC1)</f>
        <v>0</v>
      </c>
      <c r="GC11" s="215">
        <f>SUMIFS('Expenditure Breakdown'!$Q$6:$Q$184, 'Expenditure Breakdown'!$W$6:$W$184, "&gt;="&amp;GC1,'Expenditure Breakdown'!$W$6:$W$184, "&lt;"&amp;GD1)</f>
        <v>0</v>
      </c>
      <c r="GD11" s="215">
        <f>SUMIFS('Expenditure Breakdown'!$Q$6:$Q$184, 'Expenditure Breakdown'!$W$6:$W$184, "&gt;="&amp;GD1,'Expenditure Breakdown'!$W$6:$W$184, "&lt;"&amp;GE1)</f>
        <v>0</v>
      </c>
      <c r="GE11" s="215">
        <f>SUMIFS('Expenditure Breakdown'!$Q$6:$Q$184, 'Expenditure Breakdown'!$W$6:$W$184, "&gt;="&amp;GE1,'Expenditure Breakdown'!$W$6:$W$184, "&lt;"&amp;GF1)</f>
        <v>0</v>
      </c>
      <c r="GF11" s="215">
        <f>SUMIFS('Expenditure Breakdown'!$Q$6:$Q$184, 'Expenditure Breakdown'!$W$6:$W$184, "&gt;="&amp;GF1,'Expenditure Breakdown'!$W$6:$W$184, "&lt;"&amp;GG1)</f>
        <v>0</v>
      </c>
      <c r="GG11" s="215">
        <f>SUMIFS('Expenditure Breakdown'!$Q$6:$Q$184, 'Expenditure Breakdown'!$W$6:$W$184, "&gt;="&amp;GG1,'Expenditure Breakdown'!$W$6:$W$184, "&lt;"&amp;GH1)</f>
        <v>0</v>
      </c>
      <c r="GH11" s="215">
        <f>SUMIFS('Expenditure Breakdown'!$Q$6:$Q$184, 'Expenditure Breakdown'!$W$6:$W$184, "&gt;="&amp;GH1,'Expenditure Breakdown'!$W$6:$W$184, "&lt;"&amp;GI1)</f>
        <v>0</v>
      </c>
      <c r="GI11" s="215">
        <f>SUMIFS('Expenditure Breakdown'!$Q$6:$Q$184, 'Expenditure Breakdown'!$W$6:$W$184, "&gt;="&amp;GI1,'Expenditure Breakdown'!$W$6:$W$184, "&lt;"&amp;GJ1)</f>
        <v>0</v>
      </c>
      <c r="GJ11" s="215">
        <f>SUMIFS('Expenditure Breakdown'!$Q$6:$Q$184, 'Expenditure Breakdown'!$W$6:$W$184, "&gt;="&amp;GJ1,'Expenditure Breakdown'!$W$6:$W$184, "&lt;"&amp;GK1)</f>
        <v>0</v>
      </c>
      <c r="GK11" s="215">
        <f>SUMIFS('Expenditure Breakdown'!$Q$6:$Q$184, 'Expenditure Breakdown'!$W$6:$W$184, "&gt;="&amp;GK1,'Expenditure Breakdown'!$W$6:$W$184, "&lt;"&amp;GL1)</f>
        <v>0</v>
      </c>
      <c r="GL11" s="215">
        <f>SUMIFS('Expenditure Breakdown'!$Q$6:$Q$184, 'Expenditure Breakdown'!$W$6:$W$184, "&gt;="&amp;GL1,'Expenditure Breakdown'!$W$6:$W$184, "&lt;"&amp;GM1)</f>
        <v>0</v>
      </c>
      <c r="GM11" s="215">
        <f>SUMIFS('Expenditure Breakdown'!$Q$6:$Q$184, 'Expenditure Breakdown'!$W$6:$W$184, "&gt;="&amp;GM1,'Expenditure Breakdown'!$W$6:$W$184, "&lt;"&amp;GN1)</f>
        <v>0</v>
      </c>
      <c r="GN11" s="215">
        <f>SUMIFS('Expenditure Breakdown'!$Q$6:$Q$184, 'Expenditure Breakdown'!$W$6:$W$184, "&gt;="&amp;GN1,'Expenditure Breakdown'!$W$6:$W$184, "&lt;"&amp;GO1)</f>
        <v>0</v>
      </c>
      <c r="GO11" s="215">
        <f>SUMIFS('Expenditure Breakdown'!$Q$6:$Q$184, 'Expenditure Breakdown'!$W$6:$W$184, "&gt;="&amp;GO1,'Expenditure Breakdown'!$W$6:$W$184, "&lt;"&amp;GP1)</f>
        <v>0</v>
      </c>
      <c r="GP11" s="215">
        <f>SUMIFS('Expenditure Breakdown'!$Q$6:$Q$184, 'Expenditure Breakdown'!$W$6:$W$184, "&gt;="&amp;GP1,'Expenditure Breakdown'!$W$6:$W$184, "&lt;"&amp;GQ1)</f>
        <v>0</v>
      </c>
      <c r="GQ11" s="215">
        <f>SUMIFS('Expenditure Breakdown'!$Q$6:$Q$184, 'Expenditure Breakdown'!$W$6:$W$184, "&gt;="&amp;GQ1,'Expenditure Breakdown'!$W$6:$W$184, "&lt;"&amp;GR1)</f>
        <v>0</v>
      </c>
      <c r="GR11" s="215">
        <f>SUMIFS('Expenditure Breakdown'!$Q$6:$Q$184, 'Expenditure Breakdown'!$W$6:$W$184, "&gt;="&amp;GR1,'Expenditure Breakdown'!$W$6:$W$184, "&lt;"&amp;GS1)</f>
        <v>0</v>
      </c>
      <c r="GS11" s="215">
        <f>SUMIFS('Expenditure Breakdown'!$Q$6:$Q$184, 'Expenditure Breakdown'!$W$6:$W$184, "&gt;="&amp;GS1,'Expenditure Breakdown'!$W$6:$W$184, "&lt;"&amp;GT1)</f>
        <v>0</v>
      </c>
      <c r="GT11" s="215">
        <f>SUMIFS('Expenditure Breakdown'!$Q$6:$Q$184, 'Expenditure Breakdown'!$W$6:$W$184, "&gt;="&amp;GT1,'Expenditure Breakdown'!$W$6:$W$184, "&lt;"&amp;GU1)</f>
        <v>0</v>
      </c>
      <c r="GU11" s="215">
        <f>SUMIFS('Expenditure Breakdown'!$Q$6:$Q$184, 'Expenditure Breakdown'!$W$6:$W$184, "&gt;="&amp;GU1,'Expenditure Breakdown'!$W$6:$W$184, "&lt;"&amp;GV1)</f>
        <v>0</v>
      </c>
      <c r="GV11" s="215">
        <f>SUMIFS('Expenditure Breakdown'!$Q$6:$Q$184, 'Expenditure Breakdown'!$W$6:$W$184, "&gt;="&amp;GV1,'Expenditure Breakdown'!$W$6:$W$184, "&lt;"&amp;GW1)</f>
        <v>0</v>
      </c>
      <c r="GW11" s="215">
        <f>SUMIFS('Expenditure Breakdown'!$Q$6:$Q$184, 'Expenditure Breakdown'!$W$6:$W$184, "&gt;="&amp;GW1,'Expenditure Breakdown'!$W$6:$W$184, "&lt;"&amp;GX1)</f>
        <v>0</v>
      </c>
      <c r="GX11" s="215">
        <f>SUMIFS('Expenditure Breakdown'!$Q$6:$Q$184, 'Expenditure Breakdown'!$W$6:$W$184, "&gt;="&amp;GX1,'Expenditure Breakdown'!$W$6:$W$184, "&lt;"&amp;GY1)</f>
        <v>0</v>
      </c>
      <c r="GY11" s="215">
        <f>SUMIFS('Expenditure Breakdown'!$Q$6:$Q$184, 'Expenditure Breakdown'!$W$6:$W$184, "&gt;="&amp;GY1,'Expenditure Breakdown'!$W$6:$W$184, "&lt;"&amp;GZ1)</f>
        <v>0</v>
      </c>
      <c r="GZ11" s="215">
        <f>SUMIFS('Expenditure Breakdown'!$Q$6:$Q$184, 'Expenditure Breakdown'!$W$6:$W$184, "&gt;="&amp;GZ1,'Expenditure Breakdown'!$W$6:$W$184, "&lt;"&amp;HA1)</f>
        <v>0</v>
      </c>
      <c r="HA11" s="215">
        <f>SUMIFS('Expenditure Breakdown'!$Q$6:$Q$184, 'Expenditure Breakdown'!$W$6:$W$184, "&gt;="&amp;HA1,'Expenditure Breakdown'!$W$6:$W$184, "&lt;"&amp;HB1)</f>
        <v>0</v>
      </c>
      <c r="HB11" s="215">
        <f>SUMIFS('Expenditure Breakdown'!$Q$6:$Q$184, 'Expenditure Breakdown'!$W$6:$W$184, "&gt;="&amp;HB1,'Expenditure Breakdown'!$W$6:$W$184, "&lt;"&amp;HC1)</f>
        <v>0</v>
      </c>
      <c r="HC11" s="215">
        <f>SUMIFS('Expenditure Breakdown'!$Q$6:$Q$184, 'Expenditure Breakdown'!$W$6:$W$184, "&gt;="&amp;HC1,'Expenditure Breakdown'!$W$6:$W$184, "&lt;"&amp;HD1)</f>
        <v>0</v>
      </c>
      <c r="HD11" s="215">
        <f>SUMIFS('Expenditure Breakdown'!$Q$6:$Q$184, 'Expenditure Breakdown'!$W$6:$W$184, "&gt;="&amp;HD1,'Expenditure Breakdown'!$W$6:$W$184, "&lt;"&amp;HE1)</f>
        <v>0</v>
      </c>
      <c r="HE11" s="215">
        <f>SUMIFS('Expenditure Breakdown'!$Q$6:$Q$184, 'Expenditure Breakdown'!$W$6:$W$184, "&gt;="&amp;HE1,'Expenditure Breakdown'!$W$6:$W$184, "&lt;"&amp;HF1)</f>
        <v>0</v>
      </c>
      <c r="HF11" s="215">
        <f>SUMIFS('Expenditure Breakdown'!$Q$6:$Q$184, 'Expenditure Breakdown'!$W$6:$W$184, "&gt;="&amp;HF1,'Expenditure Breakdown'!$W$6:$W$184, "&lt;"&amp;HG1)</f>
        <v>0</v>
      </c>
      <c r="HG11" s="215">
        <f>SUMIFS('Expenditure Breakdown'!$Q$6:$Q$184, 'Expenditure Breakdown'!$W$6:$W$184, "&gt;="&amp;HG1,'Expenditure Breakdown'!$W$6:$W$184, "&lt;"&amp;HH1)</f>
        <v>0</v>
      </c>
      <c r="HH11" s="215">
        <f>SUMIFS('Expenditure Breakdown'!$Q$6:$Q$184, 'Expenditure Breakdown'!$W$6:$W$184, "&gt;="&amp;HH1,'Expenditure Breakdown'!$W$6:$W$184, "&lt;"&amp;HI1)</f>
        <v>0</v>
      </c>
      <c r="HI11" s="215">
        <f>SUMIFS('Expenditure Breakdown'!$Q$6:$Q$184, 'Expenditure Breakdown'!$W$6:$W$184, "&gt;="&amp;HI1,'Expenditure Breakdown'!$W$6:$W$184, "&lt;"&amp;HJ1)</f>
        <v>0</v>
      </c>
      <c r="HJ11" s="215">
        <f>SUMIFS('Expenditure Breakdown'!$Q$6:$Q$184, 'Expenditure Breakdown'!$W$6:$W$184, "&gt;="&amp;HJ1,'Expenditure Breakdown'!$W$6:$W$184, "&lt;"&amp;HK1)</f>
        <v>0</v>
      </c>
      <c r="HK11" s="215">
        <f>SUMIFS('Expenditure Breakdown'!$Q$6:$Q$184, 'Expenditure Breakdown'!$W$6:$W$184, "&gt;="&amp;HK1,'Expenditure Breakdown'!$W$6:$W$184, "&lt;"&amp;HL1)</f>
        <v>0</v>
      </c>
      <c r="HL11" s="215">
        <f>SUMIFS('Expenditure Breakdown'!$Q$6:$Q$184, 'Expenditure Breakdown'!$W$6:$W$184, "&gt;="&amp;HL1,'Expenditure Breakdown'!$W$6:$W$184, "&lt;"&amp;HM1)</f>
        <v>0</v>
      </c>
      <c r="HM11" s="215">
        <f>SUMIFS('Expenditure Breakdown'!$Q$6:$Q$184, 'Expenditure Breakdown'!$W$6:$W$184, "&gt;="&amp;HM1,'Expenditure Breakdown'!$W$6:$W$184, "&lt;"&amp;HN1)</f>
        <v>0</v>
      </c>
      <c r="HN11" s="215">
        <f>SUMIFS('Expenditure Breakdown'!$Q$6:$Q$184, 'Expenditure Breakdown'!$W$6:$W$184, "&gt;="&amp;HN1,'Expenditure Breakdown'!$W$6:$W$184, "&lt;"&amp;HO1)</f>
        <v>0</v>
      </c>
      <c r="HO11" s="215">
        <f>SUMIFS('Expenditure Breakdown'!$Q$6:$Q$184, 'Expenditure Breakdown'!$W$6:$W$184, "&gt;="&amp;HO1,'Expenditure Breakdown'!$W$6:$W$184, "&lt;"&amp;HP1)</f>
        <v>0</v>
      </c>
      <c r="HP11" s="215">
        <f>SUMIFS('Expenditure Breakdown'!$Q$6:$Q$184, 'Expenditure Breakdown'!$W$6:$W$184, "&gt;="&amp;HP1,'Expenditure Breakdown'!$W$6:$W$184, "&lt;"&amp;HQ1)</f>
        <v>0</v>
      </c>
      <c r="HQ11" s="215">
        <f>SUMIFS('Expenditure Breakdown'!$Q$6:$Q$184, 'Expenditure Breakdown'!$W$6:$W$184, "&gt;="&amp;HQ1,'Expenditure Breakdown'!$W$6:$W$184, "&lt;"&amp;HR1)</f>
        <v>0</v>
      </c>
      <c r="HR11" s="215">
        <f>SUMIFS('Expenditure Breakdown'!$Q$6:$Q$184, 'Expenditure Breakdown'!$W$6:$W$184, "&gt;="&amp;HR1,'Expenditure Breakdown'!$W$6:$W$184, "&lt;"&amp;HS1)</f>
        <v>0</v>
      </c>
      <c r="HS11" s="215">
        <f>SUMIFS('Expenditure Breakdown'!$Q$6:$Q$184, 'Expenditure Breakdown'!$W$6:$W$184, "&gt;="&amp;HS1,'Expenditure Breakdown'!$W$6:$W$184, "&lt;"&amp;HT1)</f>
        <v>0</v>
      </c>
      <c r="HT11" s="215">
        <f>SUMIFS('Expenditure Breakdown'!$Q$6:$Q$184, 'Expenditure Breakdown'!$W$6:$W$184, "&gt;="&amp;HT1,'Expenditure Breakdown'!$W$6:$W$184, "&lt;"&amp;HU1)</f>
        <v>0</v>
      </c>
      <c r="HU11" s="215">
        <f>SUMIFS('Expenditure Breakdown'!$Q$6:$Q$184, 'Expenditure Breakdown'!$W$6:$W$184, "&gt;="&amp;HU1,'Expenditure Breakdown'!$W$6:$W$184, "&lt;"&amp;HV1)</f>
        <v>0</v>
      </c>
      <c r="HV11" s="215">
        <f>SUMIFS('Expenditure Breakdown'!$Q$6:$Q$184, 'Expenditure Breakdown'!$W$6:$W$184, "&gt;="&amp;HV1,'Expenditure Breakdown'!$W$6:$W$184, "&lt;"&amp;HW1)</f>
        <v>0</v>
      </c>
      <c r="HW11" s="215">
        <f>SUMIFS('Expenditure Breakdown'!$Q$6:$Q$184, 'Expenditure Breakdown'!$W$6:$W$184, "&gt;="&amp;HW1,'Expenditure Breakdown'!$W$6:$W$184, "&lt;"&amp;HX1)</f>
        <v>0</v>
      </c>
      <c r="HX11" s="215">
        <f>SUMIFS('Expenditure Breakdown'!$Q$6:$Q$184, 'Expenditure Breakdown'!$W$6:$W$184, "&gt;="&amp;HX1,'Expenditure Breakdown'!$W$6:$W$184, "&lt;"&amp;HY1)</f>
        <v>0</v>
      </c>
      <c r="HY11" s="215">
        <f>SUMIFS('Expenditure Breakdown'!$Q$6:$Q$184, 'Expenditure Breakdown'!$W$6:$W$184, "&gt;="&amp;HY1,'Expenditure Breakdown'!$W$6:$W$184, "&lt;"&amp;HZ1)</f>
        <v>0</v>
      </c>
      <c r="HZ11" s="215">
        <f>SUMIFS('Expenditure Breakdown'!$Q$6:$Q$184, 'Expenditure Breakdown'!$W$6:$W$184, "&gt;="&amp;HZ1,'Expenditure Breakdown'!$W$6:$W$184, "&lt;"&amp;IA1)</f>
        <v>0</v>
      </c>
      <c r="IA11" s="215">
        <f>SUMIFS('Expenditure Breakdown'!$Q$6:$Q$184, 'Expenditure Breakdown'!$W$6:$W$184, "&gt;="&amp;IA1,'Expenditure Breakdown'!$W$6:$W$184, "&lt;"&amp;IB1)</f>
        <v>0</v>
      </c>
      <c r="IB11" s="215">
        <f>SUMIFS('Expenditure Breakdown'!$Q$6:$Q$184, 'Expenditure Breakdown'!$W$6:$W$184, "&gt;="&amp;IB1,'Expenditure Breakdown'!$W$6:$W$184, "&lt;"&amp;IC1)</f>
        <v>0</v>
      </c>
      <c r="IC11" s="215">
        <f>SUMIFS('Expenditure Breakdown'!$Q$6:$Q$184, 'Expenditure Breakdown'!$W$6:$W$184, "&gt;="&amp;IC1,'Expenditure Breakdown'!$W$6:$W$184, "&lt;"&amp;ID1)</f>
        <v>0</v>
      </c>
      <c r="ID11" s="215">
        <f>SUMIFS('Expenditure Breakdown'!$Q$6:$Q$184, 'Expenditure Breakdown'!$W$6:$W$184, "&gt;="&amp;ID1,'Expenditure Breakdown'!$W$6:$W$184, "&lt;"&amp;IE1)</f>
        <v>0</v>
      </c>
      <c r="IE11" s="215">
        <f>SUMIFS('Expenditure Breakdown'!$Q$6:$Q$184, 'Expenditure Breakdown'!$W$6:$W$184, "&gt;="&amp;IE1,'Expenditure Breakdown'!$W$6:$W$184, "&lt;"&amp;IF1)</f>
        <v>0</v>
      </c>
      <c r="IF11" s="215">
        <f>SUMIFS('Expenditure Breakdown'!$Q$6:$Q$184, 'Expenditure Breakdown'!$W$6:$W$184, "&gt;="&amp;IF1,'Expenditure Breakdown'!$W$6:$W$184, "&lt;"&amp;IG1)</f>
        <v>0</v>
      </c>
      <c r="IG11" s="215">
        <f>SUMIFS('Expenditure Breakdown'!$Q$6:$Q$184, 'Expenditure Breakdown'!$W$6:$W$184, "&gt;="&amp;IG1,'Expenditure Breakdown'!$W$6:$W$184, "&lt;"&amp;IH1)</f>
        <v>0</v>
      </c>
      <c r="IH11" s="215">
        <f>SUMIFS('Expenditure Breakdown'!$Q$6:$Q$184, 'Expenditure Breakdown'!$W$6:$W$184, "&gt;="&amp;IH1,'Expenditure Breakdown'!$W$6:$W$184, "&lt;"&amp;II1)</f>
        <v>0</v>
      </c>
      <c r="II11" s="215">
        <f>SUMIFS('Expenditure Breakdown'!$Q$6:$Q$184, 'Expenditure Breakdown'!$W$6:$W$184, "&gt;="&amp;II1,'Expenditure Breakdown'!$W$6:$W$184, "&lt;"&amp;IJ1)</f>
        <v>0</v>
      </c>
      <c r="IJ11" s="215">
        <f>SUMIFS('Expenditure Breakdown'!$Q$6:$Q$184, 'Expenditure Breakdown'!$W$6:$W$184, "&gt;="&amp;IJ1,'Expenditure Breakdown'!$W$6:$W$184, "&lt;"&amp;IK1)</f>
        <v>0</v>
      </c>
      <c r="IK11" s="215">
        <f>SUMIFS('Expenditure Breakdown'!$Q$6:$Q$184, 'Expenditure Breakdown'!$W$6:$W$184, "&gt;="&amp;IK1,'Expenditure Breakdown'!$W$6:$W$184, "&lt;"&amp;IL1)</f>
        <v>0</v>
      </c>
      <c r="IL11" s="215">
        <f>SUMIFS('Expenditure Breakdown'!$Q$6:$Q$184, 'Expenditure Breakdown'!$W$6:$W$184, "&gt;="&amp;IL1,'Expenditure Breakdown'!$W$6:$W$184, "&lt;"&amp;IM1)</f>
        <v>0</v>
      </c>
      <c r="IM11" s="215">
        <f>SUMIFS('Expenditure Breakdown'!$Q$6:$Q$184, 'Expenditure Breakdown'!$W$6:$W$184, "&gt;="&amp;IM1,'Expenditure Breakdown'!$W$6:$W$184, "&lt;"&amp;IN1)</f>
        <v>0</v>
      </c>
      <c r="IN11" s="215">
        <f>SUMIFS('Expenditure Breakdown'!$Q$6:$Q$184, 'Expenditure Breakdown'!$W$6:$W$184, "&gt;="&amp;IN1,'Expenditure Breakdown'!$W$6:$W$184, "&lt;"&amp;IO1)</f>
        <v>0</v>
      </c>
      <c r="IO11" s="215">
        <f>SUMIFS('Expenditure Breakdown'!$Q$6:$Q$184, 'Expenditure Breakdown'!$W$6:$W$184, "&gt;="&amp;IO1,'Expenditure Breakdown'!$W$6:$W$184, "&lt;"&amp;IP1)</f>
        <v>0</v>
      </c>
      <c r="IP11" s="215">
        <f>SUMIFS('Expenditure Breakdown'!$Q$6:$Q$184, 'Expenditure Breakdown'!$W$6:$W$184, "&gt;="&amp;IP1,'Expenditure Breakdown'!$W$6:$W$184, "&lt;"&amp;IQ1)</f>
        <v>0</v>
      </c>
      <c r="IQ11" s="215">
        <f>SUMIFS('Expenditure Breakdown'!$Q$6:$Q$184, 'Expenditure Breakdown'!$W$6:$W$184, "&gt;="&amp;IQ1,'Expenditure Breakdown'!$W$6:$W$184, "&lt;"&amp;IR1)</f>
        <v>0</v>
      </c>
      <c r="IR11" s="215">
        <f>SUMIFS('Expenditure Breakdown'!$Q$6:$Q$184, 'Expenditure Breakdown'!$W$6:$W$184, "&gt;="&amp;IR1,'Expenditure Breakdown'!$W$6:$W$184, "&lt;"&amp;IS1)</f>
        <v>0</v>
      </c>
      <c r="IS11" s="215">
        <f>SUMIFS('Expenditure Breakdown'!$Q$6:$Q$184, 'Expenditure Breakdown'!$W$6:$W$184, "&gt;="&amp;IS1,'Expenditure Breakdown'!$W$6:$W$184, "&lt;"&amp;IT1)</f>
        <v>0</v>
      </c>
      <c r="IT11" s="215">
        <f>SUMIFS('Expenditure Breakdown'!$Q$6:$Q$184, 'Expenditure Breakdown'!$W$6:$W$184, "&gt;="&amp;IT1,'Expenditure Breakdown'!$W$6:$W$184, "&lt;"&amp;IU1)</f>
        <v>0</v>
      </c>
      <c r="IU11" s="215">
        <f>SUMIFS('Expenditure Breakdown'!$Q$6:$Q$184, 'Expenditure Breakdown'!$W$6:$W$184, "&gt;="&amp;IU1,'Expenditure Breakdown'!$W$6:$W$184, "&lt;"&amp;IV1)</f>
        <v>0</v>
      </c>
      <c r="IV11" s="215">
        <f>SUMIFS('Expenditure Breakdown'!$Q$6:$Q$184, 'Expenditure Breakdown'!$W$6:$W$184, "&gt;="&amp;IV1,'Expenditure Breakdown'!$W$6:$W$184, "&lt;"&amp;IW1)</f>
        <v>0</v>
      </c>
      <c r="IW11" s="215">
        <f>SUMIFS('Expenditure Breakdown'!$Q$6:$Q$184, 'Expenditure Breakdown'!$W$6:$W$184, "&gt;="&amp;IW1,'Expenditure Breakdown'!$W$6:$W$184, "&lt;"&amp;IX1)</f>
        <v>0</v>
      </c>
      <c r="IX11" s="215">
        <f>SUMIFS('Expenditure Breakdown'!$Q$6:$Q$184, 'Expenditure Breakdown'!$W$6:$W$184, "&gt;="&amp;IX1,'Expenditure Breakdown'!$W$6:$W$184, "&lt;"&amp;IY1)</f>
        <v>0</v>
      </c>
      <c r="IY11" s="215">
        <f>SUMIFS('Expenditure Breakdown'!$Q$6:$Q$184, 'Expenditure Breakdown'!$W$6:$W$184, "&gt;="&amp;IY1,'Expenditure Breakdown'!$W$6:$W$184, "&lt;"&amp;IZ1)</f>
        <v>0</v>
      </c>
      <c r="IZ11" s="215">
        <f>SUMIFS('Expenditure Breakdown'!$Q$6:$Q$184, 'Expenditure Breakdown'!$W$6:$W$184, "&gt;="&amp;IZ1,'Expenditure Breakdown'!$W$6:$W$184, "&lt;"&amp;JA1)</f>
        <v>0</v>
      </c>
      <c r="JA11" s="215">
        <f>SUMIFS('Expenditure Breakdown'!$Q$6:$Q$184, 'Expenditure Breakdown'!$W$6:$W$184, "&gt;="&amp;JA1,'Expenditure Breakdown'!$W$6:$W$184, "&lt;"&amp;JB1)</f>
        <v>0</v>
      </c>
      <c r="JB11" s="215">
        <f>SUMIFS('Expenditure Breakdown'!$Q$6:$Q$184, 'Expenditure Breakdown'!$W$6:$W$184, "&gt;="&amp;JB1,'Expenditure Breakdown'!$W$6:$W$184, "&lt;"&amp;JC1)</f>
        <v>0</v>
      </c>
      <c r="JC11" s="215">
        <f>SUMIFS('Expenditure Breakdown'!$Q$6:$Q$184, 'Expenditure Breakdown'!$W$6:$W$184, "&gt;="&amp;JC1,'Expenditure Breakdown'!$W$6:$W$184, "&lt;"&amp;JD1)</f>
        <v>0</v>
      </c>
      <c r="JD11" s="215">
        <f>SUMIFS('Expenditure Breakdown'!$Q$6:$Q$184, 'Expenditure Breakdown'!$W$6:$W$184, "&gt;="&amp;JD1,'Expenditure Breakdown'!$W$6:$W$184, "&lt;"&amp;JE1)</f>
        <v>0</v>
      </c>
      <c r="JE11" s="215">
        <f>SUMIFS('Expenditure Breakdown'!$Q$6:$Q$184, 'Expenditure Breakdown'!$W$6:$W$184, "&gt;="&amp;JE1,'Expenditure Breakdown'!$W$6:$W$184, "&lt;"&amp;JF1)</f>
        <v>0</v>
      </c>
      <c r="JF11" s="215">
        <f>SUMIFS('Expenditure Breakdown'!$Q$6:$Q$184, 'Expenditure Breakdown'!$W$6:$W$184, "&gt;="&amp;JF1,'Expenditure Breakdown'!$W$6:$W$184, "&lt;"&amp;JG1)</f>
        <v>0</v>
      </c>
      <c r="JG11" s="215">
        <f>SUMIFS('Expenditure Breakdown'!$Q$6:$Q$184, 'Expenditure Breakdown'!$W$6:$W$184, "&gt;="&amp;JG1,'Expenditure Breakdown'!$W$6:$W$184, "&lt;"&amp;JH1)</f>
        <v>0</v>
      </c>
      <c r="JH11" s="215">
        <f>SUMIFS('Expenditure Breakdown'!$Q$6:$Q$184, 'Expenditure Breakdown'!$W$6:$W$184, "&gt;="&amp;JH1,'Expenditure Breakdown'!$W$6:$W$184, "&lt;"&amp;JI1)</f>
        <v>0</v>
      </c>
      <c r="JI11" s="215">
        <f>SUMIFS('Expenditure Breakdown'!$Q$6:$Q$184, 'Expenditure Breakdown'!$W$6:$W$184, "&gt;="&amp;JI1,'Expenditure Breakdown'!$W$6:$W$184, "&lt;"&amp;JJ1)</f>
        <v>0</v>
      </c>
      <c r="JJ11" s="215">
        <f>SUMIFS('Expenditure Breakdown'!$Q$6:$Q$184, 'Expenditure Breakdown'!$W$6:$W$184, "&gt;="&amp;JJ1,'Expenditure Breakdown'!$W$6:$W$184, "&lt;"&amp;JK1)</f>
        <v>0</v>
      </c>
      <c r="JK11" s="215">
        <f>SUMIFS('Expenditure Breakdown'!$Q$6:$Q$184, 'Expenditure Breakdown'!$W$6:$W$184, "&gt;="&amp;JK1,'Expenditure Breakdown'!$W$6:$W$184, "&lt;"&amp;JL1)</f>
        <v>0</v>
      </c>
      <c r="JL11" s="215">
        <f>SUMIFS('Expenditure Breakdown'!$Q$6:$Q$184, 'Expenditure Breakdown'!$W$6:$W$184, "&gt;="&amp;JL1,'Expenditure Breakdown'!$W$6:$W$184, "&lt;"&amp;JM1)</f>
        <v>0</v>
      </c>
      <c r="JM11" s="215">
        <f>SUMIFS('Expenditure Breakdown'!$Q$6:$Q$184, 'Expenditure Breakdown'!$W$6:$W$184, "&gt;="&amp;JM1,'Expenditure Breakdown'!$W$6:$W$184, "&lt;"&amp;JN1)</f>
        <v>0</v>
      </c>
      <c r="JN11" s="215">
        <f>SUMIFS('Expenditure Breakdown'!$Q$6:$Q$184, 'Expenditure Breakdown'!$W$6:$W$184, "&gt;="&amp;JN1,'Expenditure Breakdown'!$W$6:$W$184, "&lt;"&amp;JO1)</f>
        <v>0</v>
      </c>
      <c r="JO11" s="215">
        <f>SUMIFS('Expenditure Breakdown'!$Q$6:$Q$184, 'Expenditure Breakdown'!$W$6:$W$184, "&gt;="&amp;JO1,'Expenditure Breakdown'!$W$6:$W$184, "&lt;"&amp;JP1)</f>
        <v>0</v>
      </c>
      <c r="JP11" s="215">
        <f>SUMIFS('Expenditure Breakdown'!$Q$6:$Q$184, 'Expenditure Breakdown'!$W$6:$W$184, "&gt;="&amp;JP1,'Expenditure Breakdown'!$W$6:$W$184, "&lt;"&amp;JQ1)</f>
        <v>0</v>
      </c>
      <c r="JQ11" s="215">
        <f>SUMIFS('Expenditure Breakdown'!$Q$6:$Q$184, 'Expenditure Breakdown'!$W$6:$W$184, "&gt;="&amp;JQ1,'Expenditure Breakdown'!$W$6:$W$184, "&lt;"&amp;JR1)</f>
        <v>0</v>
      </c>
      <c r="JR11" s="215">
        <f>SUMIFS('Expenditure Breakdown'!$Q$6:$Q$184, 'Expenditure Breakdown'!$W$6:$W$184, "&gt;="&amp;JR1,'Expenditure Breakdown'!$W$6:$W$184, "&lt;"&amp;JS1)</f>
        <v>0</v>
      </c>
      <c r="JS11" s="215">
        <f>SUMIFS('Expenditure Breakdown'!$Q$6:$Q$184, 'Expenditure Breakdown'!$W$6:$W$184, "&gt;="&amp;JS1,'Expenditure Breakdown'!$W$6:$W$184, "&lt;"&amp;JT1)</f>
        <v>0</v>
      </c>
      <c r="JT11" s="215">
        <f>SUMIFS('Expenditure Breakdown'!$Q$6:$Q$184, 'Expenditure Breakdown'!$W$6:$W$184, "&gt;="&amp;JT1,'Expenditure Breakdown'!$W$6:$W$184, "&lt;"&amp;JU1)</f>
        <v>0</v>
      </c>
      <c r="JU11" s="215">
        <f>SUMIFS('Expenditure Breakdown'!$Q$6:$Q$184, 'Expenditure Breakdown'!$W$6:$W$184, "&gt;="&amp;JU1,'Expenditure Breakdown'!$W$6:$W$184, "&lt;"&amp;JV1)</f>
        <v>0</v>
      </c>
      <c r="JV11" s="215">
        <f>SUMIFS('Expenditure Breakdown'!$Q$6:$Q$184, 'Expenditure Breakdown'!$W$6:$W$184, "&gt;="&amp;JV1,'Expenditure Breakdown'!$W$6:$W$184, "&lt;"&amp;JW1)</f>
        <v>0</v>
      </c>
      <c r="JW11" s="215">
        <f>SUMIFS('Expenditure Breakdown'!$Q$6:$Q$184, 'Expenditure Breakdown'!$W$6:$W$184, "&gt;="&amp;JW1,'Expenditure Breakdown'!$W$6:$W$184, "&lt;"&amp;JX1)</f>
        <v>0</v>
      </c>
      <c r="JX11" s="215">
        <f>SUMIFS('Expenditure Breakdown'!$Q$6:$Q$184, 'Expenditure Breakdown'!$W$6:$W$184, "&gt;="&amp;JX1,'Expenditure Breakdown'!$W$6:$W$184, "&lt;"&amp;JY1)</f>
        <v>0</v>
      </c>
      <c r="JY11" s="215">
        <f>SUMIFS('Expenditure Breakdown'!$Q$6:$Q$184, 'Expenditure Breakdown'!$W$6:$W$184, "&gt;="&amp;JY1,'Expenditure Breakdown'!$W$6:$W$184, "&lt;"&amp;JZ1)</f>
        <v>0</v>
      </c>
      <c r="JZ11" s="215">
        <f>SUMIFS('Expenditure Breakdown'!$Q$6:$Q$184, 'Expenditure Breakdown'!$W$6:$W$184, "&gt;="&amp;JZ1,'Expenditure Breakdown'!$W$6:$W$184, "&lt;"&amp;KA1)</f>
        <v>0</v>
      </c>
      <c r="KA11" s="215">
        <f>SUMIFS('Expenditure Breakdown'!$Q$6:$Q$184, 'Expenditure Breakdown'!$W$6:$W$184, "&gt;="&amp;KA1,'Expenditure Breakdown'!$W$6:$W$184, "&lt;"&amp;KB1)</f>
        <v>0</v>
      </c>
      <c r="KB11" s="215">
        <f>SUMIFS('Expenditure Breakdown'!$Q$6:$Q$184, 'Expenditure Breakdown'!$W$6:$W$184, "&gt;="&amp;KB1,'Expenditure Breakdown'!$W$6:$W$184, "&lt;"&amp;KC1)</f>
        <v>0</v>
      </c>
      <c r="KC11" s="215">
        <f>SUMIFS('Expenditure Breakdown'!$Q$6:$Q$184, 'Expenditure Breakdown'!$W$6:$W$184, "&gt;="&amp;KC1,'Expenditure Breakdown'!$W$6:$W$184, "&lt;"&amp;KD1)</f>
        <v>0</v>
      </c>
      <c r="KD11" s="215">
        <f>SUMIFS('Expenditure Breakdown'!$Q$6:$Q$184, 'Expenditure Breakdown'!$W$6:$W$184, "&gt;="&amp;KD1,'Expenditure Breakdown'!$W$6:$W$184, "&lt;"&amp;KE1)</f>
        <v>0</v>
      </c>
      <c r="KE11" s="215">
        <f>SUMIFS('Expenditure Breakdown'!$Q$6:$Q$184, 'Expenditure Breakdown'!$W$6:$W$184, "&gt;="&amp;KE1,'Expenditure Breakdown'!$W$6:$W$184, "&lt;"&amp;KF1)</f>
        <v>0</v>
      </c>
      <c r="KF11" s="215">
        <f>SUMIFS('Expenditure Breakdown'!$Q$6:$Q$184, 'Expenditure Breakdown'!$W$6:$W$184, "&gt;="&amp;KF1,'Expenditure Breakdown'!$W$6:$W$184, "&lt;"&amp;KG1)</f>
        <v>0</v>
      </c>
      <c r="KG11" s="215">
        <f>SUMIFS('Expenditure Breakdown'!$Q$6:$Q$184, 'Expenditure Breakdown'!$W$6:$W$184, "&gt;="&amp;KG1,'Expenditure Breakdown'!$W$6:$W$184, "&lt;"&amp;KH1)</f>
        <v>0</v>
      </c>
      <c r="KH11" s="215">
        <f>SUMIFS('Expenditure Breakdown'!$Q$6:$Q$184, 'Expenditure Breakdown'!$W$6:$W$184, "&gt;="&amp;KH1,'Expenditure Breakdown'!$W$6:$W$184, "&lt;"&amp;KI1)</f>
        <v>0</v>
      </c>
      <c r="KI11" s="215">
        <f>SUMIFS('Expenditure Breakdown'!$Q$6:$Q$184, 'Expenditure Breakdown'!$W$6:$W$184, "&gt;="&amp;KI1,'Expenditure Breakdown'!$W$6:$W$184, "&lt;"&amp;KJ1)</f>
        <v>0</v>
      </c>
      <c r="KJ11" s="215">
        <f>SUMIFS('Expenditure Breakdown'!$Q$6:$Q$184, 'Expenditure Breakdown'!$W$6:$W$184, "&gt;="&amp;KJ1,'Expenditure Breakdown'!$W$6:$W$184, "&lt;"&amp;KK1)</f>
        <v>0</v>
      </c>
      <c r="KK11" s="215">
        <f>SUMIFS('Expenditure Breakdown'!$Q$6:$Q$184, 'Expenditure Breakdown'!$W$6:$W$184, "&gt;="&amp;KK1,'Expenditure Breakdown'!$W$6:$W$184, "&lt;"&amp;KL1)</f>
        <v>0</v>
      </c>
      <c r="KL11" s="215">
        <f>SUMIFS('Expenditure Breakdown'!$Q$6:$Q$184, 'Expenditure Breakdown'!$W$6:$W$184, "&gt;="&amp;KL1,'Expenditure Breakdown'!$W$6:$W$184, "&lt;"&amp;KM1)</f>
        <v>0</v>
      </c>
      <c r="KM11" s="215">
        <f>SUMIFS('Expenditure Breakdown'!$Q$6:$Q$184, 'Expenditure Breakdown'!$W$6:$W$184, "&gt;="&amp;KM1,'Expenditure Breakdown'!$W$6:$W$184, "&lt;"&amp;KN1)</f>
        <v>0</v>
      </c>
      <c r="KN11" s="215">
        <f>SUMIFS('Expenditure Breakdown'!$Q$6:$Q$184, 'Expenditure Breakdown'!$W$6:$W$184, "&gt;="&amp;KN1,'Expenditure Breakdown'!$W$6:$W$184, "&lt;"&amp;KO1)</f>
        <v>0</v>
      </c>
      <c r="KO11" s="215">
        <f>SUMIFS('Expenditure Breakdown'!$Q$6:$Q$184, 'Expenditure Breakdown'!$W$6:$W$184, "&gt;="&amp;KO1,'Expenditure Breakdown'!$W$6:$W$184, "&lt;"&amp;KP1)</f>
        <v>0</v>
      </c>
      <c r="KP11" s="215">
        <f>SUMIFS('Expenditure Breakdown'!$Q$6:$Q$184, 'Expenditure Breakdown'!$W$6:$W$184, "&gt;="&amp;KP1,'Expenditure Breakdown'!$W$6:$W$184, "&lt;"&amp;KQ1)</f>
        <v>0</v>
      </c>
      <c r="KQ11" s="215">
        <f>SUMIFS('Expenditure Breakdown'!$Q$6:$Q$184, 'Expenditure Breakdown'!$W$6:$W$184, "&gt;="&amp;KQ1,'Expenditure Breakdown'!$W$6:$W$184, "&lt;"&amp;KR1)</f>
        <v>0</v>
      </c>
      <c r="KR11" s="215">
        <f>SUMIFS('Expenditure Breakdown'!$Q$6:$Q$184, 'Expenditure Breakdown'!$W$6:$W$184, "&gt;="&amp;KR1,'Expenditure Breakdown'!$W$6:$W$184, "&lt;"&amp;KS1)</f>
        <v>0</v>
      </c>
      <c r="KS11" s="215">
        <f>SUMIFS('Expenditure Breakdown'!$Q$6:$Q$184, 'Expenditure Breakdown'!$W$6:$W$184, "&gt;="&amp;KS1,'Expenditure Breakdown'!$W$6:$W$184, "&lt;"&amp;KT1)</f>
        <v>0</v>
      </c>
      <c r="KT11" s="215">
        <f>SUMIFS('Expenditure Breakdown'!$Q$6:$Q$184, 'Expenditure Breakdown'!$W$6:$W$184, "&gt;="&amp;KT1,'Expenditure Breakdown'!$W$6:$W$184, "&lt;"&amp;KU1)</f>
        <v>0</v>
      </c>
      <c r="KU11" s="215">
        <f>SUMIFS('Expenditure Breakdown'!$Q$6:$Q$184, 'Expenditure Breakdown'!$W$6:$W$184, "&gt;="&amp;KU1,'Expenditure Breakdown'!$W$6:$W$184, "&lt;"&amp;KV1)</f>
        <v>0</v>
      </c>
      <c r="KV11" s="215">
        <f>SUMIFS('Expenditure Breakdown'!$Q$6:$Q$184, 'Expenditure Breakdown'!$W$6:$W$184, "&gt;="&amp;KV1,'Expenditure Breakdown'!$W$6:$W$184, "&lt;"&amp;KW1)</f>
        <v>0</v>
      </c>
      <c r="KW11" s="215">
        <f>SUMIFS('Expenditure Breakdown'!$Q$6:$Q$184, 'Expenditure Breakdown'!$W$6:$W$184, "&gt;="&amp;KW1,'Expenditure Breakdown'!$W$6:$W$184, "&lt;"&amp;KX1)</f>
        <v>0</v>
      </c>
      <c r="KX11" s="215">
        <f>SUMIFS('Expenditure Breakdown'!$Q$6:$Q$184, 'Expenditure Breakdown'!$W$6:$W$184, "&gt;="&amp;KX1,'Expenditure Breakdown'!$W$6:$W$184, "&lt;"&amp;KY1)</f>
        <v>0</v>
      </c>
      <c r="KY11" s="215">
        <f>SUMIFS('Expenditure Breakdown'!$Q$6:$Q$184, 'Expenditure Breakdown'!$W$6:$W$184, "&gt;="&amp;KY1,'Expenditure Breakdown'!$W$6:$W$184, "&lt;"&amp;KZ1)</f>
        <v>0</v>
      </c>
      <c r="KZ11" s="215">
        <f>SUMIFS('Expenditure Breakdown'!$Q$6:$Q$184, 'Expenditure Breakdown'!$W$6:$W$184, "&gt;="&amp;KZ1,'Expenditure Breakdown'!$W$6:$W$184, "&lt;"&amp;LA1)</f>
        <v>0</v>
      </c>
      <c r="LA11" s="215">
        <f>SUMIFS('Expenditure Breakdown'!$Q$6:$Q$184, 'Expenditure Breakdown'!$W$6:$W$184, "&gt;="&amp;LA1,'Expenditure Breakdown'!$W$6:$W$184, "&lt;"&amp;LB1)</f>
        <v>0</v>
      </c>
      <c r="LB11" s="215">
        <f>SUMIFS('Expenditure Breakdown'!$Q$6:$Q$184, 'Expenditure Breakdown'!$W$6:$W$184, "&gt;="&amp;LB1,'Expenditure Breakdown'!$W$6:$W$184, "&lt;"&amp;LC1)</f>
        <v>0</v>
      </c>
      <c r="LC11" s="215">
        <f>SUMIFS('Expenditure Breakdown'!$Q$6:$Q$184, 'Expenditure Breakdown'!$W$6:$W$184, "&gt;="&amp;LC1,'Expenditure Breakdown'!$W$6:$W$184, "&lt;"&amp;LD1)</f>
        <v>0</v>
      </c>
      <c r="LD11" s="215">
        <f>SUMIFS('Expenditure Breakdown'!$Q$6:$Q$184, 'Expenditure Breakdown'!$W$6:$W$184, "&gt;="&amp;LD1,'Expenditure Breakdown'!$W$6:$W$184, "&lt;"&amp;#REF!)</f>
        <v>0</v>
      </c>
      <c r="LE11" s="192"/>
      <c r="LF11" s="203"/>
      <c r="LG11" s="203"/>
    </row>
    <row r="12" spans="1:794" s="204" customFormat="1">
      <c r="A12" s="809"/>
      <c r="B12" s="213" t="s">
        <v>524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6334387.688000001</v>
      </c>
      <c r="BH12" s="215">
        <f t="shared" si="26"/>
        <v>6331974.2080000006</v>
      </c>
      <c r="BI12" s="215">
        <f t="shared" si="26"/>
        <v>6671429.9880000008</v>
      </c>
      <c r="BJ12" s="215">
        <f t="shared" si="26"/>
        <v>6841731.0080000004</v>
      </c>
      <c r="BK12" s="215">
        <f t="shared" si="26"/>
        <v>6995972.8023272408</v>
      </c>
      <c r="BL12" s="215">
        <f t="shared" si="26"/>
        <v>7251424.3323272411</v>
      </c>
      <c r="BM12" s="215">
        <f t="shared" si="26"/>
        <v>7259924.3323272411</v>
      </c>
      <c r="BN12" s="215">
        <f t="shared" si="26"/>
        <v>7259924.3323272411</v>
      </c>
      <c r="BO12" s="215">
        <f t="shared" si="26"/>
        <v>7345074.8423272409</v>
      </c>
      <c r="BP12" s="215">
        <f t="shared" si="26"/>
        <v>7349211.2423272412</v>
      </c>
      <c r="BQ12" s="215">
        <f t="shared" si="26"/>
        <v>7349211.2423272412</v>
      </c>
      <c r="BR12" s="215">
        <f t="shared" si="26"/>
        <v>7349211.2423272412</v>
      </c>
      <c r="BS12" s="215">
        <f t="shared" si="26"/>
        <v>7349211.2423272412</v>
      </c>
      <c r="BT12" s="215">
        <f t="shared" si="26"/>
        <v>7349211.2423272412</v>
      </c>
      <c r="BU12" s="215">
        <f t="shared" ref="BU12:EF12" si="27">BT12+BU11</f>
        <v>7349211.2423272412</v>
      </c>
      <c r="BV12" s="215">
        <f t="shared" si="27"/>
        <v>7349211.2423272412</v>
      </c>
      <c r="BW12" s="215">
        <f t="shared" si="27"/>
        <v>7349211.2423272412</v>
      </c>
      <c r="BX12" s="215">
        <f t="shared" si="27"/>
        <v>7349211.2423272412</v>
      </c>
      <c r="BY12" s="215">
        <f t="shared" si="27"/>
        <v>7349211.2423272412</v>
      </c>
      <c r="BZ12" s="215">
        <f t="shared" si="27"/>
        <v>7349211.2423272412</v>
      </c>
      <c r="CA12" s="215">
        <f t="shared" si="27"/>
        <v>7349211.2423272412</v>
      </c>
      <c r="CB12" s="215">
        <f t="shared" si="27"/>
        <v>7349211.2423272412</v>
      </c>
      <c r="CC12" s="215">
        <f t="shared" si="27"/>
        <v>7349211.2423272412</v>
      </c>
      <c r="CD12" s="215">
        <f t="shared" si="27"/>
        <v>7349211.2423272412</v>
      </c>
      <c r="CE12" s="215">
        <f t="shared" si="27"/>
        <v>7349211.2423272412</v>
      </c>
      <c r="CF12" s="215">
        <f t="shared" si="27"/>
        <v>7349211.2423272412</v>
      </c>
      <c r="CG12" s="215">
        <f t="shared" si="27"/>
        <v>7349211.2423272412</v>
      </c>
      <c r="CH12" s="215">
        <f t="shared" si="27"/>
        <v>7349211.2423272412</v>
      </c>
      <c r="CI12" s="215">
        <f t="shared" si="27"/>
        <v>7349211.2423272412</v>
      </c>
      <c r="CJ12" s="215">
        <f t="shared" si="27"/>
        <v>7349211.2423272412</v>
      </c>
      <c r="CK12" s="215">
        <f t="shared" si="27"/>
        <v>7349211.2423272412</v>
      </c>
      <c r="CL12" s="215">
        <f t="shared" si="27"/>
        <v>7349211.2423272412</v>
      </c>
      <c r="CM12" s="215">
        <f t="shared" si="27"/>
        <v>7349211.2423272412</v>
      </c>
      <c r="CN12" s="215">
        <f t="shared" si="27"/>
        <v>7349211.2423272412</v>
      </c>
      <c r="CO12" s="215">
        <f t="shared" si="27"/>
        <v>7349211.2423272412</v>
      </c>
      <c r="CP12" s="215">
        <f t="shared" si="27"/>
        <v>7349211.2423272412</v>
      </c>
      <c r="CQ12" s="215">
        <f t="shared" si="27"/>
        <v>7349211.2423272412</v>
      </c>
      <c r="CR12" s="215">
        <f t="shared" si="27"/>
        <v>7349211.2423272412</v>
      </c>
      <c r="CS12" s="215">
        <f t="shared" si="27"/>
        <v>7349211.2423272412</v>
      </c>
      <c r="CT12" s="215">
        <f t="shared" si="27"/>
        <v>7349211.2423272412</v>
      </c>
      <c r="CU12" s="215">
        <f t="shared" si="27"/>
        <v>7349211.2423272412</v>
      </c>
      <c r="CV12" s="215">
        <f t="shared" si="27"/>
        <v>7349211.2423272412</v>
      </c>
      <c r="CW12" s="215">
        <f t="shared" si="27"/>
        <v>7349211.2423272412</v>
      </c>
      <c r="CX12" s="215">
        <f t="shared" si="27"/>
        <v>7349211.2423272412</v>
      </c>
      <c r="CY12" s="215">
        <f t="shared" si="27"/>
        <v>7349211.2423272412</v>
      </c>
      <c r="CZ12" s="215">
        <f t="shared" si="27"/>
        <v>7349211.2423272412</v>
      </c>
      <c r="DA12" s="215">
        <f t="shared" si="27"/>
        <v>7349211.2423272412</v>
      </c>
      <c r="DB12" s="215">
        <f t="shared" si="27"/>
        <v>7349211.2423272412</v>
      </c>
      <c r="DC12" s="215">
        <f t="shared" si="27"/>
        <v>7349211.2423272412</v>
      </c>
      <c r="DD12" s="215">
        <f t="shared" si="27"/>
        <v>7349211.2423272412</v>
      </c>
      <c r="DE12" s="215">
        <f t="shared" si="27"/>
        <v>7349211.2423272412</v>
      </c>
      <c r="DF12" s="215">
        <f t="shared" si="27"/>
        <v>7349211.2423272412</v>
      </c>
      <c r="DG12" s="215">
        <f t="shared" si="27"/>
        <v>7349211.2423272412</v>
      </c>
      <c r="DH12" s="215">
        <f t="shared" si="27"/>
        <v>7349211.2423272412</v>
      </c>
      <c r="DI12" s="215">
        <f t="shared" si="27"/>
        <v>7349211.2423272412</v>
      </c>
      <c r="DJ12" s="215">
        <f t="shared" si="27"/>
        <v>7349211.2423272412</v>
      </c>
      <c r="DK12" s="215">
        <f t="shared" si="27"/>
        <v>7349211.2423272412</v>
      </c>
      <c r="DL12" s="215">
        <f t="shared" si="27"/>
        <v>7349211.2423272412</v>
      </c>
      <c r="DM12" s="215">
        <f t="shared" si="27"/>
        <v>7349211.2423272412</v>
      </c>
      <c r="DN12" s="215">
        <f t="shared" si="27"/>
        <v>7349211.2423272412</v>
      </c>
      <c r="DO12" s="215">
        <f t="shared" si="27"/>
        <v>7349211.2423272412</v>
      </c>
      <c r="DP12" s="215">
        <f t="shared" si="27"/>
        <v>7349211.2423272412</v>
      </c>
      <c r="DQ12" s="215">
        <f t="shared" si="27"/>
        <v>7349211.2423272412</v>
      </c>
      <c r="DR12" s="215">
        <f t="shared" si="27"/>
        <v>7349211.2423272412</v>
      </c>
      <c r="DS12" s="215">
        <f t="shared" si="27"/>
        <v>7349211.2423272412</v>
      </c>
      <c r="DT12" s="215">
        <f t="shared" si="27"/>
        <v>7349211.2423272412</v>
      </c>
      <c r="DU12" s="215">
        <f t="shared" si="27"/>
        <v>7349211.2423272412</v>
      </c>
      <c r="DV12" s="215">
        <f t="shared" si="27"/>
        <v>7349211.2423272412</v>
      </c>
      <c r="DW12" s="215">
        <f t="shared" si="27"/>
        <v>7349211.2423272412</v>
      </c>
      <c r="DX12" s="215">
        <f t="shared" si="27"/>
        <v>7349211.2423272412</v>
      </c>
      <c r="DY12" s="215">
        <f t="shared" si="27"/>
        <v>7349211.2423272412</v>
      </c>
      <c r="DZ12" s="215">
        <f t="shared" si="27"/>
        <v>7349211.2423272412</v>
      </c>
      <c r="EA12" s="215">
        <f t="shared" si="27"/>
        <v>7349211.2423272412</v>
      </c>
      <c r="EB12" s="215">
        <f t="shared" si="27"/>
        <v>7349211.2423272412</v>
      </c>
      <c r="EC12" s="215">
        <f t="shared" si="27"/>
        <v>7349211.2423272412</v>
      </c>
      <c r="ED12" s="215">
        <f t="shared" si="27"/>
        <v>7349211.2423272412</v>
      </c>
      <c r="EE12" s="215">
        <f t="shared" si="27"/>
        <v>7349211.2423272412</v>
      </c>
      <c r="EF12" s="215">
        <f t="shared" si="27"/>
        <v>7349211.2423272412</v>
      </c>
      <c r="EG12" s="215">
        <f t="shared" ref="EG12:GR12" si="28">EF12+EG11</f>
        <v>7349211.2423272412</v>
      </c>
      <c r="EH12" s="215">
        <f t="shared" si="28"/>
        <v>7349211.2423272412</v>
      </c>
      <c r="EI12" s="215">
        <f t="shared" si="28"/>
        <v>7349211.2423272412</v>
      </c>
      <c r="EJ12" s="215">
        <f t="shared" si="28"/>
        <v>7349211.2423272412</v>
      </c>
      <c r="EK12" s="215">
        <f t="shared" si="28"/>
        <v>7349211.2423272412</v>
      </c>
      <c r="EL12" s="215">
        <f t="shared" si="28"/>
        <v>7349211.2423272412</v>
      </c>
      <c r="EM12" s="215">
        <f t="shared" si="28"/>
        <v>7349211.2423272412</v>
      </c>
      <c r="EN12" s="215">
        <f t="shared" si="28"/>
        <v>7349211.2423272412</v>
      </c>
      <c r="EO12" s="215">
        <f t="shared" si="28"/>
        <v>7349211.2423272412</v>
      </c>
      <c r="EP12" s="215">
        <f t="shared" si="28"/>
        <v>7349211.2423272412</v>
      </c>
      <c r="EQ12" s="215">
        <f t="shared" si="28"/>
        <v>7349211.2423272412</v>
      </c>
      <c r="ER12" s="215">
        <f t="shared" si="28"/>
        <v>7349211.2423272412</v>
      </c>
      <c r="ES12" s="215">
        <f t="shared" si="28"/>
        <v>7349211.2423272412</v>
      </c>
      <c r="ET12" s="215">
        <f t="shared" si="28"/>
        <v>7349211.2423272412</v>
      </c>
      <c r="EU12" s="215">
        <f t="shared" si="28"/>
        <v>7349211.2423272412</v>
      </c>
      <c r="EV12" s="215">
        <f t="shared" si="28"/>
        <v>7349211.2423272412</v>
      </c>
      <c r="EW12" s="215">
        <f t="shared" si="28"/>
        <v>7349211.2423272412</v>
      </c>
      <c r="EX12" s="215">
        <f t="shared" si="28"/>
        <v>7349211.2423272412</v>
      </c>
      <c r="EY12" s="215">
        <f t="shared" si="28"/>
        <v>7349211.2423272412</v>
      </c>
      <c r="EZ12" s="215">
        <f t="shared" si="28"/>
        <v>7349211.2423272412</v>
      </c>
      <c r="FA12" s="215">
        <f t="shared" si="28"/>
        <v>7349211.2423272412</v>
      </c>
      <c r="FB12" s="215">
        <f t="shared" si="28"/>
        <v>7349211.2423272412</v>
      </c>
      <c r="FC12" s="215">
        <f t="shared" si="28"/>
        <v>7349211.2423272412</v>
      </c>
      <c r="FD12" s="215">
        <f t="shared" si="28"/>
        <v>7349211.2423272412</v>
      </c>
      <c r="FE12" s="215">
        <f t="shared" si="28"/>
        <v>7349211.2423272412</v>
      </c>
      <c r="FF12" s="215">
        <f t="shared" si="28"/>
        <v>7349211.2423272412</v>
      </c>
      <c r="FG12" s="215">
        <f t="shared" si="28"/>
        <v>7349211.2423272412</v>
      </c>
      <c r="FH12" s="215">
        <f t="shared" si="28"/>
        <v>7349211.2423272412</v>
      </c>
      <c r="FI12" s="215">
        <f t="shared" si="28"/>
        <v>7349211.2423272412</v>
      </c>
      <c r="FJ12" s="215">
        <f t="shared" si="28"/>
        <v>7349211.2423272412</v>
      </c>
      <c r="FK12" s="215">
        <f t="shared" si="28"/>
        <v>7349211.2423272412</v>
      </c>
      <c r="FL12" s="215">
        <f t="shared" si="28"/>
        <v>7349211.2423272412</v>
      </c>
      <c r="FM12" s="215">
        <f t="shared" si="28"/>
        <v>7349211.2423272412</v>
      </c>
      <c r="FN12" s="215">
        <f t="shared" si="28"/>
        <v>7349211.2423272412</v>
      </c>
      <c r="FO12" s="215">
        <f t="shared" si="28"/>
        <v>7349211.2423272412</v>
      </c>
      <c r="FP12" s="215">
        <f t="shared" si="28"/>
        <v>7349211.2423272412</v>
      </c>
      <c r="FQ12" s="215">
        <f t="shared" si="28"/>
        <v>7349211.2423272412</v>
      </c>
      <c r="FR12" s="215">
        <f t="shared" si="28"/>
        <v>7349211.2423272412</v>
      </c>
      <c r="FS12" s="215">
        <f t="shared" si="28"/>
        <v>7349211.2423272412</v>
      </c>
      <c r="FT12" s="215">
        <f t="shared" si="28"/>
        <v>7349211.2423272412</v>
      </c>
      <c r="FU12" s="215">
        <f t="shared" si="28"/>
        <v>7349211.2423272412</v>
      </c>
      <c r="FV12" s="215">
        <f t="shared" si="28"/>
        <v>7349211.2423272412</v>
      </c>
      <c r="FW12" s="215">
        <f t="shared" si="28"/>
        <v>7349211.2423272412</v>
      </c>
      <c r="FX12" s="215">
        <f t="shared" si="28"/>
        <v>7349211.2423272412</v>
      </c>
      <c r="FY12" s="215">
        <f t="shared" si="28"/>
        <v>7349211.2423272412</v>
      </c>
      <c r="FZ12" s="215">
        <f t="shared" si="28"/>
        <v>7349211.2423272412</v>
      </c>
      <c r="GA12" s="215">
        <f t="shared" si="28"/>
        <v>7349211.2423272412</v>
      </c>
      <c r="GB12" s="215">
        <f t="shared" si="28"/>
        <v>7349211.2423272412</v>
      </c>
      <c r="GC12" s="215">
        <f t="shared" si="28"/>
        <v>7349211.2423272412</v>
      </c>
      <c r="GD12" s="215">
        <f t="shared" si="28"/>
        <v>7349211.2423272412</v>
      </c>
      <c r="GE12" s="215">
        <f t="shared" si="28"/>
        <v>7349211.2423272412</v>
      </c>
      <c r="GF12" s="215">
        <f t="shared" si="28"/>
        <v>7349211.2423272412</v>
      </c>
      <c r="GG12" s="215">
        <f t="shared" si="28"/>
        <v>7349211.2423272412</v>
      </c>
      <c r="GH12" s="215">
        <f t="shared" si="28"/>
        <v>7349211.2423272412</v>
      </c>
      <c r="GI12" s="215">
        <f t="shared" si="28"/>
        <v>7349211.2423272412</v>
      </c>
      <c r="GJ12" s="215">
        <f t="shared" si="28"/>
        <v>7349211.2423272412</v>
      </c>
      <c r="GK12" s="215">
        <f t="shared" si="28"/>
        <v>7349211.2423272412</v>
      </c>
      <c r="GL12" s="215">
        <f t="shared" si="28"/>
        <v>7349211.2423272412</v>
      </c>
      <c r="GM12" s="215">
        <f t="shared" si="28"/>
        <v>7349211.2423272412</v>
      </c>
      <c r="GN12" s="215">
        <f t="shared" si="28"/>
        <v>7349211.2423272412</v>
      </c>
      <c r="GO12" s="215">
        <f t="shared" si="28"/>
        <v>7349211.2423272412</v>
      </c>
      <c r="GP12" s="215">
        <f t="shared" si="28"/>
        <v>7349211.2423272412</v>
      </c>
      <c r="GQ12" s="215">
        <f t="shared" si="28"/>
        <v>7349211.2423272412</v>
      </c>
      <c r="GR12" s="215">
        <f t="shared" si="28"/>
        <v>7349211.2423272412</v>
      </c>
      <c r="GS12" s="215">
        <f t="shared" ref="GS12:JD12" si="29">GR12+GS11</f>
        <v>7349211.2423272412</v>
      </c>
      <c r="GT12" s="215">
        <f t="shared" si="29"/>
        <v>7349211.2423272412</v>
      </c>
      <c r="GU12" s="215">
        <f t="shared" si="29"/>
        <v>7349211.2423272412</v>
      </c>
      <c r="GV12" s="215">
        <f t="shared" si="29"/>
        <v>7349211.2423272412</v>
      </c>
      <c r="GW12" s="215">
        <f t="shared" si="29"/>
        <v>7349211.2423272412</v>
      </c>
      <c r="GX12" s="215">
        <f t="shared" si="29"/>
        <v>7349211.2423272412</v>
      </c>
      <c r="GY12" s="215">
        <f t="shared" si="29"/>
        <v>7349211.2423272412</v>
      </c>
      <c r="GZ12" s="215">
        <f t="shared" si="29"/>
        <v>7349211.2423272412</v>
      </c>
      <c r="HA12" s="215">
        <f t="shared" si="29"/>
        <v>7349211.2423272412</v>
      </c>
      <c r="HB12" s="215">
        <f t="shared" si="29"/>
        <v>7349211.2423272412</v>
      </c>
      <c r="HC12" s="215">
        <f t="shared" si="29"/>
        <v>7349211.2423272412</v>
      </c>
      <c r="HD12" s="215">
        <f t="shared" si="29"/>
        <v>7349211.2423272412</v>
      </c>
      <c r="HE12" s="215">
        <f t="shared" si="29"/>
        <v>7349211.2423272412</v>
      </c>
      <c r="HF12" s="215">
        <f t="shared" si="29"/>
        <v>7349211.2423272412</v>
      </c>
      <c r="HG12" s="215">
        <f t="shared" si="29"/>
        <v>7349211.2423272412</v>
      </c>
      <c r="HH12" s="215">
        <f t="shared" si="29"/>
        <v>7349211.2423272412</v>
      </c>
      <c r="HI12" s="215">
        <f t="shared" si="29"/>
        <v>7349211.2423272412</v>
      </c>
      <c r="HJ12" s="215">
        <f t="shared" si="29"/>
        <v>7349211.2423272412</v>
      </c>
      <c r="HK12" s="215">
        <f t="shared" si="29"/>
        <v>7349211.2423272412</v>
      </c>
      <c r="HL12" s="215">
        <f t="shared" si="29"/>
        <v>7349211.2423272412</v>
      </c>
      <c r="HM12" s="215">
        <f t="shared" si="29"/>
        <v>7349211.2423272412</v>
      </c>
      <c r="HN12" s="215">
        <f t="shared" si="29"/>
        <v>7349211.2423272412</v>
      </c>
      <c r="HO12" s="215">
        <f t="shared" si="29"/>
        <v>7349211.2423272412</v>
      </c>
      <c r="HP12" s="215">
        <f t="shared" si="29"/>
        <v>7349211.2423272412</v>
      </c>
      <c r="HQ12" s="215">
        <f t="shared" si="29"/>
        <v>7349211.2423272412</v>
      </c>
      <c r="HR12" s="215">
        <f t="shared" si="29"/>
        <v>7349211.2423272412</v>
      </c>
      <c r="HS12" s="215">
        <f t="shared" si="29"/>
        <v>7349211.2423272412</v>
      </c>
      <c r="HT12" s="215">
        <f t="shared" si="29"/>
        <v>7349211.2423272412</v>
      </c>
      <c r="HU12" s="215">
        <f t="shared" si="29"/>
        <v>7349211.2423272412</v>
      </c>
      <c r="HV12" s="215">
        <f t="shared" si="29"/>
        <v>7349211.2423272412</v>
      </c>
      <c r="HW12" s="215">
        <f t="shared" si="29"/>
        <v>7349211.2423272412</v>
      </c>
      <c r="HX12" s="215">
        <f t="shared" si="29"/>
        <v>7349211.2423272412</v>
      </c>
      <c r="HY12" s="215">
        <f t="shared" si="29"/>
        <v>7349211.2423272412</v>
      </c>
      <c r="HZ12" s="215">
        <f t="shared" si="29"/>
        <v>7349211.2423272412</v>
      </c>
      <c r="IA12" s="215">
        <f t="shared" si="29"/>
        <v>7349211.2423272412</v>
      </c>
      <c r="IB12" s="215">
        <f t="shared" si="29"/>
        <v>7349211.2423272412</v>
      </c>
      <c r="IC12" s="215">
        <f t="shared" si="29"/>
        <v>7349211.2423272412</v>
      </c>
      <c r="ID12" s="215">
        <f t="shared" si="29"/>
        <v>7349211.2423272412</v>
      </c>
      <c r="IE12" s="215">
        <f t="shared" si="29"/>
        <v>7349211.2423272412</v>
      </c>
      <c r="IF12" s="215">
        <f t="shared" si="29"/>
        <v>7349211.2423272412</v>
      </c>
      <c r="IG12" s="215">
        <f t="shared" si="29"/>
        <v>7349211.2423272412</v>
      </c>
      <c r="IH12" s="215">
        <f t="shared" si="29"/>
        <v>7349211.2423272412</v>
      </c>
      <c r="II12" s="215">
        <f t="shared" si="29"/>
        <v>7349211.2423272412</v>
      </c>
      <c r="IJ12" s="215">
        <f t="shared" si="29"/>
        <v>7349211.2423272412</v>
      </c>
      <c r="IK12" s="215">
        <f t="shared" si="29"/>
        <v>7349211.2423272412</v>
      </c>
      <c r="IL12" s="215">
        <f t="shared" si="29"/>
        <v>7349211.2423272412</v>
      </c>
      <c r="IM12" s="215">
        <f t="shared" si="29"/>
        <v>7349211.2423272412</v>
      </c>
      <c r="IN12" s="215">
        <f t="shared" si="29"/>
        <v>7349211.2423272412</v>
      </c>
      <c r="IO12" s="215">
        <f t="shared" si="29"/>
        <v>7349211.2423272412</v>
      </c>
      <c r="IP12" s="215">
        <f t="shared" si="29"/>
        <v>7349211.2423272412</v>
      </c>
      <c r="IQ12" s="215">
        <f t="shared" si="29"/>
        <v>7349211.2423272412</v>
      </c>
      <c r="IR12" s="215">
        <f t="shared" si="29"/>
        <v>7349211.2423272412</v>
      </c>
      <c r="IS12" s="215">
        <f t="shared" si="29"/>
        <v>7349211.2423272412</v>
      </c>
      <c r="IT12" s="215">
        <f t="shared" si="29"/>
        <v>7349211.2423272412</v>
      </c>
      <c r="IU12" s="215">
        <f t="shared" si="29"/>
        <v>7349211.2423272412</v>
      </c>
      <c r="IV12" s="215">
        <f t="shared" si="29"/>
        <v>7349211.2423272412</v>
      </c>
      <c r="IW12" s="215">
        <f t="shared" si="29"/>
        <v>7349211.2423272412</v>
      </c>
      <c r="IX12" s="215">
        <f t="shared" si="29"/>
        <v>7349211.2423272412</v>
      </c>
      <c r="IY12" s="215">
        <f t="shared" si="29"/>
        <v>7349211.2423272412</v>
      </c>
      <c r="IZ12" s="215">
        <f t="shared" si="29"/>
        <v>7349211.2423272412</v>
      </c>
      <c r="JA12" s="215">
        <f t="shared" si="29"/>
        <v>7349211.2423272412</v>
      </c>
      <c r="JB12" s="215">
        <f t="shared" si="29"/>
        <v>7349211.2423272412</v>
      </c>
      <c r="JC12" s="215">
        <f t="shared" si="29"/>
        <v>7349211.2423272412</v>
      </c>
      <c r="JD12" s="215">
        <f t="shared" si="29"/>
        <v>7349211.2423272412</v>
      </c>
      <c r="JE12" s="215">
        <f t="shared" ref="JE12:LD12" si="30">JD12+JE11</f>
        <v>7349211.2423272412</v>
      </c>
      <c r="JF12" s="215">
        <f t="shared" si="30"/>
        <v>7349211.2423272412</v>
      </c>
      <c r="JG12" s="215">
        <f t="shared" si="30"/>
        <v>7349211.2423272412</v>
      </c>
      <c r="JH12" s="215">
        <f t="shared" si="30"/>
        <v>7349211.2423272412</v>
      </c>
      <c r="JI12" s="215">
        <f t="shared" si="30"/>
        <v>7349211.2423272412</v>
      </c>
      <c r="JJ12" s="215">
        <f t="shared" si="30"/>
        <v>7349211.2423272412</v>
      </c>
      <c r="JK12" s="215">
        <f t="shared" si="30"/>
        <v>7349211.2423272412</v>
      </c>
      <c r="JL12" s="215">
        <f t="shared" si="30"/>
        <v>7349211.2423272412</v>
      </c>
      <c r="JM12" s="215">
        <f t="shared" si="30"/>
        <v>7349211.2423272412</v>
      </c>
      <c r="JN12" s="215">
        <f t="shared" si="30"/>
        <v>7349211.2423272412</v>
      </c>
      <c r="JO12" s="215">
        <f t="shared" si="30"/>
        <v>7349211.2423272412</v>
      </c>
      <c r="JP12" s="215">
        <f t="shared" si="30"/>
        <v>7349211.2423272412</v>
      </c>
      <c r="JQ12" s="215">
        <f t="shared" si="30"/>
        <v>7349211.2423272412</v>
      </c>
      <c r="JR12" s="215">
        <f t="shared" si="30"/>
        <v>7349211.2423272412</v>
      </c>
      <c r="JS12" s="215">
        <f t="shared" si="30"/>
        <v>7349211.2423272412</v>
      </c>
      <c r="JT12" s="215">
        <f t="shared" si="30"/>
        <v>7349211.2423272412</v>
      </c>
      <c r="JU12" s="215">
        <f t="shared" si="30"/>
        <v>7349211.2423272412</v>
      </c>
      <c r="JV12" s="215">
        <f t="shared" si="30"/>
        <v>7349211.2423272412</v>
      </c>
      <c r="JW12" s="215">
        <f t="shared" si="30"/>
        <v>7349211.2423272412</v>
      </c>
      <c r="JX12" s="215">
        <f t="shared" si="30"/>
        <v>7349211.2423272412</v>
      </c>
      <c r="JY12" s="215">
        <f t="shared" si="30"/>
        <v>7349211.2423272412</v>
      </c>
      <c r="JZ12" s="215">
        <f t="shared" si="30"/>
        <v>7349211.2423272412</v>
      </c>
      <c r="KA12" s="215">
        <f t="shared" si="30"/>
        <v>7349211.2423272412</v>
      </c>
      <c r="KB12" s="215">
        <f t="shared" si="30"/>
        <v>7349211.2423272412</v>
      </c>
      <c r="KC12" s="215">
        <f t="shared" si="30"/>
        <v>7349211.2423272412</v>
      </c>
      <c r="KD12" s="215">
        <f t="shared" si="30"/>
        <v>7349211.2423272412</v>
      </c>
      <c r="KE12" s="215">
        <f t="shared" si="30"/>
        <v>7349211.2423272412</v>
      </c>
      <c r="KF12" s="215">
        <f t="shared" si="30"/>
        <v>7349211.2423272412</v>
      </c>
      <c r="KG12" s="215">
        <f t="shared" si="30"/>
        <v>7349211.2423272412</v>
      </c>
      <c r="KH12" s="215">
        <f t="shared" si="30"/>
        <v>7349211.2423272412</v>
      </c>
      <c r="KI12" s="215">
        <f t="shared" si="30"/>
        <v>7349211.2423272412</v>
      </c>
      <c r="KJ12" s="215">
        <f t="shared" si="30"/>
        <v>7349211.2423272412</v>
      </c>
      <c r="KK12" s="215">
        <f t="shared" si="30"/>
        <v>7349211.2423272412</v>
      </c>
      <c r="KL12" s="215">
        <f t="shared" si="30"/>
        <v>7349211.2423272412</v>
      </c>
      <c r="KM12" s="215">
        <f t="shared" si="30"/>
        <v>7349211.2423272412</v>
      </c>
      <c r="KN12" s="215">
        <f t="shared" si="30"/>
        <v>7349211.2423272412</v>
      </c>
      <c r="KO12" s="215">
        <f t="shared" si="30"/>
        <v>7349211.2423272412</v>
      </c>
      <c r="KP12" s="215">
        <f t="shared" si="30"/>
        <v>7349211.2423272412</v>
      </c>
      <c r="KQ12" s="215">
        <f t="shared" si="30"/>
        <v>7349211.2423272412</v>
      </c>
      <c r="KR12" s="215">
        <f t="shared" si="30"/>
        <v>7349211.2423272412</v>
      </c>
      <c r="KS12" s="215">
        <f t="shared" si="30"/>
        <v>7349211.2423272412</v>
      </c>
      <c r="KT12" s="215">
        <f t="shared" si="30"/>
        <v>7349211.2423272412</v>
      </c>
      <c r="KU12" s="215">
        <f t="shared" si="30"/>
        <v>7349211.2423272412</v>
      </c>
      <c r="KV12" s="215">
        <f t="shared" si="30"/>
        <v>7349211.2423272412</v>
      </c>
      <c r="KW12" s="215">
        <f t="shared" si="30"/>
        <v>7349211.2423272412</v>
      </c>
      <c r="KX12" s="215">
        <f t="shared" si="30"/>
        <v>7349211.2423272412</v>
      </c>
      <c r="KY12" s="215">
        <f t="shared" si="30"/>
        <v>7349211.2423272412</v>
      </c>
      <c r="KZ12" s="215">
        <f t="shared" si="30"/>
        <v>7349211.2423272412</v>
      </c>
      <c r="LA12" s="215">
        <f t="shared" si="30"/>
        <v>7349211.2423272412</v>
      </c>
      <c r="LB12" s="215">
        <f t="shared" si="30"/>
        <v>7349211.2423272412</v>
      </c>
      <c r="LC12" s="215">
        <f t="shared" si="30"/>
        <v>7349211.2423272412</v>
      </c>
      <c r="LD12" s="215">
        <f t="shared" si="30"/>
        <v>7349211.2423272412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525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1904386.0719999988</v>
      </c>
      <c r="BH14" s="208">
        <f t="shared" si="32"/>
        <v>1906799.5519999992</v>
      </c>
      <c r="BI14" s="208">
        <f t="shared" si="32"/>
        <v>1567343.7719999989</v>
      </c>
      <c r="BJ14" s="208">
        <f t="shared" si="32"/>
        <v>1397042.7519999994</v>
      </c>
      <c r="BK14" s="208">
        <f t="shared" si="32"/>
        <v>3432371.5476727588</v>
      </c>
      <c r="BL14" s="208">
        <f t="shared" si="32"/>
        <v>3176920.0176727585</v>
      </c>
      <c r="BM14" s="208">
        <f t="shared" si="32"/>
        <v>3168420.0176727585</v>
      </c>
      <c r="BN14" s="208">
        <f t="shared" si="32"/>
        <v>3168420.0176727585</v>
      </c>
      <c r="BO14" s="208">
        <f t="shared" si="32"/>
        <v>3083269.5076727588</v>
      </c>
      <c r="BP14" s="208">
        <f t="shared" si="32"/>
        <v>3079133.1076727584</v>
      </c>
      <c r="BQ14" s="208">
        <f t="shared" si="32"/>
        <v>3079133.1076727584</v>
      </c>
      <c r="BR14" s="208">
        <f t="shared" si="32"/>
        <v>3079133.1076727584</v>
      </c>
      <c r="BS14" s="208">
        <f t="shared" si="32"/>
        <v>3079133.1076727584</v>
      </c>
      <c r="BT14" s="208">
        <f t="shared" si="32"/>
        <v>3079133.1076727584</v>
      </c>
      <c r="BU14" s="208">
        <f t="shared" ref="BU14:EF14" si="33">BU10-BU12</f>
        <v>3079133.1076727584</v>
      </c>
      <c r="BV14" s="208">
        <f t="shared" si="33"/>
        <v>3079133.1076727584</v>
      </c>
      <c r="BW14" s="208">
        <f t="shared" si="33"/>
        <v>3079133.1076727584</v>
      </c>
      <c r="BX14" s="208">
        <f t="shared" si="33"/>
        <v>3079133.1076727584</v>
      </c>
      <c r="BY14" s="208">
        <f t="shared" si="33"/>
        <v>3079133.1076727584</v>
      </c>
      <c r="BZ14" s="208">
        <f t="shared" si="33"/>
        <v>3079133.1076727584</v>
      </c>
      <c r="CA14" s="208">
        <f t="shared" si="33"/>
        <v>3079133.1076727584</v>
      </c>
      <c r="CB14" s="208">
        <f t="shared" si="33"/>
        <v>3079133.1076727584</v>
      </c>
      <c r="CC14" s="208">
        <f t="shared" si="33"/>
        <v>3079133.1076727584</v>
      </c>
      <c r="CD14" s="208">
        <f t="shared" si="33"/>
        <v>3079133.1076727584</v>
      </c>
      <c r="CE14" s="208">
        <f t="shared" si="33"/>
        <v>3079133.1076727584</v>
      </c>
      <c r="CF14" s="208">
        <f t="shared" si="33"/>
        <v>3079133.1076727584</v>
      </c>
      <c r="CG14" s="208">
        <f t="shared" si="33"/>
        <v>3079133.1076727584</v>
      </c>
      <c r="CH14" s="208">
        <f t="shared" si="33"/>
        <v>3079133.1076727584</v>
      </c>
      <c r="CI14" s="208">
        <f t="shared" si="33"/>
        <v>3079133.1076727584</v>
      </c>
      <c r="CJ14" s="208">
        <f t="shared" si="33"/>
        <v>3079133.1076727584</v>
      </c>
      <c r="CK14" s="208">
        <f t="shared" si="33"/>
        <v>3079133.1076727584</v>
      </c>
      <c r="CL14" s="208">
        <f t="shared" si="33"/>
        <v>3079133.1076727584</v>
      </c>
      <c r="CM14" s="208">
        <f t="shared" si="33"/>
        <v>3079133.1076727584</v>
      </c>
      <c r="CN14" s="208">
        <f t="shared" si="33"/>
        <v>3079133.1076727584</v>
      </c>
      <c r="CO14" s="208">
        <f t="shared" si="33"/>
        <v>3079133.1076727584</v>
      </c>
      <c r="CP14" s="208">
        <f t="shared" si="33"/>
        <v>3079133.1076727584</v>
      </c>
      <c r="CQ14" s="208">
        <f t="shared" si="33"/>
        <v>3079133.1076727584</v>
      </c>
      <c r="CR14" s="208">
        <f t="shared" si="33"/>
        <v>3079133.1076727584</v>
      </c>
      <c r="CS14" s="208">
        <f t="shared" si="33"/>
        <v>3079133.1076727584</v>
      </c>
      <c r="CT14" s="208">
        <f t="shared" si="33"/>
        <v>3079133.1076727584</v>
      </c>
      <c r="CU14" s="208">
        <f t="shared" si="33"/>
        <v>3079133.1076727584</v>
      </c>
      <c r="CV14" s="208">
        <f t="shared" si="33"/>
        <v>3079133.1076727584</v>
      </c>
      <c r="CW14" s="208">
        <f t="shared" si="33"/>
        <v>3079133.1076727584</v>
      </c>
      <c r="CX14" s="208">
        <f t="shared" si="33"/>
        <v>3079133.1076727584</v>
      </c>
      <c r="CY14" s="208">
        <f t="shared" si="33"/>
        <v>3079133.1076727584</v>
      </c>
      <c r="CZ14" s="208">
        <f t="shared" si="33"/>
        <v>3079133.1076727584</v>
      </c>
      <c r="DA14" s="208">
        <f t="shared" si="33"/>
        <v>3079133.1076727584</v>
      </c>
      <c r="DB14" s="208">
        <f t="shared" si="33"/>
        <v>3079133.1076727584</v>
      </c>
      <c r="DC14" s="208">
        <f t="shared" si="33"/>
        <v>3079133.1076727584</v>
      </c>
      <c r="DD14" s="208">
        <f t="shared" si="33"/>
        <v>3079133.1076727584</v>
      </c>
      <c r="DE14" s="208">
        <f t="shared" si="33"/>
        <v>3079133.1076727584</v>
      </c>
      <c r="DF14" s="208">
        <f t="shared" si="33"/>
        <v>3079133.1076727584</v>
      </c>
      <c r="DG14" s="208">
        <f t="shared" si="33"/>
        <v>3079133.1076727584</v>
      </c>
      <c r="DH14" s="208">
        <f t="shared" si="33"/>
        <v>3079133.1076727584</v>
      </c>
      <c r="DI14" s="208">
        <f t="shared" si="33"/>
        <v>3079133.1076727584</v>
      </c>
      <c r="DJ14" s="208">
        <f t="shared" si="33"/>
        <v>3079133.1076727584</v>
      </c>
      <c r="DK14" s="208">
        <f t="shared" si="33"/>
        <v>3079133.1076727584</v>
      </c>
      <c r="DL14" s="208">
        <f t="shared" si="33"/>
        <v>3079133.1076727584</v>
      </c>
      <c r="DM14" s="208">
        <f t="shared" si="33"/>
        <v>3079133.1076727584</v>
      </c>
      <c r="DN14" s="208">
        <f t="shared" si="33"/>
        <v>3079133.1076727584</v>
      </c>
      <c r="DO14" s="208">
        <f t="shared" si="33"/>
        <v>3079133.1076727584</v>
      </c>
      <c r="DP14" s="208">
        <f t="shared" si="33"/>
        <v>3079133.1076727584</v>
      </c>
      <c r="DQ14" s="208">
        <f t="shared" si="33"/>
        <v>3079133.1076727584</v>
      </c>
      <c r="DR14" s="208">
        <f t="shared" si="33"/>
        <v>3079133.1076727584</v>
      </c>
      <c r="DS14" s="208">
        <f t="shared" si="33"/>
        <v>3079133.1076727584</v>
      </c>
      <c r="DT14" s="208">
        <f t="shared" si="33"/>
        <v>3079133.1076727584</v>
      </c>
      <c r="DU14" s="208">
        <f t="shared" si="33"/>
        <v>3079133.1076727584</v>
      </c>
      <c r="DV14" s="208">
        <f t="shared" si="33"/>
        <v>3079133.1076727584</v>
      </c>
      <c r="DW14" s="208">
        <f t="shared" si="33"/>
        <v>3079133.1076727584</v>
      </c>
      <c r="DX14" s="208">
        <f t="shared" si="33"/>
        <v>3079133.1076727584</v>
      </c>
      <c r="DY14" s="208">
        <f t="shared" si="33"/>
        <v>3079133.1076727584</v>
      </c>
      <c r="DZ14" s="208">
        <f t="shared" si="33"/>
        <v>3079133.1076727584</v>
      </c>
      <c r="EA14" s="208">
        <f t="shared" si="33"/>
        <v>3079133.1076727584</v>
      </c>
      <c r="EB14" s="208">
        <f t="shared" si="33"/>
        <v>3079133.1076727584</v>
      </c>
      <c r="EC14" s="208">
        <f t="shared" si="33"/>
        <v>3079133.1076727584</v>
      </c>
      <c r="ED14" s="208">
        <f t="shared" si="33"/>
        <v>3079133.1076727584</v>
      </c>
      <c r="EE14" s="208">
        <f t="shared" si="33"/>
        <v>3079133.1076727584</v>
      </c>
      <c r="EF14" s="208">
        <f t="shared" si="33"/>
        <v>3079133.1076727584</v>
      </c>
      <c r="EG14" s="208">
        <f t="shared" ref="EG14:GR14" si="34">EG10-EG12</f>
        <v>3079133.1076727584</v>
      </c>
      <c r="EH14" s="208">
        <f t="shared" si="34"/>
        <v>3079133.1076727584</v>
      </c>
      <c r="EI14" s="208">
        <f t="shared" si="34"/>
        <v>3079133.1076727584</v>
      </c>
      <c r="EJ14" s="208">
        <f t="shared" si="34"/>
        <v>3079133.1076727584</v>
      </c>
      <c r="EK14" s="208">
        <f t="shared" si="34"/>
        <v>3079133.1076727584</v>
      </c>
      <c r="EL14" s="208">
        <f t="shared" si="34"/>
        <v>3079133.1076727584</v>
      </c>
      <c r="EM14" s="208">
        <f t="shared" si="34"/>
        <v>3079133.1076727584</v>
      </c>
      <c r="EN14" s="208">
        <f t="shared" si="34"/>
        <v>3079133.1076727584</v>
      </c>
      <c r="EO14" s="208">
        <f t="shared" si="34"/>
        <v>3079133.1076727584</v>
      </c>
      <c r="EP14" s="208">
        <f t="shared" si="34"/>
        <v>3079133.1076727584</v>
      </c>
      <c r="EQ14" s="208">
        <f t="shared" si="34"/>
        <v>3079133.1076727584</v>
      </c>
      <c r="ER14" s="208">
        <f t="shared" si="34"/>
        <v>3079133.1076727584</v>
      </c>
      <c r="ES14" s="208">
        <f t="shared" si="34"/>
        <v>3079133.1076727584</v>
      </c>
      <c r="ET14" s="208">
        <f t="shared" si="34"/>
        <v>3079133.1076727584</v>
      </c>
      <c r="EU14" s="208">
        <f t="shared" si="34"/>
        <v>3079133.1076727584</v>
      </c>
      <c r="EV14" s="208">
        <f t="shared" si="34"/>
        <v>3079133.1076727584</v>
      </c>
      <c r="EW14" s="208">
        <f t="shared" si="34"/>
        <v>3079133.1076727584</v>
      </c>
      <c r="EX14" s="208">
        <f t="shared" si="34"/>
        <v>3079133.1076727584</v>
      </c>
      <c r="EY14" s="208">
        <f t="shared" si="34"/>
        <v>3079133.1076727584</v>
      </c>
      <c r="EZ14" s="208">
        <f t="shared" si="34"/>
        <v>3079133.1076727584</v>
      </c>
      <c r="FA14" s="208">
        <f t="shared" si="34"/>
        <v>3079133.1076727584</v>
      </c>
      <c r="FB14" s="208">
        <f t="shared" si="34"/>
        <v>3079133.1076727584</v>
      </c>
      <c r="FC14" s="208">
        <f t="shared" si="34"/>
        <v>3079133.1076727584</v>
      </c>
      <c r="FD14" s="208">
        <f t="shared" si="34"/>
        <v>3079133.1076727584</v>
      </c>
      <c r="FE14" s="208">
        <f t="shared" si="34"/>
        <v>3079133.1076727584</v>
      </c>
      <c r="FF14" s="208">
        <f t="shared" si="34"/>
        <v>3079133.1076727584</v>
      </c>
      <c r="FG14" s="208">
        <f t="shared" si="34"/>
        <v>3079133.1076727584</v>
      </c>
      <c r="FH14" s="208">
        <f t="shared" si="34"/>
        <v>3079133.1076727584</v>
      </c>
      <c r="FI14" s="208">
        <f t="shared" si="34"/>
        <v>3079133.1076727584</v>
      </c>
      <c r="FJ14" s="208">
        <f t="shared" si="34"/>
        <v>3079133.1076727584</v>
      </c>
      <c r="FK14" s="208">
        <f t="shared" si="34"/>
        <v>3079133.1076727584</v>
      </c>
      <c r="FL14" s="208">
        <f t="shared" si="34"/>
        <v>3079133.1076727584</v>
      </c>
      <c r="FM14" s="208">
        <f t="shared" si="34"/>
        <v>3079133.1076727584</v>
      </c>
      <c r="FN14" s="208">
        <f t="shared" si="34"/>
        <v>3079133.1076727584</v>
      </c>
      <c r="FO14" s="208">
        <f t="shared" si="34"/>
        <v>3079133.1076727584</v>
      </c>
      <c r="FP14" s="208">
        <f t="shared" si="34"/>
        <v>3079133.1076727584</v>
      </c>
      <c r="FQ14" s="208">
        <f t="shared" si="34"/>
        <v>3079133.1076727584</v>
      </c>
      <c r="FR14" s="208">
        <f t="shared" si="34"/>
        <v>3079133.1076727584</v>
      </c>
      <c r="FS14" s="208">
        <f t="shared" si="34"/>
        <v>3079133.1076727584</v>
      </c>
      <c r="FT14" s="208">
        <f t="shared" si="34"/>
        <v>3079133.1076727584</v>
      </c>
      <c r="FU14" s="208">
        <f t="shared" si="34"/>
        <v>3079133.1076727584</v>
      </c>
      <c r="FV14" s="208">
        <f t="shared" si="34"/>
        <v>3079133.1076727584</v>
      </c>
      <c r="FW14" s="208">
        <f t="shared" si="34"/>
        <v>3079133.1076727584</v>
      </c>
      <c r="FX14" s="208">
        <f t="shared" si="34"/>
        <v>3079133.1076727584</v>
      </c>
      <c r="FY14" s="208">
        <f t="shared" si="34"/>
        <v>3079133.1076727584</v>
      </c>
      <c r="FZ14" s="208">
        <f t="shared" si="34"/>
        <v>3079133.1076727584</v>
      </c>
      <c r="GA14" s="208">
        <f t="shared" si="34"/>
        <v>3079133.1076727584</v>
      </c>
      <c r="GB14" s="208">
        <f t="shared" si="34"/>
        <v>3079133.1076727584</v>
      </c>
      <c r="GC14" s="208">
        <f t="shared" si="34"/>
        <v>3079133.1076727584</v>
      </c>
      <c r="GD14" s="208">
        <f t="shared" si="34"/>
        <v>3079133.1076727584</v>
      </c>
      <c r="GE14" s="208">
        <f t="shared" si="34"/>
        <v>3079133.1076727584</v>
      </c>
      <c r="GF14" s="208">
        <f t="shared" si="34"/>
        <v>3079133.1076727584</v>
      </c>
      <c r="GG14" s="208">
        <f t="shared" si="34"/>
        <v>3079133.1076727584</v>
      </c>
      <c r="GH14" s="208">
        <f t="shared" si="34"/>
        <v>3079133.1076727584</v>
      </c>
      <c r="GI14" s="208">
        <f t="shared" si="34"/>
        <v>3079133.1076727584</v>
      </c>
      <c r="GJ14" s="208">
        <f t="shared" si="34"/>
        <v>3079133.1076727584</v>
      </c>
      <c r="GK14" s="208">
        <f t="shared" si="34"/>
        <v>3079133.1076727584</v>
      </c>
      <c r="GL14" s="208">
        <f t="shared" si="34"/>
        <v>3079133.1076727584</v>
      </c>
      <c r="GM14" s="208">
        <f t="shared" si="34"/>
        <v>3079133.1076727584</v>
      </c>
      <c r="GN14" s="208">
        <f t="shared" si="34"/>
        <v>3079133.1076727584</v>
      </c>
      <c r="GO14" s="208">
        <f t="shared" si="34"/>
        <v>3079133.1076727584</v>
      </c>
      <c r="GP14" s="208">
        <f t="shared" si="34"/>
        <v>3079133.1076727584</v>
      </c>
      <c r="GQ14" s="208">
        <f t="shared" si="34"/>
        <v>3079133.1076727584</v>
      </c>
      <c r="GR14" s="208">
        <f t="shared" si="34"/>
        <v>3079133.1076727584</v>
      </c>
      <c r="GS14" s="208">
        <f t="shared" ref="GS14:JD14" si="35">GS10-GS12</f>
        <v>3079133.1076727584</v>
      </c>
      <c r="GT14" s="208">
        <f t="shared" si="35"/>
        <v>3079133.1076727584</v>
      </c>
      <c r="GU14" s="208">
        <f t="shared" si="35"/>
        <v>3079133.1076727584</v>
      </c>
      <c r="GV14" s="208">
        <f t="shared" si="35"/>
        <v>3079133.1076727584</v>
      </c>
      <c r="GW14" s="208">
        <f t="shared" si="35"/>
        <v>3079133.1076727584</v>
      </c>
      <c r="GX14" s="208">
        <f t="shared" si="35"/>
        <v>3079133.1076727584</v>
      </c>
      <c r="GY14" s="208">
        <f t="shared" si="35"/>
        <v>3079133.1076727584</v>
      </c>
      <c r="GZ14" s="208">
        <f t="shared" si="35"/>
        <v>3079133.1076727584</v>
      </c>
      <c r="HA14" s="208">
        <f t="shared" si="35"/>
        <v>3079133.1076727584</v>
      </c>
      <c r="HB14" s="208">
        <f t="shared" si="35"/>
        <v>3079133.1076727584</v>
      </c>
      <c r="HC14" s="208">
        <f t="shared" si="35"/>
        <v>3079133.1076727584</v>
      </c>
      <c r="HD14" s="208">
        <f t="shared" si="35"/>
        <v>3079133.1076727584</v>
      </c>
      <c r="HE14" s="208">
        <f t="shared" si="35"/>
        <v>3079133.1076727584</v>
      </c>
      <c r="HF14" s="208">
        <f t="shared" si="35"/>
        <v>3079133.1076727584</v>
      </c>
      <c r="HG14" s="208">
        <f t="shared" si="35"/>
        <v>3079133.1076727584</v>
      </c>
      <c r="HH14" s="208">
        <f t="shared" si="35"/>
        <v>3079133.1076727584</v>
      </c>
      <c r="HI14" s="208">
        <f t="shared" si="35"/>
        <v>3079133.1076727584</v>
      </c>
      <c r="HJ14" s="208">
        <f t="shared" si="35"/>
        <v>3079133.1076727584</v>
      </c>
      <c r="HK14" s="208">
        <f t="shared" si="35"/>
        <v>3079133.1076727584</v>
      </c>
      <c r="HL14" s="208">
        <f t="shared" si="35"/>
        <v>3079133.1076727584</v>
      </c>
      <c r="HM14" s="208">
        <f t="shared" si="35"/>
        <v>3079133.1076727584</v>
      </c>
      <c r="HN14" s="208">
        <f t="shared" si="35"/>
        <v>3079133.1076727584</v>
      </c>
      <c r="HO14" s="208">
        <f t="shared" si="35"/>
        <v>3079133.1076727584</v>
      </c>
      <c r="HP14" s="208">
        <f t="shared" si="35"/>
        <v>3079133.1076727584</v>
      </c>
      <c r="HQ14" s="208">
        <f t="shared" si="35"/>
        <v>3079133.1076727584</v>
      </c>
      <c r="HR14" s="208">
        <f t="shared" si="35"/>
        <v>3079133.1076727584</v>
      </c>
      <c r="HS14" s="208">
        <f t="shared" si="35"/>
        <v>3079133.1076727584</v>
      </c>
      <c r="HT14" s="208">
        <f t="shared" si="35"/>
        <v>3079133.1076727584</v>
      </c>
      <c r="HU14" s="208">
        <f t="shared" si="35"/>
        <v>3079133.1076727584</v>
      </c>
      <c r="HV14" s="208">
        <f t="shared" si="35"/>
        <v>3079133.1076727584</v>
      </c>
      <c r="HW14" s="208">
        <f t="shared" si="35"/>
        <v>3079133.1076727584</v>
      </c>
      <c r="HX14" s="208">
        <f t="shared" si="35"/>
        <v>3079133.1076727584</v>
      </c>
      <c r="HY14" s="208">
        <f t="shared" si="35"/>
        <v>3079133.1076727584</v>
      </c>
      <c r="HZ14" s="208">
        <f t="shared" si="35"/>
        <v>3079133.1076727584</v>
      </c>
      <c r="IA14" s="208">
        <f t="shared" si="35"/>
        <v>3079133.1076727584</v>
      </c>
      <c r="IB14" s="208">
        <f t="shared" si="35"/>
        <v>3079133.1076727584</v>
      </c>
      <c r="IC14" s="208">
        <f t="shared" si="35"/>
        <v>3079133.1076727584</v>
      </c>
      <c r="ID14" s="208">
        <f t="shared" si="35"/>
        <v>3079133.1076727584</v>
      </c>
      <c r="IE14" s="208">
        <f t="shared" si="35"/>
        <v>3079133.1076727584</v>
      </c>
      <c r="IF14" s="208">
        <f t="shared" si="35"/>
        <v>3079133.1076727584</v>
      </c>
      <c r="IG14" s="208">
        <f t="shared" si="35"/>
        <v>3079133.1076727584</v>
      </c>
      <c r="IH14" s="208">
        <f t="shared" si="35"/>
        <v>3079133.1076727584</v>
      </c>
      <c r="II14" s="208">
        <f t="shared" si="35"/>
        <v>3079133.1076727584</v>
      </c>
      <c r="IJ14" s="208">
        <f t="shared" si="35"/>
        <v>3079133.1076727584</v>
      </c>
      <c r="IK14" s="208">
        <f t="shared" si="35"/>
        <v>3079133.1076727584</v>
      </c>
      <c r="IL14" s="208">
        <f t="shared" si="35"/>
        <v>3079133.1076727584</v>
      </c>
      <c r="IM14" s="208">
        <f t="shared" si="35"/>
        <v>3079133.1076727584</v>
      </c>
      <c r="IN14" s="208">
        <f t="shared" si="35"/>
        <v>3079133.1076727584</v>
      </c>
      <c r="IO14" s="208">
        <f t="shared" si="35"/>
        <v>3079133.1076727584</v>
      </c>
      <c r="IP14" s="208">
        <f t="shared" si="35"/>
        <v>3079133.1076727584</v>
      </c>
      <c r="IQ14" s="208">
        <f t="shared" si="35"/>
        <v>3079133.1076727584</v>
      </c>
      <c r="IR14" s="208">
        <f t="shared" si="35"/>
        <v>3079133.1076727584</v>
      </c>
      <c r="IS14" s="208">
        <f t="shared" si="35"/>
        <v>3079133.1076727584</v>
      </c>
      <c r="IT14" s="208">
        <f t="shared" si="35"/>
        <v>3079133.1076727584</v>
      </c>
      <c r="IU14" s="208">
        <f t="shared" si="35"/>
        <v>3079133.1076727584</v>
      </c>
      <c r="IV14" s="208">
        <f t="shared" si="35"/>
        <v>3079133.1076727584</v>
      </c>
      <c r="IW14" s="208">
        <f t="shared" si="35"/>
        <v>3079133.1076727584</v>
      </c>
      <c r="IX14" s="208">
        <f t="shared" si="35"/>
        <v>3079133.1076727584</v>
      </c>
      <c r="IY14" s="208">
        <f t="shared" si="35"/>
        <v>3079133.1076727584</v>
      </c>
      <c r="IZ14" s="208">
        <f t="shared" si="35"/>
        <v>3079133.1076727584</v>
      </c>
      <c r="JA14" s="208">
        <f t="shared" si="35"/>
        <v>3079133.1076727584</v>
      </c>
      <c r="JB14" s="208">
        <f t="shared" si="35"/>
        <v>3079133.1076727584</v>
      </c>
      <c r="JC14" s="208">
        <f t="shared" si="35"/>
        <v>3079133.1076727584</v>
      </c>
      <c r="JD14" s="208">
        <f t="shared" si="35"/>
        <v>3079133.1076727584</v>
      </c>
      <c r="JE14" s="208">
        <f t="shared" ref="JE14:LD14" si="36">JE10-JE12</f>
        <v>3079133.1076727584</v>
      </c>
      <c r="JF14" s="208">
        <f t="shared" si="36"/>
        <v>3079133.1076727584</v>
      </c>
      <c r="JG14" s="208">
        <f t="shared" si="36"/>
        <v>3079133.1076727584</v>
      </c>
      <c r="JH14" s="208">
        <f t="shared" si="36"/>
        <v>3079133.1076727584</v>
      </c>
      <c r="JI14" s="208">
        <f t="shared" si="36"/>
        <v>3079133.1076727584</v>
      </c>
      <c r="JJ14" s="208">
        <f t="shared" si="36"/>
        <v>3079133.1076727584</v>
      </c>
      <c r="JK14" s="208">
        <f t="shared" si="36"/>
        <v>3079133.1076727584</v>
      </c>
      <c r="JL14" s="208">
        <f t="shared" si="36"/>
        <v>3079133.1076727584</v>
      </c>
      <c r="JM14" s="208">
        <f t="shared" si="36"/>
        <v>3079133.1076727584</v>
      </c>
      <c r="JN14" s="208">
        <f t="shared" si="36"/>
        <v>3079133.1076727584</v>
      </c>
      <c r="JO14" s="208">
        <f t="shared" si="36"/>
        <v>3079133.1076727584</v>
      </c>
      <c r="JP14" s="208">
        <f t="shared" si="36"/>
        <v>3079133.1076727584</v>
      </c>
      <c r="JQ14" s="208">
        <f t="shared" si="36"/>
        <v>3079133.1076727584</v>
      </c>
      <c r="JR14" s="208">
        <f t="shared" si="36"/>
        <v>3079133.1076727584</v>
      </c>
      <c r="JS14" s="208">
        <f t="shared" si="36"/>
        <v>3079133.1076727584</v>
      </c>
      <c r="JT14" s="208">
        <f t="shared" si="36"/>
        <v>3079133.1076727584</v>
      </c>
      <c r="JU14" s="208">
        <f t="shared" si="36"/>
        <v>3079133.1076727584</v>
      </c>
      <c r="JV14" s="208">
        <f t="shared" si="36"/>
        <v>3079133.1076727584</v>
      </c>
      <c r="JW14" s="208">
        <f t="shared" si="36"/>
        <v>3079133.1076727584</v>
      </c>
      <c r="JX14" s="208">
        <f t="shared" si="36"/>
        <v>3079133.1076727584</v>
      </c>
      <c r="JY14" s="208">
        <f t="shared" si="36"/>
        <v>3079133.1076727584</v>
      </c>
      <c r="JZ14" s="208">
        <f t="shared" si="36"/>
        <v>3079133.1076727584</v>
      </c>
      <c r="KA14" s="208">
        <f t="shared" si="36"/>
        <v>3079133.1076727584</v>
      </c>
      <c r="KB14" s="208">
        <f t="shared" si="36"/>
        <v>3079133.1076727584</v>
      </c>
      <c r="KC14" s="208">
        <f t="shared" si="36"/>
        <v>3079133.1076727584</v>
      </c>
      <c r="KD14" s="208">
        <f t="shared" si="36"/>
        <v>3079133.1076727584</v>
      </c>
      <c r="KE14" s="208">
        <f t="shared" si="36"/>
        <v>3079133.1076727584</v>
      </c>
      <c r="KF14" s="208">
        <f t="shared" si="36"/>
        <v>3079133.1076727584</v>
      </c>
      <c r="KG14" s="208">
        <f t="shared" si="36"/>
        <v>3079133.1076727584</v>
      </c>
      <c r="KH14" s="208">
        <f t="shared" si="36"/>
        <v>3079133.1076727584</v>
      </c>
      <c r="KI14" s="208">
        <f t="shared" si="36"/>
        <v>3079133.1076727584</v>
      </c>
      <c r="KJ14" s="208">
        <f t="shared" si="36"/>
        <v>3079133.1076727584</v>
      </c>
      <c r="KK14" s="208">
        <f t="shared" si="36"/>
        <v>3079133.1076727584</v>
      </c>
      <c r="KL14" s="208">
        <f t="shared" si="36"/>
        <v>3079133.1076727584</v>
      </c>
      <c r="KM14" s="208">
        <f t="shared" si="36"/>
        <v>3079133.1076727584</v>
      </c>
      <c r="KN14" s="208">
        <f t="shared" si="36"/>
        <v>3079133.1076727584</v>
      </c>
      <c r="KO14" s="208">
        <f t="shared" si="36"/>
        <v>3079133.1076727584</v>
      </c>
      <c r="KP14" s="208">
        <f t="shared" si="36"/>
        <v>3079133.1076727584</v>
      </c>
      <c r="KQ14" s="208">
        <f t="shared" si="36"/>
        <v>3079133.1076727584</v>
      </c>
      <c r="KR14" s="208">
        <f t="shared" si="36"/>
        <v>3079133.1076727584</v>
      </c>
      <c r="KS14" s="208">
        <f t="shared" si="36"/>
        <v>3079133.1076727584</v>
      </c>
      <c r="KT14" s="208">
        <f t="shared" si="36"/>
        <v>3079133.1076727584</v>
      </c>
      <c r="KU14" s="208">
        <f t="shared" si="36"/>
        <v>3079133.1076727584</v>
      </c>
      <c r="KV14" s="208">
        <f t="shared" si="36"/>
        <v>3079133.1076727584</v>
      </c>
      <c r="KW14" s="208">
        <f t="shared" si="36"/>
        <v>3079133.1076727584</v>
      </c>
      <c r="KX14" s="208">
        <f t="shared" si="36"/>
        <v>3079133.1076727584</v>
      </c>
      <c r="KY14" s="208">
        <f t="shared" si="36"/>
        <v>3079133.1076727584</v>
      </c>
      <c r="KZ14" s="208">
        <f t="shared" si="36"/>
        <v>3079133.1076727584</v>
      </c>
      <c r="LA14" s="208">
        <f t="shared" si="36"/>
        <v>3079133.1076727584</v>
      </c>
      <c r="LB14" s="208">
        <f t="shared" si="36"/>
        <v>3079133.1076727584</v>
      </c>
      <c r="LC14" s="208">
        <f t="shared" si="36"/>
        <v>3079133.1076727584</v>
      </c>
      <c r="LD14" s="208">
        <f t="shared" si="36"/>
        <v>3079133.1076727584</v>
      </c>
    </row>
    <row r="15" spans="1:794" s="192" customFormat="1"/>
    <row r="16" spans="1:794" s="192" customFormat="1">
      <c r="C16" s="194" t="s">
        <v>334</v>
      </c>
      <c r="D16" s="194" t="s">
        <v>334</v>
      </c>
    </row>
    <row r="17" spans="1:316">
      <c r="A17" s="810"/>
      <c r="B17" s="196" t="s">
        <v>526</v>
      </c>
      <c r="C17" s="374">
        <f>C3-D17</f>
        <v>9818.0797124449164</v>
      </c>
      <c r="D17" s="197">
        <f>SUM(F17:LD17)</f>
        <v>10418526.266466755</v>
      </c>
      <c r="E17" s="207"/>
      <c r="F17" s="215">
        <f>SUMIFS('Expenditure Breakdown'!$U$6:$U$184, 'Expenditure Breakdown'!$T$6:$T$184, "&gt;="&amp;F1,'Expenditure Breakdown'!$T$6:$T$184, "&lt;"&amp;G1)</f>
        <v>0</v>
      </c>
      <c r="G17" s="215">
        <f>SUMIFS('Expenditure Breakdown'!$U$6:$U$184, 'Expenditure Breakdown'!$T$6:$T$184, "&gt;="&amp;G1,'Expenditure Breakdown'!$T$6:$T$184, "&lt;"&amp;H1)</f>
        <v>0</v>
      </c>
      <c r="H17" s="215">
        <f>SUMIFS('Expenditure Breakdown'!$U$6:$U$184, 'Expenditure Breakdown'!$T$6:$T$184, "&gt;="&amp;H1,'Expenditure Breakdown'!$T$6:$T$184, "&lt;"&amp;I1)</f>
        <v>0</v>
      </c>
      <c r="I17" s="215">
        <f>SUMIFS('Expenditure Breakdown'!$U$6:$U$184, 'Expenditure Breakdown'!$T$6:$T$184, "&gt;="&amp;I1,'Expenditure Breakdown'!$T$6:$T$184, "&lt;"&amp;J1)</f>
        <v>0</v>
      </c>
      <c r="J17" s="215">
        <f>SUMIFS('Expenditure Breakdown'!$U$6:$U$184, 'Expenditure Breakdown'!$T$6:$T$184, "&gt;="&amp;J1,'Expenditure Breakdown'!$T$6:$T$184, "&lt;"&amp;K1)</f>
        <v>0</v>
      </c>
      <c r="K17" s="215">
        <f>SUMIFS('Expenditure Breakdown'!$U$6:$U$184, 'Expenditure Breakdown'!$T$6:$T$184, "&gt;="&amp;K1,'Expenditure Breakdown'!$T$6:$T$184, "&lt;"&amp;L1)</f>
        <v>0</v>
      </c>
      <c r="L17" s="215">
        <f>SUMIFS('Expenditure Breakdown'!$U$6:$U$184, 'Expenditure Breakdown'!$T$6:$T$184, "&gt;="&amp;L1,'Expenditure Breakdown'!$T$6:$T$184, "&lt;"&amp;M1)</f>
        <v>0</v>
      </c>
      <c r="M17" s="215">
        <f>SUMIFS('Expenditure Breakdown'!$U$6:$U$184, 'Expenditure Breakdown'!$T$6:$T$184, "&gt;="&amp;M1,'Expenditure Breakdown'!$T$6:$T$184, "&lt;"&amp;N1)</f>
        <v>0</v>
      </c>
      <c r="N17" s="215">
        <f>SUMIFS('Expenditure Breakdown'!$U$6:$U$184, 'Expenditure Breakdown'!$T$6:$T$184, "&gt;="&amp;N1,'Expenditure Breakdown'!$T$6:$T$184, "&lt;"&amp;O1)</f>
        <v>0</v>
      </c>
      <c r="O17" s="215">
        <f>SUMIFS('Expenditure Breakdown'!$U$6:$U$184, 'Expenditure Breakdown'!$T$6:$T$184, "&gt;="&amp;O1,'Expenditure Breakdown'!$T$6:$T$184, "&lt;"&amp;P1)</f>
        <v>0</v>
      </c>
      <c r="P17" s="215">
        <f>SUMIFS('Expenditure Breakdown'!$U$6:$U$184, 'Expenditure Breakdown'!$T$6:$T$184, "&gt;="&amp;P1,'Expenditure Breakdown'!$T$6:$T$184, "&lt;"&amp;Q1)</f>
        <v>0</v>
      </c>
      <c r="Q17" s="215">
        <f>SUMIFS('Expenditure Breakdown'!$U$6:$U$184, 'Expenditure Breakdown'!$T$6:$T$184, "&gt;="&amp;Q1,'Expenditure Breakdown'!$T$6:$T$184, "&lt;"&amp;R1)</f>
        <v>0</v>
      </c>
      <c r="R17" s="215">
        <f>SUMIFS('Expenditure Breakdown'!$U$6:$U$184, 'Expenditure Breakdown'!$T$6:$T$184, "&gt;="&amp;R1,'Expenditure Breakdown'!$T$6:$T$184, "&lt;"&amp;S1)</f>
        <v>0</v>
      </c>
      <c r="S17" s="215">
        <f>SUMIFS('Expenditure Breakdown'!$U$6:$U$184, 'Expenditure Breakdown'!$T$6:$T$184, "&gt;="&amp;S1,'Expenditure Breakdown'!$T$6:$T$184, "&lt;"&amp;T1)</f>
        <v>0</v>
      </c>
      <c r="T17" s="215">
        <f>SUMIFS('Expenditure Breakdown'!$U$6:$U$184, 'Expenditure Breakdown'!$T$6:$T$184, "&gt;="&amp;T1,'Expenditure Breakdown'!$T$6:$T$184, "&lt;"&amp;U1)</f>
        <v>0</v>
      </c>
      <c r="U17" s="215">
        <f>SUMIFS('Expenditure Breakdown'!$U$6:$U$184, 'Expenditure Breakdown'!$T$6:$T$184, "&gt;="&amp;U1,'Expenditure Breakdown'!$T$6:$T$184, "&lt;"&amp;V1)</f>
        <v>0</v>
      </c>
      <c r="V17" s="215">
        <f>SUMIFS('Expenditure Breakdown'!$U$6:$U$184, 'Expenditure Breakdown'!$T$6:$T$184, "&gt;="&amp;V1,'Expenditure Breakdown'!$T$6:$T$184, "&lt;"&amp;W1)</f>
        <v>0</v>
      </c>
      <c r="W17" s="215">
        <f>SUMIFS('Expenditure Breakdown'!$U$6:$U$184, 'Expenditure Breakdown'!$T$6:$T$184, "&gt;="&amp;W1,'Expenditure Breakdown'!$T$6:$T$184, "&lt;"&amp;X1)</f>
        <v>0</v>
      </c>
      <c r="X17" s="215">
        <f>SUMIFS('Expenditure Breakdown'!$U$6:$U$184, 'Expenditure Breakdown'!$T$6:$T$184, "&gt;="&amp;X1,'Expenditure Breakdown'!$T$6:$T$184, "&lt;"&amp;Y1)</f>
        <v>0</v>
      </c>
      <c r="Y17" s="215">
        <f>SUMIFS('Expenditure Breakdown'!$U$6:$U$184, 'Expenditure Breakdown'!$T$6:$T$184, "&gt;="&amp;Y1,'Expenditure Breakdown'!$T$6:$T$184, "&lt;"&amp;Z1)</f>
        <v>0</v>
      </c>
      <c r="Z17" s="215">
        <f>SUMIFS('Expenditure Breakdown'!$U$6:$U$184, 'Expenditure Breakdown'!$T$6:$T$184, "&gt;="&amp;Z1,'Expenditure Breakdown'!$T$6:$T$184, "&lt;"&amp;AA1)</f>
        <v>0</v>
      </c>
      <c r="AA17" s="215">
        <f>SUMIFS('Expenditure Breakdown'!$U$6:$U$184, 'Expenditure Breakdown'!$T$6:$T$184, "&gt;="&amp;AA1,'Expenditure Breakdown'!$T$6:$T$184, "&lt;"&amp;AB1)</f>
        <v>0</v>
      </c>
      <c r="AB17" s="215">
        <f>SUMIFS('Expenditure Breakdown'!$U$6:$U$184, 'Expenditure Breakdown'!$T$6:$T$184, "&gt;="&amp;AB1,'Expenditure Breakdown'!$T$6:$T$184, "&lt;"&amp;AC1)</f>
        <v>0</v>
      </c>
      <c r="AC17" s="215">
        <f>SUMIFS('Expenditure Breakdown'!$U$6:$U$184, 'Expenditure Breakdown'!$T$6:$T$184, "&gt;="&amp;AC1,'Expenditure Breakdown'!$T$6:$T$184, "&lt;"&amp;AD1)</f>
        <v>0</v>
      </c>
      <c r="AD17" s="215">
        <f>SUMIFS('Expenditure Breakdown'!$U$6:$U$184, 'Expenditure Breakdown'!$T$6:$T$184, "&gt;="&amp;AD1,'Expenditure Breakdown'!$T$6:$T$184, "&lt;"&amp;AE1)</f>
        <v>0</v>
      </c>
      <c r="AE17" s="215">
        <f>SUMIFS('Expenditure Breakdown'!$U$6:$U$184, 'Expenditure Breakdown'!$T$6:$T$184, "&gt;="&amp;AE1,'Expenditure Breakdown'!$T$6:$T$184, "&lt;"&amp;AF1)</f>
        <v>0</v>
      </c>
      <c r="AF17" s="215">
        <f>SUMIFS('Expenditure Breakdown'!$U$6:$U$184, 'Expenditure Breakdown'!$T$6:$T$184, "&gt;="&amp;AF1,'Expenditure Breakdown'!$T$6:$T$184, "&lt;"&amp;AG1)</f>
        <v>0</v>
      </c>
      <c r="AG17" s="215">
        <f>SUMIFS('Expenditure Breakdown'!$U$6:$U$184, 'Expenditure Breakdown'!$T$6:$T$184, "&gt;="&amp;AG1,'Expenditure Breakdown'!$T$6:$T$184, "&lt;"&amp;AH1)</f>
        <v>0</v>
      </c>
      <c r="AH17" s="215">
        <f>SUMIFS('Expenditure Breakdown'!$U$6:$U$184, 'Expenditure Breakdown'!$T$6:$T$184, "&gt;="&amp;AH1,'Expenditure Breakdown'!$T$6:$T$184, "&lt;"&amp;AI1)</f>
        <v>0</v>
      </c>
      <c r="AI17" s="215">
        <f>SUMIFS('Expenditure Breakdown'!$U$6:$U$184, 'Expenditure Breakdown'!$T$6:$T$184, "&gt;="&amp;AI1,'Expenditure Breakdown'!$T$6:$T$184, "&lt;"&amp;AJ1)</f>
        <v>0</v>
      </c>
      <c r="AJ17" s="215">
        <f>SUMIFS('Expenditure Breakdown'!$U$6:$U$184, 'Expenditure Breakdown'!$T$6:$T$184, "&gt;="&amp;AJ1,'Expenditure Breakdown'!$T$6:$T$184, "&lt;"&amp;AK1)</f>
        <v>0</v>
      </c>
      <c r="AK17" s="215">
        <f>SUMIFS('Expenditure Breakdown'!$U$6:$U$184, 'Expenditure Breakdown'!$T$6:$T$184, "&gt;="&amp;AK1,'Expenditure Breakdown'!$T$6:$T$184, "&lt;"&amp;AL1)</f>
        <v>0</v>
      </c>
      <c r="AL17" s="215">
        <f>SUMIFS('Expenditure Breakdown'!$U$6:$U$184, 'Expenditure Breakdown'!$T$6:$T$184, "&gt;="&amp;AL1,'Expenditure Breakdown'!$T$6:$T$184, "&lt;"&amp;AM1)</f>
        <v>0</v>
      </c>
      <c r="AM17" s="215">
        <f>SUMIFS('Expenditure Breakdown'!$U$6:$U$184, 'Expenditure Breakdown'!$T$6:$T$184, "&gt;="&amp;AM1,'Expenditure Breakdown'!$T$6:$T$184, "&lt;"&amp;AN1)</f>
        <v>0</v>
      </c>
      <c r="AN17" s="215">
        <f>SUMIFS('Expenditure Breakdown'!$U$6:$U$184, 'Expenditure Breakdown'!$T$6:$T$184, "&gt;="&amp;AN1,'Expenditure Breakdown'!$T$6:$T$184, "&lt;"&amp;AO1)</f>
        <v>0</v>
      </c>
      <c r="AO17" s="215">
        <f>SUMIFS('Expenditure Breakdown'!$U$6:$U$184, 'Expenditure Breakdown'!$T$6:$T$184, "&gt;="&amp;AO1,'Expenditure Breakdown'!$T$6:$T$184, "&lt;"&amp;AP1)</f>
        <v>0</v>
      </c>
      <c r="AP17" s="215">
        <f>SUMIFS('Expenditure Breakdown'!$U$6:$U$184, 'Expenditure Breakdown'!$T$6:$T$184, "&gt;="&amp;AP1,'Expenditure Breakdown'!$T$6:$T$184, "&lt;"&amp;AQ1)</f>
        <v>207057.43767521574</v>
      </c>
      <c r="AQ17" s="215">
        <f>SUMIFS('Expenditure Breakdown'!$U$6:$U$184, 'Expenditure Breakdown'!$T$6:$T$184, "&gt;="&amp;AQ1,'Expenditure Breakdown'!$T$6:$T$184, "&lt;"&amp;AR1)</f>
        <v>0</v>
      </c>
      <c r="AR17" s="215">
        <f>SUMIFS('Expenditure Breakdown'!$U$6:$U$184, 'Expenditure Breakdown'!$T$6:$T$184, "&gt;="&amp;AR1,'Expenditure Breakdown'!$T$6:$T$184, "&lt;"&amp;AS1)</f>
        <v>0</v>
      </c>
      <c r="AS17" s="215">
        <f>SUMIFS('Expenditure Breakdown'!$U$6:$U$184, 'Expenditure Breakdown'!$T$6:$T$184, "&gt;="&amp;AS1,'Expenditure Breakdown'!$T$6:$T$184, "&lt;"&amp;AT1)</f>
        <v>0</v>
      </c>
      <c r="AT17" s="215">
        <f>SUMIFS('Expenditure Breakdown'!$U$6:$U$184, 'Expenditure Breakdown'!$T$6:$T$184, "&gt;="&amp;AT1,'Expenditure Breakdown'!$T$6:$T$184, "&lt;"&amp;AU1)</f>
        <v>6882663.6018825844</v>
      </c>
      <c r="AU17" s="215">
        <f>SUMIFS('Expenditure Breakdown'!$U$6:$U$184, 'Expenditure Breakdown'!$T$6:$T$184, "&gt;="&amp;AU1,'Expenditure Breakdown'!$T$6:$T$184, "&lt;"&amp;AV1)</f>
        <v>0</v>
      </c>
      <c r="AV17" s="215">
        <f>SUMIFS('Expenditure Breakdown'!$U$6:$U$184, 'Expenditure Breakdown'!$T$6:$T$184, "&gt;="&amp;AV1,'Expenditure Breakdown'!$T$6:$T$184, "&lt;"&amp;AW1)</f>
        <v>0</v>
      </c>
      <c r="AW17" s="215">
        <f>SUMIFS('Expenditure Breakdown'!$U$6:$U$184, 'Expenditure Breakdown'!$T$6:$T$184, "&gt;="&amp;AW1,'Expenditure Breakdown'!$T$6:$T$184, "&lt;"&amp;AX1)</f>
        <v>0</v>
      </c>
      <c r="AX17" s="215">
        <f>SUMIFS('Expenditure Breakdown'!$U$6:$U$184, 'Expenditure Breakdown'!$T$6:$T$184, "&gt;="&amp;AX1,'Expenditure Breakdown'!$T$6:$T$184, "&lt;"&amp;AY1)</f>
        <v>1024984.8349152408</v>
      </c>
      <c r="AY17" s="215">
        <f>SUMIFS('Expenditure Breakdown'!$U$6:$U$184, 'Expenditure Breakdown'!$T$6:$T$184, "&gt;="&amp;AY1,'Expenditure Breakdown'!$T$6:$T$184, "&lt;"&amp;AZ1)</f>
        <v>0</v>
      </c>
      <c r="AZ17" s="215">
        <f>SUMIFS('Expenditure Breakdown'!$U$6:$U$184, 'Expenditure Breakdown'!$T$6:$T$184, "&gt;="&amp;AZ1,'Expenditure Breakdown'!$T$6:$T$184, "&lt;"&amp;BA1)</f>
        <v>0</v>
      </c>
      <c r="BA17" s="215">
        <f>SUMIFS('Expenditure Breakdown'!$U$6:$U$184, 'Expenditure Breakdown'!$T$6:$T$184, "&gt;="&amp;BA1,'Expenditure Breakdown'!$T$6:$T$184, "&lt;"&amp;BB1)</f>
        <v>0</v>
      </c>
      <c r="BB17" s="215">
        <f>SUMIFS('Expenditure Breakdown'!$U$6:$U$184, 'Expenditure Breakdown'!$T$6:$T$184, "&gt;="&amp;BB1,'Expenditure Breakdown'!$T$6:$T$184, "&lt;"&amp;BC1)</f>
        <v>0</v>
      </c>
      <c r="BC17" s="215">
        <f>SUMIFS('Expenditure Breakdown'!$U$6:$U$184, 'Expenditure Breakdown'!$T$6:$T$184, "&gt;="&amp;BC1,'Expenditure Breakdown'!$T$6:$T$184, "&lt;"&amp;BD1)</f>
        <v>690536.21604228695</v>
      </c>
      <c r="BD17" s="215">
        <f>SUMIFS('Expenditure Breakdown'!$U$6:$U$184, 'Expenditure Breakdown'!$T$6:$T$184, "&gt;="&amp;BD1,'Expenditure Breakdown'!$T$6:$T$184, "&lt;"&amp;BE1)</f>
        <v>0</v>
      </c>
      <c r="BE17" s="215">
        <f>SUMIFS('Expenditure Breakdown'!$U$6:$U$184, 'Expenditure Breakdown'!$T$6:$T$184, "&gt;="&amp;BE1,'Expenditure Breakdown'!$T$6:$T$184, "&lt;"&amp;BF1)</f>
        <v>0</v>
      </c>
      <c r="BF17" s="215">
        <f>SUMIFS('Expenditure Breakdown'!$U$6:$U$184, 'Expenditure Breakdown'!$T$6:$T$184, "&gt;="&amp;BF1,'Expenditure Breakdown'!$T$6:$T$184, "&lt;"&amp;BG1)</f>
        <v>0</v>
      </c>
      <c r="BG17" s="215">
        <f>SUMIFS('Expenditure Breakdown'!$U$6:$U$184, 'Expenditure Breakdown'!$T$6:$T$184, "&gt;="&amp;BG1,'Expenditure Breakdown'!$T$6:$T$184, "&lt;"&amp;BH1)</f>
        <v>388503.6470418364</v>
      </c>
      <c r="BH17" s="215">
        <f>SUMIFS('Expenditure Breakdown'!$U$6:$U$184, 'Expenditure Breakdown'!$T$6:$T$184, "&gt;="&amp;BH1,'Expenditure Breakdown'!$T$6:$T$184, "&lt;"&amp;BI1)</f>
        <v>0</v>
      </c>
      <c r="BI17" s="215">
        <f>SUMIFS('Expenditure Breakdown'!$U$6:$U$184, 'Expenditure Breakdown'!$T$6:$T$184, "&gt;="&amp;BI1,'Expenditure Breakdown'!$T$6:$T$184, "&lt;"&amp;BJ1)</f>
        <v>0</v>
      </c>
      <c r="BJ17" s="215">
        <f>SUMIFS('Expenditure Breakdown'!$U$6:$U$184, 'Expenditure Breakdown'!$T$6:$T$184, "&gt;="&amp;BJ1,'Expenditure Breakdown'!$T$6:$T$184, "&lt;"&amp;BK1)</f>
        <v>0</v>
      </c>
      <c r="BK17" s="215">
        <f>SUMIFS('Expenditure Breakdown'!$U$6:$U$184, 'Expenditure Breakdown'!$T$6:$T$184, "&gt;="&amp;BK1,'Expenditure Breakdown'!$T$6:$T$184, "&lt;"&amp;BL1)</f>
        <v>884584.63282228145</v>
      </c>
      <c r="BL17" s="215">
        <f>SUMIFS('Expenditure Breakdown'!$U$6:$U$184, 'Expenditure Breakdown'!$T$6:$T$184, "&gt;="&amp;BL1,'Expenditure Breakdown'!$T$6:$T$184, "&lt;"&amp;BM1)</f>
        <v>0</v>
      </c>
      <c r="BM17" s="215">
        <f>SUMIFS('Expenditure Breakdown'!$U$6:$U$184, 'Expenditure Breakdown'!$T$6:$T$184, "&gt;="&amp;BM1,'Expenditure Breakdown'!$T$6:$T$184, "&lt;"&amp;BN1)</f>
        <v>0</v>
      </c>
      <c r="BN17" s="215">
        <f>SUMIFS('Expenditure Breakdown'!$U$6:$U$184, 'Expenditure Breakdown'!$T$6:$T$184, "&gt;="&amp;BN1,'Expenditure Breakdown'!$T$6:$T$184, "&lt;"&amp;BO1)</f>
        <v>0</v>
      </c>
      <c r="BO17" s="215">
        <f>SUMIFS('Expenditure Breakdown'!$U$6:$U$184, 'Expenditure Breakdown'!$T$6:$T$184, "&gt;="&amp;BO1,'Expenditure Breakdown'!$T$6:$T$184, "&lt;"&amp;BP1)</f>
        <v>0</v>
      </c>
      <c r="BP17" s="215">
        <f>SUMIFS('Expenditure Breakdown'!$U$6:$U$184, 'Expenditure Breakdown'!$T$6:$T$184, "&gt;="&amp;BP1,'Expenditure Breakdown'!$T$6:$T$184, "&lt;"&amp;BQ1)</f>
        <v>340195.89608730975</v>
      </c>
      <c r="BQ17" s="215">
        <f>SUMIFS('Expenditure Breakdown'!$U$6:$U$184, 'Expenditure Breakdown'!$T$6:$T$184, "&gt;="&amp;BQ1,'Expenditure Breakdown'!$T$6:$T$184, "&lt;"&amp;BR1)</f>
        <v>0</v>
      </c>
      <c r="BR17" s="215">
        <f>SUMIFS('Expenditure Breakdown'!$U$6:$U$184, 'Expenditure Breakdown'!$T$6:$T$184, "&gt;="&amp;BR1,'Expenditure Breakdown'!$T$6:$T$184, "&lt;"&amp;BS1)</f>
        <v>0</v>
      </c>
      <c r="BS17" s="215">
        <f>SUMIFS('Expenditure Breakdown'!$U$6:$U$184, 'Expenditure Breakdown'!$T$6:$T$184, "&gt;="&amp;BS1,'Expenditure Breakdown'!$T$6:$T$184, "&lt;"&amp;BT1)</f>
        <v>0</v>
      </c>
      <c r="BT17" s="215">
        <f>SUMIFS('Expenditure Breakdown'!$U$6:$U$184, 'Expenditure Breakdown'!$T$6:$T$184, "&gt;="&amp;BT1,'Expenditure Breakdown'!$T$6:$T$184, "&lt;"&amp;BU1)</f>
        <v>0</v>
      </c>
      <c r="BU17" s="215">
        <f>SUMIFS('Expenditure Breakdown'!$U$6:$U$184, 'Expenditure Breakdown'!$T$6:$T$184, "&gt;="&amp;BU1,'Expenditure Breakdown'!$T$6:$T$184, "&lt;"&amp;BV1)</f>
        <v>0</v>
      </c>
      <c r="BV17" s="215">
        <f>SUMIFS('Expenditure Breakdown'!$U$6:$U$184, 'Expenditure Breakdown'!$T$6:$T$184, "&gt;="&amp;BV1,'Expenditure Breakdown'!$T$6:$T$184, "&lt;"&amp;BW1)</f>
        <v>0</v>
      </c>
      <c r="BW17" s="215">
        <f>SUMIFS('Expenditure Breakdown'!$U$6:$U$184, 'Expenditure Breakdown'!$T$6:$T$184, "&gt;="&amp;BW1,'Expenditure Breakdown'!$T$6:$T$184, "&lt;"&amp;BX1)</f>
        <v>0</v>
      </c>
      <c r="BX17" s="215">
        <f>SUMIFS('Expenditure Breakdown'!$U$6:$U$184, 'Expenditure Breakdown'!$T$6:$T$184, "&gt;="&amp;BX1,'Expenditure Breakdown'!$T$6:$T$184, "&lt;"&amp;BY1)</f>
        <v>0</v>
      </c>
      <c r="BY17" s="215">
        <f>SUMIFS('Expenditure Breakdown'!$U$6:$U$184, 'Expenditure Breakdown'!$T$6:$T$184, "&gt;="&amp;BY1,'Expenditure Breakdown'!$T$6:$T$184, "&lt;"&amp;BZ1)</f>
        <v>0</v>
      </c>
      <c r="BZ17" s="215">
        <f>SUMIFS('Expenditure Breakdown'!$U$6:$U$184, 'Expenditure Breakdown'!$T$6:$T$184, "&gt;="&amp;BZ1,'Expenditure Breakdown'!$T$6:$T$184, "&lt;"&amp;CA1)</f>
        <v>0</v>
      </c>
      <c r="CA17" s="215">
        <f>SUMIFS('Expenditure Breakdown'!$U$6:$U$184, 'Expenditure Breakdown'!$T$6:$T$184, "&gt;="&amp;CA1,'Expenditure Breakdown'!$T$6:$T$184, "&lt;"&amp;CB1)</f>
        <v>0</v>
      </c>
      <c r="CB17" s="215">
        <f>SUMIFS('Expenditure Breakdown'!$U$6:$U$184, 'Expenditure Breakdown'!$T$6:$T$184, "&gt;="&amp;CB1,'Expenditure Breakdown'!$T$6:$T$184, "&lt;"&amp;CC1)</f>
        <v>0</v>
      </c>
      <c r="CC17" s="215">
        <f>SUMIFS('Expenditure Breakdown'!$U$6:$U$184, 'Expenditure Breakdown'!$T$6:$T$184, "&gt;="&amp;CC1,'Expenditure Breakdown'!$T$6:$T$184, "&lt;"&amp;CD1)</f>
        <v>0</v>
      </c>
      <c r="CD17" s="215">
        <f>SUMIFS('Expenditure Breakdown'!$U$6:$U$184, 'Expenditure Breakdown'!$T$6:$T$184, "&gt;="&amp;CD1,'Expenditure Breakdown'!$T$6:$T$184, "&lt;"&amp;CE1)</f>
        <v>0</v>
      </c>
      <c r="CE17" s="215">
        <f>SUMIFS('Expenditure Breakdown'!$U$6:$U$184, 'Expenditure Breakdown'!$T$6:$T$184, "&gt;="&amp;CE1,'Expenditure Breakdown'!$T$6:$T$184, "&lt;"&amp;CF1)</f>
        <v>0</v>
      </c>
      <c r="CF17" s="215">
        <f>SUMIFS('Expenditure Breakdown'!$U$6:$U$184, 'Expenditure Breakdown'!$T$6:$T$184, "&gt;="&amp;CF1,'Expenditure Breakdown'!$T$6:$T$184, "&lt;"&amp;CG1)</f>
        <v>0</v>
      </c>
      <c r="CG17" s="215">
        <f>SUMIFS('Expenditure Breakdown'!$U$6:$U$184, 'Expenditure Breakdown'!$T$6:$T$184, "&gt;="&amp;CG1,'Expenditure Breakdown'!$T$6:$T$184, "&lt;"&amp;CH1)</f>
        <v>0</v>
      </c>
      <c r="CH17" s="215">
        <f>SUMIFS('Expenditure Breakdown'!$U$6:$U$184, 'Expenditure Breakdown'!$T$6:$T$184, "&gt;="&amp;CH1,'Expenditure Breakdown'!$T$6:$T$184, "&lt;"&amp;CI1)</f>
        <v>0</v>
      </c>
      <c r="CI17" s="215">
        <f>SUMIFS('Expenditure Breakdown'!$U$6:$U$184, 'Expenditure Breakdown'!$T$6:$T$184, "&gt;="&amp;CI1,'Expenditure Breakdown'!$T$6:$T$184, "&lt;"&amp;CJ1)</f>
        <v>0</v>
      </c>
      <c r="CJ17" s="215">
        <f>SUMIFS('Expenditure Breakdown'!$U$6:$U$184, 'Expenditure Breakdown'!$T$6:$T$184, "&gt;="&amp;CJ1,'Expenditure Breakdown'!$T$6:$T$184, "&lt;"&amp;CK1)</f>
        <v>0</v>
      </c>
      <c r="CK17" s="215">
        <f>SUMIFS('Expenditure Breakdown'!$U$6:$U$184, 'Expenditure Breakdown'!$T$6:$T$184, "&gt;="&amp;CK1,'Expenditure Breakdown'!$T$6:$T$184, "&lt;"&amp;CL1)</f>
        <v>0</v>
      </c>
      <c r="CL17" s="215">
        <f>SUMIFS('Expenditure Breakdown'!$U$6:$U$184, 'Expenditure Breakdown'!$T$6:$T$184, "&gt;="&amp;CL1,'Expenditure Breakdown'!$T$6:$T$184, "&lt;"&amp;CM1)</f>
        <v>0</v>
      </c>
      <c r="CM17" s="215">
        <f>SUMIFS('Expenditure Breakdown'!$U$6:$U$184, 'Expenditure Breakdown'!$T$6:$T$184, "&gt;="&amp;CM1,'Expenditure Breakdown'!$T$6:$T$184, "&lt;"&amp;CN1)</f>
        <v>0</v>
      </c>
      <c r="CN17" s="215">
        <f>SUMIFS('Expenditure Breakdown'!$U$6:$U$184, 'Expenditure Breakdown'!$T$6:$T$184, "&gt;="&amp;CN1,'Expenditure Breakdown'!$T$6:$T$184, "&lt;"&amp;CO1)</f>
        <v>0</v>
      </c>
      <c r="CO17" s="215">
        <f>SUMIFS('Expenditure Breakdown'!$U$6:$U$184, 'Expenditure Breakdown'!$T$6:$T$184, "&gt;="&amp;CO1,'Expenditure Breakdown'!$T$6:$T$184, "&lt;"&amp;CP1)</f>
        <v>0</v>
      </c>
      <c r="CP17" s="215">
        <f>SUMIFS('Expenditure Breakdown'!$U$6:$U$184, 'Expenditure Breakdown'!$T$6:$T$184, "&gt;="&amp;CP1,'Expenditure Breakdown'!$T$6:$T$184, "&lt;"&amp;CQ1)</f>
        <v>0</v>
      </c>
      <c r="CQ17" s="215">
        <f>SUMIFS('Expenditure Breakdown'!$U$6:$U$184, 'Expenditure Breakdown'!$T$6:$T$184, "&gt;="&amp;CQ1,'Expenditure Breakdown'!$T$6:$T$184, "&lt;"&amp;CR1)</f>
        <v>0</v>
      </c>
      <c r="CR17" s="215">
        <f>SUMIFS('Expenditure Breakdown'!$U$6:$U$184, 'Expenditure Breakdown'!$T$6:$T$184, "&gt;="&amp;CR1,'Expenditure Breakdown'!$T$6:$T$184, "&lt;"&amp;CS1)</f>
        <v>0</v>
      </c>
      <c r="CS17" s="215">
        <f>SUMIFS('Expenditure Breakdown'!$U$6:$U$184, 'Expenditure Breakdown'!$T$6:$T$184, "&gt;="&amp;CS1,'Expenditure Breakdown'!$T$6:$T$184, "&lt;"&amp;CT1)</f>
        <v>0</v>
      </c>
      <c r="CT17" s="215">
        <f>SUMIFS('Expenditure Breakdown'!$U$6:$U$184, 'Expenditure Breakdown'!$T$6:$T$184, "&gt;="&amp;CT1,'Expenditure Breakdown'!$T$6:$T$184, "&lt;"&amp;CU1)</f>
        <v>0</v>
      </c>
      <c r="CU17" s="215">
        <f>SUMIFS('Expenditure Breakdown'!$U$6:$U$184, 'Expenditure Breakdown'!$T$6:$T$184, "&gt;="&amp;CU1,'Expenditure Breakdown'!$T$6:$T$184, "&lt;"&amp;CV1)</f>
        <v>0</v>
      </c>
      <c r="CV17" s="215">
        <f>SUMIFS('Expenditure Breakdown'!$U$6:$U$184, 'Expenditure Breakdown'!$T$6:$T$184, "&gt;="&amp;CV1,'Expenditure Breakdown'!$T$6:$T$184, "&lt;"&amp;CW1)</f>
        <v>0</v>
      </c>
      <c r="CW17" s="215">
        <f>SUMIFS('Expenditure Breakdown'!$U$6:$U$184, 'Expenditure Breakdown'!$T$6:$T$184, "&gt;="&amp;CW1,'Expenditure Breakdown'!$T$6:$T$184, "&lt;"&amp;CX1)</f>
        <v>0</v>
      </c>
      <c r="CX17" s="215">
        <f>SUMIFS('Expenditure Breakdown'!$U$6:$U$184, 'Expenditure Breakdown'!$T$6:$T$184, "&gt;="&amp;CX1,'Expenditure Breakdown'!$T$6:$T$184, "&lt;"&amp;CY1)</f>
        <v>0</v>
      </c>
      <c r="CY17" s="215">
        <f>SUMIFS('Expenditure Breakdown'!$U$6:$U$184, 'Expenditure Breakdown'!$T$6:$T$184, "&gt;="&amp;CY1,'Expenditure Breakdown'!$T$6:$T$184, "&lt;"&amp;CZ1)</f>
        <v>0</v>
      </c>
      <c r="CZ17" s="215">
        <f>SUMIFS('Expenditure Breakdown'!$U$6:$U$184, 'Expenditure Breakdown'!$T$6:$T$184, "&gt;="&amp;CZ1,'Expenditure Breakdown'!$T$6:$T$184, "&lt;"&amp;DA1)</f>
        <v>0</v>
      </c>
      <c r="DA17" s="215">
        <f>SUMIFS('Expenditure Breakdown'!$U$6:$U$184, 'Expenditure Breakdown'!$T$6:$T$184, "&gt;="&amp;DA1,'Expenditure Breakdown'!$T$6:$T$184, "&lt;"&amp;DB1)</f>
        <v>0</v>
      </c>
      <c r="DB17" s="215">
        <f>SUMIFS('Expenditure Breakdown'!$U$6:$U$184, 'Expenditure Breakdown'!$T$6:$T$184, "&gt;="&amp;DB1,'Expenditure Breakdown'!$T$6:$T$184, "&lt;"&amp;DC1)</f>
        <v>0</v>
      </c>
      <c r="DC17" s="215">
        <f>SUMIFS('Expenditure Breakdown'!$U$6:$U$184, 'Expenditure Breakdown'!$T$6:$T$184, "&gt;="&amp;DC1,'Expenditure Breakdown'!$T$6:$T$184, "&lt;"&amp;DD1)</f>
        <v>0</v>
      </c>
      <c r="DD17" s="215">
        <f>SUMIFS('Expenditure Breakdown'!$U$6:$U$184, 'Expenditure Breakdown'!$T$6:$T$184, "&gt;="&amp;DD1,'Expenditure Breakdown'!$T$6:$T$184, "&lt;"&amp;DE1)</f>
        <v>0</v>
      </c>
      <c r="DE17" s="215">
        <f>SUMIFS('Expenditure Breakdown'!$U$6:$U$184, 'Expenditure Breakdown'!$T$6:$T$184, "&gt;="&amp;DE1,'Expenditure Breakdown'!$T$6:$T$184, "&lt;"&amp;DF1)</f>
        <v>0</v>
      </c>
      <c r="DF17" s="215">
        <f>SUMIFS('Expenditure Breakdown'!$U$6:$U$184, 'Expenditure Breakdown'!$T$6:$T$184, "&gt;="&amp;DF1,'Expenditure Breakdown'!$T$6:$T$184, "&lt;"&amp;DG1)</f>
        <v>0</v>
      </c>
      <c r="DG17" s="215">
        <f>SUMIFS('Expenditure Breakdown'!$U$6:$U$184, 'Expenditure Breakdown'!$T$6:$T$184, "&gt;="&amp;DG1,'Expenditure Breakdown'!$T$6:$T$184, "&lt;"&amp;DH1)</f>
        <v>0</v>
      </c>
      <c r="DH17" s="215">
        <f>SUMIFS('Expenditure Breakdown'!$U$6:$U$184, 'Expenditure Breakdown'!$T$6:$T$184, "&gt;="&amp;DH1,'Expenditure Breakdown'!$T$6:$T$184, "&lt;"&amp;DI1)</f>
        <v>0</v>
      </c>
      <c r="DI17" s="215">
        <f>SUMIFS('Expenditure Breakdown'!$U$6:$U$184, 'Expenditure Breakdown'!$T$6:$T$184, "&gt;="&amp;DI1,'Expenditure Breakdown'!$T$6:$T$184, "&lt;"&amp;DJ1)</f>
        <v>0</v>
      </c>
      <c r="DJ17" s="215">
        <f>SUMIFS('Expenditure Breakdown'!$U$6:$U$184, 'Expenditure Breakdown'!$T$6:$T$184, "&gt;="&amp;DJ1,'Expenditure Breakdown'!$T$6:$T$184, "&lt;"&amp;DK1)</f>
        <v>0</v>
      </c>
      <c r="DK17" s="215">
        <f>SUMIFS('Expenditure Breakdown'!$U$6:$U$184, 'Expenditure Breakdown'!$T$6:$T$184, "&gt;="&amp;DK1,'Expenditure Breakdown'!$T$6:$T$184, "&lt;"&amp;DL1)</f>
        <v>0</v>
      </c>
      <c r="DL17" s="215">
        <f>SUMIFS('Expenditure Breakdown'!$U$6:$U$184, 'Expenditure Breakdown'!$T$6:$T$184, "&gt;="&amp;DL1,'Expenditure Breakdown'!$T$6:$T$184, "&lt;"&amp;DM1)</f>
        <v>0</v>
      </c>
      <c r="DM17" s="215">
        <f>SUMIFS('Expenditure Breakdown'!$U$6:$U$184, 'Expenditure Breakdown'!$T$6:$T$184, "&gt;="&amp;DM1,'Expenditure Breakdown'!$T$6:$T$184, "&lt;"&amp;DN1)</f>
        <v>0</v>
      </c>
      <c r="DN17" s="215">
        <f>SUMIFS('Expenditure Breakdown'!$U$6:$U$184, 'Expenditure Breakdown'!$T$6:$T$184, "&gt;="&amp;DN1,'Expenditure Breakdown'!$T$6:$T$184, "&lt;"&amp;DO1)</f>
        <v>0</v>
      </c>
      <c r="DO17" s="215">
        <f>SUMIFS('Expenditure Breakdown'!$U$6:$U$184, 'Expenditure Breakdown'!$T$6:$T$184, "&gt;="&amp;DO1,'Expenditure Breakdown'!$T$6:$T$184, "&lt;"&amp;DP1)</f>
        <v>0</v>
      </c>
      <c r="DP17" s="215">
        <f>SUMIFS('Expenditure Breakdown'!$U$6:$U$184, 'Expenditure Breakdown'!$T$6:$T$184, "&gt;="&amp;DP1,'Expenditure Breakdown'!$T$6:$T$184, "&lt;"&amp;DQ1)</f>
        <v>0</v>
      </c>
      <c r="DQ17" s="215">
        <f>SUMIFS('Expenditure Breakdown'!$U$6:$U$184, 'Expenditure Breakdown'!$T$6:$T$184, "&gt;="&amp;DQ1,'Expenditure Breakdown'!$T$6:$T$184, "&lt;"&amp;DR1)</f>
        <v>0</v>
      </c>
      <c r="DR17" s="215">
        <f>SUMIFS('Expenditure Breakdown'!$U$6:$U$184, 'Expenditure Breakdown'!$T$6:$T$184, "&gt;="&amp;DR1,'Expenditure Breakdown'!$T$6:$T$184, "&lt;"&amp;DS1)</f>
        <v>0</v>
      </c>
      <c r="DS17" s="215">
        <f>SUMIFS('Expenditure Breakdown'!$U$6:$U$184, 'Expenditure Breakdown'!$T$6:$T$184, "&gt;="&amp;DS1,'Expenditure Breakdown'!$T$6:$T$184, "&lt;"&amp;DT1)</f>
        <v>0</v>
      </c>
      <c r="DT17" s="215">
        <f>SUMIFS('Expenditure Breakdown'!$U$6:$U$184, 'Expenditure Breakdown'!$T$6:$T$184, "&gt;="&amp;DT1,'Expenditure Breakdown'!$T$6:$T$184, "&lt;"&amp;DU1)</f>
        <v>0</v>
      </c>
      <c r="DU17" s="215">
        <f>SUMIFS('Expenditure Breakdown'!$U$6:$U$184, 'Expenditure Breakdown'!$T$6:$T$184, "&gt;="&amp;DU1,'Expenditure Breakdown'!$T$6:$T$184, "&lt;"&amp;DV1)</f>
        <v>0</v>
      </c>
      <c r="DV17" s="215">
        <f>SUMIFS('Expenditure Breakdown'!$U$6:$U$184, 'Expenditure Breakdown'!$T$6:$T$184, "&gt;="&amp;DV1,'Expenditure Breakdown'!$T$6:$T$184, "&lt;"&amp;DW1)</f>
        <v>0</v>
      </c>
      <c r="DW17" s="215">
        <f>SUMIFS('Expenditure Breakdown'!$U$6:$U$184, 'Expenditure Breakdown'!$T$6:$T$184, "&gt;="&amp;DW1,'Expenditure Breakdown'!$T$6:$T$184, "&lt;"&amp;DX1)</f>
        <v>0</v>
      </c>
      <c r="DX17" s="215">
        <f>SUMIFS('Expenditure Breakdown'!$U$6:$U$184, 'Expenditure Breakdown'!$T$6:$T$184, "&gt;="&amp;DX1,'Expenditure Breakdown'!$T$6:$T$184, "&lt;"&amp;DY1)</f>
        <v>0</v>
      </c>
      <c r="DY17" s="215">
        <f>SUMIFS('Expenditure Breakdown'!$U$6:$U$184, 'Expenditure Breakdown'!$T$6:$T$184, "&gt;="&amp;DY1,'Expenditure Breakdown'!$T$6:$T$184, "&lt;"&amp;DZ1)</f>
        <v>0</v>
      </c>
      <c r="DZ17" s="215">
        <f>SUMIFS('Expenditure Breakdown'!$U$6:$U$184, 'Expenditure Breakdown'!$T$6:$T$184, "&gt;="&amp;DZ1,'Expenditure Breakdown'!$T$6:$T$184, "&lt;"&amp;EA1)</f>
        <v>0</v>
      </c>
      <c r="EA17" s="215">
        <f>SUMIFS('Expenditure Breakdown'!$U$6:$U$184, 'Expenditure Breakdown'!$T$6:$T$184, "&gt;="&amp;EA1,'Expenditure Breakdown'!$T$6:$T$184, "&lt;"&amp;EB1)</f>
        <v>0</v>
      </c>
      <c r="EB17" s="215">
        <f>SUMIFS('Expenditure Breakdown'!$U$6:$U$184, 'Expenditure Breakdown'!$T$6:$T$184, "&gt;="&amp;EB1,'Expenditure Breakdown'!$T$6:$T$184, "&lt;"&amp;EC1)</f>
        <v>0</v>
      </c>
      <c r="EC17" s="215">
        <f>SUMIFS('Expenditure Breakdown'!$U$6:$U$184, 'Expenditure Breakdown'!$T$6:$T$184, "&gt;="&amp;EC1,'Expenditure Breakdown'!$T$6:$T$184, "&lt;"&amp;ED1)</f>
        <v>0</v>
      </c>
      <c r="ED17" s="215">
        <f>SUMIFS('Expenditure Breakdown'!$U$6:$U$184, 'Expenditure Breakdown'!$T$6:$T$184, "&gt;="&amp;ED1,'Expenditure Breakdown'!$T$6:$T$184, "&lt;"&amp;EE1)</f>
        <v>0</v>
      </c>
      <c r="EE17" s="215">
        <f>SUMIFS('Expenditure Breakdown'!$U$6:$U$184, 'Expenditure Breakdown'!$T$6:$T$184, "&gt;="&amp;EE1,'Expenditure Breakdown'!$T$6:$T$184, "&lt;"&amp;EF1)</f>
        <v>0</v>
      </c>
      <c r="EF17" s="215">
        <f>SUMIFS('Expenditure Breakdown'!$U$6:$U$184, 'Expenditure Breakdown'!$T$6:$T$184, "&gt;="&amp;EF1,'Expenditure Breakdown'!$T$6:$T$184, "&lt;"&amp;EG1)</f>
        <v>0</v>
      </c>
      <c r="EG17" s="215">
        <f>SUMIFS('Expenditure Breakdown'!$U$6:$U$184, 'Expenditure Breakdown'!$T$6:$T$184, "&gt;="&amp;EG1,'Expenditure Breakdown'!$T$6:$T$184, "&lt;"&amp;EH1)</f>
        <v>0</v>
      </c>
      <c r="EH17" s="215">
        <f>SUMIFS('Expenditure Breakdown'!$U$6:$U$184, 'Expenditure Breakdown'!$T$6:$T$184, "&gt;="&amp;EH1,'Expenditure Breakdown'!$T$6:$T$184, "&lt;"&amp;EI1)</f>
        <v>0</v>
      </c>
      <c r="EI17" s="215">
        <f>SUMIFS('Expenditure Breakdown'!$U$6:$U$184, 'Expenditure Breakdown'!$T$6:$T$184, "&gt;="&amp;EI1,'Expenditure Breakdown'!$T$6:$T$184, "&lt;"&amp;EJ1)</f>
        <v>0</v>
      </c>
      <c r="EJ17" s="215">
        <f>SUMIFS('Expenditure Breakdown'!$U$6:$U$184, 'Expenditure Breakdown'!$T$6:$T$184, "&gt;="&amp;EJ1,'Expenditure Breakdown'!$T$6:$T$184, "&lt;"&amp;EK1)</f>
        <v>0</v>
      </c>
      <c r="EK17" s="215">
        <f>SUMIFS('Expenditure Breakdown'!$U$6:$U$184, 'Expenditure Breakdown'!$T$6:$T$184, "&gt;="&amp;EK1,'Expenditure Breakdown'!$T$6:$T$184, "&lt;"&amp;EL1)</f>
        <v>0</v>
      </c>
      <c r="EL17" s="215">
        <f>SUMIFS('Expenditure Breakdown'!$U$6:$U$184, 'Expenditure Breakdown'!$T$6:$T$184, "&gt;="&amp;EL1,'Expenditure Breakdown'!$T$6:$T$184, "&lt;"&amp;EM1)</f>
        <v>0</v>
      </c>
      <c r="EM17" s="215">
        <f>SUMIFS('Expenditure Breakdown'!$U$6:$U$184, 'Expenditure Breakdown'!$T$6:$T$184, "&gt;="&amp;EM1,'Expenditure Breakdown'!$T$6:$T$184, "&lt;"&amp;EN1)</f>
        <v>0</v>
      </c>
      <c r="EN17" s="215">
        <f>SUMIFS('Expenditure Breakdown'!$U$6:$U$184, 'Expenditure Breakdown'!$T$6:$T$184, "&gt;="&amp;EN1,'Expenditure Breakdown'!$T$6:$T$184, "&lt;"&amp;EO1)</f>
        <v>0</v>
      </c>
      <c r="EO17" s="215">
        <f>SUMIFS('Expenditure Breakdown'!$U$6:$U$184, 'Expenditure Breakdown'!$T$6:$T$184, "&gt;="&amp;EO1,'Expenditure Breakdown'!$T$6:$T$184, "&lt;"&amp;EP1)</f>
        <v>0</v>
      </c>
      <c r="EP17" s="215">
        <f>SUMIFS('Expenditure Breakdown'!$U$6:$U$184, 'Expenditure Breakdown'!$T$6:$T$184, "&gt;="&amp;EP1,'Expenditure Breakdown'!$T$6:$T$184, "&lt;"&amp;EQ1)</f>
        <v>0</v>
      </c>
      <c r="EQ17" s="215">
        <f>SUMIFS('Expenditure Breakdown'!$U$6:$U$184, 'Expenditure Breakdown'!$T$6:$T$184, "&gt;="&amp;EQ1,'Expenditure Breakdown'!$T$6:$T$184, "&lt;"&amp;ER1)</f>
        <v>0</v>
      </c>
      <c r="ER17" s="215">
        <f>SUMIFS('Expenditure Breakdown'!$U$6:$U$184, 'Expenditure Breakdown'!$T$6:$T$184, "&gt;="&amp;ER1,'Expenditure Breakdown'!$T$6:$T$184, "&lt;"&amp;ES1)</f>
        <v>0</v>
      </c>
      <c r="ES17" s="215">
        <f>SUMIFS('Expenditure Breakdown'!$U$6:$U$184, 'Expenditure Breakdown'!$T$6:$T$184, "&gt;="&amp;ES1,'Expenditure Breakdown'!$T$6:$T$184, "&lt;"&amp;ET1)</f>
        <v>0</v>
      </c>
      <c r="ET17" s="215">
        <f>SUMIFS('Expenditure Breakdown'!$U$6:$U$184, 'Expenditure Breakdown'!$T$6:$T$184, "&gt;="&amp;ET1,'Expenditure Breakdown'!$T$6:$T$184, "&lt;"&amp;EU1)</f>
        <v>0</v>
      </c>
      <c r="EU17" s="215">
        <f>SUMIFS('Expenditure Breakdown'!$U$6:$U$184, 'Expenditure Breakdown'!$T$6:$T$184, "&gt;="&amp;EU1,'Expenditure Breakdown'!$T$6:$T$184, "&lt;"&amp;EV1)</f>
        <v>0</v>
      </c>
      <c r="EV17" s="215">
        <f>SUMIFS('Expenditure Breakdown'!$U$6:$U$184, 'Expenditure Breakdown'!$T$6:$T$184, "&gt;="&amp;EV1,'Expenditure Breakdown'!$T$6:$T$184, "&lt;"&amp;EW1)</f>
        <v>0</v>
      </c>
      <c r="EW17" s="215">
        <f>SUMIFS('Expenditure Breakdown'!$U$6:$U$184, 'Expenditure Breakdown'!$T$6:$T$184, "&gt;="&amp;EW1,'Expenditure Breakdown'!$T$6:$T$184, "&lt;"&amp;EX1)</f>
        <v>0</v>
      </c>
      <c r="EX17" s="215">
        <f>SUMIFS('Expenditure Breakdown'!$U$6:$U$184, 'Expenditure Breakdown'!$T$6:$T$184, "&gt;="&amp;EX1,'Expenditure Breakdown'!$T$6:$T$184, "&lt;"&amp;EY1)</f>
        <v>0</v>
      </c>
      <c r="EY17" s="215">
        <f>SUMIFS('Expenditure Breakdown'!$U$6:$U$184, 'Expenditure Breakdown'!$T$6:$T$184, "&gt;="&amp;EY1,'Expenditure Breakdown'!$T$6:$T$184, "&lt;"&amp;EZ1)</f>
        <v>0</v>
      </c>
      <c r="EZ17" s="215">
        <f>SUMIFS('Expenditure Breakdown'!$U$6:$U$184, 'Expenditure Breakdown'!$T$6:$T$184, "&gt;="&amp;EZ1,'Expenditure Breakdown'!$T$6:$T$184, "&lt;"&amp;FA1)</f>
        <v>0</v>
      </c>
      <c r="FA17" s="215">
        <f>SUMIFS('Expenditure Breakdown'!$U$6:$U$184, 'Expenditure Breakdown'!$T$6:$T$184, "&gt;="&amp;FA1,'Expenditure Breakdown'!$T$6:$T$184, "&lt;"&amp;FB1)</f>
        <v>0</v>
      </c>
      <c r="FB17" s="215">
        <f>SUMIFS('Expenditure Breakdown'!$U$6:$U$184, 'Expenditure Breakdown'!$T$6:$T$184, "&gt;="&amp;FB1,'Expenditure Breakdown'!$T$6:$T$184, "&lt;"&amp;FC1)</f>
        <v>0</v>
      </c>
      <c r="FC17" s="215">
        <f>SUMIFS('Expenditure Breakdown'!$U$6:$U$184, 'Expenditure Breakdown'!$T$6:$T$184, "&gt;="&amp;FC1,'Expenditure Breakdown'!$T$6:$T$184, "&lt;"&amp;FD1)</f>
        <v>0</v>
      </c>
      <c r="FD17" s="215">
        <f>SUMIFS('Expenditure Breakdown'!$U$6:$U$184, 'Expenditure Breakdown'!$T$6:$T$184, "&gt;="&amp;FD1,'Expenditure Breakdown'!$T$6:$T$184, "&lt;"&amp;FE1)</f>
        <v>0</v>
      </c>
      <c r="FE17" s="215">
        <f>SUMIFS('Expenditure Breakdown'!$U$6:$U$184, 'Expenditure Breakdown'!$T$6:$T$184, "&gt;="&amp;FE1,'Expenditure Breakdown'!$T$6:$T$184, "&lt;"&amp;FF1)</f>
        <v>0</v>
      </c>
      <c r="FF17" s="215">
        <f>SUMIFS('Expenditure Breakdown'!$U$6:$U$184, 'Expenditure Breakdown'!$T$6:$T$184, "&gt;="&amp;FF1,'Expenditure Breakdown'!$T$6:$T$184, "&lt;"&amp;FG1)</f>
        <v>0</v>
      </c>
      <c r="FG17" s="215">
        <f>SUMIFS('Expenditure Breakdown'!$U$6:$U$184, 'Expenditure Breakdown'!$T$6:$T$184, "&gt;="&amp;FG1,'Expenditure Breakdown'!$T$6:$T$184, "&lt;"&amp;FH1)</f>
        <v>0</v>
      </c>
      <c r="FH17" s="215">
        <f>SUMIFS('Expenditure Breakdown'!$U$6:$U$184, 'Expenditure Breakdown'!$T$6:$T$184, "&gt;="&amp;FH1,'Expenditure Breakdown'!$T$6:$T$184, "&lt;"&amp;FI1)</f>
        <v>0</v>
      </c>
      <c r="FI17" s="215">
        <f>SUMIFS('Expenditure Breakdown'!$U$6:$U$184, 'Expenditure Breakdown'!$T$6:$T$184, "&gt;="&amp;FI1,'Expenditure Breakdown'!$T$6:$T$184, "&lt;"&amp;FJ1)</f>
        <v>0</v>
      </c>
      <c r="FJ17" s="215">
        <f>SUMIFS('Expenditure Breakdown'!$U$6:$U$184, 'Expenditure Breakdown'!$T$6:$T$184, "&gt;="&amp;FJ1,'Expenditure Breakdown'!$T$6:$T$184, "&lt;"&amp;FK1)</f>
        <v>0</v>
      </c>
      <c r="FK17" s="215">
        <f>SUMIFS('Expenditure Breakdown'!$U$6:$U$184, 'Expenditure Breakdown'!$T$6:$T$184, "&gt;="&amp;FK1,'Expenditure Breakdown'!$T$6:$T$184, "&lt;"&amp;FL1)</f>
        <v>0</v>
      </c>
      <c r="FL17" s="215">
        <f>SUMIFS('Expenditure Breakdown'!$U$6:$U$184, 'Expenditure Breakdown'!$T$6:$T$184, "&gt;="&amp;FL1,'Expenditure Breakdown'!$T$6:$T$184, "&lt;"&amp;FM1)</f>
        <v>0</v>
      </c>
      <c r="FM17" s="215">
        <f>SUMIFS('Expenditure Breakdown'!$U$6:$U$184, 'Expenditure Breakdown'!$T$6:$T$184, "&gt;="&amp;FM1,'Expenditure Breakdown'!$T$6:$T$184, "&lt;"&amp;FN1)</f>
        <v>0</v>
      </c>
      <c r="FN17" s="215">
        <f>SUMIFS('Expenditure Breakdown'!$U$6:$U$184, 'Expenditure Breakdown'!$T$6:$T$184, "&gt;="&amp;FN1,'Expenditure Breakdown'!$T$6:$T$184, "&lt;"&amp;FO1)</f>
        <v>0</v>
      </c>
      <c r="FO17" s="215">
        <f>SUMIFS('Expenditure Breakdown'!$U$6:$U$184, 'Expenditure Breakdown'!$T$6:$T$184, "&gt;="&amp;FO1,'Expenditure Breakdown'!$T$6:$T$184, "&lt;"&amp;FP1)</f>
        <v>0</v>
      </c>
      <c r="FP17" s="215">
        <f>SUMIFS('Expenditure Breakdown'!$U$6:$U$184, 'Expenditure Breakdown'!$T$6:$T$184, "&gt;="&amp;FP1,'Expenditure Breakdown'!$T$6:$T$184, "&lt;"&amp;FQ1)</f>
        <v>0</v>
      </c>
      <c r="FQ17" s="215">
        <f>SUMIFS('Expenditure Breakdown'!$U$6:$U$184, 'Expenditure Breakdown'!$T$6:$T$184, "&gt;="&amp;FQ1,'Expenditure Breakdown'!$T$6:$T$184, "&lt;"&amp;FR1)</f>
        <v>0</v>
      </c>
      <c r="FR17" s="215">
        <f>SUMIFS('Expenditure Breakdown'!$U$6:$U$184, 'Expenditure Breakdown'!$T$6:$T$184, "&gt;="&amp;FR1,'Expenditure Breakdown'!$T$6:$T$184, "&lt;"&amp;FS1)</f>
        <v>0</v>
      </c>
      <c r="FS17" s="215">
        <f>SUMIFS('Expenditure Breakdown'!$U$6:$U$184, 'Expenditure Breakdown'!$T$6:$T$184, "&gt;="&amp;FS1,'Expenditure Breakdown'!$T$6:$T$184, "&lt;"&amp;FT1)</f>
        <v>0</v>
      </c>
      <c r="FT17" s="215">
        <f>SUMIFS('Expenditure Breakdown'!$U$6:$U$184, 'Expenditure Breakdown'!$T$6:$T$184, "&gt;="&amp;FT1,'Expenditure Breakdown'!$T$6:$T$184, "&lt;"&amp;FU1)</f>
        <v>0</v>
      </c>
      <c r="FU17" s="215">
        <f>SUMIFS('Expenditure Breakdown'!$U$6:$U$184, 'Expenditure Breakdown'!$T$6:$T$184, "&gt;="&amp;FU1,'Expenditure Breakdown'!$T$6:$T$184, "&lt;"&amp;FV1)</f>
        <v>0</v>
      </c>
      <c r="FV17" s="215">
        <f>SUMIFS('Expenditure Breakdown'!$U$6:$U$184, 'Expenditure Breakdown'!$T$6:$T$184, "&gt;="&amp;FV1,'Expenditure Breakdown'!$T$6:$T$184, "&lt;"&amp;FW1)</f>
        <v>0</v>
      </c>
      <c r="FW17" s="215">
        <f>SUMIFS('Expenditure Breakdown'!$U$6:$U$184, 'Expenditure Breakdown'!$T$6:$T$184, "&gt;="&amp;FW1,'Expenditure Breakdown'!$T$6:$T$184, "&lt;"&amp;FX1)</f>
        <v>0</v>
      </c>
      <c r="FX17" s="215">
        <f>SUMIFS('Expenditure Breakdown'!$U$6:$U$184, 'Expenditure Breakdown'!$T$6:$T$184, "&gt;="&amp;FX1,'Expenditure Breakdown'!$T$6:$T$184, "&lt;"&amp;FY1)</f>
        <v>0</v>
      </c>
      <c r="FY17" s="215">
        <f>SUMIFS('Expenditure Breakdown'!$U$6:$U$184, 'Expenditure Breakdown'!$T$6:$T$184, "&gt;="&amp;FY1,'Expenditure Breakdown'!$T$6:$T$184, "&lt;"&amp;FZ1)</f>
        <v>0</v>
      </c>
      <c r="FZ17" s="215">
        <f>SUMIFS('Expenditure Breakdown'!$U$6:$U$184, 'Expenditure Breakdown'!$T$6:$T$184, "&gt;="&amp;FZ1,'Expenditure Breakdown'!$T$6:$T$184, "&lt;"&amp;GA1)</f>
        <v>0</v>
      </c>
      <c r="GA17" s="215">
        <f>SUMIFS('Expenditure Breakdown'!$U$6:$U$184, 'Expenditure Breakdown'!$T$6:$T$184, "&gt;="&amp;GA1,'Expenditure Breakdown'!$T$6:$T$184, "&lt;"&amp;GB1)</f>
        <v>0</v>
      </c>
      <c r="GB17" s="215">
        <f>SUMIFS('Expenditure Breakdown'!$U$6:$U$184, 'Expenditure Breakdown'!$T$6:$T$184, "&gt;="&amp;GB1,'Expenditure Breakdown'!$T$6:$T$184, "&lt;"&amp;GC1)</f>
        <v>0</v>
      </c>
      <c r="GC17" s="215">
        <f>SUMIFS('Expenditure Breakdown'!$U$6:$U$184, 'Expenditure Breakdown'!$T$6:$T$184, "&gt;="&amp;GC1,'Expenditure Breakdown'!$T$6:$T$184, "&lt;"&amp;GD1)</f>
        <v>0</v>
      </c>
      <c r="GD17" s="215">
        <f>SUMIFS('Expenditure Breakdown'!$U$6:$U$184, 'Expenditure Breakdown'!$T$6:$T$184, "&gt;="&amp;GD1,'Expenditure Breakdown'!$T$6:$T$184, "&lt;"&amp;GE1)</f>
        <v>0</v>
      </c>
      <c r="GE17" s="215">
        <f>SUMIFS('Expenditure Breakdown'!$U$6:$U$184, 'Expenditure Breakdown'!$T$6:$T$184, "&gt;="&amp;GE1,'Expenditure Breakdown'!$T$6:$T$184, "&lt;"&amp;GF1)</f>
        <v>0</v>
      </c>
      <c r="GF17" s="215">
        <f>SUMIFS('Expenditure Breakdown'!$U$6:$U$184, 'Expenditure Breakdown'!$T$6:$T$184, "&gt;="&amp;GF1,'Expenditure Breakdown'!$T$6:$T$184, "&lt;"&amp;GG1)</f>
        <v>0</v>
      </c>
      <c r="GG17" s="215">
        <f>SUMIFS('Expenditure Breakdown'!$U$6:$U$184, 'Expenditure Breakdown'!$T$6:$T$184, "&gt;="&amp;GG1,'Expenditure Breakdown'!$T$6:$T$184, "&lt;"&amp;GH1)</f>
        <v>0</v>
      </c>
      <c r="GH17" s="215">
        <f>SUMIFS('Expenditure Breakdown'!$U$6:$U$184, 'Expenditure Breakdown'!$T$6:$T$184, "&gt;="&amp;GH1,'Expenditure Breakdown'!$T$6:$T$184, "&lt;"&amp;GI1)</f>
        <v>0</v>
      </c>
      <c r="GI17" s="215">
        <f>SUMIFS('Expenditure Breakdown'!$U$6:$U$184, 'Expenditure Breakdown'!$T$6:$T$184, "&gt;="&amp;GI1,'Expenditure Breakdown'!$T$6:$T$184, "&lt;"&amp;GJ1)</f>
        <v>0</v>
      </c>
      <c r="GJ17" s="215">
        <f>SUMIFS('Expenditure Breakdown'!$U$6:$U$184, 'Expenditure Breakdown'!$T$6:$T$184, "&gt;="&amp;GJ1,'Expenditure Breakdown'!$T$6:$T$184, "&lt;"&amp;GK1)</f>
        <v>0</v>
      </c>
      <c r="GK17" s="215">
        <f>SUMIFS('Expenditure Breakdown'!$U$6:$U$184, 'Expenditure Breakdown'!$T$6:$T$184, "&gt;="&amp;GK1,'Expenditure Breakdown'!$T$6:$T$184, "&lt;"&amp;GL1)</f>
        <v>0</v>
      </c>
      <c r="GL17" s="215">
        <f>SUMIFS('Expenditure Breakdown'!$U$6:$U$184, 'Expenditure Breakdown'!$T$6:$T$184, "&gt;="&amp;GL1,'Expenditure Breakdown'!$T$6:$T$184, "&lt;"&amp;GM1)</f>
        <v>0</v>
      </c>
      <c r="GM17" s="215">
        <f>SUMIFS('Expenditure Breakdown'!$U$6:$U$184, 'Expenditure Breakdown'!$T$6:$T$184, "&gt;="&amp;GM1,'Expenditure Breakdown'!$T$6:$T$184, "&lt;"&amp;GN1)</f>
        <v>0</v>
      </c>
      <c r="GN17" s="215">
        <f>SUMIFS('Expenditure Breakdown'!$U$6:$U$184, 'Expenditure Breakdown'!$T$6:$T$184, "&gt;="&amp;GN1,'Expenditure Breakdown'!$T$6:$T$184, "&lt;"&amp;GO1)</f>
        <v>0</v>
      </c>
      <c r="GO17" s="215">
        <f>SUMIFS('Expenditure Breakdown'!$U$6:$U$184, 'Expenditure Breakdown'!$T$6:$T$184, "&gt;="&amp;GO1,'Expenditure Breakdown'!$T$6:$T$184, "&lt;"&amp;GP1)</f>
        <v>0</v>
      </c>
      <c r="GP17" s="215">
        <f>SUMIFS('Expenditure Breakdown'!$U$6:$U$184, 'Expenditure Breakdown'!$T$6:$T$184, "&gt;="&amp;GP1,'Expenditure Breakdown'!$T$6:$T$184, "&lt;"&amp;GQ1)</f>
        <v>0</v>
      </c>
      <c r="GQ17" s="215">
        <f>SUMIFS('Expenditure Breakdown'!$U$6:$U$184, 'Expenditure Breakdown'!$T$6:$T$184, "&gt;="&amp;GQ1,'Expenditure Breakdown'!$T$6:$T$184, "&lt;"&amp;GR1)</f>
        <v>0</v>
      </c>
      <c r="GR17" s="215">
        <f>SUMIFS('Expenditure Breakdown'!$U$6:$U$184, 'Expenditure Breakdown'!$T$6:$T$184, "&gt;="&amp;GR1,'Expenditure Breakdown'!$T$6:$T$184, "&lt;"&amp;GS1)</f>
        <v>0</v>
      </c>
      <c r="GS17" s="215">
        <f>SUMIFS('Expenditure Breakdown'!$U$6:$U$184, 'Expenditure Breakdown'!$T$6:$T$184, "&gt;="&amp;GS1,'Expenditure Breakdown'!$T$6:$T$184, "&lt;"&amp;GT1)</f>
        <v>0</v>
      </c>
      <c r="GT17" s="215">
        <f>SUMIFS('Expenditure Breakdown'!$U$6:$U$184, 'Expenditure Breakdown'!$T$6:$T$184, "&gt;="&amp;GT1,'Expenditure Breakdown'!$T$6:$T$184, "&lt;"&amp;GU1)</f>
        <v>0</v>
      </c>
      <c r="GU17" s="215">
        <f>SUMIFS('Expenditure Breakdown'!$U$6:$U$184, 'Expenditure Breakdown'!$T$6:$T$184, "&gt;="&amp;GU1,'Expenditure Breakdown'!$T$6:$T$184, "&lt;"&amp;GV1)</f>
        <v>0</v>
      </c>
      <c r="GV17" s="215">
        <f>SUMIFS('Expenditure Breakdown'!$U$6:$U$184, 'Expenditure Breakdown'!$T$6:$T$184, "&gt;="&amp;GV1,'Expenditure Breakdown'!$T$6:$T$184, "&lt;"&amp;GW1)</f>
        <v>0</v>
      </c>
      <c r="GW17" s="215">
        <f>SUMIFS('Expenditure Breakdown'!$U$6:$U$184, 'Expenditure Breakdown'!$T$6:$T$184, "&gt;="&amp;GW1,'Expenditure Breakdown'!$T$6:$T$184, "&lt;"&amp;GX1)</f>
        <v>0</v>
      </c>
      <c r="GX17" s="215">
        <f>SUMIFS('Expenditure Breakdown'!$U$6:$U$184, 'Expenditure Breakdown'!$T$6:$T$184, "&gt;="&amp;GX1,'Expenditure Breakdown'!$T$6:$T$184, "&lt;"&amp;GY1)</f>
        <v>0</v>
      </c>
      <c r="GY17" s="215">
        <f>SUMIFS('Expenditure Breakdown'!$U$6:$U$184, 'Expenditure Breakdown'!$T$6:$T$184, "&gt;="&amp;GY1,'Expenditure Breakdown'!$T$6:$T$184, "&lt;"&amp;GZ1)</f>
        <v>0</v>
      </c>
      <c r="GZ17" s="215">
        <f>SUMIFS('Expenditure Breakdown'!$U$6:$U$184, 'Expenditure Breakdown'!$T$6:$T$184, "&gt;="&amp;GZ1,'Expenditure Breakdown'!$T$6:$T$184, "&lt;"&amp;HA1)</f>
        <v>0</v>
      </c>
      <c r="HA17" s="215">
        <f>SUMIFS('Expenditure Breakdown'!$U$6:$U$184, 'Expenditure Breakdown'!$T$6:$T$184, "&gt;="&amp;HA1,'Expenditure Breakdown'!$T$6:$T$184, "&lt;"&amp;HB1)</f>
        <v>0</v>
      </c>
      <c r="HB17" s="215">
        <f>SUMIFS('Expenditure Breakdown'!$U$6:$U$184, 'Expenditure Breakdown'!$T$6:$T$184, "&gt;="&amp;HB1,'Expenditure Breakdown'!$T$6:$T$184, "&lt;"&amp;HC1)</f>
        <v>0</v>
      </c>
      <c r="HC17" s="215">
        <f>SUMIFS('Expenditure Breakdown'!$U$6:$U$184, 'Expenditure Breakdown'!$T$6:$T$184, "&gt;="&amp;HC1,'Expenditure Breakdown'!$T$6:$T$184, "&lt;"&amp;HD1)</f>
        <v>0</v>
      </c>
      <c r="HD17" s="215">
        <f>SUMIFS('Expenditure Breakdown'!$U$6:$U$184, 'Expenditure Breakdown'!$T$6:$T$184, "&gt;="&amp;HD1,'Expenditure Breakdown'!$T$6:$T$184, "&lt;"&amp;HE1)</f>
        <v>0</v>
      </c>
      <c r="HE17" s="215">
        <f>SUMIFS('Expenditure Breakdown'!$U$6:$U$184, 'Expenditure Breakdown'!$T$6:$T$184, "&gt;="&amp;HE1,'Expenditure Breakdown'!$T$6:$T$184, "&lt;"&amp;HF1)</f>
        <v>0</v>
      </c>
      <c r="HF17" s="215">
        <f>SUMIFS('Expenditure Breakdown'!$U$6:$U$184, 'Expenditure Breakdown'!$T$6:$T$184, "&gt;="&amp;HF1,'Expenditure Breakdown'!$T$6:$T$184, "&lt;"&amp;HG1)</f>
        <v>0</v>
      </c>
      <c r="HG17" s="215">
        <f>SUMIFS('Expenditure Breakdown'!$U$6:$U$184, 'Expenditure Breakdown'!$T$6:$T$184, "&gt;="&amp;HG1,'Expenditure Breakdown'!$T$6:$T$184, "&lt;"&amp;HH1)</f>
        <v>0</v>
      </c>
      <c r="HH17" s="215">
        <f>SUMIFS('Expenditure Breakdown'!$U$6:$U$184, 'Expenditure Breakdown'!$T$6:$T$184, "&gt;="&amp;HH1,'Expenditure Breakdown'!$T$6:$T$184, "&lt;"&amp;HI1)</f>
        <v>0</v>
      </c>
      <c r="HI17" s="215">
        <f>SUMIFS('Expenditure Breakdown'!$U$6:$U$184, 'Expenditure Breakdown'!$T$6:$T$184, "&gt;="&amp;HI1,'Expenditure Breakdown'!$T$6:$T$184, "&lt;"&amp;HJ1)</f>
        <v>0</v>
      </c>
      <c r="HJ17" s="215">
        <f>SUMIFS('Expenditure Breakdown'!$U$6:$U$184, 'Expenditure Breakdown'!$T$6:$T$184, "&gt;="&amp;HJ1,'Expenditure Breakdown'!$T$6:$T$184, "&lt;"&amp;HK1)</f>
        <v>0</v>
      </c>
      <c r="HK17" s="215">
        <f>SUMIFS('Expenditure Breakdown'!$U$6:$U$184, 'Expenditure Breakdown'!$T$6:$T$184, "&gt;="&amp;HK1,'Expenditure Breakdown'!$T$6:$T$184, "&lt;"&amp;HL1)</f>
        <v>0</v>
      </c>
      <c r="HL17" s="215">
        <f>SUMIFS('Expenditure Breakdown'!$U$6:$U$184, 'Expenditure Breakdown'!$T$6:$T$184, "&gt;="&amp;HL1,'Expenditure Breakdown'!$T$6:$T$184, "&lt;"&amp;HM1)</f>
        <v>0</v>
      </c>
      <c r="HM17" s="215">
        <f>SUMIFS('Expenditure Breakdown'!$U$6:$U$184, 'Expenditure Breakdown'!$T$6:$T$184, "&gt;="&amp;HM1,'Expenditure Breakdown'!$T$6:$T$184, "&lt;"&amp;HN1)</f>
        <v>0</v>
      </c>
      <c r="HN17" s="215">
        <f>SUMIFS('Expenditure Breakdown'!$U$6:$U$184, 'Expenditure Breakdown'!$T$6:$T$184, "&gt;="&amp;HN1,'Expenditure Breakdown'!$T$6:$T$184, "&lt;"&amp;HO1)</f>
        <v>0</v>
      </c>
      <c r="HO17" s="215">
        <f>SUMIFS('Expenditure Breakdown'!$U$6:$U$184, 'Expenditure Breakdown'!$T$6:$T$184, "&gt;="&amp;HO1,'Expenditure Breakdown'!$T$6:$T$184, "&lt;"&amp;HP1)</f>
        <v>0</v>
      </c>
      <c r="HP17" s="215">
        <f>SUMIFS('Expenditure Breakdown'!$U$6:$U$184, 'Expenditure Breakdown'!$T$6:$T$184, "&gt;="&amp;HP1,'Expenditure Breakdown'!$T$6:$T$184, "&lt;"&amp;HQ1)</f>
        <v>0</v>
      </c>
      <c r="HQ17" s="215">
        <f>SUMIFS('Expenditure Breakdown'!$U$6:$U$184, 'Expenditure Breakdown'!$T$6:$T$184, "&gt;="&amp;HQ1,'Expenditure Breakdown'!$T$6:$T$184, "&lt;"&amp;HR1)</f>
        <v>0</v>
      </c>
      <c r="HR17" s="215">
        <f>SUMIFS('Expenditure Breakdown'!$U$6:$U$184, 'Expenditure Breakdown'!$T$6:$T$184, "&gt;="&amp;HR1,'Expenditure Breakdown'!$T$6:$T$184, "&lt;"&amp;HS1)</f>
        <v>0</v>
      </c>
      <c r="HS17" s="215">
        <f>SUMIFS('Expenditure Breakdown'!$U$6:$U$184, 'Expenditure Breakdown'!$T$6:$T$184, "&gt;="&amp;HS1,'Expenditure Breakdown'!$T$6:$T$184, "&lt;"&amp;HT1)</f>
        <v>0</v>
      </c>
      <c r="HT17" s="215">
        <f>SUMIFS('Expenditure Breakdown'!$U$6:$U$184, 'Expenditure Breakdown'!$T$6:$T$184, "&gt;="&amp;HT1,'Expenditure Breakdown'!$T$6:$T$184, "&lt;"&amp;HU1)</f>
        <v>0</v>
      </c>
      <c r="HU17" s="215">
        <f>SUMIFS('Expenditure Breakdown'!$U$6:$U$184, 'Expenditure Breakdown'!$T$6:$T$184, "&gt;="&amp;HU1,'Expenditure Breakdown'!$T$6:$T$184, "&lt;"&amp;HV1)</f>
        <v>0</v>
      </c>
      <c r="HV17" s="215">
        <f>SUMIFS('Expenditure Breakdown'!$U$6:$U$184, 'Expenditure Breakdown'!$T$6:$T$184, "&gt;="&amp;HV1,'Expenditure Breakdown'!$T$6:$T$184, "&lt;"&amp;HW1)</f>
        <v>0</v>
      </c>
      <c r="HW17" s="215">
        <f>SUMIFS('Expenditure Breakdown'!$U$6:$U$184, 'Expenditure Breakdown'!$T$6:$T$184, "&gt;="&amp;HW1,'Expenditure Breakdown'!$T$6:$T$184, "&lt;"&amp;HX1)</f>
        <v>0</v>
      </c>
      <c r="HX17" s="215">
        <f>SUMIFS('Expenditure Breakdown'!$U$6:$U$184, 'Expenditure Breakdown'!$T$6:$T$184, "&gt;="&amp;HX1,'Expenditure Breakdown'!$T$6:$T$184, "&lt;"&amp;HY1)</f>
        <v>0</v>
      </c>
      <c r="HY17" s="215">
        <f>SUMIFS('Expenditure Breakdown'!$U$6:$U$184, 'Expenditure Breakdown'!$T$6:$T$184, "&gt;="&amp;HY1,'Expenditure Breakdown'!$T$6:$T$184, "&lt;"&amp;HZ1)</f>
        <v>0</v>
      </c>
      <c r="HZ17" s="215">
        <f>SUMIFS('Expenditure Breakdown'!$U$6:$U$184, 'Expenditure Breakdown'!$T$6:$T$184, "&gt;="&amp;HZ1,'Expenditure Breakdown'!$T$6:$T$184, "&lt;"&amp;IA1)</f>
        <v>0</v>
      </c>
      <c r="IA17" s="215">
        <f>SUMIFS('Expenditure Breakdown'!$U$6:$U$184, 'Expenditure Breakdown'!$T$6:$T$184, "&gt;="&amp;IA1,'Expenditure Breakdown'!$T$6:$T$184, "&lt;"&amp;IB1)</f>
        <v>0</v>
      </c>
      <c r="IB17" s="215">
        <f>SUMIFS('Expenditure Breakdown'!$U$6:$U$184, 'Expenditure Breakdown'!$T$6:$T$184, "&gt;="&amp;IB1,'Expenditure Breakdown'!$T$6:$T$184, "&lt;"&amp;IC1)</f>
        <v>0</v>
      </c>
      <c r="IC17" s="215">
        <f>SUMIFS('Expenditure Breakdown'!$U$6:$U$184, 'Expenditure Breakdown'!$T$6:$T$184, "&gt;="&amp;IC1,'Expenditure Breakdown'!$T$6:$T$184, "&lt;"&amp;ID1)</f>
        <v>0</v>
      </c>
      <c r="ID17" s="215">
        <f>SUMIFS('Expenditure Breakdown'!$U$6:$U$184, 'Expenditure Breakdown'!$T$6:$T$184, "&gt;="&amp;ID1,'Expenditure Breakdown'!$T$6:$T$184, "&lt;"&amp;IE1)</f>
        <v>0</v>
      </c>
      <c r="IE17" s="215">
        <f>SUMIFS('Expenditure Breakdown'!$U$6:$U$184, 'Expenditure Breakdown'!$T$6:$T$184, "&gt;="&amp;IE1,'Expenditure Breakdown'!$T$6:$T$184, "&lt;"&amp;IF1)</f>
        <v>0</v>
      </c>
      <c r="IF17" s="215">
        <f>SUMIFS('Expenditure Breakdown'!$U$6:$U$184, 'Expenditure Breakdown'!$T$6:$T$184, "&gt;="&amp;IF1,'Expenditure Breakdown'!$T$6:$T$184, "&lt;"&amp;IG1)</f>
        <v>0</v>
      </c>
      <c r="IG17" s="215">
        <f>SUMIFS('Expenditure Breakdown'!$U$6:$U$184, 'Expenditure Breakdown'!$T$6:$T$184, "&gt;="&amp;IG1,'Expenditure Breakdown'!$T$6:$T$184, "&lt;"&amp;IH1)</f>
        <v>0</v>
      </c>
      <c r="IH17" s="215">
        <f>SUMIFS('Expenditure Breakdown'!$U$6:$U$184, 'Expenditure Breakdown'!$T$6:$T$184, "&gt;="&amp;IH1,'Expenditure Breakdown'!$T$6:$T$184, "&lt;"&amp;II1)</f>
        <v>0</v>
      </c>
      <c r="II17" s="215">
        <f>SUMIFS('Expenditure Breakdown'!$U$6:$U$184, 'Expenditure Breakdown'!$T$6:$T$184, "&gt;="&amp;II1,'Expenditure Breakdown'!$T$6:$T$184, "&lt;"&amp;IJ1)</f>
        <v>0</v>
      </c>
      <c r="IJ17" s="215">
        <f>SUMIFS('Expenditure Breakdown'!$U$6:$U$184, 'Expenditure Breakdown'!$T$6:$T$184, "&gt;="&amp;IJ1,'Expenditure Breakdown'!$T$6:$T$184, "&lt;"&amp;IK1)</f>
        <v>0</v>
      </c>
      <c r="IK17" s="215">
        <f>SUMIFS('Expenditure Breakdown'!$U$6:$U$184, 'Expenditure Breakdown'!$T$6:$T$184, "&gt;="&amp;IK1,'Expenditure Breakdown'!$T$6:$T$184, "&lt;"&amp;IL1)</f>
        <v>0</v>
      </c>
      <c r="IL17" s="215">
        <f>SUMIFS('Expenditure Breakdown'!$U$6:$U$184, 'Expenditure Breakdown'!$T$6:$T$184, "&gt;="&amp;IL1,'Expenditure Breakdown'!$T$6:$T$184, "&lt;"&amp;IM1)</f>
        <v>0</v>
      </c>
      <c r="IM17" s="215">
        <f>SUMIFS('Expenditure Breakdown'!$U$6:$U$184, 'Expenditure Breakdown'!$T$6:$T$184, "&gt;="&amp;IM1,'Expenditure Breakdown'!$T$6:$T$184, "&lt;"&amp;IN1)</f>
        <v>0</v>
      </c>
      <c r="IN17" s="215">
        <f>SUMIFS('Expenditure Breakdown'!$U$6:$U$184, 'Expenditure Breakdown'!$T$6:$T$184, "&gt;="&amp;IN1,'Expenditure Breakdown'!$T$6:$T$184, "&lt;"&amp;IO1)</f>
        <v>0</v>
      </c>
      <c r="IO17" s="215">
        <f>SUMIFS('Expenditure Breakdown'!$U$6:$U$184, 'Expenditure Breakdown'!$T$6:$T$184, "&gt;="&amp;IO1,'Expenditure Breakdown'!$T$6:$T$184, "&lt;"&amp;IP1)</f>
        <v>0</v>
      </c>
      <c r="IP17" s="215">
        <f>SUMIFS('Expenditure Breakdown'!$U$6:$U$184, 'Expenditure Breakdown'!$T$6:$T$184, "&gt;="&amp;IP1,'Expenditure Breakdown'!$T$6:$T$184, "&lt;"&amp;IQ1)</f>
        <v>0</v>
      </c>
      <c r="IQ17" s="215">
        <f>SUMIFS('Expenditure Breakdown'!$U$6:$U$184, 'Expenditure Breakdown'!$T$6:$T$184, "&gt;="&amp;IQ1,'Expenditure Breakdown'!$T$6:$T$184, "&lt;"&amp;IR1)</f>
        <v>0</v>
      </c>
      <c r="IR17" s="215">
        <f>SUMIFS('Expenditure Breakdown'!$U$6:$U$184, 'Expenditure Breakdown'!$T$6:$T$184, "&gt;="&amp;IR1,'Expenditure Breakdown'!$T$6:$T$184, "&lt;"&amp;IS1)</f>
        <v>0</v>
      </c>
      <c r="IS17" s="215">
        <f>SUMIFS('Expenditure Breakdown'!$U$6:$U$184, 'Expenditure Breakdown'!$T$6:$T$184, "&gt;="&amp;IS1,'Expenditure Breakdown'!$T$6:$T$184, "&lt;"&amp;IT1)</f>
        <v>0</v>
      </c>
      <c r="IT17" s="215">
        <f>SUMIFS('Expenditure Breakdown'!$U$6:$U$184, 'Expenditure Breakdown'!$T$6:$T$184, "&gt;="&amp;IT1,'Expenditure Breakdown'!$T$6:$T$184, "&lt;"&amp;IU1)</f>
        <v>0</v>
      </c>
      <c r="IU17" s="215">
        <f>SUMIFS('Expenditure Breakdown'!$U$6:$U$184, 'Expenditure Breakdown'!$T$6:$T$184, "&gt;="&amp;IU1,'Expenditure Breakdown'!$T$6:$T$184, "&lt;"&amp;IV1)</f>
        <v>0</v>
      </c>
      <c r="IV17" s="215">
        <f>SUMIFS('Expenditure Breakdown'!$U$6:$U$184, 'Expenditure Breakdown'!$T$6:$T$184, "&gt;="&amp;IV1,'Expenditure Breakdown'!$T$6:$T$184, "&lt;"&amp;IW1)</f>
        <v>0</v>
      </c>
      <c r="IW17" s="215">
        <f>SUMIFS('Expenditure Breakdown'!$U$6:$U$184, 'Expenditure Breakdown'!$T$6:$T$184, "&gt;="&amp;IW1,'Expenditure Breakdown'!$T$6:$T$184, "&lt;"&amp;IX1)</f>
        <v>0</v>
      </c>
      <c r="IX17" s="215">
        <f>SUMIFS('Expenditure Breakdown'!$U$6:$U$184, 'Expenditure Breakdown'!$T$6:$T$184, "&gt;="&amp;IX1,'Expenditure Breakdown'!$T$6:$T$184, "&lt;"&amp;IY1)</f>
        <v>0</v>
      </c>
      <c r="IY17" s="215">
        <f>SUMIFS('Expenditure Breakdown'!$U$6:$U$184, 'Expenditure Breakdown'!$T$6:$T$184, "&gt;="&amp;IY1,'Expenditure Breakdown'!$T$6:$T$184, "&lt;"&amp;IZ1)</f>
        <v>0</v>
      </c>
      <c r="IZ17" s="215">
        <f>SUMIFS('Expenditure Breakdown'!$U$6:$U$184, 'Expenditure Breakdown'!$T$6:$T$184, "&gt;="&amp;IZ1,'Expenditure Breakdown'!$T$6:$T$184, "&lt;"&amp;JA1)</f>
        <v>0</v>
      </c>
      <c r="JA17" s="215">
        <f>SUMIFS('Expenditure Breakdown'!$U$6:$U$184, 'Expenditure Breakdown'!$T$6:$T$184, "&gt;="&amp;JA1,'Expenditure Breakdown'!$T$6:$T$184, "&lt;"&amp;JB1)</f>
        <v>0</v>
      </c>
      <c r="JB17" s="215">
        <f>SUMIFS('Expenditure Breakdown'!$U$6:$U$184, 'Expenditure Breakdown'!$T$6:$T$184, "&gt;="&amp;JB1,'Expenditure Breakdown'!$T$6:$T$184, "&lt;"&amp;JC1)</f>
        <v>0</v>
      </c>
      <c r="JC17" s="215">
        <f>SUMIFS('Expenditure Breakdown'!$U$6:$U$184, 'Expenditure Breakdown'!$T$6:$T$184, "&gt;="&amp;JC1,'Expenditure Breakdown'!$T$6:$T$184, "&lt;"&amp;JD1)</f>
        <v>0</v>
      </c>
      <c r="JD17" s="215">
        <f>SUMIFS('Expenditure Breakdown'!$U$6:$U$184, 'Expenditure Breakdown'!$T$6:$T$184, "&gt;="&amp;JD1,'Expenditure Breakdown'!$T$6:$T$184, "&lt;"&amp;JE1)</f>
        <v>0</v>
      </c>
      <c r="JE17" s="215">
        <f>SUMIFS('Expenditure Breakdown'!$U$6:$U$184, 'Expenditure Breakdown'!$T$6:$T$184, "&gt;="&amp;JE1,'Expenditure Breakdown'!$T$6:$T$184, "&lt;"&amp;JF1)</f>
        <v>0</v>
      </c>
      <c r="JF17" s="215">
        <f>SUMIFS('Expenditure Breakdown'!$U$6:$U$184, 'Expenditure Breakdown'!$T$6:$T$184, "&gt;="&amp;JF1,'Expenditure Breakdown'!$T$6:$T$184, "&lt;"&amp;JG1)</f>
        <v>0</v>
      </c>
      <c r="JG17" s="215">
        <f>SUMIFS('Expenditure Breakdown'!$U$6:$U$184, 'Expenditure Breakdown'!$T$6:$T$184, "&gt;="&amp;JG1,'Expenditure Breakdown'!$T$6:$T$184, "&lt;"&amp;JH1)</f>
        <v>0</v>
      </c>
      <c r="JH17" s="215">
        <f>SUMIFS('Expenditure Breakdown'!$U$6:$U$184, 'Expenditure Breakdown'!$T$6:$T$184, "&gt;="&amp;JH1,'Expenditure Breakdown'!$T$6:$T$184, "&lt;"&amp;JI1)</f>
        <v>0</v>
      </c>
      <c r="JI17" s="215">
        <f>SUMIFS('Expenditure Breakdown'!$U$6:$U$184, 'Expenditure Breakdown'!$T$6:$T$184, "&gt;="&amp;JI1,'Expenditure Breakdown'!$T$6:$T$184, "&lt;"&amp;JJ1)</f>
        <v>0</v>
      </c>
      <c r="JJ17" s="215">
        <f>SUMIFS('Expenditure Breakdown'!$U$6:$U$184, 'Expenditure Breakdown'!$T$6:$T$184, "&gt;="&amp;JJ1,'Expenditure Breakdown'!$T$6:$T$184, "&lt;"&amp;JK1)</f>
        <v>0</v>
      </c>
      <c r="JK17" s="215">
        <f>SUMIFS('Expenditure Breakdown'!$U$6:$U$184, 'Expenditure Breakdown'!$T$6:$T$184, "&gt;="&amp;JK1,'Expenditure Breakdown'!$T$6:$T$184, "&lt;"&amp;JL1)</f>
        <v>0</v>
      </c>
      <c r="JL17" s="215">
        <f>SUMIFS('Expenditure Breakdown'!$U$6:$U$184, 'Expenditure Breakdown'!$T$6:$T$184, "&gt;="&amp;JL1,'Expenditure Breakdown'!$T$6:$T$184, "&lt;"&amp;JM1)</f>
        <v>0</v>
      </c>
      <c r="JM17" s="215">
        <f>SUMIFS('Expenditure Breakdown'!$U$6:$U$184, 'Expenditure Breakdown'!$T$6:$T$184, "&gt;="&amp;JM1,'Expenditure Breakdown'!$T$6:$T$184, "&lt;"&amp;JN1)</f>
        <v>0</v>
      </c>
      <c r="JN17" s="215">
        <f>SUMIFS('Expenditure Breakdown'!$U$6:$U$184, 'Expenditure Breakdown'!$T$6:$T$184, "&gt;="&amp;JN1,'Expenditure Breakdown'!$T$6:$T$184, "&lt;"&amp;JO1)</f>
        <v>0</v>
      </c>
      <c r="JO17" s="215">
        <f>SUMIFS('Expenditure Breakdown'!$U$6:$U$184, 'Expenditure Breakdown'!$T$6:$T$184, "&gt;="&amp;JO1,'Expenditure Breakdown'!$T$6:$T$184, "&lt;"&amp;JP1)</f>
        <v>0</v>
      </c>
      <c r="JP17" s="215">
        <f>SUMIFS('Expenditure Breakdown'!$U$6:$U$184, 'Expenditure Breakdown'!$T$6:$T$184, "&gt;="&amp;JP1,'Expenditure Breakdown'!$T$6:$T$184, "&lt;"&amp;JQ1)</f>
        <v>0</v>
      </c>
      <c r="JQ17" s="215">
        <f>SUMIFS('Expenditure Breakdown'!$U$6:$U$184, 'Expenditure Breakdown'!$T$6:$T$184, "&gt;="&amp;JQ1,'Expenditure Breakdown'!$T$6:$T$184, "&lt;"&amp;JR1)</f>
        <v>0</v>
      </c>
      <c r="JR17" s="215">
        <f>SUMIFS('Expenditure Breakdown'!$U$6:$U$184, 'Expenditure Breakdown'!$T$6:$T$184, "&gt;="&amp;JR1,'Expenditure Breakdown'!$T$6:$T$184, "&lt;"&amp;JS1)</f>
        <v>0</v>
      </c>
      <c r="JS17" s="215">
        <f>SUMIFS('Expenditure Breakdown'!$U$6:$U$184, 'Expenditure Breakdown'!$T$6:$T$184, "&gt;="&amp;JS1,'Expenditure Breakdown'!$T$6:$T$184, "&lt;"&amp;JT1)</f>
        <v>0</v>
      </c>
      <c r="JT17" s="215">
        <f>SUMIFS('Expenditure Breakdown'!$U$6:$U$184, 'Expenditure Breakdown'!$T$6:$T$184, "&gt;="&amp;JT1,'Expenditure Breakdown'!$T$6:$T$184, "&lt;"&amp;JU1)</f>
        <v>0</v>
      </c>
      <c r="JU17" s="215">
        <f>SUMIFS('Expenditure Breakdown'!$U$6:$U$184, 'Expenditure Breakdown'!$T$6:$T$184, "&gt;="&amp;JU1,'Expenditure Breakdown'!$T$6:$T$184, "&lt;"&amp;JV1)</f>
        <v>0</v>
      </c>
      <c r="JV17" s="215">
        <f>SUMIFS('Expenditure Breakdown'!$U$6:$U$184, 'Expenditure Breakdown'!$T$6:$T$184, "&gt;="&amp;JV1,'Expenditure Breakdown'!$T$6:$T$184, "&lt;"&amp;JW1)</f>
        <v>0</v>
      </c>
      <c r="JW17" s="215">
        <f>SUMIFS('Expenditure Breakdown'!$U$6:$U$184, 'Expenditure Breakdown'!$T$6:$T$184, "&gt;="&amp;JW1,'Expenditure Breakdown'!$T$6:$T$184, "&lt;"&amp;JX1)</f>
        <v>0</v>
      </c>
      <c r="JX17" s="215">
        <f>SUMIFS('Expenditure Breakdown'!$U$6:$U$184, 'Expenditure Breakdown'!$T$6:$T$184, "&gt;="&amp;JX1,'Expenditure Breakdown'!$T$6:$T$184, "&lt;"&amp;JY1)</f>
        <v>0</v>
      </c>
      <c r="JY17" s="215">
        <f>SUMIFS('Expenditure Breakdown'!$U$6:$U$184, 'Expenditure Breakdown'!$T$6:$T$184, "&gt;="&amp;JY1,'Expenditure Breakdown'!$T$6:$T$184, "&lt;"&amp;JZ1)</f>
        <v>0</v>
      </c>
      <c r="JZ17" s="215">
        <f>SUMIFS('Expenditure Breakdown'!$U$6:$U$184, 'Expenditure Breakdown'!$T$6:$T$184, "&gt;="&amp;JZ1,'Expenditure Breakdown'!$T$6:$T$184, "&lt;"&amp;KA1)</f>
        <v>0</v>
      </c>
      <c r="KA17" s="215">
        <f>SUMIFS('Expenditure Breakdown'!$U$6:$U$184, 'Expenditure Breakdown'!$T$6:$T$184, "&gt;="&amp;KA1,'Expenditure Breakdown'!$T$6:$T$184, "&lt;"&amp;KB1)</f>
        <v>0</v>
      </c>
      <c r="KB17" s="215">
        <f>SUMIFS('Expenditure Breakdown'!$U$6:$U$184, 'Expenditure Breakdown'!$T$6:$T$184, "&gt;="&amp;KB1,'Expenditure Breakdown'!$T$6:$T$184, "&lt;"&amp;KC1)</f>
        <v>0</v>
      </c>
      <c r="KC17" s="215">
        <f>SUMIFS('Expenditure Breakdown'!$U$6:$U$184, 'Expenditure Breakdown'!$T$6:$T$184, "&gt;="&amp;KC1,'Expenditure Breakdown'!$T$6:$T$184, "&lt;"&amp;KD1)</f>
        <v>0</v>
      </c>
      <c r="KD17" s="215">
        <f>SUMIFS('Expenditure Breakdown'!$U$6:$U$184, 'Expenditure Breakdown'!$T$6:$T$184, "&gt;="&amp;KD1,'Expenditure Breakdown'!$T$6:$T$184, "&lt;"&amp;KE1)</f>
        <v>0</v>
      </c>
      <c r="KE17" s="215">
        <f>SUMIFS('Expenditure Breakdown'!$U$6:$U$184, 'Expenditure Breakdown'!$T$6:$T$184, "&gt;="&amp;KE1,'Expenditure Breakdown'!$T$6:$T$184, "&lt;"&amp;KF1)</f>
        <v>0</v>
      </c>
      <c r="KF17" s="215">
        <f>SUMIFS('Expenditure Breakdown'!$U$6:$U$184, 'Expenditure Breakdown'!$T$6:$T$184, "&gt;="&amp;KF1,'Expenditure Breakdown'!$T$6:$T$184, "&lt;"&amp;KG1)</f>
        <v>0</v>
      </c>
      <c r="KG17" s="215">
        <f>SUMIFS('Expenditure Breakdown'!$U$6:$U$184, 'Expenditure Breakdown'!$T$6:$T$184, "&gt;="&amp;KG1,'Expenditure Breakdown'!$T$6:$T$184, "&lt;"&amp;KH1)</f>
        <v>0</v>
      </c>
      <c r="KH17" s="215">
        <f>SUMIFS('Expenditure Breakdown'!$U$6:$U$184, 'Expenditure Breakdown'!$T$6:$T$184, "&gt;="&amp;KH1,'Expenditure Breakdown'!$T$6:$T$184, "&lt;"&amp;KI1)</f>
        <v>0</v>
      </c>
      <c r="KI17" s="215">
        <f>SUMIFS('Expenditure Breakdown'!$U$6:$U$184, 'Expenditure Breakdown'!$T$6:$T$184, "&gt;="&amp;KI1,'Expenditure Breakdown'!$T$6:$T$184, "&lt;"&amp;KJ1)</f>
        <v>0</v>
      </c>
      <c r="KJ17" s="215">
        <f>SUMIFS('Expenditure Breakdown'!$U$6:$U$184, 'Expenditure Breakdown'!$T$6:$T$184, "&gt;="&amp;KJ1,'Expenditure Breakdown'!$T$6:$T$184, "&lt;"&amp;KK1)</f>
        <v>0</v>
      </c>
      <c r="KK17" s="215">
        <f>SUMIFS('Expenditure Breakdown'!$U$6:$U$184, 'Expenditure Breakdown'!$T$6:$T$184, "&gt;="&amp;KK1,'Expenditure Breakdown'!$T$6:$T$184, "&lt;"&amp;KL1)</f>
        <v>0</v>
      </c>
      <c r="KL17" s="215">
        <f>SUMIFS('Expenditure Breakdown'!$U$6:$U$184, 'Expenditure Breakdown'!$T$6:$T$184, "&gt;="&amp;KL1,'Expenditure Breakdown'!$T$6:$T$184, "&lt;"&amp;KM1)</f>
        <v>0</v>
      </c>
      <c r="KM17" s="215">
        <f>SUMIFS('Expenditure Breakdown'!$U$6:$U$184, 'Expenditure Breakdown'!$T$6:$T$184, "&gt;="&amp;KM1,'Expenditure Breakdown'!$T$6:$T$184, "&lt;"&amp;KN1)</f>
        <v>0</v>
      </c>
      <c r="KN17" s="215">
        <f>SUMIFS('Expenditure Breakdown'!$U$6:$U$184, 'Expenditure Breakdown'!$T$6:$T$184, "&gt;="&amp;KN1,'Expenditure Breakdown'!$T$6:$T$184, "&lt;"&amp;KO1)</f>
        <v>0</v>
      </c>
      <c r="KO17" s="215">
        <f>SUMIFS('Expenditure Breakdown'!$U$6:$U$184, 'Expenditure Breakdown'!$T$6:$T$184, "&gt;="&amp;KO1,'Expenditure Breakdown'!$T$6:$T$184, "&lt;"&amp;KP1)</f>
        <v>0</v>
      </c>
      <c r="KP17" s="215">
        <f>SUMIFS('Expenditure Breakdown'!$U$6:$U$184, 'Expenditure Breakdown'!$T$6:$T$184, "&gt;="&amp;KP1,'Expenditure Breakdown'!$T$6:$T$184, "&lt;"&amp;KQ1)</f>
        <v>0</v>
      </c>
      <c r="KQ17" s="215">
        <f>SUMIFS('Expenditure Breakdown'!$U$6:$U$184, 'Expenditure Breakdown'!$T$6:$T$184, "&gt;="&amp;KQ1,'Expenditure Breakdown'!$T$6:$T$184, "&lt;"&amp;KR1)</f>
        <v>0</v>
      </c>
      <c r="KR17" s="215">
        <f>SUMIFS('Expenditure Breakdown'!$U$6:$U$184, 'Expenditure Breakdown'!$T$6:$T$184, "&gt;="&amp;KR1,'Expenditure Breakdown'!$T$6:$T$184, "&lt;"&amp;KS1)</f>
        <v>0</v>
      </c>
      <c r="KS17" s="215">
        <f>SUMIFS('Expenditure Breakdown'!$U$6:$U$184, 'Expenditure Breakdown'!$T$6:$T$184, "&gt;="&amp;KS1,'Expenditure Breakdown'!$T$6:$T$184, "&lt;"&amp;KT1)</f>
        <v>0</v>
      </c>
      <c r="KT17" s="215">
        <f>SUMIFS('Expenditure Breakdown'!$U$6:$U$184, 'Expenditure Breakdown'!$T$6:$T$184, "&gt;="&amp;KT1,'Expenditure Breakdown'!$T$6:$T$184, "&lt;"&amp;KU1)</f>
        <v>0</v>
      </c>
      <c r="KU17" s="215">
        <f>SUMIFS('Expenditure Breakdown'!$U$6:$U$184, 'Expenditure Breakdown'!$T$6:$T$184, "&gt;="&amp;KU1,'Expenditure Breakdown'!$T$6:$T$184, "&lt;"&amp;KV1)</f>
        <v>0</v>
      </c>
      <c r="KV17" s="215">
        <f>SUMIFS('Expenditure Breakdown'!$U$6:$U$184, 'Expenditure Breakdown'!$T$6:$T$184, "&gt;="&amp;KV1,'Expenditure Breakdown'!$T$6:$T$184, "&lt;"&amp;KW1)</f>
        <v>0</v>
      </c>
      <c r="KW17" s="215">
        <f>SUMIFS('Expenditure Breakdown'!$U$6:$U$184, 'Expenditure Breakdown'!$T$6:$T$184, "&gt;="&amp;KW1,'Expenditure Breakdown'!$T$6:$T$184, "&lt;"&amp;KX1)</f>
        <v>0</v>
      </c>
      <c r="KX17" s="215">
        <f>SUMIFS('Expenditure Breakdown'!$U$6:$U$184, 'Expenditure Breakdown'!$T$6:$T$184, "&gt;="&amp;KX1,'Expenditure Breakdown'!$T$6:$T$184, "&lt;"&amp;KY1)</f>
        <v>0</v>
      </c>
      <c r="KY17" s="215">
        <f>SUMIFS('Expenditure Breakdown'!$U$6:$U$184, 'Expenditure Breakdown'!$T$6:$T$184, "&gt;="&amp;KY1,'Expenditure Breakdown'!$T$6:$T$184, "&lt;"&amp;KZ1)</f>
        <v>0</v>
      </c>
      <c r="KZ17" s="215">
        <f>SUMIFS('Expenditure Breakdown'!$U$6:$U$184, 'Expenditure Breakdown'!$T$6:$T$184, "&gt;="&amp;KZ1,'Expenditure Breakdown'!$T$6:$T$184, "&lt;"&amp;LA1)</f>
        <v>0</v>
      </c>
      <c r="LA17" s="215">
        <f>SUMIFS('Expenditure Breakdown'!$U$6:$U$184, 'Expenditure Breakdown'!$T$6:$T$184, "&gt;="&amp;LA1,'Expenditure Breakdown'!$T$6:$T$184, "&lt;"&amp;LB1)</f>
        <v>0</v>
      </c>
      <c r="LB17" s="215">
        <f>SUMIFS('Expenditure Breakdown'!$U$6:$U$184, 'Expenditure Breakdown'!$T$6:$T$184, "&gt;="&amp;LB1,'Expenditure Breakdown'!$T$6:$T$184, "&lt;"&amp;LC1)</f>
        <v>0</v>
      </c>
      <c r="LC17" s="215">
        <f>SUMIFS('Expenditure Breakdown'!$U$6:$U$184, 'Expenditure Breakdown'!$T$6:$T$184, "&gt;="&amp;LC1,'Expenditure Breakdown'!$T$6:$T$184, "&lt;"&amp;LD1)</f>
        <v>0</v>
      </c>
      <c r="LD17" s="215">
        <f>SUMIFS('Expenditure Breakdown'!$U$6:$U$184, 'Expenditure Breakdown'!$T$6:$T$184, "&gt;="&amp;LD1,'Expenditure Breakdown'!$T$6:$T$184, "&lt;"&amp;#REF!)</f>
        <v>0</v>
      </c>
    </row>
    <row r="18" spans="1:316">
      <c r="A18" s="810"/>
      <c r="B18" s="196" t="s">
        <v>527</v>
      </c>
      <c r="C18" s="374">
        <f>D17-D18</f>
        <v>0</v>
      </c>
      <c r="D18" s="197">
        <f>MAX(F18:LD18)</f>
        <v>10418526.266466755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8805242.0905153286</v>
      </c>
      <c r="BD18" s="215">
        <f t="shared" si="37"/>
        <v>8805242.0905153286</v>
      </c>
      <c r="BE18" s="215">
        <f t="shared" si="37"/>
        <v>8805242.0905153286</v>
      </c>
      <c r="BF18" s="215">
        <f t="shared" si="37"/>
        <v>8805242.0905153286</v>
      </c>
      <c r="BG18" s="215">
        <f t="shared" si="37"/>
        <v>9193745.7375571653</v>
      </c>
      <c r="BH18" s="215">
        <f t="shared" si="37"/>
        <v>9193745.7375571653</v>
      </c>
      <c r="BI18" s="215">
        <f t="shared" si="37"/>
        <v>9193745.7375571653</v>
      </c>
      <c r="BJ18" s="215">
        <f t="shared" si="37"/>
        <v>9193745.7375571653</v>
      </c>
      <c r="BK18" s="215">
        <f t="shared" si="37"/>
        <v>10078330.370379446</v>
      </c>
      <c r="BL18" s="215">
        <f t="shared" si="37"/>
        <v>10078330.370379446</v>
      </c>
      <c r="BM18" s="215">
        <f t="shared" si="37"/>
        <v>10078330.370379446</v>
      </c>
      <c r="BN18" s="215">
        <f t="shared" si="37"/>
        <v>10078330.370379446</v>
      </c>
      <c r="BO18" s="215">
        <f t="shared" si="37"/>
        <v>10078330.370379446</v>
      </c>
      <c r="BP18" s="215">
        <f t="shared" si="37"/>
        <v>10418526.266466755</v>
      </c>
      <c r="BQ18" s="215">
        <f t="shared" si="37"/>
        <v>10418526.266466755</v>
      </c>
      <c r="BR18" s="215">
        <f t="shared" si="37"/>
        <v>10418526.266466755</v>
      </c>
      <c r="BS18" s="215">
        <f t="shared" si="37"/>
        <v>10418526.266466755</v>
      </c>
      <c r="BT18" s="215">
        <f t="shared" si="37"/>
        <v>10418526.266466755</v>
      </c>
      <c r="BU18" s="215">
        <f t="shared" ref="BU18:EF18" si="38">BT18+BU17</f>
        <v>10418526.266466755</v>
      </c>
      <c r="BV18" s="215">
        <f t="shared" si="38"/>
        <v>10418526.266466755</v>
      </c>
      <c r="BW18" s="215">
        <f t="shared" si="38"/>
        <v>10418526.266466755</v>
      </c>
      <c r="BX18" s="215">
        <f t="shared" si="38"/>
        <v>10418526.266466755</v>
      </c>
      <c r="BY18" s="215">
        <f t="shared" si="38"/>
        <v>10418526.266466755</v>
      </c>
      <c r="BZ18" s="215">
        <f t="shared" si="38"/>
        <v>10418526.266466755</v>
      </c>
      <c r="CA18" s="215">
        <f t="shared" si="38"/>
        <v>10418526.266466755</v>
      </c>
      <c r="CB18" s="215">
        <f t="shared" si="38"/>
        <v>10418526.266466755</v>
      </c>
      <c r="CC18" s="215">
        <f t="shared" si="38"/>
        <v>10418526.266466755</v>
      </c>
      <c r="CD18" s="215">
        <f t="shared" si="38"/>
        <v>10418526.266466755</v>
      </c>
      <c r="CE18" s="215">
        <f t="shared" si="38"/>
        <v>10418526.266466755</v>
      </c>
      <c r="CF18" s="215">
        <f t="shared" si="38"/>
        <v>10418526.266466755</v>
      </c>
      <c r="CG18" s="215">
        <f t="shared" si="38"/>
        <v>10418526.266466755</v>
      </c>
      <c r="CH18" s="215">
        <f t="shared" si="38"/>
        <v>10418526.266466755</v>
      </c>
      <c r="CI18" s="215">
        <f t="shared" si="38"/>
        <v>10418526.266466755</v>
      </c>
      <c r="CJ18" s="215">
        <f t="shared" si="38"/>
        <v>10418526.266466755</v>
      </c>
      <c r="CK18" s="215">
        <f t="shared" si="38"/>
        <v>10418526.266466755</v>
      </c>
      <c r="CL18" s="215">
        <f t="shared" si="38"/>
        <v>10418526.266466755</v>
      </c>
      <c r="CM18" s="215">
        <f t="shared" si="38"/>
        <v>10418526.266466755</v>
      </c>
      <c r="CN18" s="215">
        <f t="shared" si="38"/>
        <v>10418526.266466755</v>
      </c>
      <c r="CO18" s="215">
        <f t="shared" si="38"/>
        <v>10418526.266466755</v>
      </c>
      <c r="CP18" s="215">
        <f t="shared" si="38"/>
        <v>10418526.266466755</v>
      </c>
      <c r="CQ18" s="215">
        <f t="shared" si="38"/>
        <v>10418526.266466755</v>
      </c>
      <c r="CR18" s="215">
        <f t="shared" si="38"/>
        <v>10418526.266466755</v>
      </c>
      <c r="CS18" s="215">
        <f t="shared" si="38"/>
        <v>10418526.266466755</v>
      </c>
      <c r="CT18" s="215">
        <f t="shared" si="38"/>
        <v>10418526.266466755</v>
      </c>
      <c r="CU18" s="215">
        <f t="shared" si="38"/>
        <v>10418526.266466755</v>
      </c>
      <c r="CV18" s="215">
        <f t="shared" si="38"/>
        <v>10418526.266466755</v>
      </c>
      <c r="CW18" s="215">
        <f t="shared" si="38"/>
        <v>10418526.266466755</v>
      </c>
      <c r="CX18" s="215">
        <f t="shared" si="38"/>
        <v>10418526.266466755</v>
      </c>
      <c r="CY18" s="215">
        <f t="shared" si="38"/>
        <v>10418526.266466755</v>
      </c>
      <c r="CZ18" s="215">
        <f t="shared" si="38"/>
        <v>10418526.266466755</v>
      </c>
      <c r="DA18" s="215">
        <f t="shared" si="38"/>
        <v>10418526.266466755</v>
      </c>
      <c r="DB18" s="215">
        <f t="shared" si="38"/>
        <v>10418526.266466755</v>
      </c>
      <c r="DC18" s="215">
        <f t="shared" si="38"/>
        <v>10418526.266466755</v>
      </c>
      <c r="DD18" s="215">
        <f t="shared" si="38"/>
        <v>10418526.266466755</v>
      </c>
      <c r="DE18" s="215">
        <f t="shared" si="38"/>
        <v>10418526.266466755</v>
      </c>
      <c r="DF18" s="215">
        <f t="shared" si="38"/>
        <v>10418526.266466755</v>
      </c>
      <c r="DG18" s="215">
        <f t="shared" si="38"/>
        <v>10418526.266466755</v>
      </c>
      <c r="DH18" s="215">
        <f t="shared" si="38"/>
        <v>10418526.266466755</v>
      </c>
      <c r="DI18" s="215">
        <f t="shared" si="38"/>
        <v>10418526.266466755</v>
      </c>
      <c r="DJ18" s="215">
        <f t="shared" si="38"/>
        <v>10418526.266466755</v>
      </c>
      <c r="DK18" s="215">
        <f t="shared" si="38"/>
        <v>10418526.266466755</v>
      </c>
      <c r="DL18" s="215">
        <f t="shared" si="38"/>
        <v>10418526.266466755</v>
      </c>
      <c r="DM18" s="215">
        <f t="shared" si="38"/>
        <v>10418526.266466755</v>
      </c>
      <c r="DN18" s="215">
        <f t="shared" si="38"/>
        <v>10418526.266466755</v>
      </c>
      <c r="DO18" s="215">
        <f t="shared" si="38"/>
        <v>10418526.266466755</v>
      </c>
      <c r="DP18" s="215">
        <f t="shared" si="38"/>
        <v>10418526.266466755</v>
      </c>
      <c r="DQ18" s="215">
        <f t="shared" si="38"/>
        <v>10418526.266466755</v>
      </c>
      <c r="DR18" s="215">
        <f t="shared" si="38"/>
        <v>10418526.266466755</v>
      </c>
      <c r="DS18" s="215">
        <f t="shared" si="38"/>
        <v>10418526.266466755</v>
      </c>
      <c r="DT18" s="215">
        <f t="shared" si="38"/>
        <v>10418526.266466755</v>
      </c>
      <c r="DU18" s="215">
        <f t="shared" si="38"/>
        <v>10418526.266466755</v>
      </c>
      <c r="DV18" s="215">
        <f t="shared" si="38"/>
        <v>10418526.266466755</v>
      </c>
      <c r="DW18" s="215">
        <f t="shared" si="38"/>
        <v>10418526.266466755</v>
      </c>
      <c r="DX18" s="215">
        <f t="shared" si="38"/>
        <v>10418526.266466755</v>
      </c>
      <c r="DY18" s="215">
        <f t="shared" si="38"/>
        <v>10418526.266466755</v>
      </c>
      <c r="DZ18" s="215">
        <f t="shared" si="38"/>
        <v>10418526.266466755</v>
      </c>
      <c r="EA18" s="215">
        <f t="shared" si="38"/>
        <v>10418526.266466755</v>
      </c>
      <c r="EB18" s="215">
        <f t="shared" si="38"/>
        <v>10418526.266466755</v>
      </c>
      <c r="EC18" s="215">
        <f t="shared" si="38"/>
        <v>10418526.266466755</v>
      </c>
      <c r="ED18" s="215">
        <f t="shared" si="38"/>
        <v>10418526.266466755</v>
      </c>
      <c r="EE18" s="215">
        <f t="shared" si="38"/>
        <v>10418526.266466755</v>
      </c>
      <c r="EF18" s="215">
        <f t="shared" si="38"/>
        <v>10418526.266466755</v>
      </c>
      <c r="EG18" s="215">
        <f t="shared" ref="EG18:GR18" si="39">EF18+EG17</f>
        <v>10418526.266466755</v>
      </c>
      <c r="EH18" s="215">
        <f t="shared" si="39"/>
        <v>10418526.266466755</v>
      </c>
      <c r="EI18" s="215">
        <f t="shared" si="39"/>
        <v>10418526.266466755</v>
      </c>
      <c r="EJ18" s="215">
        <f t="shared" si="39"/>
        <v>10418526.266466755</v>
      </c>
      <c r="EK18" s="215">
        <f t="shared" si="39"/>
        <v>10418526.266466755</v>
      </c>
      <c r="EL18" s="215">
        <f t="shared" si="39"/>
        <v>10418526.266466755</v>
      </c>
      <c r="EM18" s="215">
        <f t="shared" si="39"/>
        <v>10418526.266466755</v>
      </c>
      <c r="EN18" s="215">
        <f t="shared" si="39"/>
        <v>10418526.266466755</v>
      </c>
      <c r="EO18" s="215">
        <f t="shared" si="39"/>
        <v>10418526.266466755</v>
      </c>
      <c r="EP18" s="215">
        <f t="shared" si="39"/>
        <v>10418526.266466755</v>
      </c>
      <c r="EQ18" s="215">
        <f t="shared" si="39"/>
        <v>10418526.266466755</v>
      </c>
      <c r="ER18" s="215">
        <f t="shared" si="39"/>
        <v>10418526.266466755</v>
      </c>
      <c r="ES18" s="215">
        <f t="shared" si="39"/>
        <v>10418526.266466755</v>
      </c>
      <c r="ET18" s="215">
        <f t="shared" si="39"/>
        <v>10418526.266466755</v>
      </c>
      <c r="EU18" s="215">
        <f t="shared" si="39"/>
        <v>10418526.266466755</v>
      </c>
      <c r="EV18" s="215">
        <f t="shared" si="39"/>
        <v>10418526.266466755</v>
      </c>
      <c r="EW18" s="215">
        <f t="shared" si="39"/>
        <v>10418526.266466755</v>
      </c>
      <c r="EX18" s="215">
        <f t="shared" si="39"/>
        <v>10418526.266466755</v>
      </c>
      <c r="EY18" s="215">
        <f t="shared" si="39"/>
        <v>10418526.266466755</v>
      </c>
      <c r="EZ18" s="215">
        <f t="shared" si="39"/>
        <v>10418526.266466755</v>
      </c>
      <c r="FA18" s="215">
        <f t="shared" si="39"/>
        <v>10418526.266466755</v>
      </c>
      <c r="FB18" s="215">
        <f t="shared" si="39"/>
        <v>10418526.266466755</v>
      </c>
      <c r="FC18" s="215">
        <f t="shared" si="39"/>
        <v>10418526.266466755</v>
      </c>
      <c r="FD18" s="215">
        <f t="shared" si="39"/>
        <v>10418526.266466755</v>
      </c>
      <c r="FE18" s="215">
        <f t="shared" si="39"/>
        <v>10418526.266466755</v>
      </c>
      <c r="FF18" s="215">
        <f t="shared" si="39"/>
        <v>10418526.266466755</v>
      </c>
      <c r="FG18" s="215">
        <f t="shared" si="39"/>
        <v>10418526.266466755</v>
      </c>
      <c r="FH18" s="215">
        <f t="shared" si="39"/>
        <v>10418526.266466755</v>
      </c>
      <c r="FI18" s="215">
        <f t="shared" si="39"/>
        <v>10418526.266466755</v>
      </c>
      <c r="FJ18" s="215">
        <f t="shared" si="39"/>
        <v>10418526.266466755</v>
      </c>
      <c r="FK18" s="215">
        <f t="shared" si="39"/>
        <v>10418526.266466755</v>
      </c>
      <c r="FL18" s="215">
        <f t="shared" si="39"/>
        <v>10418526.266466755</v>
      </c>
      <c r="FM18" s="215">
        <f t="shared" si="39"/>
        <v>10418526.266466755</v>
      </c>
      <c r="FN18" s="215">
        <f t="shared" si="39"/>
        <v>10418526.266466755</v>
      </c>
      <c r="FO18" s="215">
        <f t="shared" si="39"/>
        <v>10418526.266466755</v>
      </c>
      <c r="FP18" s="215">
        <f t="shared" si="39"/>
        <v>10418526.266466755</v>
      </c>
      <c r="FQ18" s="215">
        <f t="shared" si="39"/>
        <v>10418526.266466755</v>
      </c>
      <c r="FR18" s="215">
        <f t="shared" si="39"/>
        <v>10418526.266466755</v>
      </c>
      <c r="FS18" s="215">
        <f t="shared" si="39"/>
        <v>10418526.266466755</v>
      </c>
      <c r="FT18" s="215">
        <f t="shared" si="39"/>
        <v>10418526.266466755</v>
      </c>
      <c r="FU18" s="215">
        <f t="shared" si="39"/>
        <v>10418526.266466755</v>
      </c>
      <c r="FV18" s="215">
        <f t="shared" si="39"/>
        <v>10418526.266466755</v>
      </c>
      <c r="FW18" s="215">
        <f t="shared" si="39"/>
        <v>10418526.266466755</v>
      </c>
      <c r="FX18" s="215">
        <f t="shared" si="39"/>
        <v>10418526.266466755</v>
      </c>
      <c r="FY18" s="215">
        <f t="shared" si="39"/>
        <v>10418526.266466755</v>
      </c>
      <c r="FZ18" s="215">
        <f t="shared" si="39"/>
        <v>10418526.266466755</v>
      </c>
      <c r="GA18" s="215">
        <f t="shared" si="39"/>
        <v>10418526.266466755</v>
      </c>
      <c r="GB18" s="215">
        <f t="shared" si="39"/>
        <v>10418526.266466755</v>
      </c>
      <c r="GC18" s="215">
        <f t="shared" si="39"/>
        <v>10418526.266466755</v>
      </c>
      <c r="GD18" s="215">
        <f t="shared" si="39"/>
        <v>10418526.266466755</v>
      </c>
      <c r="GE18" s="215">
        <f t="shared" si="39"/>
        <v>10418526.266466755</v>
      </c>
      <c r="GF18" s="215">
        <f t="shared" si="39"/>
        <v>10418526.266466755</v>
      </c>
      <c r="GG18" s="215">
        <f t="shared" si="39"/>
        <v>10418526.266466755</v>
      </c>
      <c r="GH18" s="215">
        <f t="shared" si="39"/>
        <v>10418526.266466755</v>
      </c>
      <c r="GI18" s="215">
        <f t="shared" si="39"/>
        <v>10418526.266466755</v>
      </c>
      <c r="GJ18" s="215">
        <f t="shared" si="39"/>
        <v>10418526.266466755</v>
      </c>
      <c r="GK18" s="215">
        <f t="shared" si="39"/>
        <v>10418526.266466755</v>
      </c>
      <c r="GL18" s="215">
        <f t="shared" si="39"/>
        <v>10418526.266466755</v>
      </c>
      <c r="GM18" s="215">
        <f t="shared" si="39"/>
        <v>10418526.266466755</v>
      </c>
      <c r="GN18" s="215">
        <f t="shared" si="39"/>
        <v>10418526.266466755</v>
      </c>
      <c r="GO18" s="215">
        <f t="shared" si="39"/>
        <v>10418526.266466755</v>
      </c>
      <c r="GP18" s="215">
        <f t="shared" si="39"/>
        <v>10418526.266466755</v>
      </c>
      <c r="GQ18" s="215">
        <f t="shared" si="39"/>
        <v>10418526.266466755</v>
      </c>
      <c r="GR18" s="215">
        <f t="shared" si="39"/>
        <v>10418526.266466755</v>
      </c>
      <c r="GS18" s="215">
        <f t="shared" ref="GS18:JD18" si="40">GR18+GS17</f>
        <v>10418526.266466755</v>
      </c>
      <c r="GT18" s="215">
        <f t="shared" si="40"/>
        <v>10418526.266466755</v>
      </c>
      <c r="GU18" s="215">
        <f t="shared" si="40"/>
        <v>10418526.266466755</v>
      </c>
      <c r="GV18" s="215">
        <f t="shared" si="40"/>
        <v>10418526.266466755</v>
      </c>
      <c r="GW18" s="215">
        <f t="shared" si="40"/>
        <v>10418526.266466755</v>
      </c>
      <c r="GX18" s="215">
        <f t="shared" si="40"/>
        <v>10418526.266466755</v>
      </c>
      <c r="GY18" s="215">
        <f t="shared" si="40"/>
        <v>10418526.266466755</v>
      </c>
      <c r="GZ18" s="215">
        <f t="shared" si="40"/>
        <v>10418526.266466755</v>
      </c>
      <c r="HA18" s="215">
        <f t="shared" si="40"/>
        <v>10418526.266466755</v>
      </c>
      <c r="HB18" s="215">
        <f t="shared" si="40"/>
        <v>10418526.266466755</v>
      </c>
      <c r="HC18" s="215">
        <f t="shared" si="40"/>
        <v>10418526.266466755</v>
      </c>
      <c r="HD18" s="215">
        <f t="shared" si="40"/>
        <v>10418526.266466755</v>
      </c>
      <c r="HE18" s="215">
        <f t="shared" si="40"/>
        <v>10418526.266466755</v>
      </c>
      <c r="HF18" s="215">
        <f t="shared" si="40"/>
        <v>10418526.266466755</v>
      </c>
      <c r="HG18" s="215">
        <f t="shared" si="40"/>
        <v>10418526.266466755</v>
      </c>
      <c r="HH18" s="215">
        <f t="shared" si="40"/>
        <v>10418526.266466755</v>
      </c>
      <c r="HI18" s="215">
        <f t="shared" si="40"/>
        <v>10418526.266466755</v>
      </c>
      <c r="HJ18" s="215">
        <f t="shared" si="40"/>
        <v>10418526.266466755</v>
      </c>
      <c r="HK18" s="215">
        <f t="shared" si="40"/>
        <v>10418526.266466755</v>
      </c>
      <c r="HL18" s="215">
        <f t="shared" si="40"/>
        <v>10418526.266466755</v>
      </c>
      <c r="HM18" s="215">
        <f t="shared" si="40"/>
        <v>10418526.266466755</v>
      </c>
      <c r="HN18" s="215">
        <f t="shared" si="40"/>
        <v>10418526.266466755</v>
      </c>
      <c r="HO18" s="215">
        <f t="shared" si="40"/>
        <v>10418526.266466755</v>
      </c>
      <c r="HP18" s="215">
        <f t="shared" si="40"/>
        <v>10418526.266466755</v>
      </c>
      <c r="HQ18" s="215">
        <f t="shared" si="40"/>
        <v>10418526.266466755</v>
      </c>
      <c r="HR18" s="215">
        <f t="shared" si="40"/>
        <v>10418526.266466755</v>
      </c>
      <c r="HS18" s="215">
        <f t="shared" si="40"/>
        <v>10418526.266466755</v>
      </c>
      <c r="HT18" s="215">
        <f t="shared" si="40"/>
        <v>10418526.266466755</v>
      </c>
      <c r="HU18" s="215">
        <f t="shared" si="40"/>
        <v>10418526.266466755</v>
      </c>
      <c r="HV18" s="215">
        <f t="shared" si="40"/>
        <v>10418526.266466755</v>
      </c>
      <c r="HW18" s="215">
        <f t="shared" si="40"/>
        <v>10418526.266466755</v>
      </c>
      <c r="HX18" s="215">
        <f t="shared" si="40"/>
        <v>10418526.266466755</v>
      </c>
      <c r="HY18" s="215">
        <f t="shared" si="40"/>
        <v>10418526.266466755</v>
      </c>
      <c r="HZ18" s="215">
        <f t="shared" si="40"/>
        <v>10418526.266466755</v>
      </c>
      <c r="IA18" s="215">
        <f t="shared" si="40"/>
        <v>10418526.266466755</v>
      </c>
      <c r="IB18" s="215">
        <f t="shared" si="40"/>
        <v>10418526.266466755</v>
      </c>
      <c r="IC18" s="215">
        <f t="shared" si="40"/>
        <v>10418526.266466755</v>
      </c>
      <c r="ID18" s="215">
        <f t="shared" si="40"/>
        <v>10418526.266466755</v>
      </c>
      <c r="IE18" s="215">
        <f t="shared" si="40"/>
        <v>10418526.266466755</v>
      </c>
      <c r="IF18" s="215">
        <f t="shared" si="40"/>
        <v>10418526.266466755</v>
      </c>
      <c r="IG18" s="215">
        <f t="shared" si="40"/>
        <v>10418526.266466755</v>
      </c>
      <c r="IH18" s="215">
        <f t="shared" si="40"/>
        <v>10418526.266466755</v>
      </c>
      <c r="II18" s="215">
        <f t="shared" si="40"/>
        <v>10418526.266466755</v>
      </c>
      <c r="IJ18" s="215">
        <f t="shared" si="40"/>
        <v>10418526.266466755</v>
      </c>
      <c r="IK18" s="215">
        <f t="shared" si="40"/>
        <v>10418526.266466755</v>
      </c>
      <c r="IL18" s="215">
        <f t="shared" si="40"/>
        <v>10418526.266466755</v>
      </c>
      <c r="IM18" s="215">
        <f t="shared" si="40"/>
        <v>10418526.266466755</v>
      </c>
      <c r="IN18" s="215">
        <f t="shared" si="40"/>
        <v>10418526.266466755</v>
      </c>
      <c r="IO18" s="215">
        <f t="shared" si="40"/>
        <v>10418526.266466755</v>
      </c>
      <c r="IP18" s="215">
        <f t="shared" si="40"/>
        <v>10418526.266466755</v>
      </c>
      <c r="IQ18" s="215">
        <f t="shared" si="40"/>
        <v>10418526.266466755</v>
      </c>
      <c r="IR18" s="215">
        <f t="shared" si="40"/>
        <v>10418526.266466755</v>
      </c>
      <c r="IS18" s="215">
        <f t="shared" si="40"/>
        <v>10418526.266466755</v>
      </c>
      <c r="IT18" s="215">
        <f t="shared" si="40"/>
        <v>10418526.266466755</v>
      </c>
      <c r="IU18" s="215">
        <f t="shared" si="40"/>
        <v>10418526.266466755</v>
      </c>
      <c r="IV18" s="215">
        <f t="shared" si="40"/>
        <v>10418526.266466755</v>
      </c>
      <c r="IW18" s="215">
        <f t="shared" si="40"/>
        <v>10418526.266466755</v>
      </c>
      <c r="IX18" s="215">
        <f t="shared" si="40"/>
        <v>10418526.266466755</v>
      </c>
      <c r="IY18" s="215">
        <f t="shared" si="40"/>
        <v>10418526.266466755</v>
      </c>
      <c r="IZ18" s="215">
        <f t="shared" si="40"/>
        <v>10418526.266466755</v>
      </c>
      <c r="JA18" s="215">
        <f t="shared" si="40"/>
        <v>10418526.266466755</v>
      </c>
      <c r="JB18" s="215">
        <f t="shared" si="40"/>
        <v>10418526.266466755</v>
      </c>
      <c r="JC18" s="215">
        <f t="shared" si="40"/>
        <v>10418526.266466755</v>
      </c>
      <c r="JD18" s="215">
        <f t="shared" si="40"/>
        <v>10418526.266466755</v>
      </c>
      <c r="JE18" s="215">
        <f t="shared" ref="JE18:LD18" si="41">JD18+JE17</f>
        <v>10418526.266466755</v>
      </c>
      <c r="JF18" s="215">
        <f t="shared" si="41"/>
        <v>10418526.266466755</v>
      </c>
      <c r="JG18" s="215">
        <f t="shared" si="41"/>
        <v>10418526.266466755</v>
      </c>
      <c r="JH18" s="215">
        <f t="shared" si="41"/>
        <v>10418526.266466755</v>
      </c>
      <c r="JI18" s="215">
        <f t="shared" si="41"/>
        <v>10418526.266466755</v>
      </c>
      <c r="JJ18" s="215">
        <f t="shared" si="41"/>
        <v>10418526.266466755</v>
      </c>
      <c r="JK18" s="215">
        <f t="shared" si="41"/>
        <v>10418526.266466755</v>
      </c>
      <c r="JL18" s="215">
        <f t="shared" si="41"/>
        <v>10418526.266466755</v>
      </c>
      <c r="JM18" s="215">
        <f t="shared" si="41"/>
        <v>10418526.266466755</v>
      </c>
      <c r="JN18" s="215">
        <f t="shared" si="41"/>
        <v>10418526.266466755</v>
      </c>
      <c r="JO18" s="215">
        <f t="shared" si="41"/>
        <v>10418526.266466755</v>
      </c>
      <c r="JP18" s="215">
        <f t="shared" si="41"/>
        <v>10418526.266466755</v>
      </c>
      <c r="JQ18" s="215">
        <f t="shared" si="41"/>
        <v>10418526.266466755</v>
      </c>
      <c r="JR18" s="215">
        <f t="shared" si="41"/>
        <v>10418526.266466755</v>
      </c>
      <c r="JS18" s="215">
        <f t="shared" si="41"/>
        <v>10418526.266466755</v>
      </c>
      <c r="JT18" s="215">
        <f t="shared" si="41"/>
        <v>10418526.266466755</v>
      </c>
      <c r="JU18" s="215">
        <f t="shared" si="41"/>
        <v>10418526.266466755</v>
      </c>
      <c r="JV18" s="215">
        <f t="shared" si="41"/>
        <v>10418526.266466755</v>
      </c>
      <c r="JW18" s="215">
        <f t="shared" si="41"/>
        <v>10418526.266466755</v>
      </c>
      <c r="JX18" s="215">
        <f t="shared" si="41"/>
        <v>10418526.266466755</v>
      </c>
      <c r="JY18" s="215">
        <f t="shared" si="41"/>
        <v>10418526.266466755</v>
      </c>
      <c r="JZ18" s="215">
        <f t="shared" si="41"/>
        <v>10418526.266466755</v>
      </c>
      <c r="KA18" s="215">
        <f t="shared" si="41"/>
        <v>10418526.266466755</v>
      </c>
      <c r="KB18" s="215">
        <f t="shared" si="41"/>
        <v>10418526.266466755</v>
      </c>
      <c r="KC18" s="215">
        <f t="shared" si="41"/>
        <v>10418526.266466755</v>
      </c>
      <c r="KD18" s="215">
        <f t="shared" si="41"/>
        <v>10418526.266466755</v>
      </c>
      <c r="KE18" s="215">
        <f t="shared" si="41"/>
        <v>10418526.266466755</v>
      </c>
      <c r="KF18" s="215">
        <f t="shared" si="41"/>
        <v>10418526.266466755</v>
      </c>
      <c r="KG18" s="215">
        <f t="shared" si="41"/>
        <v>10418526.266466755</v>
      </c>
      <c r="KH18" s="215">
        <f t="shared" si="41"/>
        <v>10418526.266466755</v>
      </c>
      <c r="KI18" s="215">
        <f t="shared" si="41"/>
        <v>10418526.266466755</v>
      </c>
      <c r="KJ18" s="215">
        <f t="shared" si="41"/>
        <v>10418526.266466755</v>
      </c>
      <c r="KK18" s="215">
        <f t="shared" si="41"/>
        <v>10418526.266466755</v>
      </c>
      <c r="KL18" s="215">
        <f t="shared" si="41"/>
        <v>10418526.266466755</v>
      </c>
      <c r="KM18" s="215">
        <f t="shared" si="41"/>
        <v>10418526.266466755</v>
      </c>
      <c r="KN18" s="215">
        <f t="shared" si="41"/>
        <v>10418526.266466755</v>
      </c>
      <c r="KO18" s="215">
        <f t="shared" si="41"/>
        <v>10418526.266466755</v>
      </c>
      <c r="KP18" s="215">
        <f t="shared" si="41"/>
        <v>10418526.266466755</v>
      </c>
      <c r="KQ18" s="215">
        <f t="shared" si="41"/>
        <v>10418526.266466755</v>
      </c>
      <c r="KR18" s="215">
        <f t="shared" si="41"/>
        <v>10418526.266466755</v>
      </c>
      <c r="KS18" s="215">
        <f t="shared" si="41"/>
        <v>10418526.266466755</v>
      </c>
      <c r="KT18" s="215">
        <f t="shared" si="41"/>
        <v>10418526.266466755</v>
      </c>
      <c r="KU18" s="215">
        <f t="shared" si="41"/>
        <v>10418526.266466755</v>
      </c>
      <c r="KV18" s="215">
        <f t="shared" si="41"/>
        <v>10418526.266466755</v>
      </c>
      <c r="KW18" s="215">
        <f t="shared" si="41"/>
        <v>10418526.266466755</v>
      </c>
      <c r="KX18" s="215">
        <f t="shared" si="41"/>
        <v>10418526.266466755</v>
      </c>
      <c r="KY18" s="215">
        <f t="shared" si="41"/>
        <v>10418526.266466755</v>
      </c>
      <c r="KZ18" s="215">
        <f t="shared" si="41"/>
        <v>10418526.266466755</v>
      </c>
      <c r="LA18" s="215">
        <f t="shared" si="41"/>
        <v>10418526.266466755</v>
      </c>
      <c r="LB18" s="215">
        <f t="shared" si="41"/>
        <v>10418526.266466755</v>
      </c>
      <c r="LC18" s="215">
        <f t="shared" si="41"/>
        <v>10418526.266466755</v>
      </c>
      <c r="LD18" s="215">
        <f t="shared" si="41"/>
        <v>10418526.266466755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F7" sqref="F7"/>
    </sheetView>
  </sheetViews>
  <sheetFormatPr defaultColWidth="12.46484375" defaultRowHeight="14.25"/>
  <cols>
    <col min="1" max="1" width="39.46484375" style="367" bestFit="1" customWidth="1"/>
    <col min="2" max="2" width="17.19921875" style="368" bestFit="1" customWidth="1"/>
    <col min="3" max="3" width="13.19921875" style="367" bestFit="1" customWidth="1"/>
    <col min="4" max="5" width="14.796875" style="367" bestFit="1" customWidth="1"/>
    <col min="6" max="6" width="13.19921875" style="367" bestFit="1" customWidth="1"/>
    <col min="7" max="7" width="4.796875" style="367" bestFit="1" customWidth="1"/>
    <col min="8" max="8" width="13.19921875" style="367" bestFit="1" customWidth="1"/>
    <col min="9" max="9" width="14.796875" style="367" bestFit="1" customWidth="1"/>
    <col min="10" max="11" width="16" style="367" bestFit="1" customWidth="1"/>
    <col min="12" max="12" width="6.46484375" style="367" bestFit="1" customWidth="1"/>
    <col min="13" max="13" width="14.19921875" style="367" bestFit="1" customWidth="1"/>
    <col min="14" max="14" width="13.53125" style="367" bestFit="1" customWidth="1"/>
    <col min="15" max="18" width="11.46484375" style="367" bestFit="1" customWidth="1"/>
    <col min="19" max="19" width="13.53125" style="367" bestFit="1" customWidth="1"/>
    <col min="20" max="16384" width="12.464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528</v>
      </c>
      <c r="B3" s="446" t="s">
        <v>529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530</v>
      </c>
      <c r="B4" t="s">
        <v>531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t="s">
        <v>532</v>
      </c>
      <c r="K4"/>
      <c r="L4"/>
      <c r="M4"/>
      <c r="N4"/>
      <c r="O4"/>
      <c r="P4"/>
      <c r="Q4"/>
      <c r="R4"/>
      <c r="S4"/>
      <c r="T4"/>
    </row>
    <row r="5" spans="1:20">
      <c r="A5" s="447" t="s">
        <v>531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337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>
        <v>3072814.1612903224</v>
      </c>
      <c r="K6"/>
      <c r="L6"/>
      <c r="M6"/>
      <c r="N6"/>
      <c r="O6"/>
      <c r="P6"/>
      <c r="Q6"/>
      <c r="R6"/>
      <c r="S6"/>
      <c r="T6"/>
    </row>
    <row r="7" spans="1:20">
      <c r="A7" s="447" t="s">
        <v>350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>
        <v>827956.98924731184</v>
      </c>
      <c r="K7"/>
      <c r="L7"/>
      <c r="M7"/>
      <c r="N7"/>
      <c r="O7"/>
      <c r="P7"/>
      <c r="Q7"/>
      <c r="R7"/>
      <c r="S7"/>
      <c r="T7"/>
    </row>
    <row r="8" spans="1:20">
      <c r="A8" s="447" t="s">
        <v>361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/>
      <c r="J8" s="372">
        <v>1189051.8387096776</v>
      </c>
      <c r="K8"/>
      <c r="L8"/>
      <c r="M8"/>
      <c r="N8"/>
      <c r="O8"/>
      <c r="P8"/>
      <c r="Q8"/>
      <c r="R8"/>
      <c r="S8"/>
      <c r="T8"/>
    </row>
    <row r="9" spans="1:20">
      <c r="A9" s="447" t="s">
        <v>380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42855.948013223118</v>
      </c>
      <c r="I9" s="372">
        <v>85711.896026446237</v>
      </c>
      <c r="J9" s="372">
        <v>1201602.2580645159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396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>
        <v>52688.168003628329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419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96211.761605293068</v>
      </c>
      <c r="I11" s="372">
        <v>192423.52321058611</v>
      </c>
      <c r="J11" s="372">
        <v>1624768.0644630389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426</v>
      </c>
      <c r="B12" s="372">
        <v>0</v>
      </c>
      <c r="C12" s="372"/>
      <c r="D12" s="372">
        <v>266785.58618481358</v>
      </c>
      <c r="E12" s="372"/>
      <c r="F12" s="372"/>
      <c r="G12" s="372">
        <v>0</v>
      </c>
      <c r="H12" s="372">
        <v>55795.058976476743</v>
      </c>
      <c r="I12" s="372"/>
      <c r="J12" s="372">
        <v>322580.6451612903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437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180704.40340909091</v>
      </c>
      <c r="I13" s="372">
        <v>361408.80681818182</v>
      </c>
      <c r="J13" s="372">
        <v>1204696.0227272727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442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20423.783059702619</v>
      </c>
      <c r="I14" s="372">
        <v>40847.566119405245</v>
      </c>
      <c r="J14" s="372">
        <v>209591.43749934805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455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>
        <v>206832.67024447303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468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>
        <v>487762.08457115805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476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2330.7654933327576</v>
      </c>
      <c r="I17" s="372">
        <v>2330.7654933327576</v>
      </c>
      <c r="J17" s="372">
        <v>28000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480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465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424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532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690536.21604228683</v>
      </c>
      <c r="G21" s="372">
        <v>0</v>
      </c>
      <c r="H21" s="372">
        <v>398321.72055711923</v>
      </c>
      <c r="I21" s="372">
        <v>1224780.528909591</v>
      </c>
      <c r="J21" s="372">
        <v>10428344.339982038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Normal="100" workbookViewId="0">
      <selection activeCell="F21" sqref="F21"/>
    </sheetView>
  </sheetViews>
  <sheetFormatPr defaultColWidth="8.46484375" defaultRowHeight="14.25"/>
  <cols>
    <col min="1" max="1" width="21.796875" bestFit="1" customWidth="1"/>
    <col min="2" max="2" width="17.19921875" style="407" bestFit="1" customWidth="1"/>
    <col min="3" max="3" width="13.19921875" style="407" bestFit="1" customWidth="1"/>
    <col min="4" max="4" width="14.796875" style="407" bestFit="1" customWidth="1"/>
    <col min="5" max="6" width="13.19921875" style="407" bestFit="1" customWidth="1"/>
    <col min="7" max="7" width="13.53125" style="407" bestFit="1" customWidth="1"/>
    <col min="8" max="9" width="13.19921875" style="407" bestFit="1" customWidth="1"/>
    <col min="10" max="11" width="14.796875" bestFit="1" customWidth="1"/>
    <col min="12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0">
      <c r="A3" s="446" t="s">
        <v>533</v>
      </c>
      <c r="B3" s="446" t="s">
        <v>529</v>
      </c>
      <c r="C3"/>
      <c r="D3"/>
      <c r="E3"/>
      <c r="F3"/>
      <c r="G3"/>
      <c r="H3"/>
      <c r="I3"/>
    </row>
    <row r="4" spans="1:10">
      <c r="A4" s="446" t="s">
        <v>530</v>
      </c>
      <c r="B4" t="s">
        <v>531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t="s">
        <v>532</v>
      </c>
    </row>
    <row r="5" spans="1:10">
      <c r="A5" s="447" t="s">
        <v>531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0">
      <c r="A6" s="447" t="s">
        <v>337</v>
      </c>
      <c r="B6" s="449"/>
      <c r="C6" s="449"/>
      <c r="D6" s="449">
        <v>2653053</v>
      </c>
      <c r="E6" s="449"/>
      <c r="F6" s="449"/>
      <c r="G6" s="449"/>
      <c r="H6" s="449">
        <v>4136.3999999999996</v>
      </c>
      <c r="I6" s="449"/>
      <c r="J6" s="449">
        <v>2657189.4</v>
      </c>
    </row>
    <row r="7" spans="1:10">
      <c r="A7" s="447" t="s">
        <v>350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>
        <v>757573.93799999997</v>
      </c>
    </row>
    <row r="8" spans="1:10">
      <c r="A8" s="447" t="s">
        <v>361</v>
      </c>
      <c r="B8" s="449"/>
      <c r="C8" s="449"/>
      <c r="D8" s="449">
        <v>339516.22</v>
      </c>
      <c r="E8" s="449">
        <v>71394.92</v>
      </c>
      <c r="F8" s="449"/>
      <c r="G8" s="449"/>
      <c r="H8" s="449">
        <v>15556.95</v>
      </c>
      <c r="I8" s="449"/>
      <c r="J8" s="449">
        <v>426468.08999999997</v>
      </c>
    </row>
    <row r="9" spans="1:10">
      <c r="A9" s="447" t="s">
        <v>380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25449.78</v>
      </c>
      <c r="I9" s="449">
        <v>50899.560000000005</v>
      </c>
      <c r="J9" s="449">
        <v>713565.20000000019</v>
      </c>
    </row>
    <row r="10" spans="1:10">
      <c r="A10" s="447" t="s">
        <v>396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>
        <v>91265.29</v>
      </c>
    </row>
    <row r="11" spans="1:10">
      <c r="A11" s="447" t="s">
        <v>419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34726.32</v>
      </c>
      <c r="I11" s="449">
        <v>69452.639999999999</v>
      </c>
      <c r="J11" s="449">
        <v>586437.81999999995</v>
      </c>
    </row>
    <row r="12" spans="1:10">
      <c r="A12" s="447" t="s">
        <v>426</v>
      </c>
      <c r="B12" s="449"/>
      <c r="C12" s="449"/>
      <c r="D12" s="449">
        <v>232956</v>
      </c>
      <c r="E12" s="449"/>
      <c r="F12" s="449"/>
      <c r="G12" s="449"/>
      <c r="H12" s="449">
        <v>48720</v>
      </c>
      <c r="I12" s="449"/>
      <c r="J12" s="449">
        <v>281676</v>
      </c>
    </row>
    <row r="13" spans="1:10">
      <c r="A13" s="447" t="s">
        <v>437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165793.83000000002</v>
      </c>
      <c r="I13" s="449">
        <v>331587.65999999997</v>
      </c>
      <c r="J13" s="449">
        <v>1105292.2</v>
      </c>
    </row>
    <row r="14" spans="1:10">
      <c r="A14" s="447" t="s">
        <v>442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29481.600000000002</v>
      </c>
      <c r="I14" s="449">
        <v>58963.199999999997</v>
      </c>
      <c r="J14" s="449">
        <v>302543.90000000002</v>
      </c>
    </row>
    <row r="15" spans="1:10">
      <c r="A15" s="447" t="s">
        <v>455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>
        <v>142343.85</v>
      </c>
    </row>
    <row r="16" spans="1:10">
      <c r="A16" s="447" t="s">
        <v>468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>
        <v>130354.30432724001</v>
      </c>
    </row>
    <row r="17" spans="1:10">
      <c r="A17" s="447" t="s">
        <v>476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8500</v>
      </c>
      <c r="I17" s="449">
        <v>8500</v>
      </c>
      <c r="J17" s="449">
        <v>47089.799999999996</v>
      </c>
    </row>
    <row r="18" spans="1:10">
      <c r="A18" s="447" t="s">
        <v>480</v>
      </c>
      <c r="B18" s="449"/>
      <c r="C18" s="449"/>
      <c r="D18" s="449"/>
      <c r="E18" s="449"/>
      <c r="F18" s="449">
        <v>104852.72</v>
      </c>
      <c r="G18" s="449"/>
      <c r="H18" s="449">
        <v>5717.4400000000023</v>
      </c>
      <c r="I18" s="449"/>
      <c r="J18" s="449">
        <v>110570.16</v>
      </c>
    </row>
    <row r="19" spans="1:10">
      <c r="A19" s="447" t="s">
        <v>465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424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532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338082.32</v>
      </c>
      <c r="I21" s="449">
        <v>693761.61432724004</v>
      </c>
      <c r="J21" s="449">
        <v>7352369.9523272412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534</v>
      </c>
    </row>
    <row r="2" spans="1:4">
      <c r="A2" s="812"/>
      <c r="B2" s="812"/>
      <c r="C2" s="812"/>
      <c r="D2" s="71"/>
    </row>
    <row r="3" spans="1:4">
      <c r="A3" s="811" t="s">
        <v>535</v>
      </c>
      <c r="B3" s="811"/>
      <c r="C3" s="811"/>
      <c r="D3" s="111">
        <v>0.32</v>
      </c>
    </row>
    <row r="4" spans="1:4">
      <c r="A4" s="811" t="s">
        <v>495</v>
      </c>
      <c r="B4" s="811"/>
      <c r="C4" s="811"/>
      <c r="D4" s="111">
        <v>0.5</v>
      </c>
    </row>
    <row r="5" spans="1:4">
      <c r="A5" s="811" t="s">
        <v>506</v>
      </c>
      <c r="B5" s="811"/>
      <c r="C5" s="811"/>
      <c r="D5" s="111">
        <v>0.15</v>
      </c>
    </row>
    <row r="6" spans="1:4">
      <c r="A6" s="811" t="s">
        <v>536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199218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3" t="s">
        <v>537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.15">
      <c r="B4" s="92" t="s">
        <v>97</v>
      </c>
      <c r="C4" s="86"/>
      <c r="D4" s="90" t="s">
        <v>538</v>
      </c>
      <c r="E4" s="95"/>
      <c r="F4" s="90" t="s">
        <v>539</v>
      </c>
      <c r="H4" s="90" t="s">
        <v>540</v>
      </c>
      <c r="I4" s="95"/>
      <c r="J4" s="90" t="s">
        <v>541</v>
      </c>
      <c r="L4" s="90" t="s">
        <v>540</v>
      </c>
      <c r="M4" s="90"/>
      <c r="N4" s="90" t="s">
        <v>542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543</v>
      </c>
      <c r="H7" s="99"/>
      <c r="I7" s="95"/>
      <c r="J7" s="107" t="s">
        <v>543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544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545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546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543</v>
      </c>
      <c r="H15" s="99"/>
      <c r="I15" s="95"/>
      <c r="J15" s="107" t="s">
        <v>543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546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543</v>
      </c>
      <c r="H21" s="99"/>
      <c r="I21" s="95"/>
      <c r="J21" s="107" t="s">
        <v>543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546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543</v>
      </c>
      <c r="H27" s="99"/>
      <c r="I27" s="95"/>
      <c r="J27" s="107" t="s">
        <v>543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548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546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543</v>
      </c>
      <c r="H34" s="99"/>
      <c r="I34" s="95"/>
      <c r="J34" s="107" t="s">
        <v>543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549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551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552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553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554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555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556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199218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19921875" style="88" bestFit="1" customWidth="1"/>
    <col min="16" max="16384" width="9.46484375" style="88"/>
  </cols>
  <sheetData>
    <row r="2" spans="2:15" s="94" customFormat="1" ht="17.649999999999999">
      <c r="B2" s="813" t="s">
        <v>557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.15">
      <c r="B4" s="92" t="s">
        <v>97</v>
      </c>
      <c r="C4" s="86"/>
      <c r="D4" s="90" t="s">
        <v>538</v>
      </c>
      <c r="E4" s="95"/>
      <c r="F4" s="95"/>
      <c r="G4" s="90" t="s">
        <v>558</v>
      </c>
      <c r="H4" s="96"/>
      <c r="J4" s="90" t="s">
        <v>540</v>
      </c>
      <c r="L4" s="90" t="s">
        <v>559</v>
      </c>
      <c r="M4" s="96"/>
      <c r="O4" s="90" t="s">
        <v>540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352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555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538</v>
      </c>
      <c r="E18" s="95"/>
      <c r="F18" s="95"/>
      <c r="G18" s="90" t="s">
        <v>561</v>
      </c>
      <c r="H18" s="96"/>
      <c r="J18" s="90" t="s">
        <v>540</v>
      </c>
      <c r="L18" s="90" t="s">
        <v>562</v>
      </c>
      <c r="M18" s="96"/>
      <c r="O18" s="90" t="s">
        <v>540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563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564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565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566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567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555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568</v>
      </c>
      <c r="C32" s="103"/>
      <c r="D32" s="103"/>
    </row>
    <row r="33" spans="2:4" ht="13.15" thickTop="1"/>
    <row r="34" spans="2:4">
      <c r="B34" s="88" t="s">
        <v>538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569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46484375" customWidth="1"/>
    <col min="10" max="10" width="19.53125" bestFit="1" customWidth="1"/>
  </cols>
  <sheetData>
    <row r="1" spans="2:14">
      <c r="B1" s="815" t="str">
        <f>D15</f>
        <v>Seshego Circle</v>
      </c>
      <c r="C1" s="815"/>
      <c r="D1" s="815"/>
      <c r="E1" s="814" t="s">
        <v>570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571</v>
      </c>
      <c r="D3" s="72" t="s">
        <v>572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Breakdown</vt:lpstr>
      <vt:lpstr>Expenditure Tracking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2026-02-02T06:44:53Z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