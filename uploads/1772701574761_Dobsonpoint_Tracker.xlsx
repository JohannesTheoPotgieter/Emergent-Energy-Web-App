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47" documentId="13_ncr:1_{276A5064-EF5E-409F-A608-6F0B30A0AB19}" xr6:coauthVersionLast="47" xr6:coauthVersionMax="47" xr10:uidLastSave="{C4036BB3-9904-4AC6-8B88-0EFA80E4AABB}"/>
  <bookViews>
    <workbookView xWindow="-108" yWindow="-108" windowWidth="23256" windowHeight="12456" tabRatio="580" firstSheet="1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18" l="1"/>
  <c r="M46" i="2"/>
  <c r="U155" i="18" l="1"/>
  <c r="S124" i="18"/>
  <c r="S40" i="18"/>
  <c r="S68" i="18"/>
  <c r="H6" i="5"/>
  <c r="W131" i="18" l="1"/>
  <c r="O8" i="18"/>
  <c r="I46" i="2"/>
  <c r="T21" i="2" s="1"/>
  <c r="W100" i="18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9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X9" i="6" s="1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H21" i="3" s="1"/>
  <c r="U139" i="18"/>
  <c r="V138" i="18" s="1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U138" i="18"/>
  <c r="U141" i="18"/>
  <c r="U142" i="18"/>
  <c r="U140" i="18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G22" i="2"/>
  <c r="H15" i="5"/>
  <c r="E31" i="2"/>
  <c r="J21" i="2"/>
  <c r="U16" i="2"/>
  <c r="J17" i="3"/>
  <c r="K1" i="6"/>
  <c r="I5" i="6"/>
  <c r="K35" i="2"/>
  <c r="V18" i="2"/>
  <c r="N37" i="2"/>
  <c r="V106" i="18"/>
  <c r="U14" i="2"/>
  <c r="W34" i="18"/>
  <c r="F11" i="2"/>
  <c r="V54" i="18"/>
  <c r="F5" i="3"/>
  <c r="G31" i="2"/>
  <c r="E23" i="2"/>
  <c r="I6" i="6"/>
  <c r="K5" i="6"/>
  <c r="L1" i="6"/>
  <c r="J5" i="6"/>
  <c r="D5" i="5"/>
  <c r="F25" i="3"/>
  <c r="G23" i="2"/>
  <c r="G21" i="2"/>
  <c r="E21" i="2"/>
  <c r="E36" i="2"/>
  <c r="M1" i="6"/>
  <c r="J6" i="6"/>
  <c r="K6" i="6"/>
  <c r="D6" i="5"/>
  <c r="G6" i="5" s="1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K28" i="2"/>
  <c r="J35" i="2"/>
  <c r="U18" i="2"/>
  <c r="I40" i="2"/>
  <c r="J28" i="2"/>
  <c r="U17" i="2"/>
  <c r="V17" i="2"/>
  <c r="K40" i="2"/>
  <c r="V145" i="18"/>
  <c r="W36" i="18"/>
  <c r="W64" i="18"/>
  <c r="I41" i="2"/>
  <c r="N40" i="2"/>
  <c r="K41" i="2"/>
  <c r="I39" i="2"/>
  <c r="T19" i="2"/>
  <c r="I44" i="2"/>
  <c r="J9" i="2"/>
  <c r="K39" i="2"/>
  <c r="W98" i="18"/>
  <c r="W37" i="18" s="1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HF11" i="6"/>
  <c r="AD11" i="6"/>
  <c r="JQ11" i="6"/>
  <c r="J11" i="6"/>
  <c r="HN11" i="6"/>
  <c r="DJ11" i="6"/>
  <c r="IR11" i="6"/>
  <c r="FR11" i="6"/>
  <c r="FO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CX11" i="6" l="1"/>
  <c r="T11" i="6"/>
  <c r="EE11" i="6"/>
  <c r="AZ9" i="6"/>
  <c r="D9" i="6" s="1"/>
  <c r="J21" i="3"/>
  <c r="J5" i="3" s="1"/>
  <c r="H5" i="3"/>
  <c r="F5" i="5" s="1"/>
  <c r="C11" i="6" s="1"/>
  <c r="IP11" i="6"/>
  <c r="IH11" i="6"/>
  <c r="CE11" i="6"/>
  <c r="CR11" i="6"/>
  <c r="BG11" i="6"/>
  <c r="HR11" i="6"/>
  <c r="GY11" i="6"/>
  <c r="HW11" i="6"/>
  <c r="DX11" i="6"/>
  <c r="G11" i="6"/>
  <c r="JO11" i="6"/>
  <c r="GX11" i="6"/>
  <c r="JM11" i="6"/>
  <c r="AG11" i="6"/>
  <c r="DG11" i="6"/>
  <c r="DT11" i="6"/>
  <c r="EH11" i="6"/>
  <c r="CA11" i="6"/>
  <c r="CQ11" i="6"/>
  <c r="JU11" i="6"/>
  <c r="JK11" i="6"/>
  <c r="EG11" i="6"/>
  <c r="EF11" i="6"/>
  <c r="BW11" i="6"/>
  <c r="HA11" i="6"/>
  <c r="FK11" i="6"/>
  <c r="EJ11" i="6"/>
  <c r="AX11" i="6"/>
  <c r="EZ11" i="6"/>
  <c r="FJ11" i="6"/>
  <c r="IX11" i="6"/>
  <c r="HK11" i="6"/>
  <c r="HU11" i="6"/>
  <c r="FI11" i="6"/>
  <c r="AA11" i="6"/>
  <c r="GB11" i="6"/>
  <c r="FW11" i="6"/>
  <c r="JS11" i="6"/>
  <c r="GU11" i="6"/>
  <c r="JJ11" i="6"/>
  <c r="DB11" i="6"/>
  <c r="HQ11" i="6"/>
  <c r="DN11" i="6"/>
  <c r="IN11" i="6"/>
  <c r="GF11" i="6"/>
  <c r="AW11" i="6"/>
  <c r="JP11" i="6"/>
  <c r="IA11" i="6"/>
  <c r="EX11" i="6"/>
  <c r="FG11" i="6"/>
  <c r="Q11" i="6"/>
  <c r="GH11" i="6"/>
  <c r="JE11" i="6"/>
  <c r="BV11" i="6"/>
  <c r="KZ11" i="6"/>
  <c r="KH11" i="6"/>
  <c r="HJ11" i="6"/>
  <c r="KG11" i="6"/>
  <c r="DH11" i="6"/>
  <c r="JD11" i="6"/>
  <c r="CK11" i="6"/>
  <c r="EU11" i="6"/>
  <c r="AC11" i="6"/>
  <c r="KY11" i="6"/>
  <c r="BK11" i="6"/>
  <c r="IO11" i="6"/>
  <c r="AP11" i="6"/>
  <c r="GJ11" i="6"/>
  <c r="DO11" i="6"/>
  <c r="LD11" i="6"/>
  <c r="K11" i="6"/>
  <c r="KN11" i="6"/>
  <c r="EQ11" i="6"/>
  <c r="JL11" i="6"/>
  <c r="EW11" i="6"/>
  <c r="BP11" i="6"/>
  <c r="BT11" i="6"/>
  <c r="M11" i="6"/>
  <c r="CT11" i="6"/>
  <c r="IM11" i="6"/>
  <c r="CP11" i="6"/>
  <c r="BZ11" i="6"/>
  <c r="BH11" i="6"/>
  <c r="BY11" i="6"/>
  <c r="CU11" i="6"/>
  <c r="AV11" i="6"/>
  <c r="KU11" i="6"/>
  <c r="FA11" i="6"/>
  <c r="JA11" i="6"/>
  <c r="BC11" i="6"/>
  <c r="FH11" i="6"/>
  <c r="GG11" i="6"/>
  <c r="EL11" i="6"/>
  <c r="IF11" i="6"/>
  <c r="JW11" i="6"/>
  <c r="EI11" i="6"/>
  <c r="FY11" i="6"/>
  <c r="ES11" i="6"/>
  <c r="CM11" i="6"/>
  <c r="JR11" i="6"/>
  <c r="AI11" i="6"/>
  <c r="AT11" i="6"/>
  <c r="GQ11" i="6"/>
  <c r="IW11" i="6"/>
  <c r="JC11" i="6"/>
  <c r="KJ11" i="6"/>
  <c r="U11" i="6"/>
  <c r="BD11" i="6"/>
  <c r="IB11" i="6"/>
  <c r="CH11" i="6"/>
  <c r="KI11" i="6"/>
  <c r="LB11" i="6"/>
  <c r="CZ11" i="6"/>
  <c r="GM11" i="6"/>
  <c r="AL11" i="6"/>
  <c r="HM11" i="6"/>
  <c r="CW11" i="6"/>
  <c r="DE11" i="6"/>
  <c r="CL11" i="6"/>
  <c r="HI11" i="6"/>
  <c r="IY11" i="6"/>
  <c r="FL11" i="6"/>
  <c r="FB11" i="6"/>
  <c r="HY11" i="6"/>
  <c r="GT11" i="6"/>
  <c r="O11" i="6"/>
  <c r="DS11" i="6"/>
  <c r="LC11" i="6"/>
  <c r="DP11" i="6"/>
  <c r="BJ11" i="6"/>
  <c r="HH11" i="6"/>
  <c r="EK11" i="6"/>
  <c r="DD11" i="6"/>
  <c r="KB11" i="6"/>
  <c r="L11" i="6"/>
  <c r="GE11" i="6"/>
  <c r="GK11" i="6"/>
  <c r="BR11" i="6"/>
  <c r="GN11" i="6"/>
  <c r="DQ11" i="6"/>
  <c r="FU11" i="6"/>
  <c r="IJ11" i="6"/>
  <c r="DV11" i="6"/>
  <c r="BM11" i="6"/>
  <c r="BE11" i="6"/>
  <c r="AB11" i="6"/>
  <c r="X11" i="6"/>
  <c r="GL11" i="6"/>
  <c r="IZ11" i="6"/>
  <c r="AU11" i="6"/>
  <c r="IV11" i="6"/>
  <c r="DC11" i="6"/>
  <c r="IQ11" i="6"/>
  <c r="FN11" i="6"/>
  <c r="JN11" i="6"/>
  <c r="AF11" i="6"/>
  <c r="KM11" i="6"/>
  <c r="JY11" i="6"/>
  <c r="AS11" i="6"/>
  <c r="DY11" i="6"/>
  <c r="AJ11" i="6"/>
  <c r="DL11" i="6"/>
  <c r="CD11" i="6"/>
  <c r="JT11" i="6"/>
  <c r="CF11" i="6"/>
  <c r="CB11" i="6"/>
  <c r="FS11" i="6"/>
  <c r="FZ11" i="6"/>
  <c r="FE11" i="6"/>
  <c r="ID11" i="6"/>
  <c r="GI11" i="6"/>
  <c r="BO11" i="6"/>
  <c r="CO11" i="6"/>
  <c r="DF11" i="6"/>
  <c r="GA11" i="6"/>
  <c r="BQ11" i="6"/>
  <c r="FD11" i="6"/>
  <c r="GZ11" i="6"/>
  <c r="FP11" i="6"/>
  <c r="V11" i="6"/>
  <c r="GR11" i="6"/>
  <c r="JG11" i="6"/>
  <c r="HG11" i="6"/>
  <c r="CN11" i="6"/>
  <c r="F21" i="5"/>
  <c r="S11" i="6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H25" i="3" l="1"/>
  <c r="AZ10" i="6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F4" i="5"/>
  <c r="F47" i="5"/>
  <c r="N51" i="2"/>
  <c r="N46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N9" i="2" l="1"/>
  <c r="F41" i="5"/>
  <c r="F46" i="5" s="1"/>
  <c r="F43" i="5"/>
  <c r="F44" i="5"/>
  <c r="F45" i="5"/>
  <c r="F42" i="5"/>
  <c r="F6" i="5"/>
  <c r="F7" i="5" s="1"/>
  <c r="C9" i="6"/>
  <c r="F4" i="6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<sst xmlns="http://schemas.openxmlformats.org/spreadsheetml/2006/main" count="890" uniqueCount="511">
  <si>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</si>
  <si>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</si>
  <si>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</si>
  <si>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</si>
  <si>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</si>
  <si>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</si>
  <si>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</si>
  <si>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</si>
  <si>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</si>
  <si>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</si>
  <si>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</si>
  <si>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</si>
  <si>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</si>
  <si>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</si>
  <si>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</si>
  <si>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</si>
  <si>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</si>
  <si>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</si>
  <si>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</si>
  <si>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</si>
  <si>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</si>
  <si>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</si>
  <si>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</si>
  <si>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</si>
  <si>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</si>
  <si>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</si>
  <si>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</si>
  <si>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</si>
  <si>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</si>
  <si>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</si>
  <si>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</si>
  <si>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</si>
  <si>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</si>
  <si>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</si>
  <si>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</si>
  <si>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</si>
  <si>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</si>
  <si>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</si>
  <si>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</si>
  <si>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</si>
  <si>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</si>
  <si>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</si>
  <si>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</si>
  <si>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</si>
  <si>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</si>
  <si>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</si>
  <si>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</si>
  <si>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</si>
  <si>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</si>
  <si>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</si>
  <si>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</si>
  <si>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</si>
  <si>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</si>
  <si>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</si>
  <si>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</si>
  <si>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</si>
  <si>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</si>
  <si>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</si>
  <si>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</si>
  <si>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</si>
  <si>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</si>
  <si>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</si>
  <si>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</si>
  <si>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</si>
  <si>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</si>
  <si>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</si>
  <si>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</si>
  <si>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</si>
  <si>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</si>
  <si>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</si>
  <si>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</si>
  <si>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</si>
  <si>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</si>
  <si>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</si>
  <si>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</si>
  <si>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</si>
  <si>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</si>
  <si>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</si>
  <si>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</si>
  <si>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</si>
  <si>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</si>
  <si>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</si>
  <si>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</si>
  <si>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</si>
  <si>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</si>
  <si>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</si>
  <si>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</si>
  <si>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</si>
  <si>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</si>
  <si>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</si>
  <si>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</si>
  <si>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</si>
  <si>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</si>
  <si>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</si>
  <si>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</si>
  <si>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</si>
  <si>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</si>
  <si>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</si>
  <si>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</si>
  <si>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</si>
  <si>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</si>
  <si>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</si>
  <si>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</si>
  <si>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</si>
  <si>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</si>
  <si>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</si>
  <si>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</si>
  <si>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</si>
  <si>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</si>
  <si>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</si>
  <si>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</si>
  <si>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</si>
  <si>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</si>
  <si>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</si>
  <si>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</si>
  <si>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</si>
  <si>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</si>
  <si>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</si>
  <si>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</si>
  <si>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</si>
  <si>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</si>
  <si>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</si>
  <si>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</si>
  <si>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</si>
  <si>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</si>
  <si>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</si>
  <si>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</si>
  <si>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</si>
  <si>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</si>
  <si>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</si>
  <si>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</si>
  <si>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</si>
  <si>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</si>
  <si>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</si>
  <si>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</si>
  <si>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</si>
  <si>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</si>
  <si>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</si>
  <si>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</si>
  <si>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</si>
  <si>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</si>
  <si>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</si>
  <si>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</si>
  <si>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</si>
  <si>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</si>
  <si>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</si>
  <si>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</si>
  <si>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</si>
  <si>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</si>
  <si>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</si>
  <si>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</si>
  <si>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</si>
  <si>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</si>
  <si>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</si>
  <si>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</si>
  <si>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</si>
  <si>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</si>
  <si>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</si>
  <si>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</si>
  <si>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</si>
  <si>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</si>
  <si>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</si>
  <si>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</si>
  <si>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</si>
  <si>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</si>
  <si>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</si>
  <si>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</si>
  <si>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</si>
  <si>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</si>
  <si>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</si>
  <si>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</si>
  <si>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</si>
  <si>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</si>
  <si>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</si>
  <si>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</si>
  <si>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</si>
  <si>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</si>
  <si>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</si>
  <si>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</si>
  <si>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</si>
  <si>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</si>
  <si>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</si>
  <si>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</si>
  <si>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</si>
  <si>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</si>
  <si>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</si>
  <si>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</si>
  <si>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</si>
  <si>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</si>
  <si>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</si>
  <si>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</si>
  <si>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</si>
  <si>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</si>
  <si>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</si>
  <si>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</si>
  <si>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</si>
  <si>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</si>
  <si>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</si>
  <si>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</si>
  <si>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</si>
  <si>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</si>
  <si>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</si>
  <si>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</si>
  <si>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</si>
  <si>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</si>
  <si>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</si>
  <si>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</si>
  <si>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</si>
  <si>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</si>
  <si>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</si>
  <si>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</si>
  <si>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</si>
  <si>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</si>
  <si>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</si>
  <si>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</si>
  <si>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</si>
  <si>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</si>
  <si>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</si>
  <si>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</si>
  <si>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</si>
  <si>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</si>
  <si>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</si>
  <si>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</si>
  <si>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</si>
  <si>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</si>
  <si>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</si>
  <si>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</si>
  <si>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</si>
  <si>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</si>
  <si>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</si>
  <si>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</si>
  <si>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</si>
  <si>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</si>
  <si>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</si>
  <si>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</si>
  <si>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</si>
  <si>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</si>
  <si>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</si>
  <si>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</si>
  <si>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</si>
  <si>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</si>
  <si>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</si>
  <si>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</si>
  <si>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</si>
  <si>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</si>
  <si>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</si>
  <si>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</si>
  <si>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</si>
  <si>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</si>
  <si>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</si>
  <si>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</si>
  <si>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</si>
  <si>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</si>
  <si>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</si>
  <si>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</si>
  <si>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</si>
  <si>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</si>
  <si>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</si>
  <si>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</si>
  <si>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</si>
  <si>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</si>
  <si>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</si>
  <si>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</si>
  <si>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</si>
  <si>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</si>
  <si>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</si>
  <si>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</si>
  <si>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</si>
  <si>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</si>
  <si>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</si>
  <si>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</si>
  <si>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</si>
  <si>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</si>
  <si>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</si>
  <si>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</si>
  <si>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</si>
  <si>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</si>
  <si>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</si>
  <si>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</si>
  <si>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</si>
  <si>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</si>
  <si>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</si>
  <si>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</si>
  <si>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</si>
  <si>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</si>
  <si>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</si>
  <si>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</si>
  <si>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</si>
  <si>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</si>
  <si>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</si>
  <si>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</si>
  <si>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</si>
  <si>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</si>
  <si>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</si>
  <si>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</si>
  <si>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</si>
  <si>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</si>
  <si>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</si>
  <si>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</si>
  <si>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</si>
  <si>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</si>
  <si>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</si>
  <si>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</si>
  <si>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</si>
  <si>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</si>
  <si>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</si>
  <si>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</si>
  <si>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</si>
  <si>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</si>
  <si>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</si>
  <si>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</si>
  <si>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</si>
  <si>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</si>
  <si>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</si>
  <si>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</si>
  <si>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</si>
  <si>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</si>
  <si>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</si>
  <si>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</si>
  <si>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</si>
  <si>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</si>
  <si>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</si>
  <si>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</si>
  <si>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</si>
  <si>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</si>
  <si>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</si>
  <si>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</si>
  <si>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</si>
  <si>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</si>
  <si>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</si>
  <si>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</si>
  <si>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</si>
  <si>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</si>
  <si>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</si>
  <si>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</si>
  <si>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</si>
  <si>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</si>
  <si>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</si>
  <si>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</si>
  <si>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</si>
  <si>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</si>
  <si>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</si>
  <si>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</si>
  <si>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</si>
  <si>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</si>
  <si>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</si>
  <si>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</si>
  <si>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</si>
  <si>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</si>
  <si>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</si>
  <si>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</si>
  <si>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</si>
  <si>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</si>
  <si>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</si>
  <si>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</si>
  <si>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</si>
  <si>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</si>
  <si>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</si>
  <si>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</si>
  <si>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</si>
  <si>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</si>
  <si>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</si>
  <si>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</si>
  <si>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</si>
  <si>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</si>
  <si>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</si>
  <si>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</si>
  <si>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</si>
  <si>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</si>
  <si>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</si>
  <si>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</si>
  <si>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</si>
  <si>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</si>
  <si>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</si>
  <si>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</si>
  <si>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</si>
  <si>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</si>
  <si>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</si>
  <si>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</si>
  <si>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</si>
  <si>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</si>
  <si>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</si>
  <si>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</si>
  <si>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</si>
  <si>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</si>
  <si>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</si>
  <si>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</si>
  <si>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</si>
  <si>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</si>
  <si>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</si>
  <si>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</si>
  <si>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</si>
  <si>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</si>
  <si>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</si>
  <si>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</si>
  <si>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</si>
  <si>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</si>
  <si>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</si>
  <si>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</si>
  <si>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</si>
  <si>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</si>
  <si>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</si>
  <si>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</si>
  <si>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</si>
  <si>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</si>
  <si>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</si>
  <si>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</si>
  <si>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</si>
  <si>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</si>
  <si>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</si>
  <si>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</si>
  <si>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</si>
  <si>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</si>
  <si>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</si>
  <si>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</si>
  <si>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</si>
  <si>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</si>
  <si>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</si>
  <si>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</si>
  <si>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</si>
  <si>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</si>
  <si>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</si>
  <si>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</si>
  <si>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</si>
  <si>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</si>
  <si>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</si>
  <si>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</si>
  <si>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</si>
  <si>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</si>
  <si>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</si>
  <si>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</si>
  <si>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</si>
  <si>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</si>
  <si>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</si>
  <si>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</si>
  <si>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</si>
  <si>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</si>
  <si>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</si>
  <si>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</si>
  <si>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</si>
  <si>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</si>
  <si>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</si>
  <si>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</si>
  <si>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</si>
  <si>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</si>
  <si>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</si>
  <si>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</si>
  <si>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</si>
  <si>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</si>
  <si>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</si>
  <si>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</si>
  <si>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</si>
  <si>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</si>
  <si>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</si>
  <si>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</si>
  <si>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</si>
  <si>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</si>
  <si>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</si>
  <si>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</si>
  <si>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</si>
  <si>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</si>
  <si>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</si>
  <si>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</si>
  <si>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</si>
  <si>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</si>
  <si>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</si>
  <si>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</si>
  <si>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</si>
  <si>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</si>
  <si>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</si>
  <si>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</si>
  <si>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</si>
  <si>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</si>
  <si>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</si>
  <si>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</si>
  <si>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</si>
  <si>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</si>
  <si>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</si>
  <si>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</si>
  <si>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</si>
  <si>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</si>
  <si>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</si>
  <si>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</si>
  <si>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</si>
  <si>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</si>
  <si>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</si>
  <si>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</si>
  <si>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</si>
  <si>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</si>
  <si>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</si>
  <si>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</si>
  <si>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</si>
  <si>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</si>
  <si>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</si>
  <si>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</si>
  <si>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</si>
  <si>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</si>
  <si>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</si>
  <si>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</si>
  <si>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</si>
  <si>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</si>
  <si>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</si>
  <si>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</si>
  <si>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</si>
  <si>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</si>
  <si>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</si>
  <si>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</si>
  <si>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</si>
  <si>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</si>
  <si>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</si>
  <si>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only 3 snags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</si>
</sst>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1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62" fillId="0" borderId="82" xfId="0" applyFont="1" applyBorder="1" applyAlignment="1">
      <alignment horizontal="center" vertical="center" wrapText="1"/>
    </xf>
    <xf numFmtId="0" fontId="62" fillId="0" borderId="81" xfId="0" applyFont="1" applyBorder="1" applyAlignment="1">
      <alignment horizontal="center" vertical="center"/>
    </xf>
    <xf numFmtId="0" fontId="62" fillId="0" borderId="83" xfId="0" applyFont="1" applyBorder="1" applyAlignment="1">
      <alignment horizontal="center" vertical="center"/>
    </xf>
    <xf numFmtId="0" fontId="62" fillId="0" borderId="84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85" xfId="0" applyFont="1" applyBorder="1" applyAlignment="1">
      <alignment horizontal="center" vertical="center"/>
    </xf>
    <xf numFmtId="0" fontId="62" fillId="0" borderId="86" xfId="0" applyFont="1" applyBorder="1" applyAlignment="1">
      <alignment horizontal="center" vertical="center"/>
    </xf>
    <xf numFmtId="0" fontId="62" fillId="0" borderId="87" xfId="0" applyFont="1" applyBorder="1" applyAlignment="1">
      <alignment horizontal="center" vertical="center"/>
    </xf>
    <xf numFmtId="0" fontId="62" fillId="0" borderId="88" xfId="0" applyFont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91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46086</c:v>
                </c:pt>
                <c:pt idx="1">
                  <c:v>46086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3699497.298935785</c:v>
                </c:pt>
                <c:pt idx="57">
                  <c:v>3699497.298935785</c:v>
                </c:pt>
                <c:pt idx="58">
                  <c:v>3699497.298935785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225520.27269235346</c:v>
                </c:pt>
                <c:pt idx="57">
                  <c:v>225520.27269235346</c:v>
                </c:pt>
                <c:pt idx="58">
                  <c:v>225520.27269235346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2921643.8100000005</c:v>
                </c:pt>
                <c:pt idx="58">
                  <c:v>2921643.8100000005</c:v>
                </c:pt>
                <c:pt idx="59">
                  <c:v>2921643.8100000005</c:v>
                </c:pt>
                <c:pt idx="60">
                  <c:v>2968485.8100000005</c:v>
                </c:pt>
                <c:pt idx="61">
                  <c:v>2968485.8100000005</c:v>
                </c:pt>
                <c:pt idx="62">
                  <c:v>2968485.8100000005</c:v>
                </c:pt>
                <c:pt idx="63">
                  <c:v>2968485.8100000005</c:v>
                </c:pt>
                <c:pt idx="64">
                  <c:v>2968485.8100000005</c:v>
                </c:pt>
                <c:pt idx="65">
                  <c:v>2968485.8100000005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972563.87309029931</c:v>
                </c:pt>
                <c:pt idx="58">
                  <c:v>972563.87309029931</c:v>
                </c:pt>
                <c:pt idx="59">
                  <c:v>972563.87309029931</c:v>
                </c:pt>
                <c:pt idx="60">
                  <c:v>925721.87309029931</c:v>
                </c:pt>
                <c:pt idx="61">
                  <c:v>925721.87309029931</c:v>
                </c:pt>
                <c:pt idx="62">
                  <c:v>925721.87309029931</c:v>
                </c:pt>
                <c:pt idx="63">
                  <c:v>925721.87309029931</c:v>
                </c:pt>
                <c:pt idx="64">
                  <c:v>925721.87309029931</c:v>
                </c:pt>
                <c:pt idx="65">
                  <c:v>925721.87309029931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3695676.0880661947</c:v>
                </c:pt>
                <c:pt idx="58">
                  <c:v>3695676.0880661947</c:v>
                </c:pt>
                <c:pt idx="59">
                  <c:v>3695676.0880661947</c:v>
                </c:pt>
                <c:pt idx="60">
                  <c:v>3695676.0880661947</c:v>
                </c:pt>
                <c:pt idx="61">
                  <c:v>3695676.0880661947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8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5546875" style="24" bestFit="1" customWidth="1"/>
    <col min="8" max="8" width="20.33203125" style="24" bestFit="1" customWidth="1"/>
    <col min="9" max="9" width="3.33203125" style="24" customWidth="1"/>
    <col min="10" max="10" width="47.33203125" style="24" bestFit="1" customWidth="1"/>
    <col min="11" max="11" width="6.33203125" style="3" customWidth="1"/>
    <col min="12" max="12" width="14.33203125" style="24" customWidth="1"/>
    <col min="13" max="16384" width="9.3320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2" t="s">
        <v>57</v>
      </c>
      <c r="E47" s="752"/>
      <c r="F47" s="753"/>
      <c r="G47" s="67"/>
      <c r="I47" s="68"/>
      <c r="J47" s="68"/>
    </row>
    <row r="48" spans="1:49" ht="14.4" thickBot="1">
      <c r="C48" s="69">
        <v>44014</v>
      </c>
      <c r="D48" s="754"/>
      <c r="E48" s="754"/>
      <c r="F48" s="75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33203125" defaultRowHeight="14.4"/>
  <cols>
    <col min="1" max="1" width="7.33203125" customWidth="1"/>
    <col min="2" max="2" width="37.77734375" customWidth="1"/>
    <col min="3" max="3" width="9.33203125" bestFit="1" customWidth="1"/>
    <col min="4" max="4" width="12.21875" bestFit="1" customWidth="1"/>
    <col min="5" max="5" width="10.21875" customWidth="1"/>
    <col min="6" max="6" width="33.77734375" customWidth="1"/>
  </cols>
  <sheetData>
    <row r="1" spans="2:10" ht="15" thickBot="1"/>
    <row r="2" spans="2:10" ht="15.6" thickTop="1" thickBot="1">
      <c r="B2" s="756" t="s">
        <v>58</v>
      </c>
      <c r="C2" s="757"/>
      <c r="D2" s="757"/>
      <c r="E2" s="757"/>
      <c r="F2" s="75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6" t="s">
        <v>69</v>
      </c>
      <c r="C16" s="757"/>
      <c r="D16" s="757"/>
      <c r="E16" s="757"/>
      <c r="F16" s="75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15" zoomScale="85" zoomScaleNormal="85" workbookViewId="0">
      <selection activeCell="N58" sqref="N58"/>
    </sheetView>
  </sheetViews>
  <sheetFormatPr defaultColWidth="8.33203125" defaultRowHeight="13.8"/>
  <cols>
    <col min="1" max="1" width="1.33203125" style="112" customWidth="1"/>
    <col min="2" max="2" width="6.33203125" style="171" bestFit="1" customWidth="1"/>
    <col min="3" max="3" width="50.5546875" style="24" bestFit="1" customWidth="1"/>
    <col min="4" max="4" width="4.5546875" style="112" customWidth="1"/>
    <col min="5" max="5" width="14.5546875" style="24" customWidth="1"/>
    <col min="6" max="6" width="10.21875" style="168" customWidth="1"/>
    <col min="7" max="7" width="13.5546875" style="64" customWidth="1"/>
    <col min="8" max="8" width="5" style="112" customWidth="1"/>
    <col min="9" max="9" width="13.33203125" style="112" customWidth="1"/>
    <col min="10" max="10" width="11.33203125" style="113" customWidth="1"/>
    <col min="11" max="11" width="14.5546875" style="112" customWidth="1"/>
    <col min="12" max="12" width="2.33203125" style="112" customWidth="1"/>
    <col min="13" max="13" width="12.5546875" style="112" customWidth="1"/>
    <col min="14" max="14" width="10.77734375" style="112" bestFit="1" customWidth="1"/>
    <col min="15" max="15" width="39.33203125" style="112" customWidth="1"/>
    <col min="16" max="16" width="1.33203125" style="112" customWidth="1"/>
    <col min="17" max="17" width="5.5546875" style="3" customWidth="1"/>
    <col min="18" max="18" width="8.33203125" style="112"/>
    <col min="19" max="19" width="17.77734375" style="112" customWidth="1"/>
    <col min="20" max="22" width="13.33203125" style="112" customWidth="1"/>
    <col min="23" max="24" width="10.77734375" style="112" bestFit="1" customWidth="1"/>
    <col min="25" max="28" width="8.33203125" style="24"/>
    <col min="29" max="29" width="11" style="24" bestFit="1" customWidth="1"/>
    <col min="30" max="16384" width="8.3320312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46086</v>
      </c>
      <c r="O1" s="405">
        <f ca="1">TODAY()</f>
        <v>46086</v>
      </c>
      <c r="Q1" s="3"/>
    </row>
    <row r="2" spans="2:27">
      <c r="B2" s="176"/>
      <c r="C2" s="177" t="s">
        <v>0</v>
      </c>
      <c r="D2" s="178"/>
      <c r="E2" s="729" t="s">
        <v>73</v>
      </c>
      <c r="F2" s="730"/>
      <c r="G2" s="730"/>
      <c r="H2" s="731"/>
      <c r="I2" s="121"/>
      <c r="J2" s="121"/>
      <c r="O2" s="406">
        <v>1</v>
      </c>
    </row>
    <row r="3" spans="2:27" s="112" customFormat="1" ht="14.25" customHeight="1">
      <c r="B3" s="179"/>
      <c r="C3" s="180" t="s">
        <v>74</v>
      </c>
      <c r="D3" s="178"/>
      <c r="E3" s="413">
        <v>422</v>
      </c>
      <c r="F3" s="181"/>
      <c r="G3" s="182"/>
      <c r="H3" s="183"/>
      <c r="M3" s="741" t="s">
        <v>510</v>
      </c>
      <c r="N3" s="742"/>
      <c r="O3" s="743"/>
      <c r="Q3" s="3"/>
    </row>
    <row r="4" spans="2:27" s="112" customFormat="1">
      <c r="B4" s="179"/>
      <c r="C4" s="180" t="s">
        <v>75</v>
      </c>
      <c r="D4" s="178"/>
      <c r="E4" s="732" t="s">
        <v>76</v>
      </c>
      <c r="F4" s="733"/>
      <c r="G4" s="733"/>
      <c r="H4" s="734"/>
      <c r="I4" s="118"/>
      <c r="J4" s="118"/>
      <c r="M4" s="744"/>
      <c r="N4" s="745"/>
      <c r="O4" s="746"/>
      <c r="Q4" s="3"/>
    </row>
    <row r="5" spans="2:27" s="112" customFormat="1">
      <c r="B5" s="179"/>
      <c r="C5" s="180" t="s">
        <v>77</v>
      </c>
      <c r="D5" s="178"/>
      <c r="E5" s="732" t="s">
        <v>78</v>
      </c>
      <c r="F5" s="733"/>
      <c r="G5" s="733"/>
      <c r="H5" s="734"/>
      <c r="J5" s="113"/>
      <c r="M5" s="747"/>
      <c r="N5" s="748"/>
      <c r="O5" s="749"/>
      <c r="Q5" s="3"/>
    </row>
    <row r="6" spans="2:27">
      <c r="B6" s="184"/>
      <c r="C6" s="185" t="s">
        <v>79</v>
      </c>
      <c r="D6" s="178"/>
      <c r="E6" s="735">
        <v>3894207.6830902998</v>
      </c>
      <c r="F6" s="736"/>
      <c r="G6" s="736"/>
      <c r="H6" s="737"/>
    </row>
    <row r="7" spans="2:27" s="112" customFormat="1">
      <c r="B7" s="167"/>
      <c r="C7" s="726" t="s">
        <v>80</v>
      </c>
      <c r="D7" s="727"/>
      <c r="E7" s="728" t="s">
        <v>81</v>
      </c>
      <c r="F7" s="168"/>
      <c r="G7" s="186"/>
      <c r="J7" s="113"/>
      <c r="Q7" s="3"/>
    </row>
    <row r="8" spans="2:27" ht="30" customHeight="1">
      <c r="B8" s="750" t="s">
        <v>82</v>
      </c>
      <c r="C8" s="751" t="s">
        <v>83</v>
      </c>
      <c r="D8" s="215"/>
      <c r="E8" s="740" t="s">
        <v>84</v>
      </c>
      <c r="F8" s="237" t="s">
        <v>85</v>
      </c>
      <c r="G8" s="740" t="s">
        <v>86</v>
      </c>
      <c r="H8" s="238"/>
      <c r="I8" s="740" t="s">
        <v>87</v>
      </c>
      <c r="J8" s="237" t="s">
        <v>85</v>
      </c>
      <c r="K8" s="740" t="s">
        <v>88</v>
      </c>
      <c r="M8" s="412" t="s">
        <v>60</v>
      </c>
      <c r="N8" s="699" t="s">
        <v>89</v>
      </c>
      <c r="O8" s="738" t="s">
        <v>90</v>
      </c>
      <c r="AA8" s="112"/>
    </row>
    <row r="9" spans="2:27">
      <c r="B9" s="750"/>
      <c r="C9" s="751"/>
      <c r="D9" s="215"/>
      <c r="E9" s="740"/>
      <c r="F9" s="126">
        <f>G41-E19</f>
        <v>59</v>
      </c>
      <c r="G9" s="740"/>
      <c r="H9" s="238"/>
      <c r="I9" s="740"/>
      <c r="J9" s="127">
        <f>K41-I19</f>
        <v>177</v>
      </c>
      <c r="K9" s="740"/>
      <c r="M9" s="362">
        <f>AVERAGE(M11,M18,M21,M28,M35,M39,M46,M43)</f>
        <v>0.98355263157894735</v>
      </c>
      <c r="N9" s="362">
        <f ca="1">AVERAGE(N11,N18,N21,N28,N35,N39,N46,N43)</f>
        <v>0.99765037593984962</v>
      </c>
      <c r="O9" s="739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46086</v>
      </c>
      <c r="X12" s="692">
        <f ca="1">TODAY()</f>
        <v>46086</v>
      </c>
    </row>
    <row r="13" spans="2:27" s="112" customFormat="1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96</v>
      </c>
      <c r="T13" s="485" t="s">
        <v>97</v>
      </c>
      <c r="U13" s="485" t="s">
        <v>98</v>
      </c>
      <c r="V13" s="485" t="s">
        <v>99</v>
      </c>
      <c r="W13" s="112">
        <v>1</v>
      </c>
      <c r="X13" s="112">
        <v>0</v>
      </c>
    </row>
    <row r="14" spans="2:27" s="112" customFormat="1">
      <c r="B14" s="248" t="s">
        <v>100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>
      <c r="B15" s="248" t="s">
        <v>101</v>
      </c>
      <c r="C15" s="249" t="s">
        <v>102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>
      <c r="B16" s="248" t="s">
        <v>103</v>
      </c>
      <c r="C16" s="249" t="s">
        <v>104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>
      <c r="B18" s="244">
        <v>2</v>
      </c>
      <c r="C18" s="245" t="s">
        <v>105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>
      <c r="B19" s="248" t="s">
        <v>106</v>
      </c>
      <c r="C19" s="249" t="s">
        <v>107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>
      <c r="B21" s="244">
        <v>3</v>
      </c>
      <c r="C21" s="245" t="s">
        <v>108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91</v>
      </c>
      <c r="V21" s="695">
        <f>K46</f>
        <v>46087</v>
      </c>
      <c r="W21" s="118"/>
      <c r="X21" s="118"/>
      <c r="Y21" s="118"/>
      <c r="Z21" s="118"/>
      <c r="AA21" s="118"/>
    </row>
    <row r="22" spans="2:29" s="112" customFormat="1">
      <c r="B22" s="248" t="s">
        <v>109</v>
      </c>
      <c r="C22" s="249" t="s">
        <v>110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idden="1">
      <c r="B29" s="248" t="s">
        <v>119</v>
      </c>
      <c r="C29" s="249" t="s">
        <v>120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>
      <c r="B30" s="248" t="s">
        <v>119</v>
      </c>
      <c r="C30" s="249" t="s">
        <v>121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>
      <c r="B31" s="248" t="s">
        <v>122</v>
      </c>
      <c r="C31" s="249" t="s">
        <v>123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>
      <c r="B32" s="248" t="s">
        <v>124</v>
      </c>
      <c r="C32" s="249" t="s">
        <v>125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>
      <c r="B33" s="248" t="s">
        <v>124</v>
      </c>
      <c r="C33" s="243" t="s">
        <v>126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>
      <c r="B35" s="244">
        <v>5</v>
      </c>
      <c r="C35" s="245" t="s">
        <v>127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>
      <c r="B36" s="248" t="s">
        <v>128</v>
      </c>
      <c r="C36" s="249" t="s">
        <v>129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>
      <c r="B37" s="248" t="s">
        <v>130</v>
      </c>
      <c r="C37" s="249" t="s">
        <v>131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>
      <c r="B39" s="244">
        <v>6</v>
      </c>
      <c r="C39" s="245" t="s">
        <v>132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>
      <c r="B40" s="248" t="s">
        <v>133</v>
      </c>
      <c r="C40" s="243" t="s">
        <v>132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>
      <c r="B41" s="248" t="s">
        <v>134</v>
      </c>
      <c r="C41" s="243" t="s">
        <v>135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>
      <c r="B43" s="244">
        <v>7</v>
      </c>
      <c r="C43" s="245" t="s">
        <v>136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>
      <c r="B44" s="248">
        <v>7.1</v>
      </c>
      <c r="C44" s="243" t="s">
        <v>137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>
      <c r="B46" s="244">
        <v>8</v>
      </c>
      <c r="C46" s="245" t="s">
        <v>138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91</v>
      </c>
      <c r="K46" s="246">
        <f>MAX(K47:K52)</f>
        <v>46087</v>
      </c>
      <c r="L46" s="114"/>
      <c r="M46" s="361">
        <f>(J47*M47+J48*M48+J49*M49+J50*M50+J51*M51+J52*M52)/SUM(J47:J52)</f>
        <v>0.86842105263157898</v>
      </c>
      <c r="N46" s="361">
        <f ca="1">(J47*N47+J48*N48+J49*N49+J50*N50+J51*N51+J52*N52)/SUM(J47:J52)</f>
        <v>0.98120300751879697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>
      <c r="B47" s="248">
        <v>8.1</v>
      </c>
      <c r="C47" s="243" t="s">
        <v>139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>
      <c r="B48" s="248">
        <v>8.1999999999999993</v>
      </c>
      <c r="C48" s="243" t="s">
        <v>140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10</v>
      </c>
      <c r="K48" s="253">
        <f>WORKDAY.INTL(I48,J48,1,Data!$C$3:$C$14)</f>
        <v>46070</v>
      </c>
      <c r="M48" s="254">
        <v>1</v>
      </c>
      <c r="N48" s="254">
        <f t="shared" ca="1" si="6"/>
        <v>1</v>
      </c>
      <c r="O48" s="122"/>
      <c r="X48" s="24"/>
    </row>
    <row r="49" spans="2:27">
      <c r="B49" s="248">
        <v>8.3000000000000007</v>
      </c>
      <c r="C49" s="243" t="s">
        <v>141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>
      <c r="B50" s="248">
        <v>8.4</v>
      </c>
      <c r="C50" s="243" t="s">
        <v>142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15</v>
      </c>
      <c r="K50" s="253">
        <f>WORKDAY.INTL(I50,J50,1,Data!$C$3:$C$14)</f>
        <v>46077</v>
      </c>
      <c r="M50" s="254">
        <v>0.9</v>
      </c>
      <c r="N50" s="254">
        <f t="shared" ca="1" si="6"/>
        <v>1</v>
      </c>
      <c r="O50" s="122"/>
      <c r="X50" s="24"/>
    </row>
    <row r="51" spans="2:27">
      <c r="B51" s="248">
        <v>8.5</v>
      </c>
      <c r="C51" s="243" t="s">
        <v>143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v>46085</v>
      </c>
      <c r="J51" s="251">
        <v>1</v>
      </c>
      <c r="K51" s="253">
        <f>WORKDAY.INTL(I51,J51,1,Data!$C$3:$C$14)</f>
        <v>46086</v>
      </c>
      <c r="M51" s="254">
        <v>0</v>
      </c>
      <c r="N51" s="254">
        <f t="shared" ca="1" si="6"/>
        <v>1</v>
      </c>
      <c r="O51" s="122" t="s">
        <v>144</v>
      </c>
      <c r="X51" s="24"/>
    </row>
    <row r="52" spans="2:27">
      <c r="B52" s="248">
        <v>8.6</v>
      </c>
      <c r="C52" s="243" t="s">
        <v>145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v>46080</v>
      </c>
      <c r="J52" s="251">
        <v>5</v>
      </c>
      <c r="K52" s="253">
        <f>WORKDAY.INTL(I52,J52,1,Data!$C$3:$C$14)</f>
        <v>46087</v>
      </c>
      <c r="M52" s="254">
        <v>0.5</v>
      </c>
      <c r="N52" s="254">
        <f t="shared" ca="1" si="6"/>
        <v>0.8571428571428571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O37:P52 P36 M5:N7 M3 P1:P30 O1:O2 O4:O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3:O5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L50" sqref="L50"/>
    </sheetView>
  </sheetViews>
  <sheetFormatPr defaultColWidth="8.33203125" defaultRowHeight="15" customHeight="1"/>
  <cols>
    <col min="1" max="1" width="5.5546875" style="93" customWidth="1"/>
    <col min="2" max="2" width="5.5546875" style="130" customWidth="1"/>
    <col min="3" max="4" width="23.33203125" style="129" customWidth="1"/>
    <col min="5" max="5" width="6.5546875" style="129" customWidth="1"/>
    <col min="6" max="6" width="16.33203125" style="129" customWidth="1"/>
    <col min="7" max="7" width="11.77734375" style="129" bestFit="1" customWidth="1"/>
    <col min="8" max="8" width="15.33203125" style="129" customWidth="1"/>
    <col min="9" max="9" width="1.33203125" style="129" customWidth="1"/>
    <col min="10" max="10" width="3.33203125" style="93" customWidth="1"/>
    <col min="11" max="11" width="1.33203125" style="175" customWidth="1"/>
    <col min="12" max="12" width="29.33203125" style="93" customWidth="1"/>
    <col min="13" max="13" width="1.33203125" style="129" customWidth="1"/>
    <col min="14" max="14" width="29.33203125" style="129" customWidth="1"/>
    <col min="15" max="15" width="1.33203125" style="93" customWidth="1"/>
    <col min="16" max="16" width="19.33203125" style="129" bestFit="1" customWidth="1"/>
    <col min="17" max="17" width="14.77734375" style="129" customWidth="1"/>
    <col min="18" max="18" width="18.33203125" style="129" customWidth="1"/>
    <col min="19" max="19" width="17.21875" style="129" bestFit="1" customWidth="1"/>
    <col min="20" max="20" width="19.77734375" style="129" bestFit="1" customWidth="1"/>
    <col min="21" max="21" width="15.21875" style="129" bestFit="1" customWidth="1"/>
    <col min="22" max="25" width="112.21875" style="129" customWidth="1"/>
    <col min="26" max="26" width="4.33203125" style="129" customWidth="1"/>
    <col min="27" max="27" width="14.33203125" style="129" customWidth="1"/>
    <col min="28" max="28" width="10.21875" style="93" bestFit="1" customWidth="1"/>
    <col min="29" max="30" width="8.33203125" style="93"/>
    <col min="31" max="31" width="5.5546875" style="93" bestFit="1" customWidth="1"/>
    <col min="32" max="32" width="14.33203125" style="93" bestFit="1" customWidth="1"/>
    <col min="33" max="33" width="8.33203125" style="93"/>
    <col min="34" max="34" width="14.33203125" style="93" bestFit="1" customWidth="1"/>
    <col min="35" max="35" width="8.33203125" style="129"/>
    <col min="36" max="36" width="12.5546875" style="129" bestFit="1" customWidth="1"/>
    <col min="37" max="16384" width="8.3320312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146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4">
      <c r="B3" s="117"/>
      <c r="D3" s="125" t="s">
        <v>147</v>
      </c>
      <c r="F3" s="125" t="s">
        <v>148</v>
      </c>
      <c r="J3" s="141"/>
      <c r="L3" s="410" t="s">
        <v>149</v>
      </c>
      <c r="N3" s="410" t="s">
        <v>150</v>
      </c>
      <c r="P3" s="707" t="s">
        <v>151</v>
      </c>
      <c r="Q3" s="707" t="s">
        <v>152</v>
      </c>
      <c r="R3" s="708" t="s">
        <v>153</v>
      </c>
      <c r="S3" s="709" t="s">
        <v>154</v>
      </c>
      <c r="T3" s="709" t="s">
        <v>155</v>
      </c>
      <c r="U3" s="708" t="s">
        <v>156</v>
      </c>
      <c r="V3" s="702"/>
      <c r="W3" s="702"/>
      <c r="X3" s="702"/>
      <c r="Y3" s="702"/>
      <c r="Z3" s="141"/>
    </row>
    <row r="4" spans="1:28" s="93" customFormat="1" ht="13.2">
      <c r="B4" s="352">
        <v>1</v>
      </c>
      <c r="C4" s="353" t="s">
        <v>157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97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158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159</v>
      </c>
      <c r="H5" s="93" t="s">
        <v>160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161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162</v>
      </c>
      <c r="Z6" s="141"/>
    </row>
    <row r="7" spans="1:28" s="93" customFormat="1" ht="15" customHeight="1">
      <c r="B7" s="352">
        <v>4</v>
      </c>
      <c r="C7" s="353" t="s">
        <v>163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.2">
      <c r="B10" s="128" t="s">
        <v>164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26.4">
      <c r="B12" s="131" t="s">
        <v>82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79" t="s">
        <v>172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.2">
      <c r="B13" s="352">
        <v>1</v>
      </c>
      <c r="C13" s="761" t="s">
        <v>173</v>
      </c>
      <c r="D13" s="762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3.2">
      <c r="B14" s="154">
        <v>2</v>
      </c>
      <c r="C14" s="761" t="s">
        <v>175</v>
      </c>
      <c r="D14" s="762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174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3.2">
      <c r="B15" s="352">
        <v>3</v>
      </c>
      <c r="C15" s="761" t="s">
        <v>176</v>
      </c>
      <c r="D15" s="762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174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3.2">
      <c r="B16" s="352">
        <v>4</v>
      </c>
      <c r="C16" s="759" t="s">
        <v>177</v>
      </c>
      <c r="D16" s="760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174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3.2">
      <c r="B17" s="352">
        <v>5</v>
      </c>
      <c r="C17" s="759" t="s">
        <v>178</v>
      </c>
      <c r="D17" s="760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174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3.2">
      <c r="B18" s="352">
        <v>6</v>
      </c>
      <c r="C18" s="759" t="s">
        <v>54</v>
      </c>
      <c r="D18" s="760"/>
      <c r="E18" s="135">
        <v>0.05</v>
      </c>
      <c r="F18" s="136">
        <f t="shared" si="0"/>
        <v>194710.38415451499</v>
      </c>
      <c r="G18" s="355"/>
      <c r="H18" s="138">
        <f>'Project Plan'!K51+7</f>
        <v>46093</v>
      </c>
      <c r="J18" s="141"/>
      <c r="L18" s="369" t="s">
        <v>174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3.2">
      <c r="B19" s="352">
        <v>7</v>
      </c>
      <c r="C19" s="761" t="s">
        <v>179</v>
      </c>
      <c r="D19" s="76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.2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180</v>
      </c>
      <c r="C23" s="145" t="s">
        <v>181</v>
      </c>
      <c r="D23" s="145"/>
      <c r="F23" s="146"/>
    </row>
    <row r="24" spans="2:26" s="93" customFormat="1" ht="13.2">
      <c r="C24" s="147" t="s">
        <v>182</v>
      </c>
      <c r="D24" s="148"/>
      <c r="F24" s="149"/>
    </row>
    <row r="25" spans="2:26" s="93" customFormat="1" ht="13.2">
      <c r="C25" s="147" t="s">
        <v>183</v>
      </c>
      <c r="D25" s="148"/>
      <c r="F25" s="116"/>
    </row>
    <row r="26" spans="2:26" s="93" customFormat="1" ht="13.2">
      <c r="C26" s="150" t="s">
        <v>184</v>
      </c>
      <c r="D26" s="151"/>
      <c r="F26" s="116"/>
    </row>
    <row r="27" spans="2:26" s="93" customFormat="1" ht="13.2">
      <c r="C27" s="152" t="s">
        <v>185</v>
      </c>
      <c r="D27" s="148"/>
      <c r="F27" s="645"/>
    </row>
    <row r="28" spans="2:26" s="93" customFormat="1" ht="13.2">
      <c r="B28" s="117"/>
      <c r="C28" s="152" t="s">
        <v>186</v>
      </c>
      <c r="D28" s="148"/>
    </row>
    <row r="29" spans="2:26" s="93" customFormat="1" ht="13.2">
      <c r="B29" s="117"/>
      <c r="C29" s="93" t="s">
        <v>187</v>
      </c>
    </row>
    <row r="30" spans="2:26" s="93" customFormat="1" ht="27.75" customHeight="1">
      <c r="B30" s="117"/>
      <c r="C30" s="153" t="s">
        <v>188</v>
      </c>
      <c r="D30" s="153"/>
      <c r="F30" s="149"/>
    </row>
    <row r="31" spans="2:26" s="93" customFormat="1" ht="13.2">
      <c r="B31" s="117"/>
      <c r="F31" s="146"/>
    </row>
    <row r="32" spans="2:26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33203125" defaultRowHeight="13.2"/>
  <cols>
    <col min="1" max="2" width="9.33203125" style="73"/>
    <col min="3" max="3" width="13.33203125" style="73" bestFit="1" customWidth="1"/>
    <col min="4" max="5" width="9.33203125" style="73"/>
    <col min="6" max="6" width="12.554687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8" thickBot="1"/>
    <row r="2" spans="3:8" ht="13.8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8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8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3203125" defaultRowHeight="13.8"/>
  <cols>
    <col min="1" max="1" width="1.33203125" style="24" customWidth="1"/>
    <col min="2" max="2" width="8.33203125" style="64"/>
    <col min="3" max="3" width="2.33203125" style="64" customWidth="1"/>
    <col min="4" max="4" width="21.33203125" style="24" customWidth="1"/>
    <col min="5" max="5" width="1.33203125" style="24" customWidth="1"/>
    <col min="6" max="6" width="19.5546875" style="24" customWidth="1"/>
    <col min="7" max="7" width="1.33203125" style="24" customWidth="1"/>
    <col min="8" max="8" width="18.33203125" style="24" customWidth="1"/>
    <col min="9" max="9" width="3.33203125" style="24" customWidth="1"/>
    <col min="10" max="10" width="21.5546875" style="24" customWidth="1"/>
    <col min="11" max="11" width="2" style="24" customWidth="1"/>
    <col min="12" max="12" width="53.33203125" style="24" customWidth="1"/>
    <col min="13" max="16384" width="8.3320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63"/>
      <c r="C4" s="763"/>
      <c r="D4" s="763"/>
      <c r="E4" s="414"/>
      <c r="F4" s="220" t="s">
        <v>147</v>
      </c>
      <c r="G4" s="215"/>
      <c r="H4" s="220" t="s">
        <v>148</v>
      </c>
      <c r="I4" s="215"/>
      <c r="J4" s="221" t="s">
        <v>213</v>
      </c>
      <c r="K4" s="112"/>
      <c r="L4" s="112"/>
    </row>
    <row r="5" spans="1:12" ht="14.4" thickBot="1">
      <c r="A5" s="215"/>
      <c r="B5" s="764" t="s">
        <v>214</v>
      </c>
      <c r="C5" s="764"/>
      <c r="D5" s="764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Q1" zoomScale="85" zoomScaleNormal="85" workbookViewId="0">
      <pane ySplit="4" topLeftCell="A82" activePane="bottomLeft" state="frozen"/>
      <selection activeCell="X33" sqref="X33"/>
      <selection pane="bottomLeft" activeCell="W102" sqref="W102"/>
    </sheetView>
  </sheetViews>
  <sheetFormatPr defaultColWidth="9.33203125" defaultRowHeight="13.8"/>
  <cols>
    <col min="1" max="1" width="2.33203125" style="112" hidden="1" customWidth="1"/>
    <col min="2" max="2" width="6.33203125" style="24" hidden="1" customWidth="1"/>
    <col min="3" max="3" width="20.33203125" style="24" hidden="1" customWidth="1"/>
    <col min="4" max="4" width="51.5546875" style="24" hidden="1" customWidth="1"/>
    <col min="5" max="5" width="8.33203125" style="70" hidden="1" customWidth="1"/>
    <col min="6" max="6" width="16.5546875" style="475" hidden="1" customWidth="1"/>
    <col min="7" max="7" width="17.21875" style="24" hidden="1" customWidth="1"/>
    <col min="8" max="8" width="17.33203125" style="112" hidden="1" customWidth="1"/>
    <col min="9" max="9" width="22.21875" style="350" hidden="1" customWidth="1"/>
    <col min="10" max="10" width="22.33203125" style="350" bestFit="1" customWidth="1"/>
    <col min="11" max="12" width="5.5546875" style="112" customWidth="1"/>
    <col min="13" max="13" width="25.5546875" style="112" customWidth="1"/>
    <col min="14" max="14" width="48.21875" style="112" customWidth="1"/>
    <col min="15" max="15" width="15.5546875" style="112" customWidth="1"/>
    <col min="16" max="17" width="17.33203125" style="112" customWidth="1"/>
    <col min="18" max="18" width="50.77734375" style="112" bestFit="1" customWidth="1"/>
    <col min="19" max="19" width="41.21875" style="112" bestFit="1" customWidth="1"/>
    <col min="20" max="23" width="17.33203125" style="112" customWidth="1"/>
    <col min="24" max="24" width="21.33203125" style="112" customWidth="1"/>
    <col min="25" max="25" width="29.21875" style="112" bestFit="1" customWidth="1"/>
    <col min="26" max="26" width="24.77734375" style="112" bestFit="1" customWidth="1"/>
    <col min="27" max="76" width="17.33203125" style="112" customWidth="1"/>
    <col min="77" max="16384" width="9.3320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11" t="s">
        <v>221</v>
      </c>
      <c r="C2" s="812"/>
      <c r="D2" s="812"/>
      <c r="E2" s="812"/>
      <c r="F2" s="812"/>
      <c r="G2" s="812"/>
      <c r="H2" s="698"/>
      <c r="I2" s="258">
        <f>SUM(I6:I170)</f>
        <v>3473977.026243432</v>
      </c>
      <c r="J2" s="258">
        <f>SUM(J6:J170)</f>
        <v>3894207.6830903003</v>
      </c>
      <c r="L2" s="813" t="s">
        <v>222</v>
      </c>
      <c r="M2" s="814"/>
      <c r="N2" s="814"/>
      <c r="O2" s="814"/>
      <c r="P2" s="814"/>
      <c r="Q2" s="814"/>
      <c r="R2" s="815" t="s">
        <v>223</v>
      </c>
      <c r="S2" s="816"/>
      <c r="T2" s="816"/>
      <c r="U2" s="816"/>
      <c r="V2" s="816"/>
      <c r="W2" s="817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66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Total Revenue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66" t="s">
        <v>228</v>
      </c>
      <c r="Q4" s="374" t="s">
        <v>233</v>
      </c>
      <c r="R4" s="623" t="s">
        <v>234</v>
      </c>
      <c r="S4" s="624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1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237</v>
      </c>
      <c r="D6" s="282" t="s">
        <v>238</v>
      </c>
      <c r="E6" s="283"/>
      <c r="F6" s="438"/>
      <c r="G6" s="392">
        <f>D171</f>
        <v>1194235.4425000001</v>
      </c>
      <c r="H6" s="536">
        <v>45866</v>
      </c>
      <c r="I6" s="765">
        <f>SUM(G6:G11)</f>
        <v>1194235.4425000001</v>
      </c>
      <c r="J6" s="765">
        <f>F171</f>
        <v>1388645.8633720931</v>
      </c>
      <c r="K6" s="389"/>
      <c r="L6" s="281">
        <v>1</v>
      </c>
      <c r="M6" s="418" t="s">
        <v>239</v>
      </c>
      <c r="N6" s="282" t="s">
        <v>240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241</v>
      </c>
      <c r="S6" s="626" t="s">
        <v>242</v>
      </c>
      <c r="T6" s="668">
        <v>45808</v>
      </c>
      <c r="U6" s="670">
        <v>1388645.8633720931</v>
      </c>
      <c r="V6" s="777">
        <f>J6-SUM(U6:U11)</f>
        <v>0</v>
      </c>
      <c r="W6" s="536">
        <v>45866</v>
      </c>
      <c r="X6" s="768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243</v>
      </c>
      <c r="E7" s="391"/>
      <c r="F7" s="460"/>
      <c r="G7" s="315"/>
      <c r="H7" s="574"/>
      <c r="I7" s="766"/>
      <c r="J7" s="766"/>
      <c r="K7" s="288"/>
      <c r="L7" s="311">
        <v>1</v>
      </c>
      <c r="M7" s="313" t="s">
        <v>239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78"/>
      <c r="W7" s="574"/>
      <c r="X7" s="769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66"/>
      <c r="J8" s="766"/>
      <c r="K8" s="288"/>
      <c r="L8" s="311">
        <v>1</v>
      </c>
      <c r="M8" s="313" t="s">
        <v>239</v>
      </c>
      <c r="N8" s="487" t="s">
        <v>244</v>
      </c>
      <c r="O8" s="553">
        <f>Q8/P6</f>
        <v>4</v>
      </c>
      <c r="P8" s="445"/>
      <c r="Q8" s="315">
        <v>4935.2</v>
      </c>
      <c r="R8" s="590"/>
      <c r="S8" s="627" t="s">
        <v>245</v>
      </c>
      <c r="T8" s="647">
        <v>45991</v>
      </c>
      <c r="U8" s="671">
        <v>0</v>
      </c>
      <c r="V8" s="778"/>
      <c r="W8" s="537">
        <v>46045</v>
      </c>
      <c r="X8" s="769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66"/>
      <c r="J9" s="766"/>
      <c r="K9" s="288"/>
      <c r="L9" s="311">
        <v>1</v>
      </c>
      <c r="M9" s="313" t="s">
        <v>239</v>
      </c>
      <c r="N9" s="487" t="s">
        <v>246</v>
      </c>
      <c r="O9" s="553"/>
      <c r="P9" s="445"/>
      <c r="Q9" s="387">
        <v>600</v>
      </c>
      <c r="R9" s="591"/>
      <c r="S9" s="627" t="s">
        <v>245</v>
      </c>
      <c r="T9" s="647">
        <v>45991</v>
      </c>
      <c r="U9" s="672">
        <v>0</v>
      </c>
      <c r="V9" s="778"/>
      <c r="W9" s="537">
        <v>46045</v>
      </c>
      <c r="X9" s="769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66"/>
      <c r="J10" s="766"/>
      <c r="K10" s="288"/>
      <c r="L10" s="311">
        <v>1</v>
      </c>
      <c r="M10" s="313" t="s">
        <v>239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78"/>
      <c r="W10" s="575"/>
      <c r="X10" s="769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67"/>
      <c r="J11" s="767"/>
      <c r="K11" s="289"/>
      <c r="L11" s="316">
        <v>1</v>
      </c>
      <c r="M11" s="420" t="s">
        <v>239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79"/>
      <c r="W11" s="576"/>
      <c r="X11" s="770"/>
      <c r="Y11" s="607" t="s">
        <v>247</v>
      </c>
      <c r="Z11" s="608" t="s">
        <v>248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249</v>
      </c>
      <c r="Z12" s="610">
        <f>G54</f>
        <v>472703.72608695651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8"/>
      <c r="G13" s="296">
        <f>D172</f>
        <v>210000</v>
      </c>
      <c r="H13" s="539">
        <v>45855</v>
      </c>
      <c r="I13" s="785">
        <f>SUM(G13:G19)</f>
        <v>210000</v>
      </c>
      <c r="J13" s="785">
        <f>F172</f>
        <v>244186.04651162791</v>
      </c>
      <c r="K13" s="297"/>
      <c r="L13" s="293">
        <v>2</v>
      </c>
      <c r="M13" s="421" t="s">
        <v>252</v>
      </c>
      <c r="N13" s="319" t="s">
        <v>253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241</v>
      </c>
      <c r="S13" s="631" t="s">
        <v>254</v>
      </c>
      <c r="T13" s="663">
        <v>45808</v>
      </c>
      <c r="U13" s="674">
        <v>244186.04651162791</v>
      </c>
      <c r="V13" s="808">
        <f>J13-SUM(U13:U19)</f>
        <v>0</v>
      </c>
      <c r="W13" s="539">
        <v>45855</v>
      </c>
      <c r="X13" s="788">
        <f>SUM(Q13:Q19)</f>
        <v>275481.40000000002</v>
      </c>
      <c r="Y13" s="609" t="s">
        <v>255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86"/>
      <c r="J14" s="786"/>
      <c r="K14" s="301"/>
      <c r="L14" s="298">
        <v>2</v>
      </c>
      <c r="M14" s="427" t="s">
        <v>252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809"/>
      <c r="W14" s="579"/>
      <c r="X14" s="789"/>
      <c r="Y14" s="609" t="s">
        <v>256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86"/>
      <c r="J15" s="786"/>
      <c r="K15" s="301"/>
      <c r="L15" s="298">
        <v>2</v>
      </c>
      <c r="M15" s="427" t="s">
        <v>252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809"/>
      <c r="W15" s="579"/>
      <c r="X15" s="789"/>
      <c r="Y15" s="609" t="s">
        <v>257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86"/>
      <c r="J16" s="786"/>
      <c r="K16" s="301"/>
      <c r="L16" s="298">
        <v>2</v>
      </c>
      <c r="M16" s="427" t="s">
        <v>252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809"/>
      <c r="W16" s="579"/>
      <c r="X16" s="789"/>
      <c r="Y16" s="609" t="s">
        <v>258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86"/>
      <c r="J17" s="786"/>
      <c r="K17" s="301"/>
      <c r="L17" s="298">
        <v>2</v>
      </c>
      <c r="M17" s="427" t="s">
        <v>252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809"/>
      <c r="W17" s="579"/>
      <c r="X17" s="789"/>
      <c r="Y17" s="609" t="s">
        <v>259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86"/>
      <c r="J18" s="786"/>
      <c r="K18" s="301"/>
      <c r="L18" s="298">
        <v>2</v>
      </c>
      <c r="M18" s="427" t="s">
        <v>252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809"/>
      <c r="W18" s="579"/>
      <c r="X18" s="789"/>
      <c r="Y18" s="609" t="s">
        <v>260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87"/>
      <c r="J19" s="787"/>
      <c r="K19" s="306"/>
      <c r="L19" s="396">
        <v>2</v>
      </c>
      <c r="M19" s="422" t="s">
        <v>252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810"/>
      <c r="W19" s="580"/>
      <c r="X19" s="790"/>
      <c r="Y19" s="609" t="s">
        <v>261</v>
      </c>
      <c r="Z19" s="610">
        <v>0</v>
      </c>
    </row>
    <row r="20" spans="1:26" ht="14.4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8"/>
      <c r="G21" s="284">
        <f>D173</f>
        <v>178321.5</v>
      </c>
      <c r="H21" s="541">
        <v>45835</v>
      </c>
      <c r="I21" s="765">
        <f>SUM(G21:G26)</f>
        <v>178321.5</v>
      </c>
      <c r="J21" s="765">
        <f>F173</f>
        <v>207350.58139534883</v>
      </c>
      <c r="K21" s="285"/>
      <c r="L21" s="281">
        <v>3</v>
      </c>
      <c r="M21" s="423" t="s">
        <v>264</v>
      </c>
      <c r="N21" s="327" t="s">
        <v>265</v>
      </c>
      <c r="O21" s="551"/>
      <c r="P21" s="438"/>
      <c r="Q21" s="284">
        <v>78183.600000000006</v>
      </c>
      <c r="R21" s="597" t="s">
        <v>266</v>
      </c>
      <c r="S21" s="634" t="s">
        <v>267</v>
      </c>
      <c r="T21" s="669">
        <f>IF(W21&gt;1,EOMONTH(W21,-1),"")</f>
        <v>45808</v>
      </c>
      <c r="U21" s="677">
        <v>143056.83313035389</v>
      </c>
      <c r="V21" s="777">
        <f>J21-SUM(U21:U26)</f>
        <v>-1.7350050620734692E-3</v>
      </c>
      <c r="W21" s="541">
        <v>45835</v>
      </c>
      <c r="X21" s="768">
        <f>SUM(Q21:Q26)</f>
        <v>78183.600000000006</v>
      </c>
      <c r="Y21" s="609" t="s">
        <v>268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66"/>
      <c r="J22" s="766"/>
      <c r="K22" s="288"/>
      <c r="L22" s="311">
        <v>3</v>
      </c>
      <c r="M22" s="424" t="s">
        <v>264</v>
      </c>
      <c r="N22" s="328" t="s">
        <v>269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78"/>
      <c r="W22" s="574"/>
      <c r="X22" s="769"/>
      <c r="Y22" s="609" t="s">
        <v>191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66"/>
      <c r="J23" s="766"/>
      <c r="K23" s="288"/>
      <c r="L23" s="311">
        <v>3</v>
      </c>
      <c r="M23" s="424" t="s">
        <v>264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78"/>
      <c r="W23" s="574"/>
      <c r="X23" s="769"/>
      <c r="Y23" s="609" t="s">
        <v>270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66"/>
      <c r="J24" s="766"/>
      <c r="K24" s="288"/>
      <c r="L24" s="311">
        <v>3</v>
      </c>
      <c r="M24" s="424" t="s">
        <v>264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78"/>
      <c r="W24" s="575"/>
      <c r="X24" s="769"/>
      <c r="Y24" s="614" t="s">
        <v>271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66"/>
      <c r="J25" s="766"/>
      <c r="K25" s="288"/>
      <c r="L25" s="311">
        <v>3</v>
      </c>
      <c r="M25" s="424" t="s">
        <v>264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78"/>
      <c r="W25" s="575"/>
      <c r="X25" s="769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67"/>
      <c r="J26" s="767"/>
      <c r="K26" s="289"/>
      <c r="L26" s="316">
        <v>3</v>
      </c>
      <c r="M26" s="425" t="s">
        <v>264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79"/>
      <c r="W26" s="576"/>
      <c r="X26" s="770"/>
      <c r="Y26" s="615" t="s">
        <v>272</v>
      </c>
      <c r="Z26" s="616" t="s">
        <v>273</v>
      </c>
    </row>
    <row r="27" spans="1:26" ht="14.4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85">
        <f>SUM(G28:G43)</f>
        <v>320835.59999999998</v>
      </c>
      <c r="J28" s="785">
        <f>F174</f>
        <v>373064.65116279066</v>
      </c>
      <c r="K28" s="297"/>
      <c r="L28" s="293">
        <v>4</v>
      </c>
      <c r="M28" s="426" t="s">
        <v>275</v>
      </c>
      <c r="N28" s="294" t="s">
        <v>276</v>
      </c>
      <c r="O28" s="548">
        <v>10000</v>
      </c>
      <c r="P28" s="458">
        <v>13.4</v>
      </c>
      <c r="Q28" s="296">
        <f>O28*P28</f>
        <v>134000</v>
      </c>
      <c r="R28" s="594" t="s">
        <v>241</v>
      </c>
      <c r="S28" s="631" t="s">
        <v>254</v>
      </c>
      <c r="T28" s="663">
        <v>45808</v>
      </c>
      <c r="U28" s="674">
        <v>143672.09359939193</v>
      </c>
      <c r="V28" s="808">
        <f>J28-SUM(U28:U43)</f>
        <v>0</v>
      </c>
      <c r="W28" s="539">
        <f>W13</f>
        <v>45855</v>
      </c>
      <c r="X28" s="788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277</v>
      </c>
      <c r="E29" s="395"/>
      <c r="F29" s="454"/>
      <c r="G29" s="643">
        <f>D174-G28</f>
        <v>191083.59999999998</v>
      </c>
      <c r="H29" s="539">
        <f>H28</f>
        <v>45855</v>
      </c>
      <c r="I29" s="786"/>
      <c r="J29" s="786"/>
      <c r="K29" s="301"/>
      <c r="L29" s="298">
        <v>4</v>
      </c>
      <c r="M29" s="427" t="s">
        <v>275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809"/>
      <c r="W29" s="579"/>
      <c r="X29" s="789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86"/>
      <c r="J30" s="786"/>
      <c r="K30" s="301"/>
      <c r="L30" s="298">
        <v>4</v>
      </c>
      <c r="M30" s="427" t="s">
        <v>275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809"/>
      <c r="W30" s="579"/>
      <c r="X30" s="789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86"/>
      <c r="J31" s="786"/>
      <c r="K31" s="301"/>
      <c r="L31" s="298">
        <v>4</v>
      </c>
      <c r="M31" s="427" t="s">
        <v>275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809"/>
      <c r="W31" s="579"/>
      <c r="X31" s="789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86"/>
      <c r="J32" s="786"/>
      <c r="K32" s="301"/>
      <c r="L32" s="298">
        <v>4</v>
      </c>
      <c r="M32" s="427" t="s">
        <v>275</v>
      </c>
      <c r="N32" s="409" t="s">
        <v>278</v>
      </c>
      <c r="O32" s="568">
        <v>213949.70967156236</v>
      </c>
      <c r="P32" s="569">
        <v>0.1</v>
      </c>
      <c r="Q32" s="300">
        <f>$O$32*P32</f>
        <v>21394.970967156238</v>
      </c>
      <c r="R32" s="806" t="s">
        <v>279</v>
      </c>
      <c r="S32" s="632" t="s">
        <v>280</v>
      </c>
      <c r="T32" s="658">
        <f t="shared" si="0"/>
        <v>45808</v>
      </c>
      <c r="U32" s="675">
        <v>22939.25575633988</v>
      </c>
      <c r="V32" s="809"/>
      <c r="W32" s="540">
        <f>W93</f>
        <v>45792</v>
      </c>
      <c r="X32" s="789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86"/>
      <c r="J33" s="786"/>
      <c r="K33" s="301"/>
      <c r="L33" s="298">
        <v>4</v>
      </c>
      <c r="M33" s="427" t="s">
        <v>275</v>
      </c>
      <c r="N33" s="409" t="s">
        <v>105</v>
      </c>
      <c r="O33" s="557"/>
      <c r="P33" s="569">
        <v>0.15</v>
      </c>
      <c r="Q33" s="300">
        <f t="shared" ref="Q33:Q40" si="2">$O$32*P33</f>
        <v>32092.456450734353</v>
      </c>
      <c r="R33" s="821"/>
      <c r="S33" s="632" t="s">
        <v>280</v>
      </c>
      <c r="T33" s="658">
        <f t="shared" si="0"/>
        <v>45808</v>
      </c>
      <c r="U33" s="675">
        <v>34408.883634509817</v>
      </c>
      <c r="V33" s="809"/>
      <c r="W33" s="662">
        <f>W94</f>
        <v>45792</v>
      </c>
      <c r="X33" s="789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86"/>
      <c r="J34" s="786"/>
      <c r="K34" s="301"/>
      <c r="L34" s="298">
        <v>4</v>
      </c>
      <c r="M34" s="427" t="s">
        <v>275</v>
      </c>
      <c r="N34" s="409" t="s">
        <v>281</v>
      </c>
      <c r="O34" s="557"/>
      <c r="P34" s="569">
        <v>0.2</v>
      </c>
      <c r="Q34" s="300">
        <f t="shared" si="2"/>
        <v>42789.941934312475</v>
      </c>
      <c r="R34" s="821"/>
      <c r="S34" s="632" t="s">
        <v>282</v>
      </c>
      <c r="T34" s="658">
        <v>45869</v>
      </c>
      <c r="U34" s="675">
        <v>45878.511512679754</v>
      </c>
      <c r="V34" s="809"/>
      <c r="W34" s="540">
        <f>W95</f>
        <v>45883</v>
      </c>
      <c r="X34" s="789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86"/>
      <c r="J35" s="786"/>
      <c r="K35" s="301"/>
      <c r="L35" s="298">
        <v>4</v>
      </c>
      <c r="M35" s="427" t="s">
        <v>275</v>
      </c>
      <c r="N35" s="409" t="s">
        <v>283</v>
      </c>
      <c r="O35" s="557"/>
      <c r="P35" s="569">
        <v>0.17</v>
      </c>
      <c r="Q35" s="300">
        <f t="shared" si="2"/>
        <v>36371.450644165605</v>
      </c>
      <c r="R35" s="821"/>
      <c r="S35" s="632" t="s">
        <v>284</v>
      </c>
      <c r="T35" s="679">
        <v>45869</v>
      </c>
      <c r="U35" s="675">
        <v>38996.734785777793</v>
      </c>
      <c r="V35" s="809"/>
      <c r="W35" s="540">
        <f>W96</f>
        <v>45849</v>
      </c>
      <c r="X35" s="789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86"/>
      <c r="J36" s="786"/>
      <c r="K36" s="301"/>
      <c r="L36" s="298" t="s">
        <v>285</v>
      </c>
      <c r="M36" s="427" t="s">
        <v>275</v>
      </c>
      <c r="N36" s="409" t="s">
        <v>283</v>
      </c>
      <c r="O36" s="557"/>
      <c r="P36" s="569">
        <v>0.08</v>
      </c>
      <c r="Q36" s="300">
        <f>O32*P36</f>
        <v>17115.976773724989</v>
      </c>
      <c r="R36" s="821"/>
      <c r="S36" s="632" t="s">
        <v>286</v>
      </c>
      <c r="T36" s="658">
        <v>45900</v>
      </c>
      <c r="U36" s="675">
        <v>18351.404605071901</v>
      </c>
      <c r="V36" s="809"/>
      <c r="W36" s="723">
        <f>W97</f>
        <v>46009</v>
      </c>
      <c r="X36" s="789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86"/>
      <c r="J37" s="786"/>
      <c r="K37" s="301"/>
      <c r="L37" s="298">
        <v>4</v>
      </c>
      <c r="M37" s="427" t="s">
        <v>275</v>
      </c>
      <c r="N37" s="409" t="s">
        <v>177</v>
      </c>
      <c r="O37" s="557"/>
      <c r="P37" s="569">
        <v>0.1</v>
      </c>
      <c r="Q37" s="300">
        <f>$O$32*P37</f>
        <v>21394.970967156238</v>
      </c>
      <c r="R37" s="821"/>
      <c r="S37" s="632" t="s">
        <v>287</v>
      </c>
      <c r="T37" s="658">
        <v>45900</v>
      </c>
      <c r="U37" s="675">
        <v>22939.255756339877</v>
      </c>
      <c r="V37" s="809"/>
      <c r="W37" s="723">
        <f t="shared" ref="W37:W40" si="3">W98</f>
        <v>46009</v>
      </c>
      <c r="X37" s="789"/>
      <c r="Y37" s="617" t="s">
        <v>268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86"/>
      <c r="J38" s="786"/>
      <c r="K38" s="301"/>
      <c r="L38" s="298">
        <v>4</v>
      </c>
      <c r="M38" s="427" t="s">
        <v>275</v>
      </c>
      <c r="N38" s="409" t="s">
        <v>288</v>
      </c>
      <c r="O38" s="557"/>
      <c r="P38" s="569">
        <v>0.1</v>
      </c>
      <c r="Q38" s="300">
        <f t="shared" si="2"/>
        <v>21394.970967156238</v>
      </c>
      <c r="R38" s="821"/>
      <c r="S38" s="632" t="s">
        <v>289</v>
      </c>
      <c r="T38" s="658">
        <v>45991</v>
      </c>
      <c r="U38" s="721">
        <v>22939.255756339877</v>
      </c>
      <c r="V38" s="809"/>
      <c r="W38" s="540">
        <v>46051</v>
      </c>
      <c r="X38" s="789"/>
      <c r="Y38" s="617" t="s">
        <v>268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86"/>
      <c r="J39" s="786"/>
      <c r="K39" s="301"/>
      <c r="L39" s="298">
        <v>4</v>
      </c>
      <c r="M39" s="427" t="s">
        <v>275</v>
      </c>
      <c r="N39" s="409" t="s">
        <v>290</v>
      </c>
      <c r="O39" s="557"/>
      <c r="P39" s="569">
        <v>0.05</v>
      </c>
      <c r="Q39" s="300">
        <f t="shared" si="2"/>
        <v>10697.485483578119</v>
      </c>
      <c r="R39" s="821"/>
      <c r="S39" s="632" t="s">
        <v>291</v>
      </c>
      <c r="T39" s="658">
        <f t="shared" ref="T39:T40" si="6">T100</f>
        <v>45991</v>
      </c>
      <c r="U39" s="721">
        <v>11469.627878169938</v>
      </c>
      <c r="V39" s="809"/>
      <c r="W39" s="540">
        <f t="shared" si="3"/>
        <v>46058</v>
      </c>
      <c r="X39" s="789"/>
      <c r="Y39" s="617" t="s">
        <v>191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86"/>
      <c r="J40" s="786"/>
      <c r="K40" s="301"/>
      <c r="L40" s="298">
        <v>4</v>
      </c>
      <c r="M40" s="427" t="s">
        <v>275</v>
      </c>
      <c r="N40" s="409" t="s">
        <v>292</v>
      </c>
      <c r="O40" s="557"/>
      <c r="P40" s="569">
        <v>0.05</v>
      </c>
      <c r="Q40" s="300">
        <f t="shared" si="2"/>
        <v>10697.485483578119</v>
      </c>
      <c r="R40" s="807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809"/>
      <c r="W40" s="579">
        <f t="shared" si="3"/>
        <v>46103</v>
      </c>
      <c r="X40" s="789"/>
      <c r="Y40" s="620" t="s">
        <v>271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86"/>
      <c r="J41" s="786"/>
      <c r="K41" s="301"/>
      <c r="L41" s="298">
        <v>4</v>
      </c>
      <c r="M41" s="427" t="s">
        <v>275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1:U43" si="7">(Q41/$X$28*$J$28)</f>
        <v>0</v>
      </c>
      <c r="V41" s="809"/>
      <c r="W41" s="579"/>
      <c r="X41" s="789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86"/>
      <c r="J42" s="786"/>
      <c r="K42" s="301"/>
      <c r="L42" s="298">
        <v>4</v>
      </c>
      <c r="M42" s="427" t="s">
        <v>275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809"/>
      <c r="W42" s="579"/>
      <c r="X42" s="789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87"/>
      <c r="J43" s="787"/>
      <c r="K43" s="306"/>
      <c r="L43" s="302">
        <v>4</v>
      </c>
      <c r="M43" s="428" t="s">
        <v>275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810"/>
      <c r="W43" s="580"/>
      <c r="X43" s="790"/>
      <c r="Y43" s="483"/>
    </row>
    <row r="44" spans="1:26" ht="14.4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293</v>
      </c>
      <c r="D45" s="327" t="s">
        <v>294</v>
      </c>
      <c r="E45" s="283"/>
      <c r="F45" s="438"/>
      <c r="G45" s="284">
        <f>D176-G46</f>
        <v>34000</v>
      </c>
      <c r="H45" s="541">
        <v>45855</v>
      </c>
      <c r="I45" s="765">
        <f>SUM(G45:G52)</f>
        <v>49000</v>
      </c>
      <c r="J45" s="765">
        <f>F176</f>
        <v>56976.744186046511</v>
      </c>
      <c r="K45" s="285"/>
      <c r="L45" s="281">
        <v>5</v>
      </c>
      <c r="M45" s="423" t="s">
        <v>295</v>
      </c>
      <c r="N45" s="327" t="s">
        <v>296</v>
      </c>
      <c r="O45" s="551"/>
      <c r="P45" s="438"/>
      <c r="Q45" s="284">
        <v>8598.35</v>
      </c>
      <c r="R45" s="597" t="s">
        <v>241</v>
      </c>
      <c r="S45" s="664" t="s">
        <v>254</v>
      </c>
      <c r="T45" s="665">
        <v>45808</v>
      </c>
      <c r="U45" s="677">
        <v>12388.929969441344</v>
      </c>
      <c r="V45" s="777">
        <f>J45-SUM(U45:U52)</f>
        <v>1.7937726370291784E-3</v>
      </c>
      <c r="W45" s="541">
        <v>45855</v>
      </c>
      <c r="X45" s="768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297</v>
      </c>
      <c r="E46" s="452"/>
      <c r="F46" s="453"/>
      <c r="G46" s="315">
        <v>15000</v>
      </c>
      <c r="H46" s="537">
        <v>45806</v>
      </c>
      <c r="I46" s="766"/>
      <c r="J46" s="766"/>
      <c r="K46" s="288"/>
      <c r="L46" s="286">
        <v>5</v>
      </c>
      <c r="M46" s="429" t="s">
        <v>295</v>
      </c>
      <c r="N46" s="287" t="s">
        <v>298</v>
      </c>
      <c r="O46" s="559"/>
      <c r="P46" s="453"/>
      <c r="Q46" s="315">
        <v>13695</v>
      </c>
      <c r="R46" s="590" t="s">
        <v>299</v>
      </c>
      <c r="S46" s="627" t="s">
        <v>300</v>
      </c>
      <c r="T46" s="647">
        <v>45777</v>
      </c>
      <c r="U46" s="656">
        <v>19558.754521316128</v>
      </c>
      <c r="V46" s="778"/>
      <c r="W46" s="537">
        <v>45806</v>
      </c>
      <c r="X46" s="769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66"/>
      <c r="J47" s="766"/>
      <c r="K47" s="288"/>
      <c r="L47" s="286">
        <v>5</v>
      </c>
      <c r="M47" s="429" t="s">
        <v>295</v>
      </c>
      <c r="N47" s="287"/>
      <c r="O47" s="559"/>
      <c r="P47" s="453"/>
      <c r="Q47" s="315">
        <v>214.29</v>
      </c>
      <c r="R47" s="590"/>
      <c r="S47" s="683" t="s">
        <v>301</v>
      </c>
      <c r="T47" s="647">
        <v>45838</v>
      </c>
      <c r="U47" s="671">
        <v>339.84187195607296</v>
      </c>
      <c r="V47" s="778"/>
      <c r="W47" s="690">
        <v>45867</v>
      </c>
      <c r="X47" s="769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66"/>
      <c r="J48" s="766"/>
      <c r="K48" s="288"/>
      <c r="L48" s="286">
        <v>5</v>
      </c>
      <c r="M48" s="429" t="s">
        <v>295</v>
      </c>
      <c r="N48" s="313" t="s">
        <v>302</v>
      </c>
      <c r="O48" s="552"/>
      <c r="P48" s="460"/>
      <c r="Q48" s="315">
        <v>11169</v>
      </c>
      <c r="R48" s="590"/>
      <c r="S48" s="590" t="s">
        <v>303</v>
      </c>
      <c r="T48" s="647">
        <v>45838</v>
      </c>
      <c r="U48" s="671">
        <v>21272.903792418587</v>
      </c>
      <c r="V48" s="778"/>
      <c r="W48" s="537">
        <f>T48</f>
        <v>45838</v>
      </c>
      <c r="X48" s="769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66"/>
      <c r="J49" s="766"/>
      <c r="K49" s="288"/>
      <c r="L49" s="311">
        <v>5</v>
      </c>
      <c r="M49" s="429" t="s">
        <v>295</v>
      </c>
      <c r="N49" s="313" t="s">
        <v>304</v>
      </c>
      <c r="O49" s="552"/>
      <c r="P49" s="460"/>
      <c r="Q49" s="315">
        <v>2250.5</v>
      </c>
      <c r="R49" s="590" t="s">
        <v>305</v>
      </c>
      <c r="S49" s="627" t="s">
        <v>306</v>
      </c>
      <c r="T49" s="666">
        <f t="shared" si="0"/>
        <v>45808</v>
      </c>
      <c r="U49" s="671">
        <v>3416.3122371417471</v>
      </c>
      <c r="V49" s="778"/>
      <c r="W49" s="537">
        <v>45799</v>
      </c>
      <c r="X49" s="769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66"/>
      <c r="J50" s="766"/>
      <c r="K50" s="288"/>
      <c r="L50" s="311">
        <v>5</v>
      </c>
      <c r="M50" s="429" t="s">
        <v>295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78"/>
      <c r="W50" s="575"/>
      <c r="X50" s="769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66"/>
      <c r="J51" s="766"/>
      <c r="K51" s="288"/>
      <c r="L51" s="311">
        <v>5</v>
      </c>
      <c r="M51" s="429" t="s">
        <v>295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78"/>
      <c r="W51" s="575"/>
      <c r="X51" s="769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67"/>
      <c r="J52" s="767"/>
      <c r="K52" s="289"/>
      <c r="L52" s="316">
        <v>5</v>
      </c>
      <c r="M52" s="425" t="s">
        <v>295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79"/>
      <c r="W52" s="576"/>
      <c r="X52" s="770"/>
      <c r="Y52" s="483"/>
    </row>
    <row r="53" spans="1:25" ht="14.4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249</v>
      </c>
      <c r="D54" s="295" t="s">
        <v>307</v>
      </c>
      <c r="E54" s="476"/>
      <c r="F54" s="458"/>
      <c r="G54" s="296">
        <f>D175</f>
        <v>472703.72608695651</v>
      </c>
      <c r="H54" s="540">
        <v>45867</v>
      </c>
      <c r="I54" s="785">
        <f>SUM(G54:G71)</f>
        <v>472703.72608695651</v>
      </c>
      <c r="J54" s="785">
        <f>F175</f>
        <v>549655.49544994941</v>
      </c>
      <c r="K54" s="297"/>
      <c r="L54" s="293">
        <v>6</v>
      </c>
      <c r="M54" s="432" t="s">
        <v>308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808">
        <f>J54-SUM(U54:U71)</f>
        <v>-2.8140778886154294E-3</v>
      </c>
      <c r="W54" s="578"/>
      <c r="X54" s="788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86"/>
      <c r="J55" s="786"/>
      <c r="K55" s="301"/>
      <c r="L55" s="298">
        <v>6</v>
      </c>
      <c r="M55" s="430" t="s">
        <v>308</v>
      </c>
      <c r="N55" s="444" t="s">
        <v>309</v>
      </c>
      <c r="O55" s="557"/>
      <c r="P55" s="454"/>
      <c r="Q55" s="321">
        <v>179609.37</v>
      </c>
      <c r="R55" s="595" t="s">
        <v>310</v>
      </c>
      <c r="S55" s="632" t="s">
        <v>311</v>
      </c>
      <c r="T55" s="658">
        <v>45838</v>
      </c>
      <c r="U55" s="675">
        <v>344664.90021891647</v>
      </c>
      <c r="V55" s="809"/>
      <c r="W55" s="540">
        <v>45867</v>
      </c>
      <c r="X55" s="789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86"/>
      <c r="J56" s="786"/>
      <c r="K56" s="301"/>
      <c r="L56" s="298">
        <v>6</v>
      </c>
      <c r="M56" s="430" t="s">
        <v>308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809"/>
      <c r="W56" s="579"/>
      <c r="X56" s="789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86"/>
      <c r="J57" s="786"/>
      <c r="K57" s="301"/>
      <c r="L57" s="298">
        <v>6</v>
      </c>
      <c r="M57" s="430" t="s">
        <v>308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809"/>
      <c r="W57" s="579"/>
      <c r="X57" s="789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86"/>
      <c r="J58" s="786"/>
      <c r="K58" s="301"/>
      <c r="L58" s="298">
        <v>6</v>
      </c>
      <c r="M58" s="430" t="s">
        <v>308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809"/>
      <c r="W58" s="579"/>
      <c r="X58" s="789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86"/>
      <c r="J59" s="786"/>
      <c r="K59" s="301"/>
      <c r="L59" s="298">
        <v>6</v>
      </c>
      <c r="M59" s="430" t="s">
        <v>308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809"/>
      <c r="W59" s="579"/>
      <c r="X59" s="789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86"/>
      <c r="J60" s="786"/>
      <c r="K60" s="301"/>
      <c r="L60" s="298">
        <v>6</v>
      </c>
      <c r="M60" s="430" t="s">
        <v>308</v>
      </c>
      <c r="N60" s="409" t="s">
        <v>278</v>
      </c>
      <c r="O60" s="568">
        <v>106823.26991226962</v>
      </c>
      <c r="P60" s="569">
        <v>0.1</v>
      </c>
      <c r="Q60" s="300">
        <f>$O$60*P60</f>
        <v>10682.326991226962</v>
      </c>
      <c r="R60" s="806" t="s">
        <v>279</v>
      </c>
      <c r="S60" s="632" t="s">
        <v>280</v>
      </c>
      <c r="T60" s="658">
        <f t="shared" si="0"/>
        <v>45808</v>
      </c>
      <c r="U60" s="675">
        <v>20825.528648734518</v>
      </c>
      <c r="V60" s="809"/>
      <c r="W60" s="540">
        <f>W93</f>
        <v>45792</v>
      </c>
      <c r="X60" s="789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86"/>
      <c r="J61" s="786"/>
      <c r="K61" s="301"/>
      <c r="L61" s="298">
        <v>6</v>
      </c>
      <c r="M61" s="431" t="s">
        <v>308</v>
      </c>
      <c r="N61" s="409" t="s">
        <v>105</v>
      </c>
      <c r="O61" s="557"/>
      <c r="P61" s="569">
        <v>0.15</v>
      </c>
      <c r="Q61" s="300">
        <f t="shared" ref="Q61:Q68" si="9">$O$60*P61</f>
        <v>16023.490486840443</v>
      </c>
      <c r="R61" s="821"/>
      <c r="S61" s="632" t="s">
        <v>280</v>
      </c>
      <c r="T61" s="658">
        <f t="shared" si="0"/>
        <v>45808</v>
      </c>
      <c r="U61" s="675">
        <v>31238.292973101779</v>
      </c>
      <c r="V61" s="809"/>
      <c r="W61" s="662">
        <f>W94</f>
        <v>45792</v>
      </c>
      <c r="X61" s="789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86"/>
      <c r="J62" s="786"/>
      <c r="K62" s="301"/>
      <c r="L62" s="298">
        <v>6</v>
      </c>
      <c r="M62" s="431" t="s">
        <v>308</v>
      </c>
      <c r="N62" s="409" t="s">
        <v>281</v>
      </c>
      <c r="O62" s="557"/>
      <c r="P62" s="569">
        <v>0.2</v>
      </c>
      <c r="Q62" s="300">
        <f t="shared" si="9"/>
        <v>21364.653982453925</v>
      </c>
      <c r="R62" s="821"/>
      <c r="S62" s="632" t="s">
        <v>282</v>
      </c>
      <c r="T62" s="658">
        <v>45869</v>
      </c>
      <c r="U62" s="675">
        <v>40181.949046206559</v>
      </c>
      <c r="V62" s="809"/>
      <c r="W62" s="540">
        <f>W95</f>
        <v>45883</v>
      </c>
      <c r="X62" s="789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86"/>
      <c r="J63" s="786"/>
      <c r="K63" s="301"/>
      <c r="L63" s="298">
        <v>6</v>
      </c>
      <c r="M63" s="431" t="s">
        <v>308</v>
      </c>
      <c r="N63" s="409" t="s">
        <v>283</v>
      </c>
      <c r="O63" s="557"/>
      <c r="P63" s="569">
        <v>0.17</v>
      </c>
      <c r="Q63" s="300">
        <f t="shared" si="9"/>
        <v>18159.955885085838</v>
      </c>
      <c r="R63" s="821"/>
      <c r="S63" s="632" t="s">
        <v>284</v>
      </c>
      <c r="T63" s="679">
        <v>45869</v>
      </c>
      <c r="U63" s="675">
        <v>34848.401189275573</v>
      </c>
      <c r="V63" s="809"/>
      <c r="W63" s="540">
        <f>W96</f>
        <v>45849</v>
      </c>
      <c r="X63" s="789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79"/>
      <c r="I64" s="786"/>
      <c r="J64" s="786"/>
      <c r="K64" s="301"/>
      <c r="L64" s="298">
        <v>6</v>
      </c>
      <c r="M64" s="431" t="s">
        <v>308</v>
      </c>
      <c r="N64" s="409" t="s">
        <v>283</v>
      </c>
      <c r="O64" s="557"/>
      <c r="P64" s="569">
        <v>0.08</v>
      </c>
      <c r="Q64" s="300">
        <f>O60*P64</f>
        <v>8545.8615929815696</v>
      </c>
      <c r="R64" s="821"/>
      <c r="S64" s="632" t="s">
        <v>286</v>
      </c>
      <c r="T64" s="658">
        <v>45900</v>
      </c>
      <c r="U64" s="675">
        <v>16399.247618482619</v>
      </c>
      <c r="V64" s="809"/>
      <c r="W64" s="723">
        <f>W97</f>
        <v>46009</v>
      </c>
      <c r="X64" s="789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86"/>
      <c r="J65" s="786"/>
      <c r="K65" s="301"/>
      <c r="L65" s="298">
        <v>6</v>
      </c>
      <c r="M65" s="431" t="s">
        <v>308</v>
      </c>
      <c r="N65" s="409" t="s">
        <v>177</v>
      </c>
      <c r="O65" s="557"/>
      <c r="P65" s="569">
        <v>0.1</v>
      </c>
      <c r="Q65" s="300">
        <f t="shared" si="9"/>
        <v>10682.326991226962</v>
      </c>
      <c r="R65" s="821"/>
      <c r="S65" s="632" t="s">
        <v>287</v>
      </c>
      <c r="T65" s="658">
        <v>45900</v>
      </c>
      <c r="U65" s="675">
        <v>20499.059523103278</v>
      </c>
      <c r="V65" s="809"/>
      <c r="W65" s="723">
        <f t="shared" ref="W65:W68" si="10">W98</f>
        <v>46009</v>
      </c>
      <c r="X65" s="789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86"/>
      <c r="J66" s="786"/>
      <c r="K66" s="301"/>
      <c r="L66" s="298">
        <v>6</v>
      </c>
      <c r="M66" s="431" t="s">
        <v>308</v>
      </c>
      <c r="N66" s="409" t="s">
        <v>288</v>
      </c>
      <c r="O66" s="557"/>
      <c r="P66" s="569">
        <v>0.1</v>
      </c>
      <c r="Q66" s="300">
        <f t="shared" si="9"/>
        <v>10682.326991226962</v>
      </c>
      <c r="R66" s="821"/>
      <c r="S66" s="636" t="s">
        <v>289</v>
      </c>
      <c r="T66" s="658">
        <v>45991</v>
      </c>
      <c r="U66" s="722">
        <v>20499.059523103278</v>
      </c>
      <c r="V66" s="809"/>
      <c r="W66" s="540">
        <v>46051</v>
      </c>
      <c r="X66" s="789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86"/>
      <c r="J67" s="786"/>
      <c r="K67" s="301"/>
      <c r="L67" s="298">
        <v>6</v>
      </c>
      <c r="M67" s="431" t="s">
        <v>308</v>
      </c>
      <c r="N67" s="409" t="s">
        <v>290</v>
      </c>
      <c r="O67" s="557"/>
      <c r="P67" s="569">
        <v>0.05</v>
      </c>
      <c r="Q67" s="300">
        <f t="shared" si="9"/>
        <v>5341.1634956134812</v>
      </c>
      <c r="R67" s="821"/>
      <c r="S67" s="636" t="s">
        <v>291</v>
      </c>
      <c r="T67" s="658">
        <f t="shared" ref="T67:T68" si="11">T100</f>
        <v>45991</v>
      </c>
      <c r="U67" s="722">
        <v>10249.529761551639</v>
      </c>
      <c r="V67" s="809"/>
      <c r="W67" s="540">
        <f t="shared" si="10"/>
        <v>46058</v>
      </c>
      <c r="X67" s="789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86"/>
      <c r="J68" s="786"/>
      <c r="K68" s="301"/>
      <c r="L68" s="298">
        <v>6</v>
      </c>
      <c r="M68" s="431" t="s">
        <v>308</v>
      </c>
      <c r="N68" s="409" t="s">
        <v>292</v>
      </c>
      <c r="O68" s="557"/>
      <c r="P68" s="569">
        <v>0.05</v>
      </c>
      <c r="Q68" s="300">
        <f t="shared" si="9"/>
        <v>5341.1634956134812</v>
      </c>
      <c r="R68" s="807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809"/>
      <c r="W68" s="579">
        <f t="shared" si="10"/>
        <v>46103</v>
      </c>
      <c r="X68" s="789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86"/>
      <c r="J69" s="786"/>
      <c r="K69" s="301"/>
      <c r="L69" s="298">
        <v>6</v>
      </c>
      <c r="M69" s="431" t="s">
        <v>308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9:U71" si="12">(Q69/$X$54*$J$54)</f>
        <v>0</v>
      </c>
      <c r="V69" s="809"/>
      <c r="W69" s="582"/>
      <c r="X69" s="789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86"/>
      <c r="J70" s="786"/>
      <c r="K70" s="301"/>
      <c r="L70" s="298">
        <v>6</v>
      </c>
      <c r="M70" s="431" t="s">
        <v>308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809"/>
      <c r="W70" s="582"/>
      <c r="X70" s="789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87"/>
      <c r="J71" s="787"/>
      <c r="K71" s="306"/>
      <c r="L71" s="302">
        <v>6</v>
      </c>
      <c r="M71" s="433" t="s">
        <v>308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810"/>
      <c r="W71" s="580"/>
      <c r="X71" s="790"/>
      <c r="Y71" s="483"/>
    </row>
    <row r="72" spans="1:25" ht="14.4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312</v>
      </c>
      <c r="D73" s="382"/>
      <c r="E73" s="463"/>
      <c r="F73" s="469"/>
      <c r="G73" s="383"/>
      <c r="H73" s="584"/>
      <c r="I73" s="765">
        <f>SUM(G73:G80)</f>
        <v>0</v>
      </c>
      <c r="J73" s="765">
        <v>0</v>
      </c>
      <c r="K73" s="285"/>
      <c r="L73" s="381">
        <v>7</v>
      </c>
      <c r="M73" s="309" t="s">
        <v>313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818">
        <f>J73-SUM(U73:U80)</f>
        <v>0</v>
      </c>
      <c r="W73" s="584"/>
      <c r="X73" s="768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66"/>
      <c r="J74" s="766"/>
      <c r="K74" s="288"/>
      <c r="L74" s="384">
        <v>7</v>
      </c>
      <c r="M74" s="385" t="s">
        <v>313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819"/>
      <c r="W74" s="575"/>
      <c r="X74" s="769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66"/>
      <c r="J75" s="766"/>
      <c r="K75" s="288"/>
      <c r="L75" s="384">
        <v>7</v>
      </c>
      <c r="M75" s="385" t="s">
        <v>313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819"/>
      <c r="W75" s="575"/>
      <c r="X75" s="769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66"/>
      <c r="J76" s="766"/>
      <c r="K76" s="288"/>
      <c r="L76" s="384">
        <v>7</v>
      </c>
      <c r="M76" s="385" t="s">
        <v>313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819"/>
      <c r="W76" s="575"/>
      <c r="X76" s="769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66"/>
      <c r="J77" s="766"/>
      <c r="K77" s="288"/>
      <c r="L77" s="384">
        <v>7</v>
      </c>
      <c r="M77" s="385" t="s">
        <v>313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819"/>
      <c r="W77" s="575"/>
      <c r="X77" s="769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66"/>
      <c r="J78" s="766"/>
      <c r="K78" s="288"/>
      <c r="L78" s="384">
        <v>7</v>
      </c>
      <c r="M78" s="385" t="s">
        <v>313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819"/>
      <c r="W78" s="575"/>
      <c r="X78" s="769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66"/>
      <c r="J79" s="766"/>
      <c r="K79" s="288"/>
      <c r="L79" s="384">
        <v>7</v>
      </c>
      <c r="M79" s="385" t="s">
        <v>313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819"/>
      <c r="W79" s="575"/>
      <c r="X79" s="769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67"/>
      <c r="J80" s="767"/>
      <c r="K80" s="289"/>
      <c r="L80" s="316">
        <v>7</v>
      </c>
      <c r="M80" s="337" t="s">
        <v>313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820"/>
      <c r="W80" s="576"/>
      <c r="X80" s="770"/>
      <c r="Y80" s="483"/>
    </row>
    <row r="81" spans="1:25" ht="14.4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314</v>
      </c>
      <c r="D82" s="333"/>
      <c r="E82" s="464"/>
      <c r="F82" s="417"/>
      <c r="G82" s="334"/>
      <c r="H82" s="578"/>
      <c r="I82" s="785">
        <f>D178</f>
        <v>0</v>
      </c>
      <c r="J82" s="785">
        <f>F178</f>
        <v>0</v>
      </c>
      <c r="K82" s="297"/>
      <c r="L82" s="332">
        <v>8</v>
      </c>
      <c r="M82" s="426" t="s">
        <v>315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797">
        <f>J82-SUM(U82:U90)</f>
        <v>0</v>
      </c>
      <c r="W82" s="578"/>
      <c r="X82" s="788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86"/>
      <c r="J83" s="786"/>
      <c r="K83" s="301"/>
      <c r="L83" s="322">
        <v>8</v>
      </c>
      <c r="M83" s="434" t="s">
        <v>315</v>
      </c>
      <c r="N83" s="335" t="s">
        <v>316</v>
      </c>
      <c r="O83" s="560"/>
      <c r="P83" s="462">
        <v>13400</v>
      </c>
      <c r="Q83" s="324">
        <f>P83</f>
        <v>13400</v>
      </c>
      <c r="R83" s="691"/>
      <c r="S83" s="632" t="s">
        <v>317</v>
      </c>
      <c r="T83" s="679">
        <v>45838</v>
      </c>
      <c r="U83" s="509"/>
      <c r="V83" s="798"/>
      <c r="W83" s="662">
        <v>45834</v>
      </c>
      <c r="X83" s="789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86"/>
      <c r="J84" s="786"/>
      <c r="K84" s="301"/>
      <c r="L84" s="322">
        <v>8</v>
      </c>
      <c r="M84" s="434" t="s">
        <v>315</v>
      </c>
      <c r="N84" s="335" t="s">
        <v>318</v>
      </c>
      <c r="O84" s="680">
        <v>46480</v>
      </c>
      <c r="P84" s="681">
        <v>0.8</v>
      </c>
      <c r="Q84" s="324">
        <f>O84*P84</f>
        <v>37184</v>
      </c>
      <c r="R84" s="806" t="s">
        <v>319</v>
      </c>
      <c r="S84" s="685" t="s">
        <v>320</v>
      </c>
      <c r="T84" s="682">
        <v>45838</v>
      </c>
      <c r="U84" s="509"/>
      <c r="V84" s="798"/>
      <c r="W84" s="540">
        <v>45834</v>
      </c>
      <c r="X84" s="789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86"/>
      <c r="J85" s="786"/>
      <c r="K85" s="301"/>
      <c r="L85" s="322">
        <v>8</v>
      </c>
      <c r="M85" s="434" t="s">
        <v>315</v>
      </c>
      <c r="N85" s="335" t="s">
        <v>321</v>
      </c>
      <c r="O85" s="560"/>
      <c r="P85" s="681">
        <v>0.2</v>
      </c>
      <c r="Q85" s="324">
        <f>O84*P85</f>
        <v>9296</v>
      </c>
      <c r="R85" s="807"/>
      <c r="S85" s="685" t="s">
        <v>320</v>
      </c>
      <c r="T85" s="682">
        <v>45838</v>
      </c>
      <c r="U85" s="509"/>
      <c r="V85" s="798"/>
      <c r="W85" s="540">
        <v>45876</v>
      </c>
      <c r="X85" s="789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86"/>
      <c r="J86" s="786"/>
      <c r="K86" s="301"/>
      <c r="L86" s="322">
        <v>8</v>
      </c>
      <c r="M86" s="434" t="s">
        <v>315</v>
      </c>
      <c r="N86" s="335" t="s">
        <v>322</v>
      </c>
      <c r="O86" s="560"/>
      <c r="P86" s="681">
        <v>1</v>
      </c>
      <c r="Q86" s="324">
        <v>3900</v>
      </c>
      <c r="R86" s="595" t="s">
        <v>323</v>
      </c>
      <c r="S86" s="685" t="s">
        <v>324</v>
      </c>
      <c r="T86" s="658">
        <v>45900</v>
      </c>
      <c r="U86" s="509"/>
      <c r="V86" s="798"/>
      <c r="W86" s="540">
        <v>45890</v>
      </c>
      <c r="X86" s="789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86"/>
      <c r="J87" s="786"/>
      <c r="K87" s="301"/>
      <c r="L87" s="322">
        <v>8</v>
      </c>
      <c r="M87" s="434" t="s">
        <v>315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798"/>
      <c r="W87" s="579"/>
      <c r="X87" s="789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86"/>
      <c r="J88" s="786"/>
      <c r="K88" s="301"/>
      <c r="L88" s="322">
        <v>8</v>
      </c>
      <c r="M88" s="434" t="s">
        <v>315</v>
      </c>
      <c r="N88" s="335" t="s">
        <v>325</v>
      </c>
      <c r="O88" s="560"/>
      <c r="P88" s="462"/>
      <c r="Q88" s="324">
        <v>15220</v>
      </c>
      <c r="R88" s="595" t="s">
        <v>326</v>
      </c>
      <c r="S88" s="632" t="s">
        <v>327</v>
      </c>
      <c r="T88" s="682">
        <v>45930</v>
      </c>
      <c r="U88" s="509"/>
      <c r="V88" s="798"/>
      <c r="W88" s="540">
        <v>45939</v>
      </c>
      <c r="X88" s="789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86"/>
      <c r="J89" s="786"/>
      <c r="K89" s="301"/>
      <c r="L89" s="322">
        <v>8</v>
      </c>
      <c r="M89" s="434" t="s">
        <v>315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798"/>
      <c r="W89" s="582"/>
      <c r="X89" s="789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87"/>
      <c r="J90" s="787"/>
      <c r="K90" s="306"/>
      <c r="L90" s="302">
        <v>8</v>
      </c>
      <c r="M90" s="433" t="s">
        <v>315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799"/>
      <c r="W90" s="580"/>
      <c r="X90" s="790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328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329</v>
      </c>
      <c r="D92" s="327" t="s">
        <v>330</v>
      </c>
      <c r="E92" s="314"/>
      <c r="F92" s="438"/>
      <c r="G92" s="622">
        <f>D184</f>
        <v>99067.5</v>
      </c>
      <c r="H92" s="537">
        <v>45792</v>
      </c>
      <c r="I92" s="791">
        <f>SUM(G92:G104)</f>
        <v>320512.5</v>
      </c>
      <c r="J92" s="765">
        <f>F184+F185</f>
        <v>377073.5294117647</v>
      </c>
      <c r="K92" s="288"/>
      <c r="L92" s="311">
        <v>9</v>
      </c>
      <c r="M92" s="424" t="s">
        <v>331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77">
        <f>J92-SUM(U92:U104)</f>
        <v>0</v>
      </c>
      <c r="W92" s="581"/>
      <c r="X92" s="794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332</v>
      </c>
      <c r="E93" s="314"/>
      <c r="F93" s="460"/>
      <c r="G93" s="622">
        <f>D185</f>
        <v>221445</v>
      </c>
      <c r="H93" s="537">
        <v>45792</v>
      </c>
      <c r="I93" s="792"/>
      <c r="J93" s="766"/>
      <c r="K93" s="288"/>
      <c r="L93" s="311">
        <v>9</v>
      </c>
      <c r="M93" s="424" t="s">
        <v>331</v>
      </c>
      <c r="N93" s="328" t="s">
        <v>278</v>
      </c>
      <c r="O93" s="571">
        <v>558566.42209803406</v>
      </c>
      <c r="P93" s="572">
        <v>0.1</v>
      </c>
      <c r="Q93" s="315">
        <f>$O$93*P93</f>
        <v>55856.642209803409</v>
      </c>
      <c r="R93" s="803" t="s">
        <v>279</v>
      </c>
      <c r="S93" s="627" t="s">
        <v>280</v>
      </c>
      <c r="T93" s="647">
        <f t="shared" si="13"/>
        <v>45808</v>
      </c>
      <c r="U93" s="671">
        <v>37707.352941176468</v>
      </c>
      <c r="V93" s="778"/>
      <c r="W93" s="537">
        <v>45792</v>
      </c>
      <c r="X93" s="795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92"/>
      <c r="J94" s="766"/>
      <c r="K94" s="288"/>
      <c r="L94" s="384">
        <v>9</v>
      </c>
      <c r="M94" s="503" t="s">
        <v>331</v>
      </c>
      <c r="N94" s="386" t="s">
        <v>105</v>
      </c>
      <c r="O94" s="553"/>
      <c r="P94" s="570">
        <v>0.15</v>
      </c>
      <c r="Q94" s="315">
        <f t="shared" ref="Q94:Q101" si="14">$O$93*P94</f>
        <v>83784.963314705106</v>
      </c>
      <c r="R94" s="804"/>
      <c r="S94" s="627" t="s">
        <v>280</v>
      </c>
      <c r="T94" s="646">
        <f t="shared" si="13"/>
        <v>45808</v>
      </c>
      <c r="U94" s="672">
        <v>56561.029411764706</v>
      </c>
      <c r="V94" s="778"/>
      <c r="W94" s="660">
        <v>45792</v>
      </c>
      <c r="X94" s="795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92"/>
      <c r="J95" s="766"/>
      <c r="K95" s="288"/>
      <c r="L95" s="384">
        <v>9</v>
      </c>
      <c r="M95" s="503" t="s">
        <v>331</v>
      </c>
      <c r="N95" s="386" t="s">
        <v>281</v>
      </c>
      <c r="O95" s="553"/>
      <c r="P95" s="570">
        <v>0.2</v>
      </c>
      <c r="Q95" s="315">
        <f t="shared" si="14"/>
        <v>111713.28441960682</v>
      </c>
      <c r="R95" s="804"/>
      <c r="S95" s="628" t="s">
        <v>282</v>
      </c>
      <c r="T95" s="646">
        <v>45869</v>
      </c>
      <c r="U95" s="672">
        <v>75414.705882352937</v>
      </c>
      <c r="V95" s="778"/>
      <c r="W95" s="538">
        <v>45883</v>
      </c>
      <c r="X95" s="795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92"/>
      <c r="J96" s="766"/>
      <c r="K96" s="288"/>
      <c r="L96" s="384">
        <v>9</v>
      </c>
      <c r="M96" s="503" t="s">
        <v>331</v>
      </c>
      <c r="N96" s="386" t="s">
        <v>283</v>
      </c>
      <c r="O96" s="553"/>
      <c r="P96" s="570">
        <v>0.17</v>
      </c>
      <c r="Q96" s="315">
        <f t="shared" si="14"/>
        <v>94956.2917566658</v>
      </c>
      <c r="R96" s="804"/>
      <c r="S96" s="628" t="s">
        <v>333</v>
      </c>
      <c r="T96" s="689">
        <v>45869</v>
      </c>
      <c r="U96" s="672">
        <v>64102.5</v>
      </c>
      <c r="V96" s="778"/>
      <c r="W96" s="538">
        <v>45849</v>
      </c>
      <c r="X96" s="795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92"/>
      <c r="J97" s="766"/>
      <c r="K97" s="288"/>
      <c r="L97" s="384" t="s">
        <v>334</v>
      </c>
      <c r="M97" s="503" t="s">
        <v>331</v>
      </c>
      <c r="N97" s="386" t="s">
        <v>283</v>
      </c>
      <c r="O97" s="553"/>
      <c r="P97" s="570">
        <v>0.08</v>
      </c>
      <c r="Q97" s="315">
        <f>O93*P97</f>
        <v>44685.313767842723</v>
      </c>
      <c r="R97" s="804"/>
      <c r="S97" s="628" t="s">
        <v>286</v>
      </c>
      <c r="T97" s="646">
        <v>45900</v>
      </c>
      <c r="U97" s="672">
        <v>30165.882352941175</v>
      </c>
      <c r="V97" s="778"/>
      <c r="W97" s="724">
        <v>46009</v>
      </c>
      <c r="X97" s="795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92"/>
      <c r="J98" s="766"/>
      <c r="K98" s="288"/>
      <c r="L98" s="384">
        <v>9</v>
      </c>
      <c r="M98" s="503" t="s">
        <v>331</v>
      </c>
      <c r="N98" s="386" t="s">
        <v>177</v>
      </c>
      <c r="O98" s="553"/>
      <c r="P98" s="570">
        <v>0.1</v>
      </c>
      <c r="Q98" s="315">
        <f t="shared" si="14"/>
        <v>55856.642209803409</v>
      </c>
      <c r="R98" s="804"/>
      <c r="S98" s="628" t="s">
        <v>287</v>
      </c>
      <c r="T98" s="646">
        <v>45991</v>
      </c>
      <c r="U98" s="657">
        <v>37707.352941176468</v>
      </c>
      <c r="V98" s="778"/>
      <c r="W98" s="724">
        <f>'Project Plan'!K39+14</f>
        <v>46009</v>
      </c>
      <c r="X98" s="795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92"/>
      <c r="J99" s="766"/>
      <c r="K99" s="288"/>
      <c r="L99" s="384">
        <v>9</v>
      </c>
      <c r="M99" s="503" t="s">
        <v>331</v>
      </c>
      <c r="N99" s="386" t="s">
        <v>288</v>
      </c>
      <c r="O99" s="553"/>
      <c r="P99" s="570">
        <v>0.1</v>
      </c>
      <c r="Q99" s="315">
        <f t="shared" si="14"/>
        <v>55856.642209803409</v>
      </c>
      <c r="R99" s="804"/>
      <c r="S99" s="628" t="s">
        <v>289</v>
      </c>
      <c r="T99" s="646">
        <v>45991</v>
      </c>
      <c r="U99" s="657">
        <v>37707.352941176468</v>
      </c>
      <c r="V99" s="778"/>
      <c r="W99" s="538">
        <v>46051</v>
      </c>
      <c r="X99" s="795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92"/>
      <c r="J100" s="766"/>
      <c r="K100" s="288"/>
      <c r="L100" s="384">
        <v>9</v>
      </c>
      <c r="M100" s="503" t="s">
        <v>331</v>
      </c>
      <c r="N100" s="386" t="s">
        <v>290</v>
      </c>
      <c r="O100" s="553"/>
      <c r="P100" s="570">
        <v>0.05</v>
      </c>
      <c r="Q100" s="315">
        <f t="shared" si="14"/>
        <v>27928.321104901705</v>
      </c>
      <c r="R100" s="804"/>
      <c r="S100" s="628" t="s">
        <v>291</v>
      </c>
      <c r="T100" s="646">
        <v>45991</v>
      </c>
      <c r="U100" s="657">
        <v>18853.676470588234</v>
      </c>
      <c r="V100" s="778"/>
      <c r="W100" s="538">
        <f>W99+7</f>
        <v>46058</v>
      </c>
      <c r="X100" s="795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92"/>
      <c r="J101" s="766"/>
      <c r="K101" s="288"/>
      <c r="L101" s="384">
        <v>9</v>
      </c>
      <c r="M101" s="503" t="s">
        <v>331</v>
      </c>
      <c r="N101" s="386" t="s">
        <v>292</v>
      </c>
      <c r="O101" s="553"/>
      <c r="P101" s="570">
        <v>0.05</v>
      </c>
      <c r="Q101" s="315">
        <f t="shared" si="14"/>
        <v>27928.321104901705</v>
      </c>
      <c r="R101" s="805"/>
      <c r="S101" s="628" t="s">
        <v>335</v>
      </c>
      <c r="T101" s="646">
        <v>46053</v>
      </c>
      <c r="U101" s="657">
        <v>18853.676470588234</v>
      </c>
      <c r="V101" s="778"/>
      <c r="W101" s="575">
        <f>W100+45</f>
        <v>46103</v>
      </c>
      <c r="X101" s="795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92"/>
      <c r="J102" s="766"/>
      <c r="K102" s="288"/>
      <c r="L102" s="384">
        <v>9</v>
      </c>
      <c r="M102" s="503" t="s">
        <v>331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2:U104" si="15">(Q102/$X$92*$J$92)</f>
        <v>0</v>
      </c>
      <c r="V102" s="778"/>
      <c r="W102" s="575"/>
      <c r="X102" s="795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92"/>
      <c r="J103" s="766"/>
      <c r="K103" s="288"/>
      <c r="L103" s="384">
        <v>9</v>
      </c>
      <c r="M103" s="503" t="s">
        <v>331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78"/>
      <c r="W103" s="575"/>
      <c r="X103" s="795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93"/>
      <c r="J104" s="767"/>
      <c r="K104" s="364"/>
      <c r="L104" s="316">
        <v>9</v>
      </c>
      <c r="M104" s="442" t="s">
        <v>331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79"/>
      <c r="W104" s="576"/>
      <c r="X104" s="796"/>
      <c r="Y104" s="483"/>
    </row>
    <row r="105" spans="1:25" ht="14.4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336</v>
      </c>
      <c r="D106" s="270" t="s">
        <v>258</v>
      </c>
      <c r="E106" s="271"/>
      <c r="F106" s="471"/>
      <c r="G106" s="338">
        <f>D188</f>
        <v>8500</v>
      </c>
      <c r="H106" s="543">
        <v>45868</v>
      </c>
      <c r="I106" s="771">
        <f>SUM(G106:G127)</f>
        <v>86776.2</v>
      </c>
      <c r="J106" s="771">
        <f>F188+F191+F192+F190</f>
        <v>102089.64705882352</v>
      </c>
      <c r="K106" s="339"/>
      <c r="L106" s="269">
        <v>10</v>
      </c>
      <c r="M106" s="435" t="s">
        <v>337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780">
        <f>J106-SUM(U106:U127)</f>
        <v>1.1746092641260475E-3</v>
      </c>
      <c r="W106" s="585"/>
      <c r="X106" s="774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259</v>
      </c>
      <c r="E107" s="342"/>
      <c r="F107" s="472"/>
      <c r="G107" s="343">
        <f>D192</f>
        <v>26666.2</v>
      </c>
      <c r="H107" s="543">
        <v>45869</v>
      </c>
      <c r="I107" s="772"/>
      <c r="J107" s="772"/>
      <c r="K107" s="272"/>
      <c r="L107" s="340">
        <v>10</v>
      </c>
      <c r="M107" s="436" t="s">
        <v>337</v>
      </c>
      <c r="N107" s="341" t="s">
        <v>338</v>
      </c>
      <c r="O107" s="566"/>
      <c r="P107" s="472"/>
      <c r="Q107" s="343">
        <v>25500</v>
      </c>
      <c r="R107" s="604" t="s">
        <v>339</v>
      </c>
      <c r="S107" s="640" t="s">
        <v>340</v>
      </c>
      <c r="T107" s="684">
        <v>45838</v>
      </c>
      <c r="U107" s="687">
        <v>6312.0266445819343</v>
      </c>
      <c r="V107" s="781"/>
      <c r="W107" s="543">
        <v>45869</v>
      </c>
      <c r="X107" s="775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72"/>
      <c r="J108" s="772"/>
      <c r="K108" s="272"/>
      <c r="L108" s="340">
        <v>10</v>
      </c>
      <c r="M108" s="436" t="s">
        <v>337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781"/>
      <c r="W108" s="586"/>
      <c r="X108" s="775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72"/>
      <c r="J109" s="772"/>
      <c r="K109" s="272"/>
      <c r="L109" s="340">
        <v>10</v>
      </c>
      <c r="M109" s="436" t="s">
        <v>337</v>
      </c>
      <c r="N109" s="341" t="s">
        <v>341</v>
      </c>
      <c r="O109" s="566"/>
      <c r="P109" s="472"/>
      <c r="Q109" s="343">
        <v>25500</v>
      </c>
      <c r="R109" s="604"/>
      <c r="S109" s="640" t="s">
        <v>342</v>
      </c>
      <c r="T109" s="686">
        <v>45838</v>
      </c>
      <c r="U109" s="687">
        <v>23548.366445819345</v>
      </c>
      <c r="V109" s="781"/>
      <c r="W109" s="543">
        <v>45849</v>
      </c>
      <c r="X109" s="775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72"/>
      <c r="J110" s="772"/>
      <c r="K110" s="272"/>
      <c r="L110" s="340">
        <v>10</v>
      </c>
      <c r="M110" s="436" t="s">
        <v>337</v>
      </c>
      <c r="N110" s="341" t="s">
        <v>343</v>
      </c>
      <c r="O110" s="566"/>
      <c r="P110" s="472"/>
      <c r="Q110" s="343">
        <v>26350</v>
      </c>
      <c r="R110" s="604"/>
      <c r="S110" s="640" t="s">
        <v>344</v>
      </c>
      <c r="T110" s="684">
        <v>45869</v>
      </c>
      <c r="U110" s="687">
        <v>24039.748137468738</v>
      </c>
      <c r="V110" s="781"/>
      <c r="W110" s="543">
        <v>45869</v>
      </c>
      <c r="X110" s="775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72"/>
      <c r="J111" s="772"/>
      <c r="K111" s="272"/>
      <c r="L111" s="340">
        <v>10</v>
      </c>
      <c r="M111" s="436" t="s">
        <v>337</v>
      </c>
      <c r="N111" s="341" t="s">
        <v>345</v>
      </c>
      <c r="O111" s="566"/>
      <c r="P111" s="472"/>
      <c r="Q111" s="343">
        <v>26350</v>
      </c>
      <c r="R111" s="604"/>
      <c r="S111" s="640" t="s">
        <v>346</v>
      </c>
      <c r="T111" s="684">
        <v>45900</v>
      </c>
      <c r="U111" s="687">
        <v>3799.4302206394041</v>
      </c>
      <c r="V111" s="781"/>
      <c r="W111" s="543">
        <v>45901</v>
      </c>
      <c r="X111" s="775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72"/>
      <c r="J112" s="772"/>
      <c r="K112" s="272"/>
      <c r="L112" s="340">
        <v>10</v>
      </c>
      <c r="M112" s="436" t="s">
        <v>337</v>
      </c>
      <c r="N112" s="341" t="s">
        <v>347</v>
      </c>
      <c r="O112" s="566"/>
      <c r="P112" s="472"/>
      <c r="Q112" s="343">
        <v>25500</v>
      </c>
      <c r="R112" s="604"/>
      <c r="S112" s="640" t="s">
        <v>348</v>
      </c>
      <c r="T112" s="684">
        <v>45930</v>
      </c>
      <c r="U112" s="701">
        <v>2203.7703710075566</v>
      </c>
      <c r="V112" s="781"/>
      <c r="W112" s="717">
        <v>45932</v>
      </c>
      <c r="X112" s="775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72"/>
      <c r="J113" s="772"/>
      <c r="K113" s="272"/>
      <c r="L113" s="340">
        <v>10</v>
      </c>
      <c r="M113" s="436" t="s">
        <v>337</v>
      </c>
      <c r="N113" s="341" t="s">
        <v>349</v>
      </c>
      <c r="O113" s="566"/>
      <c r="P113" s="472"/>
      <c r="Q113" s="343">
        <v>26350</v>
      </c>
      <c r="R113" s="604"/>
      <c r="S113" s="640" t="s">
        <v>350</v>
      </c>
      <c r="T113" s="718">
        <v>45961</v>
      </c>
      <c r="U113" s="701">
        <v>1384.28</v>
      </c>
      <c r="V113" s="781"/>
      <c r="W113" s="543">
        <v>45967</v>
      </c>
      <c r="X113" s="775"/>
      <c r="Y113" s="483"/>
    </row>
    <row r="114" spans="1:25" ht="14.25" customHeight="1">
      <c r="B114" s="340">
        <v>10</v>
      </c>
      <c r="C114" s="341"/>
      <c r="D114" s="341" t="s">
        <v>351</v>
      </c>
      <c r="E114" s="342"/>
      <c r="F114" s="472"/>
      <c r="G114" s="343">
        <f>D191</f>
        <v>46800</v>
      </c>
      <c r="H114" s="586">
        <v>45934</v>
      </c>
      <c r="I114" s="772"/>
      <c r="J114" s="772"/>
      <c r="K114" s="272"/>
      <c r="L114" s="340">
        <v>10</v>
      </c>
      <c r="M114" s="436" t="s">
        <v>337</v>
      </c>
      <c r="N114" s="341" t="s">
        <v>352</v>
      </c>
      <c r="O114" s="566"/>
      <c r="P114" s="472"/>
      <c r="Q114" s="720">
        <v>25500</v>
      </c>
      <c r="R114" s="604"/>
      <c r="S114" s="640" t="s">
        <v>353</v>
      </c>
      <c r="T114" s="684">
        <v>45991</v>
      </c>
      <c r="U114" s="517">
        <v>0</v>
      </c>
      <c r="V114" s="781"/>
      <c r="W114" s="543">
        <v>45989</v>
      </c>
      <c r="X114" s="775"/>
      <c r="Y114" s="483"/>
    </row>
    <row r="115" spans="1:25" ht="14.25" customHeight="1">
      <c r="B115" s="340">
        <v>10</v>
      </c>
      <c r="C115" s="341"/>
      <c r="D115" s="341" t="s">
        <v>260</v>
      </c>
      <c r="E115" s="342"/>
      <c r="F115" s="472"/>
      <c r="G115" s="343">
        <f>D190</f>
        <v>4810</v>
      </c>
      <c r="H115" s="586">
        <v>45935</v>
      </c>
      <c r="I115" s="772"/>
      <c r="J115" s="772"/>
      <c r="K115" s="272"/>
      <c r="L115" s="340">
        <v>10</v>
      </c>
      <c r="M115" s="436" t="s">
        <v>337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781"/>
      <c r="W115" s="586"/>
      <c r="X115" s="775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72"/>
      <c r="J116" s="772"/>
      <c r="K116" s="272"/>
      <c r="L116" s="340">
        <v>10</v>
      </c>
      <c r="M116" s="436" t="s">
        <v>337</v>
      </c>
      <c r="N116" s="341" t="s">
        <v>278</v>
      </c>
      <c r="O116" s="621">
        <v>57500.59831813402</v>
      </c>
      <c r="P116" s="573">
        <v>0.1</v>
      </c>
      <c r="Q116" s="343">
        <f>$O$116*P116</f>
        <v>5750.0598318134025</v>
      </c>
      <c r="R116" s="800" t="s">
        <v>279</v>
      </c>
      <c r="S116" s="641" t="s">
        <v>280</v>
      </c>
      <c r="T116" s="659">
        <f t="shared" si="13"/>
        <v>45808</v>
      </c>
      <c r="U116" s="678">
        <v>3727.1069765159168</v>
      </c>
      <c r="V116" s="781"/>
      <c r="W116" s="544">
        <f t="shared" ref="W116:W124" si="16">W93</f>
        <v>45792</v>
      </c>
      <c r="X116" s="775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72"/>
      <c r="J117" s="772"/>
      <c r="K117" s="272"/>
      <c r="L117" s="340">
        <v>10</v>
      </c>
      <c r="M117" s="436" t="s">
        <v>337</v>
      </c>
      <c r="N117" s="341" t="s">
        <v>105</v>
      </c>
      <c r="O117" s="566"/>
      <c r="P117" s="573">
        <v>0.15</v>
      </c>
      <c r="Q117" s="343">
        <f t="shared" ref="Q117:Q124" si="18">$O$116*P117</f>
        <v>8625.0897477201033</v>
      </c>
      <c r="R117" s="801"/>
      <c r="S117" s="641" t="s">
        <v>280</v>
      </c>
      <c r="T117" s="659">
        <f t="shared" si="13"/>
        <v>45808</v>
      </c>
      <c r="U117" s="678">
        <v>5590.660464773875</v>
      </c>
      <c r="V117" s="781"/>
      <c r="W117" s="661">
        <f t="shared" si="16"/>
        <v>45792</v>
      </c>
      <c r="X117" s="775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72"/>
      <c r="J118" s="772"/>
      <c r="K118" s="272"/>
      <c r="L118" s="340">
        <v>10</v>
      </c>
      <c r="M118" s="436" t="s">
        <v>337</v>
      </c>
      <c r="N118" s="341" t="s">
        <v>281</v>
      </c>
      <c r="O118" s="566"/>
      <c r="P118" s="573">
        <v>0.2</v>
      </c>
      <c r="Q118" s="343">
        <f t="shared" si="18"/>
        <v>11500.119663626805</v>
      </c>
      <c r="R118" s="801"/>
      <c r="S118" s="641" t="s">
        <v>282</v>
      </c>
      <c r="T118" s="659">
        <v>45869</v>
      </c>
      <c r="U118" s="678">
        <v>10019.179858229225</v>
      </c>
      <c r="V118" s="781"/>
      <c r="W118" s="544">
        <f>W95</f>
        <v>45883</v>
      </c>
      <c r="X118" s="775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72"/>
      <c r="J119" s="772"/>
      <c r="K119" s="272"/>
      <c r="L119" s="340">
        <v>10</v>
      </c>
      <c r="M119" s="436" t="s">
        <v>337</v>
      </c>
      <c r="N119" s="341" t="s">
        <v>283</v>
      </c>
      <c r="O119" s="566"/>
      <c r="P119" s="573">
        <v>0.17</v>
      </c>
      <c r="Q119" s="343">
        <f t="shared" si="18"/>
        <v>9775.1017140827844</v>
      </c>
      <c r="R119" s="801"/>
      <c r="S119" s="641" t="s">
        <v>354</v>
      </c>
      <c r="T119" s="688">
        <f>T96</f>
        <v>45869</v>
      </c>
      <c r="U119" s="678">
        <v>8918.0638794948427</v>
      </c>
      <c r="V119" s="781"/>
      <c r="W119" s="544">
        <f t="shared" si="16"/>
        <v>45849</v>
      </c>
      <c r="X119" s="775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72"/>
      <c r="J120" s="772"/>
      <c r="K120" s="272"/>
      <c r="L120" s="340">
        <v>10</v>
      </c>
      <c r="M120" s="436" t="s">
        <v>337</v>
      </c>
      <c r="N120" s="341" t="s">
        <v>283</v>
      </c>
      <c r="O120" s="566"/>
      <c r="P120" s="573">
        <v>0.08</v>
      </c>
      <c r="Q120" s="343">
        <f>O116*P120</f>
        <v>4600.0478654507215</v>
      </c>
      <c r="R120" s="801"/>
      <c r="S120" s="641" t="s">
        <v>286</v>
      </c>
      <c r="T120" s="659">
        <v>45900</v>
      </c>
      <c r="U120" s="678">
        <v>3396.8551944846095</v>
      </c>
      <c r="V120" s="781"/>
      <c r="W120" s="651">
        <v>46009</v>
      </c>
      <c r="X120" s="775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72"/>
      <c r="J121" s="772"/>
      <c r="K121" s="272"/>
      <c r="L121" s="340">
        <v>10</v>
      </c>
      <c r="M121" s="436" t="s">
        <v>337</v>
      </c>
      <c r="N121" s="341" t="s">
        <v>177</v>
      </c>
      <c r="O121" s="566"/>
      <c r="P121" s="573">
        <v>0.1</v>
      </c>
      <c r="Q121" s="343">
        <f t="shared" si="18"/>
        <v>5750.0598318134025</v>
      </c>
      <c r="R121" s="801"/>
      <c r="S121" s="641" t="s">
        <v>287</v>
      </c>
      <c r="T121" s="659">
        <v>45900</v>
      </c>
      <c r="U121" s="678">
        <v>4246.0689931057623</v>
      </c>
      <c r="V121" s="781"/>
      <c r="W121" s="651">
        <f t="shared" si="16"/>
        <v>46009</v>
      </c>
      <c r="X121" s="775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72"/>
      <c r="J122" s="772"/>
      <c r="K122" s="272"/>
      <c r="L122" s="340">
        <v>10</v>
      </c>
      <c r="M122" s="436" t="s">
        <v>337</v>
      </c>
      <c r="N122" s="341" t="s">
        <v>288</v>
      </c>
      <c r="O122" s="566"/>
      <c r="P122" s="573">
        <v>0.1</v>
      </c>
      <c r="Q122" s="343">
        <f t="shared" si="18"/>
        <v>5750.0598318134025</v>
      </c>
      <c r="R122" s="801"/>
      <c r="S122" s="641" t="s">
        <v>289</v>
      </c>
      <c r="T122" s="659">
        <f>T99</f>
        <v>45991</v>
      </c>
      <c r="U122" s="719">
        <v>2443.3043490465243</v>
      </c>
      <c r="V122" s="781"/>
      <c r="W122" s="544">
        <f t="shared" si="16"/>
        <v>46051</v>
      </c>
      <c r="X122" s="775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72"/>
      <c r="J123" s="772"/>
      <c r="K123" s="272"/>
      <c r="L123" s="340">
        <v>10</v>
      </c>
      <c r="M123" s="436" t="s">
        <v>337</v>
      </c>
      <c r="N123" s="341" t="s">
        <v>290</v>
      </c>
      <c r="O123" s="566"/>
      <c r="P123" s="573">
        <v>0.05</v>
      </c>
      <c r="Q123" s="343">
        <f t="shared" si="18"/>
        <v>2875.0299159067013</v>
      </c>
      <c r="R123" s="801"/>
      <c r="S123" s="641" t="s">
        <v>291</v>
      </c>
      <c r="T123" s="659">
        <f>T100</f>
        <v>45991</v>
      </c>
      <c r="U123" s="719">
        <v>1230.3921745232622</v>
      </c>
      <c r="V123" s="781"/>
      <c r="W123" s="651">
        <f t="shared" si="16"/>
        <v>46058</v>
      </c>
      <c r="X123" s="775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72"/>
      <c r="J124" s="772"/>
      <c r="K124" s="272"/>
      <c r="L124" s="340">
        <v>10</v>
      </c>
      <c r="M124" s="436" t="s">
        <v>337</v>
      </c>
      <c r="N124" s="341" t="s">
        <v>292</v>
      </c>
      <c r="O124" s="566"/>
      <c r="P124" s="573">
        <v>0.05</v>
      </c>
      <c r="Q124" s="343">
        <f t="shared" si="18"/>
        <v>2875.0299159067013</v>
      </c>
      <c r="R124" s="802"/>
      <c r="S124" s="641" t="str">
        <f>S101</f>
        <v>Thula Moya IN05014</v>
      </c>
      <c r="T124" s="659">
        <f>T101</f>
        <v>46053</v>
      </c>
      <c r="U124" s="719">
        <v>1230.3921745232622</v>
      </c>
      <c r="V124" s="781"/>
      <c r="W124" s="587">
        <f t="shared" si="16"/>
        <v>46103</v>
      </c>
      <c r="X124" s="775"/>
      <c r="Y124" s="483"/>
    </row>
    <row r="125" spans="1:25" ht="14.25" customHeight="1">
      <c r="B125" s="340">
        <v>10</v>
      </c>
      <c r="C125" s="341"/>
      <c r="D125" s="341"/>
      <c r="E125" s="342"/>
      <c r="F125" s="472"/>
      <c r="G125" s="343"/>
      <c r="H125" s="587"/>
      <c r="I125" s="772"/>
      <c r="J125" s="772"/>
      <c r="K125" s="272"/>
      <c r="L125" s="340">
        <v>10</v>
      </c>
      <c r="M125" s="436" t="s">
        <v>337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5:U127" si="19">(Q125/$X$106*$J$106)</f>
        <v>0</v>
      </c>
      <c r="V125" s="781"/>
      <c r="W125" s="587"/>
      <c r="X125" s="775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72"/>
      <c r="J126" s="772"/>
      <c r="K126" s="272"/>
      <c r="L126" s="340">
        <v>10</v>
      </c>
      <c r="M126" s="436" t="s">
        <v>337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781"/>
      <c r="W126" s="587"/>
      <c r="X126" s="775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73"/>
      <c r="J127" s="773"/>
      <c r="K127" s="275"/>
      <c r="L127" s="273">
        <v>10</v>
      </c>
      <c r="M127" s="437" t="s">
        <v>337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782"/>
      <c r="W127" s="588"/>
      <c r="X127" s="776"/>
      <c r="Y127" s="483"/>
    </row>
    <row r="128" spans="1:25" ht="14.4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355</v>
      </c>
      <c r="D129" s="351" t="s">
        <v>356</v>
      </c>
      <c r="E129" s="283"/>
      <c r="F129" s="438"/>
      <c r="G129" s="284">
        <v>11000</v>
      </c>
      <c r="H129" s="649">
        <v>45756</v>
      </c>
      <c r="I129" s="765">
        <f>SUM(G129:G133)</f>
        <v>117813.5</v>
      </c>
      <c r="J129" s="765">
        <f>F187</f>
        <v>138604.11764705883</v>
      </c>
      <c r="K129" s="285"/>
      <c r="L129" s="281">
        <v>11</v>
      </c>
      <c r="M129" s="351" t="s">
        <v>357</v>
      </c>
      <c r="N129" s="351" t="s">
        <v>356</v>
      </c>
      <c r="O129" s="283"/>
      <c r="P129" s="438"/>
      <c r="Q129" s="284">
        <v>11585.8</v>
      </c>
      <c r="R129" s="597"/>
      <c r="S129" s="634" t="s">
        <v>358</v>
      </c>
      <c r="T129" s="669">
        <v>45869</v>
      </c>
      <c r="U129" s="677">
        <v>50818.155267871167</v>
      </c>
      <c r="V129" s="777">
        <f>J129-SUM(U129:U133)</f>
        <v>1.8918175192084163E-3</v>
      </c>
      <c r="W129" s="541">
        <v>46051</v>
      </c>
      <c r="X129" s="768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359</v>
      </c>
      <c r="E130" s="314"/>
      <c r="F130" s="460"/>
      <c r="G130" s="315">
        <v>19813.5</v>
      </c>
      <c r="H130" s="649">
        <v>45757</v>
      </c>
      <c r="I130" s="766"/>
      <c r="J130" s="766"/>
      <c r="K130" s="288"/>
      <c r="L130" s="311">
        <v>11</v>
      </c>
      <c r="M130" s="390" t="s">
        <v>357</v>
      </c>
      <c r="N130" s="313" t="s">
        <v>359</v>
      </c>
      <c r="O130" s="314"/>
      <c r="P130" s="460"/>
      <c r="Q130" s="315">
        <v>8212.24</v>
      </c>
      <c r="R130" s="590" t="s">
        <v>360</v>
      </c>
      <c r="S130" s="627" t="s">
        <v>361</v>
      </c>
      <c r="T130" s="648">
        <v>45777</v>
      </c>
      <c r="U130" s="656">
        <v>37550.846757147687</v>
      </c>
      <c r="V130" s="778"/>
      <c r="W130" s="649">
        <v>45757</v>
      </c>
      <c r="X130" s="769"/>
      <c r="Y130" s="483"/>
    </row>
    <row r="131" spans="1:25" ht="15" customHeight="1">
      <c r="B131" s="311">
        <v>11</v>
      </c>
      <c r="C131" s="313"/>
      <c r="D131" s="313" t="s">
        <v>362</v>
      </c>
      <c r="E131" s="314"/>
      <c r="F131" s="460"/>
      <c r="G131" s="315">
        <v>80000</v>
      </c>
      <c r="H131" s="649">
        <v>45758</v>
      </c>
      <c r="I131" s="766"/>
      <c r="J131" s="766"/>
      <c r="K131" s="288"/>
      <c r="L131" s="311">
        <v>11</v>
      </c>
      <c r="M131" s="390" t="s">
        <v>357</v>
      </c>
      <c r="N131" s="313" t="s">
        <v>363</v>
      </c>
      <c r="O131" s="314"/>
      <c r="P131" s="460"/>
      <c r="Q131" s="315">
        <v>6000</v>
      </c>
      <c r="R131" s="590"/>
      <c r="S131" s="627" t="s">
        <v>364</v>
      </c>
      <c r="T131" s="647">
        <v>46022</v>
      </c>
      <c r="U131" s="656">
        <v>26915.12814024297</v>
      </c>
      <c r="V131" s="778"/>
      <c r="W131" s="537">
        <f>T131+30</f>
        <v>46052</v>
      </c>
      <c r="X131" s="769"/>
      <c r="Y131" s="483"/>
    </row>
    <row r="132" spans="1:25" ht="15" customHeight="1">
      <c r="B132" s="311">
        <v>11</v>
      </c>
      <c r="C132" s="388"/>
      <c r="D132" s="388" t="s">
        <v>365</v>
      </c>
      <c r="E132" s="407"/>
      <c r="F132" s="445"/>
      <c r="G132" s="387">
        <v>7000</v>
      </c>
      <c r="H132" s="538">
        <v>45834</v>
      </c>
      <c r="I132" s="766"/>
      <c r="J132" s="766"/>
      <c r="K132" s="288"/>
      <c r="L132" s="311">
        <v>11</v>
      </c>
      <c r="M132" s="390" t="s">
        <v>357</v>
      </c>
      <c r="N132" s="388" t="s">
        <v>365</v>
      </c>
      <c r="O132" s="407"/>
      <c r="P132" s="445"/>
      <c r="Q132" s="387">
        <v>5100</v>
      </c>
      <c r="R132" s="591" t="s">
        <v>366</v>
      </c>
      <c r="S132" s="628" t="s">
        <v>367</v>
      </c>
      <c r="T132" s="646">
        <v>45777</v>
      </c>
      <c r="U132" s="657">
        <v>23319.985589979493</v>
      </c>
      <c r="V132" s="778"/>
      <c r="W132" s="538">
        <v>45834</v>
      </c>
      <c r="X132" s="769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67"/>
      <c r="J133" s="767"/>
      <c r="K133" s="289"/>
      <c r="L133" s="316">
        <v>11</v>
      </c>
      <c r="M133" s="420" t="s">
        <v>357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79"/>
      <c r="W133" s="576"/>
      <c r="X133" s="770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368</v>
      </c>
      <c r="D135" s="270" t="s">
        <v>369</v>
      </c>
      <c r="E135" s="271"/>
      <c r="F135" s="471"/>
      <c r="G135" s="338">
        <v>76871.461618329515</v>
      </c>
      <c r="H135" s="538">
        <v>45837</v>
      </c>
      <c r="I135" s="771">
        <f>SUM(G135:G136)</f>
        <v>92245.753941995412</v>
      </c>
      <c r="J135" s="771">
        <v>0</v>
      </c>
      <c r="K135" s="783"/>
      <c r="L135" s="269">
        <v>12</v>
      </c>
      <c r="M135" s="270" t="s">
        <v>370</v>
      </c>
      <c r="N135" s="270" t="s">
        <v>369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74">
        <f>SUM(Q135:Q136)</f>
        <v>0</v>
      </c>
      <c r="Y135" s="483"/>
    </row>
    <row r="136" spans="1:25" ht="15" customHeight="1" thickBot="1">
      <c r="B136" s="273">
        <v>12</v>
      </c>
      <c r="C136" s="344" t="s">
        <v>368</v>
      </c>
      <c r="D136" s="344" t="s">
        <v>371</v>
      </c>
      <c r="E136" s="345"/>
      <c r="F136" s="473"/>
      <c r="G136" s="274">
        <v>15374.292323665903</v>
      </c>
      <c r="H136" s="538">
        <v>45838</v>
      </c>
      <c r="I136" s="773"/>
      <c r="J136" s="773"/>
      <c r="K136" s="784"/>
      <c r="L136" s="273">
        <v>12</v>
      </c>
      <c r="M136" s="344" t="s">
        <v>370</v>
      </c>
      <c r="N136" s="344" t="s">
        <v>371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76"/>
      <c r="Y136" s="483"/>
    </row>
    <row r="137" spans="1:25" ht="14.4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372</v>
      </c>
      <c r="D138" s="351" t="s">
        <v>373</v>
      </c>
      <c r="E138" s="283"/>
      <c r="F138" s="438"/>
      <c r="G138" s="284">
        <v>36877.480857336966</v>
      </c>
      <c r="H138" s="538">
        <v>45840</v>
      </c>
      <c r="I138" s="765">
        <f>SUM(G138:G142)</f>
        <v>174707.80371447981</v>
      </c>
      <c r="J138" s="765">
        <f>F186</f>
        <v>198531.59513009069</v>
      </c>
      <c r="K138" s="285"/>
      <c r="L138" s="281">
        <v>13</v>
      </c>
      <c r="M138" s="351" t="s">
        <v>374</v>
      </c>
      <c r="N138" s="351" t="s">
        <v>375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46112</v>
      </c>
      <c r="U138" s="512">
        <f t="shared" ref="U138:U143" si="20">(Q138/$X$138*$J$138)</f>
        <v>198531.59513009069</v>
      </c>
      <c r="V138" s="777">
        <f>J138-SUM(U138:U143)</f>
        <v>0</v>
      </c>
      <c r="W138" s="581">
        <v>46142</v>
      </c>
      <c r="X138" s="768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376</v>
      </c>
      <c r="E139" s="314"/>
      <c r="F139" s="460"/>
      <c r="G139" s="315">
        <v>22285.714285714286</v>
      </c>
      <c r="H139" s="538">
        <v>45841</v>
      </c>
      <c r="I139" s="766"/>
      <c r="J139" s="766"/>
      <c r="K139" s="288"/>
      <c r="L139" s="311">
        <v>13</v>
      </c>
      <c r="M139" s="390" t="s">
        <v>374</v>
      </c>
      <c r="N139" s="313" t="s">
        <v>376</v>
      </c>
      <c r="O139" s="552"/>
      <c r="P139" s="460"/>
      <c r="Q139" s="315">
        <v>0</v>
      </c>
      <c r="R139" s="590"/>
      <c r="S139" s="627"/>
      <c r="T139" s="520">
        <f t="shared" si="13"/>
        <v>46142</v>
      </c>
      <c r="U139" s="504">
        <f t="shared" si="20"/>
        <v>0</v>
      </c>
      <c r="V139" s="778"/>
      <c r="W139" s="574">
        <f>W138</f>
        <v>46142</v>
      </c>
      <c r="X139" s="769"/>
      <c r="Y139" s="483"/>
    </row>
    <row r="140" spans="1:25" ht="15.75" customHeight="1">
      <c r="B140" s="311">
        <v>13</v>
      </c>
      <c r="C140" s="313"/>
      <c r="D140" s="313" t="s">
        <v>377</v>
      </c>
      <c r="E140" s="314"/>
      <c r="F140" s="460"/>
      <c r="G140" s="315">
        <v>66300</v>
      </c>
      <c r="H140" s="538">
        <v>45842</v>
      </c>
      <c r="I140" s="766"/>
      <c r="J140" s="766"/>
      <c r="K140" s="288"/>
      <c r="L140" s="311">
        <v>13</v>
      </c>
      <c r="M140" s="390" t="s">
        <v>374</v>
      </c>
      <c r="N140" s="313" t="s">
        <v>377</v>
      </c>
      <c r="O140" s="552"/>
      <c r="P140" s="460"/>
      <c r="Q140" s="315">
        <v>0</v>
      </c>
      <c r="R140" s="590"/>
      <c r="S140" s="627"/>
      <c r="T140" s="520">
        <f t="shared" si="13"/>
        <v>46142</v>
      </c>
      <c r="U140" s="504">
        <f t="shared" si="20"/>
        <v>0</v>
      </c>
      <c r="V140" s="778"/>
      <c r="W140" s="574">
        <f>W138</f>
        <v>46142</v>
      </c>
      <c r="X140" s="769"/>
      <c r="Y140" s="483"/>
    </row>
    <row r="141" spans="1:25" ht="15.75" customHeight="1">
      <c r="B141" s="311">
        <v>13</v>
      </c>
      <c r="C141" s="313"/>
      <c r="D141" s="313" t="s">
        <v>378</v>
      </c>
      <c r="E141" s="314"/>
      <c r="F141" s="460"/>
      <c r="G141" s="315">
        <v>28971.428571428569</v>
      </c>
      <c r="H141" s="538">
        <v>45843</v>
      </c>
      <c r="I141" s="766"/>
      <c r="J141" s="766"/>
      <c r="K141" s="288"/>
      <c r="L141" s="311">
        <v>13</v>
      </c>
      <c r="M141" s="390" t="s">
        <v>374</v>
      </c>
      <c r="N141" s="313" t="s">
        <v>378</v>
      </c>
      <c r="O141" s="552"/>
      <c r="P141" s="460"/>
      <c r="Q141" s="315">
        <v>0</v>
      </c>
      <c r="R141" s="590"/>
      <c r="S141" s="627"/>
      <c r="T141" s="520">
        <f t="shared" si="13"/>
        <v>46142</v>
      </c>
      <c r="U141" s="504">
        <f t="shared" si="20"/>
        <v>0</v>
      </c>
      <c r="V141" s="778"/>
      <c r="W141" s="574">
        <f>W138</f>
        <v>46142</v>
      </c>
      <c r="X141" s="769"/>
      <c r="Y141" s="483"/>
    </row>
    <row r="142" spans="1:25" ht="15.75" customHeight="1">
      <c r="B142" s="311">
        <v>13</v>
      </c>
      <c r="C142" s="313"/>
      <c r="D142" s="313" t="s">
        <v>379</v>
      </c>
      <c r="E142" s="314"/>
      <c r="F142" s="460"/>
      <c r="G142" s="315">
        <v>20273.18</v>
      </c>
      <c r="H142" s="538">
        <v>45844</v>
      </c>
      <c r="I142" s="766"/>
      <c r="J142" s="766"/>
      <c r="K142" s="288"/>
      <c r="L142" s="311">
        <v>13</v>
      </c>
      <c r="M142" s="390" t="s">
        <v>374</v>
      </c>
      <c r="N142" s="313" t="s">
        <v>379</v>
      </c>
      <c r="O142" s="552"/>
      <c r="P142" s="460"/>
      <c r="Q142" s="315">
        <v>0</v>
      </c>
      <c r="R142" s="590"/>
      <c r="S142" s="627"/>
      <c r="T142" s="520">
        <f t="shared" si="13"/>
        <v>46142</v>
      </c>
      <c r="U142" s="504">
        <f t="shared" si="20"/>
        <v>0</v>
      </c>
      <c r="V142" s="778"/>
      <c r="W142" s="574">
        <f>W138</f>
        <v>46142</v>
      </c>
      <c r="X142" s="769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67"/>
      <c r="J143" s="767"/>
      <c r="K143" s="364"/>
      <c r="L143" s="316">
        <v>13</v>
      </c>
      <c r="M143" s="420" t="s">
        <v>374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79"/>
      <c r="W143" s="576"/>
      <c r="X143" s="770"/>
      <c r="Y143" s="483"/>
    </row>
    <row r="144" spans="1:25" ht="14.4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380</v>
      </c>
      <c r="D145" s="270" t="s">
        <v>381</v>
      </c>
      <c r="E145" s="271"/>
      <c r="F145" s="471"/>
      <c r="G145" s="338">
        <v>6825</v>
      </c>
      <c r="H145" s="650">
        <v>45747</v>
      </c>
      <c r="I145" s="771">
        <f>SUM(G145:G156)</f>
        <v>6825</v>
      </c>
      <c r="J145" s="771">
        <f>F197</f>
        <v>8029.4117647058829</v>
      </c>
      <c r="K145" s="339"/>
      <c r="L145" s="269">
        <v>14</v>
      </c>
      <c r="M145" s="435" t="s">
        <v>382</v>
      </c>
      <c r="N145" s="270" t="s">
        <v>383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780">
        <f>J145-SUM(U145:U156)</f>
        <v>-4.1710134973982349E-4</v>
      </c>
      <c r="W145" s="650">
        <v>45747</v>
      </c>
      <c r="X145" s="774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72"/>
      <c r="J146" s="772"/>
      <c r="K146" s="272"/>
      <c r="L146" s="340">
        <v>14</v>
      </c>
      <c r="M146" s="436" t="s">
        <v>382</v>
      </c>
      <c r="N146" s="341" t="s">
        <v>383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781"/>
      <c r="W146" s="651">
        <v>45777</v>
      </c>
      <c r="X146" s="775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72"/>
      <c r="J147" s="772"/>
      <c r="K147" s="272"/>
      <c r="L147" s="340">
        <v>14</v>
      </c>
      <c r="M147" s="436" t="s">
        <v>382</v>
      </c>
      <c r="N147" s="341" t="s">
        <v>383</v>
      </c>
      <c r="O147" s="566"/>
      <c r="P147" s="472"/>
      <c r="Q147" s="343">
        <v>1399.4599999999998</v>
      </c>
      <c r="R147" s="605"/>
      <c r="S147" s="641" t="s">
        <v>384</v>
      </c>
      <c r="T147" s="659">
        <v>45808</v>
      </c>
      <c r="U147" s="678">
        <v>1819.1538537136867</v>
      </c>
      <c r="V147" s="781"/>
      <c r="W147" s="544">
        <v>45817</v>
      </c>
      <c r="X147" s="775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72"/>
      <c r="J148" s="772"/>
      <c r="K148" s="272"/>
      <c r="L148" s="340">
        <v>14</v>
      </c>
      <c r="M148" s="436" t="s">
        <v>382</v>
      </c>
      <c r="N148" s="341" t="s">
        <v>383</v>
      </c>
      <c r="O148" s="566"/>
      <c r="P148" s="472"/>
      <c r="Q148" s="343">
        <v>1610.1000000000001</v>
      </c>
      <c r="R148" s="605"/>
      <c r="S148" s="641" t="s">
        <v>384</v>
      </c>
      <c r="T148" s="659">
        <v>45838</v>
      </c>
      <c r="U148" s="678">
        <v>2264.064277996632</v>
      </c>
      <c r="V148" s="781"/>
      <c r="W148" s="544">
        <v>45842</v>
      </c>
      <c r="X148" s="775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72"/>
      <c r="J149" s="772"/>
      <c r="K149" s="272"/>
      <c r="L149" s="340">
        <v>14</v>
      </c>
      <c r="M149" s="436" t="s">
        <v>382</v>
      </c>
      <c r="N149" s="341" t="s">
        <v>383</v>
      </c>
      <c r="O149" s="566"/>
      <c r="P149" s="472"/>
      <c r="Q149" s="343">
        <v>2045.03</v>
      </c>
      <c r="R149" s="605"/>
      <c r="S149" s="641" t="s">
        <v>384</v>
      </c>
      <c r="T149" s="659">
        <v>45869</v>
      </c>
      <c r="U149" s="678">
        <v>1130.3352501899867</v>
      </c>
      <c r="V149" s="781"/>
      <c r="W149" s="544">
        <v>45876</v>
      </c>
      <c r="X149" s="775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72"/>
      <c r="J150" s="772"/>
      <c r="K150" s="272"/>
      <c r="L150" s="340">
        <v>14</v>
      </c>
      <c r="M150" s="436" t="s">
        <v>382</v>
      </c>
      <c r="N150" s="341" t="s">
        <v>383</v>
      </c>
      <c r="O150" s="566"/>
      <c r="P150" s="472"/>
      <c r="Q150" s="343">
        <v>72.87</v>
      </c>
      <c r="R150" s="605"/>
      <c r="S150" s="641" t="s">
        <v>384</v>
      </c>
      <c r="T150" s="659">
        <v>45900</v>
      </c>
      <c r="U150" s="678">
        <v>81.547943862281841</v>
      </c>
      <c r="V150" s="781"/>
      <c r="W150" s="544">
        <v>45905</v>
      </c>
      <c r="X150" s="775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72"/>
      <c r="J151" s="772"/>
      <c r="K151" s="272"/>
      <c r="L151" s="340">
        <v>14</v>
      </c>
      <c r="M151" s="436" t="s">
        <v>382</v>
      </c>
      <c r="N151" s="341" t="s">
        <v>383</v>
      </c>
      <c r="O151" s="566"/>
      <c r="P151" s="472"/>
      <c r="Q151" s="343">
        <v>0</v>
      </c>
      <c r="R151" s="605"/>
      <c r="S151" s="641" t="s">
        <v>384</v>
      </c>
      <c r="T151" s="700">
        <v>45930</v>
      </c>
      <c r="U151" s="518">
        <v>0</v>
      </c>
      <c r="V151" s="781"/>
      <c r="W151" s="651">
        <v>45930</v>
      </c>
      <c r="X151" s="775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72"/>
      <c r="J152" s="772"/>
      <c r="K152" s="272"/>
      <c r="L152" s="340">
        <v>14</v>
      </c>
      <c r="M152" s="436" t="s">
        <v>382</v>
      </c>
      <c r="N152" s="341" t="s">
        <v>383</v>
      </c>
      <c r="O152" s="566"/>
      <c r="P152" s="472"/>
      <c r="Q152" s="343">
        <v>3363.46</v>
      </c>
      <c r="R152" s="605"/>
      <c r="S152" s="641" t="s">
        <v>384</v>
      </c>
      <c r="T152" s="700">
        <v>45961</v>
      </c>
      <c r="U152" s="719">
        <v>1613.8361933409408</v>
      </c>
      <c r="V152" s="781"/>
      <c r="W152" s="651">
        <v>45967</v>
      </c>
      <c r="X152" s="775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72"/>
      <c r="J153" s="772"/>
      <c r="K153" s="272"/>
      <c r="L153" s="340">
        <v>14</v>
      </c>
      <c r="M153" s="436" t="s">
        <v>382</v>
      </c>
      <c r="N153" s="341" t="s">
        <v>383</v>
      </c>
      <c r="O153" s="566"/>
      <c r="P153" s="472"/>
      <c r="Q153" s="343">
        <v>59.5</v>
      </c>
      <c r="R153" s="605"/>
      <c r="S153" s="641" t="s">
        <v>384</v>
      </c>
      <c r="T153" s="700">
        <v>45991</v>
      </c>
      <c r="U153" s="719">
        <v>676.87760543709578</v>
      </c>
      <c r="V153" s="781"/>
      <c r="W153" s="651">
        <v>45996</v>
      </c>
      <c r="X153" s="775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72"/>
      <c r="J154" s="772"/>
      <c r="K154" s="272"/>
      <c r="L154" s="340">
        <v>14</v>
      </c>
      <c r="M154" s="436" t="s">
        <v>382</v>
      </c>
      <c r="N154" s="341" t="s">
        <v>383</v>
      </c>
      <c r="O154" s="566"/>
      <c r="P154" s="472"/>
      <c r="Q154" s="343">
        <v>154.69999999999999</v>
      </c>
      <c r="R154" s="605"/>
      <c r="S154" s="641" t="s">
        <v>384</v>
      </c>
      <c r="T154" s="700">
        <v>46022</v>
      </c>
      <c r="U154" s="719">
        <v>201.37717142497797</v>
      </c>
      <c r="V154" s="781"/>
      <c r="W154" s="651">
        <v>46030</v>
      </c>
      <c r="X154" s="775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72"/>
      <c r="J155" s="772"/>
      <c r="K155" s="272"/>
      <c r="L155" s="340">
        <v>14</v>
      </c>
      <c r="M155" s="436" t="s">
        <v>382</v>
      </c>
      <c r="N155" s="341" t="s">
        <v>383</v>
      </c>
      <c r="O155" s="566"/>
      <c r="P155" s="472"/>
      <c r="Q155" s="343">
        <v>89.01</v>
      </c>
      <c r="R155" s="605"/>
      <c r="S155" s="641" t="s">
        <v>384</v>
      </c>
      <c r="T155" s="700">
        <v>46053</v>
      </c>
      <c r="U155" s="719">
        <f>(Q155/$X$145*$J$145)+61.89+99.06</f>
        <v>242.21988584163194</v>
      </c>
      <c r="V155" s="781"/>
      <c r="W155" s="651">
        <v>46058</v>
      </c>
      <c r="X155" s="775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73"/>
      <c r="J156" s="773"/>
      <c r="K156" s="275"/>
      <c r="L156" s="273">
        <v>14</v>
      </c>
      <c r="M156" s="437" t="s">
        <v>382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782"/>
      <c r="W156" s="588"/>
      <c r="X156" s="776"/>
      <c r="Y156" s="483"/>
    </row>
    <row r="157" spans="1:25" ht="14.4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385</v>
      </c>
      <c r="D158" s="282" t="s">
        <v>386</v>
      </c>
      <c r="E158" s="283"/>
      <c r="F158" s="438"/>
      <c r="G158" s="284">
        <f>D194</f>
        <v>250000</v>
      </c>
      <c r="H158" s="537">
        <v>45908</v>
      </c>
      <c r="I158" s="765">
        <f>SUM(G158:G169)</f>
        <v>250000</v>
      </c>
      <c r="J158" s="765">
        <f>F194</f>
        <v>250000</v>
      </c>
      <c r="K158" s="285"/>
      <c r="L158" s="281">
        <v>15</v>
      </c>
      <c r="M158" s="351" t="s">
        <v>387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77">
        <v>0</v>
      </c>
      <c r="W158" s="581"/>
      <c r="X158" s="768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66"/>
      <c r="J159" s="766"/>
      <c r="K159" s="288"/>
      <c r="L159" s="311">
        <v>15</v>
      </c>
      <c r="M159" s="390" t="s">
        <v>387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78"/>
      <c r="W159" s="574"/>
      <c r="X159" s="769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66"/>
      <c r="J160" s="766"/>
      <c r="K160" s="288"/>
      <c r="L160" s="311">
        <v>15</v>
      </c>
      <c r="M160" s="390" t="s">
        <v>387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78"/>
      <c r="W160" s="574"/>
      <c r="X160" s="769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66"/>
      <c r="J161" s="766"/>
      <c r="K161" s="288"/>
      <c r="L161" s="311">
        <v>15</v>
      </c>
      <c r="M161" s="390" t="s">
        <v>387</v>
      </c>
      <c r="N161" s="313" t="s">
        <v>388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389</v>
      </c>
      <c r="T161" s="647">
        <v>45930</v>
      </c>
      <c r="U161" s="671">
        <v>125000</v>
      </c>
      <c r="V161" s="778"/>
      <c r="W161" s="537">
        <v>45911</v>
      </c>
      <c r="X161" s="769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66"/>
      <c r="J162" s="766"/>
      <c r="K162" s="288"/>
      <c r="L162" s="311">
        <v>15</v>
      </c>
      <c r="M162" s="390" t="s">
        <v>387</v>
      </c>
      <c r="N162" s="313"/>
      <c r="O162" s="552"/>
      <c r="P162" s="460"/>
      <c r="Q162" s="315">
        <f>P161*O161</f>
        <v>91474.565000000002</v>
      </c>
      <c r="R162" s="590"/>
      <c r="S162" s="627" t="s">
        <v>389</v>
      </c>
      <c r="T162" s="647">
        <v>45930</v>
      </c>
      <c r="U162" s="671">
        <v>125000</v>
      </c>
      <c r="V162" s="778"/>
      <c r="W162" s="537">
        <v>46003</v>
      </c>
      <c r="X162" s="769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66"/>
      <c r="J163" s="766"/>
      <c r="K163" s="288"/>
      <c r="L163" s="311">
        <v>15</v>
      </c>
      <c r="M163" s="390" t="s">
        <v>387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78"/>
      <c r="W163" s="574"/>
      <c r="X163" s="769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66"/>
      <c r="J164" s="766"/>
      <c r="K164" s="288"/>
      <c r="L164" s="311">
        <v>15</v>
      </c>
      <c r="M164" s="390" t="s">
        <v>387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78"/>
      <c r="W164" s="574"/>
      <c r="X164" s="769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66"/>
      <c r="J165" s="766"/>
      <c r="K165" s="288"/>
      <c r="L165" s="311">
        <v>15</v>
      </c>
      <c r="M165" s="390" t="s">
        <v>387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78"/>
      <c r="W165" s="574"/>
      <c r="X165" s="769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66"/>
      <c r="J166" s="766"/>
      <c r="K166" s="288"/>
      <c r="L166" s="311">
        <v>15</v>
      </c>
      <c r="M166" s="390" t="s">
        <v>387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78"/>
      <c r="W166" s="574"/>
      <c r="X166" s="769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66"/>
      <c r="J167" s="766"/>
      <c r="K167" s="288"/>
      <c r="L167" s="311">
        <v>15</v>
      </c>
      <c r="M167" s="390" t="s">
        <v>387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78"/>
      <c r="W167" s="574"/>
      <c r="X167" s="769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66"/>
      <c r="J168" s="766"/>
      <c r="K168" s="288"/>
      <c r="L168" s="311">
        <v>15</v>
      </c>
      <c r="M168" s="390" t="s">
        <v>387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78"/>
      <c r="W168" s="574"/>
      <c r="X168" s="769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67"/>
      <c r="J169" s="767"/>
      <c r="K169" s="289"/>
      <c r="L169" s="316">
        <v>15</v>
      </c>
      <c r="M169" s="420" t="s">
        <v>387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79"/>
      <c r="W169" s="576"/>
      <c r="X169" s="770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390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391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392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277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307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294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393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394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395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396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397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398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399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400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401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402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403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404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405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406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407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408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395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409</v>
      </c>
      <c r="D196" s="644"/>
      <c r="E196" s="546"/>
      <c r="F196" s="644"/>
      <c r="I196" s="256"/>
      <c r="J196" s="256"/>
    </row>
    <row r="197" spans="3:10" s="112" customFormat="1">
      <c r="C197" s="644" t="s">
        <v>410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3203125" defaultRowHeight="14.4"/>
  <cols>
    <col min="1" max="1" width="9.33203125" customWidth="1"/>
    <col min="2" max="2" width="34.5546875" customWidth="1"/>
    <col min="3" max="3" width="18.5546875" bestFit="1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316" width="15.33203125" bestFit="1" customWidth="1"/>
    <col min="317" max="317" width="9.33203125" style="191"/>
  </cols>
  <sheetData>
    <row r="1" spans="1:794">
      <c r="D1" s="187" t="s">
        <v>411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22" t="s">
        <v>412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3"/>
      <c r="B3" s="195" t="s">
        <v>157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194710.38415451499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23"/>
      <c r="B4" s="195" t="s">
        <v>413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3699497.298935785</v>
      </c>
      <c r="BK4" s="198">
        <f t="shared" si="5"/>
        <v>3699497.298935785</v>
      </c>
      <c r="BL4" s="198">
        <f t="shared" si="5"/>
        <v>3699497.298935785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23"/>
      <c r="B5" s="199" t="s">
        <v>158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23"/>
      <c r="B6" s="199" t="s">
        <v>414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23"/>
      <c r="B7" s="204" t="s">
        <v>415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225520.27269235346</v>
      </c>
      <c r="BK7" s="207">
        <f t="shared" si="16"/>
        <v>225520.27269235346</v>
      </c>
      <c r="BL7" s="207">
        <f t="shared" si="16"/>
        <v>225520.27269235346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22" t="s">
        <v>148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3"/>
      <c r="B9" s="209" t="s">
        <v>416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23"/>
      <c r="B10" s="209" t="s">
        <v>417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23"/>
      <c r="B11" s="212" t="s">
        <v>418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46842.000000000007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48677.596038628748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23"/>
      <c r="B12" s="212" t="s">
        <v>419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2921643.8100000005</v>
      </c>
      <c r="BL12" s="214">
        <f t="shared" si="26"/>
        <v>2921643.8100000005</v>
      </c>
      <c r="BM12" s="214">
        <f t="shared" si="26"/>
        <v>2921643.8100000005</v>
      </c>
      <c r="BN12" s="214">
        <f t="shared" si="26"/>
        <v>2968485.8100000005</v>
      </c>
      <c r="BO12" s="214">
        <f t="shared" si="26"/>
        <v>2968485.8100000005</v>
      </c>
      <c r="BP12" s="214">
        <f t="shared" si="26"/>
        <v>2968485.8100000005</v>
      </c>
      <c r="BQ12" s="214">
        <f t="shared" si="26"/>
        <v>2968485.8100000005</v>
      </c>
      <c r="BR12" s="214">
        <f t="shared" si="26"/>
        <v>2968485.8100000005</v>
      </c>
      <c r="BS12" s="214">
        <f t="shared" si="26"/>
        <v>2968485.8100000005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2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3"/>
      <c r="B14" s="204" t="s">
        <v>420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972563.87309029931</v>
      </c>
      <c r="BL14" s="207">
        <f t="shared" si="32"/>
        <v>972563.87309029931</v>
      </c>
      <c r="BM14" s="207">
        <f t="shared" si="32"/>
        <v>972563.87309029931</v>
      </c>
      <c r="BN14" s="207">
        <f t="shared" si="32"/>
        <v>925721.87309029931</v>
      </c>
      <c r="BO14" s="207">
        <f t="shared" si="32"/>
        <v>925721.87309029931</v>
      </c>
      <c r="BP14" s="207">
        <f t="shared" si="32"/>
        <v>925721.87309029931</v>
      </c>
      <c r="BQ14" s="207">
        <f t="shared" si="32"/>
        <v>925721.87309029931</v>
      </c>
      <c r="BR14" s="207">
        <f t="shared" si="32"/>
        <v>925721.87309029931</v>
      </c>
      <c r="BS14" s="207">
        <f t="shared" si="32"/>
        <v>925721.87309029931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24"/>
      <c r="B17" s="195" t="s">
        <v>421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198531.59513009069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24"/>
      <c r="B18" s="195" t="s">
        <v>422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3695676.0880661947</v>
      </c>
      <c r="BL18" s="214">
        <f t="shared" si="37"/>
        <v>3695676.0880661947</v>
      </c>
      <c r="BM18" s="214">
        <f t="shared" si="37"/>
        <v>3695676.0880661947</v>
      </c>
      <c r="BN18" s="214">
        <f t="shared" si="37"/>
        <v>3695676.0880661947</v>
      </c>
      <c r="BO18" s="214">
        <f t="shared" si="37"/>
        <v>3695676.0880661947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7" sqref="F7"/>
    </sheetView>
  </sheetViews>
  <sheetFormatPr defaultColWidth="12.5546875" defaultRowHeight="14.4"/>
  <cols>
    <col min="1" max="1" width="39.33203125" style="366" bestFit="1" customWidth="1"/>
    <col min="2" max="2" width="17.21875" style="367" bestFit="1" customWidth="1"/>
    <col min="3" max="3" width="12" style="366" bestFit="1" customWidth="1"/>
    <col min="4" max="4" width="14.77734375" style="366" bestFit="1" customWidth="1"/>
    <col min="5" max="8" width="13.21875" style="366" bestFit="1" customWidth="1"/>
    <col min="9" max="9" width="11.77734375" style="366" bestFit="1" customWidth="1"/>
    <col min="10" max="10" width="13.21875" style="366" bestFit="1" customWidth="1"/>
    <col min="11" max="11" width="12" style="366" bestFit="1" customWidth="1"/>
    <col min="12" max="12" width="4.77734375" style="366" bestFit="1" customWidth="1"/>
    <col min="13" max="13" width="12" style="366" bestFit="1" customWidth="1"/>
    <col min="14" max="14" width="13" style="366" bestFit="1" customWidth="1"/>
    <col min="15" max="15" width="14.77734375" style="366" bestFit="1" customWidth="1"/>
    <col min="16" max="18" width="11.332031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423</v>
      </c>
      <c r="B3" s="447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427</v>
      </c>
      <c r="P4"/>
      <c r="Q4"/>
      <c r="R4"/>
      <c r="S4"/>
      <c r="T4"/>
    </row>
    <row r="5" spans="1:20">
      <c r="A5" s="448" t="s">
        <v>426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239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252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264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275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295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308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331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357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374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382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387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427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33203125" defaultRowHeight="14.4"/>
  <cols>
    <col min="1" max="1" width="21.77734375" bestFit="1" customWidth="1"/>
    <col min="2" max="2" width="17.21875" style="408" bestFit="1" customWidth="1"/>
    <col min="3" max="3" width="12" style="408" bestFit="1" customWidth="1"/>
    <col min="4" max="4" width="14.77734375" style="408" bestFit="1" customWidth="1"/>
    <col min="5" max="8" width="13.21875" style="408" bestFit="1" customWidth="1"/>
    <col min="9" max="9" width="12" style="408" bestFit="1" customWidth="1"/>
    <col min="10" max="10" width="13.21875" bestFit="1" customWidth="1"/>
    <col min="11" max="11" width="11.77734375" bestFit="1" customWidth="1"/>
    <col min="12" max="12" width="13.21875" bestFit="1" customWidth="1"/>
    <col min="13" max="14" width="12" bestFit="1" customWidth="1"/>
    <col min="15" max="15" width="14.77734375" bestFit="1" customWidth="1"/>
    <col min="16" max="16" width="10.21875" bestFit="1" customWidth="1"/>
    <col min="17" max="18" width="11.5546875" bestFit="1" customWidth="1"/>
    <col min="19" max="19" width="13.33203125" bestFit="1" customWidth="1"/>
  </cols>
  <sheetData>
    <row r="3" spans="1:15">
      <c r="A3" s="447" t="s">
        <v>428</v>
      </c>
      <c r="B3" s="447" t="s">
        <v>424</v>
      </c>
      <c r="C3"/>
      <c r="D3"/>
      <c r="E3"/>
      <c r="F3"/>
      <c r="G3"/>
      <c r="H3"/>
      <c r="I3"/>
    </row>
    <row r="4" spans="1:15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427</v>
      </c>
    </row>
    <row r="5" spans="1:15">
      <c r="A5" s="448" t="s">
        <v>426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239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252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264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275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295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308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315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331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337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357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374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382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387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370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427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33203125" customWidth="1"/>
    <col min="5" max="5" width="16.5546875" customWidth="1"/>
    <col min="6" max="6" width="5.77734375" customWidth="1"/>
  </cols>
  <sheetData>
    <row r="1" spans="2:15" ht="15" thickBot="1"/>
    <row r="2" spans="2:15" ht="18">
      <c r="B2" s="826" t="s">
        <v>429</v>
      </c>
      <c r="C2" s="826"/>
      <c r="D2" s="826"/>
      <c r="E2" s="826"/>
      <c r="H2" s="827" t="s">
        <v>430</v>
      </c>
      <c r="I2" s="828"/>
      <c r="J2" s="828"/>
      <c r="K2" s="828"/>
      <c r="L2" s="828"/>
      <c r="M2" s="828"/>
      <c r="N2" s="828"/>
      <c r="O2" s="829"/>
    </row>
    <row r="3" spans="2:15">
      <c r="B3" s="711"/>
      <c r="H3" s="830"/>
      <c r="I3" s="831"/>
      <c r="J3" s="831"/>
      <c r="K3" s="831"/>
      <c r="L3" s="831"/>
      <c r="M3" s="831"/>
      <c r="N3" s="831"/>
      <c r="O3" s="832"/>
    </row>
    <row r="4" spans="2:15">
      <c r="B4" s="712" t="s">
        <v>431</v>
      </c>
      <c r="C4" s="713" t="str">
        <f>'Project Plan'!E2</f>
        <v>Dobsonpoint</v>
      </c>
      <c r="H4" s="830"/>
      <c r="I4" s="831"/>
      <c r="J4" s="831"/>
      <c r="K4" s="831"/>
      <c r="L4" s="831"/>
      <c r="M4" s="831"/>
      <c r="N4" s="831"/>
      <c r="O4" s="832"/>
    </row>
    <row r="5" spans="2:15">
      <c r="B5" s="712" t="s">
        <v>432</v>
      </c>
      <c r="C5" s="713" t="s">
        <v>433</v>
      </c>
      <c r="H5" s="830"/>
      <c r="I5" s="831"/>
      <c r="J5" s="831"/>
      <c r="K5" s="831"/>
      <c r="L5" s="831"/>
      <c r="M5" s="831"/>
      <c r="N5" s="831"/>
      <c r="O5" s="832"/>
    </row>
    <row r="6" spans="2:15">
      <c r="B6" s="712" t="s">
        <v>434</v>
      </c>
      <c r="C6" s="713" t="s">
        <v>435</v>
      </c>
      <c r="H6" s="830"/>
      <c r="I6" s="831"/>
      <c r="J6" s="831"/>
      <c r="K6" s="831"/>
      <c r="L6" s="831"/>
      <c r="M6" s="831"/>
      <c r="N6" s="831"/>
      <c r="O6" s="832"/>
    </row>
    <row r="7" spans="2:15">
      <c r="B7" s="712" t="s">
        <v>436</v>
      </c>
      <c r="C7" s="713" t="s">
        <v>76</v>
      </c>
      <c r="H7" s="830"/>
      <c r="I7" s="831"/>
      <c r="J7" s="831"/>
      <c r="K7" s="831"/>
      <c r="L7" s="831"/>
      <c r="M7" s="831"/>
      <c r="N7" s="831"/>
      <c r="O7" s="832"/>
    </row>
    <row r="8" spans="2:15">
      <c r="B8" s="711"/>
      <c r="H8" s="830"/>
      <c r="I8" s="831"/>
      <c r="J8" s="831"/>
      <c r="K8" s="831"/>
      <c r="L8" s="831"/>
      <c r="M8" s="831"/>
      <c r="N8" s="831"/>
      <c r="O8" s="832"/>
    </row>
    <row r="9" spans="2:15">
      <c r="B9" s="836" t="s">
        <v>437</v>
      </c>
      <c r="C9" s="836"/>
      <c r="D9" s="836"/>
      <c r="E9" s="83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30"/>
      <c r="I9" s="831"/>
      <c r="J9" s="831"/>
      <c r="K9" s="831"/>
      <c r="L9" s="831"/>
      <c r="M9" s="831"/>
      <c r="N9" s="831"/>
      <c r="O9" s="832"/>
    </row>
    <row r="10" spans="2:15" ht="15" thickBot="1">
      <c r="B10" s="836" t="s">
        <v>438</v>
      </c>
      <c r="C10" s="836"/>
      <c r="D10" s="836"/>
      <c r="E10" s="836"/>
      <c r="H10" s="833"/>
      <c r="I10" s="834"/>
      <c r="J10" s="834"/>
      <c r="K10" s="834"/>
      <c r="L10" s="834"/>
      <c r="M10" s="834"/>
      <c r="N10" s="834"/>
      <c r="O10" s="835"/>
    </row>
    <row r="11" spans="2:15">
      <c r="B11" s="714" t="s">
        <v>439</v>
      </c>
      <c r="C11" s="825" t="s">
        <v>440</v>
      </c>
      <c r="D11" s="825"/>
      <c r="E11" s="825"/>
    </row>
    <row r="12" spans="2:15">
      <c r="B12" s="714" t="s">
        <v>441</v>
      </c>
      <c r="C12" s="825" t="s">
        <v>440</v>
      </c>
      <c r="D12" s="825"/>
      <c r="E12" s="825"/>
    </row>
    <row r="13" spans="2:15">
      <c r="B13" s="714" t="s">
        <v>442</v>
      </c>
      <c r="C13" s="825" t="s">
        <v>440</v>
      </c>
      <c r="D13" s="825"/>
      <c r="E13" s="825"/>
    </row>
    <row r="14" spans="2:15">
      <c r="B14" s="714" t="s">
        <v>443</v>
      </c>
      <c r="C14" s="825" t="s">
        <v>444</v>
      </c>
      <c r="D14" s="825"/>
      <c r="E14" s="825"/>
    </row>
    <row r="15" spans="2:15">
      <c r="B15" s="714" t="s">
        <v>445</v>
      </c>
      <c r="C15" s="825" t="s">
        <v>446</v>
      </c>
      <c r="D15" s="825"/>
      <c r="E15" s="825"/>
    </row>
    <row r="16" spans="2:15" ht="15" customHeight="1">
      <c r="B16" s="714" t="s">
        <v>447</v>
      </c>
      <c r="C16" s="825" t="s">
        <v>448</v>
      </c>
      <c r="D16" s="825"/>
      <c r="E16" s="825"/>
    </row>
    <row r="17" spans="2:5">
      <c r="B17" s="711"/>
    </row>
    <row r="18" spans="2:5">
      <c r="B18" s="837" t="s">
        <v>449</v>
      </c>
      <c r="C18" s="837"/>
      <c r="D18" s="837"/>
      <c r="E18" s="837"/>
    </row>
    <row r="19" spans="2:5">
      <c r="B19" s="714" t="s">
        <v>450</v>
      </c>
      <c r="C19" s="714" t="s">
        <v>451</v>
      </c>
      <c r="D19" s="714" t="s">
        <v>452</v>
      </c>
      <c r="E19" s="714" t="s">
        <v>62</v>
      </c>
    </row>
    <row r="20" spans="2:5" ht="15" customHeight="1">
      <c r="B20" s="714" t="s">
        <v>453</v>
      </c>
      <c r="C20" s="714" t="s">
        <v>454</v>
      </c>
      <c r="D20" s="715" t="s">
        <v>455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4"/>
  <cols>
    <col min="4" max="4" width="9" customWidth="1"/>
  </cols>
  <sheetData>
    <row r="1" spans="1:4">
      <c r="A1" s="110" t="s">
        <v>456</v>
      </c>
    </row>
    <row r="2" spans="1:4">
      <c r="A2" s="839"/>
      <c r="B2" s="839"/>
      <c r="C2" s="839"/>
      <c r="D2" s="71"/>
    </row>
    <row r="3" spans="1:4">
      <c r="A3" s="838" t="s">
        <v>457</v>
      </c>
      <c r="B3" s="838"/>
      <c r="C3" s="838"/>
      <c r="D3" s="111">
        <v>0.32</v>
      </c>
    </row>
    <row r="4" spans="1:4">
      <c r="A4" s="838" t="s">
        <v>398</v>
      </c>
      <c r="B4" s="838"/>
      <c r="C4" s="838"/>
      <c r="D4" s="111">
        <v>0.5</v>
      </c>
    </row>
    <row r="5" spans="1:4">
      <c r="A5" s="838" t="s">
        <v>409</v>
      </c>
      <c r="B5" s="838"/>
      <c r="C5" s="838"/>
      <c r="D5" s="111">
        <v>0.15</v>
      </c>
    </row>
    <row r="6" spans="1:4">
      <c r="A6" s="838" t="s">
        <v>458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3.2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3.33203125" style="88" customWidth="1"/>
    <col min="6" max="6" width="15.33203125" style="88" customWidth="1"/>
    <col min="7" max="7" width="2.33203125" style="88" customWidth="1"/>
    <col min="8" max="8" width="16.33203125" style="88" bestFit="1" customWidth="1"/>
    <col min="9" max="9" width="6.33203125" style="88" customWidth="1"/>
    <col min="10" max="10" width="13.5546875" style="88" bestFit="1" customWidth="1"/>
    <col min="11" max="11" width="2.33203125" style="88" customWidth="1"/>
    <col min="12" max="12" width="14.33203125" style="88" bestFit="1" customWidth="1"/>
    <col min="13" max="13" width="3" style="88" customWidth="1"/>
    <col min="14" max="14" width="45.33203125" style="88" customWidth="1"/>
    <col min="15" max="16384" width="9.33203125" style="88"/>
  </cols>
  <sheetData>
    <row r="2" spans="2:14" s="94" customFormat="1" ht="17.399999999999999">
      <c r="B2" s="840" t="s">
        <v>459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>
      <c r="B4" s="92" t="s">
        <v>460</v>
      </c>
      <c r="C4" s="86"/>
      <c r="D4" s="90" t="s">
        <v>461</v>
      </c>
      <c r="E4" s="95"/>
      <c r="F4" s="90" t="s">
        <v>462</v>
      </c>
      <c r="H4" s="90" t="s">
        <v>463</v>
      </c>
      <c r="I4" s="95"/>
      <c r="J4" s="90" t="s">
        <v>464</v>
      </c>
      <c r="L4" s="90" t="s">
        <v>463</v>
      </c>
      <c r="M4" s="90"/>
      <c r="N4" s="90" t="s">
        <v>465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466</v>
      </c>
      <c r="H7" s="99"/>
      <c r="I7" s="95"/>
      <c r="J7" s="107" t="s">
        <v>466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466</v>
      </c>
      <c r="H15" s="99"/>
      <c r="I15" s="95"/>
      <c r="J15" s="107" t="s">
        <v>466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466</v>
      </c>
      <c r="H21" s="99"/>
      <c r="I21" s="95"/>
      <c r="J21" s="107" t="s">
        <v>466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466</v>
      </c>
      <c r="H27" s="99"/>
      <c r="I27" s="95"/>
      <c r="J27" s="107" t="s">
        <v>466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466</v>
      </c>
      <c r="H34" s="99"/>
      <c r="I34" s="95"/>
      <c r="J34" s="107" t="s">
        <v>466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3.2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7" style="88" customWidth="1"/>
    <col min="6" max="6" width="3.33203125" style="88" customWidth="1"/>
    <col min="7" max="7" width="18.5546875" style="88" customWidth="1"/>
    <col min="8" max="8" width="9.33203125" style="88" bestFit="1" customWidth="1"/>
    <col min="9" max="9" width="2" style="88" customWidth="1"/>
    <col min="10" max="10" width="14.33203125" style="88" bestFit="1" customWidth="1"/>
    <col min="11" max="11" width="2.33203125" style="88" customWidth="1"/>
    <col min="12" max="12" width="20.33203125" style="88" customWidth="1"/>
    <col min="13" max="13" width="9.33203125" style="88" bestFit="1" customWidth="1"/>
    <col min="14" max="14" width="0.77734375" style="88" customWidth="1"/>
    <col min="15" max="15" width="14.33203125" style="88" bestFit="1" customWidth="1"/>
    <col min="16" max="16384" width="9.33203125" style="88"/>
  </cols>
  <sheetData>
    <row r="2" spans="2:15" s="94" customFormat="1" ht="17.399999999999999">
      <c r="B2" s="840" t="s">
        <v>481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>
      <c r="B4" s="92" t="s">
        <v>460</v>
      </c>
      <c r="C4" s="86"/>
      <c r="D4" s="90" t="s">
        <v>461</v>
      </c>
      <c r="E4" s="95"/>
      <c r="F4" s="95"/>
      <c r="G4" s="90" t="s">
        <v>482</v>
      </c>
      <c r="H4" s="96"/>
      <c r="J4" s="90" t="s">
        <v>463</v>
      </c>
      <c r="L4" s="90" t="s">
        <v>483</v>
      </c>
      <c r="M4" s="96"/>
      <c r="O4" s="90" t="s">
        <v>463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460</v>
      </c>
      <c r="C18" s="86"/>
      <c r="D18" s="90" t="s">
        <v>461</v>
      </c>
      <c r="E18" s="95"/>
      <c r="F18" s="95"/>
      <c r="G18" s="90" t="s">
        <v>485</v>
      </c>
      <c r="H18" s="96"/>
      <c r="J18" s="90" t="s">
        <v>463</v>
      </c>
      <c r="L18" s="90" t="s">
        <v>486</v>
      </c>
      <c r="M18" s="96"/>
      <c r="O18" s="90" t="s">
        <v>463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492</v>
      </c>
      <c r="C32" s="103"/>
      <c r="D32" s="103"/>
    </row>
    <row r="33" spans="2:4" ht="13.8" thickTop="1"/>
    <row r="34" spans="2:4">
      <c r="B34" s="88" t="s">
        <v>461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4"/>
  <cols>
    <col min="1" max="1" width="0.77734375" customWidth="1"/>
    <col min="2" max="2" width="8.33203125" bestFit="1" customWidth="1"/>
    <col min="3" max="3" width="45.2187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842" t="str">
        <f>D15</f>
        <v>Dobsonpoint</v>
      </c>
      <c r="C1" s="842"/>
      <c r="D1" s="842"/>
      <c r="E1" s="841" t="s">
        <v>494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2026-03-05T08:17:45Z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