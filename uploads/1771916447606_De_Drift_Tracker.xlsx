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2" documentId="13_ncr:1_{3C257196-C608-46AD-B16B-23CBF423CE0F}" xr6:coauthVersionLast="47" xr6:coauthVersionMax="47" xr10:uidLastSave="{94C2350C-DCE2-4718-978B-906D113FD0FF}"/>
  <bookViews>
    <workbookView xWindow="-14505" yWindow="840" windowWidth="14610" windowHeight="15585" tabRatio="650" firstSheet="7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0" i="18" l="1"/>
  <c r="G42" i="2"/>
  <c r="E43" i="2" s="1"/>
  <c r="G39" i="2"/>
  <c r="E35" i="2" s="1"/>
  <c r="G35" i="2" s="1"/>
  <c r="G38" i="2"/>
  <c r="G37" i="2" s="1"/>
  <c r="F37" i="2" s="1"/>
  <c r="E38" i="2"/>
  <c r="E37" i="2"/>
  <c r="E32" i="2"/>
  <c r="G32" i="2" s="1"/>
  <c r="G21" i="2"/>
  <c r="E24" i="2" s="1"/>
  <c r="G20" i="2"/>
  <c r="E20" i="2"/>
  <c r="F20" i="2" s="1"/>
  <c r="G14" i="2"/>
  <c r="G13" i="2"/>
  <c r="G12" i="2"/>
  <c r="M30" i="2"/>
  <c r="W16" i="2" s="1"/>
  <c r="M23" i="2"/>
  <c r="W15" i="2" s="1"/>
  <c r="M11" i="2"/>
  <c r="W13" i="2"/>
  <c r="M50" i="2"/>
  <c r="W20" i="2" s="1"/>
  <c r="N46" i="2"/>
  <c r="M41" i="2"/>
  <c r="W18" i="2" s="1"/>
  <c r="M37" i="2"/>
  <c r="W17" i="2" s="1"/>
  <c r="K13" i="2"/>
  <c r="K14" i="2"/>
  <c r="N14" i="2" s="1"/>
  <c r="O58" i="18"/>
  <c r="E27" i="2" l="1"/>
  <c r="G24" i="2"/>
  <c r="E33" i="2"/>
  <c r="G43" i="2"/>
  <c r="E44" i="2" s="1"/>
  <c r="E15" i="2"/>
  <c r="E34" i="2"/>
  <c r="G34" i="2" s="1"/>
  <c r="I15" i="2"/>
  <c r="W53" i="18"/>
  <c r="W45" i="18"/>
  <c r="T44" i="18"/>
  <c r="W21" i="18"/>
  <c r="T28" i="18"/>
  <c r="T14" i="18"/>
  <c r="G33" i="2" l="1"/>
  <c r="G30" i="2" s="1"/>
  <c r="F30" i="2" s="1"/>
  <c r="E30" i="2"/>
  <c r="E17" i="2"/>
  <c r="G15" i="2"/>
  <c r="E25" i="2"/>
  <c r="E47" i="2"/>
  <c r="G44" i="2"/>
  <c r="G41" i="2" s="1"/>
  <c r="F41" i="2" s="1"/>
  <c r="E41" i="2"/>
  <c r="E28" i="2"/>
  <c r="G28" i="2" s="1"/>
  <c r="G27" i="2"/>
  <c r="G104" i="18"/>
  <c r="G1" i="6"/>
  <c r="H1" i="6" s="1"/>
  <c r="W137" i="18"/>
  <c r="W136" i="18"/>
  <c r="W135" i="18"/>
  <c r="W134" i="18"/>
  <c r="T79" i="18"/>
  <c r="T55" i="18"/>
  <c r="G47" i="2" l="1"/>
  <c r="E18" i="2"/>
  <c r="G18" i="2" s="1"/>
  <c r="G17" i="2"/>
  <c r="G25" i="2"/>
  <c r="E16" i="2"/>
  <c r="I1" i="6"/>
  <c r="E26" i="2" l="1"/>
  <c r="G16" i="2"/>
  <c r="G11" i="2" s="1"/>
  <c r="F11" i="2" s="1"/>
  <c r="E11" i="2"/>
  <c r="E48" i="2"/>
  <c r="J1" i="6"/>
  <c r="E51" i="2" l="1"/>
  <c r="G48" i="2"/>
  <c r="G46" i="2" s="1"/>
  <c r="F46" i="2" s="1"/>
  <c r="E46" i="2"/>
  <c r="G26" i="2"/>
  <c r="G23" i="2" s="1"/>
  <c r="F23" i="2" s="1"/>
  <c r="E23" i="2"/>
  <c r="K1" i="6"/>
  <c r="G51" i="2" l="1"/>
  <c r="L1" i="6"/>
  <c r="E53" i="2" l="1"/>
  <c r="G53" i="2" s="1"/>
  <c r="E52" i="2"/>
  <c r="M1" i="6"/>
  <c r="G52" i="2" l="1"/>
  <c r="G50" i="2" s="1"/>
  <c r="F50" i="2" s="1"/>
  <c r="E50" i="2"/>
  <c r="N1" i="6"/>
  <c r="O1" i="6" l="1"/>
  <c r="P1" i="6" l="1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H17" i="5" l="1"/>
  <c r="AD1" i="6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l="1"/>
  <c r="P13" i="5"/>
  <c r="I38" i="2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N20" i="2" l="1"/>
  <c r="M20" i="2"/>
  <c r="W14" i="2" s="1"/>
  <c r="I28" i="2"/>
  <c r="K28" i="2" s="1"/>
  <c r="K27" i="2"/>
  <c r="I33" i="2"/>
  <c r="K24" i="2"/>
  <c r="I25" i="2" l="1"/>
  <c r="K33" i="2"/>
  <c r="K25" i="2" l="1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<sst xmlns="http://schemas.openxmlformats.org/spreadsheetml/2006/main" count="739" uniqueCount="415">
  <si>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</si>
  <si>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</si>
  <si>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</si>
  <si>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</si>
  <si>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</si>
  <si>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</si>
  <si>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</si>
  <si>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</si>
  <si>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</si>
  <si>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</si>
  <si>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</si>
  <si>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</si>
  <si>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</si>
  <si>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</si>
  <si>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</si>
  <si>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</si>
  <si>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</si>
  <si>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</si>
  <si>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</si>
  <si>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</si>
  <si>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</si>
  <si>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</si>
  <si>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</si>
  <si>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</si>
  <si>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</si>
  <si>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</si>
  <si>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</si>
  <si>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</si>
  <si>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</si>
  <si>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</si>
  <si>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</si>
  <si>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</si>
  <si>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</si>
  <si>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</si>
  <si>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</si>
  <si>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</si>
  <si>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</si>
  <si>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</si>
  <si>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</si>
  <si>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</si>
  <si>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</si>
  <si>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</si>
  <si>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</si>
  <si>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</si>
  <si>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</si>
  <si>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</si>
  <si>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</si>
  <si>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</si>
  <si>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</si>
  <si>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</si>
  <si>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</si>
  <si>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</si>
  <si>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</si>
  <si>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</si>
  <si>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</si>
  <si>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</si>
  <si>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</si>
  <si>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</si>
  <si>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</si>
  <si>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</si>
  <si>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</si>
  <si>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</si>
  <si>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</si>
  <si>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</si>
  <si>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</si>
  <si>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</si>
  <si>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</si>
  <si>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</si>
  <si>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</si>
  <si>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</si>
  <si>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</si>
  <si>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</si>
  <si>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</si>
  <si>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</si>
  <si>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</si>
  <si>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</si>
  <si>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</si>
  <si>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</si>
  <si>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</si>
  <si>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</si>
  <si>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</si>
  <si>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</si>
  <si>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</si>
  <si>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</si>
  <si>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</si>
  <si>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</si>
  <si>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</si>
  <si>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</si>
  <si>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</si>
  <si>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</si>
  <si>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</si>
  <si>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</si>
  <si>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</si>
  <si>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</si>
  <si>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</si>
  <si>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</si>
  <si>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</si>
  <si>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</si>
  <si>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</si>
  <si>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</si>
  <si>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</si>
  <si>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</si>
  <si>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</si>
  <si>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</si>
  <si>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</si>
  <si>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</si>
  <si>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</si>
  <si>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</si>
  <si>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</si>
  <si>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</si>
  <si>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</si>
  <si>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</si>
  <si>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</si>
  <si>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</si>
  <si>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</si>
  <si>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</si>
  <si>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</si>
  <si>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</si>
  <si>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</si>
  <si>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</si>
  <si>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</si>
  <si>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</si>
  <si>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</si>
  <si>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</si>
  <si>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</si>
  <si>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</si>
  <si>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</si>
  <si>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</si>
  <si>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</si>
  <si>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</si>
  <si>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</si>
  <si>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</si>
  <si>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</si>
  <si>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</si>
  <si>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</si>
  <si>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</si>
  <si>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</si>
  <si>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</si>
  <si>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</si>
  <si>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</si>
  <si>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</si>
  <si>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</si>
  <si>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</si>
  <si>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</si>
  <si>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</si>
  <si>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</si>
  <si>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</si>
  <si>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</si>
  <si>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</si>
  <si>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</si>
  <si>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</si>
  <si>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</si>
  <si>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</si>
  <si>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</si>
  <si>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</si>
  <si>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</si>
  <si>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</si>
  <si>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</si>
  <si>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</si>
  <si>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</si>
  <si>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</si>
  <si>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</si>
  <si>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</si>
  <si>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</si>
  <si>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</si>
  <si>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</si>
  <si>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</si>
  <si>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</si>
  <si>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</si>
  <si>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</si>
  <si>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</si>
  <si>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</si>
  <si>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</si>
  <si>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</si>
  <si>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</si>
  <si>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</si>
  <si>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</si>
  <si>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</si>
  <si>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</si>
  <si>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</si>
  <si>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</si>
  <si>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</si>
  <si>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</si>
  <si>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</si>
  <si>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</si>
  <si>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</si>
  <si>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</si>
  <si>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</si>
  <si>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</si>
  <si>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</si>
  <si>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</si>
  <si>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</si>
  <si>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</si>
  <si>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</si>
  <si>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</si>
  <si>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</si>
  <si>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</si>
  <si>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</si>
  <si>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</si>
  <si>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</si>
  <si>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</si>
  <si>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</si>
  <si>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</si>
  <si>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</si>
  <si>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</si>
  <si>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</si>
  <si>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</si>
  <si>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</si>
  <si>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</si>
  <si>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</si>
  <si>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</si>
  <si>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</si>
  <si>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</si>
  <si>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</si>
  <si>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</si>
  <si>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</si>
  <si>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</si>
  <si>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</si>
  <si>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</si>
  <si>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</si>
  <si>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</si>
  <si>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</si>
  <si>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</si>
  <si>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</si>
  <si>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</si>
  <si>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</si>
  <si>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</si>
  <si>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</si>
  <si>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</si>
  <si>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</si>
  <si>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</si>
  <si>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</si>
  <si>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</si>
  <si>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</si>
  <si>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</si>
  <si>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</si>
  <si>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</si>
  <si>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</si>
  <si>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</si>
  <si>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</si>
  <si>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</si>
  <si>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</si>
  <si>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</si>
  <si>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</si>
  <si>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</si>
  <si>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</si>
  <si>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</si>
  <si>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</si>
  <si>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</si>
  <si>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</si>
  <si>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</si>
  <si>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</si>
  <si>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</si>
  <si>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</si>
  <si>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</si>
  <si>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</si>
  <si>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</si>
  <si>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</si>
  <si>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</si>
  <si>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</si>
  <si>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</si>
  <si>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</si>
  <si>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</si>
  <si>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</si>
  <si>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</si>
  <si>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</si>
  <si>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</si>
  <si>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</si>
  <si>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- 620W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</si>
  <si>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</si>
  <si>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</si>
  <si>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</si>
  <si>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</si>
  <si>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</si>
  <si>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</si>
  <si>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</si>
  <si>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</si>
  <si>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</si>
  <si>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</si>
  <si>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</si>
  <si>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</si>
  <si>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</si>
  <si>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</si>
  <si>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</si>
  <si>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</si>
  <si>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</si>
  <si>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</si>
  <si>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</si>
  <si>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</si>
  <si>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</si>
  <si>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</si>
  <si>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</si>
  <si>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</si>
  <si>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</si>
  <si>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</si>
  <si>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</si>
  <si>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</si>
  <si>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</si>
  <si>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</si>
  <si>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</si>
  <si>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</si>
  <si>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</si>
  <si>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</si>
  <si>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</si>
  <si>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</si>
  <si>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</si>
  <si>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</si>
  <si>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</si>
  <si>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</si>
  <si>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</si>
  <si>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</si>
  <si>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</si>
  <si>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</si>
  <si>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</si>
  <si>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</si>
  <si>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</si>
  <si>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</si>
  <si>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</si>
  <si>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</si>
  <si>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</si>
  <si>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</si>
  <si>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</si>
  <si>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</si>
  <si>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</si>
  <si>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</si>
  <si>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</si>
  <si>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</si>
  <si>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</si>
  <si>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</si>
  <si>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</si>
  <si>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</si>
  <si>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</si>
  <si>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</si>
  <si>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</si>
  <si>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</si>
  <si>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</si>
  <si>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</si>
  <si>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</si>
  <si>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</si>
  <si>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</si>
  <si>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</si>
  <si>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</si>
  <si>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</si>
  <si>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</si>
  <si>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</si>
  <si>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</si>
  <si>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</si>
  <si>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</si>
  <si>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</si>
  <si>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</si>
  <si>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</si>
  <si>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</si>
  <si>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</si>
  <si>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</si>
  <si>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</si>
  <si>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</si>
  <si>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</si>
  <si>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</si>
  <si>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</si>
  <si>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</si>
  <si>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</si>
  <si>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</si>
  <si>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</si>
  <si>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</si>
  <si>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</si>
  <si>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</si>
  <si>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</si>
  <si>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</si>
  <si>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</si>
  <si>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</si>
  <si>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</si>
  <si>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</si>
  <si>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</si>
  <si>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</si>
  <si>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</si>
  <si>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</si>
  <si>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</si>
  <si>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</si>
  <si>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</si>
  <si>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</si>
  <si>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</si>
  <si>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</si>
  <si>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</si>
  <si>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</si>
  <si>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</si>
  <si>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</si>
  <si>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</si>
  <si>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</si>
  <si>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</si>
  <si>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</si>
  <si>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</si>
  <si>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</si>
  <si>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</si>
  <si>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</si>
  <si>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</si>
  <si>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</si>
  <si>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</si>
  <si>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</si>
  <si>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</si>
  <si>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</si>
  <si>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</si>
  <si>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</si>
  <si>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</si>
  <si>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</si>
  <si>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</si>
  <si>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</si>
  <si>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</si>
  <si>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</si>
  <si>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</si>
  <si>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</si>
  <si>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</si>
  <si>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</si>
  <si>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</si>
  <si>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</si>
  <si>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PO4636-DDSC-20260220 -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</si>
</sst>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53</c:v>
                  </c:pt>
                  <c:pt idx="3">
                    <c:v>57</c:v>
                  </c:pt>
                  <c:pt idx="4">
                    <c:v>36</c:v>
                  </c:pt>
                  <c:pt idx="5">
                    <c:v>12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46106</c:v>
                </c:pt>
                <c:pt idx="2">
                  <c:v>46107</c:v>
                </c:pt>
                <c:pt idx="3">
                  <c:v>46106</c:v>
                </c:pt>
                <c:pt idx="4">
                  <c:v>46106</c:v>
                </c:pt>
                <c:pt idx="5">
                  <c:v>46163</c:v>
                </c:pt>
                <c:pt idx="6">
                  <c:v>46168</c:v>
                </c:pt>
                <c:pt idx="7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320128</c:v>
                </c:pt>
                <c:pt idx="16">
                  <c:v>320128</c:v>
                </c:pt>
                <c:pt idx="17">
                  <c:v>320128</c:v>
                </c:pt>
                <c:pt idx="18">
                  <c:v>320128</c:v>
                </c:pt>
                <c:pt idx="19">
                  <c:v>2811670.3600000003</c:v>
                </c:pt>
                <c:pt idx="20">
                  <c:v>4094477.6933333338</c:v>
                </c:pt>
                <c:pt idx="21">
                  <c:v>4234501.6933333334</c:v>
                </c:pt>
                <c:pt idx="22">
                  <c:v>4234501.6933333334</c:v>
                </c:pt>
                <c:pt idx="23">
                  <c:v>5125523.6760760872</c:v>
                </c:pt>
                <c:pt idx="24">
                  <c:v>5125523.6760760872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4750642.6206568638</c:v>
                </c:pt>
                <c:pt idx="16">
                  <c:v>4750642.6206568638</c:v>
                </c:pt>
                <c:pt idx="17">
                  <c:v>4750642.6206568638</c:v>
                </c:pt>
                <c:pt idx="18">
                  <c:v>4750642.6206568638</c:v>
                </c:pt>
                <c:pt idx="19">
                  <c:v>2259100.2606568635</c:v>
                </c:pt>
                <c:pt idx="20">
                  <c:v>976292.92732352996</c:v>
                </c:pt>
                <c:pt idx="21">
                  <c:v>836268.92732353043</c:v>
                </c:pt>
                <c:pt idx="22">
                  <c:v>1432830.1768125733</c:v>
                </c:pt>
                <c:pt idx="23">
                  <c:v>541808.19406981952</c:v>
                </c:pt>
                <c:pt idx="24">
                  <c:v>541808.19406981952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840088.81881434098</c:v>
                </c:pt>
                <c:pt idx="75">
                  <c:v>840088.81881434098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111641.18033333335</c:v>
                </c:pt>
                <c:pt idx="11">
                  <c:v>279102.95083333331</c:v>
                </c:pt>
                <c:pt idx="12">
                  <c:v>279102.95083333331</c:v>
                </c:pt>
                <c:pt idx="13">
                  <c:v>282602.95083333331</c:v>
                </c:pt>
                <c:pt idx="14">
                  <c:v>282602.95083333331</c:v>
                </c:pt>
                <c:pt idx="15">
                  <c:v>282602.95083333331</c:v>
                </c:pt>
                <c:pt idx="16">
                  <c:v>282602.95083333331</c:v>
                </c:pt>
                <c:pt idx="17">
                  <c:v>286102.95083333331</c:v>
                </c:pt>
                <c:pt idx="18">
                  <c:v>286102.95083333331</c:v>
                </c:pt>
                <c:pt idx="19">
                  <c:v>2651442.9508333332</c:v>
                </c:pt>
                <c:pt idx="20">
                  <c:v>3915252.9123333329</c:v>
                </c:pt>
                <c:pt idx="21">
                  <c:v>3999323.0685194633</c:v>
                </c:pt>
                <c:pt idx="22">
                  <c:v>4278426.0193527965</c:v>
                </c:pt>
                <c:pt idx="23">
                  <c:v>4298434.0193527965</c:v>
                </c:pt>
                <c:pt idx="24">
                  <c:v>4298434.0193527965</c:v>
                </c:pt>
                <c:pt idx="25">
                  <c:v>4354254.609519463</c:v>
                </c:pt>
                <c:pt idx="26">
                  <c:v>4357754.609519463</c:v>
                </c:pt>
                <c:pt idx="27">
                  <c:v>4357754.609519463</c:v>
                </c:pt>
                <c:pt idx="28">
                  <c:v>4357754.609519463</c:v>
                </c:pt>
                <c:pt idx="29">
                  <c:v>4357754.609519463</c:v>
                </c:pt>
                <c:pt idx="30">
                  <c:v>4357754.609519463</c:v>
                </c:pt>
                <c:pt idx="31">
                  <c:v>4357754.609519463</c:v>
                </c:pt>
                <c:pt idx="32">
                  <c:v>4357754.609519463</c:v>
                </c:pt>
                <c:pt idx="33">
                  <c:v>4357754.609519463</c:v>
                </c:pt>
                <c:pt idx="34">
                  <c:v>4357754.609519463</c:v>
                </c:pt>
                <c:pt idx="35">
                  <c:v>4357754.609519463</c:v>
                </c:pt>
                <c:pt idx="36">
                  <c:v>4357754.609519463</c:v>
                </c:pt>
                <c:pt idx="37">
                  <c:v>4357754.609519463</c:v>
                </c:pt>
                <c:pt idx="38">
                  <c:v>4357754.609519463</c:v>
                </c:pt>
                <c:pt idx="39">
                  <c:v>4357754.609519463</c:v>
                </c:pt>
                <c:pt idx="40">
                  <c:v>4357754.609519463</c:v>
                </c:pt>
                <c:pt idx="41">
                  <c:v>4357754.609519463</c:v>
                </c:pt>
                <c:pt idx="42">
                  <c:v>4357754.609519463</c:v>
                </c:pt>
                <c:pt idx="43">
                  <c:v>4357754.609519463</c:v>
                </c:pt>
                <c:pt idx="44">
                  <c:v>4357754.609519463</c:v>
                </c:pt>
                <c:pt idx="45">
                  <c:v>4357754.609519463</c:v>
                </c:pt>
                <c:pt idx="46">
                  <c:v>4357754.609519463</c:v>
                </c:pt>
                <c:pt idx="47">
                  <c:v>4357754.609519463</c:v>
                </c:pt>
                <c:pt idx="48">
                  <c:v>4357754.609519463</c:v>
                </c:pt>
                <c:pt idx="49">
                  <c:v>4357754.609519463</c:v>
                </c:pt>
                <c:pt idx="50">
                  <c:v>4357754.609519463</c:v>
                </c:pt>
                <c:pt idx="51">
                  <c:v>4357754.609519463</c:v>
                </c:pt>
                <c:pt idx="52">
                  <c:v>4357754.609519463</c:v>
                </c:pt>
                <c:pt idx="53">
                  <c:v>4357754.609519463</c:v>
                </c:pt>
                <c:pt idx="54">
                  <c:v>4357754.609519463</c:v>
                </c:pt>
                <c:pt idx="55">
                  <c:v>4357754.609519463</c:v>
                </c:pt>
                <c:pt idx="56">
                  <c:v>4357754.609519463</c:v>
                </c:pt>
                <c:pt idx="57">
                  <c:v>4357754.609519463</c:v>
                </c:pt>
                <c:pt idx="58">
                  <c:v>4357754.609519463</c:v>
                </c:pt>
                <c:pt idx="59">
                  <c:v>4357754.609519463</c:v>
                </c:pt>
                <c:pt idx="60">
                  <c:v>4357754.609519463</c:v>
                </c:pt>
                <c:pt idx="61">
                  <c:v>4357754.609519463</c:v>
                </c:pt>
                <c:pt idx="62">
                  <c:v>4357754.609519463</c:v>
                </c:pt>
                <c:pt idx="63">
                  <c:v>4357754.609519463</c:v>
                </c:pt>
                <c:pt idx="64">
                  <c:v>4357754.609519463</c:v>
                </c:pt>
                <c:pt idx="65">
                  <c:v>4357754.609519463</c:v>
                </c:pt>
                <c:pt idx="66">
                  <c:v>4357754.609519463</c:v>
                </c:pt>
                <c:pt idx="67">
                  <c:v>4357754.609519463</c:v>
                </c:pt>
                <c:pt idx="68">
                  <c:v>4357754.609519463</c:v>
                </c:pt>
                <c:pt idx="69">
                  <c:v>4357754.609519463</c:v>
                </c:pt>
                <c:pt idx="70">
                  <c:v>4357754.609519463</c:v>
                </c:pt>
                <c:pt idx="71">
                  <c:v>4357754.609519463</c:v>
                </c:pt>
                <c:pt idx="72">
                  <c:v>4357754.609519463</c:v>
                </c:pt>
                <c:pt idx="73">
                  <c:v>4357754.609519463</c:v>
                </c:pt>
                <c:pt idx="74">
                  <c:v>4357754.609519463</c:v>
                </c:pt>
                <c:pt idx="75">
                  <c:v>4357754.609519463</c:v>
                </c:pt>
                <c:pt idx="76">
                  <c:v>4357754.609519463</c:v>
                </c:pt>
                <c:pt idx="77">
                  <c:v>4357754.609519463</c:v>
                </c:pt>
                <c:pt idx="78">
                  <c:v>4357754.609519463</c:v>
                </c:pt>
                <c:pt idx="79">
                  <c:v>4357754.609519463</c:v>
                </c:pt>
                <c:pt idx="80">
                  <c:v>4357754.609519463</c:v>
                </c:pt>
                <c:pt idx="81">
                  <c:v>4357754.609519463</c:v>
                </c:pt>
                <c:pt idx="82">
                  <c:v>4357754.609519463</c:v>
                </c:pt>
                <c:pt idx="83">
                  <c:v>4357754.609519463</c:v>
                </c:pt>
                <c:pt idx="84">
                  <c:v>4357754.609519463</c:v>
                </c:pt>
                <c:pt idx="85">
                  <c:v>4357754.609519463</c:v>
                </c:pt>
                <c:pt idx="86">
                  <c:v>4357754.609519463</c:v>
                </c:pt>
                <c:pt idx="87">
                  <c:v>4357754.609519463</c:v>
                </c:pt>
                <c:pt idx="88">
                  <c:v>4357754.609519463</c:v>
                </c:pt>
                <c:pt idx="89">
                  <c:v>4357754.609519463</c:v>
                </c:pt>
                <c:pt idx="90">
                  <c:v>4357754.609519463</c:v>
                </c:pt>
                <c:pt idx="91">
                  <c:v>4357754.609519463</c:v>
                </c:pt>
                <c:pt idx="92">
                  <c:v>4357754.609519463</c:v>
                </c:pt>
                <c:pt idx="93">
                  <c:v>4357754.609519463</c:v>
                </c:pt>
                <c:pt idx="94">
                  <c:v>4357754.609519463</c:v>
                </c:pt>
                <c:pt idx="95">
                  <c:v>4357754.609519463</c:v>
                </c:pt>
                <c:pt idx="96">
                  <c:v>4357754.609519463</c:v>
                </c:pt>
                <c:pt idx="97">
                  <c:v>4357754.609519463</c:v>
                </c:pt>
                <c:pt idx="98">
                  <c:v>4357754.609519463</c:v>
                </c:pt>
                <c:pt idx="99">
                  <c:v>4357754.609519463</c:v>
                </c:pt>
                <c:pt idx="100">
                  <c:v>4357754.609519463</c:v>
                </c:pt>
                <c:pt idx="101">
                  <c:v>4357754.609519463</c:v>
                </c:pt>
                <c:pt idx="102">
                  <c:v>4357754.609519463</c:v>
                </c:pt>
                <c:pt idx="103">
                  <c:v>4357754.609519463</c:v>
                </c:pt>
                <c:pt idx="104">
                  <c:v>4357754.609519463</c:v>
                </c:pt>
                <c:pt idx="105">
                  <c:v>4357754.609519463</c:v>
                </c:pt>
                <c:pt idx="106">
                  <c:v>4357754.609519463</c:v>
                </c:pt>
                <c:pt idx="107">
                  <c:v>4357754.609519463</c:v>
                </c:pt>
                <c:pt idx="108">
                  <c:v>4357754.609519463</c:v>
                </c:pt>
                <c:pt idx="109">
                  <c:v>4357754.609519463</c:v>
                </c:pt>
                <c:pt idx="110">
                  <c:v>4357754.609519463</c:v>
                </c:pt>
                <c:pt idx="111">
                  <c:v>4357754.609519463</c:v>
                </c:pt>
                <c:pt idx="112">
                  <c:v>4357754.609519463</c:v>
                </c:pt>
                <c:pt idx="113">
                  <c:v>4357754.609519463</c:v>
                </c:pt>
                <c:pt idx="114">
                  <c:v>4357754.609519463</c:v>
                </c:pt>
                <c:pt idx="115">
                  <c:v>4357754.609519463</c:v>
                </c:pt>
                <c:pt idx="116">
                  <c:v>4357754.609519463</c:v>
                </c:pt>
                <c:pt idx="117">
                  <c:v>4357754.609519463</c:v>
                </c:pt>
                <c:pt idx="118">
                  <c:v>4357754.609519463</c:v>
                </c:pt>
                <c:pt idx="119">
                  <c:v>4357754.609519463</c:v>
                </c:pt>
                <c:pt idx="120">
                  <c:v>4357754.609519463</c:v>
                </c:pt>
                <c:pt idx="121">
                  <c:v>4357754.609519463</c:v>
                </c:pt>
                <c:pt idx="122">
                  <c:v>4357754.609519463</c:v>
                </c:pt>
                <c:pt idx="123">
                  <c:v>4357754.609519463</c:v>
                </c:pt>
                <c:pt idx="124">
                  <c:v>4357754.609519463</c:v>
                </c:pt>
                <c:pt idx="125">
                  <c:v>4357754.609519463</c:v>
                </c:pt>
                <c:pt idx="126">
                  <c:v>4357754.609519463</c:v>
                </c:pt>
                <c:pt idx="127">
                  <c:v>4357754.609519463</c:v>
                </c:pt>
                <c:pt idx="128">
                  <c:v>4357754.609519463</c:v>
                </c:pt>
                <c:pt idx="129">
                  <c:v>4357754.609519463</c:v>
                </c:pt>
                <c:pt idx="130">
                  <c:v>4357754.609519463</c:v>
                </c:pt>
                <c:pt idx="131">
                  <c:v>4357754.609519463</c:v>
                </c:pt>
                <c:pt idx="132">
                  <c:v>4357754.609519463</c:v>
                </c:pt>
                <c:pt idx="133">
                  <c:v>4357754.609519463</c:v>
                </c:pt>
                <c:pt idx="134">
                  <c:v>4357754.609519463</c:v>
                </c:pt>
                <c:pt idx="135">
                  <c:v>4357754.609519463</c:v>
                </c:pt>
                <c:pt idx="136">
                  <c:v>4357754.609519463</c:v>
                </c:pt>
                <c:pt idx="137">
                  <c:v>4357754.609519463</c:v>
                </c:pt>
                <c:pt idx="138">
                  <c:v>4357754.609519463</c:v>
                </c:pt>
                <c:pt idx="139">
                  <c:v>4357754.609519463</c:v>
                </c:pt>
                <c:pt idx="140">
                  <c:v>4357754.609519463</c:v>
                </c:pt>
                <c:pt idx="141">
                  <c:v>4357754.609519463</c:v>
                </c:pt>
                <c:pt idx="142">
                  <c:v>4357754.609519463</c:v>
                </c:pt>
                <c:pt idx="143">
                  <c:v>4357754.609519463</c:v>
                </c:pt>
                <c:pt idx="144">
                  <c:v>4357754.609519463</c:v>
                </c:pt>
                <c:pt idx="145">
                  <c:v>4357754.609519463</c:v>
                </c:pt>
                <c:pt idx="146">
                  <c:v>4357754.609519463</c:v>
                </c:pt>
                <c:pt idx="147">
                  <c:v>4357754.609519463</c:v>
                </c:pt>
                <c:pt idx="148">
                  <c:v>4357754.609519463</c:v>
                </c:pt>
                <c:pt idx="149">
                  <c:v>4357754.609519463</c:v>
                </c:pt>
                <c:pt idx="150">
                  <c:v>4357754.609519463</c:v>
                </c:pt>
                <c:pt idx="151">
                  <c:v>4357754.609519463</c:v>
                </c:pt>
                <c:pt idx="152">
                  <c:v>4357754.609519463</c:v>
                </c:pt>
                <c:pt idx="153">
                  <c:v>4357754.609519463</c:v>
                </c:pt>
                <c:pt idx="154">
                  <c:v>4357754.609519463</c:v>
                </c:pt>
                <c:pt idx="155">
                  <c:v>4357754.609519463</c:v>
                </c:pt>
                <c:pt idx="156">
                  <c:v>4357754.609519463</c:v>
                </c:pt>
                <c:pt idx="157">
                  <c:v>4357754.609519463</c:v>
                </c:pt>
                <c:pt idx="158">
                  <c:v>4357754.609519463</c:v>
                </c:pt>
                <c:pt idx="159">
                  <c:v>4357754.609519463</c:v>
                </c:pt>
                <c:pt idx="160">
                  <c:v>4357754.609519463</c:v>
                </c:pt>
                <c:pt idx="161">
                  <c:v>4357754.609519463</c:v>
                </c:pt>
                <c:pt idx="162">
                  <c:v>4357754.609519463</c:v>
                </c:pt>
                <c:pt idx="163">
                  <c:v>4357754.609519463</c:v>
                </c:pt>
                <c:pt idx="164">
                  <c:v>4357754.609519463</c:v>
                </c:pt>
                <c:pt idx="165">
                  <c:v>4357754.609519463</c:v>
                </c:pt>
                <c:pt idx="166">
                  <c:v>4357754.609519463</c:v>
                </c:pt>
                <c:pt idx="167">
                  <c:v>4357754.609519463</c:v>
                </c:pt>
                <c:pt idx="168">
                  <c:v>4357754.609519463</c:v>
                </c:pt>
                <c:pt idx="169">
                  <c:v>4357754.609519463</c:v>
                </c:pt>
                <c:pt idx="170">
                  <c:v>4357754.609519463</c:v>
                </c:pt>
                <c:pt idx="171">
                  <c:v>4357754.609519463</c:v>
                </c:pt>
                <c:pt idx="172">
                  <c:v>4357754.609519463</c:v>
                </c:pt>
                <c:pt idx="173">
                  <c:v>4357754.609519463</c:v>
                </c:pt>
                <c:pt idx="174">
                  <c:v>4357754.609519463</c:v>
                </c:pt>
                <c:pt idx="175">
                  <c:v>4357754.609519463</c:v>
                </c:pt>
                <c:pt idx="176">
                  <c:v>4357754.609519463</c:v>
                </c:pt>
                <c:pt idx="177">
                  <c:v>4357754.609519463</c:v>
                </c:pt>
                <c:pt idx="178">
                  <c:v>4357754.609519463</c:v>
                </c:pt>
                <c:pt idx="179">
                  <c:v>4357754.609519463</c:v>
                </c:pt>
                <c:pt idx="180">
                  <c:v>4357754.609519463</c:v>
                </c:pt>
                <c:pt idx="181">
                  <c:v>4357754.609519463</c:v>
                </c:pt>
                <c:pt idx="182">
                  <c:v>4357754.609519463</c:v>
                </c:pt>
                <c:pt idx="183">
                  <c:v>4357754.609519463</c:v>
                </c:pt>
                <c:pt idx="184">
                  <c:v>4357754.609519463</c:v>
                </c:pt>
                <c:pt idx="185">
                  <c:v>4357754.609519463</c:v>
                </c:pt>
                <c:pt idx="186">
                  <c:v>4357754.609519463</c:v>
                </c:pt>
                <c:pt idx="187">
                  <c:v>4357754.609519463</c:v>
                </c:pt>
                <c:pt idx="188">
                  <c:v>4357754.609519463</c:v>
                </c:pt>
                <c:pt idx="189">
                  <c:v>4357754.609519463</c:v>
                </c:pt>
                <c:pt idx="190">
                  <c:v>4357754.609519463</c:v>
                </c:pt>
                <c:pt idx="191">
                  <c:v>4357754.609519463</c:v>
                </c:pt>
                <c:pt idx="192">
                  <c:v>4357754.609519463</c:v>
                </c:pt>
                <c:pt idx="193">
                  <c:v>4357754.609519463</c:v>
                </c:pt>
                <c:pt idx="194">
                  <c:v>4357754.609519463</c:v>
                </c:pt>
                <c:pt idx="195">
                  <c:v>4357754.609519463</c:v>
                </c:pt>
                <c:pt idx="196">
                  <c:v>4357754.609519463</c:v>
                </c:pt>
                <c:pt idx="197">
                  <c:v>4357754.609519463</c:v>
                </c:pt>
                <c:pt idx="198">
                  <c:v>4357754.609519463</c:v>
                </c:pt>
                <c:pt idx="199">
                  <c:v>4357754.609519463</c:v>
                </c:pt>
                <c:pt idx="200">
                  <c:v>4357754.609519463</c:v>
                </c:pt>
                <c:pt idx="201">
                  <c:v>4357754.609519463</c:v>
                </c:pt>
                <c:pt idx="202">
                  <c:v>4357754.609519463</c:v>
                </c:pt>
                <c:pt idx="203">
                  <c:v>4357754.609519463</c:v>
                </c:pt>
                <c:pt idx="204">
                  <c:v>4357754.609519463</c:v>
                </c:pt>
                <c:pt idx="205">
                  <c:v>4357754.609519463</c:v>
                </c:pt>
                <c:pt idx="206">
                  <c:v>4357754.609519463</c:v>
                </c:pt>
                <c:pt idx="207">
                  <c:v>4357754.609519463</c:v>
                </c:pt>
                <c:pt idx="208">
                  <c:v>4357754.609519463</c:v>
                </c:pt>
                <c:pt idx="209">
                  <c:v>4357754.609519463</c:v>
                </c:pt>
                <c:pt idx="210">
                  <c:v>4357754.609519463</c:v>
                </c:pt>
                <c:pt idx="211">
                  <c:v>4357754.609519463</c:v>
                </c:pt>
                <c:pt idx="212">
                  <c:v>4357754.609519463</c:v>
                </c:pt>
                <c:pt idx="213">
                  <c:v>4357754.609519463</c:v>
                </c:pt>
                <c:pt idx="214">
                  <c:v>4357754.609519463</c:v>
                </c:pt>
                <c:pt idx="215">
                  <c:v>4357754.609519463</c:v>
                </c:pt>
                <c:pt idx="216">
                  <c:v>4357754.609519463</c:v>
                </c:pt>
                <c:pt idx="217">
                  <c:v>4357754.609519463</c:v>
                </c:pt>
                <c:pt idx="218">
                  <c:v>4357754.609519463</c:v>
                </c:pt>
                <c:pt idx="219">
                  <c:v>4357754.609519463</c:v>
                </c:pt>
                <c:pt idx="220">
                  <c:v>4357754.609519463</c:v>
                </c:pt>
                <c:pt idx="221">
                  <c:v>4357754.609519463</c:v>
                </c:pt>
                <c:pt idx="222">
                  <c:v>4357754.609519463</c:v>
                </c:pt>
                <c:pt idx="223">
                  <c:v>4357754.609519463</c:v>
                </c:pt>
                <c:pt idx="224">
                  <c:v>4357754.609519463</c:v>
                </c:pt>
                <c:pt idx="225">
                  <c:v>4357754.609519463</c:v>
                </c:pt>
                <c:pt idx="226">
                  <c:v>4357754.609519463</c:v>
                </c:pt>
                <c:pt idx="227">
                  <c:v>4357754.609519463</c:v>
                </c:pt>
                <c:pt idx="228">
                  <c:v>4357754.609519463</c:v>
                </c:pt>
                <c:pt idx="229">
                  <c:v>4357754.609519463</c:v>
                </c:pt>
                <c:pt idx="230">
                  <c:v>4357754.609519463</c:v>
                </c:pt>
                <c:pt idx="231">
                  <c:v>4357754.609519463</c:v>
                </c:pt>
                <c:pt idx="232">
                  <c:v>4357754.609519463</c:v>
                </c:pt>
                <c:pt idx="233">
                  <c:v>4357754.609519463</c:v>
                </c:pt>
                <c:pt idx="234">
                  <c:v>4357754.609519463</c:v>
                </c:pt>
                <c:pt idx="235">
                  <c:v>4357754.609519463</c:v>
                </c:pt>
                <c:pt idx="236">
                  <c:v>4357754.609519463</c:v>
                </c:pt>
                <c:pt idx="237">
                  <c:v>4357754.609519463</c:v>
                </c:pt>
                <c:pt idx="238">
                  <c:v>4357754.609519463</c:v>
                </c:pt>
                <c:pt idx="239">
                  <c:v>4357754.609519463</c:v>
                </c:pt>
                <c:pt idx="240">
                  <c:v>4357754.609519463</c:v>
                </c:pt>
                <c:pt idx="241">
                  <c:v>4357754.609519463</c:v>
                </c:pt>
                <c:pt idx="242">
                  <c:v>4357754.609519463</c:v>
                </c:pt>
                <c:pt idx="243">
                  <c:v>4357754.609519463</c:v>
                </c:pt>
                <c:pt idx="244">
                  <c:v>4357754.609519463</c:v>
                </c:pt>
                <c:pt idx="245">
                  <c:v>4357754.609519463</c:v>
                </c:pt>
                <c:pt idx="246">
                  <c:v>4357754.609519463</c:v>
                </c:pt>
                <c:pt idx="247">
                  <c:v>4357754.609519463</c:v>
                </c:pt>
                <c:pt idx="248">
                  <c:v>4357754.609519463</c:v>
                </c:pt>
                <c:pt idx="249">
                  <c:v>4357754.609519463</c:v>
                </c:pt>
                <c:pt idx="250">
                  <c:v>4357754.609519463</c:v>
                </c:pt>
                <c:pt idx="251">
                  <c:v>4357754.609519463</c:v>
                </c:pt>
                <c:pt idx="252">
                  <c:v>4357754.609519463</c:v>
                </c:pt>
                <c:pt idx="253">
                  <c:v>4357754.609519463</c:v>
                </c:pt>
                <c:pt idx="254">
                  <c:v>4357754.609519463</c:v>
                </c:pt>
                <c:pt idx="255">
                  <c:v>4357754.609519463</c:v>
                </c:pt>
                <c:pt idx="256">
                  <c:v>4357754.609519463</c:v>
                </c:pt>
                <c:pt idx="257">
                  <c:v>4357754.609519463</c:v>
                </c:pt>
                <c:pt idx="258">
                  <c:v>4357754.609519463</c:v>
                </c:pt>
                <c:pt idx="259">
                  <c:v>4357754.609519463</c:v>
                </c:pt>
                <c:pt idx="260">
                  <c:v>4357754.609519463</c:v>
                </c:pt>
                <c:pt idx="261">
                  <c:v>4357754.609519463</c:v>
                </c:pt>
                <c:pt idx="262">
                  <c:v>4357754.609519463</c:v>
                </c:pt>
                <c:pt idx="263">
                  <c:v>4357754.609519463</c:v>
                </c:pt>
                <c:pt idx="264">
                  <c:v>4357754.609519463</c:v>
                </c:pt>
                <c:pt idx="265">
                  <c:v>4357754.609519463</c:v>
                </c:pt>
                <c:pt idx="266">
                  <c:v>4357754.609519463</c:v>
                </c:pt>
                <c:pt idx="267">
                  <c:v>4357754.609519463</c:v>
                </c:pt>
                <c:pt idx="268">
                  <c:v>4357754.609519463</c:v>
                </c:pt>
                <c:pt idx="269">
                  <c:v>4357754.609519463</c:v>
                </c:pt>
                <c:pt idx="270">
                  <c:v>4357754.609519463</c:v>
                </c:pt>
                <c:pt idx="271">
                  <c:v>4357754.609519463</c:v>
                </c:pt>
                <c:pt idx="272">
                  <c:v>4357754.609519463</c:v>
                </c:pt>
                <c:pt idx="273">
                  <c:v>4357754.609519463</c:v>
                </c:pt>
                <c:pt idx="274">
                  <c:v>4357754.609519463</c:v>
                </c:pt>
                <c:pt idx="275">
                  <c:v>4357754.609519463</c:v>
                </c:pt>
                <c:pt idx="276">
                  <c:v>4357754.609519463</c:v>
                </c:pt>
                <c:pt idx="277">
                  <c:v>4357754.609519463</c:v>
                </c:pt>
                <c:pt idx="278">
                  <c:v>4357754.609519463</c:v>
                </c:pt>
                <c:pt idx="279">
                  <c:v>4357754.609519463</c:v>
                </c:pt>
                <c:pt idx="280">
                  <c:v>4357754.609519463</c:v>
                </c:pt>
                <c:pt idx="281">
                  <c:v>4357754.609519463</c:v>
                </c:pt>
                <c:pt idx="282">
                  <c:v>4357754.609519463</c:v>
                </c:pt>
                <c:pt idx="283">
                  <c:v>4357754.609519463</c:v>
                </c:pt>
                <c:pt idx="284">
                  <c:v>4357754.609519463</c:v>
                </c:pt>
                <c:pt idx="285">
                  <c:v>4357754.609519463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1976323.1928783164</c:v>
                </c:pt>
                <c:pt idx="11">
                  <c:v>1808861.4223783165</c:v>
                </c:pt>
                <c:pt idx="12">
                  <c:v>4791667.6698235301</c:v>
                </c:pt>
                <c:pt idx="13">
                  <c:v>4788167.6698235301</c:v>
                </c:pt>
                <c:pt idx="14">
                  <c:v>4788167.6698235301</c:v>
                </c:pt>
                <c:pt idx="15">
                  <c:v>4788167.6698235301</c:v>
                </c:pt>
                <c:pt idx="16">
                  <c:v>4788167.6698235301</c:v>
                </c:pt>
                <c:pt idx="17">
                  <c:v>4784667.6698235301</c:v>
                </c:pt>
                <c:pt idx="18">
                  <c:v>4784667.6698235301</c:v>
                </c:pt>
                <c:pt idx="19">
                  <c:v>2419327.6698235306</c:v>
                </c:pt>
                <c:pt idx="20">
                  <c:v>1155517.7083235309</c:v>
                </c:pt>
                <c:pt idx="21">
                  <c:v>1071447.5521374005</c:v>
                </c:pt>
                <c:pt idx="22">
                  <c:v>1388905.8507931102</c:v>
                </c:pt>
                <c:pt idx="23">
                  <c:v>1368897.8507931102</c:v>
                </c:pt>
                <c:pt idx="24">
                  <c:v>1368897.8507931102</c:v>
                </c:pt>
                <c:pt idx="25">
                  <c:v>1313077.2606264437</c:v>
                </c:pt>
                <c:pt idx="26">
                  <c:v>1309577.2606264437</c:v>
                </c:pt>
                <c:pt idx="27">
                  <c:v>1309577.2606264437</c:v>
                </c:pt>
                <c:pt idx="28">
                  <c:v>1309577.2606264437</c:v>
                </c:pt>
                <c:pt idx="29">
                  <c:v>1309577.2606264437</c:v>
                </c:pt>
                <c:pt idx="30">
                  <c:v>1309577.2606264437</c:v>
                </c:pt>
                <c:pt idx="31">
                  <c:v>1309577.2606264437</c:v>
                </c:pt>
                <c:pt idx="32">
                  <c:v>1309577.2606264437</c:v>
                </c:pt>
                <c:pt idx="33">
                  <c:v>1309577.2606264437</c:v>
                </c:pt>
                <c:pt idx="34">
                  <c:v>1309577.2606264437</c:v>
                </c:pt>
                <c:pt idx="35">
                  <c:v>1309577.2606264437</c:v>
                </c:pt>
                <c:pt idx="36">
                  <c:v>1309577.2606264437</c:v>
                </c:pt>
                <c:pt idx="37">
                  <c:v>1309577.2606264437</c:v>
                </c:pt>
                <c:pt idx="38">
                  <c:v>1309577.2606264437</c:v>
                </c:pt>
                <c:pt idx="39">
                  <c:v>1309577.2606264437</c:v>
                </c:pt>
                <c:pt idx="40">
                  <c:v>1309577.2606264437</c:v>
                </c:pt>
                <c:pt idx="41">
                  <c:v>1309577.2606264437</c:v>
                </c:pt>
                <c:pt idx="42">
                  <c:v>1309577.2606264437</c:v>
                </c:pt>
                <c:pt idx="43">
                  <c:v>1309577.2606264437</c:v>
                </c:pt>
                <c:pt idx="44">
                  <c:v>1309577.2606264437</c:v>
                </c:pt>
                <c:pt idx="45">
                  <c:v>1309577.2606264437</c:v>
                </c:pt>
                <c:pt idx="46">
                  <c:v>1309577.2606264437</c:v>
                </c:pt>
                <c:pt idx="47">
                  <c:v>1309577.2606264437</c:v>
                </c:pt>
                <c:pt idx="48">
                  <c:v>1309577.2606264437</c:v>
                </c:pt>
                <c:pt idx="49">
                  <c:v>1309577.2606264437</c:v>
                </c:pt>
                <c:pt idx="50">
                  <c:v>1309577.2606264437</c:v>
                </c:pt>
                <c:pt idx="51">
                  <c:v>1309577.2606264437</c:v>
                </c:pt>
                <c:pt idx="52">
                  <c:v>1309577.2606264437</c:v>
                </c:pt>
                <c:pt idx="53">
                  <c:v>1309577.2606264437</c:v>
                </c:pt>
                <c:pt idx="54">
                  <c:v>1309577.2606264437</c:v>
                </c:pt>
                <c:pt idx="55">
                  <c:v>1309577.2606264437</c:v>
                </c:pt>
                <c:pt idx="56">
                  <c:v>1309577.2606264437</c:v>
                </c:pt>
                <c:pt idx="57">
                  <c:v>1309577.2606264437</c:v>
                </c:pt>
                <c:pt idx="58">
                  <c:v>1309577.2606264437</c:v>
                </c:pt>
                <c:pt idx="59">
                  <c:v>1309577.2606264437</c:v>
                </c:pt>
                <c:pt idx="60">
                  <c:v>1309577.2606264437</c:v>
                </c:pt>
                <c:pt idx="61">
                  <c:v>1309577.2606264437</c:v>
                </c:pt>
                <c:pt idx="62">
                  <c:v>1309577.2606264437</c:v>
                </c:pt>
                <c:pt idx="63">
                  <c:v>1309577.2606264437</c:v>
                </c:pt>
                <c:pt idx="64">
                  <c:v>1309577.2606264437</c:v>
                </c:pt>
                <c:pt idx="65">
                  <c:v>1309577.2606264437</c:v>
                </c:pt>
                <c:pt idx="66">
                  <c:v>1309577.2606264437</c:v>
                </c:pt>
                <c:pt idx="67">
                  <c:v>1309577.2606264437</c:v>
                </c:pt>
                <c:pt idx="68">
                  <c:v>1309577.2606264437</c:v>
                </c:pt>
                <c:pt idx="69">
                  <c:v>1309577.2606264437</c:v>
                </c:pt>
                <c:pt idx="70">
                  <c:v>1309577.2606264437</c:v>
                </c:pt>
                <c:pt idx="71">
                  <c:v>1309577.2606264437</c:v>
                </c:pt>
                <c:pt idx="72">
                  <c:v>1309577.2606264437</c:v>
                </c:pt>
                <c:pt idx="73">
                  <c:v>1309577.2606264437</c:v>
                </c:pt>
                <c:pt idx="74">
                  <c:v>1607857.8853709651</c:v>
                </c:pt>
                <c:pt idx="75">
                  <c:v>1607857.8853709651</c:v>
                </c:pt>
                <c:pt idx="76">
                  <c:v>1607857.8853709651</c:v>
                </c:pt>
                <c:pt idx="77">
                  <c:v>1607857.8853709651</c:v>
                </c:pt>
                <c:pt idx="78">
                  <c:v>1607857.8853709651</c:v>
                </c:pt>
                <c:pt idx="79">
                  <c:v>1607857.8853709651</c:v>
                </c:pt>
                <c:pt idx="80">
                  <c:v>1607857.8853709651</c:v>
                </c:pt>
                <c:pt idx="81">
                  <c:v>1607857.8853709651</c:v>
                </c:pt>
                <c:pt idx="82">
                  <c:v>1607857.8853709651</c:v>
                </c:pt>
                <c:pt idx="83">
                  <c:v>1607857.8853709651</c:v>
                </c:pt>
                <c:pt idx="84">
                  <c:v>1607857.8853709651</c:v>
                </c:pt>
                <c:pt idx="85">
                  <c:v>1607857.8853709651</c:v>
                </c:pt>
                <c:pt idx="86">
                  <c:v>1607857.8853709651</c:v>
                </c:pt>
                <c:pt idx="87">
                  <c:v>1607857.8853709651</c:v>
                </c:pt>
                <c:pt idx="88">
                  <c:v>1607857.8853709651</c:v>
                </c:pt>
                <c:pt idx="89">
                  <c:v>1607857.8853709651</c:v>
                </c:pt>
                <c:pt idx="90">
                  <c:v>1607857.8853709651</c:v>
                </c:pt>
                <c:pt idx="91">
                  <c:v>1607857.8853709651</c:v>
                </c:pt>
                <c:pt idx="92">
                  <c:v>1607857.8853709651</c:v>
                </c:pt>
                <c:pt idx="93">
                  <c:v>1607857.8853709651</c:v>
                </c:pt>
                <c:pt idx="94">
                  <c:v>1607857.8853709651</c:v>
                </c:pt>
                <c:pt idx="95">
                  <c:v>1607857.8853709651</c:v>
                </c:pt>
                <c:pt idx="96">
                  <c:v>1607857.8853709651</c:v>
                </c:pt>
                <c:pt idx="97">
                  <c:v>1607857.8853709651</c:v>
                </c:pt>
                <c:pt idx="98">
                  <c:v>1607857.8853709651</c:v>
                </c:pt>
                <c:pt idx="99">
                  <c:v>1607857.8853709651</c:v>
                </c:pt>
                <c:pt idx="100">
                  <c:v>1607857.8853709651</c:v>
                </c:pt>
                <c:pt idx="101">
                  <c:v>1607857.8853709651</c:v>
                </c:pt>
                <c:pt idx="102">
                  <c:v>1607857.8853709651</c:v>
                </c:pt>
                <c:pt idx="103">
                  <c:v>1607857.8853709651</c:v>
                </c:pt>
                <c:pt idx="104">
                  <c:v>1607857.8853709651</c:v>
                </c:pt>
                <c:pt idx="105">
                  <c:v>1607857.8853709651</c:v>
                </c:pt>
                <c:pt idx="106">
                  <c:v>1607857.8853709651</c:v>
                </c:pt>
                <c:pt idx="107">
                  <c:v>1607857.8853709651</c:v>
                </c:pt>
                <c:pt idx="108">
                  <c:v>1607857.8853709651</c:v>
                </c:pt>
                <c:pt idx="109">
                  <c:v>1607857.8853709651</c:v>
                </c:pt>
                <c:pt idx="110">
                  <c:v>1607857.8853709651</c:v>
                </c:pt>
                <c:pt idx="111">
                  <c:v>1607857.8853709651</c:v>
                </c:pt>
                <c:pt idx="112">
                  <c:v>1607857.8853709651</c:v>
                </c:pt>
                <c:pt idx="113">
                  <c:v>1607857.8853709651</c:v>
                </c:pt>
                <c:pt idx="114">
                  <c:v>1607857.8853709651</c:v>
                </c:pt>
                <c:pt idx="115">
                  <c:v>1607857.8853709651</c:v>
                </c:pt>
                <c:pt idx="116">
                  <c:v>1607857.8853709651</c:v>
                </c:pt>
                <c:pt idx="117">
                  <c:v>1607857.8853709651</c:v>
                </c:pt>
                <c:pt idx="118">
                  <c:v>1607857.8853709651</c:v>
                </c:pt>
                <c:pt idx="119">
                  <c:v>1607857.8853709651</c:v>
                </c:pt>
                <c:pt idx="120">
                  <c:v>1607857.8853709651</c:v>
                </c:pt>
                <c:pt idx="121">
                  <c:v>1607857.8853709651</c:v>
                </c:pt>
                <c:pt idx="122">
                  <c:v>1607857.8853709651</c:v>
                </c:pt>
                <c:pt idx="123">
                  <c:v>1607857.8853709651</c:v>
                </c:pt>
                <c:pt idx="124">
                  <c:v>1607857.8853709651</c:v>
                </c:pt>
                <c:pt idx="125">
                  <c:v>1607857.8853709651</c:v>
                </c:pt>
                <c:pt idx="126">
                  <c:v>1607857.8853709651</c:v>
                </c:pt>
                <c:pt idx="127">
                  <c:v>1607857.8853709651</c:v>
                </c:pt>
                <c:pt idx="128">
                  <c:v>1607857.8853709651</c:v>
                </c:pt>
                <c:pt idx="129">
                  <c:v>1607857.8853709651</c:v>
                </c:pt>
                <c:pt idx="130">
                  <c:v>1607857.8853709651</c:v>
                </c:pt>
                <c:pt idx="131">
                  <c:v>1607857.8853709651</c:v>
                </c:pt>
                <c:pt idx="132">
                  <c:v>1607857.8853709651</c:v>
                </c:pt>
                <c:pt idx="133">
                  <c:v>1607857.8853709651</c:v>
                </c:pt>
                <c:pt idx="134">
                  <c:v>1607857.8853709651</c:v>
                </c:pt>
                <c:pt idx="135">
                  <c:v>1607857.8853709651</c:v>
                </c:pt>
                <c:pt idx="136">
                  <c:v>1607857.8853709651</c:v>
                </c:pt>
                <c:pt idx="137">
                  <c:v>1607857.8853709651</c:v>
                </c:pt>
                <c:pt idx="138">
                  <c:v>1607857.8853709651</c:v>
                </c:pt>
                <c:pt idx="139">
                  <c:v>1607857.8853709651</c:v>
                </c:pt>
                <c:pt idx="140">
                  <c:v>1607857.8853709651</c:v>
                </c:pt>
                <c:pt idx="141">
                  <c:v>1607857.8853709651</c:v>
                </c:pt>
                <c:pt idx="142">
                  <c:v>1607857.8853709651</c:v>
                </c:pt>
                <c:pt idx="143">
                  <c:v>1607857.8853709651</c:v>
                </c:pt>
                <c:pt idx="144">
                  <c:v>1607857.8853709651</c:v>
                </c:pt>
                <c:pt idx="145">
                  <c:v>1607857.8853709651</c:v>
                </c:pt>
                <c:pt idx="146">
                  <c:v>1607857.8853709651</c:v>
                </c:pt>
                <c:pt idx="147">
                  <c:v>1607857.8853709651</c:v>
                </c:pt>
                <c:pt idx="148">
                  <c:v>1607857.8853709651</c:v>
                </c:pt>
                <c:pt idx="149">
                  <c:v>1607857.8853709651</c:v>
                </c:pt>
                <c:pt idx="150">
                  <c:v>1607857.8853709651</c:v>
                </c:pt>
                <c:pt idx="151">
                  <c:v>1607857.8853709651</c:v>
                </c:pt>
                <c:pt idx="152">
                  <c:v>1607857.8853709651</c:v>
                </c:pt>
                <c:pt idx="153">
                  <c:v>1607857.8853709651</c:v>
                </c:pt>
                <c:pt idx="154">
                  <c:v>1607857.8853709651</c:v>
                </c:pt>
                <c:pt idx="155">
                  <c:v>1607857.8853709651</c:v>
                </c:pt>
                <c:pt idx="156">
                  <c:v>1607857.8853709651</c:v>
                </c:pt>
                <c:pt idx="157">
                  <c:v>1607857.8853709651</c:v>
                </c:pt>
                <c:pt idx="158">
                  <c:v>1607857.8853709651</c:v>
                </c:pt>
                <c:pt idx="159">
                  <c:v>1607857.8853709651</c:v>
                </c:pt>
                <c:pt idx="160">
                  <c:v>1607857.8853709651</c:v>
                </c:pt>
                <c:pt idx="161">
                  <c:v>1607857.8853709651</c:v>
                </c:pt>
                <c:pt idx="162">
                  <c:v>1607857.8853709651</c:v>
                </c:pt>
                <c:pt idx="163">
                  <c:v>1607857.8853709651</c:v>
                </c:pt>
                <c:pt idx="164">
                  <c:v>1607857.8853709651</c:v>
                </c:pt>
                <c:pt idx="165">
                  <c:v>1607857.8853709651</c:v>
                </c:pt>
                <c:pt idx="166">
                  <c:v>1607857.8853709651</c:v>
                </c:pt>
                <c:pt idx="167">
                  <c:v>1607857.8853709651</c:v>
                </c:pt>
                <c:pt idx="168">
                  <c:v>1607857.8853709651</c:v>
                </c:pt>
                <c:pt idx="169">
                  <c:v>1607857.8853709651</c:v>
                </c:pt>
                <c:pt idx="170">
                  <c:v>1607857.8853709651</c:v>
                </c:pt>
                <c:pt idx="171">
                  <c:v>1607857.8853709651</c:v>
                </c:pt>
                <c:pt idx="172">
                  <c:v>1607857.8853709651</c:v>
                </c:pt>
                <c:pt idx="173">
                  <c:v>1607857.8853709651</c:v>
                </c:pt>
                <c:pt idx="174">
                  <c:v>1607857.8853709651</c:v>
                </c:pt>
                <c:pt idx="175">
                  <c:v>1607857.8853709651</c:v>
                </c:pt>
                <c:pt idx="176">
                  <c:v>1607857.8853709651</c:v>
                </c:pt>
                <c:pt idx="177">
                  <c:v>1607857.8853709651</c:v>
                </c:pt>
                <c:pt idx="178">
                  <c:v>1607857.8853709651</c:v>
                </c:pt>
                <c:pt idx="179">
                  <c:v>1607857.8853709651</c:v>
                </c:pt>
                <c:pt idx="180">
                  <c:v>1607857.8853709651</c:v>
                </c:pt>
                <c:pt idx="181">
                  <c:v>1607857.8853709651</c:v>
                </c:pt>
                <c:pt idx="182">
                  <c:v>1607857.8853709651</c:v>
                </c:pt>
                <c:pt idx="183">
                  <c:v>1607857.8853709651</c:v>
                </c:pt>
                <c:pt idx="184">
                  <c:v>1607857.8853709651</c:v>
                </c:pt>
                <c:pt idx="185">
                  <c:v>1607857.8853709651</c:v>
                </c:pt>
                <c:pt idx="186">
                  <c:v>1607857.8853709651</c:v>
                </c:pt>
                <c:pt idx="187">
                  <c:v>1607857.8853709651</c:v>
                </c:pt>
                <c:pt idx="188">
                  <c:v>1607857.8853709651</c:v>
                </c:pt>
                <c:pt idx="189">
                  <c:v>1607857.8853709651</c:v>
                </c:pt>
                <c:pt idx="190">
                  <c:v>1607857.8853709651</c:v>
                </c:pt>
                <c:pt idx="191">
                  <c:v>1607857.8853709651</c:v>
                </c:pt>
                <c:pt idx="192">
                  <c:v>1607857.8853709651</c:v>
                </c:pt>
                <c:pt idx="193">
                  <c:v>1607857.8853709651</c:v>
                </c:pt>
                <c:pt idx="194">
                  <c:v>1607857.8853709651</c:v>
                </c:pt>
                <c:pt idx="195">
                  <c:v>1607857.8853709651</c:v>
                </c:pt>
                <c:pt idx="196">
                  <c:v>1607857.8853709651</c:v>
                </c:pt>
                <c:pt idx="197">
                  <c:v>1607857.8853709651</c:v>
                </c:pt>
                <c:pt idx="198">
                  <c:v>1607857.8853709651</c:v>
                </c:pt>
                <c:pt idx="199">
                  <c:v>1607857.8853709651</c:v>
                </c:pt>
                <c:pt idx="200">
                  <c:v>1607857.8853709651</c:v>
                </c:pt>
                <c:pt idx="201">
                  <c:v>1607857.8853709651</c:v>
                </c:pt>
                <c:pt idx="202">
                  <c:v>1607857.8853709651</c:v>
                </c:pt>
                <c:pt idx="203">
                  <c:v>1607857.8853709651</c:v>
                </c:pt>
                <c:pt idx="204">
                  <c:v>1607857.8853709651</c:v>
                </c:pt>
                <c:pt idx="205">
                  <c:v>1607857.8853709651</c:v>
                </c:pt>
                <c:pt idx="206">
                  <c:v>1607857.8853709651</c:v>
                </c:pt>
                <c:pt idx="207">
                  <c:v>1607857.8853709651</c:v>
                </c:pt>
                <c:pt idx="208">
                  <c:v>1607857.8853709651</c:v>
                </c:pt>
                <c:pt idx="209">
                  <c:v>1607857.8853709651</c:v>
                </c:pt>
                <c:pt idx="210">
                  <c:v>1607857.8853709651</c:v>
                </c:pt>
                <c:pt idx="211">
                  <c:v>1607857.8853709651</c:v>
                </c:pt>
                <c:pt idx="212">
                  <c:v>1607857.8853709651</c:v>
                </c:pt>
                <c:pt idx="213">
                  <c:v>1607857.8853709651</c:v>
                </c:pt>
                <c:pt idx="214">
                  <c:v>1607857.8853709651</c:v>
                </c:pt>
                <c:pt idx="215">
                  <c:v>1607857.8853709651</c:v>
                </c:pt>
                <c:pt idx="216">
                  <c:v>1607857.8853709651</c:v>
                </c:pt>
                <c:pt idx="217">
                  <c:v>1607857.8853709651</c:v>
                </c:pt>
                <c:pt idx="218">
                  <c:v>1607857.8853709651</c:v>
                </c:pt>
                <c:pt idx="219">
                  <c:v>1607857.8853709651</c:v>
                </c:pt>
                <c:pt idx="220">
                  <c:v>1607857.8853709651</c:v>
                </c:pt>
                <c:pt idx="221">
                  <c:v>1607857.8853709651</c:v>
                </c:pt>
                <c:pt idx="222">
                  <c:v>1607857.8853709651</c:v>
                </c:pt>
                <c:pt idx="223">
                  <c:v>1607857.8853709651</c:v>
                </c:pt>
                <c:pt idx="224">
                  <c:v>1607857.8853709651</c:v>
                </c:pt>
                <c:pt idx="225">
                  <c:v>1607857.8853709651</c:v>
                </c:pt>
                <c:pt idx="226">
                  <c:v>1607857.8853709651</c:v>
                </c:pt>
                <c:pt idx="227">
                  <c:v>1607857.8853709651</c:v>
                </c:pt>
                <c:pt idx="228">
                  <c:v>1607857.8853709651</c:v>
                </c:pt>
                <c:pt idx="229">
                  <c:v>1607857.8853709651</c:v>
                </c:pt>
                <c:pt idx="230">
                  <c:v>1607857.8853709651</c:v>
                </c:pt>
                <c:pt idx="231">
                  <c:v>1607857.8853709651</c:v>
                </c:pt>
                <c:pt idx="232">
                  <c:v>1607857.8853709651</c:v>
                </c:pt>
                <c:pt idx="233">
                  <c:v>1607857.8853709651</c:v>
                </c:pt>
                <c:pt idx="234">
                  <c:v>1607857.8853709651</c:v>
                </c:pt>
                <c:pt idx="235">
                  <c:v>1607857.8853709651</c:v>
                </c:pt>
                <c:pt idx="236">
                  <c:v>1607857.8853709651</c:v>
                </c:pt>
                <c:pt idx="237">
                  <c:v>1607857.8853709651</c:v>
                </c:pt>
                <c:pt idx="238">
                  <c:v>1607857.8853709651</c:v>
                </c:pt>
                <c:pt idx="239">
                  <c:v>1607857.8853709651</c:v>
                </c:pt>
                <c:pt idx="240">
                  <c:v>1607857.8853709651</c:v>
                </c:pt>
                <c:pt idx="241">
                  <c:v>1607857.8853709651</c:v>
                </c:pt>
                <c:pt idx="242">
                  <c:v>1607857.8853709651</c:v>
                </c:pt>
                <c:pt idx="243">
                  <c:v>1607857.8853709651</c:v>
                </c:pt>
                <c:pt idx="244">
                  <c:v>1607857.8853709651</c:v>
                </c:pt>
                <c:pt idx="245">
                  <c:v>1607857.8853709651</c:v>
                </c:pt>
                <c:pt idx="246">
                  <c:v>1607857.8853709651</c:v>
                </c:pt>
                <c:pt idx="247">
                  <c:v>1607857.8853709651</c:v>
                </c:pt>
                <c:pt idx="248">
                  <c:v>1607857.8853709651</c:v>
                </c:pt>
                <c:pt idx="249">
                  <c:v>1607857.8853709651</c:v>
                </c:pt>
                <c:pt idx="250">
                  <c:v>1607857.8853709651</c:v>
                </c:pt>
                <c:pt idx="251">
                  <c:v>1607857.8853709651</c:v>
                </c:pt>
                <c:pt idx="252">
                  <c:v>1607857.8853709651</c:v>
                </c:pt>
                <c:pt idx="253">
                  <c:v>1607857.8853709651</c:v>
                </c:pt>
                <c:pt idx="254">
                  <c:v>1607857.8853709651</c:v>
                </c:pt>
                <c:pt idx="255">
                  <c:v>1607857.8853709651</c:v>
                </c:pt>
                <c:pt idx="256">
                  <c:v>1607857.8853709651</c:v>
                </c:pt>
                <c:pt idx="257">
                  <c:v>1607857.8853709651</c:v>
                </c:pt>
                <c:pt idx="258">
                  <c:v>1607857.8853709651</c:v>
                </c:pt>
                <c:pt idx="259">
                  <c:v>1607857.8853709651</c:v>
                </c:pt>
                <c:pt idx="260">
                  <c:v>1607857.8853709651</c:v>
                </c:pt>
                <c:pt idx="261">
                  <c:v>1607857.8853709651</c:v>
                </c:pt>
                <c:pt idx="262">
                  <c:v>1607857.8853709651</c:v>
                </c:pt>
                <c:pt idx="263">
                  <c:v>1607857.8853709651</c:v>
                </c:pt>
                <c:pt idx="264">
                  <c:v>1607857.8853709651</c:v>
                </c:pt>
                <c:pt idx="265">
                  <c:v>1607857.8853709651</c:v>
                </c:pt>
                <c:pt idx="266">
                  <c:v>1607857.8853709651</c:v>
                </c:pt>
                <c:pt idx="267">
                  <c:v>1607857.8853709651</c:v>
                </c:pt>
                <c:pt idx="268">
                  <c:v>1607857.8853709651</c:v>
                </c:pt>
                <c:pt idx="269">
                  <c:v>1607857.8853709651</c:v>
                </c:pt>
                <c:pt idx="270">
                  <c:v>1607857.8853709651</c:v>
                </c:pt>
                <c:pt idx="271">
                  <c:v>1607857.8853709651</c:v>
                </c:pt>
                <c:pt idx="272">
                  <c:v>1607857.8853709651</c:v>
                </c:pt>
                <c:pt idx="273">
                  <c:v>1607857.8853709651</c:v>
                </c:pt>
                <c:pt idx="274">
                  <c:v>1607857.8853709651</c:v>
                </c:pt>
                <c:pt idx="275">
                  <c:v>1607857.8853709651</c:v>
                </c:pt>
                <c:pt idx="276">
                  <c:v>1607857.8853709651</c:v>
                </c:pt>
                <c:pt idx="277">
                  <c:v>1607857.8853709651</c:v>
                </c:pt>
                <c:pt idx="278">
                  <c:v>1607857.8853709651</c:v>
                </c:pt>
                <c:pt idx="279">
                  <c:v>1607857.8853709651</c:v>
                </c:pt>
                <c:pt idx="280">
                  <c:v>1607857.8853709651</c:v>
                </c:pt>
                <c:pt idx="281">
                  <c:v>1607857.8853709651</c:v>
                </c:pt>
                <c:pt idx="282">
                  <c:v>1607857.8853709651</c:v>
                </c:pt>
                <c:pt idx="283">
                  <c:v>1607857.8853709651</c:v>
                </c:pt>
                <c:pt idx="284">
                  <c:v>1607857.8853709651</c:v>
                </c:pt>
                <c:pt idx="285">
                  <c:v>1607857.8853709651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121112.06824093319</c:v>
                </c:pt>
                <c:pt idx="8">
                  <c:v>121112.06824093319</c:v>
                </c:pt>
                <c:pt idx="9">
                  <c:v>121112.06824093319</c:v>
                </c:pt>
                <c:pt idx="10">
                  <c:v>121112.06824093319</c:v>
                </c:pt>
                <c:pt idx="11">
                  <c:v>121112.06824093319</c:v>
                </c:pt>
                <c:pt idx="12">
                  <c:v>500274.32715767348</c:v>
                </c:pt>
                <c:pt idx="13">
                  <c:v>500274.32715767348</c:v>
                </c:pt>
                <c:pt idx="14">
                  <c:v>500274.32715767348</c:v>
                </c:pt>
                <c:pt idx="15">
                  <c:v>500274.32715767348</c:v>
                </c:pt>
                <c:pt idx="16">
                  <c:v>4612602.1418114621</c:v>
                </c:pt>
                <c:pt idx="17">
                  <c:v>4612602.1418114621</c:v>
                </c:pt>
                <c:pt idx="18">
                  <c:v>4612602.1418114621</c:v>
                </c:pt>
                <c:pt idx="19">
                  <c:v>4612602.1418114621</c:v>
                </c:pt>
                <c:pt idx="20">
                  <c:v>5405214.9187040552</c:v>
                </c:pt>
                <c:pt idx="21">
                  <c:v>5405214.9187040552</c:v>
                </c:pt>
                <c:pt idx="22">
                  <c:v>5405214.9187040552</c:v>
                </c:pt>
                <c:pt idx="23">
                  <c:v>5405214.9187040552</c:v>
                </c:pt>
                <c:pt idx="24">
                  <c:v>5405214.9187040552</c:v>
                </c:pt>
                <c:pt idx="25">
                  <c:v>5890557.8208848583</c:v>
                </c:pt>
                <c:pt idx="26">
                  <c:v>5890557.8208848583</c:v>
                </c:pt>
                <c:pt idx="27">
                  <c:v>5890557.8208848583</c:v>
                </c:pt>
                <c:pt idx="28">
                  <c:v>5890557.8208848583</c:v>
                </c:pt>
                <c:pt idx="29">
                  <c:v>5965612.4948904281</c:v>
                </c:pt>
                <c:pt idx="30">
                  <c:v>5965612.4948904281</c:v>
                </c:pt>
                <c:pt idx="31">
                  <c:v>5965612.4948904281</c:v>
                </c:pt>
                <c:pt idx="32">
                  <c:v>5965612.4948904281</c:v>
                </c:pt>
                <c:pt idx="33">
                  <c:v>5965612.4948904281</c:v>
                </c:pt>
                <c:pt idx="34">
                  <c:v>5965612.4948904281</c:v>
                </c:pt>
                <c:pt idx="35">
                  <c:v>5965612.4948904281</c:v>
                </c:pt>
                <c:pt idx="36">
                  <c:v>5965612.4948904281</c:v>
                </c:pt>
                <c:pt idx="37">
                  <c:v>5965612.4948904281</c:v>
                </c:pt>
                <c:pt idx="38">
                  <c:v>5965612.4948904281</c:v>
                </c:pt>
                <c:pt idx="39">
                  <c:v>5965612.4948904281</c:v>
                </c:pt>
                <c:pt idx="40">
                  <c:v>5965612.4948904281</c:v>
                </c:pt>
                <c:pt idx="41">
                  <c:v>5965612.4948904281</c:v>
                </c:pt>
                <c:pt idx="42">
                  <c:v>5965612.4948904281</c:v>
                </c:pt>
                <c:pt idx="43">
                  <c:v>5965612.4948904281</c:v>
                </c:pt>
                <c:pt idx="44">
                  <c:v>5965612.4948904281</c:v>
                </c:pt>
                <c:pt idx="45">
                  <c:v>5965612.4948904281</c:v>
                </c:pt>
                <c:pt idx="46">
                  <c:v>5965612.4948904281</c:v>
                </c:pt>
                <c:pt idx="47">
                  <c:v>5965612.4948904281</c:v>
                </c:pt>
                <c:pt idx="48">
                  <c:v>5965612.4948904281</c:v>
                </c:pt>
                <c:pt idx="49">
                  <c:v>5965612.4948904281</c:v>
                </c:pt>
                <c:pt idx="50">
                  <c:v>5965612.4948904281</c:v>
                </c:pt>
                <c:pt idx="51">
                  <c:v>5965612.4948904281</c:v>
                </c:pt>
                <c:pt idx="52">
                  <c:v>5965612.4948904281</c:v>
                </c:pt>
                <c:pt idx="53">
                  <c:v>5965612.4948904281</c:v>
                </c:pt>
                <c:pt idx="54">
                  <c:v>5965612.4948904281</c:v>
                </c:pt>
                <c:pt idx="55">
                  <c:v>5965612.4948904281</c:v>
                </c:pt>
                <c:pt idx="56">
                  <c:v>5965612.4948904281</c:v>
                </c:pt>
                <c:pt idx="57">
                  <c:v>5965612.4948904281</c:v>
                </c:pt>
                <c:pt idx="58">
                  <c:v>5965612.4948904281</c:v>
                </c:pt>
                <c:pt idx="59">
                  <c:v>5965612.4948904281</c:v>
                </c:pt>
                <c:pt idx="60">
                  <c:v>5965612.4948904281</c:v>
                </c:pt>
                <c:pt idx="61">
                  <c:v>5965612.4948904281</c:v>
                </c:pt>
                <c:pt idx="62">
                  <c:v>5965612.4948904281</c:v>
                </c:pt>
                <c:pt idx="63">
                  <c:v>5965612.4948904281</c:v>
                </c:pt>
                <c:pt idx="64">
                  <c:v>5965612.4948904281</c:v>
                </c:pt>
                <c:pt idx="65">
                  <c:v>5965612.4948904281</c:v>
                </c:pt>
                <c:pt idx="66">
                  <c:v>5965612.4948904281</c:v>
                </c:pt>
                <c:pt idx="67">
                  <c:v>5965612.4948904281</c:v>
                </c:pt>
                <c:pt idx="68">
                  <c:v>5965612.4948904281</c:v>
                </c:pt>
                <c:pt idx="69">
                  <c:v>5965612.4948904281</c:v>
                </c:pt>
                <c:pt idx="70">
                  <c:v>5965612.4948904281</c:v>
                </c:pt>
                <c:pt idx="71">
                  <c:v>5965612.4948904281</c:v>
                </c:pt>
                <c:pt idx="72">
                  <c:v>5965612.4948904281</c:v>
                </c:pt>
                <c:pt idx="73">
                  <c:v>5965612.4948904281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9" t="s">
        <v>0</v>
      </c>
      <c r="C2" s="639"/>
      <c r="D2" s="639"/>
      <c r="E2" s="639"/>
      <c r="H2" s="640" t="s">
        <v>1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De Drift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3</v>
      </c>
      <c r="C5" s="617" t="s">
        <v>4</v>
      </c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7</v>
      </c>
      <c r="C7" s="617" t="s">
        <v>8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5"/>
      <c r="H8" s="643"/>
      <c r="I8" s="644"/>
      <c r="J8" s="644"/>
      <c r="K8" s="644"/>
      <c r="L8" s="644"/>
      <c r="M8" s="644"/>
      <c r="N8" s="644"/>
      <c r="O8" s="645"/>
    </row>
    <row r="9" spans="2:15">
      <c r="B9" s="649" t="s">
        <v>9</v>
      </c>
      <c r="C9" s="649"/>
      <c r="D9" s="649"/>
      <c r="E9" s="649"/>
      <c r="H9" s="643"/>
      <c r="I9" s="644"/>
      <c r="J9" s="644"/>
      <c r="K9" s="644"/>
      <c r="L9" s="644"/>
      <c r="M9" s="644"/>
      <c r="N9" s="644"/>
      <c r="O9" s="645"/>
    </row>
    <row r="10" spans="2:15" ht="15" thickBot="1">
      <c r="B10" s="649" t="s">
        <v>10</v>
      </c>
      <c r="C10" s="649"/>
      <c r="D10" s="649"/>
      <c r="E10" s="649"/>
      <c r="H10" s="646"/>
      <c r="I10" s="647"/>
      <c r="J10" s="647"/>
      <c r="K10" s="647"/>
      <c r="L10" s="647"/>
      <c r="M10" s="647"/>
      <c r="N10" s="647"/>
      <c r="O10" s="648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38" t="s">
        <v>17</v>
      </c>
      <c r="C18" s="638"/>
      <c r="D18" s="638"/>
      <c r="E18" s="63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9" t="s">
        <v>22</v>
      </c>
      <c r="C2" s="639"/>
      <c r="D2" s="639"/>
      <c r="E2" s="639"/>
      <c r="H2" s="640" t="s">
        <v>23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De Drift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24</v>
      </c>
      <c r="C5" s="617"/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25</v>
      </c>
      <c r="C7" s="617" t="str">
        <f>'Project Plan'!E5</f>
        <v>Justin Franke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6" t="s">
        <v>26</v>
      </c>
      <c r="C8" s="617"/>
      <c r="H8" s="643"/>
      <c r="I8" s="644"/>
      <c r="J8" s="644"/>
      <c r="K8" s="644"/>
      <c r="L8" s="644"/>
      <c r="M8" s="644"/>
      <c r="N8" s="644"/>
      <c r="O8" s="645"/>
    </row>
    <row r="9" spans="2:15">
      <c r="B9" s="615"/>
      <c r="H9" s="643"/>
      <c r="I9" s="644"/>
      <c r="J9" s="644"/>
      <c r="K9" s="644"/>
      <c r="L9" s="644"/>
      <c r="M9" s="644"/>
      <c r="N9" s="644"/>
      <c r="O9" s="645"/>
    </row>
    <row r="10" spans="2:15">
      <c r="B10" s="649" t="s">
        <v>9</v>
      </c>
      <c r="C10" s="649"/>
      <c r="D10" s="649"/>
      <c r="E10" s="649"/>
      <c r="H10" s="643"/>
      <c r="I10" s="644"/>
      <c r="J10" s="644"/>
      <c r="K10" s="644"/>
      <c r="L10" s="644"/>
      <c r="M10" s="644"/>
      <c r="N10" s="644"/>
      <c r="O10" s="645"/>
    </row>
    <row r="11" spans="2:15" ht="15" thickBot="1">
      <c r="B11" s="649" t="s">
        <v>10</v>
      </c>
      <c r="C11" s="649"/>
      <c r="D11" s="649"/>
      <c r="E11" s="649"/>
      <c r="H11" s="646"/>
      <c r="I11" s="647"/>
      <c r="J11" s="647"/>
      <c r="K11" s="647"/>
      <c r="L11" s="647"/>
      <c r="M11" s="647"/>
      <c r="N11" s="647"/>
      <c r="O11" s="648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38" t="s">
        <v>17</v>
      </c>
      <c r="C24" s="638"/>
      <c r="D24" s="638"/>
      <c r="E24" s="63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D1" zoomScale="55" zoomScaleNormal="55" workbookViewId="0">
      <selection activeCell="E21" sqref="E21:K2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9.81640625" style="26" bestFit="1" customWidth="1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30" t="s">
        <v>116</v>
      </c>
      <c r="J2" s="631"/>
      <c r="K2" s="588">
        <f>NETWORKDAYS(I20,K41,Data!C3:C60)</f>
        <v>46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30" t="s">
        <v>118</v>
      </c>
      <c r="J3" s="631"/>
      <c r="K3" s="588">
        <f>K2/5</f>
        <v>9.1999999999999993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30" t="s">
        <v>121</v>
      </c>
      <c r="J4" s="631"/>
      <c r="K4" s="589">
        <f>E3/K3</f>
        <v>86.956521739130437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34" t="s">
        <v>127</v>
      </c>
      <c r="C8" s="635" t="s">
        <v>128</v>
      </c>
      <c r="D8" s="126"/>
      <c r="E8" s="636" t="s">
        <v>129</v>
      </c>
      <c r="F8" s="148" t="s">
        <v>130</v>
      </c>
      <c r="G8" s="636" t="s">
        <v>131</v>
      </c>
      <c r="H8" s="149"/>
      <c r="I8" s="636" t="s">
        <v>132</v>
      </c>
      <c r="J8" s="148" t="s">
        <v>130</v>
      </c>
      <c r="K8" s="636" t="s">
        <v>133</v>
      </c>
      <c r="M8" s="585" t="s">
        <v>44</v>
      </c>
      <c r="N8" s="586" t="s">
        <v>134</v>
      </c>
      <c r="O8" s="632" t="s">
        <v>135</v>
      </c>
      <c r="Z8" s="26"/>
      <c r="AA8" s="26"/>
      <c r="AB8" s="26"/>
    </row>
    <row r="9" spans="2:28">
      <c r="B9" s="634"/>
      <c r="C9" s="635"/>
      <c r="D9" s="126"/>
      <c r="E9" s="636"/>
      <c r="F9" s="40">
        <f>G41-E21</f>
        <v>69</v>
      </c>
      <c r="G9" s="636"/>
      <c r="H9" s="149"/>
      <c r="I9" s="636"/>
      <c r="J9" s="41">
        <f>K41-I21</f>
        <v>69</v>
      </c>
      <c r="K9" s="636"/>
      <c r="M9" s="265">
        <f ca="1">AVERAGE(M11,M20,M23,M30,M37,M41,M50,M46)</f>
        <v>4.4642857142857144E-2</v>
      </c>
      <c r="N9" s="265">
        <f ca="1">AVERAGE(N11,N20,N23,N30,N37,N41,N50,N46)</f>
        <v>4.4318181818181819E-2</v>
      </c>
      <c r="O9" s="633"/>
      <c r="S9" s="587">
        <f ca="1">TODAY()</f>
        <v>46076</v>
      </c>
      <c r="T9" s="587">
        <f ca="1">TODAY()</f>
        <v>46076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0.35454545454545455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0.48181818181818181</v>
      </c>
      <c r="O14" s="36"/>
      <c r="Q14" s="1"/>
      <c r="S14" s="537" t="str">
        <f>C20</f>
        <v>Site Establishment</v>
      </c>
      <c r="T14" s="539">
        <f>I20</f>
        <v>46106</v>
      </c>
      <c r="U14" s="540">
        <f>J20</f>
        <v>1</v>
      </c>
      <c r="V14" s="539">
        <f>K20</f>
        <v>46107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46107</v>
      </c>
      <c r="U15" s="540">
        <f>J23</f>
        <v>53</v>
      </c>
      <c r="V15" s="539">
        <f>K23</f>
        <v>46160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ca="1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46106</v>
      </c>
      <c r="U16" s="540">
        <f>J30</f>
        <v>57</v>
      </c>
      <c r="V16" s="539">
        <f>K30</f>
        <v>46163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ca="1">_xlfn.LET(
  _xlpm.s,VALUE($I17),
  _xlpm.e,VALUE($K17),
  IF(OR(_xlpm.s="",_xlpm.e=""),"", IF(_xlpm.e&lt;=_xlpm.s, IF(TODAY()&gt;=_xlpm.e,1,0), MAX(0,MIN(1,(TODAY()-_xlpm.s)/(_xlpm.e-_xlpm.s)))))
)</f>
        <v>0</v>
      </c>
      <c r="O17" s="36"/>
      <c r="Q17" s="1"/>
      <c r="S17" s="537" t="str">
        <f>C37</f>
        <v>Module installation</v>
      </c>
      <c r="T17" s="539">
        <f>I37</f>
        <v>46106</v>
      </c>
      <c r="U17" s="540">
        <f>J37</f>
        <v>36</v>
      </c>
      <c r="V17" s="539">
        <f>K37</f>
        <v>46142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ca="1">_xlfn.LET(
  _xlpm.s,VALUE($I18),
  _xlpm.e,VALUE($K18),
  IF(OR(_xlpm.s="",_xlpm.e=""),"", IF(_xlpm.e&lt;=_xlpm.s, IF(TODAY()&gt;=_xlpm.e,1,0), MAX(0,MIN(1,(TODAY()-_xlpm.s)/(_xlpm.e-_xlpm.s)))))
)</f>
        <v>0</v>
      </c>
      <c r="O18" s="36"/>
      <c r="Q18" s="1"/>
      <c r="S18" s="537" t="str">
        <f>C41</f>
        <v>Commissioning</v>
      </c>
      <c r="T18" s="539">
        <f>I41</f>
        <v>46163</v>
      </c>
      <c r="U18" s="540">
        <f>J41</f>
        <v>12</v>
      </c>
      <c r="V18" s="539">
        <f>K41</f>
        <v>46175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46168</v>
      </c>
      <c r="U19" s="540">
        <f>J46</f>
        <v>8</v>
      </c>
      <c r="V19" s="539">
        <f>K46</f>
        <v>46176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46106</v>
      </c>
      <c r="F20" s="573">
        <f>G20-E20</f>
        <v>1</v>
      </c>
      <c r="G20" s="572">
        <f>MAX(G21:G22)</f>
        <v>46107</v>
      </c>
      <c r="H20" s="574"/>
      <c r="I20" s="572">
        <f>MIN(I21:I22)</f>
        <v>46106</v>
      </c>
      <c r="J20" s="573">
        <f>K20-I20</f>
        <v>1</v>
      </c>
      <c r="K20" s="572">
        <f>MAX(K21:K22)</f>
        <v>46107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46171</v>
      </c>
      <c r="U20" s="540">
        <f>J50</f>
        <v>19</v>
      </c>
      <c r="V20" s="539">
        <f>K50</f>
        <v>46190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v>46106</v>
      </c>
      <c r="F21" s="578">
        <v>1</v>
      </c>
      <c r="G21" s="577">
        <f>E21+F21</f>
        <v>46107</v>
      </c>
      <c r="H21" s="579"/>
      <c r="I21" s="577">
        <v>46106</v>
      </c>
      <c r="J21" s="578">
        <v>1</v>
      </c>
      <c r="K21" s="577">
        <f>I21+J21</f>
        <v>46107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46107</v>
      </c>
      <c r="F23" s="573">
        <f>G23-E23</f>
        <v>53</v>
      </c>
      <c r="G23" s="572">
        <f>MAX(G24:G29)</f>
        <v>46160</v>
      </c>
      <c r="H23" s="582"/>
      <c r="I23" s="572">
        <f>MIN(I24:I29)</f>
        <v>46107</v>
      </c>
      <c r="J23" s="573">
        <f>K23-I23</f>
        <v>53</v>
      </c>
      <c r="K23" s="572">
        <f>MAX(K24:K29)</f>
        <v>46160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46107</v>
      </c>
      <c r="F24" s="578">
        <v>1</v>
      </c>
      <c r="G24" s="577">
        <f>WORKDAY.INTL(E24,F24,1,Data!$C$3:$C$60)</f>
        <v>46108</v>
      </c>
      <c r="H24" s="579"/>
      <c r="I24" s="577">
        <f>WORKDAY.INTL(K21,0,1,Data!$C$3:$C$60)</f>
        <v>46107</v>
      </c>
      <c r="J24" s="578">
        <v>1</v>
      </c>
      <c r="K24" s="577">
        <f>WORKDAY.INTL(I24,J24,1,Data!$C$3:$C$60)</f>
        <v>46108</v>
      </c>
      <c r="L24" s="77"/>
      <c r="M24" s="580">
        <v>0</v>
      </c>
      <c r="N24" s="580">
        <f ca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46108</v>
      </c>
      <c r="F25" s="578">
        <v>1</v>
      </c>
      <c r="G25" s="577">
        <f>WORKDAY.INTL(E25,F25,1,Data!$C$3:$C$60)</f>
        <v>46111</v>
      </c>
      <c r="H25" s="579"/>
      <c r="I25" s="577">
        <f>WORKDAY.INTL(K24,0,1,Data!$C$3:$C$60)</f>
        <v>46108</v>
      </c>
      <c r="J25" s="578">
        <v>1</v>
      </c>
      <c r="K25" s="577">
        <f>WORKDAY.INTL(I25,J25,1,Data!$C$3:$C$60)</f>
        <v>46111</v>
      </c>
      <c r="L25" s="77"/>
      <c r="M25" s="580">
        <v>0</v>
      </c>
      <c r="N25" s="580">
        <f ca="1">_xlfn.LET(
  _xlpm.s,VALUE($I25),
  _xlpm.e,VALUE($K25),
  IF(OR(_xlpm.s="",_xlpm.e=""),"", IF(_xlpm.e&lt;=_xlpm.s, IF(TODAY()&gt;=_xlpm.e,1,0), MAX(0,MIN(1,(TODAY()-_xlpm.s)/(_xlpm.e-_xlpm.s)))))
)</f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ca="1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46107</v>
      </c>
      <c r="F27" s="578">
        <v>15</v>
      </c>
      <c r="G27" s="577">
        <f>WORKDAY.INTL(E27,F27,1,Data!$C$3:$C$60)</f>
        <v>46132</v>
      </c>
      <c r="H27" s="579"/>
      <c r="I27" s="577">
        <f>I24</f>
        <v>46107</v>
      </c>
      <c r="J27" s="578">
        <v>15</v>
      </c>
      <c r="K27" s="577">
        <f>WORKDAY.INTL(I27,J27,1,Data!$C$3:$C$60)</f>
        <v>46132</v>
      </c>
      <c r="L27" s="77"/>
      <c r="M27" s="580">
        <v>0</v>
      </c>
      <c r="N27" s="580">
        <f ca="1">_xlfn.LET(
  _xlpm.s,VALUE($I27),
  _xlpm.e,VALUE($K27),
  IF(OR(_xlpm.s="",_xlpm.e=""),"", IF(_xlpm.e&lt;=_xlpm.s, IF(TODAY()&gt;=_xlpm.e,1,0), MAX(0,MIN(1,(TODAY()-_xlpm.s)/(_xlpm.e-_xlpm.s)))))
)</f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46107</v>
      </c>
      <c r="F28" s="578">
        <v>1</v>
      </c>
      <c r="G28" s="577">
        <f>WORKDAY.INTL(E28,F28,1,Data!$C$3:$C$60)</f>
        <v>46108</v>
      </c>
      <c r="H28" s="579"/>
      <c r="I28" s="577">
        <f>WORKDAY.INTL(I27,0,1,Data!$C$3:$C$60)</f>
        <v>46107</v>
      </c>
      <c r="J28" s="578">
        <v>1</v>
      </c>
      <c r="K28" s="577">
        <f>WORKDAY.INTL(I28,J28,1,Data!$C$3:$C$60)</f>
        <v>46108</v>
      </c>
      <c r="L28" s="77"/>
      <c r="M28" s="580">
        <v>0</v>
      </c>
      <c r="N28" s="580">
        <f ca="1">_xlfn.LET(
  _xlpm.s,VALUE($I28),
  _xlpm.e,VALUE($K28),
  IF(OR(_xlpm.s="",_xlpm.e=""),"", IF(_xlpm.e&lt;=_xlpm.s, IF(TODAY()&gt;=_xlpm.e,1,0), MAX(0,MIN(1,(TODAY()-_xlpm.s)/(_xlpm.e-_xlpm.s)))))
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46106</v>
      </c>
      <c r="F30" s="573">
        <f>G30-E30</f>
        <v>57</v>
      </c>
      <c r="G30" s="572">
        <f>MAX(G32:G36)</f>
        <v>46163</v>
      </c>
      <c r="H30" s="582"/>
      <c r="I30" s="572">
        <f>MIN(I32:I36)</f>
        <v>46106</v>
      </c>
      <c r="J30" s="573">
        <f>K30-I30</f>
        <v>57</v>
      </c>
      <c r="K30" s="572">
        <f>MAX(K32:K36)</f>
        <v>46163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46106</v>
      </c>
      <c r="F32" s="578">
        <v>1</v>
      </c>
      <c r="G32" s="577">
        <f>WORKDAY.INTL(E32,F32,1,Data!$C$3:$C$60)</f>
        <v>46107</v>
      </c>
      <c r="H32" s="579"/>
      <c r="I32" s="577">
        <f>I21</f>
        <v>46106</v>
      </c>
      <c r="J32" s="578">
        <v>1</v>
      </c>
      <c r="K32" s="577">
        <f>WORKDAY.INTL(I32,J32,1,Data!$C$3:$C$60)</f>
        <v>46107</v>
      </c>
      <c r="L32" s="77"/>
      <c r="M32" s="580">
        <v>0</v>
      </c>
      <c r="N32" s="580">
        <f ca="1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171</v>
      </c>
      <c r="C33" s="158" t="s">
        <v>172</v>
      </c>
      <c r="D33" s="126"/>
      <c r="E33" s="577">
        <f>WORKDAY.INTL(G32,0,1,Data!$C$3:$C$60)</f>
        <v>46107</v>
      </c>
      <c r="F33" s="578">
        <v>5</v>
      </c>
      <c r="G33" s="577">
        <f>WORKDAY.INTL(E33,F33,1,Data!$C$3:$C$60)</f>
        <v>46114</v>
      </c>
      <c r="H33" s="579"/>
      <c r="I33" s="577">
        <f>WORKDAY.INTL(K32,0,1,Data!$C$3:$C$60)</f>
        <v>46107</v>
      </c>
      <c r="J33" s="578">
        <v>5</v>
      </c>
      <c r="K33" s="577">
        <f>WORKDAY.INTL(I33,J33,1,Data!$C$3:$C$60)</f>
        <v>46114</v>
      </c>
      <c r="L33" s="77"/>
      <c r="M33" s="580">
        <v>0</v>
      </c>
      <c r="N33" s="580">
        <f ca="1">_xlfn.LET(
  _xlpm.s,VALUE($I33),
  _xlpm.e,VALUE($K33),
  IF(OR(_xlpm.s="",_xlpm.e=""),"", IF(_xlpm.e&lt;=_xlpm.s, IF(TODAY()&gt;=_xlpm.e,1,0), MAX(0,MIN(1,(TODAY()-_xlpm.s)/(_xlpm.e-_xlpm.s)))))
)</f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46106</v>
      </c>
      <c r="F34" s="578">
        <v>1</v>
      </c>
      <c r="G34" s="577">
        <f>WORKDAY.INTL(E34,F34,1,Data!$C$3:$C$60)</f>
        <v>46107</v>
      </c>
      <c r="H34" s="579"/>
      <c r="I34" s="577">
        <f>I32</f>
        <v>46106</v>
      </c>
      <c r="J34" s="578">
        <v>1</v>
      </c>
      <c r="K34" s="577">
        <f>WORKDAY.INTL(I34,J34,1,Data!$C$3:$C$60)</f>
        <v>46107</v>
      </c>
      <c r="L34" s="77"/>
      <c r="M34" s="580">
        <v>0</v>
      </c>
      <c r="N34" s="580">
        <f ca="1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46139</v>
      </c>
      <c r="F35" s="578">
        <v>17</v>
      </c>
      <c r="G35" s="583">
        <f>WORKDAY.INTL(E35,F35,1,Data!$C$3:$C$60)</f>
        <v>46163</v>
      </c>
      <c r="H35" s="579"/>
      <c r="I35" s="583">
        <f>WORKDAY.INTL(K39,0,1,Data!$C$3:$C$60)-3</f>
        <v>46139</v>
      </c>
      <c r="J35" s="578">
        <v>17</v>
      </c>
      <c r="K35" s="583">
        <f>WORKDAY.INTL(I35,J35,1,Data!$C$3:$C$60)</f>
        <v>46163</v>
      </c>
      <c r="L35" s="77"/>
      <c r="M35" s="580">
        <v>0</v>
      </c>
      <c r="N35" s="580">
        <f ca="1">_xlfn.LET(
  _xlpm.s,VALUE($I35),
  _xlpm.e,VALUE($K35),
  IF(OR(_xlpm.s="",_xlpm.e=""),"", IF(_xlpm.e&lt;=_xlpm.s, IF(TODAY()&gt;=_xlpm.e,1,0), MAX(0,MIN(1,(TODAY()-_xlpm.s)/(_xlpm.e-_xlpm.s)))))
)</f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46106</v>
      </c>
      <c r="F37" s="573">
        <f>G37-E37</f>
        <v>36</v>
      </c>
      <c r="G37" s="572">
        <f>MAX(G38:G40)</f>
        <v>46142</v>
      </c>
      <c r="H37" s="574"/>
      <c r="I37" s="572">
        <f>MIN(I38:I40)</f>
        <v>46106</v>
      </c>
      <c r="J37" s="573">
        <f>K37-I37</f>
        <v>36</v>
      </c>
      <c r="K37" s="572">
        <f>MAX(K38:K40)</f>
        <v>46142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46106</v>
      </c>
      <c r="F38" s="578">
        <v>1</v>
      </c>
      <c r="G38" s="577">
        <f>WORKDAY.INTL(E38,F38,1,Data!$C$3:$C$60)</f>
        <v>46107</v>
      </c>
      <c r="H38" s="579"/>
      <c r="I38" s="583">
        <f>WORKDAY.INTL(I21,0,1,Data!$C$3:$C$60)</f>
        <v>46106</v>
      </c>
      <c r="J38" s="578">
        <v>1</v>
      </c>
      <c r="K38" s="577">
        <f>WORKDAY.INTL(I38,J38,1,Data!$C$3:$C$60)</f>
        <v>46107</v>
      </c>
      <c r="L38" s="77"/>
      <c r="M38" s="580">
        <v>0</v>
      </c>
      <c r="N38" s="580">
        <f ca="1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v>46120</v>
      </c>
      <c r="F39" s="578">
        <v>15</v>
      </c>
      <c r="G39" s="577">
        <f>WORKDAY.INTL(E39,F39,1,Data!$C$3:$C$60)</f>
        <v>46142</v>
      </c>
      <c r="H39" s="579"/>
      <c r="I39" s="583">
        <v>46120</v>
      </c>
      <c r="J39" s="578">
        <v>15</v>
      </c>
      <c r="K39" s="577">
        <f>WORKDAY.INTL(I39,J39,1,Data!$C$3:$C$60)</f>
        <v>46142</v>
      </c>
      <c r="L39" s="77"/>
      <c r="M39" s="580">
        <v>0</v>
      </c>
      <c r="N39" s="580">
        <f ca="1">_xlfn.LET(
  _xlpm.s,VALUE($I39),
  _xlpm.e,VALUE($K39),
  IF(OR(_xlpm.s="",_xlpm.e=""),"", IF(_xlpm.e&lt;=_xlpm.s, IF(TODAY()&gt;=_xlpm.e,1,0), MAX(0,MIN(1,(TODAY()-_xlpm.s)/(_xlpm.e-_xlpm.s)))))
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46163</v>
      </c>
      <c r="F41" s="573">
        <f>G41-E41</f>
        <v>12</v>
      </c>
      <c r="G41" s="572">
        <f>MAX(G42:G45)</f>
        <v>46175</v>
      </c>
      <c r="H41" s="574"/>
      <c r="I41" s="572">
        <f>MIN(I42:I45)</f>
        <v>46163</v>
      </c>
      <c r="J41" s="573">
        <f>K41-I41</f>
        <v>12</v>
      </c>
      <c r="K41" s="572">
        <f>MAX(K42:K45)</f>
        <v>46175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v>46163</v>
      </c>
      <c r="F42" s="578">
        <v>2</v>
      </c>
      <c r="G42" s="583">
        <f>WORKDAY.INTL(E42,F42,1,Data!$C$3:$C$60)</f>
        <v>46167</v>
      </c>
      <c r="H42" s="579"/>
      <c r="I42" s="583">
        <v>46163</v>
      </c>
      <c r="J42" s="578">
        <v>2</v>
      </c>
      <c r="K42" s="583">
        <f>WORKDAY.INTL(I42,J42,1,Data!$C$3:$C$60)</f>
        <v>46167</v>
      </c>
      <c r="L42" s="77"/>
      <c r="M42" s="580">
        <v>0</v>
      </c>
      <c r="N42" s="580">
        <f ca="1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46167</v>
      </c>
      <c r="F43" s="578">
        <v>1</v>
      </c>
      <c r="G43" s="583">
        <f>WORKDAY.INTL(E43,F43,1,Data!$C$3:$C$60)</f>
        <v>46168</v>
      </c>
      <c r="H43" s="579"/>
      <c r="I43" s="583">
        <f>WORKDAY.INTL(K42,0,1,Data!$C$3:$C$60)</f>
        <v>46167</v>
      </c>
      <c r="J43" s="578">
        <v>1</v>
      </c>
      <c r="K43" s="583">
        <f>WORKDAY.INTL(I43,J43,1,Data!$C$3:$C$60)</f>
        <v>46168</v>
      </c>
      <c r="L43" s="77"/>
      <c r="M43" s="580">
        <v>0</v>
      </c>
      <c r="N43" s="580">
        <f ca="1">_xlfn.LET(
  _xlpm.s,VALUE($I43),
  _xlpm.e,VALUE($K43),
  IF(OR(_xlpm.s="",_xlpm.e=""),"", IF(_xlpm.e&lt;=_xlpm.s, IF(TODAY()&gt;=_xlpm.e,1,0), MAX(0,MIN(1,(TODAY()-_xlpm.s)/(_xlpm.e-_xlpm.s)))))
)</f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46168</v>
      </c>
      <c r="F44" s="578">
        <v>5</v>
      </c>
      <c r="G44" s="583">
        <f>WORKDAY.INTL(E44,F44,1,Data!$C$3:$C$60)</f>
        <v>46175</v>
      </c>
      <c r="H44" s="579"/>
      <c r="I44" s="583">
        <f>WORKDAY.INTL(K43,0,1,Data!$C$3:$C$60)</f>
        <v>46168</v>
      </c>
      <c r="J44" s="578">
        <v>5</v>
      </c>
      <c r="K44" s="583">
        <f>WORKDAY.INTL(I44,J44,1,Data!$C$3:$C$60)</f>
        <v>46175</v>
      </c>
      <c r="L44" s="77"/>
      <c r="M44" s="580">
        <v>0</v>
      </c>
      <c r="N44" s="580">
        <f ca="1">_xlfn.LET(
  _xlpm.s,VALUE($I44),
  _xlpm.e,VALUE($K44),
  IF(OR(_xlpm.s="",_xlpm.e=""),"", IF(_xlpm.e&lt;=_xlpm.s, IF(TODAY()&gt;=_xlpm.e,1,0), MAX(0,MIN(1,(TODAY()-_xlpm.s)/(_xlpm.e-_xlpm.s)))))
)</f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46168</v>
      </c>
      <c r="F46" s="573">
        <f>G46-E46</f>
        <v>8</v>
      </c>
      <c r="G46" s="572">
        <f>MAX(G47:G49)</f>
        <v>46176</v>
      </c>
      <c r="H46" s="574"/>
      <c r="I46" s="572">
        <f>MIN(I47:I49)</f>
        <v>46168</v>
      </c>
      <c r="J46" s="573">
        <f>K46-I46</f>
        <v>8</v>
      </c>
      <c r="K46" s="572">
        <f>MAX(K47:K49)</f>
        <v>46176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46168</v>
      </c>
      <c r="F47" s="578">
        <v>3</v>
      </c>
      <c r="G47" s="583">
        <f>WORKDAY.INTL(E47,F47,1,Data!$C$3:$C$60)</f>
        <v>46171</v>
      </c>
      <c r="H47" s="579"/>
      <c r="I47" s="583">
        <f>WORKDAY.INTL(I44,0,1,Data!$C$3:$C$60)</f>
        <v>46168</v>
      </c>
      <c r="J47" s="578">
        <v>3</v>
      </c>
      <c r="K47" s="583">
        <f>WORKDAY.INTL(I47,J47,1,Data!$C$3:$C$60)</f>
        <v>46171</v>
      </c>
      <c r="L47" s="77"/>
      <c r="M47" s="580">
        <v>0</v>
      </c>
      <c r="N47" s="580">
        <f ca="1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46171</v>
      </c>
      <c r="F48" s="578">
        <v>3</v>
      </c>
      <c r="G48" s="583">
        <f>WORKDAY.INTL(E48,F48,1,Data!$C$3:$C$60)</f>
        <v>46176</v>
      </c>
      <c r="H48" s="579"/>
      <c r="I48" s="583">
        <f>K47</f>
        <v>46171</v>
      </c>
      <c r="J48" s="578">
        <v>3</v>
      </c>
      <c r="K48" s="583">
        <f>WORKDAY.INTL(I48,J48,1,Data!$C$3:$C$60)</f>
        <v>46176</v>
      </c>
      <c r="L48" s="77"/>
      <c r="M48" s="580">
        <v>0</v>
      </c>
      <c r="N48" s="580">
        <f ca="1">_xlfn.LET(
  _xlpm.s,VALUE($I48),
  _xlpm.e,VALUE($K48),
  IF(OR(_xlpm.s="",_xlpm.e=""),"", IF(_xlpm.e&lt;=_xlpm.s, IF(TODAY()&gt;=_xlpm.e,1,0), MAX(0,MIN(1,(TODAY()-_xlpm.s)/(_xlpm.e-_xlpm.s)))))
)</f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46171</v>
      </c>
      <c r="F50" s="573">
        <f>G50-E50</f>
        <v>19</v>
      </c>
      <c r="G50" s="572">
        <f>MAX(G51:G53)</f>
        <v>46190</v>
      </c>
      <c r="H50" s="574"/>
      <c r="I50" s="572">
        <f>MIN(I51:I53)</f>
        <v>46171</v>
      </c>
      <c r="J50" s="573">
        <f>K50-I50</f>
        <v>19</v>
      </c>
      <c r="K50" s="572">
        <f>MAX(K51:K53)</f>
        <v>46190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46171</v>
      </c>
      <c r="F51" s="578">
        <v>7</v>
      </c>
      <c r="G51" s="583">
        <f>WORKDAY.INTL(E51,F51,1,Data!$C$3:$C$60)</f>
        <v>46182</v>
      </c>
      <c r="H51" s="579"/>
      <c r="I51" s="583">
        <f>WORKDAY.INTL(I48,0,1,Data!$C$3:$C$60)</f>
        <v>46171</v>
      </c>
      <c r="J51" s="578">
        <v>7</v>
      </c>
      <c r="K51" s="583">
        <f>WORKDAY.INTL(I51,J51,1,Data!$C$3:$C$60)</f>
        <v>46182</v>
      </c>
      <c r="L51" s="77"/>
      <c r="M51" s="580">
        <v>0</v>
      </c>
      <c r="N51" s="580">
        <f ca="1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46182</v>
      </c>
      <c r="F52" s="578">
        <v>1</v>
      </c>
      <c r="G52" s="583">
        <f>WORKDAY.INTL(E52,F52,1,Data!$C$3:$C$60)</f>
        <v>46183</v>
      </c>
      <c r="H52" s="579"/>
      <c r="I52" s="583">
        <f>WORKDAY.INTL(K51,0,1,Data!$C$3:$C$60)</f>
        <v>46182</v>
      </c>
      <c r="J52" s="578">
        <v>1</v>
      </c>
      <c r="K52" s="583">
        <f>WORKDAY.INTL(I52,J52,1,Data!$C$3:$C$60)</f>
        <v>46183</v>
      </c>
      <c r="L52" s="77"/>
      <c r="M52" s="580">
        <v>0</v>
      </c>
      <c r="N52" s="580">
        <f ca="1">_xlfn.LET(
  _xlpm.s,VALUE($I52),
  _xlpm.e,VALUE($K52),
  IF(OR(_xlpm.s="",_xlpm.e=""),"", IF(_xlpm.e&lt;=_xlpm.s, IF(TODAY()&gt;=_xlpm.e,1,0), MAX(0,MIN(1,(TODAY()-_xlpm.s)/(_xlpm.e-_xlpm.s)))))
)</f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46182</v>
      </c>
      <c r="F53" s="578">
        <v>5</v>
      </c>
      <c r="G53" s="583">
        <f>WORKDAY.INTL(E53,F53,1,Data!$C$3:$C$60)</f>
        <v>46190</v>
      </c>
      <c r="H53" s="579"/>
      <c r="I53" s="583">
        <f>WORKDAY.INTL(K51,0,1,Data!$C$3:$C$60)</f>
        <v>46182</v>
      </c>
      <c r="J53" s="578">
        <v>5</v>
      </c>
      <c r="K53" s="583">
        <f>WORKDAY.INTL(I53,J53,1,Data!$C$3:$C$60)</f>
        <v>46190</v>
      </c>
      <c r="L53" s="77"/>
      <c r="M53" s="580">
        <v>0</v>
      </c>
      <c r="N53" s="580">
        <f ca="1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3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4357754.609519463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4357754.609519463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1607857.8853709651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0.26952100672782586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3">
      <c r="B13" s="590">
        <v>1</v>
      </c>
      <c r="C13" s="659" t="s">
        <v>223</v>
      </c>
      <c r="D13" s="660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46092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9" t="s">
        <v>224</v>
      </c>
      <c r="D14" s="660"/>
      <c r="E14" s="591">
        <v>0.3</v>
      </c>
      <c r="F14" s="592">
        <f t="shared" si="0"/>
        <v>1789683.7484671285</v>
      </c>
      <c r="G14" s="601"/>
      <c r="H14" s="594">
        <f>'Project Plan'!G38+7</f>
        <v>46114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46114</v>
      </c>
      <c r="R14" s="280"/>
      <c r="S14" s="53"/>
    </row>
    <row r="15" spans="1:41" s="24" customFormat="1" ht="12.5">
      <c r="B15" s="590">
        <v>3</v>
      </c>
      <c r="C15" s="659" t="s">
        <v>225</v>
      </c>
      <c r="D15" s="660"/>
      <c r="E15" s="591">
        <v>0.2</v>
      </c>
      <c r="F15" s="592">
        <f t="shared" si="0"/>
        <v>1193122.4989780856</v>
      </c>
      <c r="G15" s="601"/>
      <c r="H15" s="594">
        <f>'Project Plan'!G24+7</f>
        <v>46115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46115</v>
      </c>
      <c r="R15" s="280"/>
      <c r="S15" s="53"/>
    </row>
    <row r="16" spans="1:41" s="24" customFormat="1" ht="12.5">
      <c r="B16" s="590">
        <v>4</v>
      </c>
      <c r="C16" s="657" t="s">
        <v>185</v>
      </c>
      <c r="D16" s="658"/>
      <c r="E16" s="591">
        <v>0.1</v>
      </c>
      <c r="F16" s="592">
        <f t="shared" si="0"/>
        <v>596561.24948904279</v>
      </c>
      <c r="G16" s="601"/>
      <c r="H16" s="594">
        <f>'Project Plan'!G41+7</f>
        <v>46182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46182</v>
      </c>
      <c r="R16" s="280"/>
      <c r="S16" s="53"/>
    </row>
    <row r="17" spans="2:19" s="24" customFormat="1" ht="12.5">
      <c r="B17" s="590">
        <v>5</v>
      </c>
      <c r="C17" s="657" t="s">
        <v>226</v>
      </c>
      <c r="D17" s="658"/>
      <c r="E17" s="591">
        <v>0.05</v>
      </c>
      <c r="F17" s="592">
        <f t="shared" si="0"/>
        <v>298280.6247445214</v>
      </c>
      <c r="G17" s="601"/>
      <c r="H17" s="594">
        <f>'Project Plan'!G52+365</f>
        <v>46548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46548</v>
      </c>
      <c r="R17" s="280"/>
      <c r="S17" s="53"/>
    </row>
    <row r="18" spans="2:19" s="24" customFormat="1" ht="12.5">
      <c r="B18" s="590">
        <v>6</v>
      </c>
      <c r="C18" s="657" t="s">
        <v>227</v>
      </c>
      <c r="D18" s="658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9" t="s">
        <v>227</v>
      </c>
      <c r="D19" s="66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2.5">
      <c r="C24" s="59" t="s">
        <v>230</v>
      </c>
      <c r="D24" s="60"/>
      <c r="F24" s="61"/>
    </row>
    <row r="25" spans="2:19" s="24" customFormat="1" ht="12.5">
      <c r="C25" s="59" t="s">
        <v>231</v>
      </c>
      <c r="D25" s="60"/>
    </row>
    <row r="26" spans="2:19" s="24" customFormat="1" ht="12.5">
      <c r="C26" s="62" t="s">
        <v>232</v>
      </c>
      <c r="D26" s="63"/>
    </row>
    <row r="27" spans="2:19" s="24" customFormat="1" ht="12.5">
      <c r="C27" s="64" t="s">
        <v>233</v>
      </c>
      <c r="D27" s="60"/>
    </row>
    <row r="28" spans="2:19" s="24" customFormat="1" ht="12.5">
      <c r="B28" s="31"/>
      <c r="C28" s="64" t="s">
        <v>234</v>
      </c>
      <c r="D28" s="60"/>
    </row>
    <row r="29" spans="2:19" s="24" customFormat="1" ht="12.5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1"/>
      <c r="C4" s="661"/>
      <c r="D4" s="661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5" thickBot="1">
      <c r="A5" s="126"/>
      <c r="B5" s="662" t="s">
        <v>242</v>
      </c>
      <c r="C5" s="662"/>
      <c r="D5" s="662"/>
      <c r="E5" s="313"/>
      <c r="F5" s="133">
        <f>SUM(F9:F23)</f>
        <v>5125523.6760760862</v>
      </c>
      <c r="G5" s="128"/>
      <c r="H5" s="133">
        <f>SUM(H9:H23)</f>
        <v>4357754.609519463</v>
      </c>
      <c r="I5" s="126"/>
      <c r="J5" s="134">
        <f>SUM(J9:J23)</f>
        <v>767769.06655662332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117388</v>
      </c>
      <c r="I19" s="23"/>
      <c r="J19" s="143">
        <f t="shared" si="0"/>
        <v>22636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P1" zoomScale="62" zoomScaleNormal="100" workbookViewId="0">
      <pane ySplit="4" topLeftCell="A83" activePane="bottomLeft" state="frozen"/>
      <selection activeCell="X33" sqref="X33"/>
      <selection pane="bottomLeft" activeCell="S118" sqref="S118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40.36328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3" t="s">
        <v>248</v>
      </c>
      <c r="C2" s="664"/>
      <c r="D2" s="664"/>
      <c r="E2" s="664"/>
      <c r="F2" s="664"/>
      <c r="G2" s="664"/>
      <c r="H2" s="395"/>
      <c r="I2" s="162">
        <f>SUM(I6:I159)</f>
        <v>5125523.6760760862</v>
      </c>
      <c r="J2" s="162">
        <f>SUM(J6:J159)</f>
        <v>5965612.4948904272</v>
      </c>
      <c r="L2" s="665" t="s">
        <v>249</v>
      </c>
      <c r="M2" s="666"/>
      <c r="N2" s="666"/>
      <c r="O2" s="666"/>
      <c r="P2" s="666"/>
      <c r="Q2" s="666"/>
      <c r="R2" s="673" t="s">
        <v>250</v>
      </c>
      <c r="S2" s="674"/>
      <c r="T2" s="674"/>
      <c r="U2" s="674"/>
      <c r="V2" s="674"/>
      <c r="W2" s="675"/>
      <c r="X2" s="162">
        <f>SUM(X6:X159)</f>
        <v>4357754.609519463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46166</v>
      </c>
      <c r="I6" s="667">
        <f>SUM(G6:G11)</f>
        <v>1856118.1600000001</v>
      </c>
      <c r="J6" s="670">
        <f>F160</f>
        <v>2183668.4235294121</v>
      </c>
      <c r="K6" s="289"/>
      <c r="L6" s="185">
        <v>1</v>
      </c>
      <c r="M6" s="316" t="s">
        <v>267</v>
      </c>
      <c r="N6" s="186" t="s">
        <v>268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82">
        <f>J6-SUM(U6:U11)</f>
        <v>0</v>
      </c>
      <c r="W6" s="453">
        <f>'Project Plan'!I38+60</f>
        <v>46166</v>
      </c>
      <c r="X6" s="667">
        <f>SUM(Q6:Q11)</f>
        <v>1600840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68"/>
      <c r="J7" s="671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3"/>
      <c r="W7" s="454"/>
      <c r="X7" s="66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8"/>
      <c r="J8" s="671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3"/>
      <c r="W8" s="454"/>
      <c r="X8" s="66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8"/>
      <c r="J9" s="671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3"/>
      <c r="W9" s="455"/>
      <c r="X9" s="66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8"/>
      <c r="J10" s="671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3"/>
      <c r="W10" s="455"/>
      <c r="X10" s="66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9"/>
      <c r="J11" s="672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4"/>
      <c r="W11" s="456"/>
      <c r="X11" s="669"/>
      <c r="Y11" s="607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272</v>
      </c>
      <c r="Z12" s="488">
        <f>G52</f>
        <v>639916.75217391306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490000</v>
      </c>
      <c r="H13" s="555">
        <f>'Project Plan'!E24+60</f>
        <v>46167</v>
      </c>
      <c r="I13" s="676">
        <f>SUM(G13:G19)</f>
        <v>490000</v>
      </c>
      <c r="J13" s="679">
        <f>F161</f>
        <v>576470.5882352941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5">
        <f>J13-SUM(U13:U19)</f>
        <v>0</v>
      </c>
      <c r="W13" s="458"/>
      <c r="X13" s="676">
        <f>SUM(Q13:Q19)</f>
        <v>476000</v>
      </c>
      <c r="Y13" s="608" t="s">
        <v>276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7"/>
      <c r="J14" s="680"/>
      <c r="K14" s="205"/>
      <c r="L14" s="202">
        <v>2</v>
      </c>
      <c r="M14" s="325" t="s">
        <v>275</v>
      </c>
      <c r="N14" s="309" t="s">
        <v>277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86"/>
      <c r="W14" s="459">
        <f>W6</f>
        <v>46166</v>
      </c>
      <c r="X14" s="677"/>
      <c r="Y14" s="608" t="s">
        <v>278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7"/>
      <c r="J15" s="680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6"/>
      <c r="W15" s="459"/>
      <c r="X15" s="677"/>
      <c r="Y15" s="608" t="s">
        <v>279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7"/>
      <c r="J16" s="680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6"/>
      <c r="W16" s="459"/>
      <c r="X16" s="677"/>
      <c r="Y16" s="608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7"/>
      <c r="J17" s="680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6"/>
      <c r="W17" s="459"/>
      <c r="X17" s="677"/>
      <c r="Y17" s="608" t="s">
        <v>281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7"/>
      <c r="J18" s="680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6"/>
      <c r="W18" s="459"/>
      <c r="X18" s="677"/>
      <c r="Y18" s="608" t="s">
        <v>282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8"/>
      <c r="J19" s="681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7"/>
      <c r="W19" s="460"/>
      <c r="X19" s="678"/>
      <c r="Y19" s="608" t="s">
        <v>283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320128</v>
      </c>
      <c r="H21" s="543">
        <f>'Project Plan'!E32+30</f>
        <v>46136</v>
      </c>
      <c r="I21" s="667">
        <f>SUM(G21:G26)</f>
        <v>320128</v>
      </c>
      <c r="J21" s="670">
        <f>F162</f>
        <v>376621.17647058825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2">
        <f>J21-SUM(U21:U26)</f>
        <v>0</v>
      </c>
      <c r="W21" s="461">
        <f>T21+30</f>
        <v>46172</v>
      </c>
      <c r="X21" s="667">
        <f>SUM(Q21:Q26)</f>
        <v>280000</v>
      </c>
      <c r="Y21" s="608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8"/>
      <c r="J22" s="671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3"/>
      <c r="W22" s="454"/>
      <c r="X22" s="668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8"/>
      <c r="J23" s="671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3"/>
      <c r="W23" s="454"/>
      <c r="X23" s="668"/>
      <c r="Y23" s="608" t="s">
        <v>290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8"/>
      <c r="J24" s="671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3"/>
      <c r="W24" s="455"/>
      <c r="X24" s="668"/>
      <c r="Y24" s="609" t="s">
        <v>291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8"/>
      <c r="J25" s="671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3"/>
      <c r="W25" s="455"/>
      <c r="X25" s="66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9"/>
      <c r="J26" s="672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4"/>
      <c r="W26" s="456"/>
      <c r="X26" s="669"/>
      <c r="Y26" s="610" t="s">
        <v>206</v>
      </c>
      <c r="Z26" s="492" t="s">
        <v>292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18150</v>
      </c>
      <c r="F28" s="355"/>
      <c r="G28" s="200">
        <v>254100</v>
      </c>
      <c r="H28" s="555">
        <f>'Project Plan'!E34+60</f>
        <v>46166</v>
      </c>
      <c r="I28" s="676">
        <f>SUM(G28:G42)</f>
        <v>635424.19999999995</v>
      </c>
      <c r="J28" s="679">
        <f>F163</f>
        <v>747557.88235294109</v>
      </c>
      <c r="K28" s="201"/>
      <c r="L28" s="197">
        <v>4</v>
      </c>
      <c r="M28" s="324" t="s">
        <v>294</v>
      </c>
      <c r="N28" s="198" t="s">
        <v>295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5">
        <f>J28-SUM(U28:U42)</f>
        <v>0</v>
      </c>
      <c r="W28" s="458">
        <f>W6</f>
        <v>46166</v>
      </c>
      <c r="X28" s="676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381324.19999999995</v>
      </c>
      <c r="H29" s="546">
        <f>'Project Plan'!G30</f>
        <v>46163</v>
      </c>
      <c r="I29" s="677"/>
      <c r="J29" s="680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6"/>
      <c r="W29" s="459"/>
      <c r="X29" s="677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7"/>
      <c r="J30" s="680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6"/>
      <c r="W30" s="459"/>
      <c r="X30" s="677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7"/>
      <c r="J31" s="680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6"/>
      <c r="W31" s="459"/>
      <c r="X31" s="677"/>
      <c r="Y31" s="611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7"/>
      <c r="J32" s="680"/>
      <c r="K32" s="205"/>
      <c r="L32" s="202">
        <v>4</v>
      </c>
      <c r="M32" s="325" t="s">
        <v>294</v>
      </c>
      <c r="N32" s="309" t="s">
        <v>298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1"/>
      <c r="S32" s="506"/>
      <c r="T32" s="416">
        <f>T90</f>
        <v>46112</v>
      </c>
      <c r="U32" s="401">
        <f t="shared" si="4"/>
        <v>40107.990252033189</v>
      </c>
      <c r="V32" s="686"/>
      <c r="W32" s="459">
        <f>W90</f>
        <v>46099</v>
      </c>
      <c r="X32" s="677"/>
      <c r="Y32" s="611" t="s">
        <v>299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7"/>
      <c r="J33" s="680"/>
      <c r="K33" s="205"/>
      <c r="L33" s="202">
        <v>4</v>
      </c>
      <c r="M33" s="325" t="s">
        <v>294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92"/>
      <c r="S33" s="506"/>
      <c r="T33" s="416">
        <f t="shared" ref="T33:T39" si="8">T91</f>
        <v>46112</v>
      </c>
      <c r="U33" s="401">
        <f t="shared" si="4"/>
        <v>60161.985378049772</v>
      </c>
      <c r="V33" s="686"/>
      <c r="W33" s="459">
        <f t="shared" ref="W33:W39" si="9">W91</f>
        <v>46106</v>
      </c>
      <c r="X33" s="677"/>
      <c r="Y33" s="611" t="s">
        <v>300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7"/>
      <c r="J34" s="680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64825.113999999994</v>
      </c>
      <c r="R34" s="692"/>
      <c r="S34" s="506"/>
      <c r="T34" s="416">
        <f t="shared" si="8"/>
        <v>46173</v>
      </c>
      <c r="U34" s="401">
        <f t="shared" si="4"/>
        <v>80215.980504066378</v>
      </c>
      <c r="V34" s="686"/>
      <c r="W34" s="459">
        <f t="shared" si="9"/>
        <v>46167</v>
      </c>
      <c r="X34" s="677"/>
      <c r="Y34" s="611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7"/>
      <c r="J35" s="680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81031.392499999987</v>
      </c>
      <c r="R35" s="692"/>
      <c r="S35" s="506"/>
      <c r="T35" s="416">
        <f t="shared" si="8"/>
        <v>46173</v>
      </c>
      <c r="U35" s="401">
        <f t="shared" si="4"/>
        <v>100269.97563008295</v>
      </c>
      <c r="V35" s="686"/>
      <c r="W35" s="459">
        <f t="shared" si="9"/>
        <v>46170</v>
      </c>
      <c r="X35" s="677"/>
      <c r="Y35" s="611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7"/>
      <c r="J36" s="680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32412.556999999997</v>
      </c>
      <c r="R36" s="692"/>
      <c r="S36" s="506"/>
      <c r="T36" s="416">
        <f t="shared" si="8"/>
        <v>46203</v>
      </c>
      <c r="U36" s="401">
        <f t="shared" si="4"/>
        <v>40107.990252033189</v>
      </c>
      <c r="V36" s="686"/>
      <c r="W36" s="459">
        <f t="shared" si="9"/>
        <v>46182</v>
      </c>
      <c r="X36" s="677"/>
      <c r="Y36" s="611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7"/>
      <c r="J37" s="680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32412.556999999997</v>
      </c>
      <c r="R37" s="692"/>
      <c r="S37" s="506"/>
      <c r="T37" s="416">
        <f t="shared" si="8"/>
        <v>46203</v>
      </c>
      <c r="U37" s="401">
        <f t="shared" si="4"/>
        <v>40107.990252033189</v>
      </c>
      <c r="V37" s="686"/>
      <c r="W37" s="459">
        <f t="shared" si="9"/>
        <v>46183</v>
      </c>
      <c r="X37" s="677"/>
      <c r="Y37" s="611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7"/>
      <c r="J38" s="680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16206.278499999999</v>
      </c>
      <c r="R38" s="692"/>
      <c r="S38" s="506"/>
      <c r="T38" s="416">
        <f t="shared" si="8"/>
        <v>46203</v>
      </c>
      <c r="U38" s="401">
        <f t="shared" si="4"/>
        <v>20053.995126016594</v>
      </c>
      <c r="V38" s="686"/>
      <c r="W38" s="459">
        <f t="shared" si="9"/>
        <v>46183</v>
      </c>
      <c r="X38" s="677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7"/>
      <c r="J39" s="680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16206.278499999999</v>
      </c>
      <c r="R39" s="693"/>
      <c r="S39" s="506"/>
      <c r="T39" s="416">
        <f t="shared" si="8"/>
        <v>46234</v>
      </c>
      <c r="U39" s="401">
        <f t="shared" si="4"/>
        <v>20053.995126016594</v>
      </c>
      <c r="V39" s="686"/>
      <c r="W39" s="459">
        <f t="shared" si="9"/>
        <v>46206</v>
      </c>
      <c r="X39" s="677"/>
      <c r="Y39" s="612" t="s">
        <v>291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7"/>
      <c r="J40" s="680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6"/>
      <c r="W40" s="459"/>
      <c r="X40" s="67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7"/>
      <c r="J41" s="680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6"/>
      <c r="W41" s="459"/>
      <c r="X41" s="67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8"/>
      <c r="J42" s="681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7"/>
      <c r="W42" s="460"/>
      <c r="X42" s="678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3">
        <f>H52</f>
        <v>46190</v>
      </c>
      <c r="I44" s="667">
        <f>D165</f>
        <v>174000</v>
      </c>
      <c r="J44" s="670">
        <f>F165</f>
        <v>204705.88235294117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82">
        <f>J44-SUM(U44:U50)</f>
        <v>0</v>
      </c>
      <c r="W44" s="461">
        <f>W14</f>
        <v>46166</v>
      </c>
      <c r="X44" s="667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46190</v>
      </c>
      <c r="I45" s="668"/>
      <c r="J45" s="671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83"/>
      <c r="W45" s="454">
        <f>T45+30</f>
        <v>46172</v>
      </c>
      <c r="X45" s="668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46190</v>
      </c>
      <c r="I46" s="668"/>
      <c r="J46" s="671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83"/>
      <c r="W46" s="454">
        <f>W45</f>
        <v>46172</v>
      </c>
      <c r="X46" s="668"/>
    </row>
    <row r="47" spans="1:26" ht="14.25" customHeight="1">
      <c r="B47" s="215">
        <v>5</v>
      </c>
      <c r="C47" s="216"/>
      <c r="D47" s="217" t="s">
        <v>313</v>
      </c>
      <c r="E47" s="218"/>
      <c r="F47" s="357"/>
      <c r="G47" s="219">
        <v>125000</v>
      </c>
      <c r="H47" s="542">
        <f>H46</f>
        <v>46190</v>
      </c>
      <c r="I47" s="668"/>
      <c r="J47" s="671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3"/>
      <c r="W47" s="454"/>
      <c r="X47" s="668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8"/>
      <c r="J48" s="671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3"/>
      <c r="W48" s="455"/>
      <c r="X48" s="66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8"/>
      <c r="J49" s="671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3"/>
      <c r="W49" s="455"/>
      <c r="X49" s="668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9"/>
      <c r="J50" s="672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4"/>
      <c r="W50" s="456"/>
      <c r="X50" s="669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639916.75217391306</v>
      </c>
      <c r="H52" s="555">
        <f>'Project Plan'!G26+30</f>
        <v>46190</v>
      </c>
      <c r="I52" s="676">
        <f>SUM(G52:G68)</f>
        <v>639916.75217391306</v>
      </c>
      <c r="J52" s="679">
        <f>F164</f>
        <v>752843.23785166244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5">
        <f>J52-SUM(U52:U68)</f>
        <v>0</v>
      </c>
      <c r="W52" s="458"/>
      <c r="X52" s="676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7"/>
      <c r="J53" s="680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46142</v>
      </c>
      <c r="U53" s="401">
        <f t="shared" si="11"/>
        <v>420494.87534405413</v>
      </c>
      <c r="V53" s="686"/>
      <c r="W53" s="459">
        <f>T53+30</f>
        <v>46172</v>
      </c>
      <c r="X53" s="67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7"/>
      <c r="J54" s="680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6"/>
      <c r="W54" s="459"/>
      <c r="X54" s="67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7"/>
      <c r="J55" s="680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6"/>
      <c r="W55" s="459"/>
      <c r="X55" s="67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7"/>
      <c r="J56" s="680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6"/>
      <c r="W56" s="459"/>
      <c r="X56" s="67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7"/>
      <c r="J57" s="680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6"/>
      <c r="W57" s="459"/>
      <c r="X57" s="67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7"/>
      <c r="J58" s="680"/>
      <c r="K58" s="205"/>
      <c r="L58" s="202">
        <v>6</v>
      </c>
      <c r="M58" s="328" t="s">
        <v>315</v>
      </c>
      <c r="N58" s="309" t="s">
        <v>298</v>
      </c>
      <c r="O58" s="447">
        <f>0.25*800*1000</f>
        <v>200000</v>
      </c>
      <c r="P58" s="448">
        <v>0.1</v>
      </c>
      <c r="Q58" s="204">
        <f>$O$58*P58</f>
        <v>20000</v>
      </c>
      <c r="R58" s="691"/>
      <c r="S58" s="506"/>
      <c r="T58" s="419">
        <f>T90</f>
        <v>46112</v>
      </c>
      <c r="U58" s="401">
        <f t="shared" si="11"/>
        <v>33234.836250760825</v>
      </c>
      <c r="V58" s="686"/>
      <c r="W58" s="459">
        <f>W90</f>
        <v>46099</v>
      </c>
      <c r="X58" s="67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7"/>
      <c r="J59" s="680"/>
      <c r="K59" s="205"/>
      <c r="L59" s="202">
        <v>6</v>
      </c>
      <c r="M59" s="329" t="s">
        <v>315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92"/>
      <c r="S59" s="506"/>
      <c r="T59" s="419">
        <f t="shared" si="1"/>
        <v>46112</v>
      </c>
      <c r="U59" s="401">
        <f t="shared" si="11"/>
        <v>49852.254376141238</v>
      </c>
      <c r="V59" s="686"/>
      <c r="W59" s="459">
        <f t="shared" ref="W59:W65" si="13">W91</f>
        <v>46106</v>
      </c>
      <c r="X59" s="67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7"/>
      <c r="J60" s="680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2"/>
        <v>40000</v>
      </c>
      <c r="R60" s="692"/>
      <c r="S60" s="506"/>
      <c r="T60" s="419">
        <f t="shared" si="1"/>
        <v>46173</v>
      </c>
      <c r="U60" s="401">
        <f t="shared" si="11"/>
        <v>66469.672501521651</v>
      </c>
      <c r="V60" s="686"/>
      <c r="W60" s="459">
        <f t="shared" si="13"/>
        <v>46167</v>
      </c>
      <c r="X60" s="67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7"/>
      <c r="J61" s="680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2"/>
        <v>50000</v>
      </c>
      <c r="R61" s="692"/>
      <c r="S61" s="506"/>
      <c r="T61" s="419">
        <f t="shared" si="1"/>
        <v>46173</v>
      </c>
      <c r="U61" s="401">
        <f t="shared" si="11"/>
        <v>83087.090626902049</v>
      </c>
      <c r="V61" s="686"/>
      <c r="W61" s="459">
        <f t="shared" si="13"/>
        <v>46170</v>
      </c>
      <c r="X61" s="67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7"/>
      <c r="J62" s="680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2"/>
        <v>20000</v>
      </c>
      <c r="R62" s="692"/>
      <c r="S62" s="506"/>
      <c r="T62" s="419">
        <f t="shared" si="1"/>
        <v>46203</v>
      </c>
      <c r="U62" s="401">
        <f t="shared" si="11"/>
        <v>33234.836250760825</v>
      </c>
      <c r="V62" s="686"/>
      <c r="W62" s="459">
        <f t="shared" si="13"/>
        <v>46182</v>
      </c>
      <c r="X62" s="67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7"/>
      <c r="J63" s="680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2"/>
        <v>20000</v>
      </c>
      <c r="R63" s="692"/>
      <c r="S63" s="510"/>
      <c r="T63" s="419">
        <f t="shared" si="1"/>
        <v>46203</v>
      </c>
      <c r="U63" s="406">
        <f t="shared" si="11"/>
        <v>33234.836250760825</v>
      </c>
      <c r="V63" s="686"/>
      <c r="W63" s="459">
        <f t="shared" si="13"/>
        <v>46183</v>
      </c>
      <c r="X63" s="67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7"/>
      <c r="J64" s="680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2"/>
        <v>10000</v>
      </c>
      <c r="R64" s="692"/>
      <c r="S64" s="510"/>
      <c r="T64" s="419">
        <f t="shared" si="1"/>
        <v>46203</v>
      </c>
      <c r="U64" s="406">
        <f t="shared" si="11"/>
        <v>16617.418125380413</v>
      </c>
      <c r="V64" s="686"/>
      <c r="W64" s="459">
        <f t="shared" si="13"/>
        <v>46183</v>
      </c>
      <c r="X64" s="67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7"/>
      <c r="J65" s="680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2"/>
        <v>10000</v>
      </c>
      <c r="R65" s="693"/>
      <c r="S65" s="510"/>
      <c r="T65" s="419">
        <f t="shared" si="1"/>
        <v>46234</v>
      </c>
      <c r="U65" s="406">
        <f t="shared" si="11"/>
        <v>16617.418125380413</v>
      </c>
      <c r="V65" s="686"/>
      <c r="W65" s="459">
        <f t="shared" si="13"/>
        <v>46206</v>
      </c>
      <c r="X65" s="67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7"/>
      <c r="J66" s="680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6"/>
      <c r="W66" s="462"/>
      <c r="X66" s="67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7"/>
      <c r="J67" s="680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6"/>
      <c r="W67" s="462"/>
      <c r="X67" s="67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8"/>
      <c r="J68" s="681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7"/>
      <c r="W68" s="460"/>
      <c r="X68" s="678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9"/>
      <c r="I70" s="667">
        <f>SUM(G70:G77)</f>
        <v>0</v>
      </c>
      <c r="J70" s="670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8">
        <f>J70-SUM(U70:U77)</f>
        <v>0</v>
      </c>
      <c r="W70" s="464"/>
      <c r="X70" s="667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8"/>
      <c r="J71" s="671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9"/>
      <c r="W71" s="455"/>
      <c r="X71" s="668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8"/>
      <c r="J72" s="671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9"/>
      <c r="W72" s="455"/>
      <c r="X72" s="66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8"/>
      <c r="J73" s="671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9"/>
      <c r="W73" s="455"/>
      <c r="X73" s="66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8"/>
      <c r="J74" s="671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9"/>
      <c r="W74" s="455"/>
      <c r="X74" s="66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8"/>
      <c r="J75" s="671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9"/>
      <c r="W75" s="455"/>
      <c r="X75" s="66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8"/>
      <c r="J76" s="671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9"/>
      <c r="W76" s="455"/>
      <c r="X76" s="668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9"/>
      <c r="J77" s="672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0"/>
      <c r="W77" s="456"/>
      <c r="X77" s="669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5"/>
      <c r="I79" s="676">
        <f>SUM(G79:G87)</f>
        <v>0</v>
      </c>
      <c r="J79" s="679">
        <f>F168+F169+F166</f>
        <v>0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6">
        <f>J79-SUM(U79:U87)</f>
        <v>0</v>
      </c>
      <c r="W79" s="458"/>
      <c r="X79" s="676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7"/>
      <c r="J80" s="680"/>
      <c r="K80" s="205"/>
      <c r="L80" s="226">
        <v>8</v>
      </c>
      <c r="M80" s="332" t="s">
        <v>319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7"/>
      <c r="W80" s="458"/>
      <c r="X80" s="677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7"/>
      <c r="J81" s="680"/>
      <c r="K81" s="205"/>
      <c r="L81" s="226">
        <v>8</v>
      </c>
      <c r="M81" s="332" t="s">
        <v>319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7"/>
      <c r="W81" s="458"/>
      <c r="X81" s="67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7"/>
      <c r="J82" s="680"/>
      <c r="K82" s="205"/>
      <c r="L82" s="226">
        <v>8</v>
      </c>
      <c r="M82" s="332" t="s">
        <v>319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7"/>
      <c r="W82" s="458"/>
      <c r="X82" s="67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7"/>
      <c r="J83" s="680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7"/>
      <c r="W83" s="459"/>
      <c r="X83" s="67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7"/>
      <c r="J84" s="680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/>
      <c r="V84" s="707"/>
      <c r="W84" s="459"/>
      <c r="X84" s="67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7"/>
      <c r="J85" s="680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7"/>
      <c r="W85" s="459"/>
      <c r="X85" s="67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7"/>
      <c r="J86" s="680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7"/>
      <c r="W86" s="462"/>
      <c r="X86" s="677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8"/>
      <c r="J87" s="681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8"/>
      <c r="W87" s="460"/>
      <c r="X87" s="678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321</v>
      </c>
      <c r="D89" s="231" t="s">
        <v>322</v>
      </c>
      <c r="E89" s="218"/>
      <c r="F89" s="336"/>
      <c r="G89" s="496">
        <f>D173</f>
        <v>200080</v>
      </c>
      <c r="H89" s="543">
        <f>'Project Plan'!G23+7</f>
        <v>46167</v>
      </c>
      <c r="I89" s="700">
        <f>SUM(G89:G100)</f>
        <v>636320</v>
      </c>
      <c r="J89" s="670">
        <f>F173+F174</f>
        <v>707022.22222222225</v>
      </c>
      <c r="K89" s="192"/>
      <c r="L89" s="215">
        <v>9</v>
      </c>
      <c r="M89" s="322" t="s">
        <v>323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2">
        <f>J89-SUM(U89:U100)</f>
        <v>0</v>
      </c>
      <c r="W89" s="461"/>
      <c r="X89" s="667">
        <f>SUM(Q89:Q100)</f>
        <v>540872</v>
      </c>
    </row>
    <row r="90" spans="1:24" ht="15" customHeight="1">
      <c r="B90" s="215">
        <v>9</v>
      </c>
      <c r="C90" s="341"/>
      <c r="D90" s="232" t="s">
        <v>324</v>
      </c>
      <c r="E90" s="218"/>
      <c r="F90" s="357"/>
      <c r="G90" s="496">
        <f>D174</f>
        <v>436240</v>
      </c>
      <c r="H90" s="542">
        <f>'Project Plan'!G30+7</f>
        <v>46170</v>
      </c>
      <c r="I90" s="701"/>
      <c r="J90" s="671"/>
      <c r="K90" s="192"/>
      <c r="L90" s="215">
        <v>9</v>
      </c>
      <c r="M90" s="322" t="s">
        <v>323</v>
      </c>
      <c r="N90" s="232" t="s">
        <v>298</v>
      </c>
      <c r="O90" s="450">
        <f>Z30+Z29</f>
        <v>540872</v>
      </c>
      <c r="P90" s="451">
        <v>0.1</v>
      </c>
      <c r="Q90" s="219">
        <f>$O$90*P90</f>
        <v>54087.200000000004</v>
      </c>
      <c r="R90" s="712"/>
      <c r="S90" s="501"/>
      <c r="T90" s="412">
        <f t="shared" si="14"/>
        <v>46112</v>
      </c>
      <c r="U90" s="397">
        <f t="shared" si="15"/>
        <v>70702.222222222234</v>
      </c>
      <c r="V90" s="683"/>
      <c r="W90" s="454">
        <f>'Project Plan'!I21-7</f>
        <v>46099</v>
      </c>
      <c r="X90" s="668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1"/>
      <c r="J91" s="671"/>
      <c r="K91" s="192"/>
      <c r="L91" s="284">
        <v>9</v>
      </c>
      <c r="M91" s="394" t="s">
        <v>323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713"/>
      <c r="S91" s="502"/>
      <c r="T91" s="412">
        <f t="shared" si="14"/>
        <v>46112</v>
      </c>
      <c r="U91" s="397">
        <f t="shared" si="15"/>
        <v>106053.33333333333</v>
      </c>
      <c r="V91" s="683"/>
      <c r="W91" s="455">
        <f>'Project Plan'!I21</f>
        <v>46106</v>
      </c>
      <c r="X91" s="66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1"/>
      <c r="J92" s="671"/>
      <c r="K92" s="192"/>
      <c r="L92" s="284">
        <v>9</v>
      </c>
      <c r="M92" s="394" t="s">
        <v>323</v>
      </c>
      <c r="N92" s="286" t="s">
        <v>301</v>
      </c>
      <c r="O92" s="434"/>
      <c r="P92" s="449">
        <v>0.2</v>
      </c>
      <c r="Q92" s="219">
        <f t="shared" si="16"/>
        <v>108174.40000000001</v>
      </c>
      <c r="R92" s="713"/>
      <c r="S92" s="502"/>
      <c r="T92" s="412">
        <f t="shared" si="14"/>
        <v>46173</v>
      </c>
      <c r="U92" s="397">
        <f t="shared" si="15"/>
        <v>141404.44444444447</v>
      </c>
      <c r="V92" s="683"/>
      <c r="W92" s="455">
        <f>'Project Plan'!K23+7</f>
        <v>46167</v>
      </c>
      <c r="X92" s="66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1"/>
      <c r="J93" s="671"/>
      <c r="K93" s="192"/>
      <c r="L93" s="284">
        <v>9</v>
      </c>
      <c r="M93" s="394" t="s">
        <v>323</v>
      </c>
      <c r="N93" s="286" t="s">
        <v>303</v>
      </c>
      <c r="O93" s="434"/>
      <c r="P93" s="449">
        <v>0.25</v>
      </c>
      <c r="Q93" s="219">
        <f t="shared" si="16"/>
        <v>135218</v>
      </c>
      <c r="R93" s="713"/>
      <c r="S93" s="502"/>
      <c r="T93" s="412">
        <f t="shared" si="14"/>
        <v>46173</v>
      </c>
      <c r="U93" s="397">
        <f t="shared" si="15"/>
        <v>176755.55555555556</v>
      </c>
      <c r="V93" s="683"/>
      <c r="W93" s="455">
        <f>'Project Plan'!K30+7</f>
        <v>46170</v>
      </c>
      <c r="X93" s="66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1"/>
      <c r="J94" s="671"/>
      <c r="K94" s="192"/>
      <c r="L94" s="284">
        <v>9</v>
      </c>
      <c r="M94" s="394" t="s">
        <v>323</v>
      </c>
      <c r="N94" s="286" t="s">
        <v>304</v>
      </c>
      <c r="O94" s="434"/>
      <c r="P94" s="449">
        <v>0.1</v>
      </c>
      <c r="Q94" s="219">
        <f t="shared" si="16"/>
        <v>54087.200000000004</v>
      </c>
      <c r="R94" s="713"/>
      <c r="S94" s="502"/>
      <c r="T94" s="412">
        <f t="shared" si="14"/>
        <v>46203</v>
      </c>
      <c r="U94" s="397">
        <f t="shared" si="15"/>
        <v>70702.222222222234</v>
      </c>
      <c r="V94" s="683"/>
      <c r="W94" s="455">
        <f>'Project Plan'!K41+7</f>
        <v>46182</v>
      </c>
      <c r="X94" s="66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1"/>
      <c r="J95" s="671"/>
      <c r="K95" s="192"/>
      <c r="L95" s="284">
        <v>9</v>
      </c>
      <c r="M95" s="394" t="s">
        <v>323</v>
      </c>
      <c r="N95" s="286" t="s">
        <v>305</v>
      </c>
      <c r="O95" s="434"/>
      <c r="P95" s="449">
        <v>0.1</v>
      </c>
      <c r="Q95" s="219">
        <f t="shared" si="16"/>
        <v>54087.200000000004</v>
      </c>
      <c r="R95" s="713"/>
      <c r="S95" s="502"/>
      <c r="T95" s="412">
        <f t="shared" si="14"/>
        <v>46203</v>
      </c>
      <c r="U95" s="397">
        <f t="shared" si="15"/>
        <v>70702.222222222234</v>
      </c>
      <c r="V95" s="683"/>
      <c r="W95" s="455">
        <f>'Project Plan'!K48+7</f>
        <v>46183</v>
      </c>
      <c r="X95" s="66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1"/>
      <c r="J96" s="671"/>
      <c r="K96" s="192"/>
      <c r="L96" s="284">
        <v>9</v>
      </c>
      <c r="M96" s="394" t="s">
        <v>323</v>
      </c>
      <c r="N96" s="286" t="s">
        <v>306</v>
      </c>
      <c r="O96" s="434"/>
      <c r="P96" s="449">
        <v>0.05</v>
      </c>
      <c r="Q96" s="219">
        <f t="shared" si="16"/>
        <v>27043.600000000002</v>
      </c>
      <c r="R96" s="713"/>
      <c r="S96" s="502"/>
      <c r="T96" s="412">
        <f t="shared" si="14"/>
        <v>46203</v>
      </c>
      <c r="U96" s="397">
        <f t="shared" si="15"/>
        <v>35351.111111111117</v>
      </c>
      <c r="V96" s="683"/>
      <c r="W96" s="455">
        <f>'Project Plan'!K48+7</f>
        <v>46183</v>
      </c>
      <c r="X96" s="66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1"/>
      <c r="J97" s="671"/>
      <c r="K97" s="192"/>
      <c r="L97" s="284">
        <v>9</v>
      </c>
      <c r="M97" s="394" t="s">
        <v>323</v>
      </c>
      <c r="N97" s="286" t="s">
        <v>307</v>
      </c>
      <c r="O97" s="434"/>
      <c r="P97" s="449">
        <v>0.05</v>
      </c>
      <c r="Q97" s="219">
        <f t="shared" si="16"/>
        <v>27043.600000000002</v>
      </c>
      <c r="R97" s="714"/>
      <c r="S97" s="502"/>
      <c r="T97" s="412">
        <f t="shared" si="14"/>
        <v>46234</v>
      </c>
      <c r="U97" s="397">
        <f t="shared" si="15"/>
        <v>35351.111111111117</v>
      </c>
      <c r="V97" s="683"/>
      <c r="W97" s="455">
        <f>'Project Plan'!K48+30</f>
        <v>46206</v>
      </c>
      <c r="X97" s="66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1"/>
      <c r="J98" s="671"/>
      <c r="K98" s="192"/>
      <c r="L98" s="284">
        <v>9</v>
      </c>
      <c r="M98" s="394" t="s">
        <v>323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3"/>
      <c r="W98" s="455"/>
      <c r="X98" s="66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1"/>
      <c r="J99" s="671"/>
      <c r="K99" s="192"/>
      <c r="L99" s="284">
        <v>9</v>
      </c>
      <c r="M99" s="394" t="s">
        <v>323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3"/>
      <c r="W99" s="455"/>
      <c r="X99" s="668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2"/>
      <c r="J100" s="672"/>
      <c r="K100" s="267"/>
      <c r="L100" s="220">
        <v>9</v>
      </c>
      <c r="M100" s="340" t="s">
        <v>323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4"/>
      <c r="W100" s="456"/>
      <c r="X100" s="669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325</v>
      </c>
      <c r="D102" s="174" t="s">
        <v>280</v>
      </c>
      <c r="E102" s="175"/>
      <c r="F102" s="368"/>
      <c r="G102" s="242">
        <f>D177</f>
        <v>8500</v>
      </c>
      <c r="H102" s="562">
        <f>H89</f>
        <v>46167</v>
      </c>
      <c r="I102" s="694">
        <f>SUM(G102:G116)</f>
        <v>156487.33333333331</v>
      </c>
      <c r="J102" s="697">
        <f>F177+F180+F181+F179+F178</f>
        <v>173874.8148148148</v>
      </c>
      <c r="K102" s="243"/>
      <c r="L102" s="173">
        <v>10</v>
      </c>
      <c r="M102" s="333" t="s">
        <v>326</v>
      </c>
      <c r="N102" s="174" t="s">
        <v>327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3">
        <f>J102-SUM(U102:U116)</f>
        <v>0</v>
      </c>
      <c r="W102" s="465">
        <f>W108</f>
        <v>46167</v>
      </c>
      <c r="X102" s="694">
        <f>SUM(Q102:Q116)</f>
        <v>147414.23333333334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42120.666666666664</v>
      </c>
      <c r="H103" s="563">
        <f>H89</f>
        <v>46167</v>
      </c>
      <c r="I103" s="695"/>
      <c r="J103" s="698"/>
      <c r="K103" s="176"/>
      <c r="L103" s="244">
        <v>10</v>
      </c>
      <c r="M103" s="334" t="s">
        <v>326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4"/>
      <c r="W103" s="466"/>
      <c r="X103" s="695"/>
    </row>
    <row r="104" spans="1:24" ht="14.25" customHeight="1">
      <c r="B104" s="244">
        <v>10</v>
      </c>
      <c r="C104" s="245"/>
      <c r="D104" s="245" t="s">
        <v>327</v>
      </c>
      <c r="E104" s="246"/>
      <c r="F104" s="369"/>
      <c r="G104" s="247">
        <f>D180</f>
        <v>96000</v>
      </c>
      <c r="H104" s="563">
        <f>H89</f>
        <v>46167</v>
      </c>
      <c r="I104" s="695"/>
      <c r="J104" s="698"/>
      <c r="K104" s="176"/>
      <c r="L104" s="244">
        <v>10</v>
      </c>
      <c r="M104" s="334" t="s">
        <v>326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4"/>
      <c r="W104" s="466"/>
      <c r="X104" s="695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9866.6666666666661</v>
      </c>
      <c r="H105" s="563">
        <f>H89</f>
        <v>46167</v>
      </c>
      <c r="I105" s="695"/>
      <c r="J105" s="698"/>
      <c r="K105" s="176"/>
      <c r="L105" s="244">
        <v>10</v>
      </c>
      <c r="M105" s="334" t="s">
        <v>326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4"/>
      <c r="W105" s="466"/>
      <c r="X105" s="69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5"/>
      <c r="J106" s="698"/>
      <c r="K106" s="176"/>
      <c r="L106" s="244">
        <v>10</v>
      </c>
      <c r="M106" s="334" t="s">
        <v>326</v>
      </c>
      <c r="N106" s="245" t="s">
        <v>298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9"/>
      <c r="S106" s="515"/>
      <c r="T106" s="425">
        <f>T90</f>
        <v>46112</v>
      </c>
      <c r="U106" s="409">
        <f t="shared" si="17"/>
        <v>6064.2992861243456</v>
      </c>
      <c r="V106" s="704"/>
      <c r="W106" s="467">
        <f>W90</f>
        <v>46099</v>
      </c>
      <c r="X106" s="69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5"/>
      <c r="J107" s="698"/>
      <c r="K107" s="176"/>
      <c r="L107" s="244">
        <v>10</v>
      </c>
      <c r="M107" s="334" t="s">
        <v>326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710"/>
      <c r="S107" s="520"/>
      <c r="T107" s="425">
        <f t="shared" ref="T107:T113" si="19">T91</f>
        <v>46112</v>
      </c>
      <c r="U107" s="409">
        <f t="shared" si="17"/>
        <v>9096.4489291865193</v>
      </c>
      <c r="V107" s="704"/>
      <c r="W107" s="467">
        <f t="shared" ref="W107:W113" si="20">W91</f>
        <v>46106</v>
      </c>
      <c r="X107" s="69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5"/>
      <c r="J108" s="698"/>
      <c r="K108" s="176"/>
      <c r="L108" s="244">
        <v>10</v>
      </c>
      <c r="M108" s="334" t="s">
        <v>326</v>
      </c>
      <c r="N108" s="245" t="s">
        <v>301</v>
      </c>
      <c r="O108" s="445"/>
      <c r="P108" s="452">
        <v>0.2</v>
      </c>
      <c r="Q108" s="247">
        <f t="shared" si="18"/>
        <v>10282.846666666666</v>
      </c>
      <c r="R108" s="710"/>
      <c r="S108" s="515"/>
      <c r="T108" s="425">
        <f t="shared" si="19"/>
        <v>46173</v>
      </c>
      <c r="U108" s="409">
        <f t="shared" si="17"/>
        <v>12128.598572248691</v>
      </c>
      <c r="V108" s="704"/>
      <c r="W108" s="467">
        <f t="shared" si="20"/>
        <v>46167</v>
      </c>
      <c r="X108" s="69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5"/>
      <c r="J109" s="698"/>
      <c r="K109" s="176"/>
      <c r="L109" s="244">
        <v>10</v>
      </c>
      <c r="M109" s="334" t="s">
        <v>326</v>
      </c>
      <c r="N109" s="245" t="s">
        <v>303</v>
      </c>
      <c r="O109" s="445"/>
      <c r="P109" s="452">
        <v>0.25</v>
      </c>
      <c r="Q109" s="247">
        <f t="shared" si="18"/>
        <v>12853.558333333332</v>
      </c>
      <c r="R109" s="710"/>
      <c r="S109" s="515"/>
      <c r="T109" s="425">
        <f t="shared" si="19"/>
        <v>46173</v>
      </c>
      <c r="U109" s="409">
        <f t="shared" si="17"/>
        <v>15160.748215310863</v>
      </c>
      <c r="V109" s="704"/>
      <c r="W109" s="467">
        <f t="shared" si="20"/>
        <v>46170</v>
      </c>
      <c r="X109" s="69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5"/>
      <c r="J110" s="698"/>
      <c r="K110" s="176"/>
      <c r="L110" s="244">
        <v>10</v>
      </c>
      <c r="M110" s="334" t="s">
        <v>326</v>
      </c>
      <c r="N110" s="245" t="s">
        <v>304</v>
      </c>
      <c r="O110" s="445"/>
      <c r="P110" s="452">
        <v>0.1</v>
      </c>
      <c r="Q110" s="247">
        <f t="shared" si="18"/>
        <v>5141.4233333333332</v>
      </c>
      <c r="R110" s="710"/>
      <c r="S110" s="515"/>
      <c r="T110" s="425">
        <f t="shared" si="19"/>
        <v>46203</v>
      </c>
      <c r="U110" s="409">
        <f t="shared" si="17"/>
        <v>6064.2992861243456</v>
      </c>
      <c r="V110" s="704"/>
      <c r="W110" s="467">
        <f t="shared" si="20"/>
        <v>46182</v>
      </c>
      <c r="X110" s="69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5"/>
      <c r="J111" s="698"/>
      <c r="K111" s="176"/>
      <c r="L111" s="244">
        <v>10</v>
      </c>
      <c r="M111" s="334" t="s">
        <v>326</v>
      </c>
      <c r="N111" s="245" t="s">
        <v>305</v>
      </c>
      <c r="O111" s="445"/>
      <c r="P111" s="452">
        <v>0.1</v>
      </c>
      <c r="Q111" s="247">
        <f t="shared" si="18"/>
        <v>5141.4233333333332</v>
      </c>
      <c r="R111" s="710"/>
      <c r="S111" s="515"/>
      <c r="T111" s="425">
        <f t="shared" si="19"/>
        <v>46203</v>
      </c>
      <c r="U111" s="409">
        <f t="shared" si="17"/>
        <v>6064.2992861243456</v>
      </c>
      <c r="V111" s="704"/>
      <c r="W111" s="467">
        <f t="shared" si="20"/>
        <v>46183</v>
      </c>
      <c r="X111" s="69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5"/>
      <c r="J112" s="698"/>
      <c r="K112" s="176"/>
      <c r="L112" s="244">
        <v>10</v>
      </c>
      <c r="M112" s="334" t="s">
        <v>326</v>
      </c>
      <c r="N112" s="245" t="s">
        <v>306</v>
      </c>
      <c r="O112" s="445"/>
      <c r="P112" s="452">
        <v>0.05</v>
      </c>
      <c r="Q112" s="247">
        <f t="shared" si="18"/>
        <v>2570.7116666666666</v>
      </c>
      <c r="R112" s="710"/>
      <c r="S112" s="515"/>
      <c r="T112" s="425">
        <f t="shared" si="19"/>
        <v>46203</v>
      </c>
      <c r="U112" s="409">
        <f t="shared" si="17"/>
        <v>3032.1496430621728</v>
      </c>
      <c r="V112" s="704"/>
      <c r="W112" s="467">
        <f t="shared" si="20"/>
        <v>46183</v>
      </c>
      <c r="X112" s="69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5"/>
      <c r="J113" s="698"/>
      <c r="K113" s="176"/>
      <c r="L113" s="244">
        <v>10</v>
      </c>
      <c r="M113" s="334" t="s">
        <v>326</v>
      </c>
      <c r="N113" s="245" t="s">
        <v>307</v>
      </c>
      <c r="O113" s="445"/>
      <c r="P113" s="452">
        <v>0.05</v>
      </c>
      <c r="Q113" s="247">
        <f t="shared" si="18"/>
        <v>2570.7116666666666</v>
      </c>
      <c r="R113" s="711"/>
      <c r="S113" s="515"/>
      <c r="T113" s="425">
        <f t="shared" si="19"/>
        <v>46234</v>
      </c>
      <c r="U113" s="409">
        <f t="shared" si="17"/>
        <v>3032.1496430621728</v>
      </c>
      <c r="V113" s="704"/>
      <c r="W113" s="467">
        <f t="shared" si="20"/>
        <v>46206</v>
      </c>
      <c r="X113" s="69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5"/>
      <c r="J114" s="698"/>
      <c r="K114" s="176"/>
      <c r="L114" s="244">
        <v>10</v>
      </c>
      <c r="M114" s="334" t="s">
        <v>326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4"/>
      <c r="W114" s="467"/>
      <c r="X114" s="69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5"/>
      <c r="J115" s="698"/>
      <c r="K115" s="176"/>
      <c r="L115" s="244">
        <v>10</v>
      </c>
      <c r="M115" s="334" t="s">
        <v>326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4"/>
      <c r="W115" s="467"/>
      <c r="X115" s="69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6"/>
      <c r="J116" s="699"/>
      <c r="K116" s="179"/>
      <c r="L116" s="177">
        <v>10</v>
      </c>
      <c r="M116" s="335" t="s">
        <v>326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5"/>
      <c r="W116" s="468"/>
      <c r="X116" s="696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328</v>
      </c>
      <c r="D118" s="255" t="s">
        <v>329</v>
      </c>
      <c r="E118" s="187"/>
      <c r="F118" s="336"/>
      <c r="G118" s="188">
        <v>20008.000000000004</v>
      </c>
      <c r="H118" s="543">
        <f>'Project Plan'!G41</f>
        <v>46175</v>
      </c>
      <c r="I118" s="667">
        <f>SUM(G118:G122)</f>
        <v>140024</v>
      </c>
      <c r="J118" s="670">
        <f>F176</f>
        <v>155582.22222222222</v>
      </c>
      <c r="K118" s="189"/>
      <c r="L118" s="185">
        <v>11</v>
      </c>
      <c r="M118" s="255" t="s">
        <v>330</v>
      </c>
      <c r="N118" s="255" t="s">
        <v>329</v>
      </c>
      <c r="O118" s="187"/>
      <c r="P118" s="336"/>
      <c r="Q118" s="188">
        <v>20008.000000000004</v>
      </c>
      <c r="R118" s="536"/>
      <c r="S118" s="508"/>
      <c r="T118" s="418">
        <f t="shared" si="14"/>
        <v>46203</v>
      </c>
      <c r="U118" s="397">
        <f>(Q118/$X$118*$J$118)</f>
        <v>26517.949894556707</v>
      </c>
      <c r="V118" s="682">
        <f>J118-SUM(U118:U122)</f>
        <v>0</v>
      </c>
      <c r="W118" s="461">
        <f>'Project Plan'!K41+14</f>
        <v>46189</v>
      </c>
      <c r="X118" s="667">
        <f>SUM(Q118:Q122)</f>
        <v>117388</v>
      </c>
    </row>
    <row r="119" spans="1:24" ht="15" customHeight="1">
      <c r="B119" s="215">
        <v>11</v>
      </c>
      <c r="C119" s="217"/>
      <c r="D119" s="217" t="s">
        <v>331</v>
      </c>
      <c r="E119" s="218"/>
      <c r="F119" s="357"/>
      <c r="G119" s="219">
        <v>40016.000000000007</v>
      </c>
      <c r="H119" s="543">
        <f>H118</f>
        <v>46175</v>
      </c>
      <c r="I119" s="668"/>
      <c r="J119" s="671"/>
      <c r="K119" s="192"/>
      <c r="L119" s="215">
        <v>11</v>
      </c>
      <c r="M119" s="290" t="s">
        <v>330</v>
      </c>
      <c r="N119" s="217" t="s">
        <v>332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3"/>
      <c r="W119" s="454"/>
      <c r="X119" s="668"/>
    </row>
    <row r="120" spans="1:24" ht="15" customHeight="1">
      <c r="B120" s="215">
        <v>11</v>
      </c>
      <c r="C120" s="217"/>
      <c r="D120" s="217" t="s">
        <v>333</v>
      </c>
      <c r="E120" s="218"/>
      <c r="F120" s="357"/>
      <c r="G120" s="219">
        <v>80000</v>
      </c>
      <c r="H120" s="543">
        <f>H119</f>
        <v>46175</v>
      </c>
      <c r="I120" s="668"/>
      <c r="J120" s="671"/>
      <c r="K120" s="192"/>
      <c r="L120" s="215">
        <v>11</v>
      </c>
      <c r="M120" s="290" t="s">
        <v>330</v>
      </c>
      <c r="N120" s="217" t="s">
        <v>333</v>
      </c>
      <c r="O120" s="218"/>
      <c r="P120" s="357"/>
      <c r="Q120" s="219">
        <v>91380</v>
      </c>
      <c r="R120" s="470" t="s">
        <v>414</v>
      </c>
      <c r="S120" s="501"/>
      <c r="T120" s="411">
        <v>46081</v>
      </c>
      <c r="U120" s="397">
        <f>(Q120/$X$118*$J$118)</f>
        <v>121112.06824093319</v>
      </c>
      <c r="V120" s="683"/>
      <c r="W120" s="454">
        <f>T120+90</f>
        <v>46171</v>
      </c>
      <c r="X120" s="668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8"/>
      <c r="J121" s="671"/>
      <c r="K121" s="192"/>
      <c r="L121" s="215">
        <v>11</v>
      </c>
      <c r="M121" s="290" t="s">
        <v>330</v>
      </c>
      <c r="N121" s="288" t="s">
        <v>334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7952.2040867323176</v>
      </c>
      <c r="V121" s="683"/>
      <c r="W121" s="455">
        <f>'Project Plan'!K41</f>
        <v>46175</v>
      </c>
      <c r="X121" s="668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9"/>
      <c r="J122" s="672"/>
      <c r="K122" s="193"/>
      <c r="L122" s="220">
        <v>11</v>
      </c>
      <c r="M122" s="318" t="s">
        <v>330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4"/>
      <c r="W122" s="456"/>
      <c r="X122" s="669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335</v>
      </c>
      <c r="D124" s="174" t="s">
        <v>336</v>
      </c>
      <c r="E124" s="175"/>
      <c r="F124" s="368"/>
      <c r="G124" s="242">
        <v>0</v>
      </c>
      <c r="H124" s="562"/>
      <c r="I124" s="694">
        <f>SUM(G124:G125)</f>
        <v>0</v>
      </c>
      <c r="J124" s="697">
        <v>0</v>
      </c>
      <c r="K124" s="715"/>
      <c r="L124" s="173">
        <v>12</v>
      </c>
      <c r="M124" s="174" t="s">
        <v>337</v>
      </c>
      <c r="N124" s="174" t="s">
        <v>336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4">
        <f>SUM(Q124:Q125)</f>
        <v>0</v>
      </c>
    </row>
    <row r="125" spans="1:24" ht="15" customHeight="1" thickBot="1">
      <c r="B125" s="177">
        <v>12</v>
      </c>
      <c r="C125" s="248" t="s">
        <v>335</v>
      </c>
      <c r="D125" s="248"/>
      <c r="E125" s="249"/>
      <c r="F125" s="370"/>
      <c r="G125" s="178"/>
      <c r="H125" s="565"/>
      <c r="I125" s="696"/>
      <c r="J125" s="699"/>
      <c r="K125" s="716"/>
      <c r="L125" s="177">
        <v>12</v>
      </c>
      <c r="M125" s="248" t="s">
        <v>337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6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338</v>
      </c>
      <c r="D127" s="255" t="s">
        <v>339</v>
      </c>
      <c r="E127" s="187"/>
      <c r="F127" s="336"/>
      <c r="G127" s="188">
        <f>D175</f>
        <v>63105.23056884059</v>
      </c>
      <c r="H127" s="543">
        <f>'Project Plan'!G50</f>
        <v>46190</v>
      </c>
      <c r="I127" s="667">
        <f>SUM(G127:G131)</f>
        <v>63105.23056884059</v>
      </c>
      <c r="J127" s="670">
        <f>F175</f>
        <v>71710.4892827734</v>
      </c>
      <c r="K127" s="189"/>
      <c r="L127" s="185">
        <v>13</v>
      </c>
      <c r="M127" s="255" t="s">
        <v>340</v>
      </c>
      <c r="N127" s="255" t="s">
        <v>341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82">
        <f>J127-SUM(U127:U132)</f>
        <v>0</v>
      </c>
      <c r="W127" s="461">
        <f>'Project Plan'!K41</f>
        <v>46175</v>
      </c>
      <c r="X127" s="667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8"/>
      <c r="J128" s="671"/>
      <c r="K128" s="192"/>
      <c r="L128" s="215">
        <v>13</v>
      </c>
      <c r="M128" s="290" t="s">
        <v>340</v>
      </c>
      <c r="N128" s="217" t="s">
        <v>342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83"/>
      <c r="W128" s="454">
        <f>W127</f>
        <v>46175</v>
      </c>
      <c r="X128" s="668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8"/>
      <c r="J129" s="671"/>
      <c r="K129" s="192"/>
      <c r="L129" s="215">
        <v>13</v>
      </c>
      <c r="M129" s="290" t="s">
        <v>340</v>
      </c>
      <c r="N129" s="217" t="s">
        <v>343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83"/>
      <c r="W129" s="454">
        <f t="shared" ref="W129:W131" si="22">W128</f>
        <v>46175</v>
      </c>
      <c r="X129" s="668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8"/>
      <c r="J130" s="671"/>
      <c r="K130" s="192"/>
      <c r="L130" s="215">
        <v>13</v>
      </c>
      <c r="M130" s="290" t="s">
        <v>340</v>
      </c>
      <c r="N130" s="217" t="s">
        <v>344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83"/>
      <c r="W130" s="454">
        <f t="shared" si="22"/>
        <v>46175</v>
      </c>
      <c r="X130" s="668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8"/>
      <c r="J131" s="671"/>
      <c r="K131" s="192"/>
      <c r="L131" s="215">
        <v>13</v>
      </c>
      <c r="M131" s="290" t="s">
        <v>340</v>
      </c>
      <c r="N131" s="217" t="s">
        <v>345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83"/>
      <c r="W131" s="454">
        <f t="shared" si="22"/>
        <v>46175</v>
      </c>
      <c r="X131" s="668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9"/>
      <c r="J132" s="672"/>
      <c r="K132" s="267"/>
      <c r="L132" s="220">
        <v>13</v>
      </c>
      <c r="M132" s="318" t="s">
        <v>340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4"/>
      <c r="W132" s="456"/>
      <c r="X132" s="669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346</v>
      </c>
      <c r="D134" s="174" t="s">
        <v>347</v>
      </c>
      <c r="E134" s="175"/>
      <c r="F134" s="368"/>
      <c r="G134" s="242">
        <f>D186</f>
        <v>14000</v>
      </c>
      <c r="H134" s="562">
        <f>'Project Plan'!G50</f>
        <v>46190</v>
      </c>
      <c r="I134" s="694">
        <f>SUM(G134:G145)</f>
        <v>14000</v>
      </c>
      <c r="J134" s="697">
        <f>F186</f>
        <v>15555.555555555555</v>
      </c>
      <c r="K134" s="243"/>
      <c r="L134" s="173">
        <v>14</v>
      </c>
      <c r="M134" s="333" t="s">
        <v>348</v>
      </c>
      <c r="N134" s="174" t="s">
        <v>349</v>
      </c>
      <c r="O134" s="444"/>
      <c r="P134" s="528"/>
      <c r="Q134" s="533">
        <f>$G$134/4</f>
        <v>3500</v>
      </c>
      <c r="R134" s="530"/>
      <c r="S134" s="519"/>
      <c r="T134" s="423">
        <v>46112</v>
      </c>
      <c r="U134" s="408">
        <f t="shared" ref="U134:U145" si="23">(Q134/$X$134*$J$134)</f>
        <v>3888.8888888888887</v>
      </c>
      <c r="V134" s="703">
        <f>J134-SUM(U134:U145)</f>
        <v>0</v>
      </c>
      <c r="W134" s="467">
        <f>T134+7</f>
        <v>46119</v>
      </c>
      <c r="X134" s="694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5"/>
      <c r="J135" s="698"/>
      <c r="K135" s="176"/>
      <c r="L135" s="244">
        <v>14</v>
      </c>
      <c r="M135" s="334" t="s">
        <v>348</v>
      </c>
      <c r="N135" s="245" t="s">
        <v>349</v>
      </c>
      <c r="O135" s="445"/>
      <c r="P135" s="529"/>
      <c r="Q135" s="532">
        <f>$G$134/4</f>
        <v>3500</v>
      </c>
      <c r="R135" s="531"/>
      <c r="S135" s="519"/>
      <c r="T135" s="425">
        <v>46142</v>
      </c>
      <c r="U135" s="409">
        <f t="shared" si="23"/>
        <v>3888.8888888888887</v>
      </c>
      <c r="V135" s="704"/>
      <c r="W135" s="467">
        <f>T135+7</f>
        <v>46149</v>
      </c>
      <c r="X135" s="69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5"/>
      <c r="J136" s="698"/>
      <c r="K136" s="176"/>
      <c r="L136" s="244">
        <v>14</v>
      </c>
      <c r="M136" s="334" t="s">
        <v>348</v>
      </c>
      <c r="N136" s="245" t="s">
        <v>349</v>
      </c>
      <c r="O136" s="445"/>
      <c r="P136" s="369"/>
      <c r="Q136" s="247">
        <f>$G$134/4</f>
        <v>3500</v>
      </c>
      <c r="R136" s="485"/>
      <c r="S136" s="519"/>
      <c r="T136" s="425">
        <v>46173</v>
      </c>
      <c r="U136" s="409">
        <f t="shared" si="23"/>
        <v>3888.8888888888887</v>
      </c>
      <c r="V136" s="704"/>
      <c r="W136" s="467">
        <f>T136+7</f>
        <v>46180</v>
      </c>
      <c r="X136" s="69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5"/>
      <c r="J137" s="698"/>
      <c r="K137" s="176"/>
      <c r="L137" s="244">
        <v>14</v>
      </c>
      <c r="M137" s="334" t="s">
        <v>348</v>
      </c>
      <c r="N137" s="245" t="s">
        <v>349</v>
      </c>
      <c r="O137" s="445"/>
      <c r="P137" s="369"/>
      <c r="Q137" s="247">
        <f>$G$134/4</f>
        <v>3500</v>
      </c>
      <c r="R137" s="485"/>
      <c r="S137" s="513"/>
      <c r="T137" s="425">
        <v>46203</v>
      </c>
      <c r="U137" s="409">
        <f t="shared" si="23"/>
        <v>3888.8888888888887</v>
      </c>
      <c r="V137" s="704"/>
      <c r="W137" s="467">
        <f>T137+7</f>
        <v>46210</v>
      </c>
      <c r="X137" s="69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5"/>
      <c r="J138" s="698"/>
      <c r="K138" s="176"/>
      <c r="L138" s="244">
        <v>14</v>
      </c>
      <c r="M138" s="334" t="s">
        <v>348</v>
      </c>
      <c r="N138" s="245" t="s">
        <v>349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4"/>
      <c r="W138" s="467"/>
      <c r="X138" s="69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5"/>
      <c r="J139" s="698"/>
      <c r="K139" s="176"/>
      <c r="L139" s="244">
        <v>14</v>
      </c>
      <c r="M139" s="334" t="s">
        <v>348</v>
      </c>
      <c r="N139" s="245" t="s">
        <v>349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4"/>
      <c r="W139" s="467"/>
      <c r="X139" s="69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5"/>
      <c r="J140" s="698"/>
      <c r="K140" s="176"/>
      <c r="L140" s="244">
        <v>14</v>
      </c>
      <c r="M140" s="334" t="s">
        <v>348</v>
      </c>
      <c r="N140" s="245" t="s">
        <v>349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4"/>
      <c r="W140" s="467"/>
      <c r="X140" s="69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5"/>
      <c r="J141" s="698"/>
      <c r="K141" s="176"/>
      <c r="L141" s="244">
        <v>14</v>
      </c>
      <c r="M141" s="334" t="s">
        <v>348</v>
      </c>
      <c r="N141" s="245" t="s">
        <v>349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4"/>
      <c r="W141" s="467"/>
      <c r="X141" s="69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5"/>
      <c r="J142" s="698"/>
      <c r="K142" s="176"/>
      <c r="L142" s="244">
        <v>14</v>
      </c>
      <c r="M142" s="334" t="s">
        <v>348</v>
      </c>
      <c r="N142" s="245" t="s">
        <v>349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4"/>
      <c r="W142" s="467"/>
      <c r="X142" s="69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5"/>
      <c r="J143" s="698"/>
      <c r="K143" s="176"/>
      <c r="L143" s="244">
        <v>14</v>
      </c>
      <c r="M143" s="334" t="s">
        <v>348</v>
      </c>
      <c r="N143" s="245" t="s">
        <v>349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4"/>
      <c r="W143" s="467"/>
      <c r="X143" s="69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5"/>
      <c r="J144" s="698"/>
      <c r="K144" s="176"/>
      <c r="L144" s="244">
        <v>14</v>
      </c>
      <c r="M144" s="334" t="s">
        <v>348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4"/>
      <c r="W144" s="467"/>
      <c r="X144" s="69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6"/>
      <c r="J145" s="699"/>
      <c r="K145" s="179"/>
      <c r="L145" s="177">
        <v>14</v>
      </c>
      <c r="M145" s="335" t="s">
        <v>348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5"/>
      <c r="W145" s="468"/>
      <c r="X145" s="696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350</v>
      </c>
      <c r="D147" s="186"/>
      <c r="E147" s="187"/>
      <c r="F147" s="336"/>
      <c r="G147" s="188"/>
      <c r="H147" s="543"/>
      <c r="I147" s="667">
        <f>SUM(G147:G158)</f>
        <v>0</v>
      </c>
      <c r="J147" s="670">
        <v>0</v>
      </c>
      <c r="K147" s="189"/>
      <c r="L147" s="185">
        <v>15</v>
      </c>
      <c r="M147" s="255" t="s">
        <v>351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2">
        <v>0</v>
      </c>
      <c r="W147" s="461"/>
      <c r="X147" s="667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8"/>
      <c r="J148" s="671"/>
      <c r="K148" s="192"/>
      <c r="L148" s="215">
        <v>15</v>
      </c>
      <c r="M148" s="290" t="s">
        <v>351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3"/>
      <c r="W148" s="454"/>
      <c r="X148" s="668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8"/>
      <c r="J149" s="671"/>
      <c r="K149" s="192"/>
      <c r="L149" s="215">
        <v>15</v>
      </c>
      <c r="M149" s="290" t="s">
        <v>351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3"/>
      <c r="W149" s="454"/>
      <c r="X149" s="668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8"/>
      <c r="J150" s="671"/>
      <c r="K150" s="192"/>
      <c r="L150" s="215">
        <v>15</v>
      </c>
      <c r="M150" s="290" t="s">
        <v>351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3"/>
      <c r="W150" s="454"/>
      <c r="X150" s="668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8"/>
      <c r="J151" s="671"/>
      <c r="K151" s="192"/>
      <c r="L151" s="215">
        <v>15</v>
      </c>
      <c r="M151" s="290" t="s">
        <v>351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3"/>
      <c r="W151" s="454"/>
      <c r="X151" s="668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8"/>
      <c r="J152" s="671"/>
      <c r="K152" s="192"/>
      <c r="L152" s="215">
        <v>15</v>
      </c>
      <c r="M152" s="290" t="s">
        <v>351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3"/>
      <c r="W152" s="454"/>
      <c r="X152" s="668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8"/>
      <c r="J153" s="671"/>
      <c r="K153" s="192"/>
      <c r="L153" s="215">
        <v>15</v>
      </c>
      <c r="M153" s="290" t="s">
        <v>351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3"/>
      <c r="W153" s="454"/>
      <c r="X153" s="668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8"/>
      <c r="J154" s="671"/>
      <c r="K154" s="192"/>
      <c r="L154" s="215">
        <v>15</v>
      </c>
      <c r="M154" s="290" t="s">
        <v>351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3"/>
      <c r="W154" s="454"/>
      <c r="X154" s="668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8"/>
      <c r="J155" s="671"/>
      <c r="K155" s="192"/>
      <c r="L155" s="215">
        <v>15</v>
      </c>
      <c r="M155" s="290" t="s">
        <v>351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3"/>
      <c r="W155" s="454"/>
      <c r="X155" s="66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8"/>
      <c r="J156" s="671"/>
      <c r="K156" s="192"/>
      <c r="L156" s="215">
        <v>15</v>
      </c>
      <c r="M156" s="290" t="s">
        <v>351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3"/>
      <c r="W156" s="454"/>
      <c r="X156" s="66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8"/>
      <c r="J157" s="671"/>
      <c r="K157" s="192"/>
      <c r="L157" s="215">
        <v>15</v>
      </c>
      <c r="M157" s="290" t="s">
        <v>351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3"/>
      <c r="W157" s="454"/>
      <c r="X157" s="668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9"/>
      <c r="J158" s="672"/>
      <c r="K158" s="193"/>
      <c r="L158" s="220">
        <v>15</v>
      </c>
      <c r="M158" s="318" t="s">
        <v>351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4"/>
      <c r="W158" s="456"/>
      <c r="X158" s="669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352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353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354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355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362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363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364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365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366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367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368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369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370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372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373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374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375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2982806.2474452141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596561.24948904279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298280.6247445214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5070770.6206568638</v>
      </c>
      <c r="S4" s="109">
        <f t="shared" si="5"/>
        <v>5070770.6206568638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5667331.8701459067</v>
      </c>
      <c r="AC4" s="109">
        <f t="shared" si="5"/>
        <v>5667331.8701459067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5965612.4948904281</v>
      </c>
      <c r="CC4" s="109">
        <f t="shared" si="6"/>
        <v>5965612.4948904281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320128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2491542.3600000003</v>
      </c>
      <c r="Z5" s="112">
        <f>SUMIFS('Expenditure Breakdown'!$G$6:$G$166, 'Expenditure Breakdown'!$H$6:$H$166, "&gt;="&amp;Z1,'Expenditure Breakdown'!$H$6:$H$166, "&lt;"&amp;AA1)</f>
        <v>1282807.3333333335</v>
      </c>
      <c r="AA5" s="112">
        <f>SUMIFS('Expenditure Breakdown'!$G$6:$G$166, 'Expenditure Breakdown'!$H$6:$H$166, "&gt;="&amp;AA1,'Expenditure Breakdown'!$H$6:$H$166, "&lt;"&amp;AB1)</f>
        <v>140024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891021.98274275369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320128</v>
      </c>
      <c r="V6" s="112">
        <f t="shared" si="10"/>
        <v>320128</v>
      </c>
      <c r="W6" s="112">
        <f t="shared" si="10"/>
        <v>320128</v>
      </c>
      <c r="X6" s="112">
        <f t="shared" si="10"/>
        <v>320128</v>
      </c>
      <c r="Y6" s="112">
        <f t="shared" si="10"/>
        <v>2811670.3600000003</v>
      </c>
      <c r="Z6" s="112">
        <f t="shared" si="10"/>
        <v>4094477.6933333338</v>
      </c>
      <c r="AA6" s="112">
        <f t="shared" si="10"/>
        <v>4234501.6933333334</v>
      </c>
      <c r="AB6" s="112">
        <f t="shared" si="10"/>
        <v>4234501.6933333334</v>
      </c>
      <c r="AC6" s="112">
        <f t="shared" si="10"/>
        <v>5125523.6760760872</v>
      </c>
      <c r="AD6" s="112">
        <f>AC6+AD5</f>
        <v>5125523.6760760872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5070770.6206568638</v>
      </c>
      <c r="S7" s="118">
        <f t="shared" si="16"/>
        <v>5070770.6206568638</v>
      </c>
      <c r="T7" s="118">
        <f t="shared" si="16"/>
        <v>5070770.6206568638</v>
      </c>
      <c r="U7" s="118">
        <f t="shared" si="16"/>
        <v>4750642.6206568638</v>
      </c>
      <c r="V7" s="118">
        <f t="shared" si="16"/>
        <v>4750642.6206568638</v>
      </c>
      <c r="W7" s="118">
        <f t="shared" si="16"/>
        <v>4750642.6206568638</v>
      </c>
      <c r="X7" s="118">
        <f t="shared" si="16"/>
        <v>4750642.6206568638</v>
      </c>
      <c r="Y7" s="118">
        <f t="shared" si="16"/>
        <v>2259100.2606568635</v>
      </c>
      <c r="Z7" s="118">
        <f t="shared" si="16"/>
        <v>976292.92732352996</v>
      </c>
      <c r="AA7" s="118">
        <f t="shared" si="16"/>
        <v>836268.92732353043</v>
      </c>
      <c r="AB7" s="118">
        <f t="shared" si="16"/>
        <v>1432830.1768125733</v>
      </c>
      <c r="AC7" s="118">
        <f t="shared" si="16"/>
        <v>541808.19406981952</v>
      </c>
      <c r="AD7" s="118">
        <f t="shared" si="16"/>
        <v>541808.19406981952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840088.81881434098</v>
      </c>
      <c r="CC7" s="118">
        <f t="shared" si="17"/>
        <v>840088.81881434098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379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2087964.3732116497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2982806.2474452141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596561.24948904279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298280.6247445214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380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2087964.3732116497</v>
      </c>
      <c r="P10" s="122">
        <f t="shared" si="21"/>
        <v>2087964.3732116497</v>
      </c>
      <c r="Q10" s="122">
        <f t="shared" si="21"/>
        <v>2087964.3732116497</v>
      </c>
      <c r="R10" s="122">
        <f t="shared" si="21"/>
        <v>5070770.6206568638</v>
      </c>
      <c r="S10" s="122">
        <f t="shared" si="21"/>
        <v>5070770.6206568638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5667331.8701459067</v>
      </c>
      <c r="AC10" s="122">
        <f t="shared" si="21"/>
        <v>5667331.8701459067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5965612.4948904281</v>
      </c>
      <c r="CC10" s="122">
        <f t="shared" si="22"/>
        <v>5965612.4948904281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381</v>
      </c>
      <c r="C11" s="124">
        <f>'Revenue Tracking'!F5</f>
        <v>4357754.609519463</v>
      </c>
      <c r="D11" s="124">
        <f>SUM(F11:KE11)</f>
        <v>4357754.609519463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111641.18033333335</v>
      </c>
      <c r="Q11" s="125">
        <f>SUMIFS('Expenditure Breakdown'!$Q$6:$Q$166, 'Expenditure Breakdown'!$W$6:$W$166, "&gt;="&amp;Q1,'Expenditure Breakdown'!$W$6:$W$166, "&lt;"&amp;R1)</f>
        <v>167461.77049999998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2365340</v>
      </c>
      <c r="Z11" s="125">
        <f>SUMIFS('Expenditure Breakdown'!$Q$6:$Q$166, 'Expenditure Breakdown'!$W$6:$W$166, "&gt;="&amp;Z1,'Expenditure Breakdown'!$W$6:$W$166, "&lt;"&amp;AA1)</f>
        <v>1263809.9615</v>
      </c>
      <c r="AA11" s="125">
        <f>SUMIFS('Expenditure Breakdown'!$Q$6:$Q$166, 'Expenditure Breakdown'!$W$6:$W$166, "&gt;="&amp;AA1,'Expenditure Breakdown'!$W$6:$W$166, "&lt;"&amp;AB1)</f>
        <v>84070.156186130349</v>
      </c>
      <c r="AB11" s="125">
        <f>SUMIFS('Expenditure Breakdown'!$Q$6:$Q$166, 'Expenditure Breakdown'!$W$6:$W$166, "&gt;="&amp;AB1,'Expenditure Breakdown'!$W$6:$W$166, "&lt;"&amp;AC1)</f>
        <v>279102.95083333337</v>
      </c>
      <c r="AC11" s="125">
        <f>SUMIFS('Expenditure Breakdown'!$Q$6:$Q$166, 'Expenditure Breakdown'!$W$6:$W$166, "&gt;="&amp;AC1,'Expenditure Breakdown'!$W$6:$W$166, "&lt;"&amp;AD1)</f>
        <v>20008.000000000004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55820.590166666676</v>
      </c>
      <c r="AF11" s="125">
        <f>SUMIFS('Expenditure Breakdown'!$Q$6:$Q$166, 'Expenditure Breakdown'!$W$6:$W$166, "&gt;="&amp;AF1,'Expenditure Breakdown'!$W$6:$W$166, "&lt;"&amp;AG1)</f>
        <v>3500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111641.18033333335</v>
      </c>
      <c r="Q12" s="125">
        <f t="shared" si="26"/>
        <v>279102.95083333331</v>
      </c>
      <c r="R12" s="125">
        <f t="shared" si="26"/>
        <v>279102.95083333331</v>
      </c>
      <c r="S12" s="125">
        <f t="shared" si="26"/>
        <v>282602.95083333331</v>
      </c>
      <c r="T12" s="125">
        <f t="shared" si="26"/>
        <v>282602.95083333331</v>
      </c>
      <c r="U12" s="125">
        <f t="shared" si="26"/>
        <v>282602.95083333331</v>
      </c>
      <c r="V12" s="125">
        <f t="shared" si="26"/>
        <v>282602.95083333331</v>
      </c>
      <c r="W12" s="125">
        <f t="shared" si="26"/>
        <v>286102.95083333331</v>
      </c>
      <c r="X12" s="125">
        <f t="shared" si="26"/>
        <v>286102.95083333331</v>
      </c>
      <c r="Y12" s="125">
        <f t="shared" si="26"/>
        <v>2651442.9508333332</v>
      </c>
      <c r="Z12" s="125">
        <f t="shared" si="26"/>
        <v>3915252.9123333329</v>
      </c>
      <c r="AA12" s="125">
        <f t="shared" si="26"/>
        <v>3999323.0685194633</v>
      </c>
      <c r="AB12" s="125">
        <f t="shared" si="26"/>
        <v>4278426.0193527965</v>
      </c>
      <c r="AC12" s="125">
        <f t="shared" si="26"/>
        <v>4298434.0193527965</v>
      </c>
      <c r="AD12" s="125">
        <f>AC12+AD11</f>
        <v>4298434.0193527965</v>
      </c>
      <c r="AE12" s="125">
        <f t="shared" si="26"/>
        <v>4354254.609519463</v>
      </c>
      <c r="AF12" s="125">
        <f t="shared" si="26"/>
        <v>4357754.609519463</v>
      </c>
      <c r="AG12" s="125">
        <f t="shared" si="26"/>
        <v>4357754.609519463</v>
      </c>
      <c r="AH12" s="125">
        <f t="shared" si="26"/>
        <v>4357754.609519463</v>
      </c>
      <c r="AI12" s="125">
        <f t="shared" si="26"/>
        <v>4357754.609519463</v>
      </c>
      <c r="AJ12" s="125">
        <f t="shared" si="26"/>
        <v>4357754.609519463</v>
      </c>
      <c r="AK12" s="125">
        <f t="shared" si="26"/>
        <v>4357754.609519463</v>
      </c>
      <c r="AL12" s="125">
        <f t="shared" si="26"/>
        <v>4357754.609519463</v>
      </c>
      <c r="AM12" s="125">
        <f t="shared" si="26"/>
        <v>4357754.609519463</v>
      </c>
      <c r="AN12" s="125">
        <f t="shared" si="26"/>
        <v>4357754.609519463</v>
      </c>
      <c r="AO12" s="125">
        <f t="shared" si="26"/>
        <v>4357754.609519463</v>
      </c>
      <c r="AP12" s="125">
        <f t="shared" si="26"/>
        <v>4357754.609519463</v>
      </c>
      <c r="AQ12" s="125">
        <f t="shared" si="26"/>
        <v>4357754.609519463</v>
      </c>
      <c r="AR12" s="125">
        <f t="shared" si="26"/>
        <v>4357754.609519463</v>
      </c>
      <c r="AS12" s="125">
        <f t="shared" si="26"/>
        <v>4357754.609519463</v>
      </c>
      <c r="AT12" s="125">
        <f t="shared" si="26"/>
        <v>4357754.609519463</v>
      </c>
      <c r="AU12" s="125">
        <f t="shared" si="26"/>
        <v>4357754.609519463</v>
      </c>
      <c r="AV12" s="125">
        <f t="shared" si="26"/>
        <v>4357754.609519463</v>
      </c>
      <c r="AW12" s="125">
        <f t="shared" si="26"/>
        <v>4357754.609519463</v>
      </c>
      <c r="AX12" s="125">
        <f t="shared" si="26"/>
        <v>4357754.609519463</v>
      </c>
      <c r="AY12" s="125">
        <f t="shared" si="26"/>
        <v>4357754.609519463</v>
      </c>
      <c r="AZ12" s="125">
        <f t="shared" si="26"/>
        <v>4357754.609519463</v>
      </c>
      <c r="BA12" s="125">
        <f t="shared" si="26"/>
        <v>4357754.609519463</v>
      </c>
      <c r="BB12" s="125">
        <f t="shared" si="26"/>
        <v>4357754.609519463</v>
      </c>
      <c r="BC12" s="125">
        <f t="shared" si="26"/>
        <v>4357754.609519463</v>
      </c>
      <c r="BD12" s="125">
        <f t="shared" si="26"/>
        <v>4357754.609519463</v>
      </c>
      <c r="BE12" s="125">
        <f t="shared" si="26"/>
        <v>4357754.609519463</v>
      </c>
      <c r="BF12" s="125">
        <f t="shared" si="26"/>
        <v>4357754.609519463</v>
      </c>
      <c r="BG12" s="125">
        <f t="shared" si="26"/>
        <v>4357754.609519463</v>
      </c>
      <c r="BH12" s="125">
        <f t="shared" si="26"/>
        <v>4357754.609519463</v>
      </c>
      <c r="BI12" s="125">
        <f t="shared" si="26"/>
        <v>4357754.609519463</v>
      </c>
      <c r="BJ12" s="125">
        <f t="shared" si="26"/>
        <v>4357754.609519463</v>
      </c>
      <c r="BK12" s="125">
        <f t="shared" si="26"/>
        <v>4357754.609519463</v>
      </c>
      <c r="BL12" s="125">
        <f t="shared" si="26"/>
        <v>4357754.609519463</v>
      </c>
      <c r="BM12" s="125">
        <f t="shared" si="26"/>
        <v>4357754.609519463</v>
      </c>
      <c r="BN12" s="125">
        <f t="shared" si="26"/>
        <v>4357754.609519463</v>
      </c>
      <c r="BO12" s="125">
        <f t="shared" si="26"/>
        <v>4357754.609519463</v>
      </c>
      <c r="BP12" s="125">
        <f t="shared" si="26"/>
        <v>4357754.609519463</v>
      </c>
      <c r="BQ12" s="125">
        <f t="shared" si="26"/>
        <v>4357754.609519463</v>
      </c>
      <c r="BR12" s="125">
        <f t="shared" si="26"/>
        <v>4357754.609519463</v>
      </c>
      <c r="BS12" s="125">
        <f t="shared" si="26"/>
        <v>4357754.609519463</v>
      </c>
      <c r="BT12" s="125">
        <f t="shared" si="26"/>
        <v>4357754.609519463</v>
      </c>
      <c r="BU12" s="125">
        <f t="shared" ref="BU12:EF12" si="27">BT12+BU11</f>
        <v>4357754.609519463</v>
      </c>
      <c r="BV12" s="125">
        <f t="shared" si="27"/>
        <v>4357754.609519463</v>
      </c>
      <c r="BW12" s="125">
        <f t="shared" si="27"/>
        <v>4357754.609519463</v>
      </c>
      <c r="BX12" s="125">
        <f t="shared" si="27"/>
        <v>4357754.609519463</v>
      </c>
      <c r="BY12" s="125">
        <f t="shared" si="27"/>
        <v>4357754.609519463</v>
      </c>
      <c r="BZ12" s="125">
        <f t="shared" si="27"/>
        <v>4357754.609519463</v>
      </c>
      <c r="CA12" s="125">
        <f t="shared" si="27"/>
        <v>4357754.609519463</v>
      </c>
      <c r="CB12" s="125">
        <f t="shared" si="27"/>
        <v>4357754.609519463</v>
      </c>
      <c r="CC12" s="125">
        <f t="shared" si="27"/>
        <v>4357754.609519463</v>
      </c>
      <c r="CD12" s="125">
        <f t="shared" si="27"/>
        <v>4357754.609519463</v>
      </c>
      <c r="CE12" s="125">
        <f t="shared" si="27"/>
        <v>4357754.609519463</v>
      </c>
      <c r="CF12" s="125">
        <f t="shared" si="27"/>
        <v>4357754.609519463</v>
      </c>
      <c r="CG12" s="125">
        <f t="shared" si="27"/>
        <v>4357754.609519463</v>
      </c>
      <c r="CH12" s="125">
        <f t="shared" si="27"/>
        <v>4357754.609519463</v>
      </c>
      <c r="CI12" s="125">
        <f t="shared" si="27"/>
        <v>4357754.609519463</v>
      </c>
      <c r="CJ12" s="125">
        <f t="shared" si="27"/>
        <v>4357754.609519463</v>
      </c>
      <c r="CK12" s="125">
        <f t="shared" si="27"/>
        <v>4357754.609519463</v>
      </c>
      <c r="CL12" s="125">
        <f t="shared" si="27"/>
        <v>4357754.609519463</v>
      </c>
      <c r="CM12" s="125">
        <f t="shared" si="27"/>
        <v>4357754.609519463</v>
      </c>
      <c r="CN12" s="125">
        <f t="shared" si="27"/>
        <v>4357754.609519463</v>
      </c>
      <c r="CO12" s="125">
        <f t="shared" si="27"/>
        <v>4357754.609519463</v>
      </c>
      <c r="CP12" s="125">
        <f t="shared" si="27"/>
        <v>4357754.609519463</v>
      </c>
      <c r="CQ12" s="125">
        <f t="shared" si="27"/>
        <v>4357754.609519463</v>
      </c>
      <c r="CR12" s="125">
        <f t="shared" si="27"/>
        <v>4357754.609519463</v>
      </c>
      <c r="CS12" s="125">
        <f t="shared" si="27"/>
        <v>4357754.609519463</v>
      </c>
      <c r="CT12" s="125">
        <f t="shared" si="27"/>
        <v>4357754.609519463</v>
      </c>
      <c r="CU12" s="125">
        <f t="shared" si="27"/>
        <v>4357754.609519463</v>
      </c>
      <c r="CV12" s="125">
        <f t="shared" si="27"/>
        <v>4357754.609519463</v>
      </c>
      <c r="CW12" s="125">
        <f t="shared" si="27"/>
        <v>4357754.609519463</v>
      </c>
      <c r="CX12" s="125">
        <f t="shared" si="27"/>
        <v>4357754.609519463</v>
      </c>
      <c r="CY12" s="125">
        <f t="shared" si="27"/>
        <v>4357754.609519463</v>
      </c>
      <c r="CZ12" s="125">
        <f t="shared" si="27"/>
        <v>4357754.609519463</v>
      </c>
      <c r="DA12" s="125">
        <f t="shared" si="27"/>
        <v>4357754.609519463</v>
      </c>
      <c r="DB12" s="125">
        <f t="shared" si="27"/>
        <v>4357754.609519463</v>
      </c>
      <c r="DC12" s="125">
        <f t="shared" si="27"/>
        <v>4357754.609519463</v>
      </c>
      <c r="DD12" s="125">
        <f t="shared" si="27"/>
        <v>4357754.609519463</v>
      </c>
      <c r="DE12" s="125">
        <f t="shared" si="27"/>
        <v>4357754.609519463</v>
      </c>
      <c r="DF12" s="125">
        <f t="shared" si="27"/>
        <v>4357754.609519463</v>
      </c>
      <c r="DG12" s="125">
        <f t="shared" si="27"/>
        <v>4357754.609519463</v>
      </c>
      <c r="DH12" s="125">
        <f t="shared" si="27"/>
        <v>4357754.609519463</v>
      </c>
      <c r="DI12" s="125">
        <f t="shared" si="27"/>
        <v>4357754.609519463</v>
      </c>
      <c r="DJ12" s="125">
        <f t="shared" si="27"/>
        <v>4357754.609519463</v>
      </c>
      <c r="DK12" s="125">
        <f t="shared" si="27"/>
        <v>4357754.609519463</v>
      </c>
      <c r="DL12" s="125">
        <f t="shared" si="27"/>
        <v>4357754.609519463</v>
      </c>
      <c r="DM12" s="125">
        <f t="shared" si="27"/>
        <v>4357754.609519463</v>
      </c>
      <c r="DN12" s="125">
        <f t="shared" si="27"/>
        <v>4357754.609519463</v>
      </c>
      <c r="DO12" s="125">
        <f t="shared" si="27"/>
        <v>4357754.609519463</v>
      </c>
      <c r="DP12" s="125">
        <f t="shared" si="27"/>
        <v>4357754.609519463</v>
      </c>
      <c r="DQ12" s="125">
        <f t="shared" si="27"/>
        <v>4357754.609519463</v>
      </c>
      <c r="DR12" s="125">
        <f t="shared" si="27"/>
        <v>4357754.609519463</v>
      </c>
      <c r="DS12" s="125">
        <f t="shared" si="27"/>
        <v>4357754.609519463</v>
      </c>
      <c r="DT12" s="125">
        <f t="shared" si="27"/>
        <v>4357754.609519463</v>
      </c>
      <c r="DU12" s="125">
        <f t="shared" si="27"/>
        <v>4357754.609519463</v>
      </c>
      <c r="DV12" s="125">
        <f t="shared" si="27"/>
        <v>4357754.609519463</v>
      </c>
      <c r="DW12" s="125">
        <f t="shared" si="27"/>
        <v>4357754.609519463</v>
      </c>
      <c r="DX12" s="125">
        <f t="shared" si="27"/>
        <v>4357754.609519463</v>
      </c>
      <c r="DY12" s="125">
        <f t="shared" si="27"/>
        <v>4357754.609519463</v>
      </c>
      <c r="DZ12" s="125">
        <f t="shared" si="27"/>
        <v>4357754.609519463</v>
      </c>
      <c r="EA12" s="125">
        <f t="shared" si="27"/>
        <v>4357754.609519463</v>
      </c>
      <c r="EB12" s="125">
        <f t="shared" si="27"/>
        <v>4357754.609519463</v>
      </c>
      <c r="EC12" s="125">
        <f t="shared" si="27"/>
        <v>4357754.609519463</v>
      </c>
      <c r="ED12" s="125">
        <f t="shared" si="27"/>
        <v>4357754.609519463</v>
      </c>
      <c r="EE12" s="125">
        <f t="shared" si="27"/>
        <v>4357754.609519463</v>
      </c>
      <c r="EF12" s="125">
        <f t="shared" si="27"/>
        <v>4357754.609519463</v>
      </c>
      <c r="EG12" s="125">
        <f t="shared" ref="EG12:GR12" si="28">EF12+EG11</f>
        <v>4357754.609519463</v>
      </c>
      <c r="EH12" s="125">
        <f t="shared" si="28"/>
        <v>4357754.609519463</v>
      </c>
      <c r="EI12" s="125">
        <f t="shared" si="28"/>
        <v>4357754.609519463</v>
      </c>
      <c r="EJ12" s="125">
        <f t="shared" si="28"/>
        <v>4357754.609519463</v>
      </c>
      <c r="EK12" s="125">
        <f t="shared" si="28"/>
        <v>4357754.609519463</v>
      </c>
      <c r="EL12" s="125">
        <f t="shared" si="28"/>
        <v>4357754.609519463</v>
      </c>
      <c r="EM12" s="125">
        <f t="shared" si="28"/>
        <v>4357754.609519463</v>
      </c>
      <c r="EN12" s="125">
        <f t="shared" si="28"/>
        <v>4357754.609519463</v>
      </c>
      <c r="EO12" s="125">
        <f t="shared" si="28"/>
        <v>4357754.609519463</v>
      </c>
      <c r="EP12" s="125">
        <f t="shared" si="28"/>
        <v>4357754.609519463</v>
      </c>
      <c r="EQ12" s="125">
        <f t="shared" si="28"/>
        <v>4357754.609519463</v>
      </c>
      <c r="ER12" s="125">
        <f t="shared" si="28"/>
        <v>4357754.609519463</v>
      </c>
      <c r="ES12" s="125">
        <f t="shared" si="28"/>
        <v>4357754.609519463</v>
      </c>
      <c r="ET12" s="125">
        <f t="shared" si="28"/>
        <v>4357754.609519463</v>
      </c>
      <c r="EU12" s="125">
        <f t="shared" si="28"/>
        <v>4357754.609519463</v>
      </c>
      <c r="EV12" s="125">
        <f t="shared" si="28"/>
        <v>4357754.609519463</v>
      </c>
      <c r="EW12" s="125">
        <f t="shared" si="28"/>
        <v>4357754.609519463</v>
      </c>
      <c r="EX12" s="125">
        <f t="shared" si="28"/>
        <v>4357754.609519463</v>
      </c>
      <c r="EY12" s="125">
        <f t="shared" si="28"/>
        <v>4357754.609519463</v>
      </c>
      <c r="EZ12" s="125">
        <f t="shared" si="28"/>
        <v>4357754.609519463</v>
      </c>
      <c r="FA12" s="125">
        <f t="shared" si="28"/>
        <v>4357754.609519463</v>
      </c>
      <c r="FB12" s="125">
        <f t="shared" si="28"/>
        <v>4357754.609519463</v>
      </c>
      <c r="FC12" s="125">
        <f t="shared" si="28"/>
        <v>4357754.609519463</v>
      </c>
      <c r="FD12" s="125">
        <f t="shared" si="28"/>
        <v>4357754.609519463</v>
      </c>
      <c r="FE12" s="125">
        <f t="shared" si="28"/>
        <v>4357754.609519463</v>
      </c>
      <c r="FF12" s="125">
        <f t="shared" si="28"/>
        <v>4357754.609519463</v>
      </c>
      <c r="FG12" s="125">
        <f t="shared" si="28"/>
        <v>4357754.609519463</v>
      </c>
      <c r="FH12" s="125">
        <f t="shared" si="28"/>
        <v>4357754.609519463</v>
      </c>
      <c r="FI12" s="125">
        <f t="shared" si="28"/>
        <v>4357754.609519463</v>
      </c>
      <c r="FJ12" s="125">
        <f t="shared" si="28"/>
        <v>4357754.609519463</v>
      </c>
      <c r="FK12" s="125">
        <f t="shared" si="28"/>
        <v>4357754.609519463</v>
      </c>
      <c r="FL12" s="125">
        <f t="shared" si="28"/>
        <v>4357754.609519463</v>
      </c>
      <c r="FM12" s="125">
        <f t="shared" si="28"/>
        <v>4357754.609519463</v>
      </c>
      <c r="FN12" s="125">
        <f t="shared" si="28"/>
        <v>4357754.609519463</v>
      </c>
      <c r="FO12" s="125">
        <f t="shared" si="28"/>
        <v>4357754.609519463</v>
      </c>
      <c r="FP12" s="125">
        <f t="shared" si="28"/>
        <v>4357754.609519463</v>
      </c>
      <c r="FQ12" s="125">
        <f t="shared" si="28"/>
        <v>4357754.609519463</v>
      </c>
      <c r="FR12" s="125">
        <f t="shared" si="28"/>
        <v>4357754.609519463</v>
      </c>
      <c r="FS12" s="125">
        <f t="shared" si="28"/>
        <v>4357754.609519463</v>
      </c>
      <c r="FT12" s="125">
        <f t="shared" si="28"/>
        <v>4357754.609519463</v>
      </c>
      <c r="FU12" s="125">
        <f t="shared" si="28"/>
        <v>4357754.609519463</v>
      </c>
      <c r="FV12" s="125">
        <f t="shared" si="28"/>
        <v>4357754.609519463</v>
      </c>
      <c r="FW12" s="125">
        <f t="shared" si="28"/>
        <v>4357754.609519463</v>
      </c>
      <c r="FX12" s="125">
        <f t="shared" si="28"/>
        <v>4357754.609519463</v>
      </c>
      <c r="FY12" s="125">
        <f t="shared" si="28"/>
        <v>4357754.609519463</v>
      </c>
      <c r="FZ12" s="125">
        <f t="shared" si="28"/>
        <v>4357754.609519463</v>
      </c>
      <c r="GA12" s="125">
        <f t="shared" si="28"/>
        <v>4357754.609519463</v>
      </c>
      <c r="GB12" s="125">
        <f t="shared" si="28"/>
        <v>4357754.609519463</v>
      </c>
      <c r="GC12" s="125">
        <f t="shared" si="28"/>
        <v>4357754.609519463</v>
      </c>
      <c r="GD12" s="125">
        <f t="shared" si="28"/>
        <v>4357754.609519463</v>
      </c>
      <c r="GE12" s="125">
        <f t="shared" si="28"/>
        <v>4357754.609519463</v>
      </c>
      <c r="GF12" s="125">
        <f t="shared" si="28"/>
        <v>4357754.609519463</v>
      </c>
      <c r="GG12" s="125">
        <f t="shared" si="28"/>
        <v>4357754.609519463</v>
      </c>
      <c r="GH12" s="125">
        <f t="shared" si="28"/>
        <v>4357754.609519463</v>
      </c>
      <c r="GI12" s="125">
        <f t="shared" si="28"/>
        <v>4357754.609519463</v>
      </c>
      <c r="GJ12" s="125">
        <f t="shared" si="28"/>
        <v>4357754.609519463</v>
      </c>
      <c r="GK12" s="125">
        <f t="shared" si="28"/>
        <v>4357754.609519463</v>
      </c>
      <c r="GL12" s="125">
        <f t="shared" si="28"/>
        <v>4357754.609519463</v>
      </c>
      <c r="GM12" s="125">
        <f t="shared" si="28"/>
        <v>4357754.609519463</v>
      </c>
      <c r="GN12" s="125">
        <f t="shared" si="28"/>
        <v>4357754.609519463</v>
      </c>
      <c r="GO12" s="125">
        <f t="shared" si="28"/>
        <v>4357754.609519463</v>
      </c>
      <c r="GP12" s="125">
        <f t="shared" si="28"/>
        <v>4357754.609519463</v>
      </c>
      <c r="GQ12" s="125">
        <f t="shared" si="28"/>
        <v>4357754.609519463</v>
      </c>
      <c r="GR12" s="125">
        <f t="shared" si="28"/>
        <v>4357754.609519463</v>
      </c>
      <c r="GS12" s="125">
        <f t="shared" ref="GS12:JD12" si="29">GR12+GS11</f>
        <v>4357754.609519463</v>
      </c>
      <c r="GT12" s="125">
        <f t="shared" si="29"/>
        <v>4357754.609519463</v>
      </c>
      <c r="GU12" s="125">
        <f t="shared" si="29"/>
        <v>4357754.609519463</v>
      </c>
      <c r="GV12" s="125">
        <f t="shared" si="29"/>
        <v>4357754.609519463</v>
      </c>
      <c r="GW12" s="125">
        <f t="shared" si="29"/>
        <v>4357754.609519463</v>
      </c>
      <c r="GX12" s="125">
        <f t="shared" si="29"/>
        <v>4357754.609519463</v>
      </c>
      <c r="GY12" s="125">
        <f t="shared" si="29"/>
        <v>4357754.609519463</v>
      </c>
      <c r="GZ12" s="125">
        <f t="shared" si="29"/>
        <v>4357754.609519463</v>
      </c>
      <c r="HA12" s="125">
        <f t="shared" si="29"/>
        <v>4357754.609519463</v>
      </c>
      <c r="HB12" s="125">
        <f t="shared" si="29"/>
        <v>4357754.609519463</v>
      </c>
      <c r="HC12" s="125">
        <f t="shared" si="29"/>
        <v>4357754.609519463</v>
      </c>
      <c r="HD12" s="125">
        <f t="shared" si="29"/>
        <v>4357754.609519463</v>
      </c>
      <c r="HE12" s="125">
        <f t="shared" si="29"/>
        <v>4357754.609519463</v>
      </c>
      <c r="HF12" s="125">
        <f t="shared" si="29"/>
        <v>4357754.609519463</v>
      </c>
      <c r="HG12" s="125">
        <f t="shared" si="29"/>
        <v>4357754.609519463</v>
      </c>
      <c r="HH12" s="125">
        <f t="shared" si="29"/>
        <v>4357754.609519463</v>
      </c>
      <c r="HI12" s="125">
        <f t="shared" si="29"/>
        <v>4357754.609519463</v>
      </c>
      <c r="HJ12" s="125">
        <f t="shared" si="29"/>
        <v>4357754.609519463</v>
      </c>
      <c r="HK12" s="125">
        <f t="shared" si="29"/>
        <v>4357754.609519463</v>
      </c>
      <c r="HL12" s="125">
        <f t="shared" si="29"/>
        <v>4357754.609519463</v>
      </c>
      <c r="HM12" s="125">
        <f t="shared" si="29"/>
        <v>4357754.609519463</v>
      </c>
      <c r="HN12" s="125">
        <f t="shared" si="29"/>
        <v>4357754.609519463</v>
      </c>
      <c r="HO12" s="125">
        <f t="shared" si="29"/>
        <v>4357754.609519463</v>
      </c>
      <c r="HP12" s="125">
        <f t="shared" si="29"/>
        <v>4357754.609519463</v>
      </c>
      <c r="HQ12" s="125">
        <f t="shared" si="29"/>
        <v>4357754.609519463</v>
      </c>
      <c r="HR12" s="125">
        <f t="shared" si="29"/>
        <v>4357754.609519463</v>
      </c>
      <c r="HS12" s="125">
        <f t="shared" si="29"/>
        <v>4357754.609519463</v>
      </c>
      <c r="HT12" s="125">
        <f t="shared" si="29"/>
        <v>4357754.609519463</v>
      </c>
      <c r="HU12" s="125">
        <f t="shared" si="29"/>
        <v>4357754.609519463</v>
      </c>
      <c r="HV12" s="125">
        <f t="shared" si="29"/>
        <v>4357754.609519463</v>
      </c>
      <c r="HW12" s="125">
        <f t="shared" si="29"/>
        <v>4357754.609519463</v>
      </c>
      <c r="HX12" s="125">
        <f t="shared" si="29"/>
        <v>4357754.609519463</v>
      </c>
      <c r="HY12" s="125">
        <f t="shared" si="29"/>
        <v>4357754.609519463</v>
      </c>
      <c r="HZ12" s="125">
        <f t="shared" si="29"/>
        <v>4357754.609519463</v>
      </c>
      <c r="IA12" s="125">
        <f t="shared" si="29"/>
        <v>4357754.609519463</v>
      </c>
      <c r="IB12" s="125">
        <f t="shared" si="29"/>
        <v>4357754.609519463</v>
      </c>
      <c r="IC12" s="125">
        <f t="shared" si="29"/>
        <v>4357754.609519463</v>
      </c>
      <c r="ID12" s="125">
        <f t="shared" si="29"/>
        <v>4357754.609519463</v>
      </c>
      <c r="IE12" s="125">
        <f t="shared" si="29"/>
        <v>4357754.609519463</v>
      </c>
      <c r="IF12" s="125">
        <f t="shared" si="29"/>
        <v>4357754.609519463</v>
      </c>
      <c r="IG12" s="125">
        <f t="shared" si="29"/>
        <v>4357754.609519463</v>
      </c>
      <c r="IH12" s="125">
        <f t="shared" si="29"/>
        <v>4357754.609519463</v>
      </c>
      <c r="II12" s="125">
        <f t="shared" si="29"/>
        <v>4357754.609519463</v>
      </c>
      <c r="IJ12" s="125">
        <f t="shared" si="29"/>
        <v>4357754.609519463</v>
      </c>
      <c r="IK12" s="125">
        <f t="shared" si="29"/>
        <v>4357754.609519463</v>
      </c>
      <c r="IL12" s="125">
        <f t="shared" si="29"/>
        <v>4357754.609519463</v>
      </c>
      <c r="IM12" s="125">
        <f t="shared" si="29"/>
        <v>4357754.609519463</v>
      </c>
      <c r="IN12" s="125">
        <f t="shared" si="29"/>
        <v>4357754.609519463</v>
      </c>
      <c r="IO12" s="125">
        <f t="shared" si="29"/>
        <v>4357754.609519463</v>
      </c>
      <c r="IP12" s="125">
        <f t="shared" si="29"/>
        <v>4357754.609519463</v>
      </c>
      <c r="IQ12" s="125">
        <f t="shared" si="29"/>
        <v>4357754.609519463</v>
      </c>
      <c r="IR12" s="125">
        <f t="shared" si="29"/>
        <v>4357754.609519463</v>
      </c>
      <c r="IS12" s="125">
        <f t="shared" si="29"/>
        <v>4357754.609519463</v>
      </c>
      <c r="IT12" s="125">
        <f t="shared" si="29"/>
        <v>4357754.609519463</v>
      </c>
      <c r="IU12" s="125">
        <f t="shared" si="29"/>
        <v>4357754.609519463</v>
      </c>
      <c r="IV12" s="125">
        <f t="shared" si="29"/>
        <v>4357754.609519463</v>
      </c>
      <c r="IW12" s="125">
        <f t="shared" si="29"/>
        <v>4357754.609519463</v>
      </c>
      <c r="IX12" s="125">
        <f t="shared" si="29"/>
        <v>4357754.609519463</v>
      </c>
      <c r="IY12" s="125">
        <f t="shared" si="29"/>
        <v>4357754.609519463</v>
      </c>
      <c r="IZ12" s="125">
        <f t="shared" si="29"/>
        <v>4357754.609519463</v>
      </c>
      <c r="JA12" s="125">
        <f t="shared" si="29"/>
        <v>4357754.609519463</v>
      </c>
      <c r="JB12" s="125">
        <f t="shared" si="29"/>
        <v>4357754.609519463</v>
      </c>
      <c r="JC12" s="125">
        <f t="shared" si="29"/>
        <v>4357754.609519463</v>
      </c>
      <c r="JD12" s="125">
        <f t="shared" si="29"/>
        <v>4357754.609519463</v>
      </c>
      <c r="JE12" s="125">
        <f t="shared" ref="JE12:KE12" si="30">JD12+JE11</f>
        <v>4357754.609519463</v>
      </c>
      <c r="JF12" s="125">
        <f t="shared" si="30"/>
        <v>4357754.609519463</v>
      </c>
      <c r="JG12" s="125">
        <f t="shared" si="30"/>
        <v>4357754.609519463</v>
      </c>
      <c r="JH12" s="125">
        <f t="shared" si="30"/>
        <v>4357754.609519463</v>
      </c>
      <c r="JI12" s="125">
        <f t="shared" si="30"/>
        <v>4357754.609519463</v>
      </c>
      <c r="JJ12" s="125">
        <f t="shared" si="30"/>
        <v>4357754.609519463</v>
      </c>
      <c r="JK12" s="125">
        <f t="shared" si="30"/>
        <v>4357754.609519463</v>
      </c>
      <c r="JL12" s="125">
        <f t="shared" si="30"/>
        <v>4357754.609519463</v>
      </c>
      <c r="JM12" s="125">
        <f t="shared" si="30"/>
        <v>4357754.609519463</v>
      </c>
      <c r="JN12" s="125">
        <f t="shared" si="30"/>
        <v>4357754.609519463</v>
      </c>
      <c r="JO12" s="125">
        <f t="shared" si="30"/>
        <v>4357754.609519463</v>
      </c>
      <c r="JP12" s="125">
        <f t="shared" si="30"/>
        <v>4357754.609519463</v>
      </c>
      <c r="JQ12" s="125">
        <f t="shared" si="30"/>
        <v>4357754.609519463</v>
      </c>
      <c r="JR12" s="125">
        <f t="shared" si="30"/>
        <v>4357754.609519463</v>
      </c>
      <c r="JS12" s="125">
        <f t="shared" si="30"/>
        <v>4357754.609519463</v>
      </c>
      <c r="JT12" s="125">
        <f t="shared" si="30"/>
        <v>4357754.609519463</v>
      </c>
      <c r="JU12" s="125">
        <f t="shared" si="30"/>
        <v>4357754.609519463</v>
      </c>
      <c r="JV12" s="125">
        <f t="shared" si="30"/>
        <v>4357754.609519463</v>
      </c>
      <c r="JW12" s="125">
        <f t="shared" si="30"/>
        <v>4357754.609519463</v>
      </c>
      <c r="JX12" s="125">
        <f t="shared" si="30"/>
        <v>4357754.609519463</v>
      </c>
      <c r="JY12" s="125">
        <f t="shared" si="30"/>
        <v>4357754.609519463</v>
      </c>
      <c r="JZ12" s="125">
        <f t="shared" si="30"/>
        <v>4357754.609519463</v>
      </c>
      <c r="KA12" s="125">
        <f t="shared" si="30"/>
        <v>4357754.609519463</v>
      </c>
      <c r="KB12" s="125">
        <f t="shared" si="30"/>
        <v>4357754.609519463</v>
      </c>
      <c r="KC12" s="125">
        <f t="shared" si="30"/>
        <v>4357754.609519463</v>
      </c>
      <c r="KD12" s="125">
        <f t="shared" si="30"/>
        <v>4357754.609519463</v>
      </c>
      <c r="KE12" s="125">
        <f t="shared" si="30"/>
        <v>4357754.609519463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2087964.3732116497</v>
      </c>
      <c r="P14" s="118">
        <f t="shared" si="32"/>
        <v>1976323.1928783164</v>
      </c>
      <c r="Q14" s="118">
        <f t="shared" si="32"/>
        <v>1808861.4223783165</v>
      </c>
      <c r="R14" s="118">
        <f t="shared" si="32"/>
        <v>4791667.6698235301</v>
      </c>
      <c r="S14" s="118">
        <f t="shared" si="32"/>
        <v>4788167.6698235301</v>
      </c>
      <c r="T14" s="118">
        <f t="shared" si="32"/>
        <v>4788167.6698235301</v>
      </c>
      <c r="U14" s="118">
        <f t="shared" si="32"/>
        <v>4788167.6698235301</v>
      </c>
      <c r="V14" s="118">
        <f t="shared" si="32"/>
        <v>4788167.6698235301</v>
      </c>
      <c r="W14" s="118">
        <f t="shared" si="32"/>
        <v>4784667.6698235301</v>
      </c>
      <c r="X14" s="118">
        <f t="shared" si="32"/>
        <v>4784667.6698235301</v>
      </c>
      <c r="Y14" s="118">
        <f t="shared" si="32"/>
        <v>2419327.6698235306</v>
      </c>
      <c r="Z14" s="118">
        <f t="shared" si="32"/>
        <v>1155517.7083235309</v>
      </c>
      <c r="AA14" s="118">
        <f t="shared" si="32"/>
        <v>1071447.5521374005</v>
      </c>
      <c r="AB14" s="118">
        <f t="shared" si="32"/>
        <v>1388905.8507931102</v>
      </c>
      <c r="AC14" s="118">
        <f t="shared" si="32"/>
        <v>1368897.8507931102</v>
      </c>
      <c r="AD14" s="118">
        <f t="shared" si="32"/>
        <v>1368897.8507931102</v>
      </c>
      <c r="AE14" s="118">
        <f t="shared" si="32"/>
        <v>1313077.2606264437</v>
      </c>
      <c r="AF14" s="118">
        <f t="shared" si="32"/>
        <v>1309577.2606264437</v>
      </c>
      <c r="AG14" s="118">
        <f t="shared" si="32"/>
        <v>1309577.2606264437</v>
      </c>
      <c r="AH14" s="118">
        <f t="shared" si="32"/>
        <v>1309577.2606264437</v>
      </c>
      <c r="AI14" s="118">
        <f t="shared" si="32"/>
        <v>1309577.2606264437</v>
      </c>
      <c r="AJ14" s="118">
        <f t="shared" si="32"/>
        <v>1309577.2606264437</v>
      </c>
      <c r="AK14" s="118">
        <f t="shared" si="32"/>
        <v>1309577.2606264437</v>
      </c>
      <c r="AL14" s="118">
        <f t="shared" si="32"/>
        <v>1309577.2606264437</v>
      </c>
      <c r="AM14" s="118">
        <f t="shared" si="32"/>
        <v>1309577.2606264437</v>
      </c>
      <c r="AN14" s="118">
        <f t="shared" si="32"/>
        <v>1309577.2606264437</v>
      </c>
      <c r="AO14" s="118">
        <f t="shared" si="32"/>
        <v>1309577.2606264437</v>
      </c>
      <c r="AP14" s="118">
        <f t="shared" si="32"/>
        <v>1309577.2606264437</v>
      </c>
      <c r="AQ14" s="118">
        <f t="shared" si="32"/>
        <v>1309577.2606264437</v>
      </c>
      <c r="AR14" s="118">
        <f t="shared" si="32"/>
        <v>1309577.2606264437</v>
      </c>
      <c r="AS14" s="118">
        <f t="shared" si="32"/>
        <v>1309577.2606264437</v>
      </c>
      <c r="AT14" s="118">
        <f t="shared" si="32"/>
        <v>1309577.2606264437</v>
      </c>
      <c r="AU14" s="118">
        <f t="shared" si="32"/>
        <v>1309577.2606264437</v>
      </c>
      <c r="AV14" s="118">
        <f t="shared" si="32"/>
        <v>1309577.2606264437</v>
      </c>
      <c r="AW14" s="118">
        <f t="shared" si="32"/>
        <v>1309577.2606264437</v>
      </c>
      <c r="AX14" s="118">
        <f t="shared" si="32"/>
        <v>1309577.2606264437</v>
      </c>
      <c r="AY14" s="118">
        <f t="shared" si="32"/>
        <v>1309577.2606264437</v>
      </c>
      <c r="AZ14" s="118">
        <f t="shared" si="32"/>
        <v>1309577.2606264437</v>
      </c>
      <c r="BA14" s="118">
        <f t="shared" si="32"/>
        <v>1309577.2606264437</v>
      </c>
      <c r="BB14" s="118">
        <f t="shared" si="32"/>
        <v>1309577.2606264437</v>
      </c>
      <c r="BC14" s="118">
        <f t="shared" si="32"/>
        <v>1309577.2606264437</v>
      </c>
      <c r="BD14" s="118">
        <f t="shared" si="32"/>
        <v>1309577.2606264437</v>
      </c>
      <c r="BE14" s="118">
        <f t="shared" si="32"/>
        <v>1309577.2606264437</v>
      </c>
      <c r="BF14" s="118">
        <f t="shared" si="32"/>
        <v>1309577.2606264437</v>
      </c>
      <c r="BG14" s="118">
        <f t="shared" si="32"/>
        <v>1309577.2606264437</v>
      </c>
      <c r="BH14" s="118">
        <f t="shared" si="32"/>
        <v>1309577.2606264437</v>
      </c>
      <c r="BI14" s="118">
        <f t="shared" si="32"/>
        <v>1309577.2606264437</v>
      </c>
      <c r="BJ14" s="118">
        <f t="shared" si="32"/>
        <v>1309577.2606264437</v>
      </c>
      <c r="BK14" s="118">
        <f t="shared" si="32"/>
        <v>1309577.2606264437</v>
      </c>
      <c r="BL14" s="118">
        <f t="shared" si="32"/>
        <v>1309577.2606264437</v>
      </c>
      <c r="BM14" s="118">
        <f t="shared" si="32"/>
        <v>1309577.2606264437</v>
      </c>
      <c r="BN14" s="118">
        <f t="shared" si="32"/>
        <v>1309577.2606264437</v>
      </c>
      <c r="BO14" s="118">
        <f t="shared" si="32"/>
        <v>1309577.2606264437</v>
      </c>
      <c r="BP14" s="118">
        <f t="shared" si="32"/>
        <v>1309577.2606264437</v>
      </c>
      <c r="BQ14" s="118">
        <f t="shared" si="32"/>
        <v>1309577.2606264437</v>
      </c>
      <c r="BR14" s="118">
        <f t="shared" si="32"/>
        <v>1309577.2606264437</v>
      </c>
      <c r="BS14" s="118">
        <f t="shared" si="32"/>
        <v>1309577.2606264437</v>
      </c>
      <c r="BT14" s="118">
        <f t="shared" si="32"/>
        <v>1309577.2606264437</v>
      </c>
      <c r="BU14" s="118">
        <f t="shared" ref="BU14:EF14" si="33">BU10-BU12</f>
        <v>1309577.2606264437</v>
      </c>
      <c r="BV14" s="118">
        <f t="shared" si="33"/>
        <v>1309577.2606264437</v>
      </c>
      <c r="BW14" s="118">
        <f t="shared" si="33"/>
        <v>1309577.2606264437</v>
      </c>
      <c r="BX14" s="118">
        <f t="shared" si="33"/>
        <v>1309577.2606264437</v>
      </c>
      <c r="BY14" s="118">
        <f t="shared" si="33"/>
        <v>1309577.2606264437</v>
      </c>
      <c r="BZ14" s="118">
        <f t="shared" si="33"/>
        <v>1309577.2606264437</v>
      </c>
      <c r="CA14" s="118">
        <f t="shared" si="33"/>
        <v>1309577.2606264437</v>
      </c>
      <c r="CB14" s="118">
        <f t="shared" si="33"/>
        <v>1607857.8853709651</v>
      </c>
      <c r="CC14" s="118">
        <f t="shared" si="33"/>
        <v>1607857.8853709651</v>
      </c>
      <c r="CD14" s="118">
        <f t="shared" si="33"/>
        <v>1607857.8853709651</v>
      </c>
      <c r="CE14" s="118">
        <f t="shared" si="33"/>
        <v>1607857.8853709651</v>
      </c>
      <c r="CF14" s="118">
        <f t="shared" si="33"/>
        <v>1607857.8853709651</v>
      </c>
      <c r="CG14" s="118">
        <f t="shared" si="33"/>
        <v>1607857.8853709651</v>
      </c>
      <c r="CH14" s="118">
        <f t="shared" si="33"/>
        <v>1607857.8853709651</v>
      </c>
      <c r="CI14" s="118">
        <f t="shared" si="33"/>
        <v>1607857.8853709651</v>
      </c>
      <c r="CJ14" s="118">
        <f t="shared" si="33"/>
        <v>1607857.8853709651</v>
      </c>
      <c r="CK14" s="118">
        <f t="shared" si="33"/>
        <v>1607857.8853709651</v>
      </c>
      <c r="CL14" s="118">
        <f t="shared" si="33"/>
        <v>1607857.8853709651</v>
      </c>
      <c r="CM14" s="118">
        <f t="shared" si="33"/>
        <v>1607857.8853709651</v>
      </c>
      <c r="CN14" s="118">
        <f t="shared" si="33"/>
        <v>1607857.8853709651</v>
      </c>
      <c r="CO14" s="118">
        <f t="shared" si="33"/>
        <v>1607857.8853709651</v>
      </c>
      <c r="CP14" s="118">
        <f t="shared" si="33"/>
        <v>1607857.8853709651</v>
      </c>
      <c r="CQ14" s="118">
        <f t="shared" si="33"/>
        <v>1607857.8853709651</v>
      </c>
      <c r="CR14" s="118">
        <f t="shared" si="33"/>
        <v>1607857.8853709651</v>
      </c>
      <c r="CS14" s="118">
        <f t="shared" si="33"/>
        <v>1607857.8853709651</v>
      </c>
      <c r="CT14" s="118">
        <f t="shared" si="33"/>
        <v>1607857.8853709651</v>
      </c>
      <c r="CU14" s="118">
        <f t="shared" si="33"/>
        <v>1607857.8853709651</v>
      </c>
      <c r="CV14" s="118">
        <f t="shared" si="33"/>
        <v>1607857.8853709651</v>
      </c>
      <c r="CW14" s="118">
        <f t="shared" si="33"/>
        <v>1607857.8853709651</v>
      </c>
      <c r="CX14" s="118">
        <f t="shared" si="33"/>
        <v>1607857.8853709651</v>
      </c>
      <c r="CY14" s="118">
        <f t="shared" si="33"/>
        <v>1607857.8853709651</v>
      </c>
      <c r="CZ14" s="118">
        <f t="shared" si="33"/>
        <v>1607857.8853709651</v>
      </c>
      <c r="DA14" s="118">
        <f t="shared" si="33"/>
        <v>1607857.8853709651</v>
      </c>
      <c r="DB14" s="118">
        <f t="shared" si="33"/>
        <v>1607857.8853709651</v>
      </c>
      <c r="DC14" s="118">
        <f t="shared" si="33"/>
        <v>1607857.8853709651</v>
      </c>
      <c r="DD14" s="118">
        <f t="shared" si="33"/>
        <v>1607857.8853709651</v>
      </c>
      <c r="DE14" s="118">
        <f t="shared" si="33"/>
        <v>1607857.8853709651</v>
      </c>
      <c r="DF14" s="118">
        <f t="shared" si="33"/>
        <v>1607857.8853709651</v>
      </c>
      <c r="DG14" s="118">
        <f t="shared" si="33"/>
        <v>1607857.8853709651</v>
      </c>
      <c r="DH14" s="118">
        <f t="shared" si="33"/>
        <v>1607857.8853709651</v>
      </c>
      <c r="DI14" s="118">
        <f t="shared" si="33"/>
        <v>1607857.8853709651</v>
      </c>
      <c r="DJ14" s="118">
        <f t="shared" si="33"/>
        <v>1607857.8853709651</v>
      </c>
      <c r="DK14" s="118">
        <f t="shared" si="33"/>
        <v>1607857.8853709651</v>
      </c>
      <c r="DL14" s="118">
        <f t="shared" si="33"/>
        <v>1607857.8853709651</v>
      </c>
      <c r="DM14" s="118">
        <f t="shared" si="33"/>
        <v>1607857.8853709651</v>
      </c>
      <c r="DN14" s="118">
        <f t="shared" si="33"/>
        <v>1607857.8853709651</v>
      </c>
      <c r="DO14" s="118">
        <f t="shared" si="33"/>
        <v>1607857.8853709651</v>
      </c>
      <c r="DP14" s="118">
        <f t="shared" si="33"/>
        <v>1607857.8853709651</v>
      </c>
      <c r="DQ14" s="118">
        <f t="shared" si="33"/>
        <v>1607857.8853709651</v>
      </c>
      <c r="DR14" s="118">
        <f t="shared" si="33"/>
        <v>1607857.8853709651</v>
      </c>
      <c r="DS14" s="118">
        <f t="shared" si="33"/>
        <v>1607857.8853709651</v>
      </c>
      <c r="DT14" s="118">
        <f t="shared" si="33"/>
        <v>1607857.8853709651</v>
      </c>
      <c r="DU14" s="118">
        <f t="shared" si="33"/>
        <v>1607857.8853709651</v>
      </c>
      <c r="DV14" s="118">
        <f t="shared" si="33"/>
        <v>1607857.8853709651</v>
      </c>
      <c r="DW14" s="118">
        <f t="shared" si="33"/>
        <v>1607857.8853709651</v>
      </c>
      <c r="DX14" s="118">
        <f t="shared" si="33"/>
        <v>1607857.8853709651</v>
      </c>
      <c r="DY14" s="118">
        <f t="shared" si="33"/>
        <v>1607857.8853709651</v>
      </c>
      <c r="DZ14" s="118">
        <f t="shared" si="33"/>
        <v>1607857.8853709651</v>
      </c>
      <c r="EA14" s="118">
        <f t="shared" si="33"/>
        <v>1607857.8853709651</v>
      </c>
      <c r="EB14" s="118">
        <f t="shared" si="33"/>
        <v>1607857.8853709651</v>
      </c>
      <c r="EC14" s="118">
        <f t="shared" si="33"/>
        <v>1607857.8853709651</v>
      </c>
      <c r="ED14" s="118">
        <f t="shared" si="33"/>
        <v>1607857.8853709651</v>
      </c>
      <c r="EE14" s="118">
        <f t="shared" si="33"/>
        <v>1607857.8853709651</v>
      </c>
      <c r="EF14" s="118">
        <f t="shared" si="33"/>
        <v>1607857.8853709651</v>
      </c>
      <c r="EG14" s="118">
        <f t="shared" ref="EG14:GR14" si="34">EG10-EG12</f>
        <v>1607857.8853709651</v>
      </c>
      <c r="EH14" s="118">
        <f t="shared" si="34"/>
        <v>1607857.8853709651</v>
      </c>
      <c r="EI14" s="118">
        <f t="shared" si="34"/>
        <v>1607857.8853709651</v>
      </c>
      <c r="EJ14" s="118">
        <f t="shared" si="34"/>
        <v>1607857.8853709651</v>
      </c>
      <c r="EK14" s="118">
        <f t="shared" si="34"/>
        <v>1607857.8853709651</v>
      </c>
      <c r="EL14" s="118">
        <f t="shared" si="34"/>
        <v>1607857.8853709651</v>
      </c>
      <c r="EM14" s="118">
        <f t="shared" si="34"/>
        <v>1607857.8853709651</v>
      </c>
      <c r="EN14" s="118">
        <f t="shared" si="34"/>
        <v>1607857.8853709651</v>
      </c>
      <c r="EO14" s="118">
        <f t="shared" si="34"/>
        <v>1607857.8853709651</v>
      </c>
      <c r="EP14" s="118">
        <f t="shared" si="34"/>
        <v>1607857.8853709651</v>
      </c>
      <c r="EQ14" s="118">
        <f t="shared" si="34"/>
        <v>1607857.8853709651</v>
      </c>
      <c r="ER14" s="118">
        <f t="shared" si="34"/>
        <v>1607857.8853709651</v>
      </c>
      <c r="ES14" s="118">
        <f t="shared" si="34"/>
        <v>1607857.8853709651</v>
      </c>
      <c r="ET14" s="118">
        <f t="shared" si="34"/>
        <v>1607857.8853709651</v>
      </c>
      <c r="EU14" s="118">
        <f t="shared" si="34"/>
        <v>1607857.8853709651</v>
      </c>
      <c r="EV14" s="118">
        <f t="shared" si="34"/>
        <v>1607857.8853709651</v>
      </c>
      <c r="EW14" s="118">
        <f t="shared" si="34"/>
        <v>1607857.8853709651</v>
      </c>
      <c r="EX14" s="118">
        <f t="shared" si="34"/>
        <v>1607857.8853709651</v>
      </c>
      <c r="EY14" s="118">
        <f t="shared" si="34"/>
        <v>1607857.8853709651</v>
      </c>
      <c r="EZ14" s="118">
        <f t="shared" si="34"/>
        <v>1607857.8853709651</v>
      </c>
      <c r="FA14" s="118">
        <f t="shared" si="34"/>
        <v>1607857.8853709651</v>
      </c>
      <c r="FB14" s="118">
        <f t="shared" si="34"/>
        <v>1607857.8853709651</v>
      </c>
      <c r="FC14" s="118">
        <f t="shared" si="34"/>
        <v>1607857.8853709651</v>
      </c>
      <c r="FD14" s="118">
        <f t="shared" si="34"/>
        <v>1607857.8853709651</v>
      </c>
      <c r="FE14" s="118">
        <f t="shared" si="34"/>
        <v>1607857.8853709651</v>
      </c>
      <c r="FF14" s="118">
        <f t="shared" si="34"/>
        <v>1607857.8853709651</v>
      </c>
      <c r="FG14" s="118">
        <f t="shared" si="34"/>
        <v>1607857.8853709651</v>
      </c>
      <c r="FH14" s="118">
        <f t="shared" si="34"/>
        <v>1607857.8853709651</v>
      </c>
      <c r="FI14" s="118">
        <f t="shared" si="34"/>
        <v>1607857.8853709651</v>
      </c>
      <c r="FJ14" s="118">
        <f t="shared" si="34"/>
        <v>1607857.8853709651</v>
      </c>
      <c r="FK14" s="118">
        <f t="shared" si="34"/>
        <v>1607857.8853709651</v>
      </c>
      <c r="FL14" s="118">
        <f t="shared" si="34"/>
        <v>1607857.8853709651</v>
      </c>
      <c r="FM14" s="118">
        <f t="shared" si="34"/>
        <v>1607857.8853709651</v>
      </c>
      <c r="FN14" s="118">
        <f t="shared" si="34"/>
        <v>1607857.8853709651</v>
      </c>
      <c r="FO14" s="118">
        <f t="shared" si="34"/>
        <v>1607857.8853709651</v>
      </c>
      <c r="FP14" s="118">
        <f t="shared" si="34"/>
        <v>1607857.8853709651</v>
      </c>
      <c r="FQ14" s="118">
        <f t="shared" si="34"/>
        <v>1607857.8853709651</v>
      </c>
      <c r="FR14" s="118">
        <f t="shared" si="34"/>
        <v>1607857.8853709651</v>
      </c>
      <c r="FS14" s="118">
        <f t="shared" si="34"/>
        <v>1607857.8853709651</v>
      </c>
      <c r="FT14" s="118">
        <f t="shared" si="34"/>
        <v>1607857.8853709651</v>
      </c>
      <c r="FU14" s="118">
        <f t="shared" si="34"/>
        <v>1607857.8853709651</v>
      </c>
      <c r="FV14" s="118">
        <f t="shared" si="34"/>
        <v>1607857.8853709651</v>
      </c>
      <c r="FW14" s="118">
        <f t="shared" si="34"/>
        <v>1607857.8853709651</v>
      </c>
      <c r="FX14" s="118">
        <f t="shared" si="34"/>
        <v>1607857.8853709651</v>
      </c>
      <c r="FY14" s="118">
        <f t="shared" si="34"/>
        <v>1607857.8853709651</v>
      </c>
      <c r="FZ14" s="118">
        <f t="shared" si="34"/>
        <v>1607857.8853709651</v>
      </c>
      <c r="GA14" s="118">
        <f t="shared" si="34"/>
        <v>1607857.8853709651</v>
      </c>
      <c r="GB14" s="118">
        <f t="shared" si="34"/>
        <v>1607857.8853709651</v>
      </c>
      <c r="GC14" s="118">
        <f t="shared" si="34"/>
        <v>1607857.8853709651</v>
      </c>
      <c r="GD14" s="118">
        <f t="shared" si="34"/>
        <v>1607857.8853709651</v>
      </c>
      <c r="GE14" s="118">
        <f t="shared" si="34"/>
        <v>1607857.8853709651</v>
      </c>
      <c r="GF14" s="118">
        <f t="shared" si="34"/>
        <v>1607857.8853709651</v>
      </c>
      <c r="GG14" s="118">
        <f t="shared" si="34"/>
        <v>1607857.8853709651</v>
      </c>
      <c r="GH14" s="118">
        <f t="shared" si="34"/>
        <v>1607857.8853709651</v>
      </c>
      <c r="GI14" s="118">
        <f t="shared" si="34"/>
        <v>1607857.8853709651</v>
      </c>
      <c r="GJ14" s="118">
        <f t="shared" si="34"/>
        <v>1607857.8853709651</v>
      </c>
      <c r="GK14" s="118">
        <f t="shared" si="34"/>
        <v>1607857.8853709651</v>
      </c>
      <c r="GL14" s="118">
        <f t="shared" si="34"/>
        <v>1607857.8853709651</v>
      </c>
      <c r="GM14" s="118">
        <f t="shared" si="34"/>
        <v>1607857.8853709651</v>
      </c>
      <c r="GN14" s="118">
        <f t="shared" si="34"/>
        <v>1607857.8853709651</v>
      </c>
      <c r="GO14" s="118">
        <f t="shared" si="34"/>
        <v>1607857.8853709651</v>
      </c>
      <c r="GP14" s="118">
        <f t="shared" si="34"/>
        <v>1607857.8853709651</v>
      </c>
      <c r="GQ14" s="118">
        <f t="shared" si="34"/>
        <v>1607857.8853709651</v>
      </c>
      <c r="GR14" s="118">
        <f t="shared" si="34"/>
        <v>1607857.8853709651</v>
      </c>
      <c r="GS14" s="118">
        <f t="shared" ref="GS14:JD14" si="35">GS10-GS12</f>
        <v>1607857.8853709651</v>
      </c>
      <c r="GT14" s="118">
        <f t="shared" si="35"/>
        <v>1607857.8853709651</v>
      </c>
      <c r="GU14" s="118">
        <f t="shared" si="35"/>
        <v>1607857.8853709651</v>
      </c>
      <c r="GV14" s="118">
        <f t="shared" si="35"/>
        <v>1607857.8853709651</v>
      </c>
      <c r="GW14" s="118">
        <f t="shared" si="35"/>
        <v>1607857.8853709651</v>
      </c>
      <c r="GX14" s="118">
        <f t="shared" si="35"/>
        <v>1607857.8853709651</v>
      </c>
      <c r="GY14" s="118">
        <f t="shared" si="35"/>
        <v>1607857.8853709651</v>
      </c>
      <c r="GZ14" s="118">
        <f t="shared" si="35"/>
        <v>1607857.8853709651</v>
      </c>
      <c r="HA14" s="118">
        <f t="shared" si="35"/>
        <v>1607857.8853709651</v>
      </c>
      <c r="HB14" s="118">
        <f t="shared" si="35"/>
        <v>1607857.8853709651</v>
      </c>
      <c r="HC14" s="118">
        <f t="shared" si="35"/>
        <v>1607857.8853709651</v>
      </c>
      <c r="HD14" s="118">
        <f t="shared" si="35"/>
        <v>1607857.8853709651</v>
      </c>
      <c r="HE14" s="118">
        <f t="shared" si="35"/>
        <v>1607857.8853709651</v>
      </c>
      <c r="HF14" s="118">
        <f t="shared" si="35"/>
        <v>1607857.8853709651</v>
      </c>
      <c r="HG14" s="118">
        <f t="shared" si="35"/>
        <v>1607857.8853709651</v>
      </c>
      <c r="HH14" s="118">
        <f t="shared" si="35"/>
        <v>1607857.8853709651</v>
      </c>
      <c r="HI14" s="118">
        <f t="shared" si="35"/>
        <v>1607857.8853709651</v>
      </c>
      <c r="HJ14" s="118">
        <f t="shared" si="35"/>
        <v>1607857.8853709651</v>
      </c>
      <c r="HK14" s="118">
        <f t="shared" si="35"/>
        <v>1607857.8853709651</v>
      </c>
      <c r="HL14" s="118">
        <f t="shared" si="35"/>
        <v>1607857.8853709651</v>
      </c>
      <c r="HM14" s="118">
        <f t="shared" si="35"/>
        <v>1607857.8853709651</v>
      </c>
      <c r="HN14" s="118">
        <f t="shared" si="35"/>
        <v>1607857.8853709651</v>
      </c>
      <c r="HO14" s="118">
        <f t="shared" si="35"/>
        <v>1607857.8853709651</v>
      </c>
      <c r="HP14" s="118">
        <f t="shared" si="35"/>
        <v>1607857.8853709651</v>
      </c>
      <c r="HQ14" s="118">
        <f t="shared" si="35"/>
        <v>1607857.8853709651</v>
      </c>
      <c r="HR14" s="118">
        <f t="shared" si="35"/>
        <v>1607857.8853709651</v>
      </c>
      <c r="HS14" s="118">
        <f t="shared" si="35"/>
        <v>1607857.8853709651</v>
      </c>
      <c r="HT14" s="118">
        <f t="shared" si="35"/>
        <v>1607857.8853709651</v>
      </c>
      <c r="HU14" s="118">
        <f t="shared" si="35"/>
        <v>1607857.8853709651</v>
      </c>
      <c r="HV14" s="118">
        <f t="shared" si="35"/>
        <v>1607857.8853709651</v>
      </c>
      <c r="HW14" s="118">
        <f t="shared" si="35"/>
        <v>1607857.8853709651</v>
      </c>
      <c r="HX14" s="118">
        <f t="shared" si="35"/>
        <v>1607857.8853709651</v>
      </c>
      <c r="HY14" s="118">
        <f t="shared" si="35"/>
        <v>1607857.8853709651</v>
      </c>
      <c r="HZ14" s="118">
        <f t="shared" si="35"/>
        <v>1607857.8853709651</v>
      </c>
      <c r="IA14" s="118">
        <f t="shared" si="35"/>
        <v>1607857.8853709651</v>
      </c>
      <c r="IB14" s="118">
        <f t="shared" si="35"/>
        <v>1607857.8853709651</v>
      </c>
      <c r="IC14" s="118">
        <f t="shared" si="35"/>
        <v>1607857.8853709651</v>
      </c>
      <c r="ID14" s="118">
        <f t="shared" si="35"/>
        <v>1607857.8853709651</v>
      </c>
      <c r="IE14" s="118">
        <f t="shared" si="35"/>
        <v>1607857.8853709651</v>
      </c>
      <c r="IF14" s="118">
        <f t="shared" si="35"/>
        <v>1607857.8853709651</v>
      </c>
      <c r="IG14" s="118">
        <f t="shared" si="35"/>
        <v>1607857.8853709651</v>
      </c>
      <c r="IH14" s="118">
        <f t="shared" si="35"/>
        <v>1607857.8853709651</v>
      </c>
      <c r="II14" s="118">
        <f t="shared" si="35"/>
        <v>1607857.8853709651</v>
      </c>
      <c r="IJ14" s="118">
        <f t="shared" si="35"/>
        <v>1607857.8853709651</v>
      </c>
      <c r="IK14" s="118">
        <f t="shared" si="35"/>
        <v>1607857.8853709651</v>
      </c>
      <c r="IL14" s="118">
        <f t="shared" si="35"/>
        <v>1607857.8853709651</v>
      </c>
      <c r="IM14" s="118">
        <f t="shared" si="35"/>
        <v>1607857.8853709651</v>
      </c>
      <c r="IN14" s="118">
        <f t="shared" si="35"/>
        <v>1607857.8853709651</v>
      </c>
      <c r="IO14" s="118">
        <f t="shared" si="35"/>
        <v>1607857.8853709651</v>
      </c>
      <c r="IP14" s="118">
        <f t="shared" si="35"/>
        <v>1607857.8853709651</v>
      </c>
      <c r="IQ14" s="118">
        <f t="shared" si="35"/>
        <v>1607857.8853709651</v>
      </c>
      <c r="IR14" s="118">
        <f t="shared" si="35"/>
        <v>1607857.8853709651</v>
      </c>
      <c r="IS14" s="118">
        <f t="shared" si="35"/>
        <v>1607857.8853709651</v>
      </c>
      <c r="IT14" s="118">
        <f t="shared" si="35"/>
        <v>1607857.8853709651</v>
      </c>
      <c r="IU14" s="118">
        <f t="shared" si="35"/>
        <v>1607857.8853709651</v>
      </c>
      <c r="IV14" s="118">
        <f t="shared" si="35"/>
        <v>1607857.8853709651</v>
      </c>
      <c r="IW14" s="118">
        <f t="shared" si="35"/>
        <v>1607857.8853709651</v>
      </c>
      <c r="IX14" s="118">
        <f t="shared" si="35"/>
        <v>1607857.8853709651</v>
      </c>
      <c r="IY14" s="118">
        <f t="shared" si="35"/>
        <v>1607857.8853709651</v>
      </c>
      <c r="IZ14" s="118">
        <f t="shared" si="35"/>
        <v>1607857.8853709651</v>
      </c>
      <c r="JA14" s="118">
        <f t="shared" si="35"/>
        <v>1607857.8853709651</v>
      </c>
      <c r="JB14" s="118">
        <f t="shared" si="35"/>
        <v>1607857.8853709651</v>
      </c>
      <c r="JC14" s="118">
        <f t="shared" si="35"/>
        <v>1607857.8853709651</v>
      </c>
      <c r="JD14" s="118">
        <f t="shared" si="35"/>
        <v>1607857.8853709651</v>
      </c>
      <c r="JE14" s="118">
        <f t="shared" ref="JE14:KE14" si="36">JE10-JE12</f>
        <v>1607857.8853709651</v>
      </c>
      <c r="JF14" s="118">
        <f t="shared" si="36"/>
        <v>1607857.8853709651</v>
      </c>
      <c r="JG14" s="118">
        <f t="shared" si="36"/>
        <v>1607857.8853709651</v>
      </c>
      <c r="JH14" s="118">
        <f t="shared" si="36"/>
        <v>1607857.8853709651</v>
      </c>
      <c r="JI14" s="118">
        <f t="shared" si="36"/>
        <v>1607857.8853709651</v>
      </c>
      <c r="JJ14" s="118">
        <f t="shared" si="36"/>
        <v>1607857.8853709651</v>
      </c>
      <c r="JK14" s="118">
        <f t="shared" si="36"/>
        <v>1607857.8853709651</v>
      </c>
      <c r="JL14" s="118">
        <f t="shared" si="36"/>
        <v>1607857.8853709651</v>
      </c>
      <c r="JM14" s="118">
        <f t="shared" si="36"/>
        <v>1607857.8853709651</v>
      </c>
      <c r="JN14" s="118">
        <f t="shared" si="36"/>
        <v>1607857.8853709651</v>
      </c>
      <c r="JO14" s="118">
        <f t="shared" si="36"/>
        <v>1607857.8853709651</v>
      </c>
      <c r="JP14" s="118">
        <f t="shared" si="36"/>
        <v>1607857.8853709651</v>
      </c>
      <c r="JQ14" s="118">
        <f t="shared" si="36"/>
        <v>1607857.8853709651</v>
      </c>
      <c r="JR14" s="118">
        <f t="shared" si="36"/>
        <v>1607857.8853709651</v>
      </c>
      <c r="JS14" s="118">
        <f t="shared" si="36"/>
        <v>1607857.8853709651</v>
      </c>
      <c r="JT14" s="118">
        <f t="shared" si="36"/>
        <v>1607857.8853709651</v>
      </c>
      <c r="JU14" s="118">
        <f t="shared" si="36"/>
        <v>1607857.8853709651</v>
      </c>
      <c r="JV14" s="118">
        <f t="shared" si="36"/>
        <v>1607857.8853709651</v>
      </c>
      <c r="JW14" s="118">
        <f t="shared" si="36"/>
        <v>1607857.8853709651</v>
      </c>
      <c r="JX14" s="118">
        <f t="shared" si="36"/>
        <v>1607857.8853709651</v>
      </c>
      <c r="JY14" s="118">
        <f t="shared" si="36"/>
        <v>1607857.8853709651</v>
      </c>
      <c r="JZ14" s="118">
        <f t="shared" si="36"/>
        <v>1607857.8853709651</v>
      </c>
      <c r="KA14" s="118">
        <f t="shared" si="36"/>
        <v>1607857.8853709651</v>
      </c>
      <c r="KB14" s="118">
        <f t="shared" si="36"/>
        <v>1607857.8853709651</v>
      </c>
      <c r="KC14" s="118">
        <f t="shared" si="36"/>
        <v>1607857.8853709651</v>
      </c>
      <c r="KD14" s="118">
        <f t="shared" si="36"/>
        <v>1607857.8853709651</v>
      </c>
      <c r="KE14" s="118">
        <f t="shared" si="36"/>
        <v>1607857.8853709651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384</v>
      </c>
      <c r="C17" s="275">
        <f>C3-D17</f>
        <v>0</v>
      </c>
      <c r="D17" s="107">
        <f>SUM(F17:KE17)</f>
        <v>5965612.4948904281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121112.06824093319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379162.25891674031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4112327.8146537882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792612.77689259301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485342.90218080278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75054.674005570298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385</v>
      </c>
      <c r="C18" s="275">
        <f>D17-D18</f>
        <v>0</v>
      </c>
      <c r="D18" s="107">
        <f>MAX(F18:KE18)</f>
        <v>5965612.4948904281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121112.06824093319</v>
      </c>
      <c r="N18" s="125">
        <f t="shared" si="37"/>
        <v>121112.06824093319</v>
      </c>
      <c r="O18" s="125">
        <f t="shared" si="37"/>
        <v>121112.06824093319</v>
      </c>
      <c r="P18" s="125">
        <f t="shared" si="37"/>
        <v>121112.06824093319</v>
      </c>
      <c r="Q18" s="125">
        <f t="shared" si="37"/>
        <v>121112.06824093319</v>
      </c>
      <c r="R18" s="125">
        <f t="shared" si="37"/>
        <v>500274.32715767348</v>
      </c>
      <c r="S18" s="125">
        <f t="shared" si="37"/>
        <v>500274.32715767348</v>
      </c>
      <c r="T18" s="125">
        <f t="shared" si="37"/>
        <v>500274.32715767348</v>
      </c>
      <c r="U18" s="125">
        <f t="shared" si="37"/>
        <v>500274.32715767348</v>
      </c>
      <c r="V18" s="125">
        <f t="shared" si="37"/>
        <v>4612602.1418114621</v>
      </c>
      <c r="W18" s="125">
        <f t="shared" si="37"/>
        <v>4612602.1418114621</v>
      </c>
      <c r="X18" s="125">
        <f t="shared" si="37"/>
        <v>4612602.1418114621</v>
      </c>
      <c r="Y18" s="125">
        <f t="shared" si="37"/>
        <v>4612602.1418114621</v>
      </c>
      <c r="Z18" s="125">
        <f t="shared" si="37"/>
        <v>5405214.9187040552</v>
      </c>
      <c r="AA18" s="125">
        <f t="shared" si="37"/>
        <v>5405214.9187040552</v>
      </c>
      <c r="AB18" s="125">
        <f t="shared" si="37"/>
        <v>5405214.9187040552</v>
      </c>
      <c r="AC18" s="125">
        <f t="shared" si="37"/>
        <v>5405214.9187040552</v>
      </c>
      <c r="AD18" s="125">
        <f>AC18+AD17</f>
        <v>5405214.9187040552</v>
      </c>
      <c r="AE18" s="125">
        <f t="shared" si="37"/>
        <v>5890557.8208848583</v>
      </c>
      <c r="AF18" s="125">
        <f t="shared" si="37"/>
        <v>5890557.8208848583</v>
      </c>
      <c r="AG18" s="125">
        <f t="shared" si="37"/>
        <v>5890557.8208848583</v>
      </c>
      <c r="AH18" s="125">
        <f t="shared" si="37"/>
        <v>5890557.8208848583</v>
      </c>
      <c r="AI18" s="125">
        <f t="shared" si="37"/>
        <v>5965612.4948904281</v>
      </c>
      <c r="AJ18" s="125">
        <f t="shared" si="37"/>
        <v>5965612.4948904281</v>
      </c>
      <c r="AK18" s="125">
        <f t="shared" si="37"/>
        <v>5965612.4948904281</v>
      </c>
      <c r="AL18" s="125">
        <f t="shared" si="37"/>
        <v>5965612.4948904281</v>
      </c>
      <c r="AM18" s="125">
        <f t="shared" si="37"/>
        <v>5965612.4948904281</v>
      </c>
      <c r="AN18" s="125">
        <f t="shared" si="37"/>
        <v>5965612.4948904281</v>
      </c>
      <c r="AO18" s="125">
        <f t="shared" si="37"/>
        <v>5965612.4948904281</v>
      </c>
      <c r="AP18" s="125">
        <f t="shared" si="37"/>
        <v>5965612.4948904281</v>
      </c>
      <c r="AQ18" s="125">
        <f t="shared" si="37"/>
        <v>5965612.4948904281</v>
      </c>
      <c r="AR18" s="125">
        <f t="shared" si="37"/>
        <v>5965612.4948904281</v>
      </c>
      <c r="AS18" s="125">
        <f t="shared" si="37"/>
        <v>5965612.4948904281</v>
      </c>
      <c r="AT18" s="125">
        <f t="shared" si="37"/>
        <v>5965612.4948904281</v>
      </c>
      <c r="AU18" s="125">
        <f t="shared" si="37"/>
        <v>5965612.4948904281</v>
      </c>
      <c r="AV18" s="125">
        <f t="shared" si="37"/>
        <v>5965612.4948904281</v>
      </c>
      <c r="AW18" s="125">
        <f t="shared" si="37"/>
        <v>5965612.4948904281</v>
      </c>
      <c r="AX18" s="125">
        <f t="shared" si="37"/>
        <v>5965612.4948904281</v>
      </c>
      <c r="AY18" s="125">
        <f t="shared" si="37"/>
        <v>5965612.4948904281</v>
      </c>
      <c r="AZ18" s="125">
        <f t="shared" si="37"/>
        <v>5965612.4948904281</v>
      </c>
      <c r="BA18" s="125">
        <f t="shared" si="37"/>
        <v>5965612.4948904281</v>
      </c>
      <c r="BB18" s="125">
        <f t="shared" si="37"/>
        <v>5965612.4948904281</v>
      </c>
      <c r="BC18" s="125">
        <f t="shared" si="37"/>
        <v>5965612.4948904281</v>
      </c>
      <c r="BD18" s="125">
        <f t="shared" si="37"/>
        <v>5965612.4948904281</v>
      </c>
      <c r="BE18" s="125">
        <f t="shared" si="37"/>
        <v>5965612.4948904281</v>
      </c>
      <c r="BF18" s="125">
        <f t="shared" si="37"/>
        <v>5965612.4948904281</v>
      </c>
      <c r="BG18" s="125">
        <f t="shared" si="37"/>
        <v>5965612.4948904281</v>
      </c>
      <c r="BH18" s="125">
        <f t="shared" si="37"/>
        <v>5965612.4948904281</v>
      </c>
      <c r="BI18" s="125">
        <f t="shared" si="37"/>
        <v>5965612.4948904281</v>
      </c>
      <c r="BJ18" s="125">
        <f t="shared" si="37"/>
        <v>5965612.4948904281</v>
      </c>
      <c r="BK18" s="125">
        <f t="shared" si="37"/>
        <v>5965612.4948904281</v>
      </c>
      <c r="BL18" s="125">
        <f t="shared" si="37"/>
        <v>5965612.4948904281</v>
      </c>
      <c r="BM18" s="125">
        <f t="shared" si="37"/>
        <v>5965612.4948904281</v>
      </c>
      <c r="BN18" s="125">
        <f t="shared" si="37"/>
        <v>5965612.4948904281</v>
      </c>
      <c r="BO18" s="125">
        <f t="shared" si="37"/>
        <v>5965612.4948904281</v>
      </c>
      <c r="BP18" s="125">
        <f t="shared" si="37"/>
        <v>5965612.4948904281</v>
      </c>
      <c r="BQ18" s="125">
        <f t="shared" si="37"/>
        <v>5965612.4948904281</v>
      </c>
      <c r="BR18" s="125">
        <f t="shared" si="37"/>
        <v>5965612.4948904281</v>
      </c>
      <c r="BS18" s="125">
        <f t="shared" si="37"/>
        <v>5965612.4948904281</v>
      </c>
      <c r="BT18" s="125">
        <f t="shared" si="37"/>
        <v>5965612.4948904281</v>
      </c>
      <c r="BU18" s="125">
        <f t="shared" ref="BU18:EF18" si="38">BT18+BU17</f>
        <v>5965612.4948904281</v>
      </c>
      <c r="BV18" s="125">
        <f t="shared" si="38"/>
        <v>5965612.4948904281</v>
      </c>
      <c r="BW18" s="125">
        <f t="shared" si="38"/>
        <v>5965612.4948904281</v>
      </c>
      <c r="BX18" s="125">
        <f t="shared" si="38"/>
        <v>5965612.4948904281</v>
      </c>
      <c r="BY18" s="125">
        <f t="shared" si="38"/>
        <v>5965612.4948904281</v>
      </c>
      <c r="BZ18" s="125">
        <f t="shared" si="38"/>
        <v>5965612.4948904281</v>
      </c>
      <c r="CA18" s="125">
        <f t="shared" si="38"/>
        <v>5965612.4948904281</v>
      </c>
      <c r="CB18" s="125">
        <f t="shared" si="38"/>
        <v>5965612.4948904281</v>
      </c>
      <c r="CC18" s="125">
        <f t="shared" si="38"/>
        <v>5965612.4948904281</v>
      </c>
      <c r="CD18" s="125">
        <f t="shared" si="38"/>
        <v>5965612.4948904281</v>
      </c>
      <c r="CE18" s="125">
        <f t="shared" si="38"/>
        <v>5965612.4948904281</v>
      </c>
      <c r="CF18" s="125">
        <f t="shared" si="38"/>
        <v>5965612.4948904281</v>
      </c>
      <c r="CG18" s="125">
        <f t="shared" si="38"/>
        <v>5965612.4948904281</v>
      </c>
      <c r="CH18" s="125">
        <f t="shared" si="38"/>
        <v>5965612.4948904281</v>
      </c>
      <c r="CI18" s="125">
        <f t="shared" si="38"/>
        <v>5965612.4948904281</v>
      </c>
      <c r="CJ18" s="125">
        <f t="shared" si="38"/>
        <v>5965612.4948904281</v>
      </c>
      <c r="CK18" s="125">
        <f t="shared" si="38"/>
        <v>5965612.4948904281</v>
      </c>
      <c r="CL18" s="125">
        <f t="shared" si="38"/>
        <v>5965612.4948904281</v>
      </c>
      <c r="CM18" s="125">
        <f t="shared" si="38"/>
        <v>5965612.4948904281</v>
      </c>
      <c r="CN18" s="125">
        <f t="shared" si="38"/>
        <v>5965612.4948904281</v>
      </c>
      <c r="CO18" s="125">
        <f t="shared" si="38"/>
        <v>5965612.4948904281</v>
      </c>
      <c r="CP18" s="125">
        <f t="shared" si="38"/>
        <v>5965612.4948904281</v>
      </c>
      <c r="CQ18" s="125">
        <f t="shared" si="38"/>
        <v>5965612.4948904281</v>
      </c>
      <c r="CR18" s="125">
        <f t="shared" si="38"/>
        <v>5965612.4948904281</v>
      </c>
      <c r="CS18" s="125">
        <f t="shared" si="38"/>
        <v>5965612.4948904281</v>
      </c>
      <c r="CT18" s="125">
        <f t="shared" si="38"/>
        <v>5965612.4948904281</v>
      </c>
      <c r="CU18" s="125">
        <f t="shared" si="38"/>
        <v>5965612.4948904281</v>
      </c>
      <c r="CV18" s="125">
        <f t="shared" si="38"/>
        <v>5965612.4948904281</v>
      </c>
      <c r="CW18" s="125">
        <f t="shared" si="38"/>
        <v>5965612.4948904281</v>
      </c>
      <c r="CX18" s="125">
        <f t="shared" si="38"/>
        <v>5965612.4948904281</v>
      </c>
      <c r="CY18" s="125">
        <f t="shared" si="38"/>
        <v>5965612.4948904281</v>
      </c>
      <c r="CZ18" s="125">
        <f t="shared" si="38"/>
        <v>5965612.4948904281</v>
      </c>
      <c r="DA18" s="125">
        <f t="shared" si="38"/>
        <v>5965612.4948904281</v>
      </c>
      <c r="DB18" s="125">
        <f t="shared" si="38"/>
        <v>5965612.4948904281</v>
      </c>
      <c r="DC18" s="125">
        <f t="shared" si="38"/>
        <v>5965612.4948904281</v>
      </c>
      <c r="DD18" s="125">
        <f t="shared" si="38"/>
        <v>5965612.4948904281</v>
      </c>
      <c r="DE18" s="125">
        <f t="shared" si="38"/>
        <v>5965612.4948904281</v>
      </c>
      <c r="DF18" s="125">
        <f t="shared" si="38"/>
        <v>5965612.4948904281</v>
      </c>
      <c r="DG18" s="125">
        <f t="shared" si="38"/>
        <v>5965612.4948904281</v>
      </c>
      <c r="DH18" s="125">
        <f t="shared" si="38"/>
        <v>5965612.4948904281</v>
      </c>
      <c r="DI18" s="125">
        <f t="shared" si="38"/>
        <v>5965612.4948904281</v>
      </c>
      <c r="DJ18" s="125">
        <f t="shared" si="38"/>
        <v>5965612.4948904281</v>
      </c>
      <c r="DK18" s="125">
        <f t="shared" si="38"/>
        <v>5965612.4948904281</v>
      </c>
      <c r="DL18" s="125">
        <f t="shared" si="38"/>
        <v>5965612.4948904281</v>
      </c>
      <c r="DM18" s="125">
        <f t="shared" si="38"/>
        <v>5965612.4948904281</v>
      </c>
      <c r="DN18" s="125">
        <f t="shared" si="38"/>
        <v>5965612.4948904281</v>
      </c>
      <c r="DO18" s="125">
        <f t="shared" si="38"/>
        <v>5965612.4948904281</v>
      </c>
      <c r="DP18" s="125">
        <f t="shared" si="38"/>
        <v>5965612.4948904281</v>
      </c>
      <c r="DQ18" s="125">
        <f t="shared" si="38"/>
        <v>5965612.4948904281</v>
      </c>
      <c r="DR18" s="125">
        <f t="shared" si="38"/>
        <v>5965612.4948904281</v>
      </c>
      <c r="DS18" s="125">
        <f t="shared" si="38"/>
        <v>5965612.4948904281</v>
      </c>
      <c r="DT18" s="125">
        <f t="shared" si="38"/>
        <v>5965612.4948904281</v>
      </c>
      <c r="DU18" s="125">
        <f t="shared" si="38"/>
        <v>5965612.4948904281</v>
      </c>
      <c r="DV18" s="125">
        <f t="shared" si="38"/>
        <v>5965612.4948904281</v>
      </c>
      <c r="DW18" s="125">
        <f t="shared" si="38"/>
        <v>5965612.4948904281</v>
      </c>
      <c r="DX18" s="125">
        <f t="shared" si="38"/>
        <v>5965612.4948904281</v>
      </c>
      <c r="DY18" s="125">
        <f t="shared" si="38"/>
        <v>5965612.4948904281</v>
      </c>
      <c r="DZ18" s="125">
        <f t="shared" si="38"/>
        <v>5965612.4948904281</v>
      </c>
      <c r="EA18" s="125">
        <f t="shared" si="38"/>
        <v>5965612.4948904281</v>
      </c>
      <c r="EB18" s="125">
        <f t="shared" si="38"/>
        <v>5965612.4948904281</v>
      </c>
      <c r="EC18" s="125">
        <f t="shared" si="38"/>
        <v>5965612.4948904281</v>
      </c>
      <c r="ED18" s="125">
        <f t="shared" si="38"/>
        <v>5965612.4948904281</v>
      </c>
      <c r="EE18" s="125">
        <f t="shared" si="38"/>
        <v>5965612.4948904281</v>
      </c>
      <c r="EF18" s="125">
        <f t="shared" si="38"/>
        <v>5965612.4948904281</v>
      </c>
      <c r="EG18" s="125">
        <f t="shared" ref="EG18:GR18" si="39">EF18+EG17</f>
        <v>5965612.4948904281</v>
      </c>
      <c r="EH18" s="125">
        <f t="shared" si="39"/>
        <v>5965612.4948904281</v>
      </c>
      <c r="EI18" s="125">
        <f t="shared" si="39"/>
        <v>5965612.4948904281</v>
      </c>
      <c r="EJ18" s="125">
        <f t="shared" si="39"/>
        <v>5965612.4948904281</v>
      </c>
      <c r="EK18" s="125">
        <f t="shared" si="39"/>
        <v>5965612.4948904281</v>
      </c>
      <c r="EL18" s="125">
        <f t="shared" si="39"/>
        <v>5965612.4948904281</v>
      </c>
      <c r="EM18" s="125">
        <f t="shared" si="39"/>
        <v>5965612.4948904281</v>
      </c>
      <c r="EN18" s="125">
        <f t="shared" si="39"/>
        <v>5965612.4948904281</v>
      </c>
      <c r="EO18" s="125">
        <f t="shared" si="39"/>
        <v>5965612.4948904281</v>
      </c>
      <c r="EP18" s="125">
        <f t="shared" si="39"/>
        <v>5965612.4948904281</v>
      </c>
      <c r="EQ18" s="125">
        <f t="shared" si="39"/>
        <v>5965612.4948904281</v>
      </c>
      <c r="ER18" s="125">
        <f t="shared" si="39"/>
        <v>5965612.4948904281</v>
      </c>
      <c r="ES18" s="125">
        <f t="shared" si="39"/>
        <v>5965612.4948904281</v>
      </c>
      <c r="ET18" s="125">
        <f t="shared" si="39"/>
        <v>5965612.4948904281</v>
      </c>
      <c r="EU18" s="125">
        <f t="shared" si="39"/>
        <v>5965612.4948904281</v>
      </c>
      <c r="EV18" s="125">
        <f t="shared" si="39"/>
        <v>5965612.4948904281</v>
      </c>
      <c r="EW18" s="125">
        <f t="shared" si="39"/>
        <v>5965612.4948904281</v>
      </c>
      <c r="EX18" s="125">
        <f t="shared" si="39"/>
        <v>5965612.4948904281</v>
      </c>
      <c r="EY18" s="125">
        <f t="shared" si="39"/>
        <v>5965612.4948904281</v>
      </c>
      <c r="EZ18" s="125">
        <f t="shared" si="39"/>
        <v>5965612.4948904281</v>
      </c>
      <c r="FA18" s="125">
        <f t="shared" si="39"/>
        <v>5965612.4948904281</v>
      </c>
      <c r="FB18" s="125">
        <f t="shared" si="39"/>
        <v>5965612.4948904281</v>
      </c>
      <c r="FC18" s="125">
        <f t="shared" si="39"/>
        <v>5965612.4948904281</v>
      </c>
      <c r="FD18" s="125">
        <f t="shared" si="39"/>
        <v>5965612.4948904281</v>
      </c>
      <c r="FE18" s="125">
        <f t="shared" si="39"/>
        <v>5965612.4948904281</v>
      </c>
      <c r="FF18" s="125">
        <f t="shared" si="39"/>
        <v>5965612.4948904281</v>
      </c>
      <c r="FG18" s="125">
        <f t="shared" si="39"/>
        <v>5965612.4948904281</v>
      </c>
      <c r="FH18" s="125">
        <f t="shared" si="39"/>
        <v>5965612.4948904281</v>
      </c>
      <c r="FI18" s="125">
        <f t="shared" si="39"/>
        <v>5965612.4948904281</v>
      </c>
      <c r="FJ18" s="125">
        <f t="shared" si="39"/>
        <v>5965612.4948904281</v>
      </c>
      <c r="FK18" s="125">
        <f t="shared" si="39"/>
        <v>5965612.4948904281</v>
      </c>
      <c r="FL18" s="125">
        <f t="shared" si="39"/>
        <v>5965612.4948904281</v>
      </c>
      <c r="FM18" s="125">
        <f t="shared" si="39"/>
        <v>5965612.4948904281</v>
      </c>
      <c r="FN18" s="125">
        <f t="shared" si="39"/>
        <v>5965612.4948904281</v>
      </c>
      <c r="FO18" s="125">
        <f t="shared" si="39"/>
        <v>5965612.4948904281</v>
      </c>
      <c r="FP18" s="125">
        <f t="shared" si="39"/>
        <v>5965612.4948904281</v>
      </c>
      <c r="FQ18" s="125">
        <f t="shared" si="39"/>
        <v>5965612.4948904281</v>
      </c>
      <c r="FR18" s="125">
        <f t="shared" si="39"/>
        <v>5965612.4948904281</v>
      </c>
      <c r="FS18" s="125">
        <f t="shared" si="39"/>
        <v>5965612.4948904281</v>
      </c>
      <c r="FT18" s="125">
        <f t="shared" si="39"/>
        <v>5965612.4948904281</v>
      </c>
      <c r="FU18" s="125">
        <f t="shared" si="39"/>
        <v>5965612.4948904281</v>
      </c>
      <c r="FV18" s="125">
        <f t="shared" si="39"/>
        <v>5965612.4948904281</v>
      </c>
      <c r="FW18" s="125">
        <f t="shared" si="39"/>
        <v>5965612.4948904281</v>
      </c>
      <c r="FX18" s="125">
        <f t="shared" si="39"/>
        <v>5965612.4948904281</v>
      </c>
      <c r="FY18" s="125">
        <f t="shared" si="39"/>
        <v>5965612.4948904281</v>
      </c>
      <c r="FZ18" s="125">
        <f t="shared" si="39"/>
        <v>5965612.4948904281</v>
      </c>
      <c r="GA18" s="125">
        <f t="shared" si="39"/>
        <v>5965612.4948904281</v>
      </c>
      <c r="GB18" s="125">
        <f t="shared" si="39"/>
        <v>5965612.4948904281</v>
      </c>
      <c r="GC18" s="125">
        <f t="shared" si="39"/>
        <v>5965612.4948904281</v>
      </c>
      <c r="GD18" s="125">
        <f t="shared" si="39"/>
        <v>5965612.4948904281</v>
      </c>
      <c r="GE18" s="125">
        <f t="shared" si="39"/>
        <v>5965612.4948904281</v>
      </c>
      <c r="GF18" s="125">
        <f t="shared" si="39"/>
        <v>5965612.4948904281</v>
      </c>
      <c r="GG18" s="125">
        <f t="shared" si="39"/>
        <v>5965612.4948904281</v>
      </c>
      <c r="GH18" s="125">
        <f t="shared" si="39"/>
        <v>5965612.4948904281</v>
      </c>
      <c r="GI18" s="125">
        <f t="shared" si="39"/>
        <v>5965612.4948904281</v>
      </c>
      <c r="GJ18" s="125">
        <f t="shared" si="39"/>
        <v>5965612.4948904281</v>
      </c>
      <c r="GK18" s="125">
        <f t="shared" si="39"/>
        <v>5965612.4948904281</v>
      </c>
      <c r="GL18" s="125">
        <f t="shared" si="39"/>
        <v>5965612.4948904281</v>
      </c>
      <c r="GM18" s="125">
        <f t="shared" si="39"/>
        <v>5965612.4948904281</v>
      </c>
      <c r="GN18" s="125">
        <f t="shared" si="39"/>
        <v>5965612.4948904281</v>
      </c>
      <c r="GO18" s="125">
        <f t="shared" si="39"/>
        <v>5965612.4948904281</v>
      </c>
      <c r="GP18" s="125">
        <f t="shared" si="39"/>
        <v>5965612.4948904281</v>
      </c>
      <c r="GQ18" s="125">
        <f t="shared" si="39"/>
        <v>5965612.4948904281</v>
      </c>
      <c r="GR18" s="125">
        <f t="shared" si="39"/>
        <v>5965612.4948904281</v>
      </c>
      <c r="GS18" s="125">
        <f t="shared" ref="GS18:JD18" si="40">GR18+GS17</f>
        <v>5965612.4948904281</v>
      </c>
      <c r="GT18" s="125">
        <f t="shared" si="40"/>
        <v>5965612.4948904281</v>
      </c>
      <c r="GU18" s="125">
        <f t="shared" si="40"/>
        <v>5965612.4948904281</v>
      </c>
      <c r="GV18" s="125">
        <f t="shared" si="40"/>
        <v>5965612.4948904281</v>
      </c>
      <c r="GW18" s="125">
        <f t="shared" si="40"/>
        <v>5965612.4948904281</v>
      </c>
      <c r="GX18" s="125">
        <f t="shared" si="40"/>
        <v>5965612.4948904281</v>
      </c>
      <c r="GY18" s="125">
        <f t="shared" si="40"/>
        <v>5965612.4948904281</v>
      </c>
      <c r="GZ18" s="125">
        <f t="shared" si="40"/>
        <v>5965612.4948904281</v>
      </c>
      <c r="HA18" s="125">
        <f t="shared" si="40"/>
        <v>5965612.4948904281</v>
      </c>
      <c r="HB18" s="125">
        <f t="shared" si="40"/>
        <v>5965612.4948904281</v>
      </c>
      <c r="HC18" s="125">
        <f t="shared" si="40"/>
        <v>5965612.4948904281</v>
      </c>
      <c r="HD18" s="125">
        <f t="shared" si="40"/>
        <v>5965612.4948904281</v>
      </c>
      <c r="HE18" s="125">
        <f t="shared" si="40"/>
        <v>5965612.4948904281</v>
      </c>
      <c r="HF18" s="125">
        <f t="shared" si="40"/>
        <v>5965612.4948904281</v>
      </c>
      <c r="HG18" s="125">
        <f t="shared" si="40"/>
        <v>5965612.4948904281</v>
      </c>
      <c r="HH18" s="125">
        <f t="shared" si="40"/>
        <v>5965612.4948904281</v>
      </c>
      <c r="HI18" s="125">
        <f t="shared" si="40"/>
        <v>5965612.4948904281</v>
      </c>
      <c r="HJ18" s="125">
        <f t="shared" si="40"/>
        <v>5965612.4948904281</v>
      </c>
      <c r="HK18" s="125">
        <f t="shared" si="40"/>
        <v>5965612.4948904281</v>
      </c>
      <c r="HL18" s="125">
        <f t="shared" si="40"/>
        <v>5965612.4948904281</v>
      </c>
      <c r="HM18" s="125">
        <f t="shared" si="40"/>
        <v>5965612.4948904281</v>
      </c>
      <c r="HN18" s="125">
        <f t="shared" si="40"/>
        <v>5965612.4948904281</v>
      </c>
      <c r="HO18" s="125">
        <f t="shared" si="40"/>
        <v>5965612.4948904281</v>
      </c>
      <c r="HP18" s="125">
        <f t="shared" si="40"/>
        <v>5965612.4948904281</v>
      </c>
      <c r="HQ18" s="125">
        <f t="shared" si="40"/>
        <v>5965612.4948904281</v>
      </c>
      <c r="HR18" s="125">
        <f t="shared" si="40"/>
        <v>5965612.4948904281</v>
      </c>
      <c r="HS18" s="125">
        <f t="shared" si="40"/>
        <v>5965612.4948904281</v>
      </c>
      <c r="HT18" s="125">
        <f t="shared" si="40"/>
        <v>5965612.4948904281</v>
      </c>
      <c r="HU18" s="125">
        <f t="shared" si="40"/>
        <v>5965612.4948904281</v>
      </c>
      <c r="HV18" s="125">
        <f t="shared" si="40"/>
        <v>5965612.4948904281</v>
      </c>
      <c r="HW18" s="125">
        <f t="shared" si="40"/>
        <v>5965612.4948904281</v>
      </c>
      <c r="HX18" s="125">
        <f t="shared" si="40"/>
        <v>5965612.4948904281</v>
      </c>
      <c r="HY18" s="125">
        <f t="shared" si="40"/>
        <v>5965612.4948904281</v>
      </c>
      <c r="HZ18" s="125">
        <f t="shared" si="40"/>
        <v>5965612.4948904281</v>
      </c>
      <c r="IA18" s="125">
        <f t="shared" si="40"/>
        <v>5965612.4948904281</v>
      </c>
      <c r="IB18" s="125">
        <f t="shared" si="40"/>
        <v>5965612.4948904281</v>
      </c>
      <c r="IC18" s="125">
        <f t="shared" si="40"/>
        <v>5965612.4948904281</v>
      </c>
      <c r="ID18" s="125">
        <f t="shared" si="40"/>
        <v>5965612.4948904281</v>
      </c>
      <c r="IE18" s="125">
        <f t="shared" si="40"/>
        <v>5965612.4948904281</v>
      </c>
      <c r="IF18" s="125">
        <f t="shared" si="40"/>
        <v>5965612.4948904281</v>
      </c>
      <c r="IG18" s="125">
        <f t="shared" si="40"/>
        <v>5965612.4948904281</v>
      </c>
      <c r="IH18" s="125">
        <f t="shared" si="40"/>
        <v>5965612.4948904281</v>
      </c>
      <c r="II18" s="125">
        <f t="shared" si="40"/>
        <v>5965612.4948904281</v>
      </c>
      <c r="IJ18" s="125">
        <f t="shared" si="40"/>
        <v>5965612.4948904281</v>
      </c>
      <c r="IK18" s="125">
        <f t="shared" si="40"/>
        <v>5965612.4948904281</v>
      </c>
      <c r="IL18" s="125">
        <f t="shared" si="40"/>
        <v>5965612.4948904281</v>
      </c>
      <c r="IM18" s="125">
        <f t="shared" si="40"/>
        <v>5965612.4948904281</v>
      </c>
      <c r="IN18" s="125">
        <f t="shared" si="40"/>
        <v>5965612.4948904281</v>
      </c>
      <c r="IO18" s="125">
        <f t="shared" si="40"/>
        <v>5965612.4948904281</v>
      </c>
      <c r="IP18" s="125">
        <f t="shared" si="40"/>
        <v>5965612.4948904281</v>
      </c>
      <c r="IQ18" s="125">
        <f t="shared" si="40"/>
        <v>5965612.4948904281</v>
      </c>
      <c r="IR18" s="125">
        <f t="shared" si="40"/>
        <v>5965612.4948904281</v>
      </c>
      <c r="IS18" s="125">
        <f t="shared" si="40"/>
        <v>5965612.4948904281</v>
      </c>
      <c r="IT18" s="125">
        <f t="shared" si="40"/>
        <v>5965612.4948904281</v>
      </c>
      <c r="IU18" s="125">
        <f t="shared" si="40"/>
        <v>5965612.4948904281</v>
      </c>
      <c r="IV18" s="125">
        <f t="shared" si="40"/>
        <v>5965612.4948904281</v>
      </c>
      <c r="IW18" s="125">
        <f t="shared" si="40"/>
        <v>5965612.4948904281</v>
      </c>
      <c r="IX18" s="125">
        <f t="shared" si="40"/>
        <v>5965612.4948904281</v>
      </c>
      <c r="IY18" s="125">
        <f t="shared" si="40"/>
        <v>5965612.4948904281</v>
      </c>
      <c r="IZ18" s="125">
        <f t="shared" si="40"/>
        <v>5965612.4948904281</v>
      </c>
      <c r="JA18" s="125">
        <f t="shared" si="40"/>
        <v>5965612.4948904281</v>
      </c>
      <c r="JB18" s="125">
        <f t="shared" si="40"/>
        <v>5965612.4948904281</v>
      </c>
      <c r="JC18" s="125">
        <f t="shared" si="40"/>
        <v>5965612.4948904281</v>
      </c>
      <c r="JD18" s="125">
        <f t="shared" si="40"/>
        <v>5965612.4948904281</v>
      </c>
      <c r="JE18" s="125">
        <f t="shared" ref="JE18:KE18" si="41">JD18+JE17</f>
        <v>5965612.4948904281</v>
      </c>
      <c r="JF18" s="125">
        <f t="shared" si="41"/>
        <v>5965612.4948904281</v>
      </c>
      <c r="JG18" s="125">
        <f t="shared" si="41"/>
        <v>5965612.4948904281</v>
      </c>
      <c r="JH18" s="125">
        <f t="shared" si="41"/>
        <v>5965612.4948904281</v>
      </c>
      <c r="JI18" s="125">
        <f t="shared" si="41"/>
        <v>5965612.4948904281</v>
      </c>
      <c r="JJ18" s="125">
        <f t="shared" si="41"/>
        <v>5965612.4948904281</v>
      </c>
      <c r="JK18" s="125">
        <f t="shared" si="41"/>
        <v>5965612.4948904281</v>
      </c>
      <c r="JL18" s="125">
        <f t="shared" si="41"/>
        <v>5965612.4948904281</v>
      </c>
      <c r="JM18" s="125">
        <f t="shared" si="41"/>
        <v>5965612.4948904281</v>
      </c>
      <c r="JN18" s="125">
        <f t="shared" si="41"/>
        <v>5965612.4948904281</v>
      </c>
      <c r="JO18" s="125">
        <f t="shared" si="41"/>
        <v>5965612.4948904281</v>
      </c>
      <c r="JP18" s="125">
        <f t="shared" si="41"/>
        <v>5965612.4948904281</v>
      </c>
      <c r="JQ18" s="125">
        <f t="shared" si="41"/>
        <v>5965612.4948904281</v>
      </c>
      <c r="JR18" s="125">
        <f t="shared" si="41"/>
        <v>5965612.4948904281</v>
      </c>
      <c r="JS18" s="125">
        <f t="shared" si="41"/>
        <v>5965612.4948904281</v>
      </c>
      <c r="JT18" s="125">
        <f t="shared" si="41"/>
        <v>5965612.4948904281</v>
      </c>
      <c r="JU18" s="125">
        <f t="shared" si="41"/>
        <v>5965612.4948904281</v>
      </c>
      <c r="JV18" s="125">
        <f t="shared" si="41"/>
        <v>5965612.4948904281</v>
      </c>
      <c r="JW18" s="125">
        <f t="shared" si="41"/>
        <v>5965612.4948904281</v>
      </c>
      <c r="JX18" s="125">
        <f t="shared" si="41"/>
        <v>5965612.4948904281</v>
      </c>
      <c r="JY18" s="125">
        <f t="shared" si="41"/>
        <v>5965612.4948904281</v>
      </c>
      <c r="JZ18" s="125">
        <f t="shared" si="41"/>
        <v>5965612.4948904281</v>
      </c>
      <c r="KA18" s="125">
        <f t="shared" si="41"/>
        <v>5965612.4948904281</v>
      </c>
      <c r="KB18" s="125">
        <f t="shared" si="41"/>
        <v>5965612.4948904281</v>
      </c>
      <c r="KC18" s="125">
        <f t="shared" si="41"/>
        <v>5965612.4948904281</v>
      </c>
      <c r="KD18" s="125">
        <f t="shared" si="41"/>
        <v>5965612.4948904281</v>
      </c>
      <c r="KE18" s="125">
        <f t="shared" si="41"/>
        <v>5965612.4948904281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386</v>
      </c>
      <c r="B3" s="541" t="s">
        <v>387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388</v>
      </c>
      <c r="B4" t="s">
        <v>389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390</v>
      </c>
      <c r="L4"/>
      <c r="M4"/>
      <c r="N4"/>
      <c r="O4"/>
      <c r="P4"/>
      <c r="Q4"/>
      <c r="R4"/>
      <c r="S4"/>
      <c r="T4"/>
    </row>
    <row r="5" spans="1:20">
      <c r="A5" s="345" t="s">
        <v>389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323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326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330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340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348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337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390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391</v>
      </c>
      <c r="B3" s="541" t="s">
        <v>387</v>
      </c>
      <c r="C3"/>
      <c r="D3"/>
      <c r="E3"/>
      <c r="F3"/>
      <c r="G3"/>
      <c r="H3"/>
      <c r="I3"/>
    </row>
    <row r="4" spans="1:11">
      <c r="A4" s="541" t="s">
        <v>388</v>
      </c>
      <c r="B4" t="s">
        <v>389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390</v>
      </c>
    </row>
    <row r="5" spans="1:11">
      <c r="A5" s="345" t="s">
        <v>389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275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287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294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315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319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323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326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330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340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348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351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337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390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392</v>
      </c>
      <c r="F2" s="19" t="s">
        <v>393</v>
      </c>
    </row>
    <row r="3" spans="3:8">
      <c r="C3" s="15">
        <v>45658</v>
      </c>
      <c r="D3" s="9" t="s">
        <v>394</v>
      </c>
      <c r="F3" s="17" t="s">
        <v>395</v>
      </c>
    </row>
    <row r="4" spans="3:8">
      <c r="C4" s="15">
        <v>45737</v>
      </c>
      <c r="D4" s="9" t="s">
        <v>396</v>
      </c>
      <c r="F4" s="17" t="s">
        <v>397</v>
      </c>
    </row>
    <row r="5" spans="3:8">
      <c r="C5" s="15">
        <v>45765</v>
      </c>
      <c r="D5" s="9" t="s">
        <v>398</v>
      </c>
      <c r="F5" s="17" t="s">
        <v>399</v>
      </c>
    </row>
    <row r="6" spans="3:8" ht="13" thickBot="1">
      <c r="C6" s="15">
        <v>45768</v>
      </c>
      <c r="D6" s="9" t="s">
        <v>400</v>
      </c>
      <c r="F6" s="18" t="s">
        <v>401</v>
      </c>
    </row>
    <row r="7" spans="3:8">
      <c r="C7" s="15">
        <v>45774</v>
      </c>
      <c r="D7" s="9" t="s">
        <v>402</v>
      </c>
    </row>
    <row r="8" spans="3:8">
      <c r="C8" s="15">
        <v>45765</v>
      </c>
      <c r="D8" s="9" t="s">
        <v>403</v>
      </c>
    </row>
    <row r="9" spans="3:8">
      <c r="C9" s="15">
        <v>45778</v>
      </c>
      <c r="D9" s="9" t="s">
        <v>404</v>
      </c>
    </row>
    <row r="10" spans="3:8">
      <c r="C10" s="15">
        <v>45824</v>
      </c>
      <c r="D10" s="9" t="s">
        <v>405</v>
      </c>
    </row>
    <row r="11" spans="3:8">
      <c r="C11" s="15">
        <v>45878</v>
      </c>
      <c r="D11" s="9" t="s">
        <v>406</v>
      </c>
    </row>
    <row r="12" spans="3:8">
      <c r="C12" s="15">
        <v>45924</v>
      </c>
      <c r="D12" s="9" t="s">
        <v>407</v>
      </c>
    </row>
    <row r="13" spans="3:8">
      <c r="C13" s="15">
        <v>46007</v>
      </c>
      <c r="D13" s="9" t="s">
        <v>408</v>
      </c>
      <c r="F13" s="20"/>
      <c r="H13" s="9" t="s">
        <v>409</v>
      </c>
    </row>
    <row r="14" spans="3:8">
      <c r="C14" s="15">
        <v>46016</v>
      </c>
      <c r="D14" s="9" t="s">
        <v>410</v>
      </c>
    </row>
    <row r="15" spans="3:8">
      <c r="C15" s="15">
        <v>46017</v>
      </c>
      <c r="D15" s="9" t="s">
        <v>411</v>
      </c>
    </row>
    <row r="16" spans="3:8">
      <c r="C16" s="15">
        <v>46006</v>
      </c>
      <c r="D16" s="9" t="s">
        <v>412</v>
      </c>
    </row>
    <row r="17" spans="3:4">
      <c r="C17" s="15">
        <v>46007</v>
      </c>
      <c r="D17" s="9" t="s">
        <v>412</v>
      </c>
    </row>
    <row r="18" spans="3:4">
      <c r="C18" s="15">
        <v>46008</v>
      </c>
      <c r="D18" s="9" t="s">
        <v>412</v>
      </c>
    </row>
    <row r="19" spans="3:4">
      <c r="C19" s="15">
        <v>46009</v>
      </c>
      <c r="D19" s="9" t="s">
        <v>412</v>
      </c>
    </row>
    <row r="20" spans="3:4">
      <c r="C20" s="15">
        <v>46010</v>
      </c>
      <c r="D20" s="9" t="s">
        <v>412</v>
      </c>
    </row>
    <row r="21" spans="3:4">
      <c r="C21" s="15">
        <v>46011</v>
      </c>
      <c r="D21" s="9" t="s">
        <v>412</v>
      </c>
    </row>
    <row r="22" spans="3:4">
      <c r="C22" s="15">
        <v>46012</v>
      </c>
      <c r="D22" s="9" t="s">
        <v>412</v>
      </c>
    </row>
    <row r="23" spans="3:4">
      <c r="C23" s="15">
        <v>46013</v>
      </c>
      <c r="D23" s="9" t="s">
        <v>412</v>
      </c>
    </row>
    <row r="24" spans="3:4">
      <c r="C24" s="15">
        <v>46014</v>
      </c>
      <c r="D24" s="9" t="s">
        <v>412</v>
      </c>
    </row>
    <row r="25" spans="3:4">
      <c r="C25" s="15">
        <v>46015</v>
      </c>
      <c r="D25" s="9" t="s">
        <v>412</v>
      </c>
    </row>
    <row r="26" spans="3:4">
      <c r="C26" s="15">
        <v>46016</v>
      </c>
      <c r="D26" s="9" t="s">
        <v>412</v>
      </c>
    </row>
    <row r="27" spans="3:4">
      <c r="C27" s="15">
        <v>46017</v>
      </c>
      <c r="D27" s="9" t="s">
        <v>412</v>
      </c>
    </row>
    <row r="28" spans="3:4">
      <c r="C28" s="15">
        <v>46018</v>
      </c>
      <c r="D28" s="9" t="s">
        <v>412</v>
      </c>
    </row>
    <row r="29" spans="3:4">
      <c r="C29" s="15">
        <v>46019</v>
      </c>
      <c r="D29" s="9" t="s">
        <v>412</v>
      </c>
    </row>
    <row r="30" spans="3:4">
      <c r="C30" s="15">
        <v>46020</v>
      </c>
      <c r="D30" s="9" t="s">
        <v>412</v>
      </c>
    </row>
    <row r="31" spans="3:4">
      <c r="C31" s="15">
        <v>46021</v>
      </c>
      <c r="D31" s="9" t="s">
        <v>412</v>
      </c>
    </row>
    <row r="32" spans="3:4">
      <c r="C32" s="15">
        <v>46022</v>
      </c>
      <c r="D32" s="9" t="s">
        <v>412</v>
      </c>
    </row>
    <row r="33" spans="3:4">
      <c r="C33" s="15">
        <v>46023</v>
      </c>
      <c r="D33" s="9" t="s">
        <v>412</v>
      </c>
    </row>
    <row r="34" spans="3:4">
      <c r="C34" s="15">
        <v>46024</v>
      </c>
      <c r="D34" s="9" t="s">
        <v>412</v>
      </c>
    </row>
    <row r="35" spans="3:4">
      <c r="C35" s="15">
        <v>46025</v>
      </c>
      <c r="D35" s="9" t="s">
        <v>412</v>
      </c>
    </row>
    <row r="36" spans="3:4">
      <c r="C36" s="15">
        <v>46026</v>
      </c>
      <c r="D36" s="9" t="s">
        <v>412</v>
      </c>
    </row>
    <row r="37" spans="3:4">
      <c r="C37" s="15">
        <v>46027</v>
      </c>
      <c r="D37" s="9" t="s">
        <v>412</v>
      </c>
    </row>
    <row r="38" spans="3:4">
      <c r="C38" s="15">
        <v>46028</v>
      </c>
      <c r="D38" s="9" t="s">
        <v>412</v>
      </c>
    </row>
    <row r="39" spans="3:4">
      <c r="C39" s="15">
        <v>46029</v>
      </c>
      <c r="D39" s="9" t="s">
        <v>412</v>
      </c>
    </row>
    <row r="40" spans="3:4">
      <c r="C40" s="15">
        <v>46030</v>
      </c>
      <c r="D40" s="9" t="s">
        <v>412</v>
      </c>
    </row>
    <row r="41" spans="3:4">
      <c r="C41" s="15">
        <v>46031</v>
      </c>
      <c r="D41" s="9" t="s">
        <v>412</v>
      </c>
    </row>
    <row r="42" spans="3:4">
      <c r="C42" s="15">
        <v>46032</v>
      </c>
      <c r="D42" s="9" t="s">
        <v>412</v>
      </c>
    </row>
    <row r="43" spans="3:4">
      <c r="C43" s="15">
        <v>46033</v>
      </c>
      <c r="D43" s="9" t="s">
        <v>412</v>
      </c>
    </row>
    <row r="44" spans="3:4">
      <c r="C44" s="15">
        <v>46034</v>
      </c>
      <c r="D44" s="9" t="s">
        <v>412</v>
      </c>
    </row>
    <row r="45" spans="3:4">
      <c r="C45" s="15">
        <v>46035</v>
      </c>
      <c r="D45" s="9" t="s">
        <v>412</v>
      </c>
    </row>
    <row r="46" spans="3:4">
      <c r="C46" s="15">
        <v>46036</v>
      </c>
      <c r="D46" s="9" t="s">
        <v>412</v>
      </c>
    </row>
    <row r="47" spans="3:4">
      <c r="C47" s="15">
        <v>46037</v>
      </c>
      <c r="D47" s="9" t="s">
        <v>412</v>
      </c>
    </row>
    <row r="48" spans="3:4">
      <c r="C48" s="15">
        <v>46038</v>
      </c>
      <c r="D48" s="9" t="s">
        <v>412</v>
      </c>
    </row>
    <row r="49" spans="3:4">
      <c r="C49" s="15">
        <v>46102</v>
      </c>
      <c r="D49" s="9" t="s">
        <v>396</v>
      </c>
    </row>
    <row r="50" spans="3:4">
      <c r="C50" s="15">
        <v>46115</v>
      </c>
      <c r="D50" s="9" t="s">
        <v>398</v>
      </c>
    </row>
    <row r="51" spans="3:4">
      <c r="C51" s="15">
        <v>46118</v>
      </c>
      <c r="D51" s="9" t="s">
        <v>400</v>
      </c>
    </row>
    <row r="52" spans="3:4">
      <c r="C52" s="15">
        <v>46139</v>
      </c>
      <c r="D52" s="9" t="s">
        <v>402</v>
      </c>
    </row>
    <row r="53" spans="3:4">
      <c r="C53" s="15">
        <v>46143</v>
      </c>
      <c r="D53" s="9" t="s">
        <v>404</v>
      </c>
    </row>
    <row r="54" spans="3:4">
      <c r="C54" s="15">
        <v>46189</v>
      </c>
      <c r="D54" s="9" t="s">
        <v>405</v>
      </c>
    </row>
    <row r="55" spans="3:4">
      <c r="C55" s="15">
        <v>46243</v>
      </c>
      <c r="D55" s="9" t="s">
        <v>406</v>
      </c>
    </row>
    <row r="56" spans="3:4">
      <c r="C56" s="15">
        <v>46244</v>
      </c>
      <c r="D56" s="9" t="s">
        <v>413</v>
      </c>
    </row>
    <row r="57" spans="3:4">
      <c r="C57" s="15">
        <v>46289</v>
      </c>
      <c r="D57" s="9" t="s">
        <v>407</v>
      </c>
    </row>
    <row r="58" spans="3:4">
      <c r="C58" s="15">
        <v>46372</v>
      </c>
      <c r="D58" s="9" t="s">
        <v>408</v>
      </c>
    </row>
    <row r="59" spans="3:4">
      <c r="C59" s="15">
        <v>46381</v>
      </c>
      <c r="D59" s="9" t="s">
        <v>410</v>
      </c>
    </row>
    <row r="60" spans="3:4" ht="13" thickBot="1">
      <c r="C60" s="16">
        <v>46382</v>
      </c>
      <c r="D60" s="9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2026-02-23T12:55:26Z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