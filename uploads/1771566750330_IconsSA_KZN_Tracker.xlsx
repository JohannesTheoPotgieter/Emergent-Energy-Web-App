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44" documentId="13_ncr:1_{8DFAE76A-997B-4D69-8F5D-2B7AE148B28B}" xr6:coauthVersionLast="47" xr6:coauthVersionMax="47" xr10:uidLastSave="{8CEF2DE0-AF88-4C1A-B710-44AFA230D9C5}"/>
  <bookViews>
    <workbookView xWindow="-28920" yWindow="720" windowWidth="29040" windowHeight="15720" tabRatio="731" firstSheet="2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18" l="1"/>
  <c r="O39" i="18"/>
  <c r="I48" i="2"/>
  <c r="G9" i="20" a="1"/>
  <c r="G9" i="20"/>
  <c r="F9" i="20" a="1"/>
  <c r="F9" i="20"/>
  <c r="C4" i="20"/>
  <c r="M25" i="2"/>
  <c r="M26" i="2"/>
  <c r="W50" i="18"/>
  <c r="H90" i="18"/>
  <c r="H98" i="18"/>
  <c r="H66" i="18"/>
  <c r="H97" i="18"/>
  <c r="H65" i="18"/>
  <c r="H96" i="18"/>
  <c r="H95" i="18"/>
  <c r="H94" i="18"/>
  <c r="H93" i="18"/>
  <c r="H64" i="18"/>
  <c r="H63" i="18"/>
  <c r="H62" i="18"/>
  <c r="H61" i="18"/>
  <c r="H60" i="18"/>
  <c r="H59" i="18"/>
  <c r="H13" i="18"/>
  <c r="H44" i="18"/>
  <c r="W128" i="18"/>
  <c r="W122" i="18"/>
  <c r="K32" i="2"/>
  <c r="N32" i="2"/>
  <c r="E24" i="2"/>
  <c r="S16" i="2"/>
  <c r="S15" i="2"/>
  <c r="S14" i="2"/>
  <c r="X10" i="2"/>
  <c r="Y10" i="2" s="1"/>
  <c r="S13" i="2"/>
  <c r="S12" i="2"/>
  <c r="S11" i="2"/>
  <c r="S10" i="2"/>
  <c r="S9" i="2"/>
  <c r="W12" i="2"/>
  <c r="W45" i="18"/>
  <c r="O91" i="18"/>
  <c r="O59" i="18"/>
  <c r="O32" i="18"/>
  <c r="Q37" i="18"/>
  <c r="I36" i="2"/>
  <c r="K31" i="2"/>
  <c r="K24" i="2"/>
  <c r="K22" i="2"/>
  <c r="N22" i="2"/>
  <c r="K19" i="2"/>
  <c r="I18" i="2"/>
  <c r="T10" i="2"/>
  <c r="K16" i="2"/>
  <c r="N16" i="2"/>
  <c r="I13" i="2"/>
  <c r="K12" i="2"/>
  <c r="N12" i="2"/>
  <c r="E36" i="2"/>
  <c r="E31" i="2"/>
  <c r="E30" i="2"/>
  <c r="E32" i="2"/>
  <c r="I14" i="2"/>
  <c r="K18" i="2"/>
  <c r="V10" i="2"/>
  <c r="N19" i="2"/>
  <c r="N18" i="2" s="1"/>
  <c r="I25" i="2"/>
  <c r="N24" i="2"/>
  <c r="M24" i="2"/>
  <c r="K36" i="2"/>
  <c r="N36" i="2"/>
  <c r="I37" i="2"/>
  <c r="N31" i="2"/>
  <c r="J18" i="2"/>
  <c r="K14" i="2"/>
  <c r="I15" i="2"/>
  <c r="I26" i="2"/>
  <c r="K25" i="2"/>
  <c r="K37" i="2"/>
  <c r="K30" i="2"/>
  <c r="N30" i="2"/>
  <c r="K13" i="2"/>
  <c r="N13" i="2"/>
  <c r="O6" i="18"/>
  <c r="K26" i="2"/>
  <c r="N26" i="2"/>
  <c r="K15" i="2"/>
  <c r="N15" i="2"/>
  <c r="N25" i="2"/>
  <c r="I23" i="2"/>
  <c r="K23" i="2"/>
  <c r="N14" i="2"/>
  <c r="N23" i="2"/>
  <c r="I35" i="2"/>
  <c r="T13" i="2"/>
  <c r="N37" i="2"/>
  <c r="I33" i="2"/>
  <c r="I21" i="2"/>
  <c r="T11" i="2"/>
  <c r="U10" i="2"/>
  <c r="I11" i="2"/>
  <c r="T9" i="2"/>
  <c r="K21" i="2"/>
  <c r="K35" i="2"/>
  <c r="J103" i="18"/>
  <c r="O107" i="18"/>
  <c r="K11" i="2"/>
  <c r="K33" i="2"/>
  <c r="N33" i="2"/>
  <c r="I28" i="2"/>
  <c r="T12" i="2"/>
  <c r="V11" i="2"/>
  <c r="J21" i="2"/>
  <c r="U11" i="2"/>
  <c r="J35" i="2"/>
  <c r="U13" i="2"/>
  <c r="V13" i="2"/>
  <c r="J11" i="2"/>
  <c r="U9" i="2"/>
  <c r="V9" i="2"/>
  <c r="K28" i="2"/>
  <c r="AO13" i="5"/>
  <c r="V12" i="2"/>
  <c r="J28" i="2"/>
  <c r="U12" i="2"/>
  <c r="I40" i="2"/>
  <c r="W13" i="18"/>
  <c r="W44" i="18"/>
  <c r="K40" i="2"/>
  <c r="I41" i="2"/>
  <c r="K44" i="2"/>
  <c r="I43" i="2"/>
  <c r="T15" i="2"/>
  <c r="N40" i="2"/>
  <c r="G106" i="18"/>
  <c r="I47" i="2"/>
  <c r="K43" i="2"/>
  <c r="N44" i="2"/>
  <c r="N43" i="2" s="1"/>
  <c r="K41" i="2"/>
  <c r="K39" i="2"/>
  <c r="I39" i="2"/>
  <c r="T14" i="2"/>
  <c r="Q13" i="18"/>
  <c r="T123" i="18"/>
  <c r="T121" i="18"/>
  <c r="T159" i="18"/>
  <c r="T158" i="18"/>
  <c r="T157" i="18"/>
  <c r="T156" i="18"/>
  <c r="T155" i="18"/>
  <c r="T154" i="18"/>
  <c r="T153" i="18"/>
  <c r="T152" i="18"/>
  <c r="T151" i="18"/>
  <c r="T150" i="18"/>
  <c r="T147" i="18"/>
  <c r="T146" i="18"/>
  <c r="T145" i="18"/>
  <c r="T144" i="18"/>
  <c r="T143" i="18"/>
  <c r="T142" i="18"/>
  <c r="T141" i="18"/>
  <c r="T140" i="18"/>
  <c r="T139" i="18"/>
  <c r="T134" i="18"/>
  <c r="T133" i="18"/>
  <c r="T127" i="18"/>
  <c r="T126" i="18"/>
  <c r="T125" i="18"/>
  <c r="T124" i="18"/>
  <c r="T118" i="18"/>
  <c r="T117" i="18"/>
  <c r="T116" i="18"/>
  <c r="T115" i="18"/>
  <c r="T106" i="18"/>
  <c r="T105" i="18"/>
  <c r="T102" i="18"/>
  <c r="T101" i="18"/>
  <c r="T99" i="18"/>
  <c r="T90" i="18"/>
  <c r="T89" i="18"/>
  <c r="T70" i="18"/>
  <c r="T69" i="18"/>
  <c r="T68" i="18"/>
  <c r="T67" i="18"/>
  <c r="T58" i="18"/>
  <c r="T57" i="18"/>
  <c r="T56" i="18"/>
  <c r="T55" i="18"/>
  <c r="T53" i="18"/>
  <c r="T52" i="18"/>
  <c r="T43" i="18"/>
  <c r="T42" i="18"/>
  <c r="T41" i="18"/>
  <c r="T40" i="18"/>
  <c r="T31" i="18"/>
  <c r="T3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10" i="18"/>
  <c r="T9" i="18"/>
  <c r="T8" i="18"/>
  <c r="J71" i="18"/>
  <c r="J80" i="18"/>
  <c r="V14" i="2"/>
  <c r="J39" i="2"/>
  <c r="U14" i="2"/>
  <c r="I49" i="2"/>
  <c r="N41" i="2"/>
  <c r="V15" i="2"/>
  <c r="J43" i="2"/>
  <c r="U15" i="2"/>
  <c r="K48" i="2"/>
  <c r="N48" i="2"/>
  <c r="K47" i="2"/>
  <c r="M18" i="2"/>
  <c r="G19" i="2"/>
  <c r="W59" i="18"/>
  <c r="W32" i="18"/>
  <c r="W107" i="18"/>
  <c r="G24" i="2"/>
  <c r="X80" i="18"/>
  <c r="E28" i="18"/>
  <c r="I125" i="18"/>
  <c r="Q130" i="18"/>
  <c r="Q131" i="18"/>
  <c r="Q132" i="18"/>
  <c r="J148" i="18"/>
  <c r="G135" i="18"/>
  <c r="X119" i="18"/>
  <c r="Z18" i="18"/>
  <c r="G105" i="18"/>
  <c r="G104" i="18"/>
  <c r="Z17" i="18"/>
  <c r="G103" i="18"/>
  <c r="Z16" i="18"/>
  <c r="G91" i="18"/>
  <c r="Z15" i="18"/>
  <c r="G90" i="18"/>
  <c r="Z14" i="18"/>
  <c r="G53" i="18"/>
  <c r="G44" i="18"/>
  <c r="I44" i="18"/>
  <c r="G29" i="18"/>
  <c r="Z13" i="18"/>
  <c r="G21" i="18"/>
  <c r="I21" i="18"/>
  <c r="G13" i="18"/>
  <c r="G6" i="18"/>
  <c r="Q128" i="18"/>
  <c r="Y30" i="18"/>
  <c r="Y29" i="18"/>
  <c r="Y28" i="18"/>
  <c r="Y27" i="18"/>
  <c r="J135" i="18"/>
  <c r="J128" i="18"/>
  <c r="J119" i="18"/>
  <c r="J90" i="18"/>
  <c r="J53" i="18"/>
  <c r="J44" i="18"/>
  <c r="J28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8" i="18"/>
  <c r="H23" i="3"/>
  <c r="I148" i="18"/>
  <c r="F23" i="3"/>
  <c r="X125" i="18"/>
  <c r="X71" i="18"/>
  <c r="I71" i="18"/>
  <c r="F15" i="3"/>
  <c r="I80" i="18"/>
  <c r="I128" i="18"/>
  <c r="F21" i="3"/>
  <c r="J21" i="3"/>
  <c r="X44" i="18"/>
  <c r="H13" i="3"/>
  <c r="M43" i="2"/>
  <c r="W15" i="2"/>
  <c r="M39" i="2"/>
  <c r="W14" i="2"/>
  <c r="G12" i="2"/>
  <c r="M46" i="2"/>
  <c r="W16" i="2"/>
  <c r="M35" i="2"/>
  <c r="W13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8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Q33" i="18"/>
  <c r="Q91" i="18"/>
  <c r="F20" i="3"/>
  <c r="J20" i="3"/>
  <c r="I119" i="18"/>
  <c r="X6" i="18"/>
  <c r="G16" i="2"/>
  <c r="E15" i="2"/>
  <c r="G15" i="2"/>
  <c r="E18" i="2"/>
  <c r="E13" i="2"/>
  <c r="Q111" i="18"/>
  <c r="Z38" i="18"/>
  <c r="Z39" i="18"/>
  <c r="I1" i="6"/>
  <c r="G5" i="6"/>
  <c r="F5" i="6"/>
  <c r="N47" i="2"/>
  <c r="K49" i="2"/>
  <c r="W9" i="2"/>
  <c r="W10" i="2"/>
  <c r="G13" i="2"/>
  <c r="E14" i="2"/>
  <c r="G14" i="2"/>
  <c r="G11" i="2"/>
  <c r="G18" i="2"/>
  <c r="E23" i="2"/>
  <c r="E25" i="2"/>
  <c r="G25" i="2"/>
  <c r="F18" i="2"/>
  <c r="F16" i="3"/>
  <c r="J16" i="3"/>
  <c r="Z12" i="18"/>
  <c r="Z22" i="18"/>
  <c r="Z23" i="18"/>
  <c r="Z24" i="18"/>
  <c r="I6" i="18"/>
  <c r="F9" i="3"/>
  <c r="J9" i="3"/>
  <c r="U11" i="18"/>
  <c r="U8" i="18"/>
  <c r="U9" i="18"/>
  <c r="U10" i="18"/>
  <c r="I53" i="18"/>
  <c r="F14" i="3"/>
  <c r="Q107" i="18"/>
  <c r="Q109" i="18"/>
  <c r="F13" i="5"/>
  <c r="C3" i="6"/>
  <c r="Q98" i="18"/>
  <c r="F14" i="5"/>
  <c r="Q114" i="18"/>
  <c r="I13" i="18"/>
  <c r="F10" i="3"/>
  <c r="I90" i="18"/>
  <c r="F17" i="3"/>
  <c r="J17" i="3"/>
  <c r="X128" i="18"/>
  <c r="F17" i="5"/>
  <c r="F16" i="5"/>
  <c r="F15" i="5"/>
  <c r="Q34" i="18"/>
  <c r="Q32" i="18"/>
  <c r="Q35" i="18"/>
  <c r="H15" i="3"/>
  <c r="J15" i="3"/>
  <c r="V71" i="18"/>
  <c r="X21" i="18"/>
  <c r="X13" i="18"/>
  <c r="U16" i="18"/>
  <c r="W60" i="18"/>
  <c r="W33" i="18"/>
  <c r="F19" i="5"/>
  <c r="H9" i="3"/>
  <c r="Q39" i="18"/>
  <c r="Q92" i="18"/>
  <c r="Q38" i="18"/>
  <c r="Q36" i="18"/>
  <c r="Q113" i="18"/>
  <c r="Q110" i="18"/>
  <c r="Q108" i="18"/>
  <c r="Q112" i="18"/>
  <c r="H20" i="3"/>
  <c r="Q94" i="18"/>
  <c r="I135" i="18"/>
  <c r="F22" i="3"/>
  <c r="Q93" i="18"/>
  <c r="Q96" i="18"/>
  <c r="Q95" i="18"/>
  <c r="Q97" i="18"/>
  <c r="W108" i="18"/>
  <c r="H16" i="3"/>
  <c r="U123" i="18"/>
  <c r="H19" i="3"/>
  <c r="F19" i="3"/>
  <c r="J2" i="18"/>
  <c r="J4" i="18"/>
  <c r="F11" i="3"/>
  <c r="F13" i="3"/>
  <c r="I103" i="18"/>
  <c r="I28" i="18"/>
  <c r="G32" i="2"/>
  <c r="G30" i="2"/>
  <c r="J1" i="6"/>
  <c r="H5" i="6"/>
  <c r="N49" i="2"/>
  <c r="E26" i="2"/>
  <c r="G26" i="2"/>
  <c r="U17" i="18"/>
  <c r="U14" i="18"/>
  <c r="U19" i="18"/>
  <c r="U15" i="18"/>
  <c r="U18" i="18"/>
  <c r="F21" i="5"/>
  <c r="F47" i="5"/>
  <c r="F44" i="5"/>
  <c r="H21" i="3"/>
  <c r="X28" i="18"/>
  <c r="I2" i="18"/>
  <c r="H10" i="3"/>
  <c r="H11" i="3"/>
  <c r="J11" i="3"/>
  <c r="U24" i="18"/>
  <c r="U23" i="18"/>
  <c r="U26" i="18"/>
  <c r="U25" i="18"/>
  <c r="X135" i="18"/>
  <c r="U139" i="18"/>
  <c r="H22" i="3"/>
  <c r="J22" i="3"/>
  <c r="E11" i="2"/>
  <c r="F11" i="2"/>
  <c r="H15" i="5"/>
  <c r="G22" i="2"/>
  <c r="V6" i="18"/>
  <c r="X103" i="18"/>
  <c r="X53" i="18"/>
  <c r="U69" i="18"/>
  <c r="X90" i="18"/>
  <c r="V80" i="18"/>
  <c r="F12" i="3"/>
  <c r="F18" i="3"/>
  <c r="J18" i="3"/>
  <c r="G31" i="2"/>
  <c r="K1" i="6"/>
  <c r="I5" i="6"/>
  <c r="K52" i="2"/>
  <c r="E37" i="2"/>
  <c r="V13" i="18"/>
  <c r="U42" i="18"/>
  <c r="U41" i="18"/>
  <c r="U31" i="18"/>
  <c r="U40" i="18"/>
  <c r="U30" i="18"/>
  <c r="U29" i="18"/>
  <c r="F45" i="5"/>
  <c r="F43" i="5"/>
  <c r="F42" i="5"/>
  <c r="F41" i="5"/>
  <c r="F4" i="5"/>
  <c r="C9" i="6"/>
  <c r="V128" i="18"/>
  <c r="U117" i="18"/>
  <c r="U106" i="18"/>
  <c r="H12" i="3"/>
  <c r="J12" i="3"/>
  <c r="U115" i="18"/>
  <c r="U140" i="18"/>
  <c r="U141" i="18"/>
  <c r="H18" i="3"/>
  <c r="U116" i="18"/>
  <c r="U105" i="18"/>
  <c r="V21" i="18"/>
  <c r="U143" i="18"/>
  <c r="U146" i="18"/>
  <c r="U58" i="18"/>
  <c r="H14" i="3"/>
  <c r="J14" i="3"/>
  <c r="U55" i="18"/>
  <c r="U67" i="18"/>
  <c r="U56" i="18"/>
  <c r="U68" i="18"/>
  <c r="U103" i="18"/>
  <c r="U57" i="18"/>
  <c r="U53" i="18"/>
  <c r="U54" i="18"/>
  <c r="H17" i="3"/>
  <c r="U99" i="18"/>
  <c r="U100" i="18"/>
  <c r="U101" i="18"/>
  <c r="U90" i="18"/>
  <c r="L1" i="6"/>
  <c r="J5" i="6"/>
  <c r="F46" i="5"/>
  <c r="V28" i="18"/>
  <c r="G23" i="2"/>
  <c r="G21" i="2"/>
  <c r="E21" i="2"/>
  <c r="V53" i="18"/>
  <c r="V103" i="18"/>
  <c r="V90" i="18"/>
  <c r="W109" i="18"/>
  <c r="W34" i="18"/>
  <c r="W61" i="18"/>
  <c r="H14" i="5"/>
  <c r="G36" i="2"/>
  <c r="L5" i="6"/>
  <c r="M1" i="6"/>
  <c r="K5" i="6"/>
  <c r="F21" i="2"/>
  <c r="N1" i="6"/>
  <c r="G37" i="2"/>
  <c r="E35" i="2"/>
  <c r="N5" i="6"/>
  <c r="O1" i="6"/>
  <c r="M5" i="6"/>
  <c r="W110" i="18"/>
  <c r="E33" i="2"/>
  <c r="G35" i="2"/>
  <c r="F35" i="2"/>
  <c r="P1" i="6"/>
  <c r="W35" i="18"/>
  <c r="W62" i="18"/>
  <c r="G33" i="2"/>
  <c r="G28" i="2"/>
  <c r="E40" i="2"/>
  <c r="E28" i="2"/>
  <c r="Q1" i="6"/>
  <c r="O5" i="6"/>
  <c r="F28" i="2"/>
  <c r="Q5" i="6"/>
  <c r="R1" i="6"/>
  <c r="P5" i="6"/>
  <c r="J9" i="2"/>
  <c r="E44" i="2"/>
  <c r="G40" i="2"/>
  <c r="R5" i="6"/>
  <c r="S1" i="6"/>
  <c r="W113" i="18"/>
  <c r="W64" i="18"/>
  <c r="W112" i="18"/>
  <c r="W37" i="18"/>
  <c r="W114" i="18"/>
  <c r="EI11" i="6" s="1"/>
  <c r="E41" i="2"/>
  <c r="G44" i="2"/>
  <c r="E43" i="2"/>
  <c r="S5" i="6"/>
  <c r="T1" i="6"/>
  <c r="O9" i="6"/>
  <c r="R9" i="6"/>
  <c r="I9" i="6"/>
  <c r="G9" i="6"/>
  <c r="M9" i="6"/>
  <c r="Q9" i="6"/>
  <c r="K9" i="6"/>
  <c r="J9" i="6"/>
  <c r="L9" i="6"/>
  <c r="H9" i="6"/>
  <c r="F9" i="6"/>
  <c r="N9" i="6"/>
  <c r="S9" i="6"/>
  <c r="P9" i="6"/>
  <c r="W36" i="18"/>
  <c r="W63" i="18"/>
  <c r="W111" i="18"/>
  <c r="FL11" i="6" s="1"/>
  <c r="G43" i="2"/>
  <c r="F43" i="2"/>
  <c r="E47" i="2"/>
  <c r="E48" i="2"/>
  <c r="G48" i="2"/>
  <c r="G41" i="2"/>
  <c r="E39" i="2"/>
  <c r="T5" i="6"/>
  <c r="U1" i="6"/>
  <c r="F10" i="6"/>
  <c r="F9" i="2"/>
  <c r="G39" i="2"/>
  <c r="E50" i="2"/>
  <c r="G50" i="2"/>
  <c r="G47" i="2"/>
  <c r="V1" i="6"/>
  <c r="T9" i="6"/>
  <c r="U9" i="6"/>
  <c r="G10" i="6"/>
  <c r="E51" i="2"/>
  <c r="E49" i="2"/>
  <c r="H16" i="5"/>
  <c r="F39" i="2"/>
  <c r="W1" i="6"/>
  <c r="V9" i="6"/>
  <c r="U5" i="6"/>
  <c r="H10" i="6"/>
  <c r="G49" i="2"/>
  <c r="E52" i="2"/>
  <c r="G52" i="2"/>
  <c r="H17" i="5"/>
  <c r="G51" i="2"/>
  <c r="X1" i="6"/>
  <c r="W9" i="6"/>
  <c r="V5" i="6"/>
  <c r="I10" i="6"/>
  <c r="M3" i="6"/>
  <c r="I3" i="6"/>
  <c r="F3" i="6"/>
  <c r="F4" i="6"/>
  <c r="P3" i="6"/>
  <c r="E46" i="2"/>
  <c r="N3" i="6"/>
  <c r="V3" i="6"/>
  <c r="L3" i="6"/>
  <c r="Q3" i="6"/>
  <c r="H3" i="6"/>
  <c r="T3" i="6"/>
  <c r="G3" i="6"/>
  <c r="S3" i="6"/>
  <c r="K3" i="6"/>
  <c r="R3" i="6"/>
  <c r="U3" i="6"/>
  <c r="J3" i="6"/>
  <c r="G46" i="2"/>
  <c r="O3" i="6"/>
  <c r="Y1" i="6"/>
  <c r="X5" i="6"/>
  <c r="X9" i="6"/>
  <c r="W5" i="6"/>
  <c r="W3" i="6"/>
  <c r="F46" i="2"/>
  <c r="J10" i="6"/>
  <c r="F6" i="6"/>
  <c r="F7" i="6"/>
  <c r="G4" i="6"/>
  <c r="Z1" i="6"/>
  <c r="Y3" i="6"/>
  <c r="X3" i="6"/>
  <c r="K10" i="6"/>
  <c r="H4" i="6"/>
  <c r="AA1" i="6"/>
  <c r="Z9" i="6"/>
  <c r="Z3" i="6"/>
  <c r="Y9" i="6"/>
  <c r="Y5" i="6"/>
  <c r="L10" i="6"/>
  <c r="I4" i="6"/>
  <c r="AA5" i="6"/>
  <c r="AB1" i="6"/>
  <c r="AA9" i="6"/>
  <c r="AA3" i="6"/>
  <c r="Z5" i="6"/>
  <c r="M10" i="6"/>
  <c r="J4" i="6"/>
  <c r="AC1" i="6"/>
  <c r="AB9" i="6"/>
  <c r="N10" i="6"/>
  <c r="K4" i="6"/>
  <c r="AC5" i="6"/>
  <c r="AD1" i="6"/>
  <c r="AC9" i="6"/>
  <c r="AC3" i="6"/>
  <c r="AB5" i="6"/>
  <c r="AB3" i="6"/>
  <c r="O10" i="6"/>
  <c r="L4" i="6"/>
  <c r="AE1" i="6"/>
  <c r="AD9" i="6"/>
  <c r="AD3" i="6"/>
  <c r="P10" i="6"/>
  <c r="M4" i="6"/>
  <c r="AE5" i="6"/>
  <c r="AF1" i="6"/>
  <c r="AE9" i="6"/>
  <c r="AE3" i="6"/>
  <c r="AD5" i="6"/>
  <c r="Q10" i="6"/>
  <c r="N4" i="6"/>
  <c r="AF5" i="6"/>
  <c r="AG1" i="6"/>
  <c r="AF9" i="6"/>
  <c r="AF3" i="6"/>
  <c r="R10" i="6"/>
  <c r="O4" i="6"/>
  <c r="AH1" i="6"/>
  <c r="AG9" i="6"/>
  <c r="AG3" i="6"/>
  <c r="S10" i="6"/>
  <c r="P4" i="6"/>
  <c r="AI1" i="6"/>
  <c r="AH9" i="6"/>
  <c r="AH3" i="6"/>
  <c r="AG5" i="6"/>
  <c r="T10" i="6"/>
  <c r="Q4" i="6"/>
  <c r="AJ1" i="6"/>
  <c r="AI9" i="6"/>
  <c r="AH5" i="6"/>
  <c r="U10" i="6"/>
  <c r="R4" i="6"/>
  <c r="AI3" i="6"/>
  <c r="AK1" i="6"/>
  <c r="AJ3" i="6"/>
  <c r="AJ9" i="6"/>
  <c r="AI5" i="6"/>
  <c r="V10" i="6"/>
  <c r="S4" i="6"/>
  <c r="AK5" i="6"/>
  <c r="AL1" i="6"/>
  <c r="AK9" i="6"/>
  <c r="AK3" i="6"/>
  <c r="AJ5" i="6"/>
  <c r="W10" i="6"/>
  <c r="T4" i="6"/>
  <c r="AL5" i="6"/>
  <c r="AM1" i="6"/>
  <c r="AL9" i="6"/>
  <c r="AL3" i="6"/>
  <c r="X10" i="6"/>
  <c r="U4" i="6"/>
  <c r="AM5" i="6"/>
  <c r="AN1" i="6"/>
  <c r="AM9" i="6"/>
  <c r="AM3" i="6"/>
  <c r="Y10" i="6"/>
  <c r="V4" i="6"/>
  <c r="AN5" i="6"/>
  <c r="AO1" i="6"/>
  <c r="AN9" i="6"/>
  <c r="AN3" i="6"/>
  <c r="Z10" i="6"/>
  <c r="W4" i="6"/>
  <c r="AO5" i="6"/>
  <c r="AP1" i="6"/>
  <c r="AO9" i="6"/>
  <c r="AO3" i="6"/>
  <c r="AA10" i="6"/>
  <c r="X4" i="6"/>
  <c r="AP5" i="6"/>
  <c r="AQ1" i="6"/>
  <c r="AP9" i="6"/>
  <c r="AP3" i="6"/>
  <c r="AB10" i="6"/>
  <c r="Y4" i="6"/>
  <c r="AQ5" i="6"/>
  <c r="AR1" i="6"/>
  <c r="AQ9" i="6"/>
  <c r="AQ3" i="6"/>
  <c r="AC10" i="6"/>
  <c r="Z4" i="6"/>
  <c r="AR5" i="6"/>
  <c r="AS1" i="6"/>
  <c r="AR9" i="6"/>
  <c r="AR3" i="6"/>
  <c r="AD10" i="6"/>
  <c r="AA4" i="6"/>
  <c r="AS5" i="6"/>
  <c r="AT1" i="6"/>
  <c r="AS9" i="6"/>
  <c r="AS3" i="6"/>
  <c r="AE10" i="6"/>
  <c r="AB4" i="6"/>
  <c r="AT5" i="6"/>
  <c r="AU1" i="6"/>
  <c r="AT9" i="6"/>
  <c r="AT3" i="6"/>
  <c r="AF10" i="6"/>
  <c r="AC4" i="6"/>
  <c r="AU5" i="6"/>
  <c r="AV1" i="6"/>
  <c r="AU9" i="6"/>
  <c r="AU3" i="6"/>
  <c r="AG10" i="6"/>
  <c r="AD4" i="6"/>
  <c r="AV5" i="6"/>
  <c r="AW1" i="6"/>
  <c r="AV9" i="6"/>
  <c r="AV3" i="6"/>
  <c r="AH10" i="6"/>
  <c r="AE4" i="6"/>
  <c r="AX1" i="6"/>
  <c r="AW9" i="6"/>
  <c r="AW3" i="6"/>
  <c r="AI10" i="6"/>
  <c r="AF4" i="6"/>
  <c r="AX5" i="6"/>
  <c r="AY1" i="6"/>
  <c r="AX9" i="6"/>
  <c r="AX3" i="6"/>
  <c r="AW5" i="6"/>
  <c r="AJ10" i="6"/>
  <c r="AG4" i="6"/>
  <c r="AZ1" i="6"/>
  <c r="AY9" i="6"/>
  <c r="AY3" i="6"/>
  <c r="AK10" i="6"/>
  <c r="AH4" i="6"/>
  <c r="AZ5" i="6"/>
  <c r="BA1" i="6"/>
  <c r="AZ9" i="6"/>
  <c r="AZ3" i="6"/>
  <c r="AY5" i="6"/>
  <c r="AL10" i="6"/>
  <c r="AI4" i="6"/>
  <c r="BB1" i="6"/>
  <c r="BA9" i="6"/>
  <c r="BA3" i="6"/>
  <c r="AM10" i="6"/>
  <c r="AJ4" i="6"/>
  <c r="BB5" i="6"/>
  <c r="BC1" i="6"/>
  <c r="BB9" i="6"/>
  <c r="BB3" i="6"/>
  <c r="BA5" i="6"/>
  <c r="AN10" i="6"/>
  <c r="AK4" i="6"/>
  <c r="BD1" i="6"/>
  <c r="BC9" i="6"/>
  <c r="BC3" i="6"/>
  <c r="AO10" i="6"/>
  <c r="AL4" i="6"/>
  <c r="BD5" i="6"/>
  <c r="BE1" i="6"/>
  <c r="BD9" i="6"/>
  <c r="BD3" i="6"/>
  <c r="BC5" i="6"/>
  <c r="AP10" i="6"/>
  <c r="AM4" i="6"/>
  <c r="BF1" i="6"/>
  <c r="BE9" i="6"/>
  <c r="BE3" i="6"/>
  <c r="AQ10" i="6"/>
  <c r="AN4" i="6"/>
  <c r="BF5" i="6"/>
  <c r="BG1" i="6"/>
  <c r="BF9" i="6"/>
  <c r="BF3" i="6"/>
  <c r="BE5" i="6"/>
  <c r="AR10" i="6"/>
  <c r="AO4" i="6"/>
  <c r="BG5" i="6"/>
  <c r="BH1" i="6"/>
  <c r="BG9" i="6"/>
  <c r="BG3" i="6"/>
  <c r="AS10" i="6"/>
  <c r="AP4" i="6"/>
  <c r="BH5" i="6"/>
  <c r="BI1" i="6"/>
  <c r="BH9" i="6"/>
  <c r="BH3" i="6"/>
  <c r="AT10" i="6"/>
  <c r="AQ4" i="6"/>
  <c r="BI5" i="6"/>
  <c r="BJ1" i="6"/>
  <c r="BI9" i="6"/>
  <c r="BI3" i="6"/>
  <c r="AU10" i="6"/>
  <c r="AR4" i="6"/>
  <c r="BK1" i="6"/>
  <c r="BJ9" i="6"/>
  <c r="BJ3" i="6"/>
  <c r="AV10" i="6"/>
  <c r="AS4" i="6"/>
  <c r="BK5" i="6"/>
  <c r="BL1" i="6"/>
  <c r="BK9" i="6"/>
  <c r="BK3" i="6"/>
  <c r="BJ5" i="6"/>
  <c r="AW10" i="6"/>
  <c r="AT4" i="6"/>
  <c r="BM1" i="6"/>
  <c r="BL9" i="6"/>
  <c r="BL3" i="6"/>
  <c r="AX10" i="6"/>
  <c r="AU4" i="6"/>
  <c r="BN1" i="6"/>
  <c r="BM9" i="6"/>
  <c r="BM3" i="6"/>
  <c r="BL5" i="6"/>
  <c r="AY10" i="6"/>
  <c r="AV4" i="6"/>
  <c r="BN5" i="6"/>
  <c r="BO1" i="6"/>
  <c r="BN9" i="6"/>
  <c r="BN3" i="6"/>
  <c r="BM5" i="6"/>
  <c r="AZ10" i="6"/>
  <c r="AW4" i="6"/>
  <c r="BP1" i="6"/>
  <c r="BO9" i="6"/>
  <c r="BO3" i="6"/>
  <c r="BA10" i="6"/>
  <c r="AX4" i="6"/>
  <c r="BQ1" i="6"/>
  <c r="BP9" i="6"/>
  <c r="BP3" i="6"/>
  <c r="BO5" i="6"/>
  <c r="BB10" i="6"/>
  <c r="AY4" i="6"/>
  <c r="BR1" i="6"/>
  <c r="BQ9" i="6"/>
  <c r="BQ3" i="6"/>
  <c r="BP5" i="6"/>
  <c r="BC10" i="6"/>
  <c r="AZ4" i="6"/>
  <c r="BS1" i="6"/>
  <c r="BR9" i="6"/>
  <c r="BR3" i="6"/>
  <c r="BQ5" i="6"/>
  <c r="BD10" i="6"/>
  <c r="BA4" i="6"/>
  <c r="BT1" i="6"/>
  <c r="BS9" i="6"/>
  <c r="BS3" i="6"/>
  <c r="BR5" i="6"/>
  <c r="BE10" i="6"/>
  <c r="BB4" i="6"/>
  <c r="BU1" i="6"/>
  <c r="BT9" i="6"/>
  <c r="BT3" i="6"/>
  <c r="BS5" i="6"/>
  <c r="BF10" i="6"/>
  <c r="BC4" i="6"/>
  <c r="BV1" i="6"/>
  <c r="BU9" i="6"/>
  <c r="BU3" i="6"/>
  <c r="BT5" i="6"/>
  <c r="BG10" i="6"/>
  <c r="BD4" i="6"/>
  <c r="BW1" i="6"/>
  <c r="BV9" i="6"/>
  <c r="BV3" i="6"/>
  <c r="BU5" i="6"/>
  <c r="BH10" i="6"/>
  <c r="BE4" i="6"/>
  <c r="BX1" i="6"/>
  <c r="BW9" i="6"/>
  <c r="BW3" i="6"/>
  <c r="BV5" i="6"/>
  <c r="BI10" i="6"/>
  <c r="BF4" i="6"/>
  <c r="BY1" i="6"/>
  <c r="BX9" i="6"/>
  <c r="BX3" i="6"/>
  <c r="BW5" i="6"/>
  <c r="BJ10" i="6"/>
  <c r="BG4" i="6"/>
  <c r="BZ1" i="6"/>
  <c r="BY9" i="6"/>
  <c r="BY3" i="6"/>
  <c r="BX5" i="6"/>
  <c r="BK10" i="6"/>
  <c r="BH4" i="6"/>
  <c r="CA1" i="6"/>
  <c r="BZ9" i="6"/>
  <c r="BZ3" i="6"/>
  <c r="BY5" i="6"/>
  <c r="BL10" i="6"/>
  <c r="BI4" i="6"/>
  <c r="CB1" i="6"/>
  <c r="CA9" i="6"/>
  <c r="CA3" i="6"/>
  <c r="BZ5" i="6"/>
  <c r="BM10" i="6"/>
  <c r="BJ4" i="6"/>
  <c r="CC1" i="6"/>
  <c r="CB9" i="6"/>
  <c r="CB3" i="6"/>
  <c r="CA5" i="6"/>
  <c r="BN10" i="6"/>
  <c r="BK4" i="6"/>
  <c r="CD1" i="6"/>
  <c r="CC9" i="6"/>
  <c r="CC3" i="6"/>
  <c r="CB5" i="6"/>
  <c r="BO10" i="6"/>
  <c r="BL4" i="6"/>
  <c r="CE1" i="6"/>
  <c r="CD9" i="6"/>
  <c r="CD3" i="6"/>
  <c r="CC5" i="6"/>
  <c r="BP10" i="6"/>
  <c r="BM4" i="6"/>
  <c r="CF1" i="6"/>
  <c r="CE9" i="6"/>
  <c r="CE3" i="6"/>
  <c r="CD5" i="6"/>
  <c r="BQ10" i="6"/>
  <c r="BN4" i="6"/>
  <c r="CG1" i="6"/>
  <c r="CF9" i="6"/>
  <c r="CF3" i="6"/>
  <c r="CE5" i="6"/>
  <c r="BR10" i="6"/>
  <c r="BO4" i="6"/>
  <c r="CH1" i="6"/>
  <c r="CG9" i="6"/>
  <c r="CG3" i="6"/>
  <c r="CF5" i="6"/>
  <c r="BS10" i="6"/>
  <c r="BP4" i="6"/>
  <c r="CI1" i="6"/>
  <c r="CH9" i="6"/>
  <c r="CH3" i="6"/>
  <c r="CG5" i="6"/>
  <c r="BT10" i="6"/>
  <c r="BQ4" i="6"/>
  <c r="CJ1" i="6"/>
  <c r="CI9" i="6"/>
  <c r="CI3" i="6"/>
  <c r="CH5" i="6"/>
  <c r="BU10" i="6"/>
  <c r="BR4" i="6"/>
  <c r="CK1" i="6"/>
  <c r="CJ9" i="6"/>
  <c r="CJ3" i="6"/>
  <c r="CI5" i="6"/>
  <c r="BV10" i="6"/>
  <c r="BS4" i="6"/>
  <c r="CL1" i="6"/>
  <c r="CK9" i="6"/>
  <c r="CK3" i="6"/>
  <c r="CJ5" i="6"/>
  <c r="BW10" i="6"/>
  <c r="BT4" i="6"/>
  <c r="CM1" i="6"/>
  <c r="CL9" i="6"/>
  <c r="CL3" i="6"/>
  <c r="CK5" i="6"/>
  <c r="BX10" i="6"/>
  <c r="BU4" i="6"/>
  <c r="CN1" i="6"/>
  <c r="CM9" i="6"/>
  <c r="CM3" i="6"/>
  <c r="CL5" i="6"/>
  <c r="BY10" i="6"/>
  <c r="BV4" i="6"/>
  <c r="CO1" i="6"/>
  <c r="CN9" i="6"/>
  <c r="CN3" i="6"/>
  <c r="CM5" i="6"/>
  <c r="BZ10" i="6"/>
  <c r="BW4" i="6"/>
  <c r="CP1" i="6"/>
  <c r="CO9" i="6"/>
  <c r="CO3" i="6"/>
  <c r="CN5" i="6"/>
  <c r="CA10" i="6"/>
  <c r="BX4" i="6"/>
  <c r="CQ1" i="6"/>
  <c r="CP9" i="6"/>
  <c r="CP3" i="6"/>
  <c r="CO5" i="6"/>
  <c r="CB10" i="6"/>
  <c r="BY4" i="6"/>
  <c r="CR1" i="6"/>
  <c r="CQ9" i="6"/>
  <c r="CQ3" i="6"/>
  <c r="CP5" i="6"/>
  <c r="CC10" i="6"/>
  <c r="BZ4" i="6"/>
  <c r="CS1" i="6"/>
  <c r="CR9" i="6"/>
  <c r="CR3" i="6"/>
  <c r="CQ5" i="6"/>
  <c r="CD10" i="6"/>
  <c r="CA4" i="6"/>
  <c r="CT1" i="6"/>
  <c r="CS9" i="6"/>
  <c r="CS3" i="6"/>
  <c r="CR5" i="6"/>
  <c r="CE10" i="6"/>
  <c r="CB4" i="6"/>
  <c r="CT5" i="6"/>
  <c r="CU1" i="6"/>
  <c r="CT9" i="6"/>
  <c r="CT3" i="6"/>
  <c r="CS5" i="6"/>
  <c r="CF10" i="6"/>
  <c r="CC4" i="6"/>
  <c r="CV1" i="6"/>
  <c r="CU9" i="6"/>
  <c r="CU3" i="6"/>
  <c r="CG10" i="6"/>
  <c r="CD4" i="6"/>
  <c r="CW1" i="6"/>
  <c r="CV9" i="6"/>
  <c r="CV3" i="6"/>
  <c r="CU5" i="6"/>
  <c r="CH10" i="6"/>
  <c r="CE4" i="6"/>
  <c r="CX1" i="6"/>
  <c r="CW9" i="6"/>
  <c r="CW3" i="6"/>
  <c r="CV5" i="6"/>
  <c r="CI10" i="6"/>
  <c r="CF4" i="6"/>
  <c r="CY1" i="6"/>
  <c r="CX9" i="6"/>
  <c r="CX3" i="6"/>
  <c r="CW5" i="6"/>
  <c r="CJ10" i="6"/>
  <c r="CG4" i="6"/>
  <c r="CZ1" i="6"/>
  <c r="CY9" i="6"/>
  <c r="CY3" i="6"/>
  <c r="CX5" i="6"/>
  <c r="CK10" i="6"/>
  <c r="CH4" i="6"/>
  <c r="DA1" i="6"/>
  <c r="CZ9" i="6"/>
  <c r="CZ3" i="6"/>
  <c r="CY5" i="6"/>
  <c r="CL10" i="6"/>
  <c r="CI4" i="6"/>
  <c r="DB1" i="6"/>
  <c r="DA9" i="6"/>
  <c r="DA3" i="6"/>
  <c r="CZ5" i="6"/>
  <c r="CM10" i="6"/>
  <c r="CJ4" i="6"/>
  <c r="DC1" i="6"/>
  <c r="DB9" i="6"/>
  <c r="DB3" i="6"/>
  <c r="DA5" i="6"/>
  <c r="CN10" i="6"/>
  <c r="CK4" i="6"/>
  <c r="DD1" i="6"/>
  <c r="DC9" i="6"/>
  <c r="DC3" i="6"/>
  <c r="DB5" i="6"/>
  <c r="CO10" i="6"/>
  <c r="CL4" i="6"/>
  <c r="DE1" i="6"/>
  <c r="DD9" i="6"/>
  <c r="DD3" i="6"/>
  <c r="DC5" i="6"/>
  <c r="CP10" i="6"/>
  <c r="CM4" i="6"/>
  <c r="DF1" i="6"/>
  <c r="DE9" i="6"/>
  <c r="DE3" i="6"/>
  <c r="DD5" i="6"/>
  <c r="CQ10" i="6"/>
  <c r="CN4" i="6"/>
  <c r="DG1" i="6"/>
  <c r="DF9" i="6"/>
  <c r="DF3" i="6"/>
  <c r="DE5" i="6"/>
  <c r="CR10" i="6"/>
  <c r="CO4" i="6"/>
  <c r="DH1" i="6"/>
  <c r="DG9" i="6"/>
  <c r="DG3" i="6"/>
  <c r="DF5" i="6"/>
  <c r="CS10" i="6"/>
  <c r="CP4" i="6"/>
  <c r="DI1" i="6"/>
  <c r="DH9" i="6"/>
  <c r="DH3" i="6"/>
  <c r="DG5" i="6"/>
  <c r="CT10" i="6"/>
  <c r="CQ4" i="6"/>
  <c r="DJ1" i="6"/>
  <c r="DI9" i="6"/>
  <c r="DI3" i="6"/>
  <c r="DH5" i="6"/>
  <c r="CU10" i="6"/>
  <c r="CR4" i="6"/>
  <c r="DK1" i="6"/>
  <c r="DJ9" i="6"/>
  <c r="DJ3" i="6"/>
  <c r="DI5" i="6"/>
  <c r="CV10" i="6"/>
  <c r="CS4" i="6"/>
  <c r="DK5" i="6"/>
  <c r="DL1" i="6"/>
  <c r="DK9" i="6"/>
  <c r="DK3" i="6"/>
  <c r="DJ5" i="6"/>
  <c r="CW10" i="6"/>
  <c r="CT4" i="6"/>
  <c r="DM1" i="6"/>
  <c r="DL9" i="6"/>
  <c r="DL3" i="6"/>
  <c r="CX10" i="6"/>
  <c r="CU4" i="6"/>
  <c r="DN1" i="6"/>
  <c r="DM9" i="6"/>
  <c r="DM3" i="6"/>
  <c r="DL5" i="6"/>
  <c r="CY10" i="6"/>
  <c r="CV4" i="6"/>
  <c r="DO1" i="6"/>
  <c r="DN9" i="6"/>
  <c r="DN3" i="6"/>
  <c r="DM5" i="6"/>
  <c r="CZ10" i="6"/>
  <c r="CW4" i="6"/>
  <c r="DP1" i="6"/>
  <c r="DO9" i="6"/>
  <c r="DO3" i="6"/>
  <c r="DN5" i="6"/>
  <c r="DA10" i="6"/>
  <c r="CX4" i="6"/>
  <c r="DQ1" i="6"/>
  <c r="DP3" i="6"/>
  <c r="DO5" i="6"/>
  <c r="DB10" i="6"/>
  <c r="CY4" i="6"/>
  <c r="DR1" i="6"/>
  <c r="DQ9" i="6"/>
  <c r="DQ3" i="6"/>
  <c r="DP9" i="6"/>
  <c r="DP5" i="6"/>
  <c r="DC10" i="6"/>
  <c r="CZ4" i="6"/>
  <c r="DS1" i="6"/>
  <c r="DR9" i="6"/>
  <c r="DR3" i="6"/>
  <c r="DQ5" i="6"/>
  <c r="DD10" i="6"/>
  <c r="DA4" i="6"/>
  <c r="DS5" i="6"/>
  <c r="DT1" i="6"/>
  <c r="DS9" i="6"/>
  <c r="DS3" i="6"/>
  <c r="DR5" i="6"/>
  <c r="DE10" i="6"/>
  <c r="DB4" i="6"/>
  <c r="DT5" i="6"/>
  <c r="DU1" i="6"/>
  <c r="DT9" i="6"/>
  <c r="DT3" i="6"/>
  <c r="DF10" i="6"/>
  <c r="DC4" i="6"/>
  <c r="DU5" i="6"/>
  <c r="DV1" i="6"/>
  <c r="DU9" i="6"/>
  <c r="DU3" i="6"/>
  <c r="DG10" i="6"/>
  <c r="DD4" i="6"/>
  <c r="DV5" i="6"/>
  <c r="DW1" i="6"/>
  <c r="DV9" i="6"/>
  <c r="DV3" i="6"/>
  <c r="DH10" i="6"/>
  <c r="DE4" i="6"/>
  <c r="DW5" i="6"/>
  <c r="DX1" i="6"/>
  <c r="DW9" i="6"/>
  <c r="DW3" i="6"/>
  <c r="DI10" i="6"/>
  <c r="DF4" i="6"/>
  <c r="DY1" i="6"/>
  <c r="DX9" i="6"/>
  <c r="DX3" i="6"/>
  <c r="DJ10" i="6"/>
  <c r="DG4" i="6"/>
  <c r="DZ1" i="6"/>
  <c r="DY9" i="6"/>
  <c r="DY3" i="6"/>
  <c r="DX5" i="6"/>
  <c r="DK10" i="6"/>
  <c r="DH4" i="6"/>
  <c r="EA1" i="6"/>
  <c r="DZ3" i="6"/>
  <c r="DY5" i="6"/>
  <c r="DL10" i="6"/>
  <c r="DI4" i="6"/>
  <c r="EB1" i="6"/>
  <c r="EA9" i="6"/>
  <c r="EA3" i="6"/>
  <c r="DZ9" i="6"/>
  <c r="DZ5" i="6"/>
  <c r="DM10" i="6"/>
  <c r="DJ4" i="6"/>
  <c r="EC1" i="6"/>
  <c r="EB9" i="6"/>
  <c r="EB3" i="6"/>
  <c r="EA5" i="6"/>
  <c r="DN10" i="6"/>
  <c r="DK4" i="6"/>
  <c r="EC5" i="6"/>
  <c r="ED1" i="6"/>
  <c r="EC9" i="6"/>
  <c r="EC3" i="6"/>
  <c r="EB5" i="6"/>
  <c r="DO10" i="6"/>
  <c r="DL4" i="6"/>
  <c r="EE1" i="6"/>
  <c r="ED9" i="6"/>
  <c r="ED3" i="6"/>
  <c r="DP10" i="6"/>
  <c r="DM4" i="6"/>
  <c r="EE5" i="6"/>
  <c r="EF1" i="6"/>
  <c r="EE9" i="6"/>
  <c r="EE3" i="6"/>
  <c r="ED5" i="6"/>
  <c r="DQ10" i="6"/>
  <c r="DN4" i="6"/>
  <c r="EG1" i="6"/>
  <c r="DR10" i="6"/>
  <c r="DO4" i="6"/>
  <c r="EH1" i="6"/>
  <c r="EG9" i="6"/>
  <c r="EF3" i="6"/>
  <c r="EF9" i="6"/>
  <c r="EF5" i="6"/>
  <c r="DS10" i="6"/>
  <c r="DP4" i="6"/>
  <c r="EG3" i="6"/>
  <c r="EI1" i="6"/>
  <c r="EH9" i="6"/>
  <c r="EH3" i="6"/>
  <c r="EG5" i="6"/>
  <c r="DT10" i="6"/>
  <c r="DQ4" i="6"/>
  <c r="EJ1" i="6"/>
  <c r="EI9" i="6"/>
  <c r="EI3" i="6"/>
  <c r="EH5" i="6"/>
  <c r="DU10" i="6"/>
  <c r="DR4" i="6"/>
  <c r="EJ5" i="6"/>
  <c r="EK1" i="6"/>
  <c r="EJ9" i="6"/>
  <c r="EJ3" i="6"/>
  <c r="EI5" i="6"/>
  <c r="DV10" i="6"/>
  <c r="DS4" i="6"/>
  <c r="EK5" i="6"/>
  <c r="EL1" i="6"/>
  <c r="EK9" i="6"/>
  <c r="EK3" i="6"/>
  <c r="DW10" i="6"/>
  <c r="DT4" i="6"/>
  <c r="EL5" i="6"/>
  <c r="EM1" i="6"/>
  <c r="EL9" i="6"/>
  <c r="EL3" i="6"/>
  <c r="DX10" i="6"/>
  <c r="DU4" i="6"/>
  <c r="EN1" i="6"/>
  <c r="EM9" i="6"/>
  <c r="EM3" i="6"/>
  <c r="DY10" i="6"/>
  <c r="DV4" i="6"/>
  <c r="EN5" i="6"/>
  <c r="EO1" i="6"/>
  <c r="EN9" i="6"/>
  <c r="EN3" i="6"/>
  <c r="EM5" i="6"/>
  <c r="DZ10" i="6"/>
  <c r="DW4" i="6"/>
  <c r="EP1" i="6"/>
  <c r="EO9" i="6"/>
  <c r="EO3" i="6"/>
  <c r="EA10" i="6"/>
  <c r="DX4" i="6"/>
  <c r="EQ1" i="6"/>
  <c r="EP9" i="6"/>
  <c r="EP3" i="6"/>
  <c r="EO5" i="6"/>
  <c r="EB10" i="6"/>
  <c r="DY4" i="6"/>
  <c r="EQ5" i="6"/>
  <c r="ER1" i="6"/>
  <c r="EQ9" i="6"/>
  <c r="EQ3" i="6"/>
  <c r="EP5" i="6"/>
  <c r="EC10" i="6"/>
  <c r="DZ4" i="6"/>
  <c r="ER5" i="6"/>
  <c r="ES1" i="6"/>
  <c r="ER9" i="6"/>
  <c r="ER3" i="6"/>
  <c r="ED10" i="6"/>
  <c r="EA4" i="6"/>
  <c r="ET1" i="6"/>
  <c r="ES9" i="6"/>
  <c r="ES3" i="6"/>
  <c r="EE10" i="6"/>
  <c r="EB4" i="6"/>
  <c r="EU1" i="6"/>
  <c r="ET9" i="6"/>
  <c r="ET3" i="6"/>
  <c r="ES5" i="6"/>
  <c r="EF10" i="6"/>
  <c r="EC4" i="6"/>
  <c r="EV1" i="6"/>
  <c r="EU9" i="6"/>
  <c r="EU3" i="6"/>
  <c r="ET5" i="6"/>
  <c r="EG10" i="6"/>
  <c r="ED4" i="6"/>
  <c r="EV5" i="6"/>
  <c r="EW1" i="6"/>
  <c r="EV9" i="6"/>
  <c r="EV3" i="6"/>
  <c r="EU5" i="6"/>
  <c r="EH10" i="6"/>
  <c r="EE4" i="6"/>
  <c r="EW5" i="6"/>
  <c r="EX1" i="6"/>
  <c r="EW9" i="6"/>
  <c r="EW3" i="6"/>
  <c r="EI10" i="6"/>
  <c r="EF4" i="6"/>
  <c r="EX5" i="6"/>
  <c r="EY1" i="6"/>
  <c r="EX9" i="6"/>
  <c r="EX3" i="6"/>
  <c r="EJ10" i="6"/>
  <c r="EG4" i="6"/>
  <c r="EY5" i="6"/>
  <c r="EZ1" i="6"/>
  <c r="EY9" i="6"/>
  <c r="EY3" i="6"/>
  <c r="EK10" i="6"/>
  <c r="EH4" i="6"/>
  <c r="FA1" i="6"/>
  <c r="EZ9" i="6"/>
  <c r="EZ3" i="6"/>
  <c r="EL10" i="6"/>
  <c r="EI4" i="6"/>
  <c r="FB1" i="6"/>
  <c r="FA9" i="6"/>
  <c r="FA3" i="6"/>
  <c r="EZ5" i="6"/>
  <c r="EM10" i="6"/>
  <c r="EJ4" i="6"/>
  <c r="FC1" i="6"/>
  <c r="FB9" i="6"/>
  <c r="FB3" i="6"/>
  <c r="FA5" i="6"/>
  <c r="EN10" i="6"/>
  <c r="EK4" i="6"/>
  <c r="FD1" i="6"/>
  <c r="FC9" i="6"/>
  <c r="FC3" i="6"/>
  <c r="FB5" i="6"/>
  <c r="EO10" i="6"/>
  <c r="EL4" i="6"/>
  <c r="FE1" i="6"/>
  <c r="FD9" i="6"/>
  <c r="FD3" i="6"/>
  <c r="FC5" i="6"/>
  <c r="EP10" i="6"/>
  <c r="EM4" i="6"/>
  <c r="FF1" i="6"/>
  <c r="FE9" i="6"/>
  <c r="FE3" i="6"/>
  <c r="FD5" i="6"/>
  <c r="EQ10" i="6"/>
  <c r="EN4" i="6"/>
  <c r="FG1" i="6"/>
  <c r="FF9" i="6"/>
  <c r="FF3" i="6"/>
  <c r="FE5" i="6"/>
  <c r="ER10" i="6"/>
  <c r="EO4" i="6"/>
  <c r="FH1" i="6"/>
  <c r="FG9" i="6"/>
  <c r="FG3" i="6"/>
  <c r="FF5" i="6"/>
  <c r="ES10" i="6"/>
  <c r="EP4" i="6"/>
  <c r="FI1" i="6"/>
  <c r="FH9" i="6"/>
  <c r="FH3" i="6"/>
  <c r="FG5" i="6"/>
  <c r="ET10" i="6"/>
  <c r="EQ4" i="6"/>
  <c r="FI5" i="6"/>
  <c r="FJ1" i="6"/>
  <c r="FI9" i="6"/>
  <c r="FI3" i="6"/>
  <c r="FH5" i="6"/>
  <c r="EU10" i="6"/>
  <c r="ER4" i="6"/>
  <c r="FK1" i="6"/>
  <c r="FJ9" i="6"/>
  <c r="FJ3" i="6"/>
  <c r="EV10" i="6"/>
  <c r="ES4" i="6"/>
  <c r="FL1" i="6"/>
  <c r="FK9" i="6"/>
  <c r="FK3" i="6"/>
  <c r="FJ5" i="6"/>
  <c r="EW10" i="6"/>
  <c r="ET4" i="6"/>
  <c r="FM1" i="6"/>
  <c r="FL9" i="6"/>
  <c r="FL3" i="6"/>
  <c r="FK5" i="6"/>
  <c r="EX10" i="6"/>
  <c r="EU4" i="6"/>
  <c r="FN1" i="6"/>
  <c r="FM9" i="6"/>
  <c r="FM3" i="6"/>
  <c r="FL5" i="6"/>
  <c r="EY10" i="6"/>
  <c r="EV4" i="6"/>
  <c r="FN5" i="6"/>
  <c r="FO1" i="6"/>
  <c r="FN9" i="6"/>
  <c r="FN3" i="6"/>
  <c r="FM5" i="6"/>
  <c r="EZ10" i="6"/>
  <c r="EW4" i="6"/>
  <c r="FO5" i="6"/>
  <c r="FP1" i="6"/>
  <c r="FO9" i="6"/>
  <c r="FO3" i="6"/>
  <c r="FA10" i="6"/>
  <c r="EX4" i="6"/>
  <c r="FP5" i="6"/>
  <c r="FQ1" i="6"/>
  <c r="FP9" i="6"/>
  <c r="FP3" i="6"/>
  <c r="FB10" i="6"/>
  <c r="EY4" i="6"/>
  <c r="FQ5" i="6"/>
  <c r="FR1" i="6"/>
  <c r="FQ9" i="6"/>
  <c r="FQ3" i="6"/>
  <c r="FC10" i="6"/>
  <c r="EZ4" i="6"/>
  <c r="FS1" i="6"/>
  <c r="FR9" i="6"/>
  <c r="FR3" i="6"/>
  <c r="FD10" i="6"/>
  <c r="FA4" i="6"/>
  <c r="FS5" i="6"/>
  <c r="FT1" i="6"/>
  <c r="FS9" i="6"/>
  <c r="FS3" i="6"/>
  <c r="FR5" i="6"/>
  <c r="FE10" i="6"/>
  <c r="FB4" i="6"/>
  <c r="FT5" i="6"/>
  <c r="FU1" i="6"/>
  <c r="FT9" i="6"/>
  <c r="FT3" i="6"/>
  <c r="FF10" i="6"/>
  <c r="FC4" i="6"/>
  <c r="FU5" i="6"/>
  <c r="FV1" i="6"/>
  <c r="FU9" i="6"/>
  <c r="FU3" i="6"/>
  <c r="FG10" i="6"/>
  <c r="FD4" i="6"/>
  <c r="FV5" i="6"/>
  <c r="FW1" i="6"/>
  <c r="FV9" i="6"/>
  <c r="FV3" i="6"/>
  <c r="FH10" i="6"/>
  <c r="FE4" i="6"/>
  <c r="FW5" i="6"/>
  <c r="FX1" i="6"/>
  <c r="FW9" i="6"/>
  <c r="FW3" i="6"/>
  <c r="FI10" i="6"/>
  <c r="FF4" i="6"/>
  <c r="FX5" i="6"/>
  <c r="FY1" i="6"/>
  <c r="FX9" i="6"/>
  <c r="FX3" i="6"/>
  <c r="FJ10" i="6"/>
  <c r="FG4" i="6"/>
  <c r="FY5" i="6"/>
  <c r="FZ1" i="6"/>
  <c r="FY9" i="6"/>
  <c r="FY3" i="6"/>
  <c r="FK10" i="6"/>
  <c r="FH4" i="6"/>
  <c r="GA1" i="6"/>
  <c r="FZ9" i="6"/>
  <c r="FZ3" i="6"/>
  <c r="FL10" i="6"/>
  <c r="FI4" i="6"/>
  <c r="GA5" i="6"/>
  <c r="GB1" i="6"/>
  <c r="GA9" i="6"/>
  <c r="GA3" i="6"/>
  <c r="FZ5" i="6"/>
  <c r="FM10" i="6"/>
  <c r="FJ4" i="6"/>
  <c r="GC1" i="6"/>
  <c r="GB9" i="6"/>
  <c r="GB3" i="6"/>
  <c r="FN10" i="6"/>
  <c r="FK4" i="6"/>
  <c r="GC5" i="6"/>
  <c r="GD1" i="6"/>
  <c r="GC9" i="6"/>
  <c r="GC3" i="6"/>
  <c r="GB5" i="6"/>
  <c r="FO10" i="6"/>
  <c r="FL4" i="6"/>
  <c r="GE1" i="6"/>
  <c r="GD9" i="6"/>
  <c r="GD3" i="6"/>
  <c r="FP10" i="6"/>
  <c r="FM4" i="6"/>
  <c r="GE5" i="6"/>
  <c r="GF1" i="6"/>
  <c r="GE9" i="6"/>
  <c r="GE3" i="6"/>
  <c r="GD5" i="6"/>
  <c r="FQ10" i="6"/>
  <c r="FN4" i="6"/>
  <c r="GF5" i="6"/>
  <c r="GG1" i="6"/>
  <c r="GF9" i="6"/>
  <c r="GF3" i="6"/>
  <c r="FR10" i="6"/>
  <c r="FO4" i="6"/>
  <c r="GH1" i="6"/>
  <c r="GG9" i="6"/>
  <c r="GG3" i="6"/>
  <c r="FS10" i="6"/>
  <c r="FP4" i="6"/>
  <c r="GH5" i="6"/>
  <c r="GI1" i="6"/>
  <c r="GH9" i="6"/>
  <c r="GH3" i="6"/>
  <c r="GG5" i="6"/>
  <c r="FT10" i="6"/>
  <c r="FQ4" i="6"/>
  <c r="GI5" i="6"/>
  <c r="GJ1" i="6"/>
  <c r="GI9" i="6"/>
  <c r="GI3" i="6"/>
  <c r="FU10" i="6"/>
  <c r="FR4" i="6"/>
  <c r="GK1" i="6"/>
  <c r="GJ9" i="6"/>
  <c r="GJ3" i="6"/>
  <c r="FV10" i="6"/>
  <c r="FS4" i="6"/>
  <c r="GL1" i="6"/>
  <c r="GK9" i="6"/>
  <c r="GK3" i="6"/>
  <c r="GJ5" i="6"/>
  <c r="FW10" i="6"/>
  <c r="FT4" i="6"/>
  <c r="GL5" i="6"/>
  <c r="GM1" i="6"/>
  <c r="GL9" i="6"/>
  <c r="GL3" i="6"/>
  <c r="GK5" i="6"/>
  <c r="FX10" i="6"/>
  <c r="FU4" i="6"/>
  <c r="GN1" i="6"/>
  <c r="GM9" i="6"/>
  <c r="GM3" i="6"/>
  <c r="FY10" i="6"/>
  <c r="FV4" i="6"/>
  <c r="GN5" i="6"/>
  <c r="GO1" i="6"/>
  <c r="GN9" i="6"/>
  <c r="GN3" i="6"/>
  <c r="GM5" i="6"/>
  <c r="FZ10" i="6"/>
  <c r="FW4" i="6"/>
  <c r="GP1" i="6"/>
  <c r="GO9" i="6"/>
  <c r="GO3" i="6"/>
  <c r="GA10" i="6"/>
  <c r="FX4" i="6"/>
  <c r="GQ1" i="6"/>
  <c r="GP9" i="6"/>
  <c r="GP3" i="6"/>
  <c r="GO5" i="6"/>
  <c r="GB10" i="6"/>
  <c r="FY4" i="6"/>
  <c r="GR1" i="6"/>
  <c r="GQ9" i="6"/>
  <c r="GQ3" i="6"/>
  <c r="GP5" i="6"/>
  <c r="GC10" i="6"/>
  <c r="FZ4" i="6"/>
  <c r="GS1" i="6"/>
  <c r="GR9" i="6"/>
  <c r="GR3" i="6"/>
  <c r="GQ5" i="6"/>
  <c r="GD10" i="6"/>
  <c r="GA4" i="6"/>
  <c r="GT1" i="6"/>
  <c r="GS3" i="6"/>
  <c r="GR5" i="6"/>
  <c r="GE10" i="6"/>
  <c r="GB4" i="6"/>
  <c r="GU1" i="6"/>
  <c r="GT9" i="6"/>
  <c r="GT3" i="6"/>
  <c r="GS9" i="6"/>
  <c r="GS5" i="6"/>
  <c r="GF10" i="6"/>
  <c r="GC4" i="6"/>
  <c r="GV1" i="6"/>
  <c r="GU9" i="6"/>
  <c r="GU3" i="6"/>
  <c r="GT5" i="6"/>
  <c r="GG10" i="6"/>
  <c r="GD4" i="6"/>
  <c r="GV5" i="6"/>
  <c r="GW1" i="6"/>
  <c r="GU5" i="6"/>
  <c r="GH10" i="6"/>
  <c r="GE4" i="6"/>
  <c r="GX1" i="6"/>
  <c r="GW9" i="6"/>
  <c r="GW3" i="6"/>
  <c r="GV3" i="6"/>
  <c r="GV9" i="6"/>
  <c r="GI10" i="6"/>
  <c r="GF4" i="6"/>
  <c r="GY1" i="6"/>
  <c r="GX9" i="6"/>
  <c r="GX3" i="6"/>
  <c r="GW5" i="6"/>
  <c r="GJ10" i="6"/>
  <c r="GG4" i="6"/>
  <c r="GZ1" i="6"/>
  <c r="GY9" i="6"/>
  <c r="GY3" i="6"/>
  <c r="GX5" i="6"/>
  <c r="GK10" i="6"/>
  <c r="GH4" i="6"/>
  <c r="HA1" i="6"/>
  <c r="GZ9" i="6"/>
  <c r="GZ3" i="6"/>
  <c r="GY5" i="6"/>
  <c r="GL10" i="6"/>
  <c r="GI4" i="6"/>
  <c r="HB1" i="6"/>
  <c r="HA9" i="6"/>
  <c r="HA3" i="6"/>
  <c r="GZ5" i="6"/>
  <c r="GM10" i="6"/>
  <c r="GJ4" i="6"/>
  <c r="HB5" i="6"/>
  <c r="HC1" i="6"/>
  <c r="HB9" i="6"/>
  <c r="HB3" i="6"/>
  <c r="HA5" i="6"/>
  <c r="GN10" i="6"/>
  <c r="GK4" i="6"/>
  <c r="HD1" i="6"/>
  <c r="HC9" i="6"/>
  <c r="HC3" i="6"/>
  <c r="GO10" i="6"/>
  <c r="GL4" i="6"/>
  <c r="HE1" i="6"/>
  <c r="HD9" i="6"/>
  <c r="HD3" i="6"/>
  <c r="HC5" i="6"/>
  <c r="GP10" i="6"/>
  <c r="GM4" i="6"/>
  <c r="HF1" i="6"/>
  <c r="HE9" i="6"/>
  <c r="HE3" i="6"/>
  <c r="HD5" i="6"/>
  <c r="GQ10" i="6"/>
  <c r="GN4" i="6"/>
  <c r="HG1" i="6"/>
  <c r="HF9" i="6"/>
  <c r="HF3" i="6"/>
  <c r="HE5" i="6"/>
  <c r="GR10" i="6"/>
  <c r="GO4" i="6"/>
  <c r="HH1" i="6"/>
  <c r="HG9" i="6"/>
  <c r="HG3" i="6"/>
  <c r="HF5" i="6"/>
  <c r="GS10" i="6"/>
  <c r="GP4" i="6"/>
  <c r="HI1" i="6"/>
  <c r="HH9" i="6"/>
  <c r="HH3" i="6"/>
  <c r="HG5" i="6"/>
  <c r="GT10" i="6"/>
  <c r="GQ4" i="6"/>
  <c r="HJ1" i="6"/>
  <c r="HI3" i="6"/>
  <c r="HH5" i="6"/>
  <c r="GU10" i="6"/>
  <c r="GR4" i="6"/>
  <c r="HK1" i="6"/>
  <c r="HJ9" i="6"/>
  <c r="HJ3" i="6"/>
  <c r="HI9" i="6"/>
  <c r="HI5" i="6"/>
  <c r="GV10" i="6"/>
  <c r="GS4" i="6"/>
  <c r="HL1" i="6"/>
  <c r="HK9" i="6"/>
  <c r="HK3" i="6"/>
  <c r="HJ5" i="6"/>
  <c r="GW10" i="6"/>
  <c r="GT4" i="6"/>
  <c r="HL5" i="6"/>
  <c r="HM1" i="6"/>
  <c r="HL9" i="6"/>
  <c r="HL3" i="6"/>
  <c r="HK5" i="6"/>
  <c r="GX10" i="6"/>
  <c r="GU4" i="6"/>
  <c r="HN1" i="6"/>
  <c r="HM9" i="6"/>
  <c r="HM3" i="6"/>
  <c r="GY10" i="6"/>
  <c r="GV4" i="6"/>
  <c r="HN5" i="6"/>
  <c r="HO1" i="6"/>
  <c r="HN9" i="6"/>
  <c r="HN3" i="6"/>
  <c r="HM5" i="6"/>
  <c r="GZ10" i="6"/>
  <c r="GW4" i="6"/>
  <c r="HP1" i="6"/>
  <c r="HO9" i="6"/>
  <c r="HO3" i="6"/>
  <c r="HA10" i="6"/>
  <c r="GX4" i="6"/>
  <c r="HQ1" i="6"/>
  <c r="HP9" i="6"/>
  <c r="HP3" i="6"/>
  <c r="HO5" i="6"/>
  <c r="HB10" i="6"/>
  <c r="GY4" i="6"/>
  <c r="HR1" i="6"/>
  <c r="HQ9" i="6"/>
  <c r="HQ3" i="6"/>
  <c r="HP5" i="6"/>
  <c r="HC10" i="6"/>
  <c r="GZ4" i="6"/>
  <c r="HS1" i="6"/>
  <c r="HR9" i="6"/>
  <c r="HR3" i="6"/>
  <c r="HQ5" i="6"/>
  <c r="HD10" i="6"/>
  <c r="HA4" i="6"/>
  <c r="HT1" i="6"/>
  <c r="HS9" i="6"/>
  <c r="HS3" i="6"/>
  <c r="HR5" i="6"/>
  <c r="HE10" i="6"/>
  <c r="HB4" i="6"/>
  <c r="HU1" i="6"/>
  <c r="HT9" i="6"/>
  <c r="HT3" i="6"/>
  <c r="HS5" i="6"/>
  <c r="HF10" i="6"/>
  <c r="HC4" i="6"/>
  <c r="HV1" i="6"/>
  <c r="HU9" i="6"/>
  <c r="HU3" i="6"/>
  <c r="HT5" i="6"/>
  <c r="HG10" i="6"/>
  <c r="HD4" i="6"/>
  <c r="HV5" i="6"/>
  <c r="HW1" i="6"/>
  <c r="HV9" i="6"/>
  <c r="HV3" i="6"/>
  <c r="HU5" i="6"/>
  <c r="HH10" i="6"/>
  <c r="HE4" i="6"/>
  <c r="HX1" i="6"/>
  <c r="HW9" i="6"/>
  <c r="HW3" i="6"/>
  <c r="HI10" i="6"/>
  <c r="HF4" i="6"/>
  <c r="HY1" i="6"/>
  <c r="HX9" i="6"/>
  <c r="HX3" i="6"/>
  <c r="HW5" i="6"/>
  <c r="HJ10" i="6"/>
  <c r="HG4" i="6"/>
  <c r="HZ1" i="6"/>
  <c r="HY9" i="6"/>
  <c r="HY3" i="6"/>
  <c r="HX5" i="6"/>
  <c r="HK10" i="6"/>
  <c r="HH4" i="6"/>
  <c r="IA1" i="6"/>
  <c r="HZ9" i="6"/>
  <c r="HZ3" i="6"/>
  <c r="HY5" i="6"/>
  <c r="HL10" i="6"/>
  <c r="HI4" i="6"/>
  <c r="IB1" i="6"/>
  <c r="IA9" i="6"/>
  <c r="IA3" i="6"/>
  <c r="HZ5" i="6"/>
  <c r="HM10" i="6"/>
  <c r="HJ4" i="6"/>
  <c r="IC1" i="6"/>
  <c r="IB9" i="6"/>
  <c r="IB3" i="6"/>
  <c r="IA5" i="6"/>
  <c r="HN10" i="6"/>
  <c r="HK4" i="6"/>
  <c r="IC5" i="6"/>
  <c r="ID1" i="6"/>
  <c r="IC9" i="6"/>
  <c r="IC3" i="6"/>
  <c r="IB5" i="6"/>
  <c r="HO10" i="6"/>
  <c r="HL4" i="6"/>
  <c r="IE1" i="6"/>
  <c r="ID9" i="6"/>
  <c r="ID3" i="6"/>
  <c r="HP10" i="6"/>
  <c r="HM4" i="6"/>
  <c r="IF1" i="6"/>
  <c r="IE9" i="6"/>
  <c r="IE3" i="6"/>
  <c r="ID5" i="6"/>
  <c r="HQ10" i="6"/>
  <c r="HN4" i="6"/>
  <c r="IG1" i="6"/>
  <c r="IF9" i="6"/>
  <c r="IF3" i="6"/>
  <c r="IE5" i="6"/>
  <c r="HR10" i="6"/>
  <c r="HO4" i="6"/>
  <c r="IH1" i="6"/>
  <c r="IG9" i="6"/>
  <c r="IG3" i="6"/>
  <c r="IF5" i="6"/>
  <c r="HS10" i="6"/>
  <c r="HP4" i="6"/>
  <c r="II1" i="6"/>
  <c r="IH9" i="6"/>
  <c r="IH3" i="6"/>
  <c r="IG5" i="6"/>
  <c r="HT10" i="6"/>
  <c r="HQ4" i="6"/>
  <c r="IJ1" i="6"/>
  <c r="II9" i="6"/>
  <c r="II3" i="6"/>
  <c r="IH5" i="6"/>
  <c r="HU10" i="6"/>
  <c r="HR4" i="6"/>
  <c r="IK1" i="6"/>
  <c r="IJ9" i="6"/>
  <c r="IJ3" i="6"/>
  <c r="II5" i="6"/>
  <c r="HV10" i="6"/>
  <c r="HS4" i="6"/>
  <c r="IL1" i="6"/>
  <c r="IK9" i="6"/>
  <c r="IK3" i="6"/>
  <c r="IJ5" i="6"/>
  <c r="HW10" i="6"/>
  <c r="HT4" i="6"/>
  <c r="IM1" i="6"/>
  <c r="IL9" i="6"/>
  <c r="IL3" i="6"/>
  <c r="IK5" i="6"/>
  <c r="HX10" i="6"/>
  <c r="HU4" i="6"/>
  <c r="IN1" i="6"/>
  <c r="IM9" i="6"/>
  <c r="IM3" i="6"/>
  <c r="IL5" i="6"/>
  <c r="HY10" i="6"/>
  <c r="HV4" i="6"/>
  <c r="IO1" i="6"/>
  <c r="IN9" i="6"/>
  <c r="IN3" i="6"/>
  <c r="IM5" i="6"/>
  <c r="HZ10" i="6"/>
  <c r="HW4" i="6"/>
  <c r="IP1" i="6"/>
  <c r="IO9" i="6"/>
  <c r="IO3" i="6"/>
  <c r="IN5" i="6"/>
  <c r="IA10" i="6"/>
  <c r="HX4" i="6"/>
  <c r="IQ1" i="6"/>
  <c r="IP9" i="6"/>
  <c r="IP3" i="6"/>
  <c r="IO5" i="6"/>
  <c r="IB10" i="6"/>
  <c r="HY4" i="6"/>
  <c r="IR1" i="6"/>
  <c r="IQ9" i="6"/>
  <c r="IQ3" i="6"/>
  <c r="IP5" i="6"/>
  <c r="IC10" i="6"/>
  <c r="HZ4" i="6"/>
  <c r="IS1" i="6"/>
  <c r="IR9" i="6"/>
  <c r="IR3" i="6"/>
  <c r="IQ5" i="6"/>
  <c r="ID10" i="6"/>
  <c r="IA4" i="6"/>
  <c r="IT1" i="6"/>
  <c r="IS9" i="6"/>
  <c r="IS3" i="6"/>
  <c r="IR5" i="6"/>
  <c r="IE10" i="6"/>
  <c r="IB4" i="6"/>
  <c r="IU1" i="6"/>
  <c r="IT9" i="6"/>
  <c r="IT3" i="6"/>
  <c r="IS5" i="6"/>
  <c r="IF10" i="6"/>
  <c r="IC4" i="6"/>
  <c r="IV1" i="6"/>
  <c r="IU9" i="6"/>
  <c r="IU3" i="6"/>
  <c r="IT5" i="6"/>
  <c r="IG10" i="6"/>
  <c r="ID4" i="6"/>
  <c r="IW1" i="6"/>
  <c r="IV9" i="6"/>
  <c r="IV3" i="6"/>
  <c r="IU5" i="6"/>
  <c r="IH10" i="6"/>
  <c r="IE4" i="6"/>
  <c r="IX1" i="6"/>
  <c r="IW9" i="6"/>
  <c r="IW3" i="6"/>
  <c r="IV5" i="6"/>
  <c r="II10" i="6"/>
  <c r="IF4" i="6"/>
  <c r="IY1" i="6"/>
  <c r="IX9" i="6"/>
  <c r="IX3" i="6"/>
  <c r="IW5" i="6"/>
  <c r="IJ10" i="6"/>
  <c r="IG4" i="6"/>
  <c r="IZ1" i="6"/>
  <c r="IY9" i="6"/>
  <c r="IY3" i="6"/>
  <c r="IX5" i="6"/>
  <c r="IK10" i="6"/>
  <c r="IH4" i="6"/>
  <c r="JA1" i="6"/>
  <c r="IZ9" i="6"/>
  <c r="IZ3" i="6"/>
  <c r="IY5" i="6"/>
  <c r="IL10" i="6"/>
  <c r="II4" i="6"/>
  <c r="JB1" i="6"/>
  <c r="JA9" i="6"/>
  <c r="JA3" i="6"/>
  <c r="IZ5" i="6"/>
  <c r="IM10" i="6"/>
  <c r="IJ4" i="6"/>
  <c r="JC1" i="6"/>
  <c r="JB9" i="6"/>
  <c r="JB3" i="6"/>
  <c r="JA5" i="6"/>
  <c r="IN10" i="6"/>
  <c r="IK4" i="6"/>
  <c r="JD1" i="6"/>
  <c r="JC9" i="6"/>
  <c r="JC3" i="6"/>
  <c r="JB5" i="6"/>
  <c r="IO10" i="6"/>
  <c r="IL4" i="6"/>
  <c r="JE1" i="6"/>
  <c r="JD9" i="6"/>
  <c r="JD3" i="6"/>
  <c r="JC5" i="6"/>
  <c r="IP10" i="6"/>
  <c r="IM4" i="6"/>
  <c r="JF1" i="6"/>
  <c r="JE9" i="6"/>
  <c r="JE3" i="6"/>
  <c r="JD5" i="6"/>
  <c r="IQ10" i="6"/>
  <c r="IN4" i="6"/>
  <c r="JG1" i="6"/>
  <c r="JF9" i="6"/>
  <c r="JF3" i="6"/>
  <c r="JE5" i="6"/>
  <c r="IR10" i="6"/>
  <c r="IO4" i="6"/>
  <c r="JH1" i="6"/>
  <c r="JG9" i="6"/>
  <c r="JG3" i="6"/>
  <c r="JF5" i="6"/>
  <c r="IS10" i="6"/>
  <c r="IP4" i="6"/>
  <c r="JI1" i="6"/>
  <c r="JH9" i="6"/>
  <c r="JH3" i="6"/>
  <c r="JG5" i="6"/>
  <c r="IT10" i="6"/>
  <c r="IQ4" i="6"/>
  <c r="JJ1" i="6"/>
  <c r="JI9" i="6"/>
  <c r="JI3" i="6"/>
  <c r="JH5" i="6"/>
  <c r="IU10" i="6"/>
  <c r="IR4" i="6"/>
  <c r="JK1" i="6"/>
  <c r="JJ9" i="6"/>
  <c r="JJ3" i="6"/>
  <c r="JI5" i="6"/>
  <c r="IV10" i="6"/>
  <c r="IS4" i="6"/>
  <c r="JL1" i="6"/>
  <c r="JK3" i="6"/>
  <c r="JJ5" i="6"/>
  <c r="IW10" i="6"/>
  <c r="IT4" i="6"/>
  <c r="JM1" i="6"/>
  <c r="JL9" i="6"/>
  <c r="JL3" i="6"/>
  <c r="JK9" i="6"/>
  <c r="JK5" i="6"/>
  <c r="IX10" i="6"/>
  <c r="IU4" i="6"/>
  <c r="JN1" i="6"/>
  <c r="JM3" i="6"/>
  <c r="JL5" i="6"/>
  <c r="IY10" i="6"/>
  <c r="IV4" i="6"/>
  <c r="JO1" i="6"/>
  <c r="JN9" i="6"/>
  <c r="JN3" i="6"/>
  <c r="JM9" i="6"/>
  <c r="JM5" i="6"/>
  <c r="IZ10" i="6"/>
  <c r="IW4" i="6"/>
  <c r="JP1" i="6"/>
  <c r="JO9" i="6"/>
  <c r="JO3" i="6"/>
  <c r="JN5" i="6"/>
  <c r="JA10" i="6"/>
  <c r="IX4" i="6"/>
  <c r="JQ1" i="6"/>
  <c r="JP9" i="6"/>
  <c r="JP3" i="6"/>
  <c r="JO5" i="6"/>
  <c r="JB10" i="6"/>
  <c r="IY4" i="6"/>
  <c r="JR1" i="6"/>
  <c r="JQ9" i="6"/>
  <c r="JQ3" i="6"/>
  <c r="JP5" i="6"/>
  <c r="JC10" i="6"/>
  <c r="IZ4" i="6"/>
  <c r="JS1" i="6"/>
  <c r="JR9" i="6"/>
  <c r="JR3" i="6"/>
  <c r="JQ5" i="6"/>
  <c r="JD10" i="6"/>
  <c r="JA4" i="6"/>
  <c r="JT1" i="6"/>
  <c r="JS9" i="6"/>
  <c r="JS3" i="6"/>
  <c r="JR5" i="6"/>
  <c r="JE10" i="6"/>
  <c r="JB4" i="6"/>
  <c r="JU1" i="6"/>
  <c r="JT9" i="6"/>
  <c r="JT3" i="6"/>
  <c r="JS5" i="6"/>
  <c r="JF10" i="6"/>
  <c r="JC4" i="6"/>
  <c r="JV1" i="6"/>
  <c r="JU9" i="6"/>
  <c r="JU3" i="6"/>
  <c r="JT5" i="6"/>
  <c r="JG10" i="6"/>
  <c r="JD4" i="6"/>
  <c r="JW1" i="6"/>
  <c r="JU5" i="6"/>
  <c r="JH10" i="6"/>
  <c r="JE4" i="6"/>
  <c r="JX1" i="6"/>
  <c r="JW9" i="6"/>
  <c r="JW3" i="6"/>
  <c r="JV3" i="6"/>
  <c r="JV9" i="6"/>
  <c r="JV5" i="6"/>
  <c r="JI10" i="6"/>
  <c r="JF4" i="6"/>
  <c r="JY1" i="6"/>
  <c r="JX3" i="6"/>
  <c r="JW5" i="6"/>
  <c r="JJ10" i="6"/>
  <c r="JG4" i="6"/>
  <c r="JZ1" i="6"/>
  <c r="JY9" i="6"/>
  <c r="JY3" i="6"/>
  <c r="JX9" i="6"/>
  <c r="JX5" i="6"/>
  <c r="JK10" i="6"/>
  <c r="JH4" i="6"/>
  <c r="KA1" i="6"/>
  <c r="JZ9" i="6"/>
  <c r="JZ3" i="6"/>
  <c r="JY5" i="6"/>
  <c r="JL10" i="6"/>
  <c r="JI4" i="6"/>
  <c r="KB1" i="6"/>
  <c r="KA9" i="6"/>
  <c r="KA3" i="6"/>
  <c r="JZ5" i="6"/>
  <c r="JM10" i="6"/>
  <c r="JJ4" i="6"/>
  <c r="KB5" i="6"/>
  <c r="KC1" i="6"/>
  <c r="KB9" i="6"/>
  <c r="KB3" i="6"/>
  <c r="KA5" i="6"/>
  <c r="JN10" i="6"/>
  <c r="JK4" i="6"/>
  <c r="KD1" i="6"/>
  <c r="KC9" i="6"/>
  <c r="KC3" i="6"/>
  <c r="JO10" i="6"/>
  <c r="JL4" i="6"/>
  <c r="KE1" i="6"/>
  <c r="KD9" i="6"/>
  <c r="KD3" i="6"/>
  <c r="KC5" i="6"/>
  <c r="JP10" i="6"/>
  <c r="JM4" i="6"/>
  <c r="KF1" i="6"/>
  <c r="KE9" i="6"/>
  <c r="KE3" i="6"/>
  <c r="KD5" i="6"/>
  <c r="JQ10" i="6"/>
  <c r="JN4" i="6"/>
  <c r="KG1" i="6"/>
  <c r="KF9" i="6"/>
  <c r="KF3" i="6"/>
  <c r="KE5" i="6"/>
  <c r="JR10" i="6"/>
  <c r="JO4" i="6"/>
  <c r="KH1" i="6"/>
  <c r="KG9" i="6"/>
  <c r="KG3" i="6"/>
  <c r="KF5" i="6"/>
  <c r="JS10" i="6"/>
  <c r="JP4" i="6"/>
  <c r="KI1" i="6"/>
  <c r="KH9" i="6"/>
  <c r="KH3" i="6"/>
  <c r="KG5" i="6"/>
  <c r="JT10" i="6"/>
  <c r="JQ4" i="6"/>
  <c r="KI5" i="6"/>
  <c r="KJ1" i="6"/>
  <c r="KI9" i="6"/>
  <c r="KI3" i="6"/>
  <c r="KH5" i="6"/>
  <c r="JU10" i="6"/>
  <c r="JR4" i="6"/>
  <c r="KK1" i="6"/>
  <c r="KJ9" i="6"/>
  <c r="KJ3" i="6"/>
  <c r="JV10" i="6"/>
  <c r="JS4" i="6"/>
  <c r="KL1" i="6"/>
  <c r="KK9" i="6"/>
  <c r="KK3" i="6"/>
  <c r="KJ5" i="6"/>
  <c r="JW10" i="6"/>
  <c r="JT4" i="6"/>
  <c r="KM1" i="6"/>
  <c r="KL9" i="6"/>
  <c r="KL3" i="6"/>
  <c r="KK5" i="6"/>
  <c r="JX10" i="6"/>
  <c r="JU4" i="6"/>
  <c r="KN1" i="6"/>
  <c r="KM9" i="6"/>
  <c r="KM3" i="6"/>
  <c r="KL5" i="6"/>
  <c r="JY10" i="6"/>
  <c r="JV4" i="6"/>
  <c r="KO1" i="6"/>
  <c r="KN9" i="6"/>
  <c r="KN3" i="6"/>
  <c r="KM5" i="6"/>
  <c r="JZ10" i="6"/>
  <c r="JW4" i="6"/>
  <c r="KP1" i="6"/>
  <c r="KO9" i="6"/>
  <c r="KO3" i="6"/>
  <c r="KN5" i="6"/>
  <c r="KA10" i="6"/>
  <c r="JX4" i="6"/>
  <c r="KP5" i="6"/>
  <c r="KQ1" i="6"/>
  <c r="KP9" i="6"/>
  <c r="KP3" i="6"/>
  <c r="KO5" i="6"/>
  <c r="KB10" i="6"/>
  <c r="JY4" i="6"/>
  <c r="KR1" i="6"/>
  <c r="KQ9" i="6"/>
  <c r="KQ3" i="6"/>
  <c r="KC10" i="6"/>
  <c r="JZ4" i="6"/>
  <c r="KS1" i="6"/>
  <c r="KR9" i="6"/>
  <c r="KR3" i="6"/>
  <c r="KQ5" i="6"/>
  <c r="KD10" i="6"/>
  <c r="KA4" i="6"/>
  <c r="KS5" i="6"/>
  <c r="KT1" i="6"/>
  <c r="KS9" i="6"/>
  <c r="KS3" i="6"/>
  <c r="KR5" i="6"/>
  <c r="KE10" i="6"/>
  <c r="KB4" i="6"/>
  <c r="KU1" i="6"/>
  <c r="KT9" i="6"/>
  <c r="KT3" i="6"/>
  <c r="KF10" i="6"/>
  <c r="KC4" i="6"/>
  <c r="KU5" i="6"/>
  <c r="KV1" i="6"/>
  <c r="KU9" i="6"/>
  <c r="KU3" i="6"/>
  <c r="KT5" i="6"/>
  <c r="KG10" i="6"/>
  <c r="KD4" i="6"/>
  <c r="KW1" i="6"/>
  <c r="KV9" i="6"/>
  <c r="KV3" i="6"/>
  <c r="KH10" i="6"/>
  <c r="KE4" i="6"/>
  <c r="KX1" i="6"/>
  <c r="KW9" i="6"/>
  <c r="KW3" i="6"/>
  <c r="KV5" i="6"/>
  <c r="KI10" i="6"/>
  <c r="KF4" i="6"/>
  <c r="KX5" i="6"/>
  <c r="KY1" i="6"/>
  <c r="KX9" i="6"/>
  <c r="KX3" i="6"/>
  <c r="KW5" i="6"/>
  <c r="KJ10" i="6"/>
  <c r="KG4" i="6"/>
  <c r="KZ1" i="6"/>
  <c r="KY9" i="6"/>
  <c r="KY3" i="6"/>
  <c r="KK10" i="6"/>
  <c r="KH4" i="6"/>
  <c r="LA1" i="6"/>
  <c r="KZ9" i="6"/>
  <c r="KZ3" i="6"/>
  <c r="KY5" i="6"/>
  <c r="KL10" i="6"/>
  <c r="KI4" i="6"/>
  <c r="LA5" i="6"/>
  <c r="LB1" i="6"/>
  <c r="LA9" i="6"/>
  <c r="LA3" i="6"/>
  <c r="KZ5" i="6"/>
  <c r="KM10" i="6"/>
  <c r="KJ4" i="6"/>
  <c r="LB5" i="6"/>
  <c r="LC1" i="6"/>
  <c r="LB9" i="6"/>
  <c r="LB3" i="6"/>
  <c r="KN10" i="6"/>
  <c r="KK4" i="6"/>
  <c r="LD1" i="6"/>
  <c r="LC9" i="6"/>
  <c r="LC3" i="6"/>
  <c r="KO10" i="6"/>
  <c r="KL4" i="6"/>
  <c r="LD5" i="6"/>
  <c r="LD9" i="6"/>
  <c r="D9" i="6"/>
  <c r="LD3" i="6"/>
  <c r="D3" i="6"/>
  <c r="LC5" i="6"/>
  <c r="KP10" i="6"/>
  <c r="KM4" i="6"/>
  <c r="KQ10" i="6"/>
  <c r="KN4" i="6"/>
  <c r="KR10" i="6"/>
  <c r="KO4" i="6"/>
  <c r="KS10" i="6"/>
  <c r="KP4" i="6"/>
  <c r="KT10" i="6"/>
  <c r="KQ4" i="6"/>
  <c r="KU10" i="6"/>
  <c r="KR4" i="6"/>
  <c r="KV10" i="6"/>
  <c r="KS4" i="6"/>
  <c r="KW10" i="6"/>
  <c r="KT4" i="6"/>
  <c r="KX10" i="6"/>
  <c r="KU4" i="6"/>
  <c r="KY10" i="6"/>
  <c r="KV4" i="6"/>
  <c r="KZ10" i="6"/>
  <c r="KW4" i="6"/>
  <c r="LA10" i="6"/>
  <c r="KX4" i="6"/>
  <c r="LB10" i="6"/>
  <c r="KY4" i="6"/>
  <c r="LC10" i="6"/>
  <c r="KZ4" i="6"/>
  <c r="LD10" i="6"/>
  <c r="LA4" i="6"/>
  <c r="LB4" i="6"/>
  <c r="LC4" i="6"/>
  <c r="LD4" i="6"/>
  <c r="W21" i="18"/>
  <c r="JJ17" i="6"/>
  <c r="EW17" i="6"/>
  <c r="HL17" i="6"/>
  <c r="GL17" i="6"/>
  <c r="AH17" i="6"/>
  <c r="KU17" i="6"/>
  <c r="AN17" i="6"/>
  <c r="KH17" i="6"/>
  <c r="JE17" i="6"/>
  <c r="HP17" i="6"/>
  <c r="BI17" i="6"/>
  <c r="BJ17" i="6"/>
  <c r="JL17" i="6"/>
  <c r="AW17" i="6"/>
  <c r="HF17" i="6"/>
  <c r="AI17" i="6"/>
  <c r="AR17" i="6"/>
  <c r="DY17" i="6"/>
  <c r="JP17" i="6"/>
  <c r="AY17" i="6"/>
  <c r="BD17" i="6"/>
  <c r="EM17" i="6"/>
  <c r="KT17" i="6"/>
  <c r="CN17" i="6"/>
  <c r="DG17" i="6"/>
  <c r="IB17" i="6"/>
  <c r="H17" i="6"/>
  <c r="I17" i="6"/>
  <c r="KN17" i="6"/>
  <c r="JX17" i="6"/>
  <c r="FL17" i="6"/>
  <c r="DR17" i="6"/>
  <c r="GV17" i="6"/>
  <c r="FA17" i="6"/>
  <c r="BN17" i="6"/>
  <c r="CI17" i="6"/>
  <c r="JY17" i="6"/>
  <c r="KS17" i="6"/>
  <c r="BH17" i="6"/>
  <c r="LB17" i="6"/>
  <c r="Y17" i="6"/>
  <c r="IR17" i="6"/>
  <c r="HR17" i="6"/>
  <c r="R17" i="6"/>
  <c r="JU17" i="6"/>
  <c r="AO17" i="6"/>
  <c r="HN17" i="6"/>
  <c r="ES17" i="6"/>
  <c r="DO17" i="6"/>
  <c r="Q17" i="6"/>
  <c r="JS17" i="6"/>
  <c r="FD17" i="6"/>
  <c r="DA17" i="6"/>
  <c r="FX17" i="6"/>
  <c r="FU17" i="6"/>
  <c r="HV17" i="6"/>
  <c r="AU17" i="6"/>
  <c r="CX17" i="6"/>
  <c r="GJ17" i="6"/>
  <c r="AS17" i="6"/>
  <c r="DU17" i="6"/>
  <c r="IO17" i="6"/>
  <c r="GP17" i="6"/>
  <c r="KR17" i="6"/>
  <c r="AD17" i="6"/>
  <c r="IW17" i="6"/>
  <c r="IG17" i="6"/>
  <c r="CB17" i="6"/>
  <c r="IJ17" i="6"/>
  <c r="GI17" i="6"/>
  <c r="CU17" i="6"/>
  <c r="HW17" i="6"/>
  <c r="CV17" i="6"/>
  <c r="AC17" i="6"/>
  <c r="GO17" i="6"/>
  <c r="GK17" i="6"/>
  <c r="DI17" i="6"/>
  <c r="CF17" i="6"/>
  <c r="GB17" i="6"/>
  <c r="FS17" i="6"/>
  <c r="CS17" i="6"/>
  <c r="GR17" i="6"/>
  <c r="EK17" i="6"/>
  <c r="KJ17" i="6"/>
  <c r="GU17" i="6"/>
  <c r="EB17" i="6"/>
  <c r="AV17" i="6"/>
  <c r="AG17" i="6"/>
  <c r="JD17" i="6"/>
  <c r="JR17" i="6"/>
  <c r="GG17" i="6"/>
  <c r="KY17" i="6"/>
  <c r="CO17" i="6"/>
  <c r="HD17" i="6"/>
  <c r="FT17" i="6"/>
  <c r="CL17" i="6"/>
  <c r="FZ17" i="6"/>
  <c r="GY17" i="6"/>
  <c r="FN17" i="6"/>
  <c r="HQ17" i="6"/>
  <c r="FQ17" i="6"/>
  <c r="DN17" i="6"/>
  <c r="HE17" i="6"/>
  <c r="FK17" i="6"/>
  <c r="CK17" i="6"/>
  <c r="FY17" i="6"/>
  <c r="FJ17" i="6"/>
  <c r="W17" i="6"/>
  <c r="FF17" i="6"/>
  <c r="AB17" i="6"/>
  <c r="KK17" i="6"/>
  <c r="EL17" i="6"/>
  <c r="IM17" i="6"/>
  <c r="JG17" i="6"/>
  <c r="BM17" i="6"/>
  <c r="BV17" i="6"/>
  <c r="DZ17" i="6"/>
  <c r="DD17" i="6"/>
  <c r="KB17" i="6"/>
  <c r="EJ17" i="6"/>
  <c r="FO17" i="6"/>
  <c r="HO17" i="6"/>
  <c r="EY17" i="6"/>
  <c r="BK17" i="6"/>
  <c r="HT17" i="6"/>
  <c r="HX17" i="6"/>
  <c r="LA17" i="6"/>
  <c r="CP17" i="6"/>
  <c r="KC17" i="6"/>
  <c r="IF17" i="6"/>
  <c r="DS17" i="6"/>
  <c r="ID17" i="6"/>
  <c r="HG17" i="6"/>
  <c r="IA17" i="6"/>
  <c r="EF17" i="6"/>
  <c r="KI17" i="6"/>
  <c r="ER17" i="6"/>
  <c r="J17" i="6"/>
  <c r="BU17" i="6"/>
  <c r="IS17" i="6"/>
  <c r="GS17" i="6"/>
  <c r="GC17" i="6"/>
  <c r="GM17" i="6"/>
  <c r="DF17" i="6"/>
  <c r="AL17" i="6"/>
  <c r="HA17" i="6"/>
  <c r="IN17" i="6"/>
  <c r="GH17" i="6"/>
  <c r="DM17" i="6"/>
  <c r="EG17" i="6"/>
  <c r="KP17" i="6"/>
  <c r="KZ17" i="6"/>
  <c r="KX17" i="6"/>
  <c r="EV17" i="6"/>
  <c r="AE17" i="6"/>
  <c r="FM17" i="6"/>
  <c r="AZ17" i="6"/>
  <c r="KE17" i="6"/>
  <c r="IC17" i="6"/>
  <c r="HJ17" i="6"/>
  <c r="HI17" i="6"/>
  <c r="JA17" i="6"/>
  <c r="FI17" i="6"/>
  <c r="X17" i="6"/>
  <c r="KQ17" i="6"/>
  <c r="KA17" i="6"/>
  <c r="GX17" i="6"/>
  <c r="BO17" i="6"/>
  <c r="KG17" i="6"/>
  <c r="BC17" i="6"/>
  <c r="GF17" i="6"/>
  <c r="ET17" i="6"/>
  <c r="BA17" i="6"/>
  <c r="JW17" i="6"/>
  <c r="CQ17" i="6"/>
  <c r="EO17" i="6"/>
  <c r="EZ17" i="6"/>
  <c r="HZ17" i="6"/>
  <c r="IP17" i="6"/>
  <c r="BE17" i="6"/>
  <c r="HB17" i="6"/>
  <c r="HM17" i="6"/>
  <c r="CA17" i="6"/>
  <c r="FC17" i="6"/>
  <c r="IZ17" i="6"/>
  <c r="KD17" i="6"/>
  <c r="P17" i="6"/>
  <c r="FR17" i="6"/>
  <c r="BB17" i="6"/>
  <c r="HK17" i="6"/>
  <c r="BW17" i="6"/>
  <c r="AX17" i="6"/>
  <c r="DV17" i="6"/>
  <c r="JB17" i="6"/>
  <c r="BL17" i="6"/>
  <c r="EA17" i="6"/>
  <c r="AQ17" i="6"/>
  <c r="KW17" i="6"/>
  <c r="IY17" i="6"/>
  <c r="IH17" i="6"/>
  <c r="GQ17" i="6"/>
  <c r="II17" i="6"/>
  <c r="DP17" i="6"/>
  <c r="DQ17" i="6"/>
  <c r="JT17" i="6"/>
  <c r="KO17" i="6"/>
  <c r="CG17" i="6"/>
  <c r="GW17" i="6"/>
  <c r="CH17" i="6"/>
  <c r="T17" i="6"/>
  <c r="GE17" i="6"/>
  <c r="EU17" i="6"/>
  <c r="DH17" i="6"/>
  <c r="CR17" i="6"/>
  <c r="JM17" i="6"/>
  <c r="KF17" i="6"/>
  <c r="JH17" i="6"/>
  <c r="IX17" i="6"/>
  <c r="FG17" i="6"/>
  <c r="EP17" i="6"/>
  <c r="DJ17" i="6"/>
  <c r="IK17" i="6"/>
  <c r="JO17" i="6"/>
  <c r="IQ17" i="6"/>
  <c r="FW17" i="6"/>
  <c r="O17" i="6"/>
  <c r="DT17" i="6"/>
  <c r="BT17" i="6"/>
  <c r="BQ17" i="6"/>
  <c r="Z17" i="6"/>
  <c r="BP17" i="6"/>
  <c r="FE17" i="6"/>
  <c r="JF17" i="6"/>
  <c r="M17" i="6"/>
  <c r="FV17" i="6"/>
  <c r="K17" i="6"/>
  <c r="IT17" i="6"/>
  <c r="JK17" i="6"/>
  <c r="HY17" i="6"/>
  <c r="L17" i="6"/>
  <c r="FB17" i="6"/>
  <c r="GT17" i="6"/>
  <c r="CZ17" i="6"/>
  <c r="EE17" i="6"/>
  <c r="EC17" i="6"/>
  <c r="JQ17" i="6"/>
  <c r="DL17" i="6"/>
  <c r="AA17" i="6"/>
  <c r="AJ17" i="6"/>
  <c r="BX17" i="6"/>
  <c r="BS17" i="6"/>
  <c r="EH17" i="6"/>
  <c r="HU17" i="6"/>
  <c r="KV17" i="6"/>
  <c r="HC17" i="6"/>
  <c r="EI17" i="6"/>
  <c r="CW17" i="6"/>
  <c r="IU17" i="6"/>
  <c r="DW17" i="6"/>
  <c r="BR17" i="6"/>
  <c r="EX17" i="6"/>
  <c r="CY17" i="6"/>
  <c r="CC17" i="6"/>
  <c r="ED17" i="6"/>
  <c r="DB17" i="6"/>
  <c r="AF17" i="6"/>
  <c r="KM17" i="6"/>
  <c r="U17" i="6"/>
  <c r="IL17" i="6"/>
  <c r="N17" i="6"/>
  <c r="EN17" i="6"/>
  <c r="DK17" i="6"/>
  <c r="V17" i="6"/>
  <c r="AM17" i="6"/>
  <c r="GZ17" i="6"/>
  <c r="CT17" i="6"/>
  <c r="JC17" i="6"/>
  <c r="BF17" i="6"/>
  <c r="JZ17" i="6"/>
  <c r="HS17" i="6"/>
  <c r="FH17" i="6"/>
  <c r="FP17" i="6"/>
  <c r="CE17" i="6"/>
  <c r="GN17" i="6"/>
  <c r="JV17" i="6"/>
  <c r="IE17" i="6"/>
  <c r="HH17" i="6"/>
  <c r="DE17" i="6"/>
  <c r="GD17" i="6"/>
  <c r="KL17" i="6"/>
  <c r="EQ17" i="6"/>
  <c r="LD17" i="6"/>
  <c r="CJ17" i="6"/>
  <c r="JN17" i="6"/>
  <c r="S17" i="6"/>
  <c r="IV17" i="6"/>
  <c r="G17" i="6"/>
  <c r="BY17" i="6"/>
  <c r="GA17" i="6"/>
  <c r="JI17" i="6"/>
  <c r="DX17" i="6"/>
  <c r="CM17" i="6"/>
  <c r="LC17" i="6"/>
  <c r="DC17" i="6"/>
  <c r="BZ17" i="6"/>
  <c r="CD17" i="6"/>
  <c r="F17" i="6"/>
  <c r="F18" i="6"/>
  <c r="BG17" i="6"/>
  <c r="U121" i="18"/>
  <c r="U120" i="18"/>
  <c r="V119" i="18"/>
  <c r="K50" i="2"/>
  <c r="U142" i="18"/>
  <c r="U135" i="18"/>
  <c r="U144" i="18"/>
  <c r="J23" i="3"/>
  <c r="U136" i="18"/>
  <c r="U145" i="18"/>
  <c r="U137" i="18"/>
  <c r="V4" i="5"/>
  <c r="J10" i="3"/>
  <c r="F5" i="3"/>
  <c r="G6" i="6"/>
  <c r="H6" i="6"/>
  <c r="N52" i="2"/>
  <c r="I6" i="6"/>
  <c r="H7" i="6"/>
  <c r="D5" i="5"/>
  <c r="F25" i="3"/>
  <c r="D5" i="6"/>
  <c r="J19" i="3"/>
  <c r="G7" i="6"/>
  <c r="H5" i="3"/>
  <c r="F5" i="5"/>
  <c r="J13" i="3"/>
  <c r="U50" i="18"/>
  <c r="V44" i="18"/>
  <c r="Y4" i="5"/>
  <c r="W4" i="5"/>
  <c r="U4" i="5"/>
  <c r="T4" i="5"/>
  <c r="X2" i="18"/>
  <c r="AT17" i="6"/>
  <c r="X4" i="5"/>
  <c r="AP17" i="6"/>
  <c r="G18" i="6"/>
  <c r="N39" i="2"/>
  <c r="N50" i="2"/>
  <c r="I46" i="2"/>
  <c r="T16" i="2"/>
  <c r="K51" i="2"/>
  <c r="K46" i="2"/>
  <c r="H25" i="3"/>
  <c r="V135" i="18"/>
  <c r="AK17" i="6"/>
  <c r="D17" i="6"/>
  <c r="C17" i="6"/>
  <c r="J5" i="3"/>
  <c r="D6" i="5"/>
  <c r="D7" i="5"/>
  <c r="C5" i="6"/>
  <c r="I7" i="6"/>
  <c r="J6" i="6"/>
  <c r="C11" i="6"/>
  <c r="F6" i="5"/>
  <c r="F7" i="5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V16" i="2"/>
  <c r="J46" i="2"/>
  <c r="U16" i="2"/>
  <c r="N51" i="2"/>
  <c r="AK18" i="6"/>
  <c r="AL18" i="6"/>
  <c r="AM18" i="6"/>
  <c r="AN18" i="6"/>
  <c r="AO18" i="6"/>
  <c r="AP18" i="6"/>
  <c r="AQ18" i="6"/>
  <c r="AR18" i="6"/>
  <c r="AS18" i="6"/>
  <c r="AT18" i="6"/>
  <c r="AU18" i="6"/>
  <c r="AV18" i="6"/>
  <c r="AW18" i="6"/>
  <c r="AX18" i="6"/>
  <c r="AY18" i="6"/>
  <c r="AZ18" i="6"/>
  <c r="BA18" i="6"/>
  <c r="BB18" i="6"/>
  <c r="BC18" i="6"/>
  <c r="BD18" i="6"/>
  <c r="BE18" i="6"/>
  <c r="BF18" i="6"/>
  <c r="BG18" i="6"/>
  <c r="BH18" i="6"/>
  <c r="BI18" i="6"/>
  <c r="BJ18" i="6"/>
  <c r="BK18" i="6"/>
  <c r="BL18" i="6"/>
  <c r="BM18" i="6"/>
  <c r="BN18" i="6"/>
  <c r="BO18" i="6"/>
  <c r="BP18" i="6"/>
  <c r="BQ18" i="6"/>
  <c r="BR18" i="6"/>
  <c r="BS18" i="6"/>
  <c r="BT18" i="6"/>
  <c r="BU18" i="6"/>
  <c r="BV18" i="6"/>
  <c r="BW18" i="6"/>
  <c r="BX18" i="6"/>
  <c r="BY18" i="6"/>
  <c r="BZ18" i="6"/>
  <c r="CA18" i="6"/>
  <c r="CB18" i="6"/>
  <c r="CC18" i="6"/>
  <c r="CD18" i="6"/>
  <c r="CE18" i="6"/>
  <c r="CF18" i="6"/>
  <c r="CG18" i="6"/>
  <c r="CH18" i="6"/>
  <c r="CI18" i="6"/>
  <c r="CJ18" i="6"/>
  <c r="CK18" i="6"/>
  <c r="CL18" i="6"/>
  <c r="CM18" i="6"/>
  <c r="CN18" i="6"/>
  <c r="CO18" i="6"/>
  <c r="CP18" i="6"/>
  <c r="CQ18" i="6"/>
  <c r="CR18" i="6"/>
  <c r="CS18" i="6"/>
  <c r="CT18" i="6"/>
  <c r="CU18" i="6"/>
  <c r="CV18" i="6"/>
  <c r="CW18" i="6"/>
  <c r="CX18" i="6"/>
  <c r="CY18" i="6"/>
  <c r="CZ18" i="6"/>
  <c r="DA18" i="6"/>
  <c r="DB18" i="6"/>
  <c r="DC18" i="6"/>
  <c r="DD18" i="6"/>
  <c r="DE18" i="6"/>
  <c r="DF18" i="6"/>
  <c r="DG18" i="6"/>
  <c r="DH18" i="6"/>
  <c r="DI18" i="6"/>
  <c r="DJ18" i="6"/>
  <c r="DK18" i="6"/>
  <c r="DL18" i="6"/>
  <c r="DM18" i="6"/>
  <c r="DN18" i="6"/>
  <c r="DO18" i="6"/>
  <c r="DP18" i="6"/>
  <c r="DQ18" i="6"/>
  <c r="DR18" i="6"/>
  <c r="DS18" i="6"/>
  <c r="DT18" i="6"/>
  <c r="DU18" i="6"/>
  <c r="DV18" i="6"/>
  <c r="DW18" i="6"/>
  <c r="DX18" i="6"/>
  <c r="DY18" i="6"/>
  <c r="DZ18" i="6"/>
  <c r="EA18" i="6"/>
  <c r="EB18" i="6"/>
  <c r="EC18" i="6"/>
  <c r="ED18" i="6"/>
  <c r="EE18" i="6"/>
  <c r="EF18" i="6"/>
  <c r="EG18" i="6"/>
  <c r="EH18" i="6"/>
  <c r="EI18" i="6"/>
  <c r="EJ18" i="6"/>
  <c r="EK18" i="6"/>
  <c r="EL18" i="6"/>
  <c r="EM18" i="6"/>
  <c r="EN18" i="6"/>
  <c r="EO18" i="6"/>
  <c r="EP18" i="6"/>
  <c r="EQ18" i="6"/>
  <c r="ER18" i="6"/>
  <c r="ES18" i="6"/>
  <c r="ET18" i="6"/>
  <c r="EU18" i="6"/>
  <c r="EV18" i="6"/>
  <c r="EW18" i="6"/>
  <c r="EX18" i="6"/>
  <c r="EY18" i="6"/>
  <c r="EZ18" i="6"/>
  <c r="FA18" i="6"/>
  <c r="FB18" i="6"/>
  <c r="FC18" i="6"/>
  <c r="FD18" i="6"/>
  <c r="FE18" i="6"/>
  <c r="FF18" i="6"/>
  <c r="FG18" i="6"/>
  <c r="FH18" i="6"/>
  <c r="FI18" i="6"/>
  <c r="FJ18" i="6"/>
  <c r="FK18" i="6"/>
  <c r="FL18" i="6"/>
  <c r="FM18" i="6"/>
  <c r="FN18" i="6"/>
  <c r="FO18" i="6"/>
  <c r="FP18" i="6"/>
  <c r="FQ18" i="6"/>
  <c r="FR18" i="6"/>
  <c r="FS18" i="6"/>
  <c r="FT18" i="6"/>
  <c r="FU18" i="6"/>
  <c r="FV18" i="6"/>
  <c r="FW18" i="6"/>
  <c r="FX18" i="6"/>
  <c r="FY18" i="6"/>
  <c r="FZ18" i="6"/>
  <c r="GA18" i="6"/>
  <c r="GB18" i="6"/>
  <c r="GC18" i="6"/>
  <c r="GD18" i="6"/>
  <c r="GE18" i="6"/>
  <c r="GF18" i="6"/>
  <c r="GG18" i="6"/>
  <c r="GH18" i="6"/>
  <c r="GI18" i="6"/>
  <c r="GJ18" i="6"/>
  <c r="GK18" i="6"/>
  <c r="GL18" i="6"/>
  <c r="GM18" i="6"/>
  <c r="GN18" i="6"/>
  <c r="GO18" i="6"/>
  <c r="GP18" i="6"/>
  <c r="GQ18" i="6"/>
  <c r="GR18" i="6"/>
  <c r="GS18" i="6"/>
  <c r="GT18" i="6"/>
  <c r="GU18" i="6"/>
  <c r="GV18" i="6"/>
  <c r="GW18" i="6"/>
  <c r="GX18" i="6"/>
  <c r="GY18" i="6"/>
  <c r="GZ18" i="6"/>
  <c r="HA18" i="6"/>
  <c r="HB18" i="6"/>
  <c r="HC18" i="6"/>
  <c r="HD18" i="6"/>
  <c r="HE18" i="6"/>
  <c r="HF18" i="6"/>
  <c r="HG18" i="6"/>
  <c r="HH18" i="6"/>
  <c r="HI18" i="6"/>
  <c r="HJ18" i="6"/>
  <c r="HK18" i="6"/>
  <c r="HL18" i="6"/>
  <c r="HM18" i="6"/>
  <c r="HN18" i="6"/>
  <c r="HO18" i="6"/>
  <c r="HP18" i="6"/>
  <c r="HQ18" i="6"/>
  <c r="HR18" i="6"/>
  <c r="HS18" i="6"/>
  <c r="HT18" i="6"/>
  <c r="HU18" i="6"/>
  <c r="HV18" i="6"/>
  <c r="HW18" i="6"/>
  <c r="HX18" i="6"/>
  <c r="HY18" i="6"/>
  <c r="HZ18" i="6"/>
  <c r="IA18" i="6"/>
  <c r="IB18" i="6"/>
  <c r="IC18" i="6"/>
  <c r="ID18" i="6"/>
  <c r="IE18" i="6"/>
  <c r="IF18" i="6"/>
  <c r="IG18" i="6"/>
  <c r="IH18" i="6"/>
  <c r="II18" i="6"/>
  <c r="IJ18" i="6"/>
  <c r="IK18" i="6"/>
  <c r="IL18" i="6"/>
  <c r="IM18" i="6"/>
  <c r="IN18" i="6"/>
  <c r="IO18" i="6"/>
  <c r="IP18" i="6"/>
  <c r="IQ18" i="6"/>
  <c r="IR18" i="6"/>
  <c r="IS18" i="6"/>
  <c r="IT18" i="6"/>
  <c r="IU18" i="6"/>
  <c r="IV18" i="6"/>
  <c r="IW18" i="6"/>
  <c r="IX18" i="6"/>
  <c r="IY18" i="6"/>
  <c r="IZ18" i="6"/>
  <c r="JA18" i="6"/>
  <c r="JB18" i="6"/>
  <c r="JC18" i="6"/>
  <c r="JD18" i="6"/>
  <c r="JE18" i="6"/>
  <c r="JF18" i="6"/>
  <c r="JG18" i="6"/>
  <c r="JH18" i="6"/>
  <c r="JI18" i="6"/>
  <c r="JJ18" i="6"/>
  <c r="JK18" i="6"/>
  <c r="JL18" i="6"/>
  <c r="JM18" i="6"/>
  <c r="JN18" i="6"/>
  <c r="JO18" i="6"/>
  <c r="JP18" i="6"/>
  <c r="JQ18" i="6"/>
  <c r="JR18" i="6"/>
  <c r="JS18" i="6"/>
  <c r="JT18" i="6"/>
  <c r="JU18" i="6"/>
  <c r="JV18" i="6"/>
  <c r="JW18" i="6"/>
  <c r="JX18" i="6"/>
  <c r="JY18" i="6"/>
  <c r="JZ18" i="6"/>
  <c r="KA18" i="6"/>
  <c r="KB18" i="6"/>
  <c r="KC18" i="6"/>
  <c r="KD18" i="6"/>
  <c r="KE18" i="6"/>
  <c r="KF18" i="6"/>
  <c r="KG18" i="6"/>
  <c r="KH18" i="6"/>
  <c r="KI18" i="6"/>
  <c r="KJ18" i="6"/>
  <c r="KK18" i="6"/>
  <c r="KL18" i="6"/>
  <c r="KM18" i="6"/>
  <c r="KN18" i="6"/>
  <c r="KO18" i="6"/>
  <c r="KP18" i="6"/>
  <c r="KQ18" i="6"/>
  <c r="KR18" i="6"/>
  <c r="KS18" i="6"/>
  <c r="KT18" i="6"/>
  <c r="KU18" i="6"/>
  <c r="KV18" i="6"/>
  <c r="KW18" i="6"/>
  <c r="KX18" i="6"/>
  <c r="KY18" i="6"/>
  <c r="KZ18" i="6"/>
  <c r="LA18" i="6"/>
  <c r="LB18" i="6"/>
  <c r="LC18" i="6"/>
  <c r="LD18" i="6"/>
  <c r="K6" i="6"/>
  <c r="J7" i="6"/>
  <c r="D18" i="6"/>
  <c r="C18" i="6"/>
  <c r="L6" i="6"/>
  <c r="K7" i="6"/>
  <c r="M6" i="6"/>
  <c r="L7" i="6"/>
  <c r="N6" i="6"/>
  <c r="M7" i="6"/>
  <c r="N7" i="6"/>
  <c r="O6" i="6"/>
  <c r="P6" i="6"/>
  <c r="O7" i="6"/>
  <c r="P7" i="6"/>
  <c r="Q6" i="6"/>
  <c r="Q7" i="6"/>
  <c r="R6" i="6"/>
  <c r="S6" i="6"/>
  <c r="R7" i="6"/>
  <c r="T6" i="6"/>
  <c r="S7" i="6"/>
  <c r="U6" i="6"/>
  <c r="T7" i="6"/>
  <c r="U7" i="6"/>
  <c r="V6" i="6"/>
  <c r="W6" i="6"/>
  <c r="V7" i="6"/>
  <c r="W7" i="6"/>
  <c r="X6" i="6"/>
  <c r="X7" i="6"/>
  <c r="Y6" i="6"/>
  <c r="Z6" i="6"/>
  <c r="Y7" i="6"/>
  <c r="Z7" i="6"/>
  <c r="AA6" i="6"/>
  <c r="AA7" i="6"/>
  <c r="AB6" i="6"/>
  <c r="AC6" i="6"/>
  <c r="AB7" i="6"/>
  <c r="AC7" i="6"/>
  <c r="AD6" i="6"/>
  <c r="AD7" i="6"/>
  <c r="AE6" i="6"/>
  <c r="AF6" i="6"/>
  <c r="AE7" i="6"/>
  <c r="AF7" i="6"/>
  <c r="AG6" i="6"/>
  <c r="AH6" i="6"/>
  <c r="AG7" i="6"/>
  <c r="AI6" i="6"/>
  <c r="AH7" i="6"/>
  <c r="AI7" i="6"/>
  <c r="AJ6" i="6"/>
  <c r="AJ7" i="6"/>
  <c r="AK6" i="6"/>
  <c r="AL6" i="6"/>
  <c r="AK7" i="6"/>
  <c r="AL7" i="6"/>
  <c r="AM6" i="6"/>
  <c r="AN6" i="6"/>
  <c r="AM7" i="6"/>
  <c r="AO6" i="6"/>
  <c r="AN7" i="6"/>
  <c r="AO7" i="6"/>
  <c r="AP6" i="6"/>
  <c r="AP7" i="6"/>
  <c r="AQ6" i="6"/>
  <c r="AR6" i="6"/>
  <c r="AQ7" i="6"/>
  <c r="AR7" i="6"/>
  <c r="AS6" i="6"/>
  <c r="AS7" i="6"/>
  <c r="AT6" i="6"/>
  <c r="AU6" i="6"/>
  <c r="AT7" i="6"/>
  <c r="AU7" i="6"/>
  <c r="AV6" i="6"/>
  <c r="AV7" i="6"/>
  <c r="AW6" i="6"/>
  <c r="AX6" i="6"/>
  <c r="AW7" i="6"/>
  <c r="AX7" i="6"/>
  <c r="AY6" i="6"/>
  <c r="AY7" i="6"/>
  <c r="AZ6" i="6"/>
  <c r="AZ7" i="6"/>
  <c r="BA6" i="6"/>
  <c r="BA7" i="6"/>
  <c r="BB6" i="6"/>
  <c r="BB7" i="6"/>
  <c r="BC6" i="6"/>
  <c r="BD6" i="6"/>
  <c r="BC7" i="6"/>
  <c r="BD7" i="6"/>
  <c r="BE6" i="6"/>
  <c r="BE7" i="6"/>
  <c r="BF6" i="6"/>
  <c r="BG6" i="6"/>
  <c r="BF7" i="6"/>
  <c r="BG7" i="6"/>
  <c r="BH6" i="6"/>
  <c r="BH7" i="6"/>
  <c r="BI6" i="6"/>
  <c r="BI7" i="6"/>
  <c r="BJ6" i="6"/>
  <c r="BJ7" i="6"/>
  <c r="BK6" i="6"/>
  <c r="BK7" i="6"/>
  <c r="BL6" i="6"/>
  <c r="BL7" i="6"/>
  <c r="BM6" i="6"/>
  <c r="BM7" i="6"/>
  <c r="BN6" i="6"/>
  <c r="BN7" i="6"/>
  <c r="BO6" i="6"/>
  <c r="BO7" i="6"/>
  <c r="BP6" i="6"/>
  <c r="BP7" i="6"/>
  <c r="BQ6" i="6"/>
  <c r="BQ7" i="6"/>
  <c r="BR6" i="6"/>
  <c r="BR7" i="6"/>
  <c r="BS6" i="6"/>
  <c r="BS7" i="6"/>
  <c r="BT6" i="6"/>
  <c r="BT7" i="6"/>
  <c r="BU6" i="6"/>
  <c r="BU7" i="6"/>
  <c r="BV6" i="6"/>
  <c r="BV7" i="6"/>
  <c r="BW6" i="6"/>
  <c r="BW7" i="6"/>
  <c r="BX6" i="6"/>
  <c r="BX7" i="6"/>
  <c r="BY6" i="6"/>
  <c r="BY7" i="6"/>
  <c r="BZ6" i="6"/>
  <c r="BZ7" i="6"/>
  <c r="CA6" i="6"/>
  <c r="CA7" i="6"/>
  <c r="CB6" i="6"/>
  <c r="CC6" i="6"/>
  <c r="CB7" i="6"/>
  <c r="CD6" i="6"/>
  <c r="CC7" i="6"/>
  <c r="CD7" i="6"/>
  <c r="CE6" i="6"/>
  <c r="CE7" i="6"/>
  <c r="CF6" i="6"/>
  <c r="CF7" i="6"/>
  <c r="CG6" i="6"/>
  <c r="CG7" i="6"/>
  <c r="CH6" i="6"/>
  <c r="CH7" i="6"/>
  <c r="CI6" i="6"/>
  <c r="CI7" i="6"/>
  <c r="CJ6" i="6"/>
  <c r="CJ7" i="6"/>
  <c r="CK6" i="6"/>
  <c r="CK7" i="6"/>
  <c r="CL6" i="6"/>
  <c r="CL7" i="6"/>
  <c r="CM6" i="6"/>
  <c r="CM7" i="6"/>
  <c r="CN6" i="6"/>
  <c r="CN7" i="6"/>
  <c r="CO6" i="6"/>
  <c r="CO7" i="6"/>
  <c r="CP6" i="6"/>
  <c r="CP7" i="6"/>
  <c r="CQ6" i="6"/>
  <c r="CQ7" i="6"/>
  <c r="CR6" i="6"/>
  <c r="CR7" i="6"/>
  <c r="CS6" i="6"/>
  <c r="CT6" i="6"/>
  <c r="CS7" i="6"/>
  <c r="CT7" i="6"/>
  <c r="CU6" i="6"/>
  <c r="CU7" i="6"/>
  <c r="CV6" i="6"/>
  <c r="CV7" i="6"/>
  <c r="CW6" i="6"/>
  <c r="CW7" i="6"/>
  <c r="CX6" i="6"/>
  <c r="CY6" i="6"/>
  <c r="CX7" i="6"/>
  <c r="CY7" i="6"/>
  <c r="CZ6" i="6"/>
  <c r="CZ7" i="6"/>
  <c r="DA6" i="6"/>
  <c r="DB6" i="6"/>
  <c r="DA7" i="6"/>
  <c r="DB7" i="6"/>
  <c r="DC6" i="6"/>
  <c r="DC7" i="6"/>
  <c r="DD6" i="6"/>
  <c r="DD7" i="6"/>
  <c r="DE6" i="6"/>
  <c r="DE7" i="6"/>
  <c r="DF6" i="6"/>
  <c r="DF7" i="6"/>
  <c r="DG6" i="6"/>
  <c r="DG7" i="6"/>
  <c r="DH6" i="6"/>
  <c r="DH7" i="6"/>
  <c r="DI6" i="6"/>
  <c r="DI7" i="6"/>
  <c r="DJ6" i="6"/>
  <c r="DJ7" i="6"/>
  <c r="DK6" i="6"/>
  <c r="DL6" i="6"/>
  <c r="DK7" i="6"/>
  <c r="DL7" i="6"/>
  <c r="DM6" i="6"/>
  <c r="DN6" i="6"/>
  <c r="DM7" i="6"/>
  <c r="DN7" i="6"/>
  <c r="DO6" i="6"/>
  <c r="DO7" i="6"/>
  <c r="DP6" i="6"/>
  <c r="DP7" i="6"/>
  <c r="DQ6" i="6"/>
  <c r="DQ7" i="6"/>
  <c r="DR6" i="6"/>
  <c r="DR7" i="6"/>
  <c r="DS6" i="6"/>
  <c r="DS7" i="6"/>
  <c r="DT6" i="6"/>
  <c r="DU6" i="6"/>
  <c r="DT7" i="6"/>
  <c r="DU7" i="6"/>
  <c r="DV6" i="6"/>
  <c r="DV7" i="6"/>
  <c r="DW6" i="6"/>
  <c r="DW7" i="6"/>
  <c r="DX6" i="6"/>
  <c r="DY6" i="6"/>
  <c r="DX7" i="6"/>
  <c r="DZ6" i="6"/>
  <c r="DY7" i="6"/>
  <c r="DZ7" i="6"/>
  <c r="EA6" i="6"/>
  <c r="EA7" i="6"/>
  <c r="EB6" i="6"/>
  <c r="EB7" i="6"/>
  <c r="EC6" i="6"/>
  <c r="EC7" i="6"/>
  <c r="ED6" i="6"/>
  <c r="ED7" i="6"/>
  <c r="EE6" i="6"/>
  <c r="EF6" i="6"/>
  <c r="EE7" i="6"/>
  <c r="EF7" i="6"/>
  <c r="EG6" i="6"/>
  <c r="EG7" i="6"/>
  <c r="EH6" i="6"/>
  <c r="EI6" i="6"/>
  <c r="EH7" i="6"/>
  <c r="EJ6" i="6"/>
  <c r="EI7" i="6"/>
  <c r="EJ7" i="6"/>
  <c r="EK6" i="6"/>
  <c r="EK7" i="6"/>
  <c r="EL6" i="6"/>
  <c r="EL7" i="6"/>
  <c r="EM6" i="6"/>
  <c r="EM7" i="6"/>
  <c r="EN6" i="6"/>
  <c r="EO6" i="6"/>
  <c r="EN7" i="6"/>
  <c r="EO7" i="6"/>
  <c r="EP6" i="6"/>
  <c r="EP7" i="6"/>
  <c r="EQ6" i="6"/>
  <c r="EQ7" i="6"/>
  <c r="ER6" i="6"/>
  <c r="ER7" i="6"/>
  <c r="ES6" i="6"/>
  <c r="ES7" i="6"/>
  <c r="ET6" i="6"/>
  <c r="EU6" i="6"/>
  <c r="ET7" i="6"/>
  <c r="EV6" i="6"/>
  <c r="EU7" i="6"/>
  <c r="EV7" i="6"/>
  <c r="EW6" i="6"/>
  <c r="EX6" i="6"/>
  <c r="EW7" i="6"/>
  <c r="EY6" i="6"/>
  <c r="EX7" i="6"/>
  <c r="EY7" i="6"/>
  <c r="EZ6" i="6"/>
  <c r="FA6" i="6"/>
  <c r="EZ7" i="6"/>
  <c r="FB6" i="6"/>
  <c r="FA7" i="6"/>
  <c r="FB7" i="6"/>
  <c r="FC6" i="6"/>
  <c r="FD6" i="6"/>
  <c r="FC7" i="6"/>
  <c r="FD7" i="6"/>
  <c r="FE6" i="6"/>
  <c r="FE7" i="6"/>
  <c r="FF6" i="6"/>
  <c r="FG6" i="6"/>
  <c r="FF7" i="6"/>
  <c r="FG7" i="6"/>
  <c r="FH6" i="6"/>
  <c r="FH7" i="6"/>
  <c r="FI6" i="6"/>
  <c r="FJ6" i="6"/>
  <c r="FI7" i="6"/>
  <c r="FJ7" i="6"/>
  <c r="FK6" i="6"/>
  <c r="FL6" i="6"/>
  <c r="FK7" i="6"/>
  <c r="FM6" i="6"/>
  <c r="FL7" i="6"/>
  <c r="FN6" i="6"/>
  <c r="FM7" i="6"/>
  <c r="FN7" i="6"/>
  <c r="FO6" i="6"/>
  <c r="FP6" i="6"/>
  <c r="FO7" i="6"/>
  <c r="FP7" i="6"/>
  <c r="FQ6" i="6"/>
  <c r="FQ7" i="6"/>
  <c r="FR6" i="6"/>
  <c r="FS6" i="6"/>
  <c r="FR7" i="6"/>
  <c r="FT6" i="6"/>
  <c r="FS7" i="6"/>
  <c r="FT7" i="6"/>
  <c r="FU6" i="6"/>
  <c r="FV6" i="6"/>
  <c r="FU7" i="6"/>
  <c r="FW6" i="6"/>
  <c r="FV7" i="6"/>
  <c r="FW7" i="6"/>
  <c r="FX6" i="6"/>
  <c r="FY6" i="6"/>
  <c r="FX7" i="6"/>
  <c r="FY7" i="6"/>
  <c r="FZ6" i="6"/>
  <c r="FZ7" i="6"/>
  <c r="GA6" i="6"/>
  <c r="GB6" i="6"/>
  <c r="GA7" i="6"/>
  <c r="GB7" i="6"/>
  <c r="GC6" i="6"/>
  <c r="GD6" i="6"/>
  <c r="GC7" i="6"/>
  <c r="GE6" i="6"/>
  <c r="GD7" i="6"/>
  <c r="GE7" i="6"/>
  <c r="GF6" i="6"/>
  <c r="GG6" i="6"/>
  <c r="GF7" i="6"/>
  <c r="GH6" i="6"/>
  <c r="GG7" i="6"/>
  <c r="GI6" i="6"/>
  <c r="GH7" i="6"/>
  <c r="GJ6" i="6"/>
  <c r="GI7" i="6"/>
  <c r="GJ7" i="6"/>
  <c r="GK6" i="6"/>
  <c r="GK7" i="6"/>
  <c r="GL6" i="6"/>
  <c r="GM6" i="6"/>
  <c r="GL7" i="6"/>
  <c r="GN6" i="6"/>
  <c r="GM7" i="6"/>
  <c r="GO6" i="6"/>
  <c r="GN7" i="6"/>
  <c r="GP6" i="6"/>
  <c r="GO7" i="6"/>
  <c r="GQ6" i="6"/>
  <c r="GP7" i="6"/>
  <c r="GQ7" i="6"/>
  <c r="GR6" i="6"/>
  <c r="GS6" i="6"/>
  <c r="GR7" i="6"/>
  <c r="GT6" i="6"/>
  <c r="GS7" i="6"/>
  <c r="GU6" i="6"/>
  <c r="GT7" i="6"/>
  <c r="GU7" i="6"/>
  <c r="GV6" i="6"/>
  <c r="GW6" i="6"/>
  <c r="GV7" i="6"/>
  <c r="GW7" i="6"/>
  <c r="GX6" i="6"/>
  <c r="GY6" i="6"/>
  <c r="GX7" i="6"/>
  <c r="GZ6" i="6"/>
  <c r="GY7" i="6"/>
  <c r="HA6" i="6"/>
  <c r="GZ7" i="6"/>
  <c r="HB6" i="6"/>
  <c r="HA7" i="6"/>
  <c r="HC6" i="6"/>
  <c r="HB7" i="6"/>
  <c r="HD6" i="6"/>
  <c r="HC7" i="6"/>
  <c r="HE6" i="6"/>
  <c r="HD7" i="6"/>
  <c r="HF6" i="6"/>
  <c r="HE7" i="6"/>
  <c r="HG6" i="6"/>
  <c r="HF7" i="6"/>
  <c r="HG7" i="6"/>
  <c r="HH6" i="6"/>
  <c r="HI6" i="6"/>
  <c r="HH7" i="6"/>
  <c r="HJ6" i="6"/>
  <c r="HI7" i="6"/>
  <c r="HK6" i="6"/>
  <c r="HJ7" i="6"/>
  <c r="HK7" i="6"/>
  <c r="HL6" i="6"/>
  <c r="HL7" i="6"/>
  <c r="HM6" i="6"/>
  <c r="HN6" i="6"/>
  <c r="HM7" i="6"/>
  <c r="HO6" i="6"/>
  <c r="HN7" i="6"/>
  <c r="HP6" i="6"/>
  <c r="HO7" i="6"/>
  <c r="HP7" i="6"/>
  <c r="HQ6" i="6"/>
  <c r="HR6" i="6"/>
  <c r="HQ7" i="6"/>
  <c r="HS6" i="6"/>
  <c r="HR7" i="6"/>
  <c r="HS7" i="6"/>
  <c r="HT6" i="6"/>
  <c r="HU6" i="6"/>
  <c r="HT7" i="6"/>
  <c r="HV6" i="6"/>
  <c r="HU7" i="6"/>
  <c r="HV7" i="6"/>
  <c r="HW6" i="6"/>
  <c r="HX6" i="6"/>
  <c r="HW7" i="6"/>
  <c r="HY6" i="6"/>
  <c r="HX7" i="6"/>
  <c r="HY7" i="6"/>
  <c r="HZ6" i="6"/>
  <c r="IA6" i="6"/>
  <c r="HZ7" i="6"/>
  <c r="IB6" i="6"/>
  <c r="IA7" i="6"/>
  <c r="IC6" i="6"/>
  <c r="IB7" i="6"/>
  <c r="ID6" i="6"/>
  <c r="IC7" i="6"/>
  <c r="IE6" i="6"/>
  <c r="ID7" i="6"/>
  <c r="IF6" i="6"/>
  <c r="IE7" i="6"/>
  <c r="IG6" i="6"/>
  <c r="IF7" i="6"/>
  <c r="IH6" i="6"/>
  <c r="IG7" i="6"/>
  <c r="II6" i="6"/>
  <c r="IH7" i="6"/>
  <c r="IJ6" i="6"/>
  <c r="II7" i="6"/>
  <c r="IK6" i="6"/>
  <c r="IJ7" i="6"/>
  <c r="IL6" i="6"/>
  <c r="IK7" i="6"/>
  <c r="IM6" i="6"/>
  <c r="IL7" i="6"/>
  <c r="IN6" i="6"/>
  <c r="IM7" i="6"/>
  <c r="IO6" i="6"/>
  <c r="IN7" i="6"/>
  <c r="IP6" i="6"/>
  <c r="IO7" i="6"/>
  <c r="IQ6" i="6"/>
  <c r="IP7" i="6"/>
  <c r="IR6" i="6"/>
  <c r="IQ7" i="6"/>
  <c r="IS6" i="6"/>
  <c r="IR7" i="6"/>
  <c r="IS7" i="6"/>
  <c r="IT6" i="6"/>
  <c r="IT7" i="6"/>
  <c r="IU6" i="6"/>
  <c r="IV6" i="6"/>
  <c r="IU7" i="6"/>
  <c r="IW6" i="6"/>
  <c r="IV7" i="6"/>
  <c r="IW7" i="6"/>
  <c r="IX6" i="6"/>
  <c r="IY6" i="6"/>
  <c r="IX7" i="6"/>
  <c r="IZ6" i="6"/>
  <c r="IY7" i="6"/>
  <c r="IZ7" i="6"/>
  <c r="JA6" i="6"/>
  <c r="JB6" i="6"/>
  <c r="JA7" i="6"/>
  <c r="JC6" i="6"/>
  <c r="JB7" i="6"/>
  <c r="JC7" i="6"/>
  <c r="JD6" i="6"/>
  <c r="JE6" i="6"/>
  <c r="JD7" i="6"/>
  <c r="JF6" i="6"/>
  <c r="JE7" i="6"/>
  <c r="JF7" i="6"/>
  <c r="JG6" i="6"/>
  <c r="JH6" i="6"/>
  <c r="JG7" i="6"/>
  <c r="JI6" i="6"/>
  <c r="JH7" i="6"/>
  <c r="JJ6" i="6"/>
  <c r="JI7" i="6"/>
  <c r="JK6" i="6"/>
  <c r="JJ7" i="6"/>
  <c r="JK7" i="6"/>
  <c r="JL6" i="6"/>
  <c r="JL7" i="6"/>
  <c r="JM6" i="6"/>
  <c r="JN6" i="6"/>
  <c r="JM7" i="6"/>
  <c r="JO6" i="6"/>
  <c r="JN7" i="6"/>
  <c r="JO7" i="6"/>
  <c r="JP6" i="6"/>
  <c r="JQ6" i="6"/>
  <c r="JP7" i="6"/>
  <c r="JR6" i="6"/>
  <c r="JQ7" i="6"/>
  <c r="JR7" i="6"/>
  <c r="JS6" i="6"/>
  <c r="JT6" i="6"/>
  <c r="JS7" i="6"/>
  <c r="JU6" i="6"/>
  <c r="JT7" i="6"/>
  <c r="JV6" i="6"/>
  <c r="JU7" i="6"/>
  <c r="JV7" i="6"/>
  <c r="JW6" i="6"/>
  <c r="JX6" i="6"/>
  <c r="JW7" i="6"/>
  <c r="JY6" i="6"/>
  <c r="JX7" i="6"/>
  <c r="JZ6" i="6"/>
  <c r="JY7" i="6"/>
  <c r="KA6" i="6"/>
  <c r="JZ7" i="6"/>
  <c r="KB6" i="6"/>
  <c r="KA7" i="6"/>
  <c r="KC6" i="6"/>
  <c r="KB7" i="6"/>
  <c r="KD6" i="6"/>
  <c r="KC7" i="6"/>
  <c r="KD7" i="6"/>
  <c r="KE6" i="6"/>
  <c r="KF6" i="6"/>
  <c r="KE7" i="6"/>
  <c r="KG6" i="6"/>
  <c r="KF7" i="6"/>
  <c r="KG7" i="6"/>
  <c r="KH6" i="6"/>
  <c r="KI6" i="6"/>
  <c r="KH7" i="6"/>
  <c r="KJ6" i="6"/>
  <c r="KI7" i="6"/>
  <c r="KK6" i="6"/>
  <c r="KJ7" i="6"/>
  <c r="KL6" i="6"/>
  <c r="KK7" i="6"/>
  <c r="KM6" i="6"/>
  <c r="KL7" i="6"/>
  <c r="KM7" i="6"/>
  <c r="KN6" i="6"/>
  <c r="KO6" i="6"/>
  <c r="KN7" i="6"/>
  <c r="KP6" i="6"/>
  <c r="KO7" i="6"/>
  <c r="KQ6" i="6"/>
  <c r="KP7" i="6"/>
  <c r="KR6" i="6"/>
  <c r="KQ7" i="6"/>
  <c r="KR7" i="6"/>
  <c r="KS6" i="6"/>
  <c r="KT6" i="6"/>
  <c r="KS7" i="6"/>
  <c r="KT7" i="6"/>
  <c r="KU6" i="6"/>
  <c r="KU7" i="6"/>
  <c r="KV6" i="6"/>
  <c r="KW6" i="6"/>
  <c r="KV7" i="6"/>
  <c r="KW7" i="6"/>
  <c r="KX6" i="6"/>
  <c r="KY6" i="6"/>
  <c r="KX7" i="6"/>
  <c r="KY7" i="6"/>
  <c r="KZ6" i="6"/>
  <c r="KZ7" i="6"/>
  <c r="LA6" i="6"/>
  <c r="LA7" i="6"/>
  <c r="LB6" i="6"/>
  <c r="LC6" i="6"/>
  <c r="LB7" i="6"/>
  <c r="LD6" i="6"/>
  <c r="LD7" i="6"/>
  <c r="LC7" i="6"/>
  <c r="JU11" i="6" l="1"/>
  <c r="FI11" i="6"/>
  <c r="EW11" i="6"/>
  <c r="F11" i="6"/>
  <c r="F12" i="6" s="1"/>
  <c r="HO11" i="6"/>
  <c r="BN11" i="6"/>
  <c r="JT11" i="6"/>
  <c r="KD11" i="6"/>
  <c r="IW11" i="6"/>
  <c r="ET11" i="6"/>
  <c r="JF11" i="6"/>
  <c r="GT11" i="6"/>
  <c r="R11" i="6"/>
  <c r="JZ11" i="6"/>
  <c r="IY11" i="6"/>
  <c r="EG11" i="6"/>
  <c r="AQ11" i="6"/>
  <c r="ED11" i="6"/>
  <c r="IS11" i="6"/>
  <c r="V11" i="6"/>
  <c r="KN11" i="6"/>
  <c r="Y11" i="6"/>
  <c r="HZ11" i="6"/>
  <c r="DZ11" i="6"/>
  <c r="LC11" i="6"/>
  <c r="CR11" i="6"/>
  <c r="GY11" i="6"/>
  <c r="GL11" i="6"/>
  <c r="BI11" i="6"/>
  <c r="GG11" i="6"/>
  <c r="DQ11" i="6"/>
  <c r="IL11" i="6"/>
  <c r="FV11" i="6"/>
  <c r="IC11" i="6"/>
  <c r="S11" i="6"/>
  <c r="BH11" i="6"/>
  <c r="AN11" i="6"/>
  <c r="FJ11" i="6"/>
  <c r="HQ11" i="6"/>
  <c r="KL11" i="6"/>
  <c r="FA11" i="6"/>
  <c r="G11" i="6"/>
  <c r="G12" i="6" s="1"/>
  <c r="DD11" i="6"/>
  <c r="DH11" i="6"/>
  <c r="GR11" i="6"/>
  <c r="FR11" i="6"/>
  <c r="FK11" i="6"/>
  <c r="EK11" i="6"/>
  <c r="FU11" i="6"/>
  <c r="FZ11" i="6"/>
  <c r="EP11" i="6"/>
  <c r="KB11" i="6"/>
  <c r="GO11" i="6"/>
  <c r="GD11" i="6"/>
  <c r="DO11" i="6"/>
  <c r="DU11" i="6"/>
  <c r="KU11" i="6"/>
  <c r="JP11" i="6"/>
  <c r="JE11" i="6"/>
  <c r="DE11" i="6"/>
  <c r="H11" i="6"/>
  <c r="EF11" i="6"/>
  <c r="AO11" i="6"/>
  <c r="AE11" i="6"/>
  <c r="CL11" i="6"/>
  <c r="DP11" i="6"/>
  <c r="DA11" i="6"/>
  <c r="KH11" i="6"/>
  <c r="IJ11" i="6"/>
  <c r="CH11" i="6"/>
  <c r="FC11" i="6"/>
  <c r="KM11" i="6"/>
  <c r="IH11" i="6"/>
  <c r="GS11" i="6"/>
  <c r="DR11" i="6"/>
  <c r="X11" i="6"/>
  <c r="DL11" i="6"/>
  <c r="AR11" i="6"/>
  <c r="AG11" i="6"/>
  <c r="CX11" i="6"/>
  <c r="HS11" i="6"/>
  <c r="AW11" i="6"/>
  <c r="JB11" i="6"/>
  <c r="IX11" i="6"/>
  <c r="CS11" i="6"/>
  <c r="IP11" i="6"/>
  <c r="ID11" i="6"/>
  <c r="O11" i="6"/>
  <c r="KW11" i="6"/>
  <c r="EU11" i="6"/>
  <c r="KR11" i="6"/>
  <c r="KC11" i="6"/>
  <c r="BB11" i="6"/>
  <c r="FG11" i="6"/>
  <c r="FE11" i="6"/>
  <c r="KQ11" i="6"/>
  <c r="CW11" i="6"/>
  <c r="LA11" i="6"/>
  <c r="DX11" i="6"/>
  <c r="DF11" i="6"/>
  <c r="P11" i="6"/>
  <c r="FN11" i="6"/>
  <c r="DC11" i="6"/>
  <c r="AD11" i="6"/>
  <c r="KG11" i="6"/>
  <c r="JA11" i="6"/>
  <c r="FS11" i="6"/>
  <c r="CM11" i="6"/>
  <c r="CQ11" i="6"/>
  <c r="CA11" i="6"/>
  <c r="DJ11" i="6"/>
  <c r="KJ11" i="6"/>
  <c r="HM11" i="6"/>
  <c r="EX11" i="6"/>
  <c r="KE11" i="6"/>
  <c r="IA11" i="6"/>
  <c r="GB11" i="6"/>
  <c r="BF11" i="6"/>
  <c r="AP11" i="6"/>
  <c r="EA11" i="6"/>
  <c r="AH11" i="6"/>
  <c r="IZ11" i="6"/>
  <c r="GU11" i="6"/>
  <c r="BY11" i="6"/>
  <c r="BS11" i="6"/>
  <c r="AX11" i="6"/>
  <c r="FQ11" i="6"/>
  <c r="IG11" i="6"/>
  <c r="BW11" i="6"/>
  <c r="HI11" i="6"/>
  <c r="CV11" i="6"/>
  <c r="HF11" i="6"/>
  <c r="CT11" i="6"/>
  <c r="AU11" i="6"/>
  <c r="JD11" i="6"/>
  <c r="JY11" i="6"/>
  <c r="DS11" i="6"/>
  <c r="GC11" i="6"/>
  <c r="CZ11" i="6"/>
  <c r="HY11" i="6"/>
  <c r="EE11" i="6"/>
  <c r="GW11" i="6"/>
  <c r="FX11" i="6"/>
  <c r="HH11" i="6"/>
  <c r="CY11" i="6"/>
  <c r="GP11" i="6"/>
  <c r="EY11" i="6"/>
  <c r="JG11" i="6"/>
  <c r="KK11" i="6"/>
  <c r="IE11" i="6"/>
  <c r="FT11" i="6"/>
  <c r="AC11" i="6"/>
  <c r="EC11" i="6"/>
  <c r="IU11" i="6"/>
  <c r="CN11" i="6"/>
  <c r="BC11" i="6"/>
  <c r="BA11" i="6"/>
  <c r="CB11" i="6"/>
  <c r="CJ11" i="6"/>
  <c r="BG11" i="6"/>
  <c r="EO11" i="6"/>
  <c r="GK11" i="6"/>
  <c r="BO11" i="6"/>
  <c r="KI11" i="6"/>
  <c r="JV11" i="6"/>
  <c r="KX11" i="6"/>
  <c r="AS11" i="6"/>
  <c r="HP11" i="6"/>
  <c r="BV11" i="6"/>
  <c r="EN11" i="6"/>
  <c r="JI11" i="6"/>
  <c r="Z11" i="6"/>
  <c r="JK11" i="6"/>
  <c r="AJ11" i="6"/>
  <c r="EJ11" i="6"/>
  <c r="JO11" i="6"/>
  <c r="HA11" i="6"/>
  <c r="GA11" i="6"/>
  <c r="HT11" i="6"/>
  <c r="AV11" i="6"/>
  <c r="HV11" i="6"/>
  <c r="GZ11" i="6"/>
  <c r="DY11" i="6"/>
  <c r="GX11" i="6"/>
  <c r="M11" i="6"/>
  <c r="KY11" i="6"/>
  <c r="HU11" i="6"/>
  <c r="LD11" i="6"/>
  <c r="EH11" i="6"/>
  <c r="IQ11" i="6"/>
  <c r="CU11" i="6"/>
  <c r="GJ11" i="6"/>
  <c r="U11" i="6"/>
  <c r="DT11" i="6"/>
  <c r="CD11" i="6"/>
  <c r="ER11" i="6"/>
  <c r="KV11" i="6"/>
  <c r="JJ11" i="6"/>
  <c r="HK11" i="6"/>
  <c r="BJ11" i="6"/>
  <c r="Q11" i="6"/>
  <c r="ES11" i="6"/>
  <c r="FD11" i="6"/>
  <c r="CI11" i="6"/>
  <c r="KA11" i="6"/>
  <c r="CC11" i="6"/>
  <c r="K11" i="6"/>
  <c r="BD11" i="6"/>
  <c r="IK11" i="6"/>
  <c r="N11" i="6"/>
  <c r="JC11" i="6"/>
  <c r="LB11" i="6"/>
  <c r="FP11" i="6"/>
  <c r="BE11" i="6"/>
  <c r="FM11" i="6"/>
  <c r="GF11" i="6"/>
  <c r="JN11" i="6"/>
  <c r="T11" i="6"/>
  <c r="CE11" i="6"/>
  <c r="KS11" i="6"/>
  <c r="FO11" i="6"/>
  <c r="FY11" i="6"/>
  <c r="W11" i="6"/>
  <c r="CP11" i="6"/>
  <c r="DI11" i="6"/>
  <c r="JM11" i="6"/>
  <c r="HE11" i="6"/>
  <c r="DK11" i="6"/>
  <c r="FB11" i="6"/>
  <c r="II11" i="6"/>
  <c r="DB11" i="6"/>
  <c r="HJ11" i="6"/>
  <c r="BL11" i="6"/>
  <c r="GH11" i="6"/>
  <c r="BZ11" i="6"/>
  <c r="AA11" i="6"/>
  <c r="AM11" i="6"/>
  <c r="EZ11" i="6"/>
  <c r="KZ11" i="6"/>
  <c r="EV11" i="6"/>
  <c r="HC11" i="6"/>
  <c r="JS11" i="6"/>
  <c r="HG11" i="6"/>
  <c r="I11" i="6"/>
  <c r="GQ11" i="6"/>
  <c r="BK11" i="6"/>
  <c r="HR11" i="6"/>
  <c r="IN11" i="6"/>
  <c r="AB11" i="6"/>
  <c r="GN11" i="6"/>
  <c r="IB11" i="6"/>
  <c r="JR11" i="6"/>
  <c r="AT11" i="6"/>
  <c r="AY11" i="6"/>
  <c r="DV11" i="6"/>
  <c r="BX11" i="6"/>
  <c r="GE11" i="6"/>
  <c r="IO11" i="6"/>
  <c r="FW11" i="6"/>
  <c r="JW11" i="6"/>
  <c r="JX11" i="6"/>
  <c r="HB11" i="6"/>
  <c r="JQ11" i="6"/>
  <c r="DM11" i="6"/>
  <c r="GI11" i="6"/>
  <c r="GM11" i="6"/>
  <c r="L11" i="6"/>
  <c r="DG11" i="6"/>
  <c r="CO11" i="6"/>
  <c r="JL11" i="6"/>
  <c r="GV11" i="6"/>
  <c r="CG11" i="6"/>
  <c r="AL11" i="6"/>
  <c r="EL11" i="6"/>
  <c r="HD11" i="6"/>
  <c r="IF11" i="6"/>
  <c r="AK11" i="6"/>
  <c r="KT11" i="6"/>
  <c r="EM11" i="6"/>
  <c r="BT11" i="6"/>
  <c r="EQ11" i="6"/>
  <c r="HN11" i="6"/>
  <c r="AF11" i="6"/>
  <c r="CK11" i="6"/>
  <c r="DW11" i="6"/>
  <c r="J11" i="6"/>
  <c r="HX11" i="6"/>
  <c r="KP11" i="6"/>
  <c r="AI11" i="6"/>
  <c r="HL11" i="6"/>
  <c r="BQ11" i="6"/>
  <c r="BM11" i="6"/>
  <c r="AZ11" i="6"/>
  <c r="CF11" i="6"/>
  <c r="BR11" i="6"/>
  <c r="F14" i="6"/>
  <c r="KO11" i="6"/>
  <c r="EB11" i="6"/>
  <c r="FH11" i="6"/>
  <c r="BU11" i="6"/>
  <c r="IR11" i="6"/>
  <c r="IV11" i="6"/>
  <c r="FF11" i="6"/>
  <c r="BP11" i="6"/>
  <c r="JH11" i="6"/>
  <c r="DN11" i="6"/>
  <c r="KF11" i="6"/>
  <c r="IT11" i="6"/>
  <c r="HW11" i="6"/>
  <c r="IM11" i="6"/>
  <c r="N21" i="2"/>
  <c r="N35" i="2"/>
  <c r="N46" i="2"/>
  <c r="N11" i="2"/>
  <c r="M21" i="2"/>
  <c r="M9" i="2" s="1"/>
  <c r="D11" i="6" l="1"/>
  <c r="W11" i="2"/>
  <c r="H12" i="6"/>
  <c r="G14" i="6"/>
  <c r="N9" i="2"/>
  <c r="I12" i="6" l="1"/>
  <c r="H14" i="6"/>
  <c r="I14" i="6" l="1"/>
  <c r="J12" i="6"/>
  <c r="K12" i="6" l="1"/>
  <c r="J14" i="6"/>
  <c r="K14" i="6" l="1"/>
  <c r="L12" i="6"/>
  <c r="L14" i="6" l="1"/>
  <c r="M12" i="6"/>
  <c r="M14" i="6" l="1"/>
  <c r="N12" i="6"/>
  <c r="N14" i="6" l="1"/>
  <c r="O12" i="6"/>
  <c r="O14" i="6" l="1"/>
  <c r="P12" i="6"/>
  <c r="Q12" i="6" l="1"/>
  <c r="P14" i="6"/>
  <c r="Q14" i="6" l="1"/>
  <c r="R12" i="6"/>
  <c r="S12" i="6" l="1"/>
  <c r="R14" i="6"/>
  <c r="S14" i="6" l="1"/>
  <c r="T12" i="6"/>
  <c r="T14" i="6" l="1"/>
  <c r="U12" i="6"/>
  <c r="V12" i="6" l="1"/>
  <c r="U14" i="6"/>
  <c r="V14" i="6" l="1"/>
  <c r="W12" i="6"/>
  <c r="W14" i="6" l="1"/>
  <c r="X12" i="6"/>
  <c r="X14" i="6" l="1"/>
  <c r="Y12" i="6"/>
  <c r="Z12" i="6" l="1"/>
  <c r="Y14" i="6"/>
  <c r="AA12" i="6" l="1"/>
  <c r="Z14" i="6"/>
  <c r="AA14" i="6" l="1"/>
  <c r="AB12" i="6"/>
  <c r="AC12" i="6" l="1"/>
  <c r="AB14" i="6"/>
  <c r="AD12" i="6" l="1"/>
  <c r="AC14" i="6"/>
  <c r="AE12" i="6" l="1"/>
  <c r="AD14" i="6"/>
  <c r="AF12" i="6" l="1"/>
  <c r="AE14" i="6"/>
  <c r="AF14" i="6" l="1"/>
  <c r="AG12" i="6"/>
  <c r="AG14" i="6" l="1"/>
  <c r="AH12" i="6"/>
  <c r="AI12" i="6" l="1"/>
  <c r="AH14" i="6"/>
  <c r="AI14" i="6" l="1"/>
  <c r="AJ12" i="6"/>
  <c r="AJ14" i="6" l="1"/>
  <c r="AK12" i="6"/>
  <c r="AK14" i="6" l="1"/>
  <c r="AL12" i="6"/>
  <c r="AL14" i="6" l="1"/>
  <c r="AM12" i="6"/>
  <c r="AM14" i="6" l="1"/>
  <c r="AN12" i="6"/>
  <c r="AN14" i="6" l="1"/>
  <c r="AO12" i="6"/>
  <c r="AP12" i="6" l="1"/>
  <c r="AO14" i="6"/>
  <c r="AQ12" i="6" l="1"/>
  <c r="AP14" i="6"/>
  <c r="AR12" i="6" l="1"/>
  <c r="AQ14" i="6"/>
  <c r="AS12" i="6" l="1"/>
  <c r="AR14" i="6"/>
  <c r="AT12" i="6" l="1"/>
  <c r="AS14" i="6"/>
  <c r="AT14" i="6" l="1"/>
  <c r="AU12" i="6"/>
  <c r="AU14" i="6" l="1"/>
  <c r="AV12" i="6"/>
  <c r="AV14" i="6" l="1"/>
  <c r="AW12" i="6"/>
  <c r="AW14" i="6" l="1"/>
  <c r="AX12" i="6"/>
  <c r="AY12" i="6" l="1"/>
  <c r="AX14" i="6"/>
  <c r="AZ12" i="6" l="1"/>
  <c r="AY14" i="6"/>
  <c r="AZ14" i="6" l="1"/>
  <c r="BA12" i="6"/>
  <c r="BA14" i="6" l="1"/>
  <c r="BB12" i="6"/>
  <c r="BB14" i="6" l="1"/>
  <c r="BC12" i="6"/>
  <c r="BC14" i="6" l="1"/>
  <c r="BD12" i="6"/>
  <c r="BD14" i="6" l="1"/>
  <c r="BE12" i="6"/>
  <c r="BE14" i="6" l="1"/>
  <c r="BF12" i="6"/>
  <c r="BG12" i="6" l="1"/>
  <c r="BF14" i="6"/>
  <c r="BG14" i="6" l="1"/>
  <c r="BH12" i="6"/>
  <c r="BI12" i="6" l="1"/>
  <c r="BH14" i="6"/>
  <c r="BI14" i="6" l="1"/>
  <c r="BJ12" i="6"/>
  <c r="BK12" i="6" l="1"/>
  <c r="BJ14" i="6"/>
  <c r="BK14" i="6" l="1"/>
  <c r="BL12" i="6"/>
  <c r="BL14" i="6" l="1"/>
  <c r="BM12" i="6"/>
  <c r="BN12" i="6" l="1"/>
  <c r="BM14" i="6"/>
  <c r="BN14" i="6" l="1"/>
  <c r="BO12" i="6"/>
  <c r="BP12" i="6" l="1"/>
  <c r="BO14" i="6"/>
  <c r="BQ12" i="6" l="1"/>
  <c r="BP14" i="6"/>
  <c r="BR12" i="6" l="1"/>
  <c r="BQ14" i="6"/>
  <c r="BS12" i="6" l="1"/>
  <c r="BR14" i="6"/>
  <c r="BS14" i="6" l="1"/>
  <c r="BT12" i="6"/>
  <c r="BU12" i="6" l="1"/>
  <c r="BT14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A14" i="6" l="1"/>
  <c r="CB12" i="6"/>
  <c r="CB14" i="6" l="1"/>
  <c r="CC12" i="6"/>
  <c r="CC14" i="6" l="1"/>
  <c r="CD12" i="6"/>
  <c r="CE12" i="6" l="1"/>
  <c r="CD14" i="6"/>
  <c r="CF12" i="6" l="1"/>
  <c r="CE14" i="6"/>
  <c r="CG12" i="6" l="1"/>
  <c r="CF14" i="6"/>
  <c r="CG14" i="6" l="1"/>
  <c r="CH12" i="6"/>
  <c r="CH14" i="6" l="1"/>
  <c r="CI12" i="6"/>
  <c r="CI14" i="6" l="1"/>
  <c r="CJ12" i="6"/>
  <c r="CJ14" i="6" l="1"/>
  <c r="CK12" i="6"/>
  <c r="CL12" i="6" l="1"/>
  <c r="CK14" i="6"/>
  <c r="CM12" i="6" l="1"/>
  <c r="CL14" i="6"/>
  <c r="CN12" i="6" l="1"/>
  <c r="CM14" i="6"/>
  <c r="CN14" i="6" l="1"/>
  <c r="CO12" i="6"/>
  <c r="CO14" i="6" l="1"/>
  <c r="CP12" i="6"/>
  <c r="CQ12" i="6" l="1"/>
  <c r="CP14" i="6"/>
  <c r="CQ14" i="6" l="1"/>
  <c r="CR12" i="6"/>
  <c r="CS12" i="6" l="1"/>
  <c r="CR14" i="6"/>
  <c r="CS14" i="6" l="1"/>
  <c r="CT12" i="6"/>
  <c r="CU12" i="6" l="1"/>
  <c r="CT14" i="6"/>
  <c r="CU14" i="6" l="1"/>
  <c r="CV12" i="6"/>
  <c r="CV14" i="6" l="1"/>
  <c r="CW12" i="6"/>
  <c r="CW14" i="6" l="1"/>
  <c r="CX12" i="6"/>
  <c r="CY12" i="6" l="1"/>
  <c r="CX14" i="6"/>
  <c r="CY14" i="6" l="1"/>
  <c r="CZ12" i="6"/>
  <c r="DA12" i="6" l="1"/>
  <c r="CZ14" i="6"/>
  <c r="DB12" i="6" l="1"/>
  <c r="DA14" i="6"/>
  <c r="DC12" i="6" l="1"/>
  <c r="DB14" i="6"/>
  <c r="DD12" i="6" l="1"/>
  <c r="DC14" i="6"/>
  <c r="DE12" i="6" l="1"/>
  <c r="DD14" i="6"/>
  <c r="DE14" i="6" l="1"/>
  <c r="DF12" i="6"/>
  <c r="DF14" i="6" l="1"/>
  <c r="DG12" i="6"/>
  <c r="DH12" i="6" l="1"/>
  <c r="DG14" i="6"/>
  <c r="DI12" i="6" l="1"/>
  <c r="DH14" i="6"/>
  <c r="DJ12" i="6" l="1"/>
  <c r="DI14" i="6"/>
  <c r="DK12" i="6" l="1"/>
  <c r="DJ14" i="6"/>
  <c r="DK14" i="6" l="1"/>
  <c r="DL12" i="6"/>
  <c r="DM12" i="6" l="1"/>
  <c r="DL14" i="6"/>
  <c r="DN12" i="6" l="1"/>
  <c r="DM14" i="6"/>
  <c r="DN14" i="6" l="1"/>
  <c r="DO12" i="6"/>
  <c r="DP12" i="6" l="1"/>
  <c r="DO14" i="6"/>
  <c r="DP14" i="6" l="1"/>
  <c r="DQ12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Y14" i="6" l="1"/>
  <c r="DZ12" i="6"/>
  <c r="DZ14" i="6" l="1"/>
  <c r="EA12" i="6"/>
  <c r="EA14" i="6" l="1"/>
  <c r="EB12" i="6"/>
  <c r="EC12" i="6" l="1"/>
  <c r="EB14" i="6"/>
  <c r="ED12" i="6" l="1"/>
  <c r="EC14" i="6"/>
  <c r="ED14" i="6" l="1"/>
  <c r="EE12" i="6"/>
  <c r="EE14" i="6" l="1"/>
  <c r="EF12" i="6"/>
  <c r="EF14" i="6" l="1"/>
  <c r="EG12" i="6"/>
  <c r="EG14" i="6" l="1"/>
  <c r="EH12" i="6"/>
  <c r="EI12" i="6" l="1"/>
  <c r="EH14" i="6"/>
  <c r="EI14" i="6" l="1"/>
  <c r="EJ12" i="6"/>
  <c r="EK12" i="6" l="1"/>
  <c r="EJ14" i="6"/>
  <c r="EL12" i="6" l="1"/>
  <c r="EK14" i="6"/>
  <c r="EL14" i="6" l="1"/>
  <c r="EM12" i="6"/>
  <c r="EM14" i="6" l="1"/>
  <c r="EN12" i="6"/>
  <c r="EO12" i="6" l="1"/>
  <c r="EN14" i="6"/>
  <c r="EO14" i="6" l="1"/>
  <c r="EP12" i="6"/>
  <c r="EQ12" i="6" l="1"/>
  <c r="EP14" i="6"/>
  <c r="EQ14" i="6" l="1"/>
  <c r="ER12" i="6"/>
  <c r="ER14" i="6" l="1"/>
  <c r="ES12" i="6"/>
  <c r="ET12" i="6" l="1"/>
  <c r="ES14" i="6"/>
  <c r="ET14" i="6" l="1"/>
  <c r="EU12" i="6"/>
  <c r="EV12" i="6" l="1"/>
  <c r="EU14" i="6"/>
  <c r="EV14" i="6" l="1"/>
  <c r="EW12" i="6"/>
  <c r="EX12" i="6" l="1"/>
  <c r="EW14" i="6"/>
  <c r="EY12" i="6" l="1"/>
  <c r="EX14" i="6"/>
  <c r="EY14" i="6" l="1"/>
  <c r="EZ12" i="6"/>
  <c r="FA12" i="6" l="1"/>
  <c r="EZ14" i="6"/>
  <c r="FA14" i="6" l="1"/>
  <c r="FB12" i="6"/>
  <c r="FB14" i="6" l="1"/>
  <c r="FC12" i="6"/>
  <c r="FC14" i="6" l="1"/>
  <c r="FD12" i="6"/>
  <c r="FD14" i="6" l="1"/>
  <c r="FE12" i="6"/>
  <c r="FE14" i="6" l="1"/>
  <c r="FF12" i="6"/>
  <c r="FG12" i="6" l="1"/>
  <c r="FF14" i="6"/>
  <c r="FH12" i="6" l="1"/>
  <c r="FG14" i="6"/>
  <c r="FH14" i="6" l="1"/>
  <c r="FI12" i="6"/>
  <c r="FI14" i="6" l="1"/>
  <c r="FJ12" i="6"/>
  <c r="FK12" i="6" l="1"/>
  <c r="FJ14" i="6"/>
  <c r="FL12" i="6" l="1"/>
  <c r="FK14" i="6"/>
  <c r="FL14" i="6" l="1"/>
  <c r="FM12" i="6"/>
  <c r="FM14" i="6" l="1"/>
  <c r="FN12" i="6"/>
  <c r="FO12" i="6" l="1"/>
  <c r="FN14" i="6"/>
  <c r="FO14" i="6" l="1"/>
  <c r="FP12" i="6"/>
  <c r="FQ12" i="6" l="1"/>
  <c r="FP14" i="6"/>
  <c r="FR12" i="6" l="1"/>
  <c r="FQ14" i="6"/>
  <c r="FR14" i="6" l="1"/>
  <c r="FS12" i="6"/>
  <c r="FS14" i="6" l="1"/>
  <c r="FT12" i="6"/>
  <c r="FU12" i="6" l="1"/>
  <c r="FT14" i="6"/>
  <c r="FV12" i="6" l="1"/>
  <c r="FU14" i="6"/>
  <c r="FV14" i="6" l="1"/>
  <c r="FW12" i="6"/>
  <c r="FX12" i="6" l="1"/>
  <c r="FW14" i="6"/>
  <c r="FY12" i="6" l="1"/>
  <c r="FX14" i="6"/>
  <c r="FY14" i="6" l="1"/>
  <c r="FZ12" i="6"/>
  <c r="FZ14" i="6" l="1"/>
  <c r="GA12" i="6"/>
  <c r="GB12" i="6" l="1"/>
  <c r="GA14" i="6"/>
  <c r="GC12" i="6" l="1"/>
  <c r="GB14" i="6"/>
  <c r="GC14" i="6" l="1"/>
  <c r="GD12" i="6"/>
  <c r="GD14" i="6" l="1"/>
  <c r="GE12" i="6"/>
  <c r="GE14" i="6" l="1"/>
  <c r="GF12" i="6"/>
  <c r="GF14" i="6" l="1"/>
  <c r="GG12" i="6"/>
  <c r="GG14" i="6" l="1"/>
  <c r="GH12" i="6"/>
  <c r="GI12" i="6" l="1"/>
  <c r="GH14" i="6"/>
  <c r="GJ12" i="6" l="1"/>
  <c r="GI14" i="6"/>
  <c r="GJ14" i="6" l="1"/>
  <c r="GK12" i="6"/>
  <c r="GL12" i="6" l="1"/>
  <c r="GK14" i="6"/>
  <c r="GL14" i="6" l="1"/>
  <c r="GM12" i="6"/>
  <c r="GM14" i="6" l="1"/>
  <c r="GN12" i="6"/>
  <c r="GO12" i="6" l="1"/>
  <c r="GN14" i="6"/>
  <c r="GO14" i="6" l="1"/>
  <c r="GP12" i="6"/>
  <c r="GP14" i="6" l="1"/>
  <c r="GQ12" i="6"/>
  <c r="GQ14" i="6" l="1"/>
  <c r="GR12" i="6"/>
  <c r="GS12" i="6" l="1"/>
  <c r="GR14" i="6"/>
  <c r="GT12" i="6" l="1"/>
  <c r="GS14" i="6"/>
  <c r="GT14" i="6" l="1"/>
  <c r="GU12" i="6"/>
  <c r="GU14" i="6" l="1"/>
  <c r="GV12" i="6"/>
  <c r="GW12" i="6" l="1"/>
  <c r="GV14" i="6"/>
  <c r="GW14" i="6" l="1"/>
  <c r="GX12" i="6"/>
  <c r="GX14" i="6" l="1"/>
  <c r="GY12" i="6"/>
  <c r="GY14" i="6" l="1"/>
  <c r="GZ12" i="6"/>
  <c r="GZ14" i="6" l="1"/>
  <c r="HA12" i="6"/>
  <c r="HB12" i="6" l="1"/>
  <c r="HA14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I12" i="6" l="1"/>
  <c r="HH14" i="6"/>
  <c r="HJ12" i="6" l="1"/>
  <c r="HI14" i="6"/>
  <c r="HJ14" i="6" l="1"/>
  <c r="HK12" i="6"/>
  <c r="HK14" i="6" l="1"/>
  <c r="HL12" i="6"/>
  <c r="HL14" i="6" l="1"/>
  <c r="HM12" i="6"/>
  <c r="HN12" i="6" l="1"/>
  <c r="HM14" i="6"/>
  <c r="HN14" i="6" l="1"/>
  <c r="HO12" i="6"/>
  <c r="HP12" i="6" l="1"/>
  <c r="HO14" i="6"/>
  <c r="HP14" i="6" l="1"/>
  <c r="HQ12" i="6"/>
  <c r="HQ14" i="6" l="1"/>
  <c r="HR12" i="6"/>
  <c r="HS12" i="6" l="1"/>
  <c r="HR14" i="6"/>
  <c r="HT12" i="6" l="1"/>
  <c r="HS14" i="6"/>
  <c r="HT14" i="6" l="1"/>
  <c r="HU12" i="6"/>
  <c r="HU14" i="6" l="1"/>
  <c r="HV12" i="6"/>
  <c r="HV14" i="6" l="1"/>
  <c r="HW12" i="6"/>
  <c r="HW14" i="6" l="1"/>
  <c r="HX12" i="6"/>
  <c r="HY12" i="6" l="1"/>
  <c r="HX14" i="6"/>
  <c r="HY14" i="6" l="1"/>
  <c r="HZ12" i="6"/>
  <c r="HZ14" i="6" l="1"/>
  <c r="IA12" i="6"/>
  <c r="IA14" i="6" l="1"/>
  <c r="IB12" i="6"/>
  <c r="IB14" i="6" l="1"/>
  <c r="IC12" i="6"/>
  <c r="IC14" i="6" l="1"/>
  <c r="ID12" i="6"/>
  <c r="ID14" i="6" l="1"/>
  <c r="IE12" i="6"/>
  <c r="IE14" i="6" l="1"/>
  <c r="IF12" i="6"/>
  <c r="IF14" i="6" l="1"/>
  <c r="IG12" i="6"/>
  <c r="IG14" i="6" l="1"/>
  <c r="IH12" i="6"/>
  <c r="IH14" i="6" l="1"/>
  <c r="II12" i="6"/>
  <c r="II14" i="6" l="1"/>
  <c r="IJ12" i="6"/>
  <c r="IK12" i="6" l="1"/>
  <c r="IJ14" i="6"/>
  <c r="IK14" i="6" l="1"/>
  <c r="IL12" i="6"/>
  <c r="IL14" i="6" l="1"/>
  <c r="IM12" i="6"/>
  <c r="IM14" i="6" l="1"/>
  <c r="IN12" i="6"/>
  <c r="IO12" i="6" l="1"/>
  <c r="IN14" i="6"/>
  <c r="IP12" i="6" l="1"/>
  <c r="IO14" i="6"/>
  <c r="IP14" i="6" l="1"/>
  <c r="IQ12" i="6"/>
  <c r="IR12" i="6" l="1"/>
  <c r="IQ14" i="6"/>
  <c r="IR14" i="6" l="1"/>
  <c r="IS12" i="6"/>
  <c r="IT12" i="6" l="1"/>
  <c r="IS14" i="6"/>
  <c r="IU12" i="6" l="1"/>
  <c r="IT14" i="6"/>
  <c r="IV12" i="6" l="1"/>
  <c r="IU14" i="6"/>
  <c r="IW12" i="6" l="1"/>
  <c r="IV14" i="6"/>
  <c r="IW14" i="6" l="1"/>
  <c r="IX12" i="6"/>
  <c r="IY12" i="6" l="1"/>
  <c r="IX14" i="6"/>
  <c r="IZ12" i="6" l="1"/>
  <c r="IY14" i="6"/>
  <c r="IZ14" i="6" l="1"/>
  <c r="JA12" i="6"/>
  <c r="JA14" i="6" l="1"/>
  <c r="JB12" i="6"/>
  <c r="JC12" i="6" l="1"/>
  <c r="JB14" i="6"/>
  <c r="JC14" i="6" l="1"/>
  <c r="JD12" i="6"/>
  <c r="JD14" i="6" l="1"/>
  <c r="JE12" i="6"/>
  <c r="JF12" i="6" l="1"/>
  <c r="JE14" i="6"/>
  <c r="JF14" i="6" l="1"/>
  <c r="JG12" i="6"/>
  <c r="JG14" i="6" l="1"/>
  <c r="JH12" i="6"/>
  <c r="JH14" i="6" l="1"/>
  <c r="JI12" i="6"/>
  <c r="JJ12" i="6" l="1"/>
  <c r="JI14" i="6"/>
  <c r="JK12" i="6" l="1"/>
  <c r="JJ14" i="6"/>
  <c r="JL12" i="6" l="1"/>
  <c r="JK14" i="6"/>
  <c r="JM12" i="6" l="1"/>
  <c r="JL14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V12" i="6" l="1"/>
  <c r="JU14" i="6"/>
  <c r="JW12" i="6" l="1"/>
  <c r="JV14" i="6"/>
  <c r="JW14" i="6" l="1"/>
  <c r="JX12" i="6"/>
  <c r="JX14" i="6" l="1"/>
  <c r="JY12" i="6"/>
  <c r="JY14" i="6" l="1"/>
  <c r="JZ12" i="6"/>
  <c r="JZ14" i="6" l="1"/>
  <c r="KA12" i="6"/>
  <c r="KA14" i="6" l="1"/>
  <c r="KB12" i="6"/>
  <c r="KB14" i="6" l="1"/>
  <c r="KC12" i="6"/>
  <c r="KD12" i="6" l="1"/>
  <c r="KC14" i="6"/>
  <c r="KE12" i="6" l="1"/>
  <c r="KD14" i="6"/>
  <c r="KE14" i="6" l="1"/>
  <c r="KF12" i="6"/>
  <c r="KG12" i="6" l="1"/>
  <c r="KF14" i="6"/>
  <c r="KH12" i="6" l="1"/>
  <c r="KG14" i="6"/>
  <c r="KH14" i="6" l="1"/>
  <c r="KI12" i="6"/>
  <c r="KI14" i="6" l="1"/>
  <c r="KJ12" i="6"/>
  <c r="KK12" i="6" l="1"/>
  <c r="KJ14" i="6"/>
  <c r="KL12" i="6" l="1"/>
  <c r="KK14" i="6"/>
  <c r="KL14" i="6" l="1"/>
  <c r="KM12" i="6"/>
  <c r="KM14" i="6" l="1"/>
  <c r="KN12" i="6"/>
  <c r="KN14" i="6" l="1"/>
  <c r="KO12" i="6"/>
  <c r="KO14" i="6" l="1"/>
  <c r="KP12" i="6"/>
  <c r="KP14" i="6" l="1"/>
  <c r="KQ12" i="6"/>
  <c r="KR12" i="6" l="1"/>
  <c r="KQ14" i="6"/>
  <c r="KR14" i="6" l="1"/>
  <c r="KS12" i="6"/>
  <c r="KS14" i="6" l="1"/>
  <c r="KT12" i="6"/>
  <c r="KU12" i="6" l="1"/>
  <c r="KT14" i="6"/>
  <c r="KU14" i="6" l="1"/>
  <c r="KV12" i="6"/>
  <c r="KW12" i="6" l="1"/>
  <c r="KV14" i="6"/>
  <c r="KW14" i="6" l="1"/>
  <c r="KX12" i="6"/>
  <c r="KX14" i="6" l="1"/>
  <c r="KY12" i="6"/>
  <c r="KZ12" i="6" l="1"/>
  <c r="KY14" i="6"/>
  <c r="KZ14" i="6" l="1"/>
  <c r="LA12" i="6"/>
  <c r="LB12" i="6" l="1"/>
  <c r="LA14" i="6"/>
  <c r="LC12" i="6" l="1"/>
  <c r="LB14" i="6"/>
  <c r="LD12" i="6" l="1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<sst xmlns="http://schemas.openxmlformats.org/spreadsheetml/2006/main" count="826" uniqueCount="484">
  <si>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</si>
  <si>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</si>
  <si>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</si>
  <si>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</si>
  <si>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</si>
  <si>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</si>
  <si>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</si>
  <si>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</si>
  <si>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</si>
  <si>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</si>
  <si>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</si>
  <si>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</si>
  <si>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</si>
  <si>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</si>
  <si>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</si>
  <si>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</si>
  <si>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</si>
  <si>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</si>
  <si>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</si>
  <si>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</si>
  <si>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</si>
  <si>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</si>
  <si>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</si>
  <si>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</si>
  <si>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</si>
  <si>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</si>
  <si>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</si>
  <si>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</si>
  <si>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</si>
  <si>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</si>
  <si>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</si>
  <si>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</si>
  <si>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</si>
  <si>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</si>
  <si>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</si>
  <si>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</si>
  <si>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</si>
  <si>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</si>
  <si>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</si>
  <si>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</si>
  <si>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</si>
  <si>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</si>
  <si>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</si>
  <si>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</si>
  <si>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</si>
  <si>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</si>
  <si>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</si>
  <si>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</si>
  <si>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</si>
  <si>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</si>
  <si>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</si>
  <si>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</si>
  <si>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</si>
  <si>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</si>
  <si>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</si>
  <si>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</si>
  <si>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</si>
  <si>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</si>
  <si>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</si>
  <si>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</si>
  <si>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</si>
  <si>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</si>
  <si>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</si>
  <si>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</si>
  <si>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</si>
  <si>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</si>
  <si>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</si>
  <si>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</si>
  <si>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</si>
  <si>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</si>
  <si>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</si>
  <si>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</si>
  <si>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</si>
  <si>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IconSA_KZN</t>
  </si>
  <si>
    <t>PROJECT SIZE (kWp)</t>
  </si>
  <si>
    <t>PROJECT DEVELOPER</t>
  </si>
  <si>
    <t>Peet Verreynne</t>
  </si>
  <si>
    <t>PROJECT MANAGERS</t>
  </si>
  <si>
    <t>Eon Van Rensburg</t>
  </si>
  <si>
    <t>CONTRACT VALUE</t>
  </si>
  <si>
    <t>Phase:</t>
  </si>
  <si>
    <t>Compliance Handover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</si>
  <si>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</si>
  <si>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</si>
  <si>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</si>
  <si>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</si>
  <si>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</si>
  <si>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</si>
  <si>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</si>
  <si>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</si>
  <si>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</si>
  <si>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Milestone</t>
  </si>
  <si>
    <t>Start Date</t>
  </si>
  <si>
    <t>Total Duration</t>
  </si>
  <si>
    <t>End Date</t>
  </si>
  <si>
    <t>Progress Percentage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</si>
  <si>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</si>
  <si>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</si>
  <si>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</si>
  <si>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</si>
  <si>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</si>
  <si>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</si>
  <si>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</si>
  <si>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</si>
  <si>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</si>
  <si>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</si>
  <si>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</si>
  <si>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</si>
  <si>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</si>
  <si>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</si>
  <si>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</si>
  <si>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</si>
  <si>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</si>
  <si>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</si>
  <si>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</si>
  <si>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</si>
  <si>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</si>
  <si>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</si>
  <si>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</si>
  <si>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</si>
  <si>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</si>
  <si>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</si>
  <si>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</si>
  <si>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4.7</t>
  </si>
  <si>
    <t>DC Cable delivered</t>
  </si>
  <si>
    <t>4.8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</si>
  <si>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</si>
  <si>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</si>
  <si>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</si>
  <si>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</si>
  <si>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</si>
  <si>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</si>
  <si>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</si>
  <si>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</si>
  <si>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</si>
  <si>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</si>
  <si>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</si>
  <si>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</si>
  <si>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</si>
  <si>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</si>
  <si>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 - Gen Intg Outstanding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</si>
  <si>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</si>
  <si>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</si>
  <si>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</si>
  <si>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</si>
  <si>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</si>
  <si>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</si>
  <si>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</si>
  <si>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</si>
  <si>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</si>
  <si>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</si>
  <si>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</si>
  <si>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</si>
  <si>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</si>
  <si>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</si>
  <si>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</si>
  <si>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</si>
  <si>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</si>
  <si>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</si>
  <si>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</si>
  <si>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</si>
  <si>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</si>
  <si>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</si>
  <si>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</si>
  <si>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</si>
  <si>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</si>
  <si>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</si>
  <si>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</si>
  <si>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</si>
  <si>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</si>
  <si>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</si>
  <si>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004800</t>
  </si>
  <si>
    <t>Delivery of Panels</t>
  </si>
  <si>
    <t>004828</t>
  </si>
  <si>
    <t>Delivery of Inverters</t>
  </si>
  <si>
    <t>004854</t>
  </si>
  <si>
    <t>004878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</si>
  <si>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</si>
  <si>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</si>
  <si>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</si>
  <si>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</si>
  <si>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</si>
  <si>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</si>
  <si>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</si>
  <si>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</si>
  <si>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</si>
  <si>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</si>
  <si>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</si>
  <si>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</si>
  <si>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</si>
  <si>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</si>
  <si>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</si>
  <si>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</si>
  <si>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</si>
  <si>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</si>
  <si>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</si>
  <si>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</si>
  <si>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</si>
  <si>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</si>
  <si>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</si>
  <si>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</si>
  <si>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</si>
  <si>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</si>
  <si>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</si>
  <si>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</si>
  <si>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</si>
  <si>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</si>
  <si>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</si>
  <si>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</si>
  <si>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</si>
  <si>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</si>
  <si>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</si>
  <si>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</si>
  <si>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</si>
  <si>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</si>
  <si>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</si>
  <si>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</si>
  <si>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</si>
  <si>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</si>
  <si>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</si>
  <si>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</si>
  <si>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</si>
  <si>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</si>
  <si>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</si>
  <si>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</si>
  <si>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</si>
  <si>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</si>
  <si>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</si>
  <si>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</si>
  <si>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</si>
  <si>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</si>
  <si>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</si>
  <si>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</si>
  <si>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</si>
  <si>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</si>
  <si>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</si>
  <si>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</si>
  <si>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</si>
  <si>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modules - 66HL4M-BDV - Menlo</t>
  </si>
  <si>
    <t>PO4273-IKZN-20250825 - RV Approved</t>
  </si>
  <si>
    <t>Menlo INV0003176</t>
  </si>
  <si>
    <t>Delivery Budget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</si>
  <si>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</si>
  <si>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</si>
  <si>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</si>
  <si>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</si>
  <si>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</si>
  <si>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</si>
  <si>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</si>
  <si>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>Huawei 36KTL - Menlo</t>
  </si>
  <si>
    <t>Menlo INV003176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</si>
  <si>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</si>
  <si>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</si>
  <si>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</si>
  <si>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</si>
  <si>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</si>
  <si>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</si>
  <si>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</si>
  <si>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</si>
  <si>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</si>
  <si>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</si>
  <si>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</si>
  <si>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PO4272-IKZN-20250825 - RV Approved</t>
  </si>
  <si>
    <t>Schletter Inv: INV2149</t>
  </si>
  <si>
    <t>Other</t>
  </si>
  <si>
    <t>Lintels</t>
  </si>
  <si>
    <t>PO4293-IKZN-20250902 - RV Approved</t>
  </si>
  <si>
    <t>Precast Structural - IN44436</t>
  </si>
  <si>
    <t>Less 15%</t>
  </si>
  <si>
    <t>R/Wp</t>
  </si>
  <si>
    <t>ACTUAL - Thula Moya</t>
  </si>
  <si>
    <t>Installer Price</t>
  </si>
  <si>
    <t>DC Cable Budget</t>
  </si>
  <si>
    <t>4. DC Equipment</t>
  </si>
  <si>
    <t>DC Cable - Rubicon</t>
  </si>
  <si>
    <t>Rubicon - INVWCRE-0070283</t>
  </si>
  <si>
    <t>DC Equipment Budget</t>
  </si>
  <si>
    <t>Site Logistics &amp; Material Handling</t>
  </si>
  <si>
    <t>Project Kick Off</t>
  </si>
  <si>
    <t>PO4270-IKZN-20250825 - RV Approved</t>
  </si>
  <si>
    <t>Thula Moya IN04863</t>
  </si>
  <si>
    <t>Forklift</t>
  </si>
  <si>
    <t>Thula Moya IN04864</t>
  </si>
  <si>
    <t>Geda</t>
  </si>
  <si>
    <t>AC Installation Complete</t>
  </si>
  <si>
    <t>Thula Moya IN04865</t>
  </si>
  <si>
    <t>Logistics</t>
  </si>
  <si>
    <t>DC Installation Complete</t>
  </si>
  <si>
    <t>Thula Moya IN04866</t>
  </si>
  <si>
    <t>Commissioning Complete</t>
  </si>
  <si>
    <t>Thula Moya IN04867</t>
  </si>
  <si>
    <t>Site De-establisment</t>
  </si>
  <si>
    <t>Thula Moya IN04868</t>
  </si>
  <si>
    <t>Handover Document Complete</t>
  </si>
  <si>
    <t>Thula Moya IN04869</t>
  </si>
  <si>
    <t>End of Defects Period</t>
  </si>
  <si>
    <t>Thula Moya IN04870</t>
  </si>
  <si>
    <t>Monitoring</t>
  </si>
  <si>
    <t>Monitoring Budget</t>
  </si>
  <si>
    <t>5. Monitoring</t>
  </si>
  <si>
    <t>Smartlogger</t>
  </si>
  <si>
    <t>Revenue Metering</t>
  </si>
  <si>
    <t>CTs &amp; Meters</t>
  </si>
  <si>
    <t>PO4271-IKZN-20250825 - RV Approved</t>
  </si>
  <si>
    <t>AccuEnergy ASAI-006226</t>
  </si>
  <si>
    <t>Techsitter</t>
  </si>
  <si>
    <t>Matriarch - INV-4999</t>
  </si>
  <si>
    <t>Apex - Allocated from Corporate Park</t>
  </si>
  <si>
    <t>PO4176-DCP-20250728 - RV Approved</t>
  </si>
  <si>
    <t>Allocated from Corporate PArk</t>
  </si>
  <si>
    <t>Delivery of Apex &amp; Techsitter + Power Supply</t>
  </si>
  <si>
    <t>DSV Inv: 180150385</t>
  </si>
  <si>
    <t xml:space="preserve">Battery &amp; Power Supply </t>
  </si>
  <si>
    <t>Red Pole - SO-35912</t>
  </si>
  <si>
    <t>Allocated from Cpt Storeroom</t>
  </si>
  <si>
    <t>Antenna</t>
  </si>
  <si>
    <t>PO4472-IKZN-20251114 - RV Approved</t>
  </si>
  <si>
    <t>Accuenergy - ASAI-006874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</si>
  <si>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</si>
  <si>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</si>
  <si>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</si>
  <si>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</si>
  <si>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</si>
  <si>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</si>
  <si>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</si>
  <si>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</si>
  <si>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</si>
  <si>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</si>
  <si>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</si>
  <si>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Thula Moya IN04921</t>
  </si>
  <si>
    <t>Site Logistics</t>
  </si>
  <si>
    <t>10. Site Logistics</t>
  </si>
  <si>
    <t>Security</t>
  </si>
  <si>
    <t>PO42788-IKZN-20250828 - RV Approved</t>
  </si>
  <si>
    <t>Excellerate Inv 442934</t>
  </si>
  <si>
    <t>Due Dilligence</t>
  </si>
  <si>
    <t>Electrical PrEng sign off</t>
  </si>
  <si>
    <t>11. Due Dilligence</t>
  </si>
  <si>
    <t>SunSpot - E039</t>
  </si>
  <si>
    <t>Structural sign off</t>
  </si>
  <si>
    <t>Structural Sign Off</t>
  </si>
  <si>
    <t>Red Team Inspection</t>
  </si>
  <si>
    <t>Matriarch - INV-5370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</si>
  <si>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</si>
  <si>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</si>
  <si>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</si>
  <si>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</si>
  <si>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</si>
  <si>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</si>
  <si>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</si>
  <si>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</si>
  <si>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</si>
  <si>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</si>
  <si>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</si>
  <si>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</si>
  <si>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</si>
  <si>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</si>
  <si>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</si>
  <si>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</si>
  <si>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</si>
  <si>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</si>
  <si>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Courier of Sonnel Meter</t>
  </si>
  <si>
    <t>DSV Inv: 180154233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</si>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</sst>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9"/>
      <name val="Proxima Nova Lt"/>
    </font>
    <font>
      <sz val="11"/>
      <color rgb="FF000000"/>
      <name val="Proxima Nova Lt"/>
    </font>
    <font>
      <sz val="10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9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4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 vertic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7" fontId="6" fillId="7" borderId="0" xfId="0" applyNumberFormat="1" applyFont="1" applyFill="1" applyProtection="1">
      <protection locked="0"/>
    </xf>
    <xf numFmtId="167" fontId="6" fillId="0" borderId="0" xfId="3" applyFont="1" applyProtection="1">
      <protection locked="0"/>
    </xf>
    <xf numFmtId="167" fontId="6" fillId="7" borderId="0" xfId="3" applyFont="1" applyFill="1" applyProtection="1">
      <protection locked="0"/>
    </xf>
    <xf numFmtId="167" fontId="13" fillId="7" borderId="0" xfId="3" applyFont="1" applyFill="1" applyProtection="1">
      <protection locked="0"/>
    </xf>
    <xf numFmtId="167" fontId="6" fillId="10" borderId="78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168" fontId="5" fillId="10" borderId="79" xfId="0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center" vertical="center"/>
      <protection locked="0"/>
    </xf>
    <xf numFmtId="0" fontId="5" fillId="11" borderId="68" xfId="0" applyFont="1" applyFill="1" applyBorder="1" applyAlignment="1" applyProtection="1">
      <alignment horizontal="center" vertical="center"/>
      <protection locked="0"/>
    </xf>
    <xf numFmtId="0" fontId="5" fillId="11" borderId="62" xfId="0" applyFont="1" applyFill="1" applyBorder="1" applyAlignment="1" applyProtection="1">
      <alignment horizontal="center" vertical="center"/>
      <protection locked="0"/>
    </xf>
    <xf numFmtId="0" fontId="5" fillId="0" borderId="64" xfId="0" applyFont="1" applyBorder="1" applyAlignment="1" applyProtection="1">
      <alignment horizontal="center" vertical="center"/>
      <protection locked="0"/>
    </xf>
    <xf numFmtId="0" fontId="5" fillId="13" borderId="65" xfId="0" applyFont="1" applyFill="1" applyBorder="1" applyAlignment="1" applyProtection="1">
      <alignment horizontal="center" vertical="center"/>
      <protection locked="0"/>
    </xf>
    <xf numFmtId="0" fontId="5" fillId="13" borderId="57" xfId="0" applyFont="1" applyFill="1" applyBorder="1" applyAlignment="1" applyProtection="1">
      <alignment horizontal="center" vertical="center"/>
      <protection locked="0"/>
    </xf>
    <xf numFmtId="0" fontId="5" fillId="13" borderId="62" xfId="0" applyFont="1" applyFill="1" applyBorder="1" applyAlignment="1" applyProtection="1">
      <alignment horizontal="center" vertical="center"/>
      <protection locked="0"/>
    </xf>
    <xf numFmtId="0" fontId="6" fillId="0" borderId="64" xfId="0" applyFont="1" applyBorder="1" applyAlignment="1" applyProtection="1">
      <alignment horizontal="center" vertical="center"/>
      <protection locked="0"/>
    </xf>
    <xf numFmtId="0" fontId="5" fillId="13" borderId="68" xfId="0" applyFont="1" applyFill="1" applyBorder="1" applyAlignment="1" applyProtection="1">
      <alignment horizontal="center" vertical="center"/>
      <protection locked="0"/>
    </xf>
    <xf numFmtId="0" fontId="5" fillId="0" borderId="58" xfId="0" applyFont="1" applyBorder="1" applyAlignment="1" applyProtection="1">
      <alignment horizontal="center" vertical="center"/>
      <protection locked="0"/>
    </xf>
    <xf numFmtId="0" fontId="5" fillId="11" borderId="56" xfId="0" applyFont="1" applyFill="1" applyBorder="1" applyAlignment="1" applyProtection="1">
      <alignment horizontal="center" vertical="center"/>
      <protection locked="0"/>
    </xf>
    <xf numFmtId="0" fontId="45" fillId="0" borderId="64" xfId="0" applyFont="1" applyBorder="1" applyAlignment="1" applyProtection="1">
      <alignment horizontal="center" vertical="center"/>
      <protection locked="0"/>
    </xf>
    <xf numFmtId="0" fontId="5" fillId="10" borderId="65" xfId="0" applyFont="1" applyFill="1" applyBorder="1" applyAlignment="1" applyProtection="1">
      <alignment horizontal="center" vertical="center"/>
      <protection locked="0"/>
    </xf>
    <xf numFmtId="0" fontId="5" fillId="10" borderId="57" xfId="0" applyFont="1" applyFill="1" applyBorder="1" applyAlignment="1" applyProtection="1">
      <alignment horizontal="center" vertical="center"/>
      <protection locked="0"/>
    </xf>
    <xf numFmtId="0" fontId="5" fillId="10" borderId="68" xfId="0" applyFont="1" applyFill="1" applyBorder="1" applyAlignment="1" applyProtection="1">
      <alignment horizontal="center" vertical="center"/>
      <protection locked="0"/>
    </xf>
    <xf numFmtId="0" fontId="5" fillId="10" borderId="62" xfId="0" applyFont="1" applyFill="1" applyBorder="1" applyAlignment="1" applyProtection="1">
      <alignment horizontal="center" vertical="center"/>
      <protection locked="0"/>
    </xf>
    <xf numFmtId="0" fontId="5" fillId="10" borderId="25" xfId="0" applyFont="1" applyFill="1" applyBorder="1" applyAlignment="1" applyProtection="1">
      <alignment horizontal="center" vertical="center"/>
      <protection locked="0"/>
    </xf>
    <xf numFmtId="0" fontId="5" fillId="10" borderId="20" xfId="0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" fontId="6" fillId="7" borderId="2" xfId="0" applyNumberFormat="1" applyFont="1" applyFill="1" applyBorder="1" applyAlignment="1" applyProtection="1">
      <alignment horizontal="center"/>
      <protection locked="0"/>
    </xf>
    <xf numFmtId="9" fontId="6" fillId="7" borderId="2" xfId="2" applyFont="1" applyFill="1" applyBorder="1" applyAlignment="1" applyProtection="1">
      <alignment horizontal="center"/>
      <protection locked="0"/>
    </xf>
    <xf numFmtId="14" fontId="6" fillId="7" borderId="0" xfId="0" applyNumberFormat="1" applyFont="1" applyFill="1" applyProtection="1">
      <protection locked="0"/>
    </xf>
    <xf numFmtId="14" fontId="5" fillId="7" borderId="0" xfId="0" applyNumberFormat="1" applyFont="1" applyFill="1" applyAlignment="1">
      <alignment horizontal="center"/>
    </xf>
    <xf numFmtId="0" fontId="52" fillId="7" borderId="0" xfId="0" applyFont="1" applyFill="1" applyProtection="1">
      <protection locked="0"/>
    </xf>
    <xf numFmtId="0" fontId="5" fillId="7" borderId="0" xfId="0" applyFont="1" applyFill="1" applyProtection="1">
      <protection locked="0"/>
    </xf>
    <xf numFmtId="0" fontId="25" fillId="7" borderId="0" xfId="0" applyFont="1" applyFill="1" applyProtection="1">
      <protection locked="0"/>
    </xf>
    <xf numFmtId="0" fontId="7" fillId="7" borderId="2" xfId="0" applyFont="1" applyFill="1" applyBorder="1" applyAlignment="1" applyProtection="1">
      <alignment horizontal="center"/>
      <protection locked="0"/>
    </xf>
    <xf numFmtId="15" fontId="6" fillId="7" borderId="2" xfId="0" applyNumberFormat="1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Alignment="1" applyProtection="1">
      <alignment horizontal="left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3" fillId="11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" fontId="24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3" fillId="10" borderId="55" xfId="0" applyNumberFormat="1" applyFont="1" applyFill="1" applyBorder="1" applyAlignment="1" applyProtection="1">
      <alignment horizontal="center"/>
      <protection locked="0"/>
    </xf>
    <xf numFmtId="14" fontId="53" fillId="10" borderId="69" xfId="0" applyNumberFormat="1" applyFont="1" applyFill="1" applyBorder="1" applyAlignment="1" applyProtection="1">
      <alignment horizontal="center"/>
      <protection locked="0"/>
    </xf>
    <xf numFmtId="168" fontId="53" fillId="11" borderId="55" xfId="0" applyNumberFormat="1" applyFont="1" applyFill="1" applyBorder="1" applyAlignment="1" applyProtection="1">
      <alignment horizontal="center"/>
      <protection locked="0"/>
    </xf>
    <xf numFmtId="14" fontId="53" fillId="13" borderId="66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5" fontId="54" fillId="0" borderId="2" xfId="0" applyNumberFormat="1" applyFont="1" applyBorder="1" applyAlignment="1" applyProtection="1">
      <alignment horizontal="center"/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/>
      <protection locked="0"/>
    </xf>
    <xf numFmtId="14" fontId="53" fillId="11" borderId="69" xfId="0" applyNumberFormat="1" applyFont="1" applyFill="1" applyBorder="1" applyAlignment="1" applyProtection="1">
      <alignment horizontal="center"/>
      <protection locked="0"/>
    </xf>
    <xf numFmtId="14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1" xfId="0" applyNumberFormat="1" applyFont="1" applyFill="1" applyBorder="1" applyAlignment="1" applyProtection="1">
      <alignment horizontal="center"/>
      <protection locked="0"/>
    </xf>
    <xf numFmtId="168" fontId="53" fillId="11" borderId="53" xfId="0" applyNumberFormat="1" applyFont="1" applyFill="1" applyBorder="1" applyAlignment="1" applyProtection="1">
      <alignment horizontal="center"/>
      <protection locked="0"/>
    </xf>
    <xf numFmtId="168" fontId="53" fillId="11" borderId="52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3" fillId="13" borderId="59" xfId="0" applyNumberFormat="1" applyFont="1" applyFill="1" applyBorder="1" applyAlignment="1" applyProtection="1">
      <alignment horizontal="center"/>
      <protection locked="0"/>
    </xf>
    <xf numFmtId="14" fontId="53" fillId="11" borderId="66" xfId="0" applyNumberFormat="1" applyFont="1" applyFill="1" applyBorder="1" applyAlignment="1" applyProtection="1">
      <alignment horizontal="center"/>
      <protection locked="0"/>
    </xf>
    <xf numFmtId="14" fontId="53" fillId="11" borderId="53" xfId="0" applyNumberFormat="1" applyFont="1" applyFill="1" applyBorder="1" applyAlignment="1" applyProtection="1">
      <alignment horizontal="center"/>
      <protection locked="0"/>
    </xf>
    <xf numFmtId="168" fontId="53" fillId="10" borderId="55" xfId="0" applyNumberFormat="1" applyFont="1" applyFill="1" applyBorder="1" applyAlignment="1" applyProtection="1">
      <alignment horizontal="center"/>
      <protection locked="0"/>
    </xf>
    <xf numFmtId="14" fontId="53" fillId="11" borderId="63" xfId="0" applyNumberFormat="1" applyFont="1" applyFill="1" applyBorder="1" applyAlignment="1" applyProtection="1">
      <alignment horizontal="center"/>
      <protection locked="0"/>
    </xf>
    <xf numFmtId="0" fontId="6" fillId="6" borderId="0" xfId="0" applyFont="1" applyFill="1" applyProtection="1">
      <protection locked="0"/>
    </xf>
    <xf numFmtId="165" fontId="7" fillId="6" borderId="0" xfId="0" applyNumberFormat="1" applyFont="1" applyFill="1" applyProtection="1">
      <protection locked="0"/>
    </xf>
    <xf numFmtId="167" fontId="6" fillId="6" borderId="0" xfId="0" applyNumberFormat="1" applyFont="1" applyFill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15" fontId="25" fillId="0" borderId="2" xfId="0" applyNumberFormat="1" applyFont="1" applyBorder="1" applyAlignment="1">
      <alignment horizontal="center" wrapText="1"/>
    </xf>
    <xf numFmtId="0" fontId="21" fillId="0" borderId="2" xfId="0" applyFont="1" applyBorder="1" applyAlignment="1">
      <alignment horizontal="center" wrapText="1"/>
    </xf>
    <xf numFmtId="14" fontId="53" fillId="13" borderId="69" xfId="0" applyNumberFormat="1" applyFont="1" applyFill="1" applyBorder="1" applyAlignment="1" applyProtection="1">
      <alignment horizontal="center"/>
      <protection locked="0"/>
    </xf>
    <xf numFmtId="0" fontId="6" fillId="0" borderId="2" xfId="0" applyFont="1" applyBorder="1"/>
    <xf numFmtId="0" fontId="6" fillId="0" borderId="0" xfId="0" applyFont="1"/>
    <xf numFmtId="167" fontId="6" fillId="0" borderId="0" xfId="0" applyNumberFormat="1" applyFont="1" applyAlignment="1">
      <alignment horizontal="center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81" xfId="0" applyFont="1" applyFill="1" applyBorder="1" applyAlignment="1">
      <alignment horizontal="center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IconSA</a:t>
            </a:r>
            <a:r>
              <a:rPr lang="en-ZA" baseline="0"/>
              <a:t> KZN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Plan'!$T$8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7FA-452D-BE3E-B60B0E9D562B}"/>
              </c:ext>
            </c:extLst>
          </c:dPt>
          <c:dPt>
            <c:idx val="2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7FA-452D-BE3E-B60B0E9D562B}"/>
              </c:ext>
            </c:extLst>
          </c:dPt>
          <c:dPt>
            <c:idx val="3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7FA-452D-BE3E-B60B0E9D562B}"/>
              </c:ext>
            </c:extLst>
          </c:dPt>
          <c:dPt>
            <c:idx val="4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7FA-452D-BE3E-B60B0E9D562B}"/>
              </c:ext>
            </c:extLst>
          </c:dPt>
          <c:dPt>
            <c:idx val="5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7FA-452D-BE3E-B60B0E9D562B}"/>
              </c:ext>
            </c:extLst>
          </c:dPt>
          <c:dPt>
            <c:idx val="6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7FA-452D-BE3E-B60B0E9D562B}"/>
              </c:ext>
            </c:extLst>
          </c:dPt>
          <c:dPt>
            <c:idx val="7"/>
            <c:invertIfNegative val="0"/>
            <c:bubble3D val="0"/>
            <c:spPr>
              <a:noFill/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07FA-452D-BE3E-B60B0E9D562B}"/>
              </c:ext>
            </c:extLst>
          </c:dPt>
          <c:errBars>
            <c:errBarType val="plus"/>
            <c:errValType val="cust"/>
            <c:noEndCap val="1"/>
            <c:plus>
              <c:numRef>
                <c:f>'Project Plan'!$U$9:$U$16</c:f>
                <c:numCache>
                  <c:formatCode>General</c:formatCode>
                  <c:ptCount val="8"/>
                  <c:pt idx="0">
                    <c:v>24</c:v>
                  </c:pt>
                  <c:pt idx="1">
                    <c:v>1</c:v>
                  </c:pt>
                  <c:pt idx="2">
                    <c:v>36</c:v>
                  </c:pt>
                  <c:pt idx="3">
                    <c:v>32</c:v>
                  </c:pt>
                  <c:pt idx="4">
                    <c:v>15</c:v>
                  </c:pt>
                  <c:pt idx="5">
                    <c:v>4</c:v>
                  </c:pt>
                  <c:pt idx="6">
                    <c:v>1</c:v>
                  </c:pt>
                  <c:pt idx="7">
                    <c:v>106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397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Plan'!$S$9:$S$16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Plan'!$T$9:$T$16</c:f>
              <c:numCache>
                <c:formatCode>d\-mmm\-yy</c:formatCode>
                <c:ptCount val="8"/>
                <c:pt idx="0">
                  <c:v>45873</c:v>
                </c:pt>
                <c:pt idx="1">
                  <c:v>45910</c:v>
                </c:pt>
                <c:pt idx="2">
                  <c:v>45904</c:v>
                </c:pt>
                <c:pt idx="3">
                  <c:v>45904</c:v>
                </c:pt>
                <c:pt idx="4">
                  <c:v>45918</c:v>
                </c:pt>
                <c:pt idx="5">
                  <c:v>45940</c:v>
                </c:pt>
                <c:pt idx="6">
                  <c:v>45943</c:v>
                </c:pt>
                <c:pt idx="7">
                  <c:v>45944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549844575"/>
        <c:axId val="549839295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Plan'!$X$10:$Y$10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Plan'!$X$11:$Y$11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C7D-4FEE-BA40-C074296A3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7442239"/>
        <c:axId val="2037438879"/>
      </c:scatterChart>
      <c:catAx>
        <c:axId val="54984457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39295"/>
        <c:crosses val="autoZero"/>
        <c:auto val="1"/>
        <c:lblAlgn val="ctr"/>
        <c:lblOffset val="100"/>
        <c:noMultiLvlLbl val="0"/>
      </c:catAx>
      <c:valAx>
        <c:axId val="549839295"/>
        <c:scaling>
          <c:orientation val="minMax"/>
          <c:min val="45872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844575"/>
        <c:crosses val="autoZero"/>
        <c:crossBetween val="between"/>
        <c:majorUnit val="7"/>
      </c:valAx>
      <c:valAx>
        <c:axId val="2037438879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037442239"/>
        <c:crosses val="autoZero"/>
        <c:crossBetween val="midCat"/>
      </c:valAx>
      <c:valAx>
        <c:axId val="203744223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0374388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975779.2</c:v>
                </c:pt>
                <c:pt idx="40">
                  <c:v>1027136</c:v>
                </c:pt>
                <c:pt idx="41">
                  <c:v>1027136</c:v>
                </c:pt>
                <c:pt idx="42">
                  <c:v>1027136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27337.27</c:v>
                </c:pt>
                <c:pt idx="32">
                  <c:v>81567.27</c:v>
                </c:pt>
                <c:pt idx="33">
                  <c:v>208216.07</c:v>
                </c:pt>
                <c:pt idx="34">
                  <c:v>208216.07</c:v>
                </c:pt>
                <c:pt idx="35">
                  <c:v>218288.02000000002</c:v>
                </c:pt>
                <c:pt idx="36">
                  <c:v>280088.62</c:v>
                </c:pt>
                <c:pt idx="37">
                  <c:v>280088.62</c:v>
                </c:pt>
                <c:pt idx="38">
                  <c:v>280088.62</c:v>
                </c:pt>
                <c:pt idx="39">
                  <c:v>817052.62</c:v>
                </c:pt>
                <c:pt idx="40">
                  <c:v>817052.62</c:v>
                </c:pt>
                <c:pt idx="41">
                  <c:v>817052.62</c:v>
                </c:pt>
                <c:pt idx="42">
                  <c:v>817052.62</c:v>
                </c:pt>
                <c:pt idx="43">
                  <c:v>817052.62</c:v>
                </c:pt>
                <c:pt idx="44">
                  <c:v>817052.62</c:v>
                </c:pt>
                <c:pt idx="45">
                  <c:v>817052.62</c:v>
                </c:pt>
                <c:pt idx="46">
                  <c:v>817052.62</c:v>
                </c:pt>
                <c:pt idx="47">
                  <c:v>817052.62</c:v>
                </c:pt>
                <c:pt idx="48">
                  <c:v>817052.62</c:v>
                </c:pt>
                <c:pt idx="49">
                  <c:v>817052.62</c:v>
                </c:pt>
                <c:pt idx="50">
                  <c:v>817052.62</c:v>
                </c:pt>
                <c:pt idx="51">
                  <c:v>817052.62</c:v>
                </c:pt>
                <c:pt idx="52">
                  <c:v>817052.62</c:v>
                </c:pt>
                <c:pt idx="53">
                  <c:v>817052.62</c:v>
                </c:pt>
                <c:pt idx="54">
                  <c:v>817052.62</c:v>
                </c:pt>
                <c:pt idx="55">
                  <c:v>817052.62</c:v>
                </c:pt>
                <c:pt idx="56">
                  <c:v>817052.62</c:v>
                </c:pt>
                <c:pt idx="57">
                  <c:v>817052.62</c:v>
                </c:pt>
                <c:pt idx="58">
                  <c:v>817052.62</c:v>
                </c:pt>
                <c:pt idx="59">
                  <c:v>817052.62</c:v>
                </c:pt>
                <c:pt idx="60">
                  <c:v>817052.62</c:v>
                </c:pt>
                <c:pt idx="61">
                  <c:v>817052.62</c:v>
                </c:pt>
                <c:pt idx="62">
                  <c:v>817052.62</c:v>
                </c:pt>
                <c:pt idx="63">
                  <c:v>817052.62</c:v>
                </c:pt>
                <c:pt idx="64">
                  <c:v>817052.62</c:v>
                </c:pt>
                <c:pt idx="65">
                  <c:v>817052.62</c:v>
                </c:pt>
                <c:pt idx="66">
                  <c:v>817052.62</c:v>
                </c:pt>
                <c:pt idx="67">
                  <c:v>817052.62</c:v>
                </c:pt>
                <c:pt idx="68">
                  <c:v>817052.62</c:v>
                </c:pt>
                <c:pt idx="69">
                  <c:v>817052.62</c:v>
                </c:pt>
                <c:pt idx="70">
                  <c:v>817052.62</c:v>
                </c:pt>
                <c:pt idx="71">
                  <c:v>817052.62</c:v>
                </c:pt>
                <c:pt idx="72">
                  <c:v>817052.62</c:v>
                </c:pt>
                <c:pt idx="73">
                  <c:v>817052.62</c:v>
                </c:pt>
                <c:pt idx="74">
                  <c:v>817052.62</c:v>
                </c:pt>
                <c:pt idx="75">
                  <c:v>817052.62</c:v>
                </c:pt>
                <c:pt idx="76">
                  <c:v>817052.62</c:v>
                </c:pt>
                <c:pt idx="77">
                  <c:v>817052.62</c:v>
                </c:pt>
                <c:pt idx="78">
                  <c:v>817052.62</c:v>
                </c:pt>
                <c:pt idx="79">
                  <c:v>817052.62</c:v>
                </c:pt>
                <c:pt idx="80">
                  <c:v>817052.62</c:v>
                </c:pt>
                <c:pt idx="81">
                  <c:v>817052.62</c:v>
                </c:pt>
                <c:pt idx="82">
                  <c:v>817052.62</c:v>
                </c:pt>
                <c:pt idx="83">
                  <c:v>817052.62</c:v>
                </c:pt>
                <c:pt idx="84">
                  <c:v>817052.62</c:v>
                </c:pt>
                <c:pt idx="85">
                  <c:v>817052.62</c:v>
                </c:pt>
                <c:pt idx="86">
                  <c:v>817052.62</c:v>
                </c:pt>
                <c:pt idx="87">
                  <c:v>817052.62</c:v>
                </c:pt>
                <c:pt idx="88">
                  <c:v>817052.62</c:v>
                </c:pt>
                <c:pt idx="89">
                  <c:v>817052.62</c:v>
                </c:pt>
                <c:pt idx="90">
                  <c:v>817052.62</c:v>
                </c:pt>
                <c:pt idx="91">
                  <c:v>817052.62</c:v>
                </c:pt>
                <c:pt idx="92">
                  <c:v>817052.62</c:v>
                </c:pt>
                <c:pt idx="93">
                  <c:v>817052.62</c:v>
                </c:pt>
                <c:pt idx="94">
                  <c:v>817052.62</c:v>
                </c:pt>
                <c:pt idx="95">
                  <c:v>817052.62</c:v>
                </c:pt>
                <c:pt idx="96">
                  <c:v>817052.62</c:v>
                </c:pt>
                <c:pt idx="97">
                  <c:v>817052.62</c:v>
                </c:pt>
                <c:pt idx="98">
                  <c:v>817052.62</c:v>
                </c:pt>
                <c:pt idx="99">
                  <c:v>817052.62</c:v>
                </c:pt>
                <c:pt idx="100">
                  <c:v>817052.62</c:v>
                </c:pt>
                <c:pt idx="101">
                  <c:v>817052.62</c:v>
                </c:pt>
                <c:pt idx="102">
                  <c:v>817052.62</c:v>
                </c:pt>
                <c:pt idx="103">
                  <c:v>817052.62</c:v>
                </c:pt>
                <c:pt idx="104">
                  <c:v>817052.62</c:v>
                </c:pt>
                <c:pt idx="105">
                  <c:v>817052.62</c:v>
                </c:pt>
                <c:pt idx="106">
                  <c:v>817052.62</c:v>
                </c:pt>
                <c:pt idx="107">
                  <c:v>817052.62</c:v>
                </c:pt>
                <c:pt idx="108">
                  <c:v>817052.62</c:v>
                </c:pt>
                <c:pt idx="109">
                  <c:v>817052.62</c:v>
                </c:pt>
                <c:pt idx="110">
                  <c:v>817052.62</c:v>
                </c:pt>
                <c:pt idx="111">
                  <c:v>817052.62</c:v>
                </c:pt>
                <c:pt idx="112">
                  <c:v>817052.62</c:v>
                </c:pt>
                <c:pt idx="113">
                  <c:v>817052.62</c:v>
                </c:pt>
                <c:pt idx="114">
                  <c:v>817052.62</c:v>
                </c:pt>
                <c:pt idx="115">
                  <c:v>817052.62</c:v>
                </c:pt>
                <c:pt idx="116">
                  <c:v>817052.62</c:v>
                </c:pt>
                <c:pt idx="117">
                  <c:v>817052.62</c:v>
                </c:pt>
                <c:pt idx="118">
                  <c:v>817052.62</c:v>
                </c:pt>
                <c:pt idx="119">
                  <c:v>817052.62</c:v>
                </c:pt>
                <c:pt idx="120">
                  <c:v>817052.62</c:v>
                </c:pt>
                <c:pt idx="121">
                  <c:v>817052.62</c:v>
                </c:pt>
                <c:pt idx="122">
                  <c:v>817052.62</c:v>
                </c:pt>
                <c:pt idx="123">
                  <c:v>817052.62</c:v>
                </c:pt>
                <c:pt idx="124">
                  <c:v>817052.62</c:v>
                </c:pt>
                <c:pt idx="125">
                  <c:v>817052.62</c:v>
                </c:pt>
                <c:pt idx="126">
                  <c:v>817052.62</c:v>
                </c:pt>
                <c:pt idx="127">
                  <c:v>817052.62</c:v>
                </c:pt>
                <c:pt idx="128">
                  <c:v>817052.62</c:v>
                </c:pt>
                <c:pt idx="129">
                  <c:v>817052.62</c:v>
                </c:pt>
                <c:pt idx="130">
                  <c:v>817052.62</c:v>
                </c:pt>
                <c:pt idx="131">
                  <c:v>817052.62</c:v>
                </c:pt>
                <c:pt idx="132">
                  <c:v>817052.62</c:v>
                </c:pt>
                <c:pt idx="133">
                  <c:v>817052.62</c:v>
                </c:pt>
                <c:pt idx="134">
                  <c:v>817052.62</c:v>
                </c:pt>
                <c:pt idx="135">
                  <c:v>817052.62</c:v>
                </c:pt>
                <c:pt idx="136">
                  <c:v>817052.62</c:v>
                </c:pt>
                <c:pt idx="137">
                  <c:v>817052.62</c:v>
                </c:pt>
                <c:pt idx="138">
                  <c:v>817052.62</c:v>
                </c:pt>
                <c:pt idx="139">
                  <c:v>817052.62</c:v>
                </c:pt>
                <c:pt idx="140">
                  <c:v>817052.62</c:v>
                </c:pt>
                <c:pt idx="141">
                  <c:v>817052.62</c:v>
                </c:pt>
                <c:pt idx="142">
                  <c:v>817052.62</c:v>
                </c:pt>
                <c:pt idx="143">
                  <c:v>817052.62</c:v>
                </c:pt>
                <c:pt idx="144">
                  <c:v>817052.62</c:v>
                </c:pt>
                <c:pt idx="145">
                  <c:v>817052.62</c:v>
                </c:pt>
                <c:pt idx="146">
                  <c:v>817052.62</c:v>
                </c:pt>
                <c:pt idx="147">
                  <c:v>817052.62</c:v>
                </c:pt>
                <c:pt idx="148">
                  <c:v>817052.62</c:v>
                </c:pt>
                <c:pt idx="149">
                  <c:v>817052.62</c:v>
                </c:pt>
                <c:pt idx="150">
                  <c:v>817052.62</c:v>
                </c:pt>
                <c:pt idx="151">
                  <c:v>817052.62</c:v>
                </c:pt>
                <c:pt idx="152">
                  <c:v>817052.62</c:v>
                </c:pt>
                <c:pt idx="153">
                  <c:v>817052.62</c:v>
                </c:pt>
                <c:pt idx="154">
                  <c:v>817052.62</c:v>
                </c:pt>
                <c:pt idx="155">
                  <c:v>817052.62</c:v>
                </c:pt>
                <c:pt idx="156">
                  <c:v>817052.62</c:v>
                </c:pt>
                <c:pt idx="157">
                  <c:v>817052.62</c:v>
                </c:pt>
                <c:pt idx="158">
                  <c:v>817052.62</c:v>
                </c:pt>
                <c:pt idx="159">
                  <c:v>817052.62</c:v>
                </c:pt>
                <c:pt idx="160">
                  <c:v>817052.62</c:v>
                </c:pt>
                <c:pt idx="161">
                  <c:v>817052.62</c:v>
                </c:pt>
                <c:pt idx="162">
                  <c:v>817052.62</c:v>
                </c:pt>
                <c:pt idx="163">
                  <c:v>817052.62</c:v>
                </c:pt>
                <c:pt idx="164">
                  <c:v>817052.62</c:v>
                </c:pt>
                <c:pt idx="165">
                  <c:v>817052.62</c:v>
                </c:pt>
                <c:pt idx="166">
                  <c:v>817052.62</c:v>
                </c:pt>
                <c:pt idx="167">
                  <c:v>817052.62</c:v>
                </c:pt>
                <c:pt idx="168">
                  <c:v>817052.62</c:v>
                </c:pt>
                <c:pt idx="169">
                  <c:v>817052.62</c:v>
                </c:pt>
                <c:pt idx="170">
                  <c:v>817052.62</c:v>
                </c:pt>
                <c:pt idx="171">
                  <c:v>817052.62</c:v>
                </c:pt>
                <c:pt idx="172">
                  <c:v>817052.62</c:v>
                </c:pt>
                <c:pt idx="173">
                  <c:v>817052.62</c:v>
                </c:pt>
                <c:pt idx="174">
                  <c:v>817052.62</c:v>
                </c:pt>
                <c:pt idx="175">
                  <c:v>817052.62</c:v>
                </c:pt>
                <c:pt idx="176">
                  <c:v>817052.62</c:v>
                </c:pt>
                <c:pt idx="177">
                  <c:v>817052.62</c:v>
                </c:pt>
                <c:pt idx="178">
                  <c:v>817052.62</c:v>
                </c:pt>
                <c:pt idx="179">
                  <c:v>817052.62</c:v>
                </c:pt>
                <c:pt idx="180">
                  <c:v>817052.62</c:v>
                </c:pt>
                <c:pt idx="181">
                  <c:v>817052.62</c:v>
                </c:pt>
                <c:pt idx="182">
                  <c:v>817052.62</c:v>
                </c:pt>
                <c:pt idx="183">
                  <c:v>817052.62</c:v>
                </c:pt>
                <c:pt idx="184">
                  <c:v>817052.62</c:v>
                </c:pt>
                <c:pt idx="185">
                  <c:v>817052.62</c:v>
                </c:pt>
                <c:pt idx="186">
                  <c:v>817052.62</c:v>
                </c:pt>
                <c:pt idx="187">
                  <c:v>817052.62</c:v>
                </c:pt>
                <c:pt idx="188">
                  <c:v>817052.62</c:v>
                </c:pt>
                <c:pt idx="189">
                  <c:v>817052.62</c:v>
                </c:pt>
                <c:pt idx="190">
                  <c:v>817052.62</c:v>
                </c:pt>
                <c:pt idx="191">
                  <c:v>817052.62</c:v>
                </c:pt>
                <c:pt idx="192">
                  <c:v>817052.62</c:v>
                </c:pt>
                <c:pt idx="193">
                  <c:v>817052.62</c:v>
                </c:pt>
                <c:pt idx="194">
                  <c:v>817052.62</c:v>
                </c:pt>
                <c:pt idx="195">
                  <c:v>817052.62</c:v>
                </c:pt>
                <c:pt idx="196">
                  <c:v>817052.62</c:v>
                </c:pt>
                <c:pt idx="197">
                  <c:v>817052.62</c:v>
                </c:pt>
                <c:pt idx="198">
                  <c:v>817052.62</c:v>
                </c:pt>
                <c:pt idx="199">
                  <c:v>817052.62</c:v>
                </c:pt>
                <c:pt idx="200">
                  <c:v>817052.62</c:v>
                </c:pt>
                <c:pt idx="201">
                  <c:v>817052.62</c:v>
                </c:pt>
                <c:pt idx="202">
                  <c:v>817052.62</c:v>
                </c:pt>
                <c:pt idx="203">
                  <c:v>817052.62</c:v>
                </c:pt>
                <c:pt idx="204">
                  <c:v>817052.62</c:v>
                </c:pt>
                <c:pt idx="205">
                  <c:v>817052.62</c:v>
                </c:pt>
                <c:pt idx="206">
                  <c:v>817052.62</c:v>
                </c:pt>
                <c:pt idx="207">
                  <c:v>817052.62</c:v>
                </c:pt>
                <c:pt idx="208">
                  <c:v>817052.62</c:v>
                </c:pt>
                <c:pt idx="209">
                  <c:v>817052.62</c:v>
                </c:pt>
                <c:pt idx="210">
                  <c:v>817052.62</c:v>
                </c:pt>
                <c:pt idx="211">
                  <c:v>817052.62</c:v>
                </c:pt>
                <c:pt idx="212">
                  <c:v>817052.62</c:v>
                </c:pt>
                <c:pt idx="213">
                  <c:v>817052.62</c:v>
                </c:pt>
                <c:pt idx="214">
                  <c:v>817052.62</c:v>
                </c:pt>
                <c:pt idx="215">
                  <c:v>817052.62</c:v>
                </c:pt>
                <c:pt idx="216">
                  <c:v>817052.62</c:v>
                </c:pt>
                <c:pt idx="217">
                  <c:v>817052.62</c:v>
                </c:pt>
                <c:pt idx="218">
                  <c:v>817052.62</c:v>
                </c:pt>
                <c:pt idx="219">
                  <c:v>817052.62</c:v>
                </c:pt>
                <c:pt idx="220">
                  <c:v>817052.62</c:v>
                </c:pt>
                <c:pt idx="221">
                  <c:v>817052.62</c:v>
                </c:pt>
                <c:pt idx="222">
                  <c:v>817052.62</c:v>
                </c:pt>
                <c:pt idx="223">
                  <c:v>817052.62</c:v>
                </c:pt>
                <c:pt idx="224">
                  <c:v>817052.62</c:v>
                </c:pt>
                <c:pt idx="225">
                  <c:v>817052.62</c:v>
                </c:pt>
                <c:pt idx="226">
                  <c:v>817052.62</c:v>
                </c:pt>
                <c:pt idx="227">
                  <c:v>817052.62</c:v>
                </c:pt>
                <c:pt idx="228">
                  <c:v>817052.62</c:v>
                </c:pt>
                <c:pt idx="229">
                  <c:v>817052.62</c:v>
                </c:pt>
                <c:pt idx="230">
                  <c:v>817052.62</c:v>
                </c:pt>
                <c:pt idx="231">
                  <c:v>817052.62</c:v>
                </c:pt>
                <c:pt idx="232">
                  <c:v>817052.62</c:v>
                </c:pt>
                <c:pt idx="233">
                  <c:v>817052.62</c:v>
                </c:pt>
                <c:pt idx="234">
                  <c:v>817052.62</c:v>
                </c:pt>
                <c:pt idx="235">
                  <c:v>817052.62</c:v>
                </c:pt>
                <c:pt idx="236">
                  <c:v>817052.62</c:v>
                </c:pt>
                <c:pt idx="237">
                  <c:v>817052.62</c:v>
                </c:pt>
                <c:pt idx="238">
                  <c:v>817052.62</c:v>
                </c:pt>
                <c:pt idx="239">
                  <c:v>817052.62</c:v>
                </c:pt>
                <c:pt idx="240">
                  <c:v>817052.62</c:v>
                </c:pt>
                <c:pt idx="241">
                  <c:v>817052.62</c:v>
                </c:pt>
                <c:pt idx="242">
                  <c:v>817052.62</c:v>
                </c:pt>
                <c:pt idx="243">
                  <c:v>817052.62</c:v>
                </c:pt>
                <c:pt idx="244">
                  <c:v>817052.62</c:v>
                </c:pt>
                <c:pt idx="245">
                  <c:v>817052.62</c:v>
                </c:pt>
                <c:pt idx="246">
                  <c:v>817052.62</c:v>
                </c:pt>
                <c:pt idx="247">
                  <c:v>817052.62</c:v>
                </c:pt>
                <c:pt idx="248">
                  <c:v>817052.62</c:v>
                </c:pt>
                <c:pt idx="249">
                  <c:v>817052.62</c:v>
                </c:pt>
                <c:pt idx="250">
                  <c:v>817052.62</c:v>
                </c:pt>
                <c:pt idx="251">
                  <c:v>817052.62</c:v>
                </c:pt>
                <c:pt idx="252">
                  <c:v>817052.62</c:v>
                </c:pt>
                <c:pt idx="253">
                  <c:v>817052.62</c:v>
                </c:pt>
                <c:pt idx="254">
                  <c:v>817052.62</c:v>
                </c:pt>
                <c:pt idx="255">
                  <c:v>817052.62</c:v>
                </c:pt>
                <c:pt idx="256">
                  <c:v>817052.62</c:v>
                </c:pt>
                <c:pt idx="257">
                  <c:v>817052.62</c:v>
                </c:pt>
                <c:pt idx="258">
                  <c:v>817052.62</c:v>
                </c:pt>
                <c:pt idx="259">
                  <c:v>817052.62</c:v>
                </c:pt>
                <c:pt idx="260">
                  <c:v>817052.62</c:v>
                </c:pt>
                <c:pt idx="261">
                  <c:v>817052.62</c:v>
                </c:pt>
                <c:pt idx="262">
                  <c:v>817052.62</c:v>
                </c:pt>
                <c:pt idx="263">
                  <c:v>817052.62</c:v>
                </c:pt>
                <c:pt idx="264">
                  <c:v>817052.62</c:v>
                </c:pt>
                <c:pt idx="265">
                  <c:v>817052.62</c:v>
                </c:pt>
                <c:pt idx="266">
                  <c:v>817052.62</c:v>
                </c:pt>
                <c:pt idx="267">
                  <c:v>817052.62</c:v>
                </c:pt>
                <c:pt idx="268">
                  <c:v>817052.62</c:v>
                </c:pt>
                <c:pt idx="269">
                  <c:v>817052.62</c:v>
                </c:pt>
                <c:pt idx="270">
                  <c:v>817052.62</c:v>
                </c:pt>
                <c:pt idx="271">
                  <c:v>817052.62</c:v>
                </c:pt>
                <c:pt idx="272">
                  <c:v>817052.62</c:v>
                </c:pt>
                <c:pt idx="273">
                  <c:v>817052.62</c:v>
                </c:pt>
                <c:pt idx="274">
                  <c:v>817052.62</c:v>
                </c:pt>
                <c:pt idx="275">
                  <c:v>817052.62</c:v>
                </c:pt>
                <c:pt idx="276">
                  <c:v>817052.62</c:v>
                </c:pt>
                <c:pt idx="277">
                  <c:v>817052.62</c:v>
                </c:pt>
                <c:pt idx="278">
                  <c:v>817052.62</c:v>
                </c:pt>
                <c:pt idx="279">
                  <c:v>817052.62</c:v>
                </c:pt>
                <c:pt idx="280">
                  <c:v>817052.62</c:v>
                </c:pt>
                <c:pt idx="281">
                  <c:v>817052.62</c:v>
                </c:pt>
                <c:pt idx="282">
                  <c:v>817052.62</c:v>
                </c:pt>
                <c:pt idx="283">
                  <c:v>817052.62</c:v>
                </c:pt>
                <c:pt idx="284">
                  <c:v>817052.62</c:v>
                </c:pt>
                <c:pt idx="285">
                  <c:v>817052.62</c:v>
                </c:pt>
                <c:pt idx="286">
                  <c:v>817052.62</c:v>
                </c:pt>
                <c:pt idx="287">
                  <c:v>817052.62</c:v>
                </c:pt>
                <c:pt idx="288">
                  <c:v>817052.62</c:v>
                </c:pt>
                <c:pt idx="289">
                  <c:v>817052.62</c:v>
                </c:pt>
                <c:pt idx="290">
                  <c:v>817052.62</c:v>
                </c:pt>
                <c:pt idx="291">
                  <c:v>817052.62</c:v>
                </c:pt>
                <c:pt idx="292">
                  <c:v>817052.62</c:v>
                </c:pt>
                <c:pt idx="293">
                  <c:v>817052.62</c:v>
                </c:pt>
                <c:pt idx="294">
                  <c:v>817052.62</c:v>
                </c:pt>
                <c:pt idx="295">
                  <c:v>817052.62</c:v>
                </c:pt>
                <c:pt idx="296">
                  <c:v>817052.62</c:v>
                </c:pt>
                <c:pt idx="297">
                  <c:v>817052.62</c:v>
                </c:pt>
                <c:pt idx="298">
                  <c:v>817052.62</c:v>
                </c:pt>
                <c:pt idx="299">
                  <c:v>817052.62</c:v>
                </c:pt>
                <c:pt idx="300">
                  <c:v>817052.62</c:v>
                </c:pt>
                <c:pt idx="301">
                  <c:v>817052.62</c:v>
                </c:pt>
                <c:pt idx="302">
                  <c:v>817052.62</c:v>
                </c:pt>
                <c:pt idx="303">
                  <c:v>817052.62</c:v>
                </c:pt>
                <c:pt idx="304">
                  <c:v>817052.62</c:v>
                </c:pt>
                <c:pt idx="305">
                  <c:v>817052.62</c:v>
                </c:pt>
                <c:pt idx="306">
                  <c:v>817052.62</c:v>
                </c:pt>
                <c:pt idx="307">
                  <c:v>817052.62</c:v>
                </c:pt>
                <c:pt idx="308">
                  <c:v>817052.62</c:v>
                </c:pt>
                <c:pt idx="309">
                  <c:v>817052.62</c:v>
                </c:pt>
                <c:pt idx="310">
                  <c:v>817052.62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513568</c:v>
                </c:pt>
                <c:pt idx="31">
                  <c:v>486230.73</c:v>
                </c:pt>
                <c:pt idx="32">
                  <c:v>791498.33</c:v>
                </c:pt>
                <c:pt idx="33">
                  <c:v>664849.53</c:v>
                </c:pt>
                <c:pt idx="34">
                  <c:v>664849.53</c:v>
                </c:pt>
                <c:pt idx="35">
                  <c:v>654777.57999999996</c:v>
                </c:pt>
                <c:pt idx="36">
                  <c:v>592976.98</c:v>
                </c:pt>
                <c:pt idx="37">
                  <c:v>592976.98</c:v>
                </c:pt>
                <c:pt idx="38">
                  <c:v>592976.98</c:v>
                </c:pt>
                <c:pt idx="39">
                  <c:v>158726.57999999996</c:v>
                </c:pt>
                <c:pt idx="40">
                  <c:v>210083.38</c:v>
                </c:pt>
                <c:pt idx="41">
                  <c:v>210083.38</c:v>
                </c:pt>
                <c:pt idx="42">
                  <c:v>210083.38</c:v>
                </c:pt>
                <c:pt idx="43">
                  <c:v>210083.38</c:v>
                </c:pt>
                <c:pt idx="44">
                  <c:v>210083.38</c:v>
                </c:pt>
                <c:pt idx="45">
                  <c:v>210083.38</c:v>
                </c:pt>
                <c:pt idx="46">
                  <c:v>210083.38</c:v>
                </c:pt>
                <c:pt idx="47">
                  <c:v>210083.38</c:v>
                </c:pt>
                <c:pt idx="48">
                  <c:v>210083.38</c:v>
                </c:pt>
                <c:pt idx="49">
                  <c:v>210083.38</c:v>
                </c:pt>
                <c:pt idx="50">
                  <c:v>210083.38</c:v>
                </c:pt>
                <c:pt idx="51">
                  <c:v>210083.38</c:v>
                </c:pt>
                <c:pt idx="52">
                  <c:v>210083.38</c:v>
                </c:pt>
                <c:pt idx="53">
                  <c:v>210083.38</c:v>
                </c:pt>
                <c:pt idx="54">
                  <c:v>210083.38</c:v>
                </c:pt>
                <c:pt idx="55">
                  <c:v>210083.38</c:v>
                </c:pt>
                <c:pt idx="56">
                  <c:v>210083.38</c:v>
                </c:pt>
                <c:pt idx="57">
                  <c:v>210083.38</c:v>
                </c:pt>
                <c:pt idx="58">
                  <c:v>210083.38</c:v>
                </c:pt>
                <c:pt idx="59">
                  <c:v>210083.38</c:v>
                </c:pt>
                <c:pt idx="60">
                  <c:v>210083.38</c:v>
                </c:pt>
                <c:pt idx="61">
                  <c:v>210083.38</c:v>
                </c:pt>
                <c:pt idx="62">
                  <c:v>210083.38</c:v>
                </c:pt>
                <c:pt idx="63">
                  <c:v>210083.38</c:v>
                </c:pt>
                <c:pt idx="64">
                  <c:v>210083.38</c:v>
                </c:pt>
                <c:pt idx="65">
                  <c:v>210083.38</c:v>
                </c:pt>
                <c:pt idx="66">
                  <c:v>210083.38</c:v>
                </c:pt>
                <c:pt idx="67">
                  <c:v>210083.38</c:v>
                </c:pt>
                <c:pt idx="68">
                  <c:v>210083.38</c:v>
                </c:pt>
                <c:pt idx="69">
                  <c:v>210083.38</c:v>
                </c:pt>
                <c:pt idx="70">
                  <c:v>210083.38</c:v>
                </c:pt>
                <c:pt idx="71">
                  <c:v>210083.38</c:v>
                </c:pt>
                <c:pt idx="72">
                  <c:v>210083.38</c:v>
                </c:pt>
                <c:pt idx="73">
                  <c:v>210083.38</c:v>
                </c:pt>
                <c:pt idx="74">
                  <c:v>210083.38</c:v>
                </c:pt>
                <c:pt idx="75">
                  <c:v>210083.38</c:v>
                </c:pt>
                <c:pt idx="76">
                  <c:v>210083.38</c:v>
                </c:pt>
                <c:pt idx="77">
                  <c:v>210083.38</c:v>
                </c:pt>
                <c:pt idx="78">
                  <c:v>210083.38</c:v>
                </c:pt>
                <c:pt idx="79">
                  <c:v>210083.38</c:v>
                </c:pt>
                <c:pt idx="80">
                  <c:v>210083.38</c:v>
                </c:pt>
                <c:pt idx="81">
                  <c:v>210083.38</c:v>
                </c:pt>
                <c:pt idx="82">
                  <c:v>210083.38</c:v>
                </c:pt>
                <c:pt idx="83">
                  <c:v>210083.38</c:v>
                </c:pt>
                <c:pt idx="84">
                  <c:v>210083.38</c:v>
                </c:pt>
                <c:pt idx="85">
                  <c:v>210083.38</c:v>
                </c:pt>
                <c:pt idx="86">
                  <c:v>210083.38</c:v>
                </c:pt>
                <c:pt idx="87">
                  <c:v>210083.38</c:v>
                </c:pt>
                <c:pt idx="88">
                  <c:v>210083.38</c:v>
                </c:pt>
                <c:pt idx="89">
                  <c:v>210083.38</c:v>
                </c:pt>
                <c:pt idx="90">
                  <c:v>210083.38</c:v>
                </c:pt>
                <c:pt idx="91">
                  <c:v>210083.38</c:v>
                </c:pt>
                <c:pt idx="92">
                  <c:v>210083.38</c:v>
                </c:pt>
                <c:pt idx="93">
                  <c:v>210083.38</c:v>
                </c:pt>
                <c:pt idx="94">
                  <c:v>210083.38</c:v>
                </c:pt>
                <c:pt idx="95">
                  <c:v>210083.38</c:v>
                </c:pt>
                <c:pt idx="96">
                  <c:v>210083.38</c:v>
                </c:pt>
                <c:pt idx="97">
                  <c:v>210083.38</c:v>
                </c:pt>
                <c:pt idx="98">
                  <c:v>210083.38</c:v>
                </c:pt>
                <c:pt idx="99">
                  <c:v>210083.38</c:v>
                </c:pt>
                <c:pt idx="100">
                  <c:v>210083.38</c:v>
                </c:pt>
                <c:pt idx="101">
                  <c:v>210083.38</c:v>
                </c:pt>
                <c:pt idx="102">
                  <c:v>210083.38</c:v>
                </c:pt>
                <c:pt idx="103">
                  <c:v>210083.38</c:v>
                </c:pt>
                <c:pt idx="104">
                  <c:v>210083.38</c:v>
                </c:pt>
                <c:pt idx="105">
                  <c:v>210083.38</c:v>
                </c:pt>
                <c:pt idx="106">
                  <c:v>210083.38</c:v>
                </c:pt>
                <c:pt idx="107">
                  <c:v>210083.38</c:v>
                </c:pt>
                <c:pt idx="108">
                  <c:v>210083.38</c:v>
                </c:pt>
                <c:pt idx="109">
                  <c:v>210083.38</c:v>
                </c:pt>
                <c:pt idx="110">
                  <c:v>210083.38</c:v>
                </c:pt>
                <c:pt idx="111">
                  <c:v>210083.38</c:v>
                </c:pt>
                <c:pt idx="112">
                  <c:v>210083.38</c:v>
                </c:pt>
                <c:pt idx="113">
                  <c:v>210083.38</c:v>
                </c:pt>
                <c:pt idx="114">
                  <c:v>210083.38</c:v>
                </c:pt>
                <c:pt idx="115">
                  <c:v>210083.38</c:v>
                </c:pt>
                <c:pt idx="116">
                  <c:v>210083.38</c:v>
                </c:pt>
                <c:pt idx="117">
                  <c:v>210083.38</c:v>
                </c:pt>
                <c:pt idx="118">
                  <c:v>210083.38</c:v>
                </c:pt>
                <c:pt idx="119">
                  <c:v>210083.38</c:v>
                </c:pt>
                <c:pt idx="120">
                  <c:v>210083.38</c:v>
                </c:pt>
                <c:pt idx="121">
                  <c:v>210083.38</c:v>
                </c:pt>
                <c:pt idx="122">
                  <c:v>210083.38</c:v>
                </c:pt>
                <c:pt idx="123">
                  <c:v>210083.38</c:v>
                </c:pt>
                <c:pt idx="124">
                  <c:v>210083.38</c:v>
                </c:pt>
                <c:pt idx="125">
                  <c:v>210083.38</c:v>
                </c:pt>
                <c:pt idx="126">
                  <c:v>210083.38</c:v>
                </c:pt>
                <c:pt idx="127">
                  <c:v>210083.38</c:v>
                </c:pt>
                <c:pt idx="128">
                  <c:v>210083.38</c:v>
                </c:pt>
                <c:pt idx="129">
                  <c:v>210083.38</c:v>
                </c:pt>
                <c:pt idx="130">
                  <c:v>210083.38</c:v>
                </c:pt>
                <c:pt idx="131">
                  <c:v>210083.38</c:v>
                </c:pt>
                <c:pt idx="132">
                  <c:v>210083.38</c:v>
                </c:pt>
                <c:pt idx="133">
                  <c:v>210083.38</c:v>
                </c:pt>
                <c:pt idx="134">
                  <c:v>210083.38</c:v>
                </c:pt>
                <c:pt idx="135">
                  <c:v>210083.38</c:v>
                </c:pt>
                <c:pt idx="136">
                  <c:v>210083.38</c:v>
                </c:pt>
                <c:pt idx="137">
                  <c:v>210083.38</c:v>
                </c:pt>
                <c:pt idx="138">
                  <c:v>210083.38</c:v>
                </c:pt>
                <c:pt idx="139">
                  <c:v>210083.38</c:v>
                </c:pt>
                <c:pt idx="140">
                  <c:v>210083.38</c:v>
                </c:pt>
                <c:pt idx="141">
                  <c:v>210083.38</c:v>
                </c:pt>
                <c:pt idx="142">
                  <c:v>210083.38</c:v>
                </c:pt>
                <c:pt idx="143">
                  <c:v>210083.38</c:v>
                </c:pt>
                <c:pt idx="144">
                  <c:v>210083.38</c:v>
                </c:pt>
                <c:pt idx="145">
                  <c:v>210083.38</c:v>
                </c:pt>
                <c:pt idx="146">
                  <c:v>210083.38</c:v>
                </c:pt>
                <c:pt idx="147">
                  <c:v>210083.38</c:v>
                </c:pt>
                <c:pt idx="148">
                  <c:v>210083.38</c:v>
                </c:pt>
                <c:pt idx="149">
                  <c:v>210083.38</c:v>
                </c:pt>
                <c:pt idx="150">
                  <c:v>210083.38</c:v>
                </c:pt>
                <c:pt idx="151">
                  <c:v>210083.38</c:v>
                </c:pt>
                <c:pt idx="152">
                  <c:v>210083.38</c:v>
                </c:pt>
                <c:pt idx="153">
                  <c:v>210083.38</c:v>
                </c:pt>
                <c:pt idx="154">
                  <c:v>210083.38</c:v>
                </c:pt>
                <c:pt idx="155">
                  <c:v>210083.38</c:v>
                </c:pt>
                <c:pt idx="156">
                  <c:v>210083.38</c:v>
                </c:pt>
                <c:pt idx="157">
                  <c:v>210083.38</c:v>
                </c:pt>
                <c:pt idx="158">
                  <c:v>210083.38</c:v>
                </c:pt>
                <c:pt idx="159">
                  <c:v>210083.38</c:v>
                </c:pt>
                <c:pt idx="160">
                  <c:v>210083.38</c:v>
                </c:pt>
                <c:pt idx="161">
                  <c:v>210083.38</c:v>
                </c:pt>
                <c:pt idx="162">
                  <c:v>210083.38</c:v>
                </c:pt>
                <c:pt idx="163">
                  <c:v>210083.38</c:v>
                </c:pt>
                <c:pt idx="164">
                  <c:v>210083.38</c:v>
                </c:pt>
                <c:pt idx="165">
                  <c:v>210083.38</c:v>
                </c:pt>
                <c:pt idx="166">
                  <c:v>210083.38</c:v>
                </c:pt>
                <c:pt idx="167">
                  <c:v>210083.38</c:v>
                </c:pt>
                <c:pt idx="168">
                  <c:v>210083.38</c:v>
                </c:pt>
                <c:pt idx="169">
                  <c:v>210083.38</c:v>
                </c:pt>
                <c:pt idx="170">
                  <c:v>210083.38</c:v>
                </c:pt>
                <c:pt idx="171">
                  <c:v>210083.38</c:v>
                </c:pt>
                <c:pt idx="172">
                  <c:v>210083.38</c:v>
                </c:pt>
                <c:pt idx="173">
                  <c:v>210083.38</c:v>
                </c:pt>
                <c:pt idx="174">
                  <c:v>210083.38</c:v>
                </c:pt>
                <c:pt idx="175">
                  <c:v>210083.38</c:v>
                </c:pt>
                <c:pt idx="176">
                  <c:v>210083.38</c:v>
                </c:pt>
                <c:pt idx="177">
                  <c:v>210083.38</c:v>
                </c:pt>
                <c:pt idx="178">
                  <c:v>210083.38</c:v>
                </c:pt>
                <c:pt idx="179">
                  <c:v>210083.38</c:v>
                </c:pt>
                <c:pt idx="180">
                  <c:v>210083.38</c:v>
                </c:pt>
                <c:pt idx="181">
                  <c:v>210083.38</c:v>
                </c:pt>
                <c:pt idx="182">
                  <c:v>210083.38</c:v>
                </c:pt>
                <c:pt idx="183">
                  <c:v>210083.38</c:v>
                </c:pt>
                <c:pt idx="184">
                  <c:v>210083.38</c:v>
                </c:pt>
                <c:pt idx="185">
                  <c:v>210083.38</c:v>
                </c:pt>
                <c:pt idx="186">
                  <c:v>210083.38</c:v>
                </c:pt>
                <c:pt idx="187">
                  <c:v>210083.38</c:v>
                </c:pt>
                <c:pt idx="188">
                  <c:v>210083.38</c:v>
                </c:pt>
                <c:pt idx="189">
                  <c:v>210083.38</c:v>
                </c:pt>
                <c:pt idx="190">
                  <c:v>210083.38</c:v>
                </c:pt>
                <c:pt idx="191">
                  <c:v>210083.38</c:v>
                </c:pt>
                <c:pt idx="192">
                  <c:v>210083.38</c:v>
                </c:pt>
                <c:pt idx="193">
                  <c:v>210083.38</c:v>
                </c:pt>
                <c:pt idx="194">
                  <c:v>210083.38</c:v>
                </c:pt>
                <c:pt idx="195">
                  <c:v>210083.38</c:v>
                </c:pt>
                <c:pt idx="196">
                  <c:v>210083.38</c:v>
                </c:pt>
                <c:pt idx="197">
                  <c:v>210083.38</c:v>
                </c:pt>
                <c:pt idx="198">
                  <c:v>210083.38</c:v>
                </c:pt>
                <c:pt idx="199">
                  <c:v>210083.38</c:v>
                </c:pt>
                <c:pt idx="200">
                  <c:v>210083.38</c:v>
                </c:pt>
                <c:pt idx="201">
                  <c:v>210083.38</c:v>
                </c:pt>
                <c:pt idx="202">
                  <c:v>210083.38</c:v>
                </c:pt>
                <c:pt idx="203">
                  <c:v>210083.38</c:v>
                </c:pt>
                <c:pt idx="204">
                  <c:v>210083.38</c:v>
                </c:pt>
                <c:pt idx="205">
                  <c:v>210083.38</c:v>
                </c:pt>
                <c:pt idx="206">
                  <c:v>210083.38</c:v>
                </c:pt>
                <c:pt idx="207">
                  <c:v>210083.38</c:v>
                </c:pt>
                <c:pt idx="208">
                  <c:v>210083.38</c:v>
                </c:pt>
                <c:pt idx="209">
                  <c:v>210083.38</c:v>
                </c:pt>
                <c:pt idx="210">
                  <c:v>210083.38</c:v>
                </c:pt>
                <c:pt idx="211">
                  <c:v>210083.38</c:v>
                </c:pt>
                <c:pt idx="212">
                  <c:v>210083.38</c:v>
                </c:pt>
                <c:pt idx="213">
                  <c:v>210083.38</c:v>
                </c:pt>
                <c:pt idx="214">
                  <c:v>210083.38</c:v>
                </c:pt>
                <c:pt idx="215">
                  <c:v>210083.38</c:v>
                </c:pt>
                <c:pt idx="216">
                  <c:v>210083.38</c:v>
                </c:pt>
                <c:pt idx="217">
                  <c:v>210083.38</c:v>
                </c:pt>
                <c:pt idx="218">
                  <c:v>210083.38</c:v>
                </c:pt>
                <c:pt idx="219">
                  <c:v>210083.38</c:v>
                </c:pt>
                <c:pt idx="220">
                  <c:v>210083.38</c:v>
                </c:pt>
                <c:pt idx="221">
                  <c:v>210083.38</c:v>
                </c:pt>
                <c:pt idx="222">
                  <c:v>210083.38</c:v>
                </c:pt>
                <c:pt idx="223">
                  <c:v>210083.38</c:v>
                </c:pt>
                <c:pt idx="224">
                  <c:v>210083.38</c:v>
                </c:pt>
                <c:pt idx="225">
                  <c:v>210083.38</c:v>
                </c:pt>
                <c:pt idx="226">
                  <c:v>210083.38</c:v>
                </c:pt>
                <c:pt idx="227">
                  <c:v>210083.38</c:v>
                </c:pt>
                <c:pt idx="228">
                  <c:v>210083.38</c:v>
                </c:pt>
                <c:pt idx="229">
                  <c:v>210083.38</c:v>
                </c:pt>
                <c:pt idx="230">
                  <c:v>210083.38</c:v>
                </c:pt>
                <c:pt idx="231">
                  <c:v>210083.38</c:v>
                </c:pt>
                <c:pt idx="232">
                  <c:v>210083.38</c:v>
                </c:pt>
                <c:pt idx="233">
                  <c:v>210083.38</c:v>
                </c:pt>
                <c:pt idx="234">
                  <c:v>210083.38</c:v>
                </c:pt>
                <c:pt idx="235">
                  <c:v>210083.38</c:v>
                </c:pt>
                <c:pt idx="236">
                  <c:v>210083.38</c:v>
                </c:pt>
                <c:pt idx="237">
                  <c:v>210083.38</c:v>
                </c:pt>
                <c:pt idx="238">
                  <c:v>210083.38</c:v>
                </c:pt>
                <c:pt idx="239">
                  <c:v>210083.38</c:v>
                </c:pt>
                <c:pt idx="240">
                  <c:v>210083.38</c:v>
                </c:pt>
                <c:pt idx="241">
                  <c:v>210083.38</c:v>
                </c:pt>
                <c:pt idx="242">
                  <c:v>210083.38</c:v>
                </c:pt>
                <c:pt idx="243">
                  <c:v>210083.38</c:v>
                </c:pt>
                <c:pt idx="244">
                  <c:v>210083.38</c:v>
                </c:pt>
                <c:pt idx="245">
                  <c:v>210083.38</c:v>
                </c:pt>
                <c:pt idx="246">
                  <c:v>210083.38</c:v>
                </c:pt>
                <c:pt idx="247">
                  <c:v>210083.38</c:v>
                </c:pt>
                <c:pt idx="248">
                  <c:v>210083.38</c:v>
                </c:pt>
                <c:pt idx="249">
                  <c:v>210083.38</c:v>
                </c:pt>
                <c:pt idx="250">
                  <c:v>210083.38</c:v>
                </c:pt>
                <c:pt idx="251">
                  <c:v>210083.38</c:v>
                </c:pt>
                <c:pt idx="252">
                  <c:v>210083.38</c:v>
                </c:pt>
                <c:pt idx="253">
                  <c:v>210083.38</c:v>
                </c:pt>
                <c:pt idx="254">
                  <c:v>210083.38</c:v>
                </c:pt>
                <c:pt idx="255">
                  <c:v>210083.38</c:v>
                </c:pt>
                <c:pt idx="256">
                  <c:v>210083.38</c:v>
                </c:pt>
                <c:pt idx="257">
                  <c:v>210083.38</c:v>
                </c:pt>
                <c:pt idx="258">
                  <c:v>210083.38</c:v>
                </c:pt>
                <c:pt idx="259">
                  <c:v>210083.38</c:v>
                </c:pt>
                <c:pt idx="260">
                  <c:v>210083.38</c:v>
                </c:pt>
                <c:pt idx="261">
                  <c:v>210083.38</c:v>
                </c:pt>
                <c:pt idx="262">
                  <c:v>210083.38</c:v>
                </c:pt>
                <c:pt idx="263">
                  <c:v>210083.38</c:v>
                </c:pt>
                <c:pt idx="264">
                  <c:v>210083.38</c:v>
                </c:pt>
                <c:pt idx="265">
                  <c:v>210083.38</c:v>
                </c:pt>
                <c:pt idx="266">
                  <c:v>210083.38</c:v>
                </c:pt>
                <c:pt idx="267">
                  <c:v>210083.38</c:v>
                </c:pt>
                <c:pt idx="268">
                  <c:v>210083.38</c:v>
                </c:pt>
                <c:pt idx="269">
                  <c:v>210083.38</c:v>
                </c:pt>
                <c:pt idx="270">
                  <c:v>210083.38</c:v>
                </c:pt>
                <c:pt idx="271">
                  <c:v>210083.38</c:v>
                </c:pt>
                <c:pt idx="272">
                  <c:v>210083.38</c:v>
                </c:pt>
                <c:pt idx="273">
                  <c:v>210083.38</c:v>
                </c:pt>
                <c:pt idx="274">
                  <c:v>210083.38</c:v>
                </c:pt>
                <c:pt idx="275">
                  <c:v>210083.38</c:v>
                </c:pt>
                <c:pt idx="276">
                  <c:v>210083.38</c:v>
                </c:pt>
                <c:pt idx="277">
                  <c:v>210083.38</c:v>
                </c:pt>
                <c:pt idx="278">
                  <c:v>210083.38</c:v>
                </c:pt>
                <c:pt idx="279">
                  <c:v>210083.38</c:v>
                </c:pt>
                <c:pt idx="280">
                  <c:v>210083.38</c:v>
                </c:pt>
                <c:pt idx="281">
                  <c:v>210083.38</c:v>
                </c:pt>
                <c:pt idx="282">
                  <c:v>210083.38</c:v>
                </c:pt>
                <c:pt idx="283">
                  <c:v>210083.38</c:v>
                </c:pt>
                <c:pt idx="284">
                  <c:v>210083.38</c:v>
                </c:pt>
                <c:pt idx="285">
                  <c:v>210083.38</c:v>
                </c:pt>
                <c:pt idx="286">
                  <c:v>210083.38</c:v>
                </c:pt>
                <c:pt idx="287">
                  <c:v>210083.38</c:v>
                </c:pt>
                <c:pt idx="288">
                  <c:v>210083.38</c:v>
                </c:pt>
                <c:pt idx="289">
                  <c:v>210083.38</c:v>
                </c:pt>
                <c:pt idx="290">
                  <c:v>210083.38</c:v>
                </c:pt>
                <c:pt idx="291">
                  <c:v>210083.38</c:v>
                </c:pt>
                <c:pt idx="292">
                  <c:v>210083.38</c:v>
                </c:pt>
                <c:pt idx="293">
                  <c:v>210083.38</c:v>
                </c:pt>
                <c:pt idx="294">
                  <c:v>210083.38</c:v>
                </c:pt>
                <c:pt idx="295">
                  <c:v>210083.38</c:v>
                </c:pt>
                <c:pt idx="296">
                  <c:v>210083.38</c:v>
                </c:pt>
                <c:pt idx="297">
                  <c:v>210083.38</c:v>
                </c:pt>
                <c:pt idx="298">
                  <c:v>210083.38</c:v>
                </c:pt>
                <c:pt idx="299">
                  <c:v>210083.38</c:v>
                </c:pt>
                <c:pt idx="300">
                  <c:v>210083.38</c:v>
                </c:pt>
                <c:pt idx="301">
                  <c:v>210083.38</c:v>
                </c:pt>
                <c:pt idx="302">
                  <c:v>210083.38</c:v>
                </c:pt>
                <c:pt idx="303">
                  <c:v>210083.38</c:v>
                </c:pt>
                <c:pt idx="304">
                  <c:v>210083.38</c:v>
                </c:pt>
                <c:pt idx="305">
                  <c:v>210083.38</c:v>
                </c:pt>
                <c:pt idx="306">
                  <c:v>210083.38</c:v>
                </c:pt>
                <c:pt idx="307">
                  <c:v>210083.38</c:v>
                </c:pt>
                <c:pt idx="308">
                  <c:v>210083.38</c:v>
                </c:pt>
                <c:pt idx="309">
                  <c:v>210083.38</c:v>
                </c:pt>
                <c:pt idx="310">
                  <c:v>210083.38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513568</c:v>
                </c:pt>
                <c:pt idx="32">
                  <c:v>873065.6</c:v>
                </c:pt>
                <c:pt idx="33">
                  <c:v>873065.6</c:v>
                </c:pt>
                <c:pt idx="34">
                  <c:v>873065.6</c:v>
                </c:pt>
                <c:pt idx="35">
                  <c:v>873065.6</c:v>
                </c:pt>
                <c:pt idx="36">
                  <c:v>873065.6</c:v>
                </c:pt>
                <c:pt idx="37">
                  <c:v>873065.6</c:v>
                </c:pt>
                <c:pt idx="38">
                  <c:v>873065.6</c:v>
                </c:pt>
                <c:pt idx="39">
                  <c:v>873065.6</c:v>
                </c:pt>
                <c:pt idx="40">
                  <c:v>873065.6</c:v>
                </c:pt>
                <c:pt idx="41">
                  <c:v>873065.6</c:v>
                </c:pt>
                <c:pt idx="42">
                  <c:v>873065.6</c:v>
                </c:pt>
                <c:pt idx="43">
                  <c:v>1027136</c:v>
                </c:pt>
                <c:pt idx="44">
                  <c:v>1027136</c:v>
                </c:pt>
                <c:pt idx="45">
                  <c:v>1027136</c:v>
                </c:pt>
                <c:pt idx="46">
                  <c:v>1027136</c:v>
                </c:pt>
                <c:pt idx="47">
                  <c:v>1027136</c:v>
                </c:pt>
                <c:pt idx="48">
                  <c:v>1027136</c:v>
                </c:pt>
                <c:pt idx="49">
                  <c:v>1027136</c:v>
                </c:pt>
                <c:pt idx="50">
                  <c:v>1027136</c:v>
                </c:pt>
                <c:pt idx="51">
                  <c:v>1027136</c:v>
                </c:pt>
                <c:pt idx="52">
                  <c:v>1027136</c:v>
                </c:pt>
                <c:pt idx="53">
                  <c:v>1027136</c:v>
                </c:pt>
                <c:pt idx="54">
                  <c:v>1027136</c:v>
                </c:pt>
                <c:pt idx="55">
                  <c:v>1027136</c:v>
                </c:pt>
                <c:pt idx="56">
                  <c:v>1027136</c:v>
                </c:pt>
                <c:pt idx="57">
                  <c:v>1027136</c:v>
                </c:pt>
                <c:pt idx="58">
                  <c:v>1027136</c:v>
                </c:pt>
                <c:pt idx="59">
                  <c:v>1027136</c:v>
                </c:pt>
                <c:pt idx="60">
                  <c:v>1027136</c:v>
                </c:pt>
                <c:pt idx="61">
                  <c:v>1027136</c:v>
                </c:pt>
                <c:pt idx="62">
                  <c:v>1027136</c:v>
                </c:pt>
                <c:pt idx="63">
                  <c:v>1027136</c:v>
                </c:pt>
                <c:pt idx="64">
                  <c:v>1027136</c:v>
                </c:pt>
                <c:pt idx="65">
                  <c:v>1027136</c:v>
                </c:pt>
                <c:pt idx="66">
                  <c:v>1027136</c:v>
                </c:pt>
                <c:pt idx="67">
                  <c:v>1027136</c:v>
                </c:pt>
                <c:pt idx="68">
                  <c:v>1027136</c:v>
                </c:pt>
                <c:pt idx="69">
                  <c:v>1027136</c:v>
                </c:pt>
                <c:pt idx="70">
                  <c:v>1027136</c:v>
                </c:pt>
                <c:pt idx="71">
                  <c:v>1027136</c:v>
                </c:pt>
                <c:pt idx="72">
                  <c:v>1027136</c:v>
                </c:pt>
                <c:pt idx="73">
                  <c:v>1027136</c:v>
                </c:pt>
                <c:pt idx="74">
                  <c:v>1027136</c:v>
                </c:pt>
                <c:pt idx="75">
                  <c:v>1027136</c:v>
                </c:pt>
                <c:pt idx="76">
                  <c:v>1027136</c:v>
                </c:pt>
                <c:pt idx="77">
                  <c:v>1027136</c:v>
                </c:pt>
                <c:pt idx="78">
                  <c:v>1027136</c:v>
                </c:pt>
                <c:pt idx="79">
                  <c:v>1027136</c:v>
                </c:pt>
                <c:pt idx="80">
                  <c:v>1027136</c:v>
                </c:pt>
                <c:pt idx="81">
                  <c:v>1027136</c:v>
                </c:pt>
                <c:pt idx="82">
                  <c:v>1027136</c:v>
                </c:pt>
                <c:pt idx="83">
                  <c:v>1027136</c:v>
                </c:pt>
                <c:pt idx="84">
                  <c:v>1027136</c:v>
                </c:pt>
                <c:pt idx="85">
                  <c:v>1027136</c:v>
                </c:pt>
                <c:pt idx="86">
                  <c:v>1027136</c:v>
                </c:pt>
                <c:pt idx="87">
                  <c:v>1027136</c:v>
                </c:pt>
                <c:pt idx="88">
                  <c:v>1027136</c:v>
                </c:pt>
                <c:pt idx="89">
                  <c:v>1027136</c:v>
                </c:pt>
                <c:pt idx="90">
                  <c:v>1027136</c:v>
                </c:pt>
                <c:pt idx="91">
                  <c:v>1027136</c:v>
                </c:pt>
                <c:pt idx="92">
                  <c:v>1027136</c:v>
                </c:pt>
                <c:pt idx="93">
                  <c:v>1027136</c:v>
                </c:pt>
                <c:pt idx="94">
                  <c:v>1027136</c:v>
                </c:pt>
                <c:pt idx="95">
                  <c:v>1027136</c:v>
                </c:pt>
                <c:pt idx="96">
                  <c:v>1027136</c:v>
                </c:pt>
                <c:pt idx="97">
                  <c:v>1027136</c:v>
                </c:pt>
                <c:pt idx="98">
                  <c:v>1027136</c:v>
                </c:pt>
                <c:pt idx="99">
                  <c:v>1027136</c:v>
                </c:pt>
                <c:pt idx="100">
                  <c:v>1027136</c:v>
                </c:pt>
                <c:pt idx="101">
                  <c:v>1027136</c:v>
                </c:pt>
                <c:pt idx="102">
                  <c:v>1027136</c:v>
                </c:pt>
                <c:pt idx="103">
                  <c:v>1027136</c:v>
                </c:pt>
                <c:pt idx="104">
                  <c:v>1027136</c:v>
                </c:pt>
                <c:pt idx="105">
                  <c:v>1027136</c:v>
                </c:pt>
                <c:pt idx="106">
                  <c:v>1027136</c:v>
                </c:pt>
                <c:pt idx="107">
                  <c:v>1027136</c:v>
                </c:pt>
                <c:pt idx="108">
                  <c:v>1027136</c:v>
                </c:pt>
                <c:pt idx="109">
                  <c:v>1027136</c:v>
                </c:pt>
                <c:pt idx="110">
                  <c:v>1027136</c:v>
                </c:pt>
                <c:pt idx="111">
                  <c:v>1027136</c:v>
                </c:pt>
                <c:pt idx="112">
                  <c:v>1027136</c:v>
                </c:pt>
                <c:pt idx="113">
                  <c:v>1027136</c:v>
                </c:pt>
                <c:pt idx="114">
                  <c:v>1027136</c:v>
                </c:pt>
                <c:pt idx="115">
                  <c:v>1027136</c:v>
                </c:pt>
                <c:pt idx="116">
                  <c:v>1027136</c:v>
                </c:pt>
                <c:pt idx="117">
                  <c:v>1027136</c:v>
                </c:pt>
                <c:pt idx="118">
                  <c:v>1027136</c:v>
                </c:pt>
                <c:pt idx="119">
                  <c:v>1027136</c:v>
                </c:pt>
                <c:pt idx="120">
                  <c:v>1027136</c:v>
                </c:pt>
                <c:pt idx="121">
                  <c:v>1027136</c:v>
                </c:pt>
                <c:pt idx="122">
                  <c:v>1027136</c:v>
                </c:pt>
                <c:pt idx="123">
                  <c:v>1027136</c:v>
                </c:pt>
                <c:pt idx="124">
                  <c:v>1027136</c:v>
                </c:pt>
                <c:pt idx="125">
                  <c:v>1027136</c:v>
                </c:pt>
                <c:pt idx="126">
                  <c:v>1027136</c:v>
                </c:pt>
                <c:pt idx="127">
                  <c:v>1027136</c:v>
                </c:pt>
                <c:pt idx="128">
                  <c:v>1027136</c:v>
                </c:pt>
                <c:pt idx="129">
                  <c:v>1027136</c:v>
                </c:pt>
                <c:pt idx="130">
                  <c:v>1027136</c:v>
                </c:pt>
                <c:pt idx="131">
                  <c:v>1027136</c:v>
                </c:pt>
                <c:pt idx="132">
                  <c:v>1027136</c:v>
                </c:pt>
                <c:pt idx="133">
                  <c:v>1027136</c:v>
                </c:pt>
                <c:pt idx="134">
                  <c:v>1027136</c:v>
                </c:pt>
                <c:pt idx="135">
                  <c:v>1027136</c:v>
                </c:pt>
                <c:pt idx="136">
                  <c:v>1027136</c:v>
                </c:pt>
                <c:pt idx="137">
                  <c:v>1027136</c:v>
                </c:pt>
                <c:pt idx="138">
                  <c:v>1027136</c:v>
                </c:pt>
                <c:pt idx="139">
                  <c:v>1027136</c:v>
                </c:pt>
                <c:pt idx="140">
                  <c:v>1027136</c:v>
                </c:pt>
                <c:pt idx="141">
                  <c:v>1027136</c:v>
                </c:pt>
                <c:pt idx="142">
                  <c:v>1027136</c:v>
                </c:pt>
                <c:pt idx="143">
                  <c:v>1027136</c:v>
                </c:pt>
                <c:pt idx="144">
                  <c:v>1027136</c:v>
                </c:pt>
                <c:pt idx="145">
                  <c:v>1027136</c:v>
                </c:pt>
                <c:pt idx="146">
                  <c:v>1027136</c:v>
                </c:pt>
                <c:pt idx="147">
                  <c:v>1027136</c:v>
                </c:pt>
                <c:pt idx="148">
                  <c:v>1027136</c:v>
                </c:pt>
                <c:pt idx="149">
                  <c:v>1027136</c:v>
                </c:pt>
                <c:pt idx="150">
                  <c:v>1027136</c:v>
                </c:pt>
                <c:pt idx="151">
                  <c:v>1027136</c:v>
                </c:pt>
                <c:pt idx="152">
                  <c:v>1027136</c:v>
                </c:pt>
                <c:pt idx="153">
                  <c:v>1027136</c:v>
                </c:pt>
                <c:pt idx="154">
                  <c:v>1027136</c:v>
                </c:pt>
                <c:pt idx="155">
                  <c:v>1027136</c:v>
                </c:pt>
                <c:pt idx="156">
                  <c:v>1027136</c:v>
                </c:pt>
                <c:pt idx="157">
                  <c:v>1027136</c:v>
                </c:pt>
                <c:pt idx="158">
                  <c:v>1027136</c:v>
                </c:pt>
                <c:pt idx="159">
                  <c:v>1027136</c:v>
                </c:pt>
                <c:pt idx="160">
                  <c:v>1027136</c:v>
                </c:pt>
                <c:pt idx="161">
                  <c:v>1027136</c:v>
                </c:pt>
                <c:pt idx="162">
                  <c:v>1027136</c:v>
                </c:pt>
                <c:pt idx="163">
                  <c:v>1027136</c:v>
                </c:pt>
                <c:pt idx="164">
                  <c:v>1027136</c:v>
                </c:pt>
                <c:pt idx="165">
                  <c:v>1027136</c:v>
                </c:pt>
                <c:pt idx="166">
                  <c:v>1027136</c:v>
                </c:pt>
                <c:pt idx="167">
                  <c:v>1027136</c:v>
                </c:pt>
                <c:pt idx="168">
                  <c:v>1027136</c:v>
                </c:pt>
                <c:pt idx="169">
                  <c:v>1027136</c:v>
                </c:pt>
                <c:pt idx="170">
                  <c:v>1027136</c:v>
                </c:pt>
                <c:pt idx="171">
                  <c:v>1027136</c:v>
                </c:pt>
                <c:pt idx="172">
                  <c:v>1027136</c:v>
                </c:pt>
                <c:pt idx="173">
                  <c:v>1027136</c:v>
                </c:pt>
                <c:pt idx="174">
                  <c:v>1027136</c:v>
                </c:pt>
                <c:pt idx="175">
                  <c:v>1027136</c:v>
                </c:pt>
                <c:pt idx="176">
                  <c:v>1027136</c:v>
                </c:pt>
                <c:pt idx="177">
                  <c:v>1027136</c:v>
                </c:pt>
                <c:pt idx="178">
                  <c:v>1027136</c:v>
                </c:pt>
                <c:pt idx="179">
                  <c:v>1027136</c:v>
                </c:pt>
                <c:pt idx="180">
                  <c:v>1027136</c:v>
                </c:pt>
                <c:pt idx="181">
                  <c:v>1027136</c:v>
                </c:pt>
                <c:pt idx="182">
                  <c:v>1027136</c:v>
                </c:pt>
                <c:pt idx="183">
                  <c:v>1027136</c:v>
                </c:pt>
                <c:pt idx="184">
                  <c:v>1027136</c:v>
                </c:pt>
                <c:pt idx="185">
                  <c:v>1027136</c:v>
                </c:pt>
                <c:pt idx="186">
                  <c:v>1027136</c:v>
                </c:pt>
                <c:pt idx="187">
                  <c:v>1027136</c:v>
                </c:pt>
                <c:pt idx="188">
                  <c:v>1027136</c:v>
                </c:pt>
                <c:pt idx="189">
                  <c:v>1027136</c:v>
                </c:pt>
                <c:pt idx="190">
                  <c:v>1027136</c:v>
                </c:pt>
                <c:pt idx="191">
                  <c:v>1027136</c:v>
                </c:pt>
                <c:pt idx="192">
                  <c:v>1027136</c:v>
                </c:pt>
                <c:pt idx="193">
                  <c:v>1027136</c:v>
                </c:pt>
                <c:pt idx="194">
                  <c:v>1027136</c:v>
                </c:pt>
                <c:pt idx="195">
                  <c:v>1027136</c:v>
                </c:pt>
                <c:pt idx="196">
                  <c:v>1027136</c:v>
                </c:pt>
                <c:pt idx="197">
                  <c:v>1027136</c:v>
                </c:pt>
                <c:pt idx="198">
                  <c:v>1027136</c:v>
                </c:pt>
                <c:pt idx="199">
                  <c:v>1027136</c:v>
                </c:pt>
                <c:pt idx="200">
                  <c:v>1027136</c:v>
                </c:pt>
                <c:pt idx="201">
                  <c:v>1027136</c:v>
                </c:pt>
                <c:pt idx="202">
                  <c:v>1027136</c:v>
                </c:pt>
                <c:pt idx="203">
                  <c:v>1027136</c:v>
                </c:pt>
                <c:pt idx="204">
                  <c:v>1027136</c:v>
                </c:pt>
                <c:pt idx="205">
                  <c:v>1027136</c:v>
                </c:pt>
                <c:pt idx="206">
                  <c:v>1027136</c:v>
                </c:pt>
                <c:pt idx="207">
                  <c:v>1027136</c:v>
                </c:pt>
                <c:pt idx="208">
                  <c:v>1027136</c:v>
                </c:pt>
                <c:pt idx="209">
                  <c:v>1027136</c:v>
                </c:pt>
                <c:pt idx="210">
                  <c:v>1027136</c:v>
                </c:pt>
                <c:pt idx="211">
                  <c:v>1027136</c:v>
                </c:pt>
                <c:pt idx="212">
                  <c:v>1027136</c:v>
                </c:pt>
                <c:pt idx="213">
                  <c:v>1027136</c:v>
                </c:pt>
                <c:pt idx="214">
                  <c:v>1027136</c:v>
                </c:pt>
                <c:pt idx="215">
                  <c:v>1027136</c:v>
                </c:pt>
                <c:pt idx="216">
                  <c:v>1027136</c:v>
                </c:pt>
                <c:pt idx="217">
                  <c:v>1027136</c:v>
                </c:pt>
                <c:pt idx="218">
                  <c:v>1027136</c:v>
                </c:pt>
                <c:pt idx="219">
                  <c:v>1027136</c:v>
                </c:pt>
                <c:pt idx="220">
                  <c:v>1027136</c:v>
                </c:pt>
                <c:pt idx="221">
                  <c:v>1027136</c:v>
                </c:pt>
                <c:pt idx="222">
                  <c:v>1027136</c:v>
                </c:pt>
                <c:pt idx="223">
                  <c:v>1027136</c:v>
                </c:pt>
                <c:pt idx="224">
                  <c:v>1027136</c:v>
                </c:pt>
                <c:pt idx="225">
                  <c:v>1027136</c:v>
                </c:pt>
                <c:pt idx="226">
                  <c:v>1027136</c:v>
                </c:pt>
                <c:pt idx="227">
                  <c:v>1027136</c:v>
                </c:pt>
                <c:pt idx="228">
                  <c:v>1027136</c:v>
                </c:pt>
                <c:pt idx="229">
                  <c:v>1027136</c:v>
                </c:pt>
                <c:pt idx="230">
                  <c:v>1027136</c:v>
                </c:pt>
                <c:pt idx="231">
                  <c:v>1027136</c:v>
                </c:pt>
                <c:pt idx="232">
                  <c:v>1027136</c:v>
                </c:pt>
                <c:pt idx="233">
                  <c:v>1027136</c:v>
                </c:pt>
                <c:pt idx="234">
                  <c:v>1027136</c:v>
                </c:pt>
                <c:pt idx="235">
                  <c:v>1027136</c:v>
                </c:pt>
                <c:pt idx="236">
                  <c:v>1027136</c:v>
                </c:pt>
                <c:pt idx="237">
                  <c:v>1027136</c:v>
                </c:pt>
                <c:pt idx="238">
                  <c:v>1027136</c:v>
                </c:pt>
                <c:pt idx="239">
                  <c:v>1027136</c:v>
                </c:pt>
                <c:pt idx="240">
                  <c:v>1027136</c:v>
                </c:pt>
                <c:pt idx="241">
                  <c:v>1027136</c:v>
                </c:pt>
                <c:pt idx="242">
                  <c:v>1027136</c:v>
                </c:pt>
                <c:pt idx="243">
                  <c:v>1027136</c:v>
                </c:pt>
                <c:pt idx="244">
                  <c:v>1027136</c:v>
                </c:pt>
                <c:pt idx="245">
                  <c:v>1027136</c:v>
                </c:pt>
                <c:pt idx="246">
                  <c:v>1027136</c:v>
                </c:pt>
                <c:pt idx="247">
                  <c:v>1027136</c:v>
                </c:pt>
                <c:pt idx="248">
                  <c:v>1027136</c:v>
                </c:pt>
                <c:pt idx="249">
                  <c:v>1027136</c:v>
                </c:pt>
                <c:pt idx="250">
                  <c:v>1027136</c:v>
                </c:pt>
                <c:pt idx="251">
                  <c:v>1027136</c:v>
                </c:pt>
                <c:pt idx="252">
                  <c:v>1027136</c:v>
                </c:pt>
                <c:pt idx="253">
                  <c:v>1027136</c:v>
                </c:pt>
                <c:pt idx="254">
                  <c:v>1027136</c:v>
                </c:pt>
                <c:pt idx="255">
                  <c:v>1027136</c:v>
                </c:pt>
                <c:pt idx="256">
                  <c:v>1027136</c:v>
                </c:pt>
                <c:pt idx="257">
                  <c:v>1027136</c:v>
                </c:pt>
                <c:pt idx="258">
                  <c:v>1027136</c:v>
                </c:pt>
                <c:pt idx="259">
                  <c:v>1027136</c:v>
                </c:pt>
                <c:pt idx="260">
                  <c:v>1027136</c:v>
                </c:pt>
                <c:pt idx="261">
                  <c:v>1027136</c:v>
                </c:pt>
                <c:pt idx="262">
                  <c:v>1027136</c:v>
                </c:pt>
                <c:pt idx="263">
                  <c:v>1027136</c:v>
                </c:pt>
                <c:pt idx="264">
                  <c:v>1027136</c:v>
                </c:pt>
                <c:pt idx="265">
                  <c:v>1027136</c:v>
                </c:pt>
                <c:pt idx="266">
                  <c:v>1027136</c:v>
                </c:pt>
                <c:pt idx="267">
                  <c:v>1027136</c:v>
                </c:pt>
                <c:pt idx="268">
                  <c:v>1027136</c:v>
                </c:pt>
                <c:pt idx="269">
                  <c:v>1027136</c:v>
                </c:pt>
                <c:pt idx="270">
                  <c:v>1027136</c:v>
                </c:pt>
                <c:pt idx="271">
                  <c:v>1027136</c:v>
                </c:pt>
                <c:pt idx="272">
                  <c:v>1027136</c:v>
                </c:pt>
                <c:pt idx="273">
                  <c:v>1027136</c:v>
                </c:pt>
                <c:pt idx="274">
                  <c:v>1027136</c:v>
                </c:pt>
                <c:pt idx="275">
                  <c:v>1027136</c:v>
                </c:pt>
                <c:pt idx="276">
                  <c:v>1027136</c:v>
                </c:pt>
                <c:pt idx="277">
                  <c:v>1027136</c:v>
                </c:pt>
                <c:pt idx="278">
                  <c:v>1027136</c:v>
                </c:pt>
                <c:pt idx="279">
                  <c:v>1027136</c:v>
                </c:pt>
                <c:pt idx="280">
                  <c:v>1027136</c:v>
                </c:pt>
                <c:pt idx="281">
                  <c:v>1027136</c:v>
                </c:pt>
                <c:pt idx="282">
                  <c:v>1027136</c:v>
                </c:pt>
                <c:pt idx="283">
                  <c:v>1027136</c:v>
                </c:pt>
                <c:pt idx="284">
                  <c:v>1027136</c:v>
                </c:pt>
                <c:pt idx="285">
                  <c:v>1027136</c:v>
                </c:pt>
                <c:pt idx="286">
                  <c:v>1027136</c:v>
                </c:pt>
                <c:pt idx="287">
                  <c:v>1027136</c:v>
                </c:pt>
                <c:pt idx="288">
                  <c:v>1027136</c:v>
                </c:pt>
                <c:pt idx="289">
                  <c:v>1027136</c:v>
                </c:pt>
                <c:pt idx="290">
                  <c:v>1027136</c:v>
                </c:pt>
                <c:pt idx="291">
                  <c:v>1027136</c:v>
                </c:pt>
                <c:pt idx="292">
                  <c:v>1027136</c:v>
                </c:pt>
                <c:pt idx="293">
                  <c:v>1027136</c:v>
                </c:pt>
                <c:pt idx="294">
                  <c:v>1027136</c:v>
                </c:pt>
                <c:pt idx="295">
                  <c:v>1027136</c:v>
                </c:pt>
                <c:pt idx="296">
                  <c:v>1027136</c:v>
                </c:pt>
                <c:pt idx="297">
                  <c:v>1027136</c:v>
                </c:pt>
                <c:pt idx="298">
                  <c:v>1027136</c:v>
                </c:pt>
                <c:pt idx="299">
                  <c:v>1027136</c:v>
                </c:pt>
                <c:pt idx="300">
                  <c:v>1027136</c:v>
                </c:pt>
                <c:pt idx="301">
                  <c:v>1027136</c:v>
                </c:pt>
                <c:pt idx="302">
                  <c:v>1027136</c:v>
                </c:pt>
                <c:pt idx="303">
                  <c:v>1027136</c:v>
                </c:pt>
                <c:pt idx="304">
                  <c:v>1027136</c:v>
                </c:pt>
                <c:pt idx="305">
                  <c:v>1027136</c:v>
                </c:pt>
                <c:pt idx="306">
                  <c:v>1027136</c:v>
                </c:pt>
                <c:pt idx="307">
                  <c:v>1027136</c:v>
                </c:pt>
                <c:pt idx="308">
                  <c:v>1027136</c:v>
                </c:pt>
                <c:pt idx="309">
                  <c:v>1027136</c:v>
                </c:pt>
                <c:pt idx="310">
                  <c:v>1027136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33961</c:v>
                </c:pt>
                <c:pt idx="32">
                  <c:v>58409.91</c:v>
                </c:pt>
                <c:pt idx="33">
                  <c:v>112806.78</c:v>
                </c:pt>
                <c:pt idx="34">
                  <c:v>112806.78</c:v>
                </c:pt>
                <c:pt idx="35">
                  <c:v>112806.78</c:v>
                </c:pt>
                <c:pt idx="36">
                  <c:v>189234.78</c:v>
                </c:pt>
                <c:pt idx="37">
                  <c:v>190209.78</c:v>
                </c:pt>
                <c:pt idx="38">
                  <c:v>300229.88</c:v>
                </c:pt>
                <c:pt idx="39">
                  <c:v>532132.56000000006</c:v>
                </c:pt>
                <c:pt idx="40">
                  <c:v>661361.67000000004</c:v>
                </c:pt>
                <c:pt idx="41">
                  <c:v>661361.67000000004</c:v>
                </c:pt>
                <c:pt idx="42">
                  <c:v>661361.67000000004</c:v>
                </c:pt>
                <c:pt idx="43">
                  <c:v>661361.67000000004</c:v>
                </c:pt>
                <c:pt idx="44">
                  <c:v>680778.23999999999</c:v>
                </c:pt>
                <c:pt idx="45">
                  <c:v>683937.29</c:v>
                </c:pt>
                <c:pt idx="46">
                  <c:v>683937.29</c:v>
                </c:pt>
                <c:pt idx="47">
                  <c:v>683937.29</c:v>
                </c:pt>
                <c:pt idx="48">
                  <c:v>683937.29</c:v>
                </c:pt>
                <c:pt idx="49">
                  <c:v>684235.53</c:v>
                </c:pt>
                <c:pt idx="50">
                  <c:v>684585.53</c:v>
                </c:pt>
                <c:pt idx="51">
                  <c:v>701903.45000000007</c:v>
                </c:pt>
                <c:pt idx="52">
                  <c:v>701903.45000000007</c:v>
                </c:pt>
                <c:pt idx="53">
                  <c:v>714478.45000000007</c:v>
                </c:pt>
                <c:pt idx="54">
                  <c:v>714478.45000000007</c:v>
                </c:pt>
                <c:pt idx="55">
                  <c:v>714478.45000000007</c:v>
                </c:pt>
                <c:pt idx="56">
                  <c:v>770507.27</c:v>
                </c:pt>
                <c:pt idx="57">
                  <c:v>770507.27</c:v>
                </c:pt>
                <c:pt idx="58">
                  <c:v>770507.27</c:v>
                </c:pt>
                <c:pt idx="59">
                  <c:v>770507.27</c:v>
                </c:pt>
                <c:pt idx="60">
                  <c:v>770507.27</c:v>
                </c:pt>
                <c:pt idx="61">
                  <c:v>770507.27</c:v>
                </c:pt>
                <c:pt idx="62">
                  <c:v>770507.27</c:v>
                </c:pt>
                <c:pt idx="63">
                  <c:v>770507.27</c:v>
                </c:pt>
                <c:pt idx="64">
                  <c:v>770507.27</c:v>
                </c:pt>
                <c:pt idx="65">
                  <c:v>770507.27</c:v>
                </c:pt>
                <c:pt idx="66">
                  <c:v>770507.27</c:v>
                </c:pt>
                <c:pt idx="67">
                  <c:v>770507.27</c:v>
                </c:pt>
                <c:pt idx="68">
                  <c:v>770507.27</c:v>
                </c:pt>
                <c:pt idx="69">
                  <c:v>770507.27</c:v>
                </c:pt>
                <c:pt idx="70">
                  <c:v>770507.27</c:v>
                </c:pt>
                <c:pt idx="71">
                  <c:v>770507.27</c:v>
                </c:pt>
                <c:pt idx="72">
                  <c:v>770507.27</c:v>
                </c:pt>
                <c:pt idx="73">
                  <c:v>770507.27</c:v>
                </c:pt>
                <c:pt idx="74">
                  <c:v>770507.27</c:v>
                </c:pt>
                <c:pt idx="75">
                  <c:v>770507.27</c:v>
                </c:pt>
                <c:pt idx="76">
                  <c:v>770507.27</c:v>
                </c:pt>
                <c:pt idx="77">
                  <c:v>770507.27</c:v>
                </c:pt>
                <c:pt idx="78">
                  <c:v>770507.27</c:v>
                </c:pt>
                <c:pt idx="79">
                  <c:v>770507.27</c:v>
                </c:pt>
                <c:pt idx="80">
                  <c:v>770507.27</c:v>
                </c:pt>
                <c:pt idx="81">
                  <c:v>770507.27</c:v>
                </c:pt>
                <c:pt idx="82">
                  <c:v>770507.27</c:v>
                </c:pt>
                <c:pt idx="83">
                  <c:v>770507.27</c:v>
                </c:pt>
                <c:pt idx="84">
                  <c:v>770507.27</c:v>
                </c:pt>
                <c:pt idx="85">
                  <c:v>770507.27</c:v>
                </c:pt>
                <c:pt idx="86">
                  <c:v>770507.27</c:v>
                </c:pt>
                <c:pt idx="87">
                  <c:v>770507.27</c:v>
                </c:pt>
                <c:pt idx="88">
                  <c:v>770507.27</c:v>
                </c:pt>
                <c:pt idx="89">
                  <c:v>770507.27</c:v>
                </c:pt>
                <c:pt idx="90">
                  <c:v>770507.27</c:v>
                </c:pt>
                <c:pt idx="91">
                  <c:v>770507.27</c:v>
                </c:pt>
                <c:pt idx="92">
                  <c:v>770507.27</c:v>
                </c:pt>
                <c:pt idx="93">
                  <c:v>770507.27</c:v>
                </c:pt>
                <c:pt idx="94">
                  <c:v>770507.27</c:v>
                </c:pt>
                <c:pt idx="95">
                  <c:v>770507.27</c:v>
                </c:pt>
                <c:pt idx="96">
                  <c:v>770507.27</c:v>
                </c:pt>
                <c:pt idx="97">
                  <c:v>770507.27</c:v>
                </c:pt>
                <c:pt idx="98">
                  <c:v>770507.27</c:v>
                </c:pt>
                <c:pt idx="99">
                  <c:v>770507.27</c:v>
                </c:pt>
                <c:pt idx="100">
                  <c:v>770507.27</c:v>
                </c:pt>
                <c:pt idx="101">
                  <c:v>770507.27</c:v>
                </c:pt>
                <c:pt idx="102">
                  <c:v>770507.27</c:v>
                </c:pt>
                <c:pt idx="103">
                  <c:v>770507.27</c:v>
                </c:pt>
                <c:pt idx="104">
                  <c:v>770507.27</c:v>
                </c:pt>
                <c:pt idx="105">
                  <c:v>770507.27</c:v>
                </c:pt>
                <c:pt idx="106">
                  <c:v>770507.27</c:v>
                </c:pt>
                <c:pt idx="107">
                  <c:v>770507.27</c:v>
                </c:pt>
                <c:pt idx="108">
                  <c:v>770507.27</c:v>
                </c:pt>
                <c:pt idx="109">
                  <c:v>770507.27</c:v>
                </c:pt>
                <c:pt idx="110">
                  <c:v>770507.27</c:v>
                </c:pt>
                <c:pt idx="111">
                  <c:v>770507.27</c:v>
                </c:pt>
                <c:pt idx="112">
                  <c:v>770507.27</c:v>
                </c:pt>
                <c:pt idx="113">
                  <c:v>770507.27</c:v>
                </c:pt>
                <c:pt idx="114">
                  <c:v>770507.27</c:v>
                </c:pt>
                <c:pt idx="115">
                  <c:v>770507.27</c:v>
                </c:pt>
                <c:pt idx="116">
                  <c:v>770507.27</c:v>
                </c:pt>
                <c:pt idx="117">
                  <c:v>770507.27</c:v>
                </c:pt>
                <c:pt idx="118">
                  <c:v>770507.27</c:v>
                </c:pt>
                <c:pt idx="119">
                  <c:v>770507.27</c:v>
                </c:pt>
                <c:pt idx="120">
                  <c:v>770507.27</c:v>
                </c:pt>
                <c:pt idx="121">
                  <c:v>770507.27</c:v>
                </c:pt>
                <c:pt idx="122">
                  <c:v>770507.27</c:v>
                </c:pt>
                <c:pt idx="123">
                  <c:v>770507.27</c:v>
                </c:pt>
                <c:pt idx="124">
                  <c:v>770507.27</c:v>
                </c:pt>
                <c:pt idx="125">
                  <c:v>770507.27</c:v>
                </c:pt>
                <c:pt idx="126">
                  <c:v>770507.27</c:v>
                </c:pt>
                <c:pt idx="127">
                  <c:v>770507.27</c:v>
                </c:pt>
                <c:pt idx="128">
                  <c:v>770507.27</c:v>
                </c:pt>
                <c:pt idx="129">
                  <c:v>770507.27</c:v>
                </c:pt>
                <c:pt idx="130">
                  <c:v>770507.27</c:v>
                </c:pt>
                <c:pt idx="131">
                  <c:v>770507.27</c:v>
                </c:pt>
                <c:pt idx="132">
                  <c:v>770507.27</c:v>
                </c:pt>
                <c:pt idx="133">
                  <c:v>770507.27</c:v>
                </c:pt>
                <c:pt idx="134">
                  <c:v>770507.27</c:v>
                </c:pt>
                <c:pt idx="135">
                  <c:v>770507.27</c:v>
                </c:pt>
                <c:pt idx="136">
                  <c:v>770507.27</c:v>
                </c:pt>
                <c:pt idx="137">
                  <c:v>770507.27</c:v>
                </c:pt>
                <c:pt idx="138">
                  <c:v>770507.27</c:v>
                </c:pt>
                <c:pt idx="139">
                  <c:v>770507.27</c:v>
                </c:pt>
                <c:pt idx="140">
                  <c:v>770507.27</c:v>
                </c:pt>
                <c:pt idx="141">
                  <c:v>770507.27</c:v>
                </c:pt>
                <c:pt idx="142">
                  <c:v>770507.27</c:v>
                </c:pt>
                <c:pt idx="143">
                  <c:v>770507.27</c:v>
                </c:pt>
                <c:pt idx="144">
                  <c:v>770507.27</c:v>
                </c:pt>
                <c:pt idx="145">
                  <c:v>770507.27</c:v>
                </c:pt>
                <c:pt idx="146">
                  <c:v>770507.27</c:v>
                </c:pt>
                <c:pt idx="147">
                  <c:v>770507.27</c:v>
                </c:pt>
                <c:pt idx="148">
                  <c:v>770507.27</c:v>
                </c:pt>
                <c:pt idx="149">
                  <c:v>770507.27</c:v>
                </c:pt>
                <c:pt idx="150">
                  <c:v>770507.27</c:v>
                </c:pt>
                <c:pt idx="151">
                  <c:v>770507.27</c:v>
                </c:pt>
                <c:pt idx="152">
                  <c:v>770507.27</c:v>
                </c:pt>
                <c:pt idx="153">
                  <c:v>770507.27</c:v>
                </c:pt>
                <c:pt idx="154">
                  <c:v>770507.27</c:v>
                </c:pt>
                <c:pt idx="155">
                  <c:v>770507.27</c:v>
                </c:pt>
                <c:pt idx="156">
                  <c:v>770507.27</c:v>
                </c:pt>
                <c:pt idx="157">
                  <c:v>770507.27</c:v>
                </c:pt>
                <c:pt idx="158">
                  <c:v>770507.27</c:v>
                </c:pt>
                <c:pt idx="159">
                  <c:v>770507.27</c:v>
                </c:pt>
                <c:pt idx="160">
                  <c:v>770507.27</c:v>
                </c:pt>
                <c:pt idx="161">
                  <c:v>770507.27</c:v>
                </c:pt>
                <c:pt idx="162">
                  <c:v>770507.27</c:v>
                </c:pt>
                <c:pt idx="163">
                  <c:v>770507.27</c:v>
                </c:pt>
                <c:pt idx="164">
                  <c:v>770507.27</c:v>
                </c:pt>
                <c:pt idx="165">
                  <c:v>770507.27</c:v>
                </c:pt>
                <c:pt idx="166">
                  <c:v>770507.27</c:v>
                </c:pt>
                <c:pt idx="167">
                  <c:v>770507.27</c:v>
                </c:pt>
                <c:pt idx="168">
                  <c:v>770507.27</c:v>
                </c:pt>
                <c:pt idx="169">
                  <c:v>770507.27</c:v>
                </c:pt>
                <c:pt idx="170">
                  <c:v>770507.27</c:v>
                </c:pt>
                <c:pt idx="171">
                  <c:v>770507.27</c:v>
                </c:pt>
                <c:pt idx="172">
                  <c:v>770507.27</c:v>
                </c:pt>
                <c:pt idx="173">
                  <c:v>770507.27</c:v>
                </c:pt>
                <c:pt idx="174">
                  <c:v>770507.27</c:v>
                </c:pt>
                <c:pt idx="175">
                  <c:v>770507.27</c:v>
                </c:pt>
                <c:pt idx="176">
                  <c:v>770507.27</c:v>
                </c:pt>
                <c:pt idx="177">
                  <c:v>770507.27</c:v>
                </c:pt>
                <c:pt idx="178">
                  <c:v>770507.27</c:v>
                </c:pt>
                <c:pt idx="179">
                  <c:v>770507.27</c:v>
                </c:pt>
                <c:pt idx="180">
                  <c:v>770507.27</c:v>
                </c:pt>
                <c:pt idx="181">
                  <c:v>770507.27</c:v>
                </c:pt>
                <c:pt idx="182">
                  <c:v>770507.27</c:v>
                </c:pt>
                <c:pt idx="183">
                  <c:v>770507.27</c:v>
                </c:pt>
                <c:pt idx="184">
                  <c:v>770507.27</c:v>
                </c:pt>
                <c:pt idx="185">
                  <c:v>770507.27</c:v>
                </c:pt>
                <c:pt idx="186">
                  <c:v>770507.27</c:v>
                </c:pt>
                <c:pt idx="187">
                  <c:v>770507.27</c:v>
                </c:pt>
                <c:pt idx="188">
                  <c:v>770507.27</c:v>
                </c:pt>
                <c:pt idx="189">
                  <c:v>770507.27</c:v>
                </c:pt>
                <c:pt idx="190">
                  <c:v>770507.27</c:v>
                </c:pt>
                <c:pt idx="191">
                  <c:v>770507.27</c:v>
                </c:pt>
                <c:pt idx="192">
                  <c:v>770507.27</c:v>
                </c:pt>
                <c:pt idx="193">
                  <c:v>770507.27</c:v>
                </c:pt>
                <c:pt idx="194">
                  <c:v>770507.27</c:v>
                </c:pt>
                <c:pt idx="195">
                  <c:v>770507.27</c:v>
                </c:pt>
                <c:pt idx="196">
                  <c:v>770507.27</c:v>
                </c:pt>
                <c:pt idx="197">
                  <c:v>770507.27</c:v>
                </c:pt>
                <c:pt idx="198">
                  <c:v>770507.27</c:v>
                </c:pt>
                <c:pt idx="199">
                  <c:v>770507.27</c:v>
                </c:pt>
                <c:pt idx="200">
                  <c:v>770507.27</c:v>
                </c:pt>
                <c:pt idx="201">
                  <c:v>770507.27</c:v>
                </c:pt>
                <c:pt idx="202">
                  <c:v>770507.27</c:v>
                </c:pt>
                <c:pt idx="203">
                  <c:v>770507.27</c:v>
                </c:pt>
                <c:pt idx="204">
                  <c:v>770507.27</c:v>
                </c:pt>
                <c:pt idx="205">
                  <c:v>770507.27</c:v>
                </c:pt>
                <c:pt idx="206">
                  <c:v>770507.27</c:v>
                </c:pt>
                <c:pt idx="207">
                  <c:v>770507.27</c:v>
                </c:pt>
                <c:pt idx="208">
                  <c:v>770507.27</c:v>
                </c:pt>
                <c:pt idx="209">
                  <c:v>770507.27</c:v>
                </c:pt>
                <c:pt idx="210">
                  <c:v>770507.27</c:v>
                </c:pt>
                <c:pt idx="211">
                  <c:v>770507.27</c:v>
                </c:pt>
                <c:pt idx="212">
                  <c:v>770507.27</c:v>
                </c:pt>
                <c:pt idx="213">
                  <c:v>770507.27</c:v>
                </c:pt>
                <c:pt idx="214">
                  <c:v>770507.27</c:v>
                </c:pt>
                <c:pt idx="215">
                  <c:v>770507.27</c:v>
                </c:pt>
                <c:pt idx="216">
                  <c:v>770507.27</c:v>
                </c:pt>
                <c:pt idx="217">
                  <c:v>770507.27</c:v>
                </c:pt>
                <c:pt idx="218">
                  <c:v>770507.27</c:v>
                </c:pt>
                <c:pt idx="219">
                  <c:v>770507.27</c:v>
                </c:pt>
                <c:pt idx="220">
                  <c:v>770507.27</c:v>
                </c:pt>
                <c:pt idx="221">
                  <c:v>770507.27</c:v>
                </c:pt>
                <c:pt idx="222">
                  <c:v>770507.27</c:v>
                </c:pt>
                <c:pt idx="223">
                  <c:v>770507.27</c:v>
                </c:pt>
                <c:pt idx="224">
                  <c:v>770507.27</c:v>
                </c:pt>
                <c:pt idx="225">
                  <c:v>770507.27</c:v>
                </c:pt>
                <c:pt idx="226">
                  <c:v>770507.27</c:v>
                </c:pt>
                <c:pt idx="227">
                  <c:v>770507.27</c:v>
                </c:pt>
                <c:pt idx="228">
                  <c:v>770507.27</c:v>
                </c:pt>
                <c:pt idx="229">
                  <c:v>770507.27</c:v>
                </c:pt>
                <c:pt idx="230">
                  <c:v>770507.27</c:v>
                </c:pt>
                <c:pt idx="231">
                  <c:v>770507.27</c:v>
                </c:pt>
                <c:pt idx="232">
                  <c:v>770507.27</c:v>
                </c:pt>
                <c:pt idx="233">
                  <c:v>770507.27</c:v>
                </c:pt>
                <c:pt idx="234">
                  <c:v>770507.27</c:v>
                </c:pt>
                <c:pt idx="235">
                  <c:v>770507.27</c:v>
                </c:pt>
                <c:pt idx="236">
                  <c:v>770507.27</c:v>
                </c:pt>
                <c:pt idx="237">
                  <c:v>770507.27</c:v>
                </c:pt>
                <c:pt idx="238">
                  <c:v>770507.27</c:v>
                </c:pt>
                <c:pt idx="239">
                  <c:v>770507.27</c:v>
                </c:pt>
                <c:pt idx="240">
                  <c:v>770507.27</c:v>
                </c:pt>
                <c:pt idx="241">
                  <c:v>770507.27</c:v>
                </c:pt>
                <c:pt idx="242">
                  <c:v>770507.27</c:v>
                </c:pt>
                <c:pt idx="243">
                  <c:v>770507.27</c:v>
                </c:pt>
                <c:pt idx="244">
                  <c:v>770507.27</c:v>
                </c:pt>
                <c:pt idx="245">
                  <c:v>770507.27</c:v>
                </c:pt>
                <c:pt idx="246">
                  <c:v>770507.27</c:v>
                </c:pt>
                <c:pt idx="247">
                  <c:v>770507.27</c:v>
                </c:pt>
                <c:pt idx="248">
                  <c:v>770507.27</c:v>
                </c:pt>
                <c:pt idx="249">
                  <c:v>770507.27</c:v>
                </c:pt>
                <c:pt idx="250">
                  <c:v>770507.27</c:v>
                </c:pt>
                <c:pt idx="251">
                  <c:v>770507.27</c:v>
                </c:pt>
                <c:pt idx="252">
                  <c:v>770507.27</c:v>
                </c:pt>
                <c:pt idx="253">
                  <c:v>770507.27</c:v>
                </c:pt>
                <c:pt idx="254">
                  <c:v>770507.27</c:v>
                </c:pt>
                <c:pt idx="255">
                  <c:v>770507.27</c:v>
                </c:pt>
                <c:pt idx="256">
                  <c:v>770507.27</c:v>
                </c:pt>
                <c:pt idx="257">
                  <c:v>770507.27</c:v>
                </c:pt>
                <c:pt idx="258">
                  <c:v>770507.27</c:v>
                </c:pt>
                <c:pt idx="259">
                  <c:v>770507.27</c:v>
                </c:pt>
                <c:pt idx="260">
                  <c:v>770507.27</c:v>
                </c:pt>
                <c:pt idx="261">
                  <c:v>770507.27</c:v>
                </c:pt>
                <c:pt idx="262">
                  <c:v>770507.27</c:v>
                </c:pt>
                <c:pt idx="263">
                  <c:v>770507.27</c:v>
                </c:pt>
                <c:pt idx="264">
                  <c:v>770507.27</c:v>
                </c:pt>
                <c:pt idx="265">
                  <c:v>770507.27</c:v>
                </c:pt>
                <c:pt idx="266">
                  <c:v>770507.27</c:v>
                </c:pt>
                <c:pt idx="267">
                  <c:v>770507.27</c:v>
                </c:pt>
                <c:pt idx="268">
                  <c:v>770507.27</c:v>
                </c:pt>
                <c:pt idx="269">
                  <c:v>770507.27</c:v>
                </c:pt>
                <c:pt idx="270">
                  <c:v>770507.27</c:v>
                </c:pt>
                <c:pt idx="271">
                  <c:v>770507.27</c:v>
                </c:pt>
                <c:pt idx="272">
                  <c:v>770507.27</c:v>
                </c:pt>
                <c:pt idx="273">
                  <c:v>770507.27</c:v>
                </c:pt>
                <c:pt idx="274">
                  <c:v>770507.27</c:v>
                </c:pt>
                <c:pt idx="275">
                  <c:v>770507.27</c:v>
                </c:pt>
                <c:pt idx="276">
                  <c:v>770507.27</c:v>
                </c:pt>
                <c:pt idx="277">
                  <c:v>770507.27</c:v>
                </c:pt>
                <c:pt idx="278">
                  <c:v>770507.27</c:v>
                </c:pt>
                <c:pt idx="279">
                  <c:v>770507.27</c:v>
                </c:pt>
                <c:pt idx="280">
                  <c:v>770507.27</c:v>
                </c:pt>
                <c:pt idx="281">
                  <c:v>770507.27</c:v>
                </c:pt>
                <c:pt idx="282">
                  <c:v>770507.27</c:v>
                </c:pt>
                <c:pt idx="283">
                  <c:v>770507.27</c:v>
                </c:pt>
                <c:pt idx="284">
                  <c:v>770507.27</c:v>
                </c:pt>
                <c:pt idx="285">
                  <c:v>770507.27</c:v>
                </c:pt>
                <c:pt idx="286">
                  <c:v>770507.27</c:v>
                </c:pt>
                <c:pt idx="287">
                  <c:v>770507.27</c:v>
                </c:pt>
                <c:pt idx="288">
                  <c:v>770507.27</c:v>
                </c:pt>
                <c:pt idx="289">
                  <c:v>770507.27</c:v>
                </c:pt>
                <c:pt idx="290">
                  <c:v>770507.27</c:v>
                </c:pt>
                <c:pt idx="291">
                  <c:v>770507.27</c:v>
                </c:pt>
                <c:pt idx="292">
                  <c:v>770507.27</c:v>
                </c:pt>
                <c:pt idx="293">
                  <c:v>770507.27</c:v>
                </c:pt>
                <c:pt idx="294">
                  <c:v>770507.27</c:v>
                </c:pt>
                <c:pt idx="295">
                  <c:v>770507.27</c:v>
                </c:pt>
                <c:pt idx="296">
                  <c:v>770507.27</c:v>
                </c:pt>
                <c:pt idx="297">
                  <c:v>770507.27</c:v>
                </c:pt>
                <c:pt idx="298">
                  <c:v>770507.27</c:v>
                </c:pt>
                <c:pt idx="299">
                  <c:v>770507.27</c:v>
                </c:pt>
                <c:pt idx="300">
                  <c:v>770507.27</c:v>
                </c:pt>
                <c:pt idx="301">
                  <c:v>770507.27</c:v>
                </c:pt>
                <c:pt idx="302">
                  <c:v>770507.27</c:v>
                </c:pt>
                <c:pt idx="303">
                  <c:v>770507.27</c:v>
                </c:pt>
                <c:pt idx="304">
                  <c:v>770507.27</c:v>
                </c:pt>
                <c:pt idx="305">
                  <c:v>770507.27</c:v>
                </c:pt>
                <c:pt idx="306">
                  <c:v>770507.27</c:v>
                </c:pt>
                <c:pt idx="307">
                  <c:v>770507.27</c:v>
                </c:pt>
                <c:pt idx="308">
                  <c:v>770507.27</c:v>
                </c:pt>
                <c:pt idx="309">
                  <c:v>770507.27</c:v>
                </c:pt>
                <c:pt idx="310">
                  <c:v>770507.27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513568</c:v>
                </c:pt>
                <c:pt idx="29">
                  <c:v>513568</c:v>
                </c:pt>
                <c:pt idx="30">
                  <c:v>513568</c:v>
                </c:pt>
                <c:pt idx="31">
                  <c:v>479607</c:v>
                </c:pt>
                <c:pt idx="32">
                  <c:v>814655.69</c:v>
                </c:pt>
                <c:pt idx="33">
                  <c:v>760258.82</c:v>
                </c:pt>
                <c:pt idx="34">
                  <c:v>760258.82</c:v>
                </c:pt>
                <c:pt idx="35">
                  <c:v>760258.82</c:v>
                </c:pt>
                <c:pt idx="36">
                  <c:v>683830.82</c:v>
                </c:pt>
                <c:pt idx="37">
                  <c:v>682855.82</c:v>
                </c:pt>
                <c:pt idx="38">
                  <c:v>572835.72</c:v>
                </c:pt>
                <c:pt idx="39">
                  <c:v>340933.03999999992</c:v>
                </c:pt>
                <c:pt idx="40">
                  <c:v>211703.92999999993</c:v>
                </c:pt>
                <c:pt idx="41">
                  <c:v>211703.92999999993</c:v>
                </c:pt>
                <c:pt idx="42">
                  <c:v>211703.92999999993</c:v>
                </c:pt>
                <c:pt idx="43">
                  <c:v>365774.32999999996</c:v>
                </c:pt>
                <c:pt idx="44">
                  <c:v>346357.76000000001</c:v>
                </c:pt>
                <c:pt idx="45">
                  <c:v>343198.70999999996</c:v>
                </c:pt>
                <c:pt idx="46">
                  <c:v>343198.70999999996</c:v>
                </c:pt>
                <c:pt idx="47">
                  <c:v>343198.70999999996</c:v>
                </c:pt>
                <c:pt idx="48">
                  <c:v>343198.70999999996</c:v>
                </c:pt>
                <c:pt idx="49">
                  <c:v>342900.47</c:v>
                </c:pt>
                <c:pt idx="50">
                  <c:v>342550.47</c:v>
                </c:pt>
                <c:pt idx="51">
                  <c:v>325232.54999999993</c:v>
                </c:pt>
                <c:pt idx="52">
                  <c:v>325232.54999999993</c:v>
                </c:pt>
                <c:pt idx="53">
                  <c:v>312657.54999999993</c:v>
                </c:pt>
                <c:pt idx="54">
                  <c:v>312657.54999999993</c:v>
                </c:pt>
                <c:pt idx="55">
                  <c:v>312657.54999999993</c:v>
                </c:pt>
                <c:pt idx="56">
                  <c:v>256628.72999999998</c:v>
                </c:pt>
                <c:pt idx="57">
                  <c:v>256628.72999999998</c:v>
                </c:pt>
                <c:pt idx="58">
                  <c:v>256628.72999999998</c:v>
                </c:pt>
                <c:pt idx="59">
                  <c:v>256628.72999999998</c:v>
                </c:pt>
                <c:pt idx="60">
                  <c:v>256628.72999999998</c:v>
                </c:pt>
                <c:pt idx="61">
                  <c:v>256628.72999999998</c:v>
                </c:pt>
                <c:pt idx="62">
                  <c:v>256628.72999999998</c:v>
                </c:pt>
                <c:pt idx="63">
                  <c:v>256628.72999999998</c:v>
                </c:pt>
                <c:pt idx="64">
                  <c:v>256628.72999999998</c:v>
                </c:pt>
                <c:pt idx="65">
                  <c:v>256628.72999999998</c:v>
                </c:pt>
                <c:pt idx="66">
                  <c:v>256628.72999999998</c:v>
                </c:pt>
                <c:pt idx="67">
                  <c:v>256628.72999999998</c:v>
                </c:pt>
                <c:pt idx="68">
                  <c:v>256628.72999999998</c:v>
                </c:pt>
                <c:pt idx="69">
                  <c:v>256628.72999999998</c:v>
                </c:pt>
                <c:pt idx="70">
                  <c:v>256628.72999999998</c:v>
                </c:pt>
                <c:pt idx="71">
                  <c:v>256628.72999999998</c:v>
                </c:pt>
                <c:pt idx="72">
                  <c:v>256628.72999999998</c:v>
                </c:pt>
                <c:pt idx="73">
                  <c:v>256628.72999999998</c:v>
                </c:pt>
                <c:pt idx="74">
                  <c:v>256628.72999999998</c:v>
                </c:pt>
                <c:pt idx="75">
                  <c:v>256628.72999999998</c:v>
                </c:pt>
                <c:pt idx="76">
                  <c:v>256628.72999999998</c:v>
                </c:pt>
                <c:pt idx="77">
                  <c:v>256628.72999999998</c:v>
                </c:pt>
                <c:pt idx="78">
                  <c:v>256628.72999999998</c:v>
                </c:pt>
                <c:pt idx="79">
                  <c:v>256628.72999999998</c:v>
                </c:pt>
                <c:pt idx="80">
                  <c:v>256628.72999999998</c:v>
                </c:pt>
                <c:pt idx="81">
                  <c:v>256628.72999999998</c:v>
                </c:pt>
                <c:pt idx="82">
                  <c:v>256628.72999999998</c:v>
                </c:pt>
                <c:pt idx="83">
                  <c:v>256628.72999999998</c:v>
                </c:pt>
                <c:pt idx="84">
                  <c:v>256628.72999999998</c:v>
                </c:pt>
                <c:pt idx="85">
                  <c:v>256628.72999999998</c:v>
                </c:pt>
                <c:pt idx="86">
                  <c:v>256628.72999999998</c:v>
                </c:pt>
                <c:pt idx="87">
                  <c:v>256628.72999999998</c:v>
                </c:pt>
                <c:pt idx="88">
                  <c:v>256628.72999999998</c:v>
                </c:pt>
                <c:pt idx="89">
                  <c:v>256628.72999999998</c:v>
                </c:pt>
                <c:pt idx="90">
                  <c:v>256628.72999999998</c:v>
                </c:pt>
                <c:pt idx="91">
                  <c:v>256628.72999999998</c:v>
                </c:pt>
                <c:pt idx="92">
                  <c:v>256628.72999999998</c:v>
                </c:pt>
                <c:pt idx="93">
                  <c:v>256628.72999999998</c:v>
                </c:pt>
                <c:pt idx="94">
                  <c:v>256628.72999999998</c:v>
                </c:pt>
                <c:pt idx="95">
                  <c:v>256628.72999999998</c:v>
                </c:pt>
                <c:pt idx="96">
                  <c:v>256628.72999999998</c:v>
                </c:pt>
                <c:pt idx="97">
                  <c:v>256628.72999999998</c:v>
                </c:pt>
                <c:pt idx="98">
                  <c:v>256628.72999999998</c:v>
                </c:pt>
                <c:pt idx="99">
                  <c:v>256628.72999999998</c:v>
                </c:pt>
                <c:pt idx="100">
                  <c:v>256628.72999999998</c:v>
                </c:pt>
                <c:pt idx="101">
                  <c:v>256628.72999999998</c:v>
                </c:pt>
                <c:pt idx="102">
                  <c:v>256628.72999999998</c:v>
                </c:pt>
                <c:pt idx="103">
                  <c:v>256628.72999999998</c:v>
                </c:pt>
                <c:pt idx="104">
                  <c:v>256628.72999999998</c:v>
                </c:pt>
                <c:pt idx="105">
                  <c:v>256628.72999999998</c:v>
                </c:pt>
                <c:pt idx="106">
                  <c:v>256628.72999999998</c:v>
                </c:pt>
                <c:pt idx="107">
                  <c:v>256628.72999999998</c:v>
                </c:pt>
                <c:pt idx="108">
                  <c:v>256628.72999999998</c:v>
                </c:pt>
                <c:pt idx="109">
                  <c:v>256628.72999999998</c:v>
                </c:pt>
                <c:pt idx="110">
                  <c:v>256628.72999999998</c:v>
                </c:pt>
                <c:pt idx="111">
                  <c:v>256628.72999999998</c:v>
                </c:pt>
                <c:pt idx="112">
                  <c:v>256628.72999999998</c:v>
                </c:pt>
                <c:pt idx="113">
                  <c:v>256628.72999999998</c:v>
                </c:pt>
                <c:pt idx="114">
                  <c:v>256628.72999999998</c:v>
                </c:pt>
                <c:pt idx="115">
                  <c:v>256628.72999999998</c:v>
                </c:pt>
                <c:pt idx="116">
                  <c:v>256628.72999999998</c:v>
                </c:pt>
                <c:pt idx="117">
                  <c:v>256628.72999999998</c:v>
                </c:pt>
                <c:pt idx="118">
                  <c:v>256628.72999999998</c:v>
                </c:pt>
                <c:pt idx="119">
                  <c:v>256628.72999999998</c:v>
                </c:pt>
                <c:pt idx="120">
                  <c:v>256628.72999999998</c:v>
                </c:pt>
                <c:pt idx="121">
                  <c:v>256628.72999999998</c:v>
                </c:pt>
                <c:pt idx="122">
                  <c:v>256628.72999999998</c:v>
                </c:pt>
                <c:pt idx="123">
                  <c:v>256628.72999999998</c:v>
                </c:pt>
                <c:pt idx="124">
                  <c:v>256628.72999999998</c:v>
                </c:pt>
                <c:pt idx="125">
                  <c:v>256628.72999999998</c:v>
                </c:pt>
                <c:pt idx="126">
                  <c:v>256628.72999999998</c:v>
                </c:pt>
                <c:pt idx="127">
                  <c:v>256628.72999999998</c:v>
                </c:pt>
                <c:pt idx="128">
                  <c:v>256628.72999999998</c:v>
                </c:pt>
                <c:pt idx="129">
                  <c:v>256628.72999999998</c:v>
                </c:pt>
                <c:pt idx="130">
                  <c:v>256628.72999999998</c:v>
                </c:pt>
                <c:pt idx="131">
                  <c:v>256628.72999999998</c:v>
                </c:pt>
                <c:pt idx="132">
                  <c:v>256628.72999999998</c:v>
                </c:pt>
                <c:pt idx="133">
                  <c:v>256628.72999999998</c:v>
                </c:pt>
                <c:pt idx="134">
                  <c:v>256628.72999999998</c:v>
                </c:pt>
                <c:pt idx="135">
                  <c:v>256628.72999999998</c:v>
                </c:pt>
                <c:pt idx="136">
                  <c:v>256628.72999999998</c:v>
                </c:pt>
                <c:pt idx="137">
                  <c:v>256628.72999999998</c:v>
                </c:pt>
                <c:pt idx="138">
                  <c:v>256628.72999999998</c:v>
                </c:pt>
                <c:pt idx="139">
                  <c:v>256628.72999999998</c:v>
                </c:pt>
                <c:pt idx="140">
                  <c:v>256628.72999999998</c:v>
                </c:pt>
                <c:pt idx="141">
                  <c:v>256628.72999999998</c:v>
                </c:pt>
                <c:pt idx="142">
                  <c:v>256628.72999999998</c:v>
                </c:pt>
                <c:pt idx="143">
                  <c:v>256628.72999999998</c:v>
                </c:pt>
                <c:pt idx="144">
                  <c:v>256628.72999999998</c:v>
                </c:pt>
                <c:pt idx="145">
                  <c:v>256628.72999999998</c:v>
                </c:pt>
                <c:pt idx="146">
                  <c:v>256628.72999999998</c:v>
                </c:pt>
                <c:pt idx="147">
                  <c:v>256628.72999999998</c:v>
                </c:pt>
                <c:pt idx="148">
                  <c:v>256628.72999999998</c:v>
                </c:pt>
                <c:pt idx="149">
                  <c:v>256628.72999999998</c:v>
                </c:pt>
                <c:pt idx="150">
                  <c:v>256628.72999999998</c:v>
                </c:pt>
                <c:pt idx="151">
                  <c:v>256628.72999999998</c:v>
                </c:pt>
                <c:pt idx="152">
                  <c:v>256628.72999999998</c:v>
                </c:pt>
                <c:pt idx="153">
                  <c:v>256628.72999999998</c:v>
                </c:pt>
                <c:pt idx="154">
                  <c:v>256628.72999999998</c:v>
                </c:pt>
                <c:pt idx="155">
                  <c:v>256628.72999999998</c:v>
                </c:pt>
                <c:pt idx="156">
                  <c:v>256628.72999999998</c:v>
                </c:pt>
                <c:pt idx="157">
                  <c:v>256628.72999999998</c:v>
                </c:pt>
                <c:pt idx="158">
                  <c:v>256628.72999999998</c:v>
                </c:pt>
                <c:pt idx="159">
                  <c:v>256628.72999999998</c:v>
                </c:pt>
                <c:pt idx="160">
                  <c:v>256628.72999999998</c:v>
                </c:pt>
                <c:pt idx="161">
                  <c:v>256628.72999999998</c:v>
                </c:pt>
                <c:pt idx="162">
                  <c:v>256628.72999999998</c:v>
                </c:pt>
                <c:pt idx="163">
                  <c:v>256628.72999999998</c:v>
                </c:pt>
                <c:pt idx="164">
                  <c:v>256628.72999999998</c:v>
                </c:pt>
                <c:pt idx="165">
                  <c:v>256628.72999999998</c:v>
                </c:pt>
                <c:pt idx="166">
                  <c:v>256628.72999999998</c:v>
                </c:pt>
                <c:pt idx="167">
                  <c:v>256628.72999999998</c:v>
                </c:pt>
                <c:pt idx="168">
                  <c:v>256628.72999999998</c:v>
                </c:pt>
                <c:pt idx="169">
                  <c:v>256628.72999999998</c:v>
                </c:pt>
                <c:pt idx="170">
                  <c:v>256628.72999999998</c:v>
                </c:pt>
                <c:pt idx="171">
                  <c:v>256628.72999999998</c:v>
                </c:pt>
                <c:pt idx="172">
                  <c:v>256628.72999999998</c:v>
                </c:pt>
                <c:pt idx="173">
                  <c:v>256628.72999999998</c:v>
                </c:pt>
                <c:pt idx="174">
                  <c:v>256628.72999999998</c:v>
                </c:pt>
                <c:pt idx="175">
                  <c:v>256628.72999999998</c:v>
                </c:pt>
                <c:pt idx="176">
                  <c:v>256628.72999999998</c:v>
                </c:pt>
                <c:pt idx="177">
                  <c:v>256628.72999999998</c:v>
                </c:pt>
                <c:pt idx="178">
                  <c:v>256628.72999999998</c:v>
                </c:pt>
                <c:pt idx="179">
                  <c:v>256628.72999999998</c:v>
                </c:pt>
                <c:pt idx="180">
                  <c:v>256628.72999999998</c:v>
                </c:pt>
                <c:pt idx="181">
                  <c:v>256628.72999999998</c:v>
                </c:pt>
                <c:pt idx="182">
                  <c:v>256628.72999999998</c:v>
                </c:pt>
                <c:pt idx="183">
                  <c:v>256628.72999999998</c:v>
                </c:pt>
                <c:pt idx="184">
                  <c:v>256628.72999999998</c:v>
                </c:pt>
                <c:pt idx="185">
                  <c:v>256628.72999999998</c:v>
                </c:pt>
                <c:pt idx="186">
                  <c:v>256628.72999999998</c:v>
                </c:pt>
                <c:pt idx="187">
                  <c:v>256628.72999999998</c:v>
                </c:pt>
                <c:pt idx="188">
                  <c:v>256628.72999999998</c:v>
                </c:pt>
                <c:pt idx="189">
                  <c:v>256628.72999999998</c:v>
                </c:pt>
                <c:pt idx="190">
                  <c:v>256628.72999999998</c:v>
                </c:pt>
                <c:pt idx="191">
                  <c:v>256628.72999999998</c:v>
                </c:pt>
                <c:pt idx="192">
                  <c:v>256628.72999999998</c:v>
                </c:pt>
                <c:pt idx="193">
                  <c:v>256628.72999999998</c:v>
                </c:pt>
                <c:pt idx="194">
                  <c:v>256628.72999999998</c:v>
                </c:pt>
                <c:pt idx="195">
                  <c:v>256628.72999999998</c:v>
                </c:pt>
                <c:pt idx="196">
                  <c:v>256628.72999999998</c:v>
                </c:pt>
                <c:pt idx="197">
                  <c:v>256628.72999999998</c:v>
                </c:pt>
                <c:pt idx="198">
                  <c:v>256628.72999999998</c:v>
                </c:pt>
                <c:pt idx="199">
                  <c:v>256628.72999999998</c:v>
                </c:pt>
                <c:pt idx="200">
                  <c:v>256628.72999999998</c:v>
                </c:pt>
                <c:pt idx="201">
                  <c:v>256628.72999999998</c:v>
                </c:pt>
                <c:pt idx="202">
                  <c:v>256628.72999999998</c:v>
                </c:pt>
                <c:pt idx="203">
                  <c:v>256628.72999999998</c:v>
                </c:pt>
                <c:pt idx="204">
                  <c:v>256628.72999999998</c:v>
                </c:pt>
                <c:pt idx="205">
                  <c:v>256628.72999999998</c:v>
                </c:pt>
                <c:pt idx="206">
                  <c:v>256628.72999999998</c:v>
                </c:pt>
                <c:pt idx="207">
                  <c:v>256628.72999999998</c:v>
                </c:pt>
                <c:pt idx="208">
                  <c:v>256628.72999999998</c:v>
                </c:pt>
                <c:pt idx="209">
                  <c:v>256628.72999999998</c:v>
                </c:pt>
                <c:pt idx="210">
                  <c:v>256628.72999999998</c:v>
                </c:pt>
                <c:pt idx="211">
                  <c:v>256628.72999999998</c:v>
                </c:pt>
                <c:pt idx="212">
                  <c:v>256628.72999999998</c:v>
                </c:pt>
                <c:pt idx="213">
                  <c:v>256628.72999999998</c:v>
                </c:pt>
                <c:pt idx="214">
                  <c:v>256628.72999999998</c:v>
                </c:pt>
                <c:pt idx="215">
                  <c:v>256628.72999999998</c:v>
                </c:pt>
                <c:pt idx="216">
                  <c:v>256628.72999999998</c:v>
                </c:pt>
                <c:pt idx="217">
                  <c:v>256628.72999999998</c:v>
                </c:pt>
                <c:pt idx="218">
                  <c:v>256628.72999999998</c:v>
                </c:pt>
                <c:pt idx="219">
                  <c:v>256628.72999999998</c:v>
                </c:pt>
                <c:pt idx="220">
                  <c:v>256628.72999999998</c:v>
                </c:pt>
                <c:pt idx="221">
                  <c:v>256628.72999999998</c:v>
                </c:pt>
                <c:pt idx="222">
                  <c:v>256628.72999999998</c:v>
                </c:pt>
                <c:pt idx="223">
                  <c:v>256628.72999999998</c:v>
                </c:pt>
                <c:pt idx="224">
                  <c:v>256628.72999999998</c:v>
                </c:pt>
                <c:pt idx="225">
                  <c:v>256628.72999999998</c:v>
                </c:pt>
                <c:pt idx="226">
                  <c:v>256628.72999999998</c:v>
                </c:pt>
                <c:pt idx="227">
                  <c:v>256628.72999999998</c:v>
                </c:pt>
                <c:pt idx="228">
                  <c:v>256628.72999999998</c:v>
                </c:pt>
                <c:pt idx="229">
                  <c:v>256628.72999999998</c:v>
                </c:pt>
                <c:pt idx="230">
                  <c:v>256628.72999999998</c:v>
                </c:pt>
                <c:pt idx="231">
                  <c:v>256628.72999999998</c:v>
                </c:pt>
                <c:pt idx="232">
                  <c:v>256628.72999999998</c:v>
                </c:pt>
                <c:pt idx="233">
                  <c:v>256628.72999999998</c:v>
                </c:pt>
                <c:pt idx="234">
                  <c:v>256628.72999999998</c:v>
                </c:pt>
                <c:pt idx="235">
                  <c:v>256628.72999999998</c:v>
                </c:pt>
                <c:pt idx="236">
                  <c:v>256628.72999999998</c:v>
                </c:pt>
                <c:pt idx="237">
                  <c:v>256628.72999999998</c:v>
                </c:pt>
                <c:pt idx="238">
                  <c:v>256628.72999999998</c:v>
                </c:pt>
                <c:pt idx="239">
                  <c:v>256628.72999999998</c:v>
                </c:pt>
                <c:pt idx="240">
                  <c:v>256628.72999999998</c:v>
                </c:pt>
                <c:pt idx="241">
                  <c:v>256628.72999999998</c:v>
                </c:pt>
                <c:pt idx="242">
                  <c:v>256628.72999999998</c:v>
                </c:pt>
                <c:pt idx="243">
                  <c:v>256628.72999999998</c:v>
                </c:pt>
                <c:pt idx="244">
                  <c:v>256628.72999999998</c:v>
                </c:pt>
                <c:pt idx="245">
                  <c:v>256628.72999999998</c:v>
                </c:pt>
                <c:pt idx="246">
                  <c:v>256628.72999999998</c:v>
                </c:pt>
                <c:pt idx="247">
                  <c:v>256628.72999999998</c:v>
                </c:pt>
                <c:pt idx="248">
                  <c:v>256628.72999999998</c:v>
                </c:pt>
                <c:pt idx="249">
                  <c:v>256628.72999999998</c:v>
                </c:pt>
                <c:pt idx="250">
                  <c:v>256628.72999999998</c:v>
                </c:pt>
                <c:pt idx="251">
                  <c:v>256628.72999999998</c:v>
                </c:pt>
                <c:pt idx="252">
                  <c:v>256628.72999999998</c:v>
                </c:pt>
                <c:pt idx="253">
                  <c:v>256628.72999999998</c:v>
                </c:pt>
                <c:pt idx="254">
                  <c:v>256628.72999999998</c:v>
                </c:pt>
                <c:pt idx="255">
                  <c:v>256628.72999999998</c:v>
                </c:pt>
                <c:pt idx="256">
                  <c:v>256628.72999999998</c:v>
                </c:pt>
                <c:pt idx="257">
                  <c:v>256628.72999999998</c:v>
                </c:pt>
                <c:pt idx="258">
                  <c:v>256628.72999999998</c:v>
                </c:pt>
                <c:pt idx="259">
                  <c:v>256628.72999999998</c:v>
                </c:pt>
                <c:pt idx="260">
                  <c:v>256628.72999999998</c:v>
                </c:pt>
                <c:pt idx="261">
                  <c:v>256628.72999999998</c:v>
                </c:pt>
                <c:pt idx="262">
                  <c:v>256628.72999999998</c:v>
                </c:pt>
                <c:pt idx="263">
                  <c:v>256628.72999999998</c:v>
                </c:pt>
                <c:pt idx="264">
                  <c:v>256628.72999999998</c:v>
                </c:pt>
                <c:pt idx="265">
                  <c:v>256628.72999999998</c:v>
                </c:pt>
                <c:pt idx="266">
                  <c:v>256628.72999999998</c:v>
                </c:pt>
                <c:pt idx="267">
                  <c:v>256628.72999999998</c:v>
                </c:pt>
                <c:pt idx="268">
                  <c:v>256628.72999999998</c:v>
                </c:pt>
                <c:pt idx="269">
                  <c:v>256628.72999999998</c:v>
                </c:pt>
                <c:pt idx="270">
                  <c:v>256628.72999999998</c:v>
                </c:pt>
                <c:pt idx="271">
                  <c:v>256628.72999999998</c:v>
                </c:pt>
                <c:pt idx="272">
                  <c:v>256628.72999999998</c:v>
                </c:pt>
                <c:pt idx="273">
                  <c:v>256628.72999999998</c:v>
                </c:pt>
                <c:pt idx="274">
                  <c:v>256628.72999999998</c:v>
                </c:pt>
                <c:pt idx="275">
                  <c:v>256628.72999999998</c:v>
                </c:pt>
                <c:pt idx="276">
                  <c:v>256628.72999999998</c:v>
                </c:pt>
                <c:pt idx="277">
                  <c:v>256628.72999999998</c:v>
                </c:pt>
                <c:pt idx="278">
                  <c:v>256628.72999999998</c:v>
                </c:pt>
                <c:pt idx="279">
                  <c:v>256628.72999999998</c:v>
                </c:pt>
                <c:pt idx="280">
                  <c:v>256628.72999999998</c:v>
                </c:pt>
                <c:pt idx="281">
                  <c:v>256628.72999999998</c:v>
                </c:pt>
                <c:pt idx="282">
                  <c:v>256628.72999999998</c:v>
                </c:pt>
                <c:pt idx="283">
                  <c:v>256628.72999999998</c:v>
                </c:pt>
                <c:pt idx="284">
                  <c:v>256628.72999999998</c:v>
                </c:pt>
                <c:pt idx="285">
                  <c:v>256628.72999999998</c:v>
                </c:pt>
                <c:pt idx="286">
                  <c:v>256628.72999999998</c:v>
                </c:pt>
                <c:pt idx="287">
                  <c:v>256628.72999999998</c:v>
                </c:pt>
                <c:pt idx="288">
                  <c:v>256628.72999999998</c:v>
                </c:pt>
                <c:pt idx="289">
                  <c:v>256628.72999999998</c:v>
                </c:pt>
                <c:pt idx="290">
                  <c:v>256628.72999999998</c:v>
                </c:pt>
                <c:pt idx="291">
                  <c:v>256628.72999999998</c:v>
                </c:pt>
                <c:pt idx="292">
                  <c:v>256628.72999999998</c:v>
                </c:pt>
                <c:pt idx="293">
                  <c:v>256628.72999999998</c:v>
                </c:pt>
                <c:pt idx="294">
                  <c:v>256628.72999999998</c:v>
                </c:pt>
                <c:pt idx="295">
                  <c:v>256628.72999999998</c:v>
                </c:pt>
                <c:pt idx="296">
                  <c:v>256628.72999999998</c:v>
                </c:pt>
                <c:pt idx="297">
                  <c:v>256628.72999999998</c:v>
                </c:pt>
                <c:pt idx="298">
                  <c:v>256628.72999999998</c:v>
                </c:pt>
                <c:pt idx="299">
                  <c:v>256628.72999999998</c:v>
                </c:pt>
                <c:pt idx="300">
                  <c:v>256628.72999999998</c:v>
                </c:pt>
                <c:pt idx="301">
                  <c:v>256628.72999999998</c:v>
                </c:pt>
                <c:pt idx="302">
                  <c:v>256628.72999999998</c:v>
                </c:pt>
                <c:pt idx="303">
                  <c:v>256628.72999999998</c:v>
                </c:pt>
                <c:pt idx="304">
                  <c:v>256628.72999999998</c:v>
                </c:pt>
                <c:pt idx="305">
                  <c:v>256628.72999999998</c:v>
                </c:pt>
                <c:pt idx="306">
                  <c:v>256628.72999999998</c:v>
                </c:pt>
                <c:pt idx="307">
                  <c:v>256628.72999999998</c:v>
                </c:pt>
                <c:pt idx="308">
                  <c:v>256628.72999999998</c:v>
                </c:pt>
                <c:pt idx="309">
                  <c:v>256628.72999999998</c:v>
                </c:pt>
                <c:pt idx="310">
                  <c:v>256628.72999999998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665572.37738261756</c:v>
                </c:pt>
                <c:pt idx="32">
                  <c:v>665572.37738261756</c:v>
                </c:pt>
                <c:pt idx="33">
                  <c:v>665572.37738261756</c:v>
                </c:pt>
                <c:pt idx="34">
                  <c:v>665572.37738261756</c:v>
                </c:pt>
                <c:pt idx="35">
                  <c:v>665572.37738261756</c:v>
                </c:pt>
                <c:pt idx="36">
                  <c:v>793108.80156658706</c:v>
                </c:pt>
                <c:pt idx="37">
                  <c:v>793108.80156658706</c:v>
                </c:pt>
                <c:pt idx="38">
                  <c:v>793108.80156658706</c:v>
                </c:pt>
                <c:pt idx="39">
                  <c:v>793108.80156658706</c:v>
                </c:pt>
                <c:pt idx="40">
                  <c:v>1006989.2981936657</c:v>
                </c:pt>
                <c:pt idx="41">
                  <c:v>1006989.2981936657</c:v>
                </c:pt>
                <c:pt idx="42">
                  <c:v>1006989.2981936657</c:v>
                </c:pt>
                <c:pt idx="43">
                  <c:v>1006989.2981936657</c:v>
                </c:pt>
                <c:pt idx="44">
                  <c:v>1008350.2981936657</c:v>
                </c:pt>
                <c:pt idx="45">
                  <c:v>1008350.2981936657</c:v>
                </c:pt>
                <c:pt idx="46">
                  <c:v>1008350.2981936657</c:v>
                </c:pt>
                <c:pt idx="47">
                  <c:v>1008350.2981936657</c:v>
                </c:pt>
                <c:pt idx="48">
                  <c:v>1008350.2981936657</c:v>
                </c:pt>
                <c:pt idx="49">
                  <c:v>1008350.2981936657</c:v>
                </c:pt>
                <c:pt idx="50">
                  <c:v>1008350.2981936657</c:v>
                </c:pt>
                <c:pt idx="51">
                  <c:v>1008350.2981936657</c:v>
                </c:pt>
                <c:pt idx="52">
                  <c:v>1008350.2981936657</c:v>
                </c:pt>
                <c:pt idx="53">
                  <c:v>1027122.8351519429</c:v>
                </c:pt>
                <c:pt idx="54">
                  <c:v>1027122.8351519429</c:v>
                </c:pt>
                <c:pt idx="55">
                  <c:v>1027122.8351519429</c:v>
                </c:pt>
                <c:pt idx="56">
                  <c:v>1027122.8351519429</c:v>
                </c:pt>
                <c:pt idx="57">
                  <c:v>1027122.8351519429</c:v>
                </c:pt>
                <c:pt idx="58">
                  <c:v>1027122.8351519429</c:v>
                </c:pt>
                <c:pt idx="59">
                  <c:v>1027122.8351519429</c:v>
                </c:pt>
                <c:pt idx="60">
                  <c:v>1027122.8351519429</c:v>
                </c:pt>
                <c:pt idx="61">
                  <c:v>1027122.8351519429</c:v>
                </c:pt>
                <c:pt idx="62">
                  <c:v>1027122.8351519429</c:v>
                </c:pt>
                <c:pt idx="63">
                  <c:v>1027122.8351519429</c:v>
                </c:pt>
                <c:pt idx="64">
                  <c:v>1027122.8351519429</c:v>
                </c:pt>
                <c:pt idx="65">
                  <c:v>1027122.8351519429</c:v>
                </c:pt>
                <c:pt idx="66">
                  <c:v>1027122.8351519429</c:v>
                </c:pt>
                <c:pt idx="67">
                  <c:v>1027122.8351519429</c:v>
                </c:pt>
                <c:pt idx="68">
                  <c:v>1027122.8351519429</c:v>
                </c:pt>
                <c:pt idx="69">
                  <c:v>1027122.8351519429</c:v>
                </c:pt>
                <c:pt idx="70">
                  <c:v>1027122.8351519429</c:v>
                </c:pt>
                <c:pt idx="71">
                  <c:v>1027122.8351519429</c:v>
                </c:pt>
                <c:pt idx="72">
                  <c:v>1027122.8351519429</c:v>
                </c:pt>
                <c:pt idx="73">
                  <c:v>1027122.8351519429</c:v>
                </c:pt>
                <c:pt idx="74">
                  <c:v>1027122.8351519429</c:v>
                </c:pt>
                <c:pt idx="75">
                  <c:v>1027122.8351519429</c:v>
                </c:pt>
                <c:pt idx="76">
                  <c:v>1027122.8351519429</c:v>
                </c:pt>
                <c:pt idx="77">
                  <c:v>1027122.8351519429</c:v>
                </c:pt>
                <c:pt idx="78">
                  <c:v>1027122.8351519429</c:v>
                </c:pt>
                <c:pt idx="79">
                  <c:v>1027122.8351519429</c:v>
                </c:pt>
                <c:pt idx="80">
                  <c:v>1027122.8351519429</c:v>
                </c:pt>
                <c:pt idx="81">
                  <c:v>1027122.8351519429</c:v>
                </c:pt>
                <c:pt idx="82">
                  <c:v>1027122.8351519429</c:v>
                </c:pt>
                <c:pt idx="83">
                  <c:v>1027122.8351519429</c:v>
                </c:pt>
                <c:pt idx="84">
                  <c:v>1027122.8351519429</c:v>
                </c:pt>
                <c:pt idx="85">
                  <c:v>1027122.8351519429</c:v>
                </c:pt>
                <c:pt idx="86">
                  <c:v>1027122.8351519429</c:v>
                </c:pt>
                <c:pt idx="87">
                  <c:v>1027122.8351519429</c:v>
                </c:pt>
                <c:pt idx="88">
                  <c:v>1027122.8351519429</c:v>
                </c:pt>
                <c:pt idx="89">
                  <c:v>1027122.8351519429</c:v>
                </c:pt>
                <c:pt idx="90">
                  <c:v>1027122.8351519429</c:v>
                </c:pt>
                <c:pt idx="91">
                  <c:v>1027122.8351519429</c:v>
                </c:pt>
                <c:pt idx="92">
                  <c:v>1027122.8351519429</c:v>
                </c:pt>
                <c:pt idx="93">
                  <c:v>1027122.8351519429</c:v>
                </c:pt>
                <c:pt idx="94">
                  <c:v>1027122.8351519429</c:v>
                </c:pt>
                <c:pt idx="95">
                  <c:v>1027122.8351519429</c:v>
                </c:pt>
                <c:pt idx="96">
                  <c:v>1027122.8351519429</c:v>
                </c:pt>
                <c:pt idx="97">
                  <c:v>1027122.8351519429</c:v>
                </c:pt>
                <c:pt idx="98">
                  <c:v>1027122.8351519429</c:v>
                </c:pt>
                <c:pt idx="99">
                  <c:v>1027122.8351519429</c:v>
                </c:pt>
                <c:pt idx="100">
                  <c:v>1027122.8351519429</c:v>
                </c:pt>
                <c:pt idx="101">
                  <c:v>1027122.8351519429</c:v>
                </c:pt>
                <c:pt idx="102">
                  <c:v>1027122.8351519429</c:v>
                </c:pt>
                <c:pt idx="103">
                  <c:v>1027122.8351519429</c:v>
                </c:pt>
                <c:pt idx="104">
                  <c:v>1027122.8351519429</c:v>
                </c:pt>
                <c:pt idx="105">
                  <c:v>1027122.8351519429</c:v>
                </c:pt>
                <c:pt idx="106">
                  <c:v>1027122.8351519429</c:v>
                </c:pt>
                <c:pt idx="107">
                  <c:v>1027122.8351519429</c:v>
                </c:pt>
                <c:pt idx="108">
                  <c:v>1027122.8351519429</c:v>
                </c:pt>
                <c:pt idx="109">
                  <c:v>1027122.8351519429</c:v>
                </c:pt>
                <c:pt idx="110">
                  <c:v>1027122.8351519429</c:v>
                </c:pt>
                <c:pt idx="111">
                  <c:v>1027122.8351519429</c:v>
                </c:pt>
                <c:pt idx="112">
                  <c:v>1027122.8351519429</c:v>
                </c:pt>
                <c:pt idx="113">
                  <c:v>1027122.8351519429</c:v>
                </c:pt>
                <c:pt idx="114">
                  <c:v>1027122.8351519429</c:v>
                </c:pt>
                <c:pt idx="115">
                  <c:v>1027122.8351519429</c:v>
                </c:pt>
                <c:pt idx="116">
                  <c:v>1027122.8351519429</c:v>
                </c:pt>
                <c:pt idx="117">
                  <c:v>1027122.8351519429</c:v>
                </c:pt>
                <c:pt idx="118">
                  <c:v>1027122.8351519429</c:v>
                </c:pt>
                <c:pt idx="119">
                  <c:v>1027122.8351519429</c:v>
                </c:pt>
                <c:pt idx="120">
                  <c:v>1027122.8351519429</c:v>
                </c:pt>
                <c:pt idx="121">
                  <c:v>1027122.8351519429</c:v>
                </c:pt>
                <c:pt idx="122">
                  <c:v>1027122.8351519429</c:v>
                </c:pt>
                <c:pt idx="123">
                  <c:v>1027122.8351519429</c:v>
                </c:pt>
                <c:pt idx="124">
                  <c:v>1027122.8351519429</c:v>
                </c:pt>
                <c:pt idx="125">
                  <c:v>1027122.8351519429</c:v>
                </c:pt>
                <c:pt idx="126">
                  <c:v>1027122.8351519429</c:v>
                </c:pt>
                <c:pt idx="127">
                  <c:v>1027122.8351519429</c:v>
                </c:pt>
                <c:pt idx="128">
                  <c:v>1027122.8351519429</c:v>
                </c:pt>
                <c:pt idx="129">
                  <c:v>1027122.8351519429</c:v>
                </c:pt>
                <c:pt idx="130">
                  <c:v>1027122.8351519429</c:v>
                </c:pt>
                <c:pt idx="131">
                  <c:v>1027122.8351519429</c:v>
                </c:pt>
                <c:pt idx="132">
                  <c:v>1027122.8351519429</c:v>
                </c:pt>
                <c:pt idx="133">
                  <c:v>1027122.8351519429</c:v>
                </c:pt>
                <c:pt idx="134">
                  <c:v>1027122.8351519429</c:v>
                </c:pt>
                <c:pt idx="135">
                  <c:v>1027122.8351519429</c:v>
                </c:pt>
                <c:pt idx="136">
                  <c:v>1027122.8351519429</c:v>
                </c:pt>
                <c:pt idx="137">
                  <c:v>1027122.8351519429</c:v>
                </c:pt>
                <c:pt idx="138">
                  <c:v>1027122.8351519429</c:v>
                </c:pt>
                <c:pt idx="139">
                  <c:v>1027122.8351519429</c:v>
                </c:pt>
                <c:pt idx="140">
                  <c:v>1027122.8351519429</c:v>
                </c:pt>
                <c:pt idx="141">
                  <c:v>1027122.8351519429</c:v>
                </c:pt>
                <c:pt idx="142">
                  <c:v>1027122.8351519429</c:v>
                </c:pt>
                <c:pt idx="143">
                  <c:v>1027122.8351519429</c:v>
                </c:pt>
                <c:pt idx="144">
                  <c:v>1027122.8351519429</c:v>
                </c:pt>
                <c:pt idx="145">
                  <c:v>1027122.8351519429</c:v>
                </c:pt>
                <c:pt idx="146">
                  <c:v>1027122.8351519429</c:v>
                </c:pt>
                <c:pt idx="147">
                  <c:v>1027122.8351519429</c:v>
                </c:pt>
                <c:pt idx="148">
                  <c:v>1027122.8351519429</c:v>
                </c:pt>
                <c:pt idx="149">
                  <c:v>1027122.8351519429</c:v>
                </c:pt>
                <c:pt idx="150">
                  <c:v>1027122.8351519429</c:v>
                </c:pt>
                <c:pt idx="151">
                  <c:v>1027122.8351519429</c:v>
                </c:pt>
                <c:pt idx="152">
                  <c:v>1027122.8351519429</c:v>
                </c:pt>
                <c:pt idx="153">
                  <c:v>1027122.8351519429</c:v>
                </c:pt>
                <c:pt idx="154">
                  <c:v>1027122.8351519429</c:v>
                </c:pt>
                <c:pt idx="155">
                  <c:v>1027122.8351519429</c:v>
                </c:pt>
                <c:pt idx="156">
                  <c:v>1027122.8351519429</c:v>
                </c:pt>
                <c:pt idx="157">
                  <c:v>1027122.8351519429</c:v>
                </c:pt>
                <c:pt idx="158">
                  <c:v>1027122.8351519429</c:v>
                </c:pt>
                <c:pt idx="159">
                  <c:v>1027122.8351519429</c:v>
                </c:pt>
                <c:pt idx="160">
                  <c:v>1027122.8351519429</c:v>
                </c:pt>
                <c:pt idx="161">
                  <c:v>1027122.8351519429</c:v>
                </c:pt>
                <c:pt idx="162">
                  <c:v>1027122.8351519429</c:v>
                </c:pt>
                <c:pt idx="163">
                  <c:v>1027122.8351519429</c:v>
                </c:pt>
                <c:pt idx="164">
                  <c:v>1027122.8351519429</c:v>
                </c:pt>
                <c:pt idx="165">
                  <c:v>1027122.8351519429</c:v>
                </c:pt>
                <c:pt idx="166">
                  <c:v>1027122.8351519429</c:v>
                </c:pt>
                <c:pt idx="167">
                  <c:v>1027122.8351519429</c:v>
                </c:pt>
                <c:pt idx="168">
                  <c:v>1027122.8351519429</c:v>
                </c:pt>
                <c:pt idx="169">
                  <c:v>1027122.8351519429</c:v>
                </c:pt>
                <c:pt idx="170">
                  <c:v>1027122.8351519429</c:v>
                </c:pt>
                <c:pt idx="171">
                  <c:v>1027122.8351519429</c:v>
                </c:pt>
                <c:pt idx="172">
                  <c:v>1027122.8351519429</c:v>
                </c:pt>
                <c:pt idx="173">
                  <c:v>1027122.8351519429</c:v>
                </c:pt>
                <c:pt idx="174">
                  <c:v>1027122.8351519429</c:v>
                </c:pt>
                <c:pt idx="175">
                  <c:v>1027122.8351519429</c:v>
                </c:pt>
                <c:pt idx="176">
                  <c:v>1027122.8351519429</c:v>
                </c:pt>
                <c:pt idx="177">
                  <c:v>1027122.8351519429</c:v>
                </c:pt>
                <c:pt idx="178">
                  <c:v>1027122.8351519429</c:v>
                </c:pt>
                <c:pt idx="179">
                  <c:v>1027122.8351519429</c:v>
                </c:pt>
                <c:pt idx="180">
                  <c:v>1027122.8351519429</c:v>
                </c:pt>
                <c:pt idx="181">
                  <c:v>1027122.8351519429</c:v>
                </c:pt>
                <c:pt idx="182">
                  <c:v>1027122.8351519429</c:v>
                </c:pt>
                <c:pt idx="183">
                  <c:v>1027122.8351519429</c:v>
                </c:pt>
                <c:pt idx="184">
                  <c:v>1027122.8351519429</c:v>
                </c:pt>
                <c:pt idx="185">
                  <c:v>1027122.8351519429</c:v>
                </c:pt>
                <c:pt idx="186">
                  <c:v>1027122.8351519429</c:v>
                </c:pt>
                <c:pt idx="187">
                  <c:v>1027122.8351519429</c:v>
                </c:pt>
                <c:pt idx="188">
                  <c:v>1027122.8351519429</c:v>
                </c:pt>
                <c:pt idx="189">
                  <c:v>1027122.8351519429</c:v>
                </c:pt>
                <c:pt idx="190">
                  <c:v>1027122.8351519429</c:v>
                </c:pt>
                <c:pt idx="191">
                  <c:v>1027122.8351519429</c:v>
                </c:pt>
                <c:pt idx="192">
                  <c:v>1027122.8351519429</c:v>
                </c:pt>
                <c:pt idx="193">
                  <c:v>1027122.8351519429</c:v>
                </c:pt>
                <c:pt idx="194">
                  <c:v>1027122.8351519429</c:v>
                </c:pt>
                <c:pt idx="195">
                  <c:v>1027122.8351519429</c:v>
                </c:pt>
                <c:pt idx="196">
                  <c:v>1027122.8351519429</c:v>
                </c:pt>
                <c:pt idx="197">
                  <c:v>1027122.8351519429</c:v>
                </c:pt>
                <c:pt idx="198">
                  <c:v>1027122.8351519429</c:v>
                </c:pt>
                <c:pt idx="199">
                  <c:v>1027122.8351519429</c:v>
                </c:pt>
                <c:pt idx="200">
                  <c:v>1027122.8351519429</c:v>
                </c:pt>
                <c:pt idx="201">
                  <c:v>1027122.8351519429</c:v>
                </c:pt>
                <c:pt idx="202">
                  <c:v>1027122.8351519429</c:v>
                </c:pt>
                <c:pt idx="203">
                  <c:v>1027122.8351519429</c:v>
                </c:pt>
                <c:pt idx="204">
                  <c:v>1027122.8351519429</c:v>
                </c:pt>
                <c:pt idx="205">
                  <c:v>1027122.8351519429</c:v>
                </c:pt>
                <c:pt idx="206">
                  <c:v>1027122.8351519429</c:v>
                </c:pt>
                <c:pt idx="207">
                  <c:v>1027122.8351519429</c:v>
                </c:pt>
                <c:pt idx="208">
                  <c:v>1027122.8351519429</c:v>
                </c:pt>
                <c:pt idx="209">
                  <c:v>1027122.8351519429</c:v>
                </c:pt>
                <c:pt idx="210">
                  <c:v>1027122.8351519429</c:v>
                </c:pt>
                <c:pt idx="211">
                  <c:v>1027122.8351519429</c:v>
                </c:pt>
                <c:pt idx="212">
                  <c:v>1027122.8351519429</c:v>
                </c:pt>
                <c:pt idx="213">
                  <c:v>1027122.8351519429</c:v>
                </c:pt>
                <c:pt idx="214">
                  <c:v>1027122.8351519429</c:v>
                </c:pt>
                <c:pt idx="215">
                  <c:v>1027122.8351519429</c:v>
                </c:pt>
                <c:pt idx="216">
                  <c:v>1027122.8351519429</c:v>
                </c:pt>
                <c:pt idx="217">
                  <c:v>1027122.8351519429</c:v>
                </c:pt>
                <c:pt idx="218">
                  <c:v>1027122.8351519429</c:v>
                </c:pt>
                <c:pt idx="219">
                  <c:v>1027122.8351519429</c:v>
                </c:pt>
                <c:pt idx="220">
                  <c:v>1027122.8351519429</c:v>
                </c:pt>
                <c:pt idx="221">
                  <c:v>1027122.8351519429</c:v>
                </c:pt>
                <c:pt idx="222">
                  <c:v>1027122.8351519429</c:v>
                </c:pt>
                <c:pt idx="223">
                  <c:v>1027122.8351519429</c:v>
                </c:pt>
                <c:pt idx="224">
                  <c:v>1027122.8351519429</c:v>
                </c:pt>
                <c:pt idx="225">
                  <c:v>1027122.8351519429</c:v>
                </c:pt>
                <c:pt idx="226">
                  <c:v>1027122.8351519429</c:v>
                </c:pt>
                <c:pt idx="227">
                  <c:v>1027122.8351519429</c:v>
                </c:pt>
                <c:pt idx="228">
                  <c:v>1027122.8351519429</c:v>
                </c:pt>
                <c:pt idx="229">
                  <c:v>1027122.8351519429</c:v>
                </c:pt>
                <c:pt idx="230">
                  <c:v>1027122.8351519429</c:v>
                </c:pt>
                <c:pt idx="231">
                  <c:v>1027122.8351519429</c:v>
                </c:pt>
                <c:pt idx="232">
                  <c:v>1027122.8351519429</c:v>
                </c:pt>
                <c:pt idx="233">
                  <c:v>1027122.8351519429</c:v>
                </c:pt>
                <c:pt idx="234">
                  <c:v>1027122.8351519429</c:v>
                </c:pt>
                <c:pt idx="235">
                  <c:v>1027122.8351519429</c:v>
                </c:pt>
                <c:pt idx="236">
                  <c:v>1027122.8351519429</c:v>
                </c:pt>
                <c:pt idx="237">
                  <c:v>1027122.8351519429</c:v>
                </c:pt>
                <c:pt idx="238">
                  <c:v>1027122.8351519429</c:v>
                </c:pt>
                <c:pt idx="239">
                  <c:v>1027122.8351519429</c:v>
                </c:pt>
                <c:pt idx="240">
                  <c:v>1027122.8351519429</c:v>
                </c:pt>
                <c:pt idx="241">
                  <c:v>1027122.8351519429</c:v>
                </c:pt>
                <c:pt idx="242">
                  <c:v>1027122.8351519429</c:v>
                </c:pt>
                <c:pt idx="243">
                  <c:v>1027122.8351519429</c:v>
                </c:pt>
                <c:pt idx="244">
                  <c:v>1027122.8351519429</c:v>
                </c:pt>
                <c:pt idx="245">
                  <c:v>1027122.8351519429</c:v>
                </c:pt>
                <c:pt idx="246">
                  <c:v>1027122.8351519429</c:v>
                </c:pt>
                <c:pt idx="247">
                  <c:v>1027122.8351519429</c:v>
                </c:pt>
                <c:pt idx="248">
                  <c:v>1027122.8351519429</c:v>
                </c:pt>
                <c:pt idx="249">
                  <c:v>1027122.8351519429</c:v>
                </c:pt>
                <c:pt idx="250">
                  <c:v>1027122.8351519429</c:v>
                </c:pt>
                <c:pt idx="251">
                  <c:v>1027122.8351519429</c:v>
                </c:pt>
                <c:pt idx="252">
                  <c:v>1027122.8351519429</c:v>
                </c:pt>
                <c:pt idx="253">
                  <c:v>1027122.8351519429</c:v>
                </c:pt>
                <c:pt idx="254">
                  <c:v>1027122.8351519429</c:v>
                </c:pt>
                <c:pt idx="255">
                  <c:v>1027122.8351519429</c:v>
                </c:pt>
                <c:pt idx="256">
                  <c:v>1027122.8351519429</c:v>
                </c:pt>
                <c:pt idx="257">
                  <c:v>1027122.8351519429</c:v>
                </c:pt>
                <c:pt idx="258">
                  <c:v>1027122.8351519429</c:v>
                </c:pt>
                <c:pt idx="259">
                  <c:v>1027122.8351519429</c:v>
                </c:pt>
                <c:pt idx="260">
                  <c:v>1027122.8351519429</c:v>
                </c:pt>
                <c:pt idx="261">
                  <c:v>1027122.8351519429</c:v>
                </c:pt>
                <c:pt idx="262">
                  <c:v>1027122.8351519429</c:v>
                </c:pt>
                <c:pt idx="263">
                  <c:v>1027122.8351519429</c:v>
                </c:pt>
                <c:pt idx="264">
                  <c:v>1027122.8351519429</c:v>
                </c:pt>
                <c:pt idx="265">
                  <c:v>1027122.8351519429</c:v>
                </c:pt>
                <c:pt idx="266">
                  <c:v>1027122.8351519429</c:v>
                </c:pt>
                <c:pt idx="267">
                  <c:v>1027122.8351519429</c:v>
                </c:pt>
                <c:pt idx="268">
                  <c:v>1027122.8351519429</c:v>
                </c:pt>
                <c:pt idx="269">
                  <c:v>1027122.8351519429</c:v>
                </c:pt>
                <c:pt idx="270">
                  <c:v>1027122.8351519429</c:v>
                </c:pt>
                <c:pt idx="271">
                  <c:v>1027122.8351519429</c:v>
                </c:pt>
                <c:pt idx="272">
                  <c:v>1027122.8351519429</c:v>
                </c:pt>
                <c:pt idx="273">
                  <c:v>1027122.8351519429</c:v>
                </c:pt>
                <c:pt idx="274">
                  <c:v>1027122.8351519429</c:v>
                </c:pt>
                <c:pt idx="275">
                  <c:v>1027122.8351519429</c:v>
                </c:pt>
                <c:pt idx="276">
                  <c:v>1027122.8351519429</c:v>
                </c:pt>
                <c:pt idx="277">
                  <c:v>1027122.8351519429</c:v>
                </c:pt>
                <c:pt idx="278">
                  <c:v>1027122.8351519429</c:v>
                </c:pt>
                <c:pt idx="279">
                  <c:v>1027122.8351519429</c:v>
                </c:pt>
                <c:pt idx="280">
                  <c:v>1027122.8351519429</c:v>
                </c:pt>
                <c:pt idx="281">
                  <c:v>1027122.8351519429</c:v>
                </c:pt>
                <c:pt idx="282">
                  <c:v>1027122.8351519429</c:v>
                </c:pt>
                <c:pt idx="283">
                  <c:v>1027122.8351519429</c:v>
                </c:pt>
                <c:pt idx="284">
                  <c:v>1027122.8351519429</c:v>
                </c:pt>
                <c:pt idx="285">
                  <c:v>1027122.8351519429</c:v>
                </c:pt>
                <c:pt idx="286">
                  <c:v>1027122.8351519429</c:v>
                </c:pt>
                <c:pt idx="287">
                  <c:v>1027122.8351519429</c:v>
                </c:pt>
                <c:pt idx="288">
                  <c:v>1027122.8351519429</c:v>
                </c:pt>
                <c:pt idx="289">
                  <c:v>1027122.8351519429</c:v>
                </c:pt>
                <c:pt idx="290">
                  <c:v>1027122.8351519429</c:v>
                </c:pt>
                <c:pt idx="291">
                  <c:v>1027122.8351519429</c:v>
                </c:pt>
                <c:pt idx="292">
                  <c:v>1027122.8351519429</c:v>
                </c:pt>
                <c:pt idx="293">
                  <c:v>1027122.8351519429</c:v>
                </c:pt>
                <c:pt idx="294">
                  <c:v>1027122.8351519429</c:v>
                </c:pt>
                <c:pt idx="295">
                  <c:v>1027122.8351519429</c:v>
                </c:pt>
                <c:pt idx="296">
                  <c:v>1027122.8351519429</c:v>
                </c:pt>
                <c:pt idx="297">
                  <c:v>1027122.8351519429</c:v>
                </c:pt>
                <c:pt idx="298">
                  <c:v>1027122.8351519429</c:v>
                </c:pt>
                <c:pt idx="299">
                  <c:v>1027122.8351519429</c:v>
                </c:pt>
                <c:pt idx="300">
                  <c:v>1027122.8351519429</c:v>
                </c:pt>
                <c:pt idx="301">
                  <c:v>1027122.8351519429</c:v>
                </c:pt>
                <c:pt idx="302">
                  <c:v>1027122.8351519429</c:v>
                </c:pt>
                <c:pt idx="303">
                  <c:v>1027122.8351519429</c:v>
                </c:pt>
                <c:pt idx="304">
                  <c:v>1027122.8351519429</c:v>
                </c:pt>
                <c:pt idx="305">
                  <c:v>1027122.8351519429</c:v>
                </c:pt>
                <c:pt idx="306">
                  <c:v>1027122.8351519429</c:v>
                </c:pt>
                <c:pt idx="307">
                  <c:v>1027122.8351519429</c:v>
                </c:pt>
                <c:pt idx="308">
                  <c:v>1027122.8351519429</c:v>
                </c:pt>
                <c:pt idx="309">
                  <c:v>1027122.8351519429</c:v>
                </c:pt>
                <c:pt idx="310">
                  <c:v>1027122.8351519429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581957</xdr:colOff>
      <xdr:row>20</xdr:row>
      <xdr:rowOff>33057</xdr:rowOff>
    </xdr:from>
    <xdr:to>
      <xdr:col>37</xdr:col>
      <xdr:colOff>547407</xdr:colOff>
      <xdr:row>47</xdr:row>
      <xdr:rowOff>86471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79EC45-99F4-1179-01DA-047190D5C8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7519675924" createdVersion="8" refreshedVersion="8" minRefreshableVersion="3" recordCount="155" xr:uid="{D37A5069-1A2D-4864-A726-735BFBE61275}">
  <cacheSource type="worksheet">
    <worksheetSource ref="L4:X15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26812.1"/>
    </cacheField>
    <cacheField name="Rate / Unit" numFmtId="0">
      <sharedItems containsString="0" containsBlank="1" containsNumber="1" minValue="0.05" maxValue="37065.17"/>
    </cacheField>
    <cacheField name="Actual Total " numFmtId="0">
      <sharedItems containsString="0" containsBlank="1" containsNumber="1" minValue="0" maxValue="14117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2-01T00:00:00" count="20">
        <m/>
        <d v="2025-08-31T00:00:00"/>
        <s v=""/>
        <d v="2025-09-30T00:00:00"/>
        <d v="2025-10-31T00:00:00"/>
        <d v="2025-11-30T00:00:00"/>
        <d v="2026-01-31T00:00:00"/>
        <d v="2025-12-30T00:00:00" u="1"/>
        <d v="2025-11-01T00:00:00" u="1"/>
        <d v="2025-11-02T00:00:00" u="1"/>
        <d v="2025-11-03T00:00:00" u="1"/>
        <d v="2025-11-04T00:00:00" u="1"/>
        <d v="2025-11-05T00:00:00" u="1"/>
        <d v="2025-07-31T00:00:00" u="1"/>
        <d v="2025-06-30T00:00:00" u="1"/>
        <d v="2024-08-31T00:00:00" u="1"/>
        <d v="2025-05-31T00:00:00" u="1"/>
        <d v="2025-04-30T00:00:00" u="1"/>
        <d v="2025-12-31T00:00:00" u="1"/>
        <d v="2025-03-31T00:00:00" u="1"/>
      </sharedItems>
    </cacheField>
    <cacheField name="REVENUE RECOGNITION AMOUNT" numFmtId="0">
      <sharedItems containsString="0" containsBlank="1" containsNumber="1" minValue="0" maxValue="195198.55497606823"/>
    </cacheField>
    <cacheField name="CHECK" numFmtId="0">
      <sharedItems containsString="0" containsBlank="1" containsNumber="1" minValue="-3041.2802514242358" maxValue="12.165099481266225"/>
    </cacheField>
    <cacheField name="FINANCE PAYMENT DATE" numFmtId="0">
      <sharedItems containsNonDate="0" containsDate="1" containsString="0" containsBlank="1" minDate="2025-08-29T00:00:00" maxDate="2026-01-30T00:00:00"/>
    </cacheField>
    <cacheField name="Total COS" numFmtId="0">
      <sharedItems containsString="0" containsBlank="1" containsNumber="1" minValue="0" maxValue="1491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620W modules - 66HL4M-BDV - Menlo"/>
    <n v="114.51612903225806"/>
    <n v="1227.5999999999999"/>
    <n v="141174"/>
    <s v="PO4273-IKZN-20250825 - RV Approved"/>
    <s v="Menlo INV0003176"/>
    <x v="1"/>
    <n v="195198.55497606823"/>
    <n v="0"/>
    <d v="2025-10-24T00:00:00"/>
    <n v="149174"/>
  </r>
  <r>
    <n v="1"/>
    <x v="1"/>
    <s v="Delivery"/>
    <m/>
    <m/>
    <n v="8000"/>
    <m/>
    <s v="Menlo INV0003176"/>
    <x v="1"/>
    <n v="11061.445023931785"/>
    <m/>
    <d v="2025-10-24T00:00:00"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36KTL - Menlo"/>
    <n v="2"/>
    <n v="37065.17"/>
    <n v="74130.34"/>
    <s v="PO4273-IKZN-20250825 - RV Approved"/>
    <s v="Menlo INV003176"/>
    <x v="1"/>
    <n v="95038"/>
    <n v="0"/>
    <d v="2025-10-24T00:00:00"/>
    <n v="74130.34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3929.11"/>
    <s v="PO4272-IKZN-20250825 - RV Approved"/>
    <s v="Schletter Inv: INV2149"/>
    <x v="3"/>
    <n v="103363.49661863084"/>
    <n v="0"/>
    <d v="2025-10-30T00:00:00"/>
    <n v="101652.61"/>
  </r>
  <r>
    <n v="3"/>
    <x v="3"/>
    <s v="Lintels"/>
    <m/>
    <m/>
    <n v="17723.5"/>
    <s v="PO4293-IKZN-20250902 - RV Approved"/>
    <s v="Precast Structural - IN44436"/>
    <x v="3"/>
    <n v="21827.503381369155"/>
    <m/>
    <d v="2025-09-11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Rubicon"/>
    <n v="4000"/>
    <n v="13.5"/>
    <n v="54000"/>
    <s v="PO4273-IKZN-20250825 - RV Approved"/>
    <s v="Rubicon - INVWCRE-0070283"/>
    <x v="1"/>
    <n v="42628.832185877829"/>
    <n v="0"/>
    <d v="2025-09-30T00:00:00"/>
    <n v="100367"/>
  </r>
  <r>
    <n v="4"/>
    <x v="4"/>
    <m/>
    <m/>
    <m/>
    <m/>
    <m/>
    <m/>
    <x v="0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46367"/>
    <n v="0.1"/>
    <n v="4636.7"/>
    <s v="PO4270-IKZN-20250825 - RV Approved"/>
    <s v="Thula Moya IN04863"/>
    <x v="1"/>
    <n v="3660.3167814122171"/>
    <m/>
    <d v="2025-09-04T00:00:00"/>
    <m/>
  </r>
  <r>
    <n v="4"/>
    <x v="4"/>
    <s v="Site Establishment"/>
    <m/>
    <n v="0.15"/>
    <n v="6955.05"/>
    <m/>
    <s v="Thula Moya IN04864"/>
    <x v="1"/>
    <n v="5490.4751721183256"/>
    <m/>
    <d v="2025-09-11T00:00:00"/>
    <m/>
  </r>
  <r>
    <n v="4"/>
    <x v="4"/>
    <s v="AC Installation Complete"/>
    <m/>
    <n v="0.2"/>
    <n v="9273.4"/>
    <m/>
    <s v="Thula Moya IN04865"/>
    <x v="1"/>
    <n v="7320.6335628244342"/>
    <m/>
    <d v="2025-10-16T00:00:00"/>
    <m/>
  </r>
  <r>
    <n v="4"/>
    <x v="4"/>
    <s v="DC Installation Complete"/>
    <m/>
    <n v="0.25"/>
    <n v="11591.75"/>
    <m/>
    <s v="Thula Moya IN04866"/>
    <x v="1"/>
    <n v="9150.7919535305427"/>
    <m/>
    <d v="2025-10-16T00:00:00"/>
    <m/>
  </r>
  <r>
    <n v="4"/>
    <x v="4"/>
    <s v="Commissioning Complete"/>
    <m/>
    <n v="0.1"/>
    <n v="4636.7"/>
    <m/>
    <s v="Thula Moya IN04867"/>
    <x v="1"/>
    <n v="3660.3167814122171"/>
    <m/>
    <d v="2026-01-29T00:00:00"/>
    <m/>
  </r>
  <r>
    <n v="4"/>
    <x v="4"/>
    <s v="Site De-establisment"/>
    <m/>
    <n v="0.1"/>
    <n v="4636.7"/>
    <m/>
    <s v="Thula Moya IN04868"/>
    <x v="1"/>
    <n v="3660.3167814122171"/>
    <m/>
    <d v="2026-01-29T00:00:00"/>
    <m/>
  </r>
  <r>
    <n v="4"/>
    <x v="4"/>
    <s v="Handover Document Complete"/>
    <m/>
    <n v="0.05"/>
    <n v="2318.35"/>
    <m/>
    <s v="Thula Moya IN04869"/>
    <x v="1"/>
    <n v="1830.1583907061085"/>
    <m/>
    <d v="2026-01-15T00:00:00"/>
    <m/>
  </r>
  <r>
    <n v="4"/>
    <x v="4"/>
    <s v="End of Defects Period"/>
    <m/>
    <n v="0.05"/>
    <n v="2318.35"/>
    <m/>
    <s v="Thula Moya IN04870"/>
    <x v="1"/>
    <n v="1830.1583907061085"/>
    <m/>
    <d v="2026-01-1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s v="PO4273-IKZN-20250825 - RV Approved"/>
    <s v="Menlo INV003176"/>
    <x v="1"/>
    <n v="13585.528030442627"/>
    <n v="12.165099481266225"/>
    <d v="2025-10-24T00:00:00"/>
    <n v="89397.709999999992"/>
  </r>
  <r>
    <n v="5"/>
    <x v="5"/>
    <s v="CTs &amp; Meters"/>
    <m/>
    <m/>
    <n v="22428"/>
    <s v="PO4271-IKZN-20250825 - RV Approved"/>
    <s v="AccuEnergy ASAI-006226"/>
    <x v="1"/>
    <n v="35436.633427704328"/>
    <m/>
    <d v="2025-09-30T00:00:00"/>
    <m/>
  </r>
  <r>
    <n v="5"/>
    <x v="5"/>
    <s v="Techsitter"/>
    <m/>
    <m/>
    <n v="11169"/>
    <m/>
    <s v="Matriarch - INV-4999"/>
    <x v="1"/>
    <n v="17647.215924470736"/>
    <m/>
    <d v="2025-08-31T00:00:00"/>
    <m/>
  </r>
  <r>
    <n v="5"/>
    <x v="5"/>
    <s v="Apex - Allocated from Corporate Park"/>
    <m/>
    <m/>
    <n v="44000"/>
    <s v="PO4176-DCP-20250728 - RV Approved"/>
    <s v="Allocated from Corporate PArk"/>
    <x v="4"/>
    <n v="139319.34685811546"/>
    <m/>
    <d v="2025-10-31T00:00:00"/>
    <m/>
  </r>
  <r>
    <n v="5"/>
    <x v="5"/>
    <s v="Delivery of Apex &amp; Techsitter + Power Supply"/>
    <m/>
    <m/>
    <n v="577.37"/>
    <m/>
    <s v="DSV Inv: 180150385"/>
    <x v="4"/>
    <n v="1379.8946741022314"/>
    <m/>
    <d v="2025-11-30T00:00:00"/>
    <m/>
  </r>
  <r>
    <n v="5"/>
    <x v="5"/>
    <s v="Battery &amp; Power Supply "/>
    <m/>
    <n v="3500"/>
    <n v="975"/>
    <m/>
    <s v="Red Pole - SO-35912"/>
    <x v="3"/>
    <n v="2345.4241839694523"/>
    <m/>
    <d v="2025-10-09T00:00:00"/>
    <m/>
  </r>
  <r>
    <n v="5"/>
    <x v="5"/>
    <s v="Battery &amp; Power Supply "/>
    <m/>
    <m/>
    <n v="1300"/>
    <m/>
    <s v="Allocated from Cpt Storeroom"/>
    <x v="4"/>
    <n v="3094.7918017139368"/>
    <m/>
    <d v="2025-10-31T00:00:00"/>
    <m/>
  </r>
  <r>
    <n v="5"/>
    <x v="5"/>
    <s v="Antenna"/>
    <m/>
    <m/>
    <n v="350"/>
    <s v="PO4472-IKZN-20251114 - RV Approved"/>
    <s v="Accuenergy - ASAI-006874"/>
    <x v="5"/>
    <m/>
    <m/>
    <d v="2026-01-07T00:00:00"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26812.12"/>
  </r>
  <r>
    <n v="6"/>
    <x v="6"/>
    <m/>
    <m/>
    <m/>
    <m/>
    <m/>
    <m/>
    <x v="0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26812.1"/>
    <n v="0.1"/>
    <n v="12681.21"/>
    <s v="PO4270-IKZN-20250825 - RV Approved"/>
    <s v="Thula Moya IN04863"/>
    <x v="1"/>
    <n v="17429.597251114483"/>
    <m/>
    <d v="2025-09-04T00:00:00"/>
    <m/>
  </r>
  <r>
    <n v="6"/>
    <x v="6"/>
    <s v="Site Establishment"/>
    <m/>
    <n v="0.15"/>
    <n v="19021.82"/>
    <m/>
    <s v="Thula Moya IN04864"/>
    <x v="1"/>
    <n v="26144.402748885517"/>
    <m/>
    <d v="2025-09-11T00:00:00"/>
    <m/>
  </r>
  <r>
    <n v="6"/>
    <x v="6"/>
    <s v="AC Installation Complete"/>
    <m/>
    <n v="0.2"/>
    <n v="25362.42"/>
    <m/>
    <s v="Thula Moya IN04865"/>
    <x v="1"/>
    <n v="34859.194502228966"/>
    <m/>
    <d v="2025-10-16T00:00:00"/>
    <m/>
  </r>
  <r>
    <n v="6"/>
    <x v="6"/>
    <s v="DC Installation Complete"/>
    <m/>
    <n v="0.25"/>
    <n v="31703.03"/>
    <m/>
    <s v="Thula Moya IN04866"/>
    <x v="1"/>
    <n v="43574"/>
    <m/>
    <d v="2025-10-16T00:00:00"/>
    <m/>
  </r>
  <r>
    <n v="6"/>
    <x v="6"/>
    <s v="Commissioning Complete"/>
    <m/>
    <n v="0.1"/>
    <n v="12681.21"/>
    <m/>
    <s v="Thula Moya IN04867"/>
    <x v="1"/>
    <n v="17429.597251114483"/>
    <m/>
    <d v="2026-01-29T00:00:00"/>
    <m/>
  </r>
  <r>
    <n v="6"/>
    <x v="6"/>
    <s v="Site De-establisment"/>
    <m/>
    <n v="0.1"/>
    <n v="12681.21"/>
    <m/>
    <s v="Thula Moya IN04868"/>
    <x v="1"/>
    <n v="17429.597251114483"/>
    <m/>
    <d v="2026-01-29T00:00:00"/>
    <m/>
  </r>
  <r>
    <n v="6"/>
    <x v="6"/>
    <s v="Handover Document Complete"/>
    <m/>
    <n v="0.05"/>
    <n v="6340.61"/>
    <m/>
    <s v="Thula Moya IN04869"/>
    <x v="1"/>
    <n v="8714.8054977710326"/>
    <m/>
    <d v="2026-01-15T00:00:00"/>
    <m/>
  </r>
  <r>
    <n v="6"/>
    <x v="6"/>
    <s v="End of Defects Period"/>
    <m/>
    <n v="0.05"/>
    <n v="6340.61"/>
    <m/>
    <s v="Thula Moya IN04870"/>
    <x v="1"/>
    <n v="8714.8054977710326"/>
    <m/>
    <d v="2026-01-1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m/>
    <n v="0"/>
    <m/>
    <n v="0"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59310"/>
  </r>
  <r>
    <n v="9"/>
    <x v="9"/>
    <s v="Project Kick Off"/>
    <n v="59310"/>
    <n v="0.1"/>
    <n v="5931"/>
    <s v="PO4270-IKZN-20250825 - RV Approved"/>
    <s v="Thula Moya IN04863"/>
    <x v="1"/>
    <n v="6025.6"/>
    <m/>
    <d v="2025-09-04T00:00:00"/>
    <m/>
  </r>
  <r>
    <n v="9"/>
    <x v="9"/>
    <s v="Site Establishment"/>
    <m/>
    <n v="0.15"/>
    <n v="8896.5"/>
    <m/>
    <s v="Thula Moya IN04864"/>
    <x v="1"/>
    <n v="9038.4"/>
    <m/>
    <d v="2025-09-11T00:00:00"/>
    <m/>
  </r>
  <r>
    <n v="9"/>
    <x v="9"/>
    <s v="AC Installation Complete"/>
    <m/>
    <n v="0.2"/>
    <n v="11862"/>
    <m/>
    <s v="Thula Moya IN04921"/>
    <x v="4"/>
    <n v="12051.2"/>
    <m/>
    <d v="2025-10-16T00:00:00"/>
    <m/>
  </r>
  <r>
    <n v="9"/>
    <x v="9"/>
    <s v="DC Installation Complete"/>
    <m/>
    <n v="0.25"/>
    <n v="14827.5"/>
    <m/>
    <s v="Thula Moya IN04921"/>
    <x v="4"/>
    <n v="15064"/>
    <m/>
    <d v="2025-10-16T00:00:00"/>
    <m/>
  </r>
  <r>
    <n v="9"/>
    <x v="9"/>
    <s v="Commissioning Complete"/>
    <m/>
    <n v="0.1"/>
    <n v="5931"/>
    <m/>
    <s v="Thula Moya IN04921"/>
    <x v="4"/>
    <n v="6025.6"/>
    <m/>
    <d v="2026-01-29T00:00:00"/>
    <m/>
  </r>
  <r>
    <n v="9"/>
    <x v="9"/>
    <s v="Site De-establisment"/>
    <m/>
    <n v="0.1"/>
    <n v="5931"/>
    <m/>
    <s v="Thula Moya IN04921"/>
    <x v="4"/>
    <n v="6025.6"/>
    <m/>
    <d v="2026-01-29T00:00:00"/>
    <m/>
  </r>
  <r>
    <n v="9"/>
    <x v="9"/>
    <s v="Handover Document Complete"/>
    <m/>
    <n v="0.05"/>
    <n v="2965.5"/>
    <m/>
    <s v="Thula Moya IN04921"/>
    <x v="4"/>
    <n v="3012.8"/>
    <m/>
    <d v="2026-01-29T00:00:00"/>
    <m/>
  </r>
  <r>
    <n v="9"/>
    <x v="9"/>
    <s v="End of Defects Period"/>
    <m/>
    <n v="0.05"/>
    <n v="2965.5"/>
    <m/>
    <s v="Thula Moya IN04921"/>
    <x v="4"/>
    <n v="3012.8"/>
    <m/>
    <d v="2026-01-2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0"/>
    <m/>
    <n v="34792"/>
  </r>
  <r>
    <n v="10"/>
    <x v="10"/>
    <s v="Security"/>
    <m/>
    <m/>
    <n v="22792"/>
    <s v="PO42788-IKZN-20250828 - RV Approved"/>
    <s v="Excellerate Inv 442934"/>
    <x v="1"/>
    <n v="19006.216831455506"/>
    <m/>
    <d v="2025-08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2000"/>
    <n v="0.1"/>
    <n v="1200"/>
    <s v="PO4270-IKZN-20250825 - RV Approved"/>
    <s v="Thula Moya IN04863"/>
    <x v="1"/>
    <n v="1000.6783168544493"/>
    <m/>
    <d v="2025-09-04T00:00:00"/>
    <m/>
  </r>
  <r>
    <n v="10"/>
    <x v="10"/>
    <s v="Site Establishment"/>
    <m/>
    <n v="0.15"/>
    <n v="1800"/>
    <m/>
    <s v="Thula Moya IN04864"/>
    <x v="1"/>
    <n v="1501.017475281674"/>
    <m/>
    <d v="2025-09-11T00:00:00"/>
    <m/>
  </r>
  <r>
    <n v="10"/>
    <x v="10"/>
    <s v="AC Installation Complete"/>
    <m/>
    <n v="0.2"/>
    <n v="2400"/>
    <m/>
    <s v="Thula Moya IN04865"/>
    <x v="1"/>
    <n v="2001.3566337088987"/>
    <m/>
    <d v="2025-10-16T00:00:00"/>
    <m/>
  </r>
  <r>
    <n v="10"/>
    <x v="10"/>
    <s v="DC Installation Complete"/>
    <m/>
    <n v="0.25"/>
    <n v="3000"/>
    <m/>
    <s v="Thula Moya IN04866"/>
    <x v="1"/>
    <n v="2501.6957921361231"/>
    <m/>
    <d v="2025-10-16T00:00:00"/>
    <m/>
  </r>
  <r>
    <n v="10"/>
    <x v="10"/>
    <s v="Commissioning Complete"/>
    <m/>
    <n v="0.1"/>
    <n v="1200"/>
    <m/>
    <s v="Thula Moya IN04867"/>
    <x v="1"/>
    <n v="1000.6783168544493"/>
    <m/>
    <d v="2026-01-29T00:00:00"/>
    <m/>
  </r>
  <r>
    <n v="10"/>
    <x v="10"/>
    <s v="Site De-establisment"/>
    <m/>
    <n v="0.1"/>
    <n v="1200"/>
    <m/>
    <s v="Thula Moya IN04868"/>
    <x v="1"/>
    <n v="1000.6783168544493"/>
    <m/>
    <d v="2026-01-29T00:00:00"/>
    <m/>
  </r>
  <r>
    <n v="10"/>
    <x v="10"/>
    <s v="Handover Document Complete"/>
    <m/>
    <n v="0.05"/>
    <n v="600"/>
    <m/>
    <s v="Thula Moya IN04869"/>
    <x v="1"/>
    <n v="500.33915842722467"/>
    <m/>
    <d v="2026-01-29T00:00:00"/>
    <m/>
  </r>
  <r>
    <n v="10"/>
    <x v="10"/>
    <s v="End of Defects Period"/>
    <m/>
    <n v="0.05"/>
    <n v="600"/>
    <m/>
    <s v="Thula Moya IN04870"/>
    <x v="1"/>
    <n v="500.33915842722467"/>
    <m/>
    <d v="2026-01-2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5"/>
    <m/>
    <s v="SunSpot - E039"/>
    <x v="6"/>
    <n v="21813.816958277253"/>
    <n v="-3041.2802514242358"/>
    <d v="2026-01-29T00:00:00"/>
    <n v="1857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s v="Matriarch - INV-5370"/>
    <x v="4"/>
    <n v="13449.463293146986"/>
    <m/>
    <d v="2025-11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m/>
    <m/>
    <m/>
    <m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2839.2"/>
    <m/>
    <s v="Matriarch - INV-5369"/>
    <x v="4"/>
    <n v="11445"/>
    <n v="0"/>
    <d v="2025-11-30T00:00:00"/>
    <n v="12839.2"/>
  </r>
  <r>
    <n v="13"/>
    <x v="13"/>
    <s v="Management"/>
    <m/>
    <m/>
    <m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1"/>
    <n v="0"/>
    <n v="0"/>
    <d v="2025-08-31T00:00:00"/>
    <n v="3159.05"/>
  </r>
  <r>
    <n v="14"/>
    <x v="14"/>
    <s v="Travel"/>
    <m/>
    <m/>
    <n v="0"/>
    <m/>
    <m/>
    <x v="3"/>
    <n v="0"/>
    <m/>
    <d v="2025-09-30T00:00:00"/>
    <m/>
  </r>
  <r>
    <n v="14"/>
    <x v="14"/>
    <s v="Travel"/>
    <m/>
    <m/>
    <n v="0"/>
    <m/>
    <m/>
    <x v="4"/>
    <n v="0"/>
    <m/>
    <d v="2025-10-31T00:00:00"/>
    <m/>
  </r>
  <r>
    <n v="14"/>
    <x v="14"/>
    <s v="Travel"/>
    <m/>
    <m/>
    <n v="3159.05"/>
    <m/>
    <s v="Expense Claim"/>
    <x v="5"/>
    <n v="1361"/>
    <m/>
    <d v="2025-12-05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Courier of Sonnel Meter"/>
    <m/>
    <m/>
    <n v="298.24"/>
    <m/>
    <s v="DSV Inv: 180154233"/>
    <x v="5"/>
    <m/>
    <n v="0"/>
    <d v="2025-12-31T00:00:00"/>
    <n v="298.24"/>
  </r>
  <r>
    <n v="15"/>
    <x v="15"/>
    <m/>
    <m/>
    <m/>
    <m/>
    <m/>
    <m/>
    <x v="0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1">
        <item x="0"/>
        <item m="1" x="17"/>
        <item m="1" x="16"/>
        <item m="1" x="14"/>
        <item m="1" x="13"/>
        <item x="1"/>
        <item x="3"/>
        <item x="4"/>
        <item x="5"/>
        <item m="1" x="18"/>
        <item x="2"/>
        <item m="1" x="19"/>
        <item m="1" x="15"/>
        <item m="1" x="8"/>
        <item m="1" x="9"/>
        <item m="1" x="10"/>
        <item m="1" x="11"/>
        <item m="1" x="12"/>
        <item m="1" x="7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5"/>
    </i>
    <i>
      <x v="6"/>
    </i>
    <i>
      <x v="7"/>
    </i>
    <i>
      <x v="8"/>
    </i>
    <i>
      <x v="10"/>
    </i>
    <i>
      <x v="19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17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81" t="s">
        <v>57</v>
      </c>
      <c r="E47" s="781"/>
      <c r="F47" s="782"/>
      <c r="G47" s="67"/>
      <c r="I47" s="68"/>
      <c r="J47" s="68"/>
    </row>
    <row r="48" spans="1:49" ht="14.5" thickBot="1">
      <c r="C48" s="69">
        <v>44014</v>
      </c>
      <c r="D48" s="783"/>
      <c r="E48" s="783"/>
      <c r="F48" s="78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2697-5B94-4B08-9EE6-CBBBE3977EE7}">
  <sheetPr codeName="Sheet8"/>
  <dimension ref="B1:J28"/>
  <sheetViews>
    <sheetView showGridLines="0" zoomScaleNormal="100" workbookViewId="0">
      <selection activeCell="B32" sqref="B32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785" t="s">
        <v>58</v>
      </c>
      <c r="C2" s="786"/>
      <c r="D2" s="786"/>
      <c r="E2" s="786"/>
      <c r="F2" s="787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85" t="s">
        <v>69</v>
      </c>
      <c r="C16" s="786"/>
      <c r="D16" s="786"/>
      <c r="E16" s="786"/>
      <c r="F16" s="787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2" zoomScaleNormal="100" workbookViewId="0">
      <selection activeCell="E8" sqref="E8:E9"/>
    </sheetView>
  </sheetViews>
  <sheetFormatPr defaultColWidth="8.453125" defaultRowHeight="14"/>
  <cols>
    <col min="1" max="1" width="1.453125" style="112" customWidth="1"/>
    <col min="2" max="2" width="6.453125" style="172" bestFit="1" customWidth="1"/>
    <col min="3" max="3" width="50.54296875" style="24" bestFit="1" customWidth="1"/>
    <col min="4" max="4" width="3.453125" style="112" customWidth="1"/>
    <col min="5" max="5" width="14.54296875" style="24" customWidth="1"/>
    <col min="6" max="6" width="10.453125" style="169" customWidth="1"/>
    <col min="7" max="7" width="13.54296875" style="64" customWidth="1"/>
    <col min="8" max="8" width="2.8164062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1796875" style="112" customWidth="1"/>
    <col min="14" max="14" width="12.1796875" style="667" customWidth="1"/>
    <col min="15" max="15" width="39.453125" style="112" bestFit="1" customWidth="1"/>
    <col min="16" max="16" width="1.453125" style="112" customWidth="1"/>
    <col min="17" max="17" width="5.1796875" style="3" customWidth="1"/>
    <col min="18" max="18" width="8.453125" style="112"/>
    <col min="19" max="19" width="18.1796875" style="112" bestFit="1" customWidth="1"/>
    <col min="20" max="20" width="11.453125" style="112" bestFit="1" customWidth="1"/>
    <col min="21" max="21" width="14.1796875" style="112" bestFit="1" customWidth="1"/>
    <col min="22" max="22" width="11.453125" style="112" bestFit="1" customWidth="1"/>
    <col min="23" max="23" width="21.81640625" style="112" bestFit="1" customWidth="1"/>
    <col min="24" max="25" width="11" style="112" bestFit="1" customWidth="1"/>
    <col min="26" max="16384" width="8.453125" style="24"/>
  </cols>
  <sheetData>
    <row r="1" spans="2:28" s="112" customFormat="1" ht="4.5" customHeight="1">
      <c r="B1" s="168"/>
      <c r="F1" s="169"/>
      <c r="G1" s="113"/>
      <c r="J1" s="113"/>
      <c r="N1" s="665">
        <f ca="1">TODAY()</f>
        <v>46070</v>
      </c>
      <c r="O1" s="404">
        <f ca="1">TODAY()</f>
        <v>46070</v>
      </c>
      <c r="Q1" s="3"/>
    </row>
    <row r="2" spans="2:28">
      <c r="B2" s="177"/>
      <c r="C2" s="178" t="s">
        <v>0</v>
      </c>
      <c r="D2" s="179"/>
      <c r="E2" s="791" t="s">
        <v>73</v>
      </c>
      <c r="F2" s="792"/>
      <c r="G2" s="792"/>
      <c r="H2" s="793"/>
      <c r="M2" s="118"/>
      <c r="N2" s="666"/>
      <c r="O2" s="405">
        <v>1</v>
      </c>
    </row>
    <row r="3" spans="2:28" s="112" customFormat="1">
      <c r="B3" s="180"/>
      <c r="C3" s="181" t="s">
        <v>74</v>
      </c>
      <c r="D3" s="179"/>
      <c r="E3" s="412">
        <v>71</v>
      </c>
      <c r="F3" s="182"/>
      <c r="G3" s="183"/>
      <c r="H3" s="184"/>
      <c r="J3" s="113"/>
      <c r="N3" s="667"/>
      <c r="Q3" s="3"/>
    </row>
    <row r="4" spans="2:28" s="112" customFormat="1">
      <c r="B4" s="180"/>
      <c r="C4" s="181" t="s">
        <v>75</v>
      </c>
      <c r="D4" s="179"/>
      <c r="E4" s="794" t="s">
        <v>76</v>
      </c>
      <c r="F4" s="795"/>
      <c r="G4" s="795"/>
      <c r="H4" s="796"/>
      <c r="J4" s="623"/>
      <c r="K4" s="624"/>
      <c r="M4" s="121"/>
      <c r="N4" s="668"/>
      <c r="Q4" s="3"/>
    </row>
    <row r="5" spans="2:28" s="112" customFormat="1">
      <c r="B5" s="180"/>
      <c r="C5" s="181" t="s">
        <v>77</v>
      </c>
      <c r="D5" s="179"/>
      <c r="E5" s="794" t="s">
        <v>78</v>
      </c>
      <c r="F5" s="795"/>
      <c r="G5" s="795"/>
      <c r="H5" s="796"/>
      <c r="J5" s="113"/>
      <c r="M5" s="682"/>
      <c r="N5" s="666"/>
      <c r="Q5" s="3"/>
    </row>
    <row r="6" spans="2:28">
      <c r="B6" s="185"/>
      <c r="C6" s="186" t="s">
        <v>79</v>
      </c>
      <c r="D6" s="179"/>
      <c r="E6" s="797">
        <v>1027136</v>
      </c>
      <c r="F6" s="798"/>
      <c r="G6" s="798"/>
      <c r="H6" s="799"/>
    </row>
    <row r="7" spans="2:28" s="112" customFormat="1">
      <c r="B7" s="168"/>
      <c r="C7" s="716" t="s">
        <v>80</v>
      </c>
      <c r="D7" s="713"/>
      <c r="E7" s="714" t="s">
        <v>81</v>
      </c>
      <c r="F7" s="715"/>
      <c r="G7" s="187"/>
      <c r="J7" s="113"/>
      <c r="N7" s="667"/>
      <c r="Q7" s="3"/>
    </row>
    <row r="8" spans="2:28" ht="30" customHeight="1">
      <c r="B8" s="788" t="s">
        <v>82</v>
      </c>
      <c r="C8" s="789" t="s">
        <v>83</v>
      </c>
      <c r="D8" s="216"/>
      <c r="E8" s="790" t="s">
        <v>84</v>
      </c>
      <c r="F8" s="238" t="s">
        <v>85</v>
      </c>
      <c r="G8" s="790" t="s">
        <v>86</v>
      </c>
      <c r="H8" s="239"/>
      <c r="I8" s="790" t="s">
        <v>87</v>
      </c>
      <c r="J8" s="238" t="s">
        <v>85</v>
      </c>
      <c r="K8" s="790" t="s">
        <v>88</v>
      </c>
      <c r="M8" s="411" t="s">
        <v>60</v>
      </c>
      <c r="N8" s="683" t="s">
        <v>89</v>
      </c>
      <c r="O8" s="800" t="s">
        <v>90</v>
      </c>
      <c r="S8" s="669" t="s">
        <v>91</v>
      </c>
      <c r="T8" s="669" t="s">
        <v>92</v>
      </c>
      <c r="U8" s="669" t="s">
        <v>93</v>
      </c>
      <c r="V8" s="669" t="s">
        <v>94</v>
      </c>
      <c r="W8" s="669" t="s">
        <v>95</v>
      </c>
      <c r="Z8" s="112"/>
      <c r="AA8" s="112"/>
      <c r="AB8" s="112"/>
    </row>
    <row r="9" spans="2:28">
      <c r="B9" s="788"/>
      <c r="C9" s="789"/>
      <c r="D9" s="216"/>
      <c r="E9" s="790"/>
      <c r="F9" s="126">
        <f>G41-E19</f>
        <v>26</v>
      </c>
      <c r="G9" s="790"/>
      <c r="H9" s="239"/>
      <c r="I9" s="790"/>
      <c r="J9" s="127">
        <f>K41-I19</f>
        <v>34</v>
      </c>
      <c r="K9" s="790"/>
      <c r="M9" s="363">
        <f ca="1">AVERAGE(M11,M18,M21,M28,M35,M39,M46,M43)</f>
        <v>1</v>
      </c>
      <c r="N9" s="363">
        <f ca="1">AVERAGE(N11,N18,N21,N28,N35,N39,N46,N43)</f>
        <v>1</v>
      </c>
      <c r="O9" s="801"/>
      <c r="S9" s="671" t="str">
        <f>C11</f>
        <v>Project Initiation</v>
      </c>
      <c r="T9" s="670">
        <f>I11</f>
        <v>45873</v>
      </c>
      <c r="U9" s="662">
        <f t="shared" ref="U9:V9" si="0">J11</f>
        <v>24</v>
      </c>
      <c r="V9" s="670">
        <f t="shared" si="0"/>
        <v>45897</v>
      </c>
      <c r="W9" s="663">
        <f t="shared" ref="W9" si="1">M11</f>
        <v>1</v>
      </c>
      <c r="Z9" s="112"/>
      <c r="AA9" s="112"/>
      <c r="AB9" s="112"/>
    </row>
    <row r="10" spans="2:28" s="112" customFormat="1">
      <c r="B10" s="240"/>
      <c r="C10" s="216"/>
      <c r="D10" s="216"/>
      <c r="E10" s="241"/>
      <c r="F10" s="241"/>
      <c r="G10" s="242"/>
      <c r="H10" s="239"/>
      <c r="I10" s="243"/>
      <c r="J10" s="243"/>
      <c r="K10" s="244"/>
      <c r="Q10" s="3"/>
      <c r="S10" s="671" t="str">
        <f>C18</f>
        <v>Site Establishment</v>
      </c>
      <c r="T10" s="670">
        <f>I18</f>
        <v>45910</v>
      </c>
      <c r="U10" s="662">
        <f t="shared" ref="U10:V10" si="2">J18</f>
        <v>1</v>
      </c>
      <c r="V10" s="670">
        <f t="shared" si="2"/>
        <v>45911</v>
      </c>
      <c r="W10" s="663">
        <f t="shared" ref="W10" si="3">M18</f>
        <v>1</v>
      </c>
      <c r="X10" s="664">
        <f ca="1">TODAY()</f>
        <v>46070</v>
      </c>
      <c r="Y10" s="664">
        <f ca="1">X10</f>
        <v>46070</v>
      </c>
    </row>
    <row r="11" spans="2:28" s="114" customFormat="1">
      <c r="B11" s="245">
        <v>1</v>
      </c>
      <c r="C11" s="246" t="s">
        <v>96</v>
      </c>
      <c r="D11" s="220"/>
      <c r="E11" s="247">
        <f>MIN(E12:E16)</f>
        <v>45873</v>
      </c>
      <c r="F11" s="248">
        <f>G11-E11</f>
        <v>32</v>
      </c>
      <c r="G11" s="247">
        <f>MAX(G12:G16)</f>
        <v>45905</v>
      </c>
      <c r="H11" s="221"/>
      <c r="I11" s="247">
        <f>MIN(I12:I16)</f>
        <v>45873</v>
      </c>
      <c r="J11" s="248">
        <f>K11-I11</f>
        <v>24</v>
      </c>
      <c r="K11" s="247">
        <f>MAX(K12:K16)</f>
        <v>45897</v>
      </c>
      <c r="M11" s="362">
        <f>(J12*M12+J13*M13+J14*M14+J15*M15+J16*M16)/SUM(J12:J16)</f>
        <v>1</v>
      </c>
      <c r="N11" s="362">
        <f ca="1">(J12*N12+J13*N13+J14*N14+J15*N15+J16*N16)/SUM(J12:J16)</f>
        <v>1</v>
      </c>
      <c r="O11" s="119"/>
      <c r="P11" s="112"/>
      <c r="Q11" s="120"/>
      <c r="S11" s="671" t="str">
        <f>C21</f>
        <v>AC Installation</v>
      </c>
      <c r="T11" s="670">
        <f>I21</f>
        <v>45904</v>
      </c>
      <c r="U11" s="662">
        <f t="shared" ref="U11:V11" si="4">J21</f>
        <v>36</v>
      </c>
      <c r="V11" s="670">
        <f t="shared" si="4"/>
        <v>45940</v>
      </c>
      <c r="W11" s="663">
        <f t="shared" ref="W11" ca="1" si="5">M21</f>
        <v>1</v>
      </c>
      <c r="X11" s="114">
        <v>1</v>
      </c>
      <c r="Y11" s="114">
        <v>0</v>
      </c>
    </row>
    <row r="12" spans="2:28" s="112" customFormat="1">
      <c r="B12" s="249" t="s">
        <v>97</v>
      </c>
      <c r="C12" s="250" t="s">
        <v>98</v>
      </c>
      <c r="D12" s="216"/>
      <c r="E12" s="251">
        <v>45873</v>
      </c>
      <c r="F12" s="252">
        <v>1</v>
      </c>
      <c r="G12" s="251">
        <f>WORKDAY.INTL(E12,F12,1,Data!$C$3:$C$14)</f>
        <v>45874</v>
      </c>
      <c r="H12" s="239"/>
      <c r="I12" s="251">
        <v>45873</v>
      </c>
      <c r="J12" s="252">
        <v>1</v>
      </c>
      <c r="K12" s="251">
        <f>WORKDAY.INTL(I12,J12,1,Data!$C$3:$C$14)</f>
        <v>45874</v>
      </c>
      <c r="M12" s="255">
        <v>1</v>
      </c>
      <c r="N12" s="255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671" t="str">
        <f>C28</f>
        <v>DC Works</v>
      </c>
      <c r="T12" s="670">
        <f>I28</f>
        <v>45904</v>
      </c>
      <c r="U12" s="662">
        <f t="shared" ref="U12:V12" si="6">J28</f>
        <v>32</v>
      </c>
      <c r="V12" s="670">
        <f t="shared" si="6"/>
        <v>45936</v>
      </c>
      <c r="W12" s="663">
        <f t="shared" ref="W12" si="7">M28</f>
        <v>1</v>
      </c>
    </row>
    <row r="13" spans="2:28" s="112" customFormat="1">
      <c r="B13" s="249" t="s">
        <v>99</v>
      </c>
      <c r="C13" s="250" t="s">
        <v>100</v>
      </c>
      <c r="D13" s="216"/>
      <c r="E13" s="251">
        <f>WORKDAY.INTL(E19,0,1,Data!$C$3:$C$14)-14</f>
        <v>45904</v>
      </c>
      <c r="F13" s="252">
        <v>1</v>
      </c>
      <c r="G13" s="251">
        <f>WORKDAY.INTL(E13,F13,1,Data!$C$3:$C$14)</f>
        <v>45905</v>
      </c>
      <c r="H13" s="239"/>
      <c r="I13" s="251">
        <f>WORKDAY.INTL(I19,0,1,Data!$C$3:$C$14)-14</f>
        <v>45896</v>
      </c>
      <c r="J13" s="252">
        <v>1</v>
      </c>
      <c r="K13" s="251">
        <f>WORKDAY.INTL(I13,J13,1,Data!$C$3:$C$14)</f>
        <v>45897</v>
      </c>
      <c r="M13" s="255">
        <v>1</v>
      </c>
      <c r="N13" s="255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71" t="str">
        <f>C35</f>
        <v>Module installation</v>
      </c>
      <c r="T13" s="670">
        <f>I35</f>
        <v>45918</v>
      </c>
      <c r="U13" s="662">
        <f t="shared" ref="U13:V13" si="8">J35</f>
        <v>15</v>
      </c>
      <c r="V13" s="670">
        <f t="shared" si="8"/>
        <v>45933</v>
      </c>
      <c r="W13" s="663">
        <f t="shared" ref="W13" si="9">M35</f>
        <v>1</v>
      </c>
    </row>
    <row r="14" spans="2:28" s="112" customFormat="1">
      <c r="B14" s="249" t="s">
        <v>101</v>
      </c>
      <c r="C14" s="250" t="s">
        <v>58</v>
      </c>
      <c r="D14" s="216"/>
      <c r="E14" s="251">
        <f>E13-14</f>
        <v>45890</v>
      </c>
      <c r="F14" s="252">
        <v>8</v>
      </c>
      <c r="G14" s="251">
        <f>WORKDAY.INTL(E14,F14,1,Data!$C$3:$C$14)</f>
        <v>45902</v>
      </c>
      <c r="H14" s="239"/>
      <c r="I14" s="251">
        <f>I13-14</f>
        <v>45882</v>
      </c>
      <c r="J14" s="252">
        <v>4</v>
      </c>
      <c r="K14" s="251">
        <f>WORKDAY.INTL(I14,J14,1,Data!$C$3:$C$14)</f>
        <v>45888</v>
      </c>
      <c r="M14" s="255">
        <v>1</v>
      </c>
      <c r="N14" s="255">
        <f ca="1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  <c r="S14" s="671" t="str">
        <f>C39</f>
        <v>Commissioning</v>
      </c>
      <c r="T14" s="670">
        <f>I39</f>
        <v>45940</v>
      </c>
      <c r="U14" s="662">
        <f>J39</f>
        <v>4</v>
      </c>
      <c r="V14" s="670">
        <f>K39</f>
        <v>45944</v>
      </c>
      <c r="W14" s="663">
        <f>M39</f>
        <v>1</v>
      </c>
    </row>
    <row r="15" spans="2:28" s="112" customFormat="1">
      <c r="B15" s="249" t="s">
        <v>102</v>
      </c>
      <c r="C15" s="250" t="s">
        <v>103</v>
      </c>
      <c r="D15" s="216"/>
      <c r="E15" s="251">
        <f>WORKDAY.INTL(E19,0,1,Data!$C$3:$C$14)-14</f>
        <v>45904</v>
      </c>
      <c r="F15" s="252">
        <v>1</v>
      </c>
      <c r="G15" s="251">
        <f>WORKDAY.INTL(E15,F15,1,Data!$C$3:$C$14)</f>
        <v>45905</v>
      </c>
      <c r="H15" s="239"/>
      <c r="I15" s="251">
        <f>WORKDAY.INTL(K14,0,1,Data!$C$3:$C$14)</f>
        <v>45888</v>
      </c>
      <c r="J15" s="252">
        <v>1</v>
      </c>
      <c r="K15" s="251">
        <f>WORKDAY.INTL(I15,J15,1,Data!$C$3:$C$14)</f>
        <v>45889</v>
      </c>
      <c r="M15" s="255">
        <v>1</v>
      </c>
      <c r="N15" s="255">
        <f ca="1">_xlfn.LET(
  _xlpm.s,VALUE($I15),
  _xlpm.e,VALUE($K15),
  IF(OR(_xlpm.s="",_xlpm.e=""),"", IF(_xlpm.e&lt;=_xlpm.s, IF(TODAY()&gt;=_xlpm.e,1,0), MAX(0,MIN(1,(TODAY()-_xlpm.s)/(_xlpm.e-_xlpm.s)))))
)</f>
        <v>1</v>
      </c>
      <c r="O15" s="122"/>
      <c r="Q15" s="3"/>
      <c r="S15" s="671" t="str">
        <f>C43</f>
        <v>QA Inspections</v>
      </c>
      <c r="T15" s="670">
        <f>I43</f>
        <v>45943</v>
      </c>
      <c r="U15" s="662">
        <f>J43</f>
        <v>1</v>
      </c>
      <c r="V15" s="670">
        <f>K43</f>
        <v>45944</v>
      </c>
      <c r="W15" s="663">
        <f>M43</f>
        <v>1</v>
      </c>
    </row>
    <row r="16" spans="2:28" s="112" customFormat="1">
      <c r="B16" s="249" t="s">
        <v>104</v>
      </c>
      <c r="C16" s="250" t="s">
        <v>105</v>
      </c>
      <c r="D16" s="216"/>
      <c r="E16" s="251">
        <v>45894</v>
      </c>
      <c r="F16" s="252">
        <v>1</v>
      </c>
      <c r="G16" s="251">
        <f>WORKDAY.INTL(E16,F16,1,Data!$C$3:$C$14)</f>
        <v>45895</v>
      </c>
      <c r="H16" s="239"/>
      <c r="I16" s="251">
        <v>45894</v>
      </c>
      <c r="J16" s="252">
        <v>1</v>
      </c>
      <c r="K16" s="251">
        <f>WORKDAY.INTL(I16,J16,1,Data!$C$3:$C$14)</f>
        <v>45895</v>
      </c>
      <c r="M16" s="255">
        <v>1</v>
      </c>
      <c r="N16" s="255">
        <f ca="1">_xlfn.LET(
  _xlpm.s,VALUE($I16),
  _xlpm.e,VALUE($K16),
  IF(OR(_xlpm.s="",_xlpm.e=""),"", IF(_xlpm.e&lt;=_xlpm.s, IF(TODAY()&gt;=_xlpm.e,1,0), MAX(0,MIN(1,(TODAY()-_xlpm.s)/(_xlpm.e-_xlpm.s)))))
)</f>
        <v>1</v>
      </c>
      <c r="O16" s="122"/>
      <c r="Q16" s="3"/>
      <c r="S16" s="671" t="str">
        <f>C46</f>
        <v>Project Closure</v>
      </c>
      <c r="T16" s="670">
        <f>I46</f>
        <v>45944</v>
      </c>
      <c r="U16" s="662">
        <f>J46</f>
        <v>106</v>
      </c>
      <c r="V16" s="670">
        <f>K46</f>
        <v>46050</v>
      </c>
      <c r="W16" s="663">
        <f>M46</f>
        <v>1</v>
      </c>
    </row>
    <row r="17" spans="2:28" s="112" customFormat="1" ht="4.5" customHeight="1">
      <c r="B17" s="240"/>
      <c r="C17" s="216"/>
      <c r="D17" s="216"/>
      <c r="E17" s="241"/>
      <c r="F17" s="241"/>
      <c r="G17" s="242"/>
      <c r="H17" s="239"/>
      <c r="I17" s="241"/>
      <c r="J17" s="241"/>
      <c r="K17" s="242"/>
      <c r="Q17" s="3"/>
    </row>
    <row r="18" spans="2:28" s="114" customFormat="1">
      <c r="B18" s="245">
        <v>2</v>
      </c>
      <c r="C18" s="246" t="s">
        <v>106</v>
      </c>
      <c r="D18" s="220"/>
      <c r="E18" s="247">
        <f>MIN(E19:E20)</f>
        <v>45918</v>
      </c>
      <c r="F18" s="248">
        <f>G18-E18</f>
        <v>1</v>
      </c>
      <c r="G18" s="247">
        <f>MAX(G19)</f>
        <v>45919</v>
      </c>
      <c r="H18" s="221"/>
      <c r="I18" s="247">
        <f>MIN(I19:I20)</f>
        <v>45910</v>
      </c>
      <c r="J18" s="248">
        <f>K18-I18</f>
        <v>1</v>
      </c>
      <c r="K18" s="247">
        <f>MAX(K19)</f>
        <v>45911</v>
      </c>
      <c r="M18" s="362">
        <f>(J19*M19)/J18</f>
        <v>1</v>
      </c>
      <c r="N18" s="362">
        <f ca="1">(K19*N19)/K18</f>
        <v>1</v>
      </c>
      <c r="O18" s="119"/>
      <c r="P18" s="112"/>
      <c r="Q18" s="123"/>
      <c r="R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9" t="s">
        <v>107</v>
      </c>
      <c r="C19" s="250" t="s">
        <v>108</v>
      </c>
      <c r="D19" s="216"/>
      <c r="E19" s="414">
        <v>45918</v>
      </c>
      <c r="F19" s="252">
        <v>1</v>
      </c>
      <c r="G19" s="251">
        <f>E19+F19</f>
        <v>45919</v>
      </c>
      <c r="H19" s="239"/>
      <c r="I19" s="414">
        <v>45910</v>
      </c>
      <c r="J19" s="252">
        <v>1</v>
      </c>
      <c r="K19" s="251">
        <f>I19+J19</f>
        <v>45911</v>
      </c>
      <c r="M19" s="255">
        <v>1</v>
      </c>
      <c r="N19" s="255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40"/>
      <c r="C20" s="216"/>
      <c r="D20" s="216"/>
      <c r="E20" s="241"/>
      <c r="F20" s="241"/>
      <c r="G20" s="242"/>
      <c r="H20" s="239"/>
      <c r="I20" s="241"/>
      <c r="J20" s="241"/>
      <c r="K20" s="242"/>
      <c r="Q20" s="3"/>
    </row>
    <row r="21" spans="2:28" s="114" customFormat="1">
      <c r="B21" s="245">
        <v>3</v>
      </c>
      <c r="C21" s="246" t="s">
        <v>109</v>
      </c>
      <c r="D21" s="220"/>
      <c r="E21" s="247">
        <f>MIN(E22:E26)</f>
        <v>45897</v>
      </c>
      <c r="F21" s="248">
        <f>G21-E21</f>
        <v>43</v>
      </c>
      <c r="G21" s="247">
        <f>MAX(G22:G26)</f>
        <v>45940</v>
      </c>
      <c r="H21" s="253"/>
      <c r="I21" s="247">
        <f>MIN(I23:I26)</f>
        <v>45904</v>
      </c>
      <c r="J21" s="248">
        <f>K21-I21</f>
        <v>36</v>
      </c>
      <c r="K21" s="247">
        <f>MAX(K22:K26)</f>
        <v>45940</v>
      </c>
      <c r="M21" s="362">
        <f ca="1">(J22*M22+J23*M23+J24*M24+J25*M25+J26*M26)/SUM(J22:J26)</f>
        <v>1</v>
      </c>
      <c r="N21" s="362">
        <f ca="1">(J22*N22+J23*N23+J24*N24+J25*N25+J26*N26)/SUM(J22:J26)</f>
        <v>1</v>
      </c>
      <c r="O21" s="119"/>
      <c r="P21" s="112"/>
      <c r="Q21" s="123"/>
      <c r="R21" s="118"/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9" t="s">
        <v>110</v>
      </c>
      <c r="C22" s="250" t="s">
        <v>111</v>
      </c>
      <c r="D22" s="216"/>
      <c r="E22" s="251">
        <v>45897</v>
      </c>
      <c r="F22" s="252">
        <v>1</v>
      </c>
      <c r="G22" s="251">
        <f>WORKDAY.INTL(E22,F22,1,Data!$C$3:$C$14)</f>
        <v>45898</v>
      </c>
      <c r="H22" s="239"/>
      <c r="I22" s="251">
        <v>45897</v>
      </c>
      <c r="J22" s="252">
        <v>1</v>
      </c>
      <c r="K22" s="251">
        <f>WORKDAY.INTL(I22,J22,1,Data!$C$3:$C$14)</f>
        <v>45898</v>
      </c>
      <c r="M22" s="255">
        <v>1</v>
      </c>
      <c r="N22" s="255">
        <f ca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9" t="s">
        <v>112</v>
      </c>
      <c r="C23" s="250" t="s">
        <v>113</v>
      </c>
      <c r="D23" s="216"/>
      <c r="E23" s="251">
        <f>WORKDAY.INTL(G19,0,1,Data!$C$3:$C$14)</f>
        <v>45919</v>
      </c>
      <c r="F23" s="252">
        <v>2</v>
      </c>
      <c r="G23" s="251">
        <f>WORKDAY.INTL(E23,F23,1,Data!$C$3:$C$14)</f>
        <v>45923</v>
      </c>
      <c r="H23" s="239"/>
      <c r="I23" s="251">
        <f>I25-5</f>
        <v>45928</v>
      </c>
      <c r="J23" s="252">
        <v>2</v>
      </c>
      <c r="K23" s="251">
        <f>WORKDAY.INTL(I23,J23,1,Data!$C$3:$C$14)</f>
        <v>45930</v>
      </c>
      <c r="M23" s="255">
        <v>1</v>
      </c>
      <c r="N23" s="255">
        <f ca="1">_xlfn.LET(
  _xlpm.s,VALUE($I23),
  _xlpm.e,VALUE($K23),
  IF(OR(_xlpm.s="",_xlpm.e=""),"", IF(_xlpm.e&lt;=_xlpm.s, IF(TODAY()&gt;=_xlpm.e,1,0), MAX(0,MIN(1,(TODAY()-_xlpm.s)/(_xlpm.e-_xlpm.s)))))
)</f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9" t="s">
        <v>114</v>
      </c>
      <c r="C24" s="250" t="s">
        <v>115</v>
      </c>
      <c r="D24" s="216"/>
      <c r="E24" s="251">
        <f>WORKDAY.INTL(E19,0,1,Data!$C$3:$C$14)-14</f>
        <v>45904</v>
      </c>
      <c r="F24" s="252">
        <v>20</v>
      </c>
      <c r="G24" s="251">
        <f>WORKDAY.INTL(E24,F24,1,Data!$C$3:$C$14)</f>
        <v>45933</v>
      </c>
      <c r="H24" s="239"/>
      <c r="I24" s="251">
        <v>45904</v>
      </c>
      <c r="J24" s="252">
        <v>20</v>
      </c>
      <c r="K24" s="251">
        <f>WORKDAY.INTL(I24,J24,1,Data!$C$3:$C$14)</f>
        <v>45933</v>
      </c>
      <c r="M24" s="255">
        <f ca="1">_xlfn.LET(
  _xlpm.s,VALUE($I24),
  _xlpm.e,VALUE($K24),
  IF(OR(_xlpm.s="",_xlpm.e=""),"", IF(_xlpm.e&lt;=_xlpm.s, IF(TODAY()&gt;=_xlpm.e,1,0), MAX(0,MIN(1,(TODAY()-_xlpm.s)/(_xlpm.e-_xlpm.s)))))
)</f>
        <v>1</v>
      </c>
      <c r="N24" s="255">
        <f ca="1">_xlfn.LET(
  _xlpm.s,VALUE($I24),
  _xlpm.e,VALUE($K24),
  IF(OR(_xlpm.s="",_xlpm.e=""),"", IF(_xlpm.e&lt;=_xlpm.s, IF(TODAY()&gt;=_xlpm.e,1,0), MAX(0,MIN(1,(TODAY()-_xlpm.s)/(_xlpm.e-_xlpm.s)))))
)</f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9" t="s">
        <v>116</v>
      </c>
      <c r="C25" s="250" t="s">
        <v>40</v>
      </c>
      <c r="D25" s="216"/>
      <c r="E25" s="251">
        <f>WORKDAY.INTL(G24,0,1,Data!$C$3:$C$14)</f>
        <v>45933</v>
      </c>
      <c r="F25" s="252">
        <v>5</v>
      </c>
      <c r="G25" s="251">
        <f>WORKDAY.INTL(E25,F25,1,Data!$C$3:$C$14)</f>
        <v>45940</v>
      </c>
      <c r="H25" s="239"/>
      <c r="I25" s="251">
        <f>WORKDAY.INTL(K24,0,1,Data!$C$3:$C$14)</f>
        <v>45933</v>
      </c>
      <c r="J25" s="252">
        <v>5</v>
      </c>
      <c r="K25" s="251">
        <f>WORKDAY.INTL(I25,J25,1,Data!$C$3:$C$14)</f>
        <v>45940</v>
      </c>
      <c r="M25" s="255">
        <f t="shared" ref="M25:M26" ca="1" si="10">_xlfn.LET(
  _xlpm.s,VALUE($I25),
  _xlpm.e,VALUE($K25),
  IF(OR(_xlpm.s="",_xlpm.e=""),"", IF(_xlpm.e&lt;=_xlpm.s, IF(TODAY()&gt;=_xlpm.e,1,0), MAX(0,MIN(1,(TODAY()-_xlpm.s)/(_xlpm.e-_xlpm.s)))))
)</f>
        <v>1</v>
      </c>
      <c r="N25" s="255">
        <f ca="1">_xlfn.LET(
  _xlpm.s,VALUE($I25),
  _xlpm.e,VALUE($K25),
  IF(OR(_xlpm.s="",_xlpm.e=""),"", IF(_xlpm.e&lt;=_xlpm.s, IF(TODAY()&gt;=_xlpm.e,1,0), MAX(0,MIN(1,(TODAY()-_xlpm.s)/(_xlpm.e-_xlpm.s)))))
)</f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9" t="s">
        <v>117</v>
      </c>
      <c r="C26" s="250" t="s">
        <v>118</v>
      </c>
      <c r="D26" s="216"/>
      <c r="E26" s="251">
        <f>WORKDAY.INTL(E25,0,1,Data!$C$3:$C$14)</f>
        <v>45933</v>
      </c>
      <c r="F26" s="252">
        <v>1</v>
      </c>
      <c r="G26" s="251">
        <f>WORKDAY.INTL(E26,F26,1,Data!$C$3:$C$14)</f>
        <v>45936</v>
      </c>
      <c r="H26" s="239"/>
      <c r="I26" s="251">
        <f>WORKDAY.INTL(I25,0,1,Data!$C$3:$C$14)</f>
        <v>45933</v>
      </c>
      <c r="J26" s="252">
        <v>1</v>
      </c>
      <c r="K26" s="251">
        <f>WORKDAY.INTL(I26,J26,1,Data!$C$3:$C$14)</f>
        <v>45936</v>
      </c>
      <c r="M26" s="255">
        <f t="shared" ca="1" si="10"/>
        <v>1</v>
      </c>
      <c r="N26" s="255">
        <f ca="1">_xlfn.LET(
  _xlpm.s,VALUE($I26),
  _xlpm.e,VALUE($K26),
  IF(OR(_xlpm.s="",_xlpm.e=""),"", IF(_xlpm.e&lt;=_xlpm.s, IF(TODAY()&gt;=_xlpm.e,1,0), MAX(0,MIN(1,(TODAY()-_xlpm.s)/(_xlpm.e-_xlpm.s)))))
)</f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40"/>
      <c r="C27" s="216"/>
      <c r="D27" s="216"/>
      <c r="E27" s="241"/>
      <c r="F27" s="241"/>
      <c r="G27" s="242"/>
      <c r="H27" s="239"/>
      <c r="I27" s="241"/>
      <c r="J27" s="241"/>
      <c r="K27" s="242"/>
      <c r="Q27" s="3"/>
    </row>
    <row r="28" spans="2:28" s="112" customFormat="1">
      <c r="B28" s="245">
        <v>4</v>
      </c>
      <c r="C28" s="246" t="s">
        <v>34</v>
      </c>
      <c r="D28" s="220"/>
      <c r="E28" s="247">
        <f>MIN(E30:E33)</f>
        <v>45897</v>
      </c>
      <c r="F28" s="248">
        <f>G28-E28</f>
        <v>42</v>
      </c>
      <c r="G28" s="247">
        <f>MAX(G30:G33)</f>
        <v>45939</v>
      </c>
      <c r="H28" s="253"/>
      <c r="I28" s="247">
        <f>MIN(I31:I33)</f>
        <v>45904</v>
      </c>
      <c r="J28" s="248">
        <f>K28-I28</f>
        <v>32</v>
      </c>
      <c r="K28" s="247">
        <f>MAX(K30:K33)</f>
        <v>45936</v>
      </c>
      <c r="L28" s="114"/>
      <c r="M28" s="362">
        <v>1</v>
      </c>
      <c r="N28" s="362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9" t="s">
        <v>119</v>
      </c>
      <c r="C29" s="250"/>
      <c r="D29" s="216"/>
      <c r="E29" s="251"/>
      <c r="F29" s="252"/>
      <c r="G29" s="251"/>
      <c r="H29" s="239"/>
      <c r="I29" s="251"/>
      <c r="J29" s="252"/>
      <c r="K29" s="251"/>
      <c r="M29" s="255">
        <v>0</v>
      </c>
      <c r="N29" s="255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9" t="s">
        <v>119</v>
      </c>
      <c r="C30" s="250" t="s">
        <v>120</v>
      </c>
      <c r="D30" s="216"/>
      <c r="E30" s="251">
        <f>E22</f>
        <v>45897</v>
      </c>
      <c r="F30" s="252">
        <v>1</v>
      </c>
      <c r="G30" s="251">
        <f>WORKDAY.INTL(E30,F30,1,Data!$C$3:$C$14)</f>
        <v>45898</v>
      </c>
      <c r="H30" s="239"/>
      <c r="I30" s="251">
        <v>45904</v>
      </c>
      <c r="J30" s="252">
        <v>1</v>
      </c>
      <c r="K30" s="251">
        <f>WORKDAY.INTL(I30,J30,1,Data!$C$3:$C$14)</f>
        <v>45905</v>
      </c>
      <c r="M30" s="255">
        <v>1</v>
      </c>
      <c r="N30" s="255">
        <f ca="1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9" t="s">
        <v>121</v>
      </c>
      <c r="C31" s="250" t="s">
        <v>122</v>
      </c>
      <c r="D31" s="216"/>
      <c r="E31" s="251">
        <f>E19</f>
        <v>45918</v>
      </c>
      <c r="F31" s="252">
        <v>3</v>
      </c>
      <c r="G31" s="251">
        <f>WORKDAY.INTL(E31,F31,1,Data!$C$3:$C$14)</f>
        <v>45923</v>
      </c>
      <c r="H31" s="239"/>
      <c r="I31" s="251">
        <v>45910</v>
      </c>
      <c r="J31" s="252">
        <v>6</v>
      </c>
      <c r="K31" s="251">
        <f>WORKDAY.INTL(I31,J31,1,Data!$C$3:$C$14)</f>
        <v>45918</v>
      </c>
      <c r="M31" s="255">
        <v>1</v>
      </c>
      <c r="N31" s="255">
        <f ca="1">_xlfn.LET(
  _xlpm.s,VALUE($I31),
  _xlpm.e,VALUE($K31),
  IF(OR(_xlpm.s="",_xlpm.e=""),"", IF(_xlpm.e&lt;=_xlpm.s, IF(TODAY()&gt;=_xlpm.e,1,0), MAX(0,MIN(1,(TODAY()-_xlpm.s)/(_xlpm.e-_xlpm.s)))))
)</f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9" t="s">
        <v>123</v>
      </c>
      <c r="C32" s="250" t="s">
        <v>124</v>
      </c>
      <c r="D32" s="216"/>
      <c r="E32" s="251">
        <f>E30</f>
        <v>45897</v>
      </c>
      <c r="F32" s="252">
        <v>1</v>
      </c>
      <c r="G32" s="251">
        <f>WORKDAY.INTL(E32,F32,1,Data!$C$3:$C$14)</f>
        <v>45898</v>
      </c>
      <c r="H32" s="239"/>
      <c r="I32" s="251">
        <v>45904</v>
      </c>
      <c r="J32" s="252">
        <v>1</v>
      </c>
      <c r="K32" s="251">
        <f>WORKDAY.INTL(I32,J32,1,Data!$C$3:$C$14)</f>
        <v>45905</v>
      </c>
      <c r="M32" s="255">
        <v>1</v>
      </c>
      <c r="N32" s="255">
        <f ca="1">_xlfn.LET(
  _xlpm.s,VALUE($I32),
  _xlpm.e,VALUE($K32),
  IF(OR(_xlpm.s="",_xlpm.e=""),"", IF(_xlpm.e&lt;=_xlpm.s, IF(TODAY()&gt;=_xlpm.e,1,0), MAX(0,MIN(1,(TODAY()-_xlpm.s)/(_xlpm.e-_xlpm.s)))))
)</f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5">
      <c r="B33" s="249" t="s">
        <v>125</v>
      </c>
      <c r="C33" s="244" t="s">
        <v>126</v>
      </c>
      <c r="D33" s="216"/>
      <c r="E33" s="254">
        <f>WORKDAY.INTL(G37,0,1,Data!$C$3:$C$14)-3</f>
        <v>45935</v>
      </c>
      <c r="F33" s="252">
        <v>4</v>
      </c>
      <c r="G33" s="254">
        <f>WORKDAY.INTL(E33,F33,1,Data!$C$3:$C$14)</f>
        <v>45939</v>
      </c>
      <c r="H33" s="239"/>
      <c r="I33" s="254">
        <f>WORKDAY.INTL(K37,0,1,Data!$C$3:$C$14)-3</f>
        <v>45930</v>
      </c>
      <c r="J33" s="252">
        <v>4</v>
      </c>
      <c r="K33" s="254">
        <f>WORKDAY.INTL(I33,J33,1,Data!$C$3:$C$14)</f>
        <v>45936</v>
      </c>
      <c r="M33" s="255">
        <v>1</v>
      </c>
      <c r="N33" s="255">
        <f ca="1">_xlfn.LET(
  _xlpm.s,VALUE($I33),
  _xlpm.e,VALUE($K33),
  IF(OR(_xlpm.s="",_xlpm.e=""),"", IF(_xlpm.e&lt;=_xlpm.s, IF(TODAY()&gt;=_xlpm.e,1,0), MAX(0,MIN(1,(TODAY()-_xlpm.s)/(_xlpm.e-_xlpm.s)))))
)</f>
        <v>1</v>
      </c>
      <c r="O33" s="122"/>
      <c r="U33"/>
      <c r="Y33" s="24"/>
    </row>
    <row r="34" spans="2:28" s="112" customFormat="1" ht="4.5" customHeight="1">
      <c r="B34" s="240"/>
      <c r="C34" s="216"/>
      <c r="D34" s="216"/>
      <c r="E34" s="241"/>
      <c r="F34" s="241"/>
      <c r="G34" s="242"/>
      <c r="H34" s="239"/>
      <c r="I34" s="241"/>
      <c r="J34" s="241"/>
      <c r="K34" s="242"/>
      <c r="Q34" s="3"/>
    </row>
    <row r="35" spans="2:28" s="112" customFormat="1">
      <c r="B35" s="245">
        <v>5</v>
      </c>
      <c r="C35" s="246" t="s">
        <v>127</v>
      </c>
      <c r="D35" s="220"/>
      <c r="E35" s="247">
        <f>MIN(E36:E37)</f>
        <v>45897</v>
      </c>
      <c r="F35" s="248">
        <f>G35-E35</f>
        <v>41</v>
      </c>
      <c r="G35" s="247">
        <f>MAX(G36:G37)</f>
        <v>45938</v>
      </c>
      <c r="H35" s="221"/>
      <c r="I35" s="247">
        <f>MIN(I37:I37)</f>
        <v>45918</v>
      </c>
      <c r="J35" s="248">
        <f>K35-I35</f>
        <v>15</v>
      </c>
      <c r="K35" s="247">
        <f>MAX(K36:K37)</f>
        <v>45933</v>
      </c>
      <c r="L35" s="114"/>
      <c r="M35" s="362">
        <f>(J36*M36+J37*M37)/SUM(J36:J37)</f>
        <v>1</v>
      </c>
      <c r="N35" s="362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9" t="s">
        <v>128</v>
      </c>
      <c r="C36" s="250" t="s">
        <v>129</v>
      </c>
      <c r="D36" s="216"/>
      <c r="E36" s="254">
        <f>E22</f>
        <v>45897</v>
      </c>
      <c r="F36" s="252">
        <v>1</v>
      </c>
      <c r="G36" s="251">
        <f>WORKDAY.INTL(E36,F36,1,Data!$C$3:$C$14)</f>
        <v>45898</v>
      </c>
      <c r="H36" s="239"/>
      <c r="I36" s="254">
        <f>I22</f>
        <v>45897</v>
      </c>
      <c r="J36" s="252">
        <v>1</v>
      </c>
      <c r="K36" s="251">
        <f>WORKDAY.INTL(I36,J36,1,Data!$C$3:$C$14)</f>
        <v>45898</v>
      </c>
      <c r="M36" s="255">
        <v>1</v>
      </c>
      <c r="N36" s="255">
        <f ca="1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9" t="s">
        <v>130</v>
      </c>
      <c r="C37" s="250" t="s">
        <v>131</v>
      </c>
      <c r="D37" s="216"/>
      <c r="E37" s="254">
        <f>G31</f>
        <v>45923</v>
      </c>
      <c r="F37" s="252">
        <v>10</v>
      </c>
      <c r="G37" s="251">
        <f>WORKDAY.INTL(E37,F37,1,Data!$C$3:$C$14)</f>
        <v>45938</v>
      </c>
      <c r="H37" s="239"/>
      <c r="I37" s="254">
        <f>K31</f>
        <v>45918</v>
      </c>
      <c r="J37" s="252">
        <v>10</v>
      </c>
      <c r="K37" s="251">
        <f>WORKDAY.INTL(I37,J37,1,Data!$C$3:$C$14)</f>
        <v>45933</v>
      </c>
      <c r="M37" s="255">
        <v>1</v>
      </c>
      <c r="N37" s="255">
        <f ca="1">_xlfn.LET(
  _xlpm.s,VALUE($I37),
  _xlpm.e,VALUE($K37),
  IF(OR(_xlpm.s="",_xlpm.e=""),"", IF(_xlpm.e&lt;=_xlpm.s, IF(TODAY()&gt;=_xlpm.e,1,0), MAX(0,MIN(1,(TODAY()-_xlpm.s)/(_xlpm.e-_xlpm.s)))))
)</f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40"/>
      <c r="C38" s="216"/>
      <c r="D38" s="216"/>
      <c r="E38" s="241"/>
      <c r="F38" s="241"/>
      <c r="G38" s="242"/>
      <c r="H38" s="239"/>
      <c r="I38" s="241"/>
      <c r="J38" s="241"/>
      <c r="K38" s="242"/>
      <c r="Q38" s="3"/>
    </row>
    <row r="39" spans="2:28" s="112" customFormat="1">
      <c r="B39" s="245">
        <v>6</v>
      </c>
      <c r="C39" s="246" t="s">
        <v>132</v>
      </c>
      <c r="D39" s="220"/>
      <c r="E39" s="247">
        <f>MIN(E40:E41)</f>
        <v>45940</v>
      </c>
      <c r="F39" s="248">
        <f>G39-E39</f>
        <v>4</v>
      </c>
      <c r="G39" s="247">
        <f>MAX(G40:G41)</f>
        <v>45944</v>
      </c>
      <c r="H39" s="221"/>
      <c r="I39" s="247">
        <f>MIN(I40:I41)</f>
        <v>45940</v>
      </c>
      <c r="J39" s="248">
        <f>K39-I39</f>
        <v>4</v>
      </c>
      <c r="K39" s="247">
        <f>MAX(K40:K41)</f>
        <v>45944</v>
      </c>
      <c r="L39" s="114"/>
      <c r="M39" s="362">
        <f>(J40*M40+J41*M41)/SUM(J40:J41)</f>
        <v>1</v>
      </c>
      <c r="N39" s="362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9" t="s">
        <v>133</v>
      </c>
      <c r="C40" s="244" t="s">
        <v>132</v>
      </c>
      <c r="D40" s="216"/>
      <c r="E40" s="254">
        <f>WORKDAY.INTL(MAX(G21,G28,G35),0,1,Data!$C$3:$C$14)</f>
        <v>45940</v>
      </c>
      <c r="F40" s="252">
        <v>1</v>
      </c>
      <c r="G40" s="254">
        <f>WORKDAY.INTL(E40,F40,1,Data!$C$3:$C$14)</f>
        <v>45943</v>
      </c>
      <c r="H40" s="239"/>
      <c r="I40" s="254">
        <f>WORKDAY.INTL(MAX(K21,K28,K35),0,1,Data!$C$3:$C$14)</f>
        <v>45940</v>
      </c>
      <c r="J40" s="252">
        <v>1</v>
      </c>
      <c r="K40" s="254">
        <f>WORKDAY.INTL(I40,J40,1,Data!$C$3:$C$14)</f>
        <v>45943</v>
      </c>
      <c r="M40" s="255">
        <v>1</v>
      </c>
      <c r="N40" s="255">
        <f ca="1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9" t="s">
        <v>134</v>
      </c>
      <c r="C41" s="244" t="s">
        <v>135</v>
      </c>
      <c r="D41" s="216"/>
      <c r="E41" s="254">
        <f>WORKDAY.INTL(G40,0,1,Data!$C$3:$C$14)</f>
        <v>45943</v>
      </c>
      <c r="F41" s="252">
        <v>1</v>
      </c>
      <c r="G41" s="254">
        <f>WORKDAY.INTL(E41,F41,1,Data!$C$3:$C$14)</f>
        <v>45944</v>
      </c>
      <c r="H41" s="239"/>
      <c r="I41" s="254">
        <f>WORKDAY.INTL(K40,0,1,Data!$C$3:$C$14)</f>
        <v>45943</v>
      </c>
      <c r="J41" s="252">
        <v>1</v>
      </c>
      <c r="K41" s="254">
        <f>WORKDAY.INTL(I41,J41,1,Data!$C$3:$C$14)</f>
        <v>45944</v>
      </c>
      <c r="M41" s="255">
        <v>1</v>
      </c>
      <c r="N41" s="255">
        <f ca="1">_xlfn.LET(
  _xlpm.s,VALUE($I41),
  _xlpm.e,VALUE($K41),
  IF(OR(_xlpm.s="",_xlpm.e=""),"", IF(_xlpm.e&lt;=_xlpm.s, IF(TODAY()&gt;=_xlpm.e,1,0), MAX(0,MIN(1,(TODAY()-_xlpm.s)/(_xlpm.e-_xlpm.s)))))
)</f>
        <v>1</v>
      </c>
      <c r="O41" s="122"/>
      <c r="Y41" s="24"/>
    </row>
    <row r="42" spans="2:28" s="112" customFormat="1" ht="4.5" customHeight="1">
      <c r="B42" s="240"/>
      <c r="C42" s="216"/>
      <c r="D42" s="216"/>
      <c r="E42" s="241"/>
      <c r="F42" s="241"/>
      <c r="G42" s="242"/>
      <c r="H42" s="239"/>
      <c r="I42" s="241"/>
      <c r="J42" s="241"/>
      <c r="K42" s="242"/>
      <c r="Q42" s="3"/>
    </row>
    <row r="43" spans="2:28" s="112" customFormat="1">
      <c r="B43" s="245">
        <v>7</v>
      </c>
      <c r="C43" s="246" t="s">
        <v>136</v>
      </c>
      <c r="D43" s="220"/>
      <c r="E43" s="247">
        <f>MIN(E44)</f>
        <v>45940</v>
      </c>
      <c r="F43" s="248">
        <f>G43-E43</f>
        <v>3</v>
      </c>
      <c r="G43" s="247">
        <f>MAX(G44)</f>
        <v>45943</v>
      </c>
      <c r="H43" s="221"/>
      <c r="I43" s="247">
        <f>MIN(I44)</f>
        <v>45943</v>
      </c>
      <c r="J43" s="248">
        <f>K43-I43</f>
        <v>1</v>
      </c>
      <c r="K43" s="247">
        <f>MAX(K44)</f>
        <v>45944</v>
      </c>
      <c r="L43" s="114"/>
      <c r="M43" s="362">
        <f>(J44*M44)/SUM(J44)</f>
        <v>1</v>
      </c>
      <c r="N43" s="362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9">
        <v>7.1</v>
      </c>
      <c r="C44" s="244" t="s">
        <v>137</v>
      </c>
      <c r="D44" s="216"/>
      <c r="E44" s="254">
        <f>WORKDAY.INTL(E40,0,1,Data!$C$3:$C$14)</f>
        <v>45940</v>
      </c>
      <c r="F44" s="252">
        <v>1</v>
      </c>
      <c r="G44" s="254">
        <f>WORKDAY.INTL(E44,F44,1,Data!$C$3:$C$14)</f>
        <v>45943</v>
      </c>
      <c r="H44" s="239"/>
      <c r="I44" s="254">
        <v>45943</v>
      </c>
      <c r="J44" s="252">
        <v>1</v>
      </c>
      <c r="K44" s="254">
        <f>WORKDAY.INTL(I44,J44,1,Data!$C$3:$C$14)</f>
        <v>45944</v>
      </c>
      <c r="M44" s="255">
        <v>1</v>
      </c>
      <c r="N44" s="255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40"/>
      <c r="C45" s="216"/>
      <c r="D45" s="216"/>
      <c r="E45" s="241"/>
      <c r="F45" s="241"/>
      <c r="G45" s="242"/>
      <c r="H45" s="239"/>
      <c r="I45" s="241"/>
      <c r="J45" s="241"/>
      <c r="K45" s="242"/>
      <c r="Q45" s="3"/>
    </row>
    <row r="46" spans="2:28" s="112" customFormat="1">
      <c r="B46" s="245">
        <v>8</v>
      </c>
      <c r="C46" s="246" t="s">
        <v>138</v>
      </c>
      <c r="D46" s="220"/>
      <c r="E46" s="247">
        <f>MIN(E47:E52)</f>
        <v>45943</v>
      </c>
      <c r="F46" s="248">
        <f>G46-E46</f>
        <v>17</v>
      </c>
      <c r="G46" s="247">
        <f>MAX(G47:G52)</f>
        <v>45960</v>
      </c>
      <c r="H46" s="221"/>
      <c r="I46" s="247">
        <f>MIN(I47:I52)</f>
        <v>45944</v>
      </c>
      <c r="J46" s="248">
        <f>K46-I46</f>
        <v>106</v>
      </c>
      <c r="K46" s="247">
        <f>MAX(K47:K52)</f>
        <v>46050</v>
      </c>
      <c r="L46" s="114"/>
      <c r="M46" s="362">
        <f>(J47*M47+J48*M48+J49*M49+J50*M50+J51*M51+J52*M52)/SUM(J47:J52)</f>
        <v>1</v>
      </c>
      <c r="N46" s="362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9">
        <v>8.1</v>
      </c>
      <c r="C47" s="244" t="s">
        <v>139</v>
      </c>
      <c r="D47" s="216"/>
      <c r="E47" s="254">
        <f>G44</f>
        <v>45943</v>
      </c>
      <c r="F47" s="252">
        <v>1</v>
      </c>
      <c r="G47" s="254">
        <f>WORKDAY.INTL(E47,F47,1,Data!$C$3:$C$14)</f>
        <v>45944</v>
      </c>
      <c r="H47" s="239"/>
      <c r="I47" s="254">
        <f>K44</f>
        <v>45944</v>
      </c>
      <c r="J47" s="252">
        <v>1</v>
      </c>
      <c r="K47" s="254">
        <f>WORKDAY.INTL(I47,J47,1,Data!$C$3:$C$14)</f>
        <v>45945</v>
      </c>
      <c r="M47" s="255">
        <v>1</v>
      </c>
      <c r="N47" s="255">
        <f t="shared" ref="N47:N52" ca="1" si="11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9">
        <v>8.1999999999999993</v>
      </c>
      <c r="C48" s="720" t="s">
        <v>140</v>
      </c>
      <c r="D48" s="721"/>
      <c r="E48" s="717">
        <f>G44</f>
        <v>45943</v>
      </c>
      <c r="F48" s="718">
        <v>5</v>
      </c>
      <c r="G48" s="717">
        <f>WORKDAY.INTL(E48,F48,1,Data!$C$3:$C$14)</f>
        <v>45950</v>
      </c>
      <c r="H48" s="722"/>
      <c r="I48" s="717">
        <f>K44</f>
        <v>45944</v>
      </c>
      <c r="J48" s="718">
        <v>74</v>
      </c>
      <c r="K48" s="717">
        <f>WORKDAY.INTL(I48,J48,1,Data!$C$3:$C$14)</f>
        <v>46050</v>
      </c>
      <c r="M48" s="255">
        <v>1</v>
      </c>
      <c r="N48" s="255">
        <f t="shared" ca="1" si="11"/>
        <v>1</v>
      </c>
      <c r="O48" s="122"/>
      <c r="Y48" s="24"/>
    </row>
    <row r="49" spans="2:28">
      <c r="B49" s="249">
        <v>8.3000000000000007</v>
      </c>
      <c r="C49" s="244" t="s">
        <v>141</v>
      </c>
      <c r="D49" s="216"/>
      <c r="E49" s="254">
        <f>WORKDAY.INTL(G39,0,1,Data!$C$3:$C$14)</f>
        <v>45944</v>
      </c>
      <c r="F49" s="252">
        <v>5</v>
      </c>
      <c r="G49" s="254">
        <f>WORKDAY.INTL(E49,F49,1,Data!$C$3:$C$14)</f>
        <v>45951</v>
      </c>
      <c r="H49" s="239"/>
      <c r="I49" s="254">
        <f>WORKDAY.INTL(K39,0,1,Data!$C$3:$C$14)</f>
        <v>45944</v>
      </c>
      <c r="J49" s="252">
        <v>5</v>
      </c>
      <c r="K49" s="254">
        <f>WORKDAY.INTL(I49,J49,1,Data!$C$3:$C$14)</f>
        <v>45951</v>
      </c>
      <c r="M49" s="255">
        <v>1</v>
      </c>
      <c r="N49" s="255">
        <f t="shared" ca="1" si="11"/>
        <v>1</v>
      </c>
      <c r="O49" s="122"/>
      <c r="Y49" s="24"/>
    </row>
    <row r="50" spans="2:28">
      <c r="B50" s="249">
        <v>8.4</v>
      </c>
      <c r="C50" s="244" t="s">
        <v>142</v>
      </c>
      <c r="D50" s="216"/>
      <c r="E50" s="254">
        <f>WORKDAY.INTL(G48,0,1,Data!$C$3:$C$14)</f>
        <v>45950</v>
      </c>
      <c r="F50" s="252">
        <v>1</v>
      </c>
      <c r="G50" s="254">
        <f>WORKDAY.INTL(E50,F50,1,Data!$C$3:$C$14)</f>
        <v>45951</v>
      </c>
      <c r="H50" s="239"/>
      <c r="I50" s="254">
        <v>45969</v>
      </c>
      <c r="J50" s="252">
        <v>1</v>
      </c>
      <c r="K50" s="254">
        <f>WORKDAY.INTL(I50,J50,1,Data!$C$3:$C$14)</f>
        <v>45971</v>
      </c>
      <c r="M50" s="255">
        <v>1</v>
      </c>
      <c r="N50" s="255">
        <f t="shared" ca="1" si="11"/>
        <v>1</v>
      </c>
      <c r="O50" s="122"/>
      <c r="Y50" s="24"/>
    </row>
    <row r="51" spans="2:28">
      <c r="B51" s="249">
        <v>8.5</v>
      </c>
      <c r="C51" s="244" t="s">
        <v>143</v>
      </c>
      <c r="D51" s="216"/>
      <c r="E51" s="254">
        <f>WORKDAY.INTL(G50,0,1,Data!$C$3:$C$14)</f>
        <v>45951</v>
      </c>
      <c r="F51" s="252">
        <v>1</v>
      </c>
      <c r="G51" s="254">
        <f>WORKDAY.INTL(E51,F51,1,Data!$C$3:$C$14)</f>
        <v>45952</v>
      </c>
      <c r="H51" s="239"/>
      <c r="I51" s="254">
        <v>45973</v>
      </c>
      <c r="J51" s="252">
        <v>1</v>
      </c>
      <c r="K51" s="254">
        <f>WORKDAY.INTL(I51,J51,1,Data!$C$3:$C$14)</f>
        <v>45974</v>
      </c>
      <c r="M51" s="255">
        <v>1</v>
      </c>
      <c r="N51" s="255">
        <f t="shared" ca="1" si="11"/>
        <v>1</v>
      </c>
      <c r="O51" s="122"/>
      <c r="Y51" s="24"/>
    </row>
    <row r="52" spans="2:28">
      <c r="B52" s="249">
        <v>8.6</v>
      </c>
      <c r="C52" s="720" t="s">
        <v>144</v>
      </c>
      <c r="D52" s="216"/>
      <c r="E52" s="254">
        <f>WORKDAY.INTL(E51,0,1,Data!$C$3:$C$14)+2</f>
        <v>45953</v>
      </c>
      <c r="F52" s="252">
        <v>5</v>
      </c>
      <c r="G52" s="254">
        <f>WORKDAY.INTL(E52,F52,1,Data!$C$3:$C$14)</f>
        <v>45960</v>
      </c>
      <c r="H52" s="239"/>
      <c r="I52" s="717">
        <v>45985</v>
      </c>
      <c r="J52" s="718">
        <v>5</v>
      </c>
      <c r="K52" s="717">
        <f>WORKDAY.INTL(I52,J52,1,Data!$C$3:$C$14)</f>
        <v>45992</v>
      </c>
      <c r="M52" s="255">
        <v>1</v>
      </c>
      <c r="N52" s="255">
        <f t="shared" ca="1" si="11"/>
        <v>1</v>
      </c>
      <c r="O52" s="122"/>
      <c r="Y52" s="24"/>
    </row>
    <row r="53" spans="2:28" s="112" customFormat="1" ht="4.5" customHeight="1">
      <c r="B53" s="240"/>
      <c r="C53" s="216"/>
      <c r="D53" s="216"/>
      <c r="E53" s="216"/>
      <c r="F53" s="216"/>
      <c r="G53" s="216"/>
      <c r="H53" s="216"/>
      <c r="I53" s="216"/>
      <c r="J53" s="216"/>
      <c r="K53" s="216"/>
      <c r="L53" s="216"/>
      <c r="M53" s="216"/>
      <c r="N53" s="218"/>
      <c r="O53" s="216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70"/>
      <c r="E54" s="171"/>
      <c r="F54" s="109"/>
      <c r="J54" s="109"/>
      <c r="N54" s="2"/>
    </row>
    <row r="55" spans="2:28">
      <c r="B55" s="168"/>
      <c r="C55" s="112"/>
      <c r="E55" s="112"/>
      <c r="G55" s="113"/>
    </row>
    <row r="56" spans="2:28">
      <c r="B56" s="168"/>
      <c r="C56" s="112"/>
      <c r="E56" s="112"/>
      <c r="G56" s="113"/>
    </row>
    <row r="57" spans="2:28">
      <c r="B57" s="168"/>
      <c r="C57" s="112"/>
      <c r="E57" s="112"/>
      <c r="G57" s="113"/>
    </row>
    <row r="58" spans="2:28">
      <c r="B58" s="168"/>
      <c r="C58" s="112"/>
      <c r="E58" s="112"/>
      <c r="G58" s="113"/>
    </row>
    <row r="59" spans="2:28">
      <c r="B59" s="168"/>
      <c r="C59" s="112"/>
      <c r="E59" s="112"/>
      <c r="G59" s="113"/>
    </row>
    <row r="60" spans="2:28">
      <c r="B60" s="168"/>
      <c r="C60" s="112"/>
      <c r="E60" s="112"/>
      <c r="G60" s="113"/>
    </row>
    <row r="61" spans="2:28">
      <c r="B61" s="168"/>
      <c r="C61" s="112"/>
      <c r="E61" s="112"/>
      <c r="G61" s="113"/>
    </row>
    <row r="62" spans="2:28">
      <c r="B62" s="168"/>
      <c r="C62" s="112"/>
      <c r="E62" s="112"/>
      <c r="G62" s="113"/>
    </row>
    <row r="63" spans="2:28">
      <c r="B63" s="168"/>
      <c r="C63" s="112"/>
      <c r="E63" s="112"/>
      <c r="G63" s="113"/>
    </row>
    <row r="64" spans="2:28">
      <c r="B64" s="168"/>
      <c r="C64" s="112"/>
      <c r="E64" s="112"/>
      <c r="G64" s="113"/>
    </row>
    <row r="65" spans="2:7">
      <c r="B65" s="168"/>
      <c r="C65" s="112"/>
      <c r="E65" s="112"/>
      <c r="G65" s="113"/>
    </row>
    <row r="66" spans="2:7">
      <c r="B66" s="168"/>
      <c r="C66" s="112"/>
      <c r="E66" s="112"/>
      <c r="G66" s="113"/>
    </row>
    <row r="67" spans="2:7">
      <c r="B67" s="168"/>
      <c r="C67" s="112"/>
      <c r="E67" s="112"/>
      <c r="G67" s="113"/>
    </row>
    <row r="68" spans="2:7">
      <c r="B68" s="168"/>
      <c r="C68" s="112"/>
      <c r="E68" s="112"/>
      <c r="G68" s="113"/>
    </row>
    <row r="69" spans="2:7">
      <c r="B69" s="168"/>
      <c r="C69" s="112"/>
      <c r="E69" s="112"/>
      <c r="G69" s="113"/>
    </row>
    <row r="70" spans="2:7">
      <c r="B70" s="168"/>
      <c r="C70" s="112"/>
      <c r="E70" s="112"/>
      <c r="G70" s="113"/>
    </row>
    <row r="71" spans="2:7">
      <c r="B71" s="168"/>
      <c r="C71" s="112"/>
      <c r="E71" s="112"/>
      <c r="G71" s="113"/>
    </row>
    <row r="72" spans="2:7">
      <c r="B72" s="168"/>
      <c r="C72" s="112"/>
      <c r="E72" s="112"/>
      <c r="G72" s="113"/>
    </row>
    <row r="73" spans="2:7">
      <c r="B73" s="168"/>
      <c r="C73" s="112"/>
      <c r="E73" s="112"/>
      <c r="G73" s="113"/>
    </row>
    <row r="74" spans="2:7">
      <c r="B74" s="168"/>
      <c r="C74" s="112"/>
      <c r="E74" s="112"/>
      <c r="G74" s="113"/>
    </row>
    <row r="75" spans="2:7">
      <c r="B75" s="168"/>
      <c r="C75" s="112"/>
      <c r="E75" s="112"/>
      <c r="G75" s="113"/>
    </row>
    <row r="76" spans="2:7">
      <c r="B76" s="168"/>
      <c r="C76" s="112"/>
      <c r="E76" s="112"/>
      <c r="G76" s="113"/>
    </row>
    <row r="77" spans="2:7">
      <c r="B77" s="168"/>
      <c r="C77" s="112"/>
      <c r="E77" s="112"/>
      <c r="G77" s="113"/>
    </row>
    <row r="78" spans="2:7">
      <c r="B78" s="168"/>
      <c r="C78" s="112"/>
      <c r="E78" s="112"/>
      <c r="G78" s="113"/>
    </row>
    <row r="79" spans="2:7">
      <c r="B79" s="168"/>
      <c r="C79" s="112"/>
      <c r="E79" s="112"/>
      <c r="G79" s="113"/>
    </row>
    <row r="80" spans="2:7">
      <c r="B80" s="168"/>
      <c r="C80" s="112"/>
      <c r="E80" s="112"/>
      <c r="G80" s="113"/>
    </row>
    <row r="81" spans="2:7">
      <c r="B81" s="168"/>
      <c r="C81" s="112"/>
      <c r="E81" s="112"/>
      <c r="G81" s="113"/>
    </row>
    <row r="82" spans="2:7">
      <c r="B82" s="168"/>
      <c r="C82" s="112"/>
      <c r="E82" s="112"/>
      <c r="G82" s="113"/>
    </row>
    <row r="83" spans="2:7">
      <c r="B83" s="168"/>
      <c r="C83" s="112"/>
      <c r="E83" s="112"/>
      <c r="G83" s="113"/>
    </row>
    <row r="84" spans="2:7">
      <c r="B84" s="168"/>
      <c r="C84" s="112"/>
      <c r="E84" s="112"/>
      <c r="G84" s="113"/>
    </row>
    <row r="85" spans="2:7">
      <c r="B85" s="168"/>
      <c r="C85" s="112"/>
      <c r="E85" s="112"/>
      <c r="G85" s="113"/>
    </row>
    <row r="86" spans="2:7">
      <c r="B86" s="168"/>
      <c r="C86" s="112"/>
      <c r="E86" s="112"/>
      <c r="G86" s="113"/>
    </row>
    <row r="87" spans="2:7">
      <c r="B87" s="168"/>
      <c r="C87" s="112"/>
      <c r="E87" s="112"/>
      <c r="G87" s="113"/>
    </row>
    <row r="88" spans="2:7">
      <c r="B88" s="168"/>
      <c r="C88" s="112"/>
      <c r="E88" s="112"/>
      <c r="G88" s="113"/>
    </row>
    <row r="89" spans="2:7">
      <c r="B89" s="168"/>
      <c r="C89" s="112"/>
      <c r="E89" s="112"/>
      <c r="G89" s="113"/>
    </row>
    <row r="90" spans="2:7">
      <c r="B90" s="168"/>
      <c r="C90" s="112"/>
      <c r="E90" s="112"/>
      <c r="G90" s="113"/>
    </row>
    <row r="91" spans="2:7">
      <c r="B91" s="168"/>
      <c r="C91" s="112"/>
      <c r="E91" s="112"/>
      <c r="G91" s="113"/>
    </row>
    <row r="92" spans="2:7">
      <c r="B92" s="168"/>
      <c r="C92" s="112"/>
      <c r="E92" s="112"/>
      <c r="G92" s="113"/>
    </row>
    <row r="93" spans="2:7">
      <c r="B93" s="168"/>
      <c r="C93" s="112"/>
      <c r="E93" s="112"/>
      <c r="G93" s="113"/>
    </row>
    <row r="94" spans="2:7">
      <c r="B94" s="168"/>
      <c r="C94" s="112"/>
      <c r="E94" s="112"/>
      <c r="G94" s="113"/>
    </row>
    <row r="95" spans="2:7">
      <c r="B95" s="168"/>
      <c r="C95" s="112"/>
      <c r="E95" s="112"/>
      <c r="G95" s="113"/>
    </row>
    <row r="96" spans="2:7">
      <c r="B96" s="168"/>
      <c r="C96" s="112"/>
      <c r="E96" s="112"/>
      <c r="G96" s="113"/>
    </row>
    <row r="97" spans="2:7">
      <c r="B97" s="168"/>
      <c r="C97" s="112"/>
      <c r="E97" s="112"/>
      <c r="G97" s="113"/>
    </row>
    <row r="98" spans="2:7">
      <c r="B98" s="168"/>
      <c r="C98" s="112"/>
      <c r="E98" s="112"/>
      <c r="G98" s="113"/>
    </row>
    <row r="99" spans="2:7">
      <c r="B99" s="168"/>
      <c r="C99" s="112"/>
      <c r="E99" s="112"/>
      <c r="G99" s="113"/>
    </row>
    <row r="100" spans="2:7">
      <c r="B100" s="168"/>
      <c r="C100" s="112"/>
      <c r="E100" s="112"/>
      <c r="G100" s="113"/>
    </row>
    <row r="101" spans="2:7">
      <c r="B101" s="168"/>
      <c r="C101" s="112"/>
      <c r="E101" s="112"/>
      <c r="G101" s="113"/>
    </row>
    <row r="102" spans="2:7">
      <c r="B102" s="168"/>
      <c r="C102" s="112"/>
      <c r="E102" s="112"/>
      <c r="G102" s="113"/>
    </row>
    <row r="103" spans="2:7">
      <c r="B103" s="168"/>
      <c r="C103" s="112"/>
      <c r="E103" s="112"/>
      <c r="G103" s="113"/>
    </row>
    <row r="104" spans="2:7">
      <c r="B104" s="168"/>
      <c r="C104" s="112"/>
      <c r="E104" s="112"/>
      <c r="G104" s="113"/>
    </row>
    <row r="105" spans="2:7">
      <c r="B105" s="168"/>
      <c r="C105" s="112"/>
      <c r="E105" s="112"/>
      <c r="G105" s="113"/>
    </row>
    <row r="106" spans="2:7">
      <c r="B106" s="168"/>
      <c r="C106" s="112"/>
      <c r="E106" s="112"/>
      <c r="G106" s="113"/>
    </row>
    <row r="107" spans="2:7">
      <c r="B107" s="168"/>
      <c r="C107" s="112"/>
      <c r="E107" s="112"/>
      <c r="G107" s="113"/>
    </row>
    <row r="108" spans="2:7">
      <c r="B108" s="168"/>
      <c r="C108" s="112"/>
      <c r="E108" s="112"/>
      <c r="G108" s="113"/>
    </row>
    <row r="109" spans="2:7">
      <c r="B109" s="168"/>
      <c r="C109" s="112"/>
      <c r="E109" s="112"/>
      <c r="G109" s="113"/>
    </row>
    <row r="110" spans="2:7">
      <c r="B110" s="168"/>
      <c r="C110" s="112"/>
      <c r="E110" s="112"/>
      <c r="G110" s="113"/>
    </row>
    <row r="111" spans="2:7">
      <c r="B111" s="168"/>
      <c r="C111" s="112"/>
      <c r="E111" s="112"/>
      <c r="G111" s="113"/>
    </row>
    <row r="112" spans="2:7">
      <c r="B112" s="168"/>
      <c r="C112" s="112"/>
      <c r="E112" s="112"/>
      <c r="G112" s="113"/>
    </row>
    <row r="113" spans="2:7">
      <c r="B113" s="168"/>
      <c r="C113" s="112"/>
      <c r="E113" s="112"/>
      <c r="G113" s="113"/>
    </row>
    <row r="114" spans="2:7">
      <c r="B114" s="168"/>
      <c r="C114" s="112"/>
      <c r="E114" s="112"/>
      <c r="G114" s="113"/>
    </row>
    <row r="115" spans="2:7">
      <c r="B115" s="168"/>
      <c r="C115" s="112"/>
      <c r="E115" s="112"/>
      <c r="G115" s="113"/>
    </row>
    <row r="116" spans="2:7">
      <c r="B116" s="168"/>
      <c r="C116" s="112"/>
      <c r="E116" s="112"/>
      <c r="G116" s="113"/>
    </row>
    <row r="117" spans="2:7">
      <c r="B117" s="168"/>
      <c r="C117" s="112"/>
      <c r="E117" s="112"/>
      <c r="G117" s="113"/>
    </row>
    <row r="118" spans="2:7">
      <c r="B118" s="168"/>
      <c r="C118" s="112"/>
      <c r="E118" s="112"/>
      <c r="G118" s="113"/>
    </row>
    <row r="119" spans="2:7">
      <c r="B119" s="168"/>
      <c r="C119" s="112"/>
      <c r="E119" s="112"/>
      <c r="G119" s="113"/>
    </row>
    <row r="120" spans="2:7">
      <c r="B120" s="168"/>
      <c r="C120" s="112"/>
      <c r="E120" s="112"/>
      <c r="G120" s="113"/>
    </row>
    <row r="121" spans="2:7">
      <c r="B121" s="168"/>
      <c r="C121" s="112"/>
      <c r="E121" s="112"/>
      <c r="G121" s="113"/>
    </row>
    <row r="122" spans="2:7">
      <c r="B122" s="168"/>
      <c r="C122" s="112"/>
      <c r="E122" s="112"/>
      <c r="G122" s="113"/>
    </row>
    <row r="123" spans="2:7">
      <c r="B123" s="168"/>
      <c r="C123" s="112"/>
      <c r="E123" s="112"/>
      <c r="G123" s="113"/>
    </row>
    <row r="124" spans="2:7">
      <c r="B124" s="168"/>
      <c r="C124" s="112"/>
      <c r="E124" s="112"/>
      <c r="G124" s="113"/>
    </row>
    <row r="125" spans="2:7">
      <c r="B125" s="168"/>
      <c r="C125" s="112"/>
      <c r="E125" s="112"/>
      <c r="G125" s="113"/>
    </row>
    <row r="126" spans="2:7">
      <c r="B126" s="168"/>
      <c r="C126" s="112"/>
      <c r="E126" s="112"/>
      <c r="G126" s="113"/>
    </row>
    <row r="127" spans="2:7">
      <c r="B127" s="168"/>
      <c r="C127" s="112"/>
      <c r="E127" s="112"/>
      <c r="G127" s="113"/>
    </row>
    <row r="128" spans="2:7">
      <c r="B128" s="168"/>
      <c r="C128" s="112"/>
      <c r="E128" s="112"/>
      <c r="G128" s="113"/>
    </row>
    <row r="129" spans="2:7">
      <c r="B129" s="168"/>
      <c r="C129" s="112"/>
      <c r="E129" s="112"/>
      <c r="G129" s="113"/>
    </row>
    <row r="130" spans="2:7">
      <c r="B130" s="168"/>
      <c r="C130" s="112"/>
      <c r="E130" s="112"/>
      <c r="G130" s="113"/>
    </row>
    <row r="131" spans="2:7">
      <c r="B131" s="168"/>
      <c r="C131" s="112"/>
      <c r="E131" s="112"/>
      <c r="G131" s="113"/>
    </row>
    <row r="132" spans="2:7">
      <c r="B132" s="168"/>
      <c r="C132" s="112"/>
      <c r="E132" s="112"/>
      <c r="G132" s="113"/>
    </row>
    <row r="133" spans="2:7">
      <c r="B133" s="168"/>
      <c r="C133" s="112"/>
      <c r="E133" s="112"/>
      <c r="G133" s="113"/>
    </row>
    <row r="134" spans="2:7">
      <c r="B134" s="168"/>
      <c r="C134" s="112"/>
      <c r="E134" s="112"/>
      <c r="G134" s="113"/>
    </row>
    <row r="135" spans="2:7">
      <c r="B135" s="168"/>
      <c r="C135" s="112"/>
      <c r="E135" s="112"/>
      <c r="G135" s="113"/>
    </row>
    <row r="136" spans="2:7">
      <c r="B136" s="168"/>
      <c r="C136" s="112"/>
      <c r="E136" s="112"/>
      <c r="G136" s="113"/>
    </row>
    <row r="137" spans="2:7">
      <c r="B137" s="168"/>
      <c r="C137" s="112"/>
      <c r="E137" s="112"/>
      <c r="G137" s="113"/>
    </row>
    <row r="138" spans="2:7">
      <c r="B138" s="168"/>
      <c r="C138" s="112"/>
      <c r="E138" s="112"/>
      <c r="G138" s="113"/>
    </row>
    <row r="139" spans="2:7">
      <c r="B139" s="168"/>
      <c r="C139" s="112"/>
      <c r="E139" s="112"/>
      <c r="G139" s="113"/>
    </row>
    <row r="140" spans="2:7">
      <c r="B140" s="168"/>
      <c r="C140" s="112"/>
      <c r="E140" s="112"/>
      <c r="G140" s="113"/>
    </row>
    <row r="141" spans="2:7">
      <c r="B141" s="168"/>
      <c r="C141" s="112"/>
      <c r="E141" s="112"/>
      <c r="G141" s="113"/>
    </row>
    <row r="142" spans="2:7">
      <c r="B142" s="168"/>
      <c r="C142" s="112"/>
      <c r="E142" s="112"/>
      <c r="G142" s="113"/>
    </row>
    <row r="143" spans="2:7">
      <c r="B143" s="168"/>
      <c r="C143" s="112"/>
      <c r="E143" s="112"/>
      <c r="G143" s="113"/>
    </row>
    <row r="144" spans="2:7">
      <c r="B144" s="168"/>
      <c r="C144" s="112"/>
      <c r="E144" s="112"/>
      <c r="G144" s="113"/>
    </row>
    <row r="145" spans="2:7">
      <c r="B145" s="168"/>
      <c r="C145" s="112"/>
      <c r="E145" s="112"/>
      <c r="G145" s="113"/>
    </row>
    <row r="146" spans="2:7">
      <c r="B146" s="168"/>
      <c r="C146" s="112"/>
      <c r="E146" s="112"/>
      <c r="G146" s="113"/>
    </row>
    <row r="147" spans="2:7">
      <c r="B147" s="168"/>
      <c r="C147" s="112"/>
      <c r="E147" s="112"/>
      <c r="G147" s="113"/>
    </row>
    <row r="148" spans="2:7">
      <c r="B148" s="168"/>
      <c r="C148" s="112"/>
      <c r="E148" s="112"/>
      <c r="G148" s="113"/>
    </row>
    <row r="149" spans="2:7">
      <c r="B149" s="168"/>
      <c r="C149" s="112"/>
      <c r="E149" s="112"/>
      <c r="G149" s="113"/>
    </row>
    <row r="150" spans="2:7">
      <c r="B150" s="168"/>
      <c r="C150" s="112"/>
      <c r="E150" s="112"/>
      <c r="G150" s="113"/>
    </row>
    <row r="151" spans="2:7">
      <c r="B151" s="168"/>
      <c r="C151" s="112"/>
      <c r="E151" s="112"/>
      <c r="G151" s="113"/>
    </row>
    <row r="152" spans="2:7">
      <c r="B152" s="168"/>
      <c r="C152" s="112"/>
      <c r="E152" s="112"/>
      <c r="G152" s="113"/>
    </row>
    <row r="153" spans="2:7">
      <c r="B153" s="168"/>
      <c r="C153" s="112"/>
      <c r="E153" s="112"/>
      <c r="G153" s="113"/>
    </row>
    <row r="154" spans="2:7">
      <c r="B154" s="168"/>
      <c r="C154" s="112"/>
      <c r="E154" s="112"/>
      <c r="G154" s="113"/>
    </row>
    <row r="155" spans="2:7">
      <c r="B155" s="168"/>
      <c r="C155" s="112"/>
      <c r="E155" s="112"/>
      <c r="G155" s="113"/>
    </row>
    <row r="156" spans="2:7">
      <c r="B156" s="168"/>
      <c r="C156" s="112"/>
      <c r="E156" s="112"/>
      <c r="G156" s="113"/>
    </row>
    <row r="157" spans="2:7">
      <c r="B157" s="168"/>
      <c r="C157" s="112"/>
      <c r="E157" s="112"/>
      <c r="G157" s="113"/>
    </row>
    <row r="158" spans="2:7">
      <c r="B158" s="168"/>
      <c r="C158" s="112"/>
      <c r="E158" s="112"/>
      <c r="G158" s="113"/>
    </row>
    <row r="159" spans="2:7">
      <c r="B159" s="168"/>
      <c r="C159" s="112"/>
      <c r="E159" s="112"/>
      <c r="G159" s="113"/>
    </row>
    <row r="160" spans="2:7">
      <c r="B160" s="168"/>
      <c r="C160" s="112"/>
      <c r="E160" s="112"/>
      <c r="G160" s="113"/>
    </row>
    <row r="161" spans="2:7">
      <c r="B161" s="168"/>
      <c r="C161" s="112"/>
      <c r="E161" s="112"/>
      <c r="G161" s="113"/>
    </row>
    <row r="162" spans="2:7">
      <c r="B162" s="168"/>
      <c r="C162" s="112"/>
      <c r="E162" s="112"/>
      <c r="G162" s="113"/>
    </row>
    <row r="163" spans="2:7">
      <c r="B163" s="168"/>
      <c r="C163" s="112"/>
      <c r="E163" s="112"/>
      <c r="G163" s="113"/>
    </row>
    <row r="164" spans="2:7">
      <c r="B164" s="168"/>
      <c r="C164" s="112"/>
      <c r="E164" s="112"/>
      <c r="G164" s="113"/>
    </row>
    <row r="165" spans="2:7">
      <c r="B165" s="168"/>
      <c r="C165" s="112"/>
      <c r="E165" s="112"/>
      <c r="G165" s="113"/>
    </row>
    <row r="166" spans="2:7">
      <c r="B166" s="168"/>
      <c r="C166" s="112"/>
      <c r="E166" s="112"/>
      <c r="G166" s="113"/>
    </row>
    <row r="167" spans="2:7">
      <c r="B167" s="168"/>
      <c r="C167" s="112"/>
      <c r="E167" s="112"/>
      <c r="G167" s="113"/>
    </row>
    <row r="168" spans="2:7">
      <c r="B168" s="168"/>
      <c r="C168" s="112"/>
      <c r="E168" s="112"/>
      <c r="G168" s="113"/>
    </row>
    <row r="169" spans="2:7">
      <c r="B169" s="168"/>
      <c r="C169" s="112"/>
      <c r="E169" s="112"/>
      <c r="G169" s="113"/>
    </row>
    <row r="170" spans="2:7">
      <c r="B170" s="168"/>
      <c r="C170" s="112"/>
      <c r="E170" s="112"/>
      <c r="G170" s="113"/>
    </row>
    <row r="171" spans="2:7">
      <c r="B171" s="168"/>
      <c r="C171" s="112"/>
      <c r="E171" s="112"/>
      <c r="G171" s="113"/>
    </row>
    <row r="172" spans="2:7">
      <c r="B172" s="168"/>
      <c r="C172" s="112"/>
      <c r="E172" s="112"/>
      <c r="G172" s="113"/>
    </row>
    <row r="173" spans="2:7">
      <c r="B173" s="168"/>
      <c r="C173" s="112"/>
      <c r="E173" s="112"/>
      <c r="G173" s="113"/>
    </row>
    <row r="174" spans="2:7">
      <c r="B174" s="168"/>
      <c r="C174" s="112"/>
      <c r="E174" s="112"/>
      <c r="G174" s="113"/>
    </row>
    <row r="175" spans="2:7">
      <c r="B175" s="168"/>
      <c r="C175" s="112"/>
      <c r="E175" s="112"/>
      <c r="G175" s="113"/>
    </row>
    <row r="176" spans="2:7">
      <c r="B176" s="168"/>
      <c r="C176" s="112"/>
      <c r="E176" s="112"/>
      <c r="G176" s="113"/>
    </row>
    <row r="177" spans="2:7">
      <c r="B177" s="168"/>
      <c r="C177" s="112"/>
      <c r="E177" s="112"/>
      <c r="G177" s="113"/>
    </row>
    <row r="178" spans="2:7">
      <c r="B178" s="168"/>
      <c r="C178" s="112"/>
      <c r="E178" s="112"/>
      <c r="G178" s="113"/>
    </row>
    <row r="179" spans="2:7">
      <c r="B179" s="168"/>
      <c r="C179" s="112"/>
      <c r="E179" s="112"/>
      <c r="G179" s="113"/>
    </row>
    <row r="180" spans="2:7">
      <c r="B180" s="168"/>
      <c r="C180" s="112"/>
      <c r="E180" s="112"/>
      <c r="G180" s="113"/>
    </row>
    <row r="181" spans="2:7">
      <c r="B181" s="168"/>
      <c r="C181" s="112"/>
      <c r="E181" s="112"/>
      <c r="G181" s="113"/>
    </row>
    <row r="182" spans="2:7">
      <c r="B182" s="168"/>
      <c r="C182" s="112"/>
      <c r="E182" s="112"/>
      <c r="G182" s="113"/>
    </row>
    <row r="183" spans="2:7">
      <c r="B183" s="168"/>
      <c r="C183" s="112"/>
      <c r="E183" s="112"/>
      <c r="G183" s="113"/>
    </row>
    <row r="184" spans="2:7">
      <c r="B184" s="168"/>
      <c r="C184" s="112"/>
      <c r="E184" s="112"/>
      <c r="G184" s="113"/>
    </row>
    <row r="185" spans="2:7">
      <c r="B185" s="168"/>
      <c r="C185" s="112"/>
      <c r="E185" s="112"/>
      <c r="G185" s="113"/>
    </row>
    <row r="186" spans="2:7">
      <c r="B186" s="168"/>
      <c r="C186" s="112"/>
      <c r="E186" s="112"/>
      <c r="G186" s="113"/>
    </row>
    <row r="187" spans="2:7">
      <c r="B187" s="168"/>
      <c r="C187" s="112"/>
      <c r="E187" s="112"/>
      <c r="G187" s="113"/>
    </row>
    <row r="188" spans="2:7">
      <c r="B188" s="168"/>
      <c r="C188" s="112"/>
      <c r="E188" s="112"/>
      <c r="G188" s="113"/>
    </row>
    <row r="189" spans="2:7">
      <c r="B189" s="168"/>
      <c r="C189" s="112"/>
      <c r="E189" s="112"/>
      <c r="G189" s="113"/>
    </row>
    <row r="190" spans="2:7">
      <c r="B190" s="168"/>
      <c r="C190" s="112"/>
      <c r="E190" s="112"/>
      <c r="G190" s="113"/>
    </row>
    <row r="191" spans="2:7">
      <c r="B191" s="168"/>
      <c r="C191" s="112"/>
      <c r="E191" s="112"/>
      <c r="G191" s="113"/>
    </row>
    <row r="192" spans="2:7">
      <c r="B192" s="168"/>
      <c r="C192" s="112"/>
      <c r="E192" s="112"/>
      <c r="G192" s="113"/>
    </row>
    <row r="193" spans="2:7">
      <c r="B193" s="168"/>
      <c r="C193" s="112"/>
      <c r="E193" s="112"/>
      <c r="G193" s="113"/>
    </row>
    <row r="194" spans="2:7">
      <c r="B194" s="168"/>
      <c r="C194" s="112"/>
      <c r="E194" s="112"/>
      <c r="G194" s="113"/>
    </row>
    <row r="195" spans="2:7">
      <c r="B195" s="168"/>
      <c r="C195" s="112"/>
      <c r="E195" s="112"/>
      <c r="G195" s="113"/>
    </row>
    <row r="196" spans="2:7">
      <c r="B196" s="168"/>
      <c r="C196" s="112"/>
      <c r="E196" s="112"/>
      <c r="G196" s="113"/>
    </row>
    <row r="197" spans="2:7">
      <c r="B197" s="168"/>
      <c r="C197" s="112"/>
      <c r="E197" s="112"/>
      <c r="G197" s="113"/>
    </row>
    <row r="198" spans="2:7">
      <c r="B198" s="168"/>
      <c r="C198" s="112"/>
      <c r="E198" s="112"/>
      <c r="G198" s="113"/>
    </row>
    <row r="199" spans="2:7">
      <c r="B199" s="168"/>
      <c r="C199" s="112"/>
      <c r="E199" s="112"/>
      <c r="G199" s="113"/>
    </row>
    <row r="200" spans="2:7">
      <c r="B200" s="168"/>
      <c r="C200" s="112"/>
      <c r="E200" s="112"/>
      <c r="G200" s="113"/>
    </row>
    <row r="201" spans="2:7">
      <c r="B201" s="168"/>
      <c r="C201" s="112"/>
      <c r="E201" s="112"/>
      <c r="G201" s="113"/>
    </row>
    <row r="202" spans="2:7">
      <c r="B202" s="168"/>
      <c r="C202" s="112"/>
      <c r="E202" s="112"/>
      <c r="G202" s="113"/>
    </row>
    <row r="203" spans="2:7">
      <c r="B203" s="168"/>
      <c r="C203" s="112"/>
      <c r="E203" s="112"/>
      <c r="G203" s="113"/>
    </row>
    <row r="204" spans="2:7">
      <c r="B204" s="168"/>
      <c r="C204" s="112"/>
      <c r="E204" s="112"/>
      <c r="G204" s="113"/>
    </row>
    <row r="205" spans="2:7">
      <c r="B205" s="168"/>
      <c r="C205" s="112"/>
      <c r="E205" s="112"/>
      <c r="G205" s="113"/>
    </row>
    <row r="206" spans="2:7">
      <c r="B206" s="168"/>
      <c r="C206" s="112"/>
      <c r="E206" s="112"/>
      <c r="G206" s="113"/>
    </row>
    <row r="207" spans="2:7">
      <c r="B207" s="168"/>
      <c r="C207" s="112"/>
      <c r="E207" s="112"/>
      <c r="G207" s="113"/>
    </row>
    <row r="208" spans="2:7">
      <c r="B208" s="168"/>
      <c r="C208" s="112"/>
      <c r="E208" s="112"/>
      <c r="G208" s="113"/>
    </row>
    <row r="209" spans="2:7">
      <c r="B209" s="168"/>
      <c r="C209" s="112"/>
      <c r="E209" s="112"/>
      <c r="G209" s="113"/>
    </row>
    <row r="210" spans="2:7">
      <c r="B210" s="168"/>
      <c r="C210" s="112"/>
      <c r="E210" s="112"/>
      <c r="G210" s="113"/>
    </row>
    <row r="211" spans="2:7">
      <c r="B211" s="168"/>
      <c r="C211" s="112"/>
      <c r="E211" s="112"/>
      <c r="G211" s="113"/>
    </row>
    <row r="212" spans="2:7">
      <c r="B212" s="168"/>
      <c r="C212" s="112"/>
      <c r="E212" s="112"/>
      <c r="G212" s="113"/>
    </row>
    <row r="213" spans="2:7">
      <c r="B213" s="168"/>
      <c r="C213" s="112"/>
      <c r="E213" s="112"/>
      <c r="G213" s="113"/>
    </row>
    <row r="214" spans="2:7">
      <c r="B214" s="168"/>
      <c r="C214" s="112"/>
      <c r="E214" s="112"/>
      <c r="G214" s="113"/>
    </row>
    <row r="215" spans="2:7">
      <c r="B215" s="168"/>
      <c r="C215" s="112"/>
      <c r="E215" s="112"/>
      <c r="G215" s="113"/>
    </row>
    <row r="216" spans="2:7">
      <c r="B216" s="168"/>
      <c r="C216" s="112"/>
      <c r="E216" s="112"/>
      <c r="G216" s="113"/>
    </row>
    <row r="217" spans="2:7">
      <c r="B217" s="168"/>
      <c r="C217" s="112"/>
      <c r="E217" s="112"/>
      <c r="G217" s="113"/>
    </row>
    <row r="218" spans="2:7">
      <c r="B218" s="168"/>
      <c r="C218" s="112"/>
      <c r="E218" s="112"/>
      <c r="G218" s="113"/>
    </row>
    <row r="219" spans="2:7">
      <c r="B219" s="168"/>
      <c r="C219" s="112"/>
      <c r="E219" s="112"/>
      <c r="G219" s="113"/>
    </row>
    <row r="220" spans="2:7">
      <c r="B220" s="168"/>
      <c r="C220" s="112"/>
      <c r="E220" s="112"/>
      <c r="G220" s="113"/>
    </row>
    <row r="221" spans="2:7">
      <c r="B221" s="168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M1:N1 M6:N7 O1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12:N16 M19:N19 M29:N33 M36:N37 M44:N44 M22:N26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80" zoomScaleNormal="80" workbookViewId="0">
      <selection activeCell="N36" sqref="N36"/>
    </sheetView>
  </sheetViews>
  <sheetFormatPr defaultColWidth="8.453125" defaultRowHeight="14.5"/>
  <cols>
    <col min="1" max="1" width="5.1796875" style="93" customWidth="1"/>
    <col min="2" max="2" width="5.1796875" style="131" customWidth="1"/>
    <col min="3" max="4" width="23.453125" style="129" customWidth="1"/>
    <col min="5" max="5" width="6.54296875" style="129" customWidth="1"/>
    <col min="6" max="6" width="16.453125" style="129" customWidth="1"/>
    <col min="7" max="7" width="4.453125" style="129" customWidth="1"/>
    <col min="8" max="8" width="15.453125" style="129" customWidth="1"/>
    <col min="9" max="9" width="1.81640625" style="129" customWidth="1"/>
    <col min="10" max="10" width="3.453125" style="93" customWidth="1"/>
    <col min="11" max="11" width="1.81640625" style="176" customWidth="1"/>
    <col min="12" max="12" width="29.453125" style="93" customWidth="1"/>
    <col min="13" max="13" width="1.81640625" style="129" customWidth="1"/>
    <col min="14" max="14" width="29.453125" style="129" customWidth="1"/>
    <col min="15" max="15" width="1.453125" style="93" customWidth="1"/>
    <col min="16" max="16" width="16.81640625" style="129" customWidth="1"/>
    <col min="17" max="17" width="5.1796875" style="129" customWidth="1"/>
    <col min="18" max="18" width="112.1796875" style="129" bestFit="1" customWidth="1"/>
    <col min="19" max="19" width="4.453125" style="129" customWidth="1"/>
    <col min="20" max="20" width="20.54296875" style="129" bestFit="1" customWidth="1"/>
    <col min="21" max="21" width="16.81640625" style="93" bestFit="1" customWidth="1"/>
    <col min="22" max="22" width="21.453125" style="93" bestFit="1" customWidth="1"/>
    <col min="23" max="23" width="17.81640625" style="93" bestFit="1" customWidth="1"/>
    <col min="24" max="24" width="20.54296875" style="93" bestFit="1" customWidth="1"/>
    <col min="25" max="25" width="16.816406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1796875" style="129" bestFit="1" customWidth="1"/>
    <col min="30" max="40" width="8.453125" style="129"/>
    <col min="41" max="41" width="9.453125" style="129" bestFit="1" customWidth="1"/>
    <col min="42" max="16384" width="8.453125" style="129"/>
  </cols>
  <sheetData>
    <row r="1" spans="1:41" s="93" customFormat="1" ht="14.25" customHeight="1">
      <c r="A1" s="377"/>
      <c r="B1" s="117"/>
      <c r="J1" s="142"/>
      <c r="S1" s="142"/>
    </row>
    <row r="2" spans="1:41" s="93" customFormat="1" ht="14.25" customHeight="1" thickBot="1">
      <c r="A2" s="377"/>
      <c r="B2" s="128" t="s">
        <v>145</v>
      </c>
      <c r="C2" s="128"/>
      <c r="D2" s="128"/>
      <c r="E2" s="128"/>
      <c r="F2" s="128"/>
      <c r="G2" s="128"/>
      <c r="H2" s="128"/>
      <c r="J2" s="142"/>
      <c r="R2" s="128"/>
      <c r="S2" s="142"/>
    </row>
    <row r="3" spans="1:41" s="93" customFormat="1" ht="13">
      <c r="B3" s="117"/>
      <c r="D3" s="125" t="s">
        <v>146</v>
      </c>
      <c r="F3" s="125" t="s">
        <v>147</v>
      </c>
      <c r="J3" s="142"/>
      <c r="L3" s="409" t="s">
        <v>148</v>
      </c>
      <c r="N3" s="409" t="s">
        <v>149</v>
      </c>
      <c r="S3" s="142"/>
      <c r="T3" s="690" t="s">
        <v>150</v>
      </c>
      <c r="U3" s="690" t="s">
        <v>151</v>
      </c>
      <c r="V3" s="690" t="s">
        <v>152</v>
      </c>
      <c r="W3" s="690" t="s">
        <v>153</v>
      </c>
      <c r="X3" s="690" t="s">
        <v>154</v>
      </c>
      <c r="Y3" s="690" t="s">
        <v>155</v>
      </c>
    </row>
    <row r="4" spans="1:41" s="93" customFormat="1" ht="13">
      <c r="B4" s="353">
        <v>1</v>
      </c>
      <c r="C4" s="354" t="s">
        <v>156</v>
      </c>
      <c r="D4" s="355">
        <f>'Project Plan'!E6</f>
        <v>1027136</v>
      </c>
      <c r="E4" s="356"/>
      <c r="F4" s="355">
        <f>F21</f>
        <v>1027136</v>
      </c>
      <c r="J4" s="142"/>
      <c r="L4" s="375">
        <v>1027136</v>
      </c>
      <c r="N4" s="375" t="s">
        <v>92</v>
      </c>
      <c r="Q4" s="130"/>
      <c r="S4" s="142"/>
      <c r="T4" s="690">
        <f>SUMIFS('Expenditure Breakdown'!$U:$U,
        'Expenditure Breakdown'!$T:$T, "&gt;"&amp;DATE(2024,8,31),
        'Expenditure Breakdown'!$T:$T, "&lt;="&amp;DATE(2025,8,31),
        'Expenditure Breakdown'!$S:$S, "&lt;&gt;")</f>
        <v>665572.37738261756</v>
      </c>
      <c r="U4" s="690">
        <f>SUMIFS('Expenditure Breakdown'!$Q:$Q,
        'Expenditure Breakdown'!$T:$T, "&gt;"&amp;DATE(2024,8,31),
        'Expenditure Breakdown'!$T:$T, "&lt;="&amp;DATE(2025,8,31),
        'Expenditure Breakdown'!$S:$S, "&lt;&gt;")</f>
        <v>542298.30000000005</v>
      </c>
      <c r="V4" s="690">
        <f>SUMIFS('Expenditure Breakdown'!$U:$U,
        'Expenditure Breakdown'!$T:$T, "&gt;"&amp;DATE(2025,8,31),
        'Expenditure Breakdown'!$T:$T, "&lt;="&amp;DATE(2026,8,31))</f>
        <v>361550.45776932529</v>
      </c>
      <c r="W4" s="690">
        <f>SUMIFS('Expenditure Breakdown'!$Q:$Q,
        'Expenditure Breakdown'!$T:$T, "&gt;"&amp;DATE(2025,8,31),
        'Expenditure Breakdown'!$T:$T, "&lt;="&amp;DATE(2026,8,31))</f>
        <v>228208.96999999997</v>
      </c>
      <c r="X4" s="690">
        <f>SUMIFS('Expenditure Breakdown'!$U:$U,
        'Expenditure Breakdown'!$T:$T, "&gt;"&amp;DATE(2025,8,31),
        'Expenditure Breakdown'!$T:$T, "&lt;="&amp;DATE(2026,8,31),
        'Expenditure Breakdown'!$S:$S, "&lt;&gt;")</f>
        <v>361550.45776932529</v>
      </c>
      <c r="Y4" s="690">
        <f>SUMIFS('Expenditure Breakdown'!$Q:$Q,
        'Expenditure Breakdown'!$T:$T, "&gt;"&amp;DATE(2025,8,31),
        'Expenditure Breakdown'!$T:$T, "&lt;="&amp;DATE(2026,8,31),
        'Expenditure Breakdown'!$S:$S, "&lt;&gt;")</f>
        <v>228208.96999999997</v>
      </c>
    </row>
    <row r="5" spans="1:41" s="93" customFormat="1" ht="15" customHeight="1">
      <c r="B5" s="353">
        <v>2</v>
      </c>
      <c r="C5" s="354" t="s">
        <v>157</v>
      </c>
      <c r="D5" s="355">
        <f>+'Expenditure Tracking'!F5</f>
        <v>817052.62</v>
      </c>
      <c r="E5" s="356"/>
      <c r="F5" s="355">
        <f>+'Expenditure Tracking'!H5</f>
        <v>770507.27</v>
      </c>
      <c r="J5" s="142"/>
      <c r="L5" s="375">
        <v>780286.28999999992</v>
      </c>
      <c r="N5" s="410">
        <v>45918</v>
      </c>
      <c r="S5" s="142"/>
    </row>
    <row r="6" spans="1:41" s="93" customFormat="1" ht="15" customHeight="1">
      <c r="B6" s="353">
        <v>3</v>
      </c>
      <c r="C6" s="354" t="s">
        <v>158</v>
      </c>
      <c r="D6" s="355">
        <f>+D4-D5</f>
        <v>210083.38</v>
      </c>
      <c r="E6" s="356"/>
      <c r="F6" s="355">
        <f>+F4-F5</f>
        <v>256628.72999999998</v>
      </c>
      <c r="H6" s="116"/>
      <c r="J6" s="142"/>
      <c r="L6" s="375">
        <v>246849.71000000008</v>
      </c>
      <c r="N6" s="375" t="s">
        <v>159</v>
      </c>
      <c r="S6" s="142"/>
    </row>
    <row r="7" spans="1:41" s="93" customFormat="1" ht="15" customHeight="1" thickBot="1">
      <c r="B7" s="353">
        <v>4</v>
      </c>
      <c r="C7" s="354" t="s">
        <v>160</v>
      </c>
      <c r="D7" s="357">
        <f>+D6/D4</f>
        <v>0.20453316795438969</v>
      </c>
      <c r="E7" s="356"/>
      <c r="F7" s="357">
        <f>+F6/F4</f>
        <v>0.24984883209234218</v>
      </c>
      <c r="J7" s="142"/>
      <c r="L7" s="376">
        <v>0.24032816491681733</v>
      </c>
      <c r="N7" s="445">
        <v>45944</v>
      </c>
      <c r="S7" s="142"/>
    </row>
    <row r="8" spans="1:41" s="93" customFormat="1" ht="9" customHeight="1">
      <c r="B8" s="117"/>
      <c r="J8" s="142"/>
      <c r="S8" s="142"/>
    </row>
    <row r="9" spans="1:41" s="93" customFormat="1" ht="9.75" customHeight="1">
      <c r="B9" s="117"/>
      <c r="J9" s="142"/>
      <c r="S9" s="142"/>
    </row>
    <row r="10" spans="1:41" s="93" customFormat="1" ht="13">
      <c r="B10" s="128" t="s">
        <v>161</v>
      </c>
      <c r="J10" s="142"/>
      <c r="S10" s="142"/>
      <c r="U10" s="128"/>
    </row>
    <row r="11" spans="1:41" s="93" customFormat="1" ht="14.25" customHeight="1">
      <c r="B11" s="117"/>
      <c r="J11" s="142"/>
      <c r="S11" s="142"/>
    </row>
    <row r="12" spans="1:41" s="93" customFormat="1" ht="26">
      <c r="B12" s="132" t="s">
        <v>82</v>
      </c>
      <c r="C12" s="133" t="s">
        <v>162</v>
      </c>
      <c r="D12" s="134"/>
      <c r="E12" s="132" t="s">
        <v>163</v>
      </c>
      <c r="F12" s="132" t="s">
        <v>164</v>
      </c>
      <c r="H12" s="358" t="s">
        <v>165</v>
      </c>
      <c r="J12" s="142"/>
      <c r="L12" s="167" t="s">
        <v>166</v>
      </c>
      <c r="M12" s="135"/>
      <c r="N12" s="167" t="s">
        <v>167</v>
      </c>
      <c r="O12" s="129"/>
      <c r="P12" s="167" t="s">
        <v>168</v>
      </c>
      <c r="R12" s="378" t="s">
        <v>169</v>
      </c>
      <c r="S12" s="142"/>
    </row>
    <row r="13" spans="1:41" s="93" customFormat="1" ht="13">
      <c r="B13" s="353">
        <v>1</v>
      </c>
      <c r="C13" s="804" t="s">
        <v>170</v>
      </c>
      <c r="D13" s="805"/>
      <c r="E13" s="136">
        <v>0.5</v>
      </c>
      <c r="F13" s="137">
        <f>$D$4*E13</f>
        <v>513568</v>
      </c>
      <c r="G13" s="138"/>
      <c r="H13" s="139">
        <v>45890</v>
      </c>
      <c r="J13" s="142"/>
      <c r="L13" s="370" t="s">
        <v>171</v>
      </c>
      <c r="M13" s="369"/>
      <c r="N13" s="139">
        <v>45867</v>
      </c>
      <c r="O13" s="129"/>
      <c r="P13" s="139">
        <v>45874</v>
      </c>
      <c r="R13" s="175"/>
      <c r="S13" s="142"/>
      <c r="AO13" s="626">
        <f>'Decision Register'!$P$14+ 7</f>
        <v>7</v>
      </c>
    </row>
    <row r="14" spans="1:41" s="93" customFormat="1" ht="12.5">
      <c r="B14" s="155">
        <v>2</v>
      </c>
      <c r="C14" s="804" t="s">
        <v>172</v>
      </c>
      <c r="D14" s="805"/>
      <c r="E14" s="136">
        <v>0.25</v>
      </c>
      <c r="F14" s="137">
        <f t="shared" ref="F14:F18" si="0">$D$4*E14</f>
        <v>256784</v>
      </c>
      <c r="G14" s="356"/>
      <c r="H14" s="139">
        <f>'Project Plan'!E36+7</f>
        <v>45904</v>
      </c>
      <c r="J14" s="142"/>
      <c r="L14" s="370" t="s">
        <v>173</v>
      </c>
      <c r="N14" s="139">
        <v>45900</v>
      </c>
      <c r="O14" s="129"/>
      <c r="P14" s="139">
        <v>45905</v>
      </c>
      <c r="R14" s="379"/>
      <c r="S14" s="142"/>
    </row>
    <row r="15" spans="1:41" s="93" customFormat="1" ht="12.5">
      <c r="B15" s="353">
        <v>3</v>
      </c>
      <c r="C15" s="804" t="s">
        <v>174</v>
      </c>
      <c r="D15" s="805"/>
      <c r="E15" s="136">
        <v>0.1</v>
      </c>
      <c r="F15" s="137">
        <f t="shared" si="0"/>
        <v>102713.60000000001</v>
      </c>
      <c r="G15" s="356"/>
      <c r="H15" s="139">
        <f>'Project Plan'!E22+7</f>
        <v>45904</v>
      </c>
      <c r="J15" s="142"/>
      <c r="L15" s="370" t="s">
        <v>173</v>
      </c>
      <c r="N15" s="139">
        <v>45900</v>
      </c>
      <c r="O15" s="129"/>
      <c r="P15" s="139">
        <v>45905</v>
      </c>
      <c r="R15" s="379"/>
      <c r="S15" s="142"/>
    </row>
    <row r="16" spans="1:41" s="93" customFormat="1" ht="12.5">
      <c r="B16" s="353">
        <v>4</v>
      </c>
      <c r="C16" s="802" t="s">
        <v>135</v>
      </c>
      <c r="D16" s="803"/>
      <c r="E16" s="136">
        <v>0.1</v>
      </c>
      <c r="F16" s="137">
        <f t="shared" si="0"/>
        <v>102713.60000000001</v>
      </c>
      <c r="G16" s="356"/>
      <c r="H16" s="139">
        <f>'Project Plan'!G39+7</f>
        <v>45951</v>
      </c>
      <c r="J16" s="142"/>
      <c r="L16" s="370" t="s">
        <v>175</v>
      </c>
      <c r="M16" s="129"/>
      <c r="N16" s="689">
        <v>45950</v>
      </c>
      <c r="O16" s="129"/>
      <c r="P16" s="689">
        <v>45979</v>
      </c>
      <c r="R16" s="379"/>
      <c r="S16" s="142"/>
    </row>
    <row r="17" spans="2:19" s="93" customFormat="1" ht="12.5">
      <c r="B17" s="353">
        <v>5</v>
      </c>
      <c r="C17" s="802" t="s">
        <v>54</v>
      </c>
      <c r="D17" s="803"/>
      <c r="E17" s="136">
        <v>0.05</v>
      </c>
      <c r="F17" s="137">
        <f t="shared" si="0"/>
        <v>51356.800000000003</v>
      </c>
      <c r="G17" s="356"/>
      <c r="H17" s="139">
        <f>'Project Plan'!E51+7</f>
        <v>45958</v>
      </c>
      <c r="J17" s="142"/>
      <c r="L17" s="370" t="s">
        <v>176</v>
      </c>
      <c r="N17" s="689">
        <v>45974</v>
      </c>
      <c r="O17" s="129"/>
      <c r="P17" s="689">
        <v>45979</v>
      </c>
      <c r="R17" s="379"/>
      <c r="S17" s="142"/>
    </row>
    <row r="18" spans="2:19" s="93" customFormat="1" ht="12.5">
      <c r="B18" s="353">
        <v>6</v>
      </c>
      <c r="C18" s="802" t="s">
        <v>177</v>
      </c>
      <c r="D18" s="803"/>
      <c r="E18" s="136">
        <v>0</v>
      </c>
      <c r="F18" s="137">
        <f t="shared" si="0"/>
        <v>0</v>
      </c>
      <c r="G18" s="356"/>
      <c r="H18" s="139"/>
      <c r="J18" s="142"/>
      <c r="L18" s="370"/>
      <c r="M18" s="138"/>
      <c r="N18" s="139"/>
      <c r="O18" s="129"/>
      <c r="P18" s="140"/>
      <c r="R18" s="379"/>
      <c r="S18" s="142"/>
    </row>
    <row r="19" spans="2:19" s="93" customFormat="1" ht="12.5">
      <c r="B19" s="353">
        <v>7</v>
      </c>
      <c r="C19" s="804" t="s">
        <v>177</v>
      </c>
      <c r="D19" s="805"/>
      <c r="E19" s="136">
        <v>0</v>
      </c>
      <c r="F19" s="137">
        <f t="shared" ref="F19" si="1">$D$4*E19</f>
        <v>0</v>
      </c>
      <c r="G19" s="356"/>
      <c r="H19" s="139"/>
      <c r="J19" s="142"/>
      <c r="L19" s="140"/>
      <c r="N19" s="140"/>
      <c r="O19" s="129"/>
      <c r="P19" s="140"/>
      <c r="R19" s="379"/>
      <c r="S19" s="142"/>
    </row>
    <row r="20" spans="2:19" s="93" customFormat="1" ht="9" customHeight="1">
      <c r="B20" s="117"/>
      <c r="E20" s="141"/>
      <c r="F20" s="116"/>
      <c r="H20" s="359"/>
      <c r="J20" s="142"/>
      <c r="S20" s="142"/>
    </row>
    <row r="21" spans="2:19" s="93" customFormat="1" ht="13">
      <c r="B21" s="117"/>
      <c r="E21" s="360">
        <f>SUM(E13:E19)</f>
        <v>1</v>
      </c>
      <c r="F21" s="361">
        <f>SUM(F13:F19)</f>
        <v>1027136</v>
      </c>
      <c r="J21" s="142"/>
      <c r="S21" s="142"/>
    </row>
    <row r="22" spans="2:19" s="142" customFormat="1" ht="25.5" customHeight="1">
      <c r="B22" s="143"/>
      <c r="F22" s="144"/>
    </row>
    <row r="23" spans="2:19" s="93" customFormat="1" ht="24.75" customHeight="1">
      <c r="B23" s="145" t="s">
        <v>178</v>
      </c>
      <c r="C23" s="146" t="s">
        <v>179</v>
      </c>
      <c r="D23" s="146"/>
      <c r="F23" s="147"/>
      <c r="H23" s="116"/>
    </row>
    <row r="24" spans="2:19" s="93" customFormat="1" ht="12.5">
      <c r="C24" s="148" t="s">
        <v>180</v>
      </c>
      <c r="D24" s="149"/>
      <c r="F24" s="150"/>
    </row>
    <row r="25" spans="2:19" s="93" customFormat="1" ht="12.5">
      <c r="C25" s="148" t="s">
        <v>181</v>
      </c>
      <c r="D25" s="149"/>
    </row>
    <row r="26" spans="2:19" s="93" customFormat="1" ht="12.5">
      <c r="C26" s="151" t="s">
        <v>182</v>
      </c>
      <c r="D26" s="152"/>
    </row>
    <row r="27" spans="2:19" s="93" customFormat="1" ht="12.5">
      <c r="C27" s="153" t="s">
        <v>183</v>
      </c>
      <c r="D27" s="149"/>
    </row>
    <row r="28" spans="2:19" s="93" customFormat="1" ht="12.5">
      <c r="B28" s="117"/>
      <c r="C28" s="153" t="s">
        <v>184</v>
      </c>
      <c r="D28" s="149"/>
    </row>
    <row r="29" spans="2:19" s="93" customFormat="1" ht="12.5">
      <c r="B29" s="117"/>
      <c r="C29" s="93" t="s">
        <v>185</v>
      </c>
    </row>
    <row r="30" spans="2:19" s="93" customFormat="1" ht="27.75" customHeight="1">
      <c r="B30" s="117"/>
      <c r="C30" s="154" t="s">
        <v>186</v>
      </c>
      <c r="D30" s="154"/>
      <c r="F30" s="150"/>
    </row>
    <row r="31" spans="2:19" s="93" customFormat="1" ht="12.5">
      <c r="B31" s="117"/>
      <c r="F31" s="147"/>
    </row>
    <row r="32" spans="2:19" s="93" customFormat="1" ht="12.5">
      <c r="B32" s="117"/>
      <c r="F32" s="147"/>
    </row>
    <row r="33" spans="2:6" s="93" customFormat="1" ht="12.5">
      <c r="B33" s="117"/>
      <c r="F33" s="147"/>
    </row>
    <row r="34" spans="2:6" s="93" customFormat="1" ht="12.5">
      <c r="B34" s="117"/>
      <c r="F34" s="147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82</v>
      </c>
      <c r="C40" s="133" t="s">
        <v>162</v>
      </c>
      <c r="D40" s="134"/>
      <c r="E40" s="132" t="s">
        <v>163</v>
      </c>
      <c r="F40" s="132" t="s">
        <v>164</v>
      </c>
    </row>
    <row r="41" spans="2:6" s="93" customFormat="1" ht="12.75" hidden="1" customHeight="1">
      <c r="B41" s="155">
        <v>1</v>
      </c>
      <c r="C41" s="156" t="s">
        <v>187</v>
      </c>
      <c r="D41" s="156"/>
      <c r="E41" s="136">
        <v>0.35</v>
      </c>
      <c r="F41" s="137">
        <f>$F$47*E41</f>
        <v>359497.6</v>
      </c>
    </row>
    <row r="42" spans="2:6" s="93" customFormat="1" ht="12.75" hidden="1" customHeight="1">
      <c r="B42" s="155">
        <v>2</v>
      </c>
      <c r="C42" s="156" t="s">
        <v>172</v>
      </c>
      <c r="D42" s="156"/>
      <c r="E42" s="136">
        <v>0.3</v>
      </c>
      <c r="F42" s="137">
        <f t="shared" ref="F42:F45" si="2">$F$47*E42</f>
        <v>308140.79999999999</v>
      </c>
    </row>
    <row r="43" spans="2:6" s="93" customFormat="1" ht="12.75" hidden="1" customHeight="1">
      <c r="B43" s="155">
        <v>3</v>
      </c>
      <c r="C43" s="156" t="s">
        <v>174</v>
      </c>
      <c r="D43" s="156"/>
      <c r="E43" s="136">
        <v>0.2</v>
      </c>
      <c r="F43" s="137">
        <f t="shared" si="2"/>
        <v>205427.20000000001</v>
      </c>
    </row>
    <row r="44" spans="2:6" s="93" customFormat="1" ht="12.75" hidden="1" customHeight="1">
      <c r="B44" s="155">
        <v>4</v>
      </c>
      <c r="C44" s="156" t="s">
        <v>188</v>
      </c>
      <c r="D44" s="156"/>
      <c r="E44" s="136">
        <v>0.1</v>
      </c>
      <c r="F44" s="137">
        <f t="shared" si="2"/>
        <v>102713.60000000001</v>
      </c>
    </row>
    <row r="45" spans="2:6" s="93" customFormat="1" ht="13.5" hidden="1" customHeight="1" thickBot="1">
      <c r="B45" s="157">
        <v>5</v>
      </c>
      <c r="C45" s="158" t="s">
        <v>54</v>
      </c>
      <c r="D45" s="158"/>
      <c r="E45" s="159">
        <v>0.05</v>
      </c>
      <c r="F45" s="160">
        <f t="shared" si="2"/>
        <v>51356.800000000003</v>
      </c>
    </row>
    <row r="46" spans="2:6" s="93" customFormat="1" ht="13.5" hidden="1" customHeight="1" thickBot="1">
      <c r="B46" s="161"/>
      <c r="C46" s="162" t="s">
        <v>189</v>
      </c>
      <c r="D46" s="162"/>
      <c r="E46" s="163">
        <f>SUM(E41:E45)</f>
        <v>0.99999999999999989</v>
      </c>
      <c r="F46" s="164">
        <f>SUM(F41:F45)</f>
        <v>1027135.9999999999</v>
      </c>
    </row>
    <row r="47" spans="2:6" s="93" customFormat="1" ht="12.75" hidden="1" customHeight="1">
      <c r="B47" s="117"/>
      <c r="E47" s="141">
        <f>SUM(E41:E45)</f>
        <v>0.99999999999999989</v>
      </c>
      <c r="F47" s="116">
        <f>F21</f>
        <v>1027136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17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190</v>
      </c>
      <c r="F2" s="83" t="s">
        <v>191</v>
      </c>
    </row>
    <row r="3" spans="3:8">
      <c r="C3" s="79">
        <v>45658</v>
      </c>
      <c r="D3" s="73" t="s">
        <v>192</v>
      </c>
      <c r="F3" s="81" t="s">
        <v>193</v>
      </c>
    </row>
    <row r="4" spans="3:8">
      <c r="C4" s="79">
        <v>45737</v>
      </c>
      <c r="D4" s="73" t="s">
        <v>194</v>
      </c>
      <c r="F4" s="81" t="s">
        <v>195</v>
      </c>
    </row>
    <row r="5" spans="3:8">
      <c r="C5" s="79">
        <v>45765</v>
      </c>
      <c r="D5" s="73" t="s">
        <v>196</v>
      </c>
      <c r="F5" s="81" t="s">
        <v>197</v>
      </c>
    </row>
    <row r="6" spans="3:8" ht="13" thickBot="1">
      <c r="C6" s="79">
        <v>45768</v>
      </c>
      <c r="D6" s="73" t="s">
        <v>198</v>
      </c>
      <c r="F6" s="82" t="s">
        <v>199</v>
      </c>
    </row>
    <row r="7" spans="3:8">
      <c r="C7" s="79">
        <v>45774</v>
      </c>
      <c r="D7" s="73" t="s">
        <v>200</v>
      </c>
    </row>
    <row r="8" spans="3:8">
      <c r="C8" s="79">
        <v>45765</v>
      </c>
      <c r="D8" s="73" t="s">
        <v>201</v>
      </c>
    </row>
    <row r="9" spans="3:8">
      <c r="C9" s="79">
        <v>45778</v>
      </c>
      <c r="D9" s="73" t="s">
        <v>202</v>
      </c>
    </row>
    <row r="10" spans="3:8">
      <c r="C10" s="79">
        <v>45824</v>
      </c>
      <c r="D10" s="73" t="s">
        <v>203</v>
      </c>
    </row>
    <row r="11" spans="3:8">
      <c r="C11" s="79">
        <v>45878</v>
      </c>
      <c r="D11" s="73" t="s">
        <v>204</v>
      </c>
    </row>
    <row r="12" spans="3:8">
      <c r="C12" s="79">
        <v>45924</v>
      </c>
      <c r="D12" s="73" t="s">
        <v>205</v>
      </c>
    </row>
    <row r="13" spans="3:8">
      <c r="C13" s="79">
        <v>46007</v>
      </c>
      <c r="D13" s="73" t="s">
        <v>206</v>
      </c>
      <c r="F13" s="85"/>
      <c r="H13" s="73" t="s">
        <v>207</v>
      </c>
    </row>
    <row r="14" spans="3:8">
      <c r="C14" s="79">
        <v>46016</v>
      </c>
      <c r="D14" s="73" t="s">
        <v>208</v>
      </c>
    </row>
    <row r="15" spans="3:8" ht="13" thickBot="1">
      <c r="C15" s="80">
        <v>46017</v>
      </c>
      <c r="D15" s="73" t="s">
        <v>209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179687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6"/>
      <c r="B1" s="217"/>
      <c r="C1" s="217"/>
      <c r="D1" s="216"/>
      <c r="E1" s="216"/>
      <c r="F1" s="216"/>
      <c r="G1" s="216"/>
      <c r="H1" s="216"/>
      <c r="I1" s="216"/>
      <c r="J1" s="216"/>
      <c r="K1" s="112"/>
      <c r="L1" s="112"/>
    </row>
    <row r="2" spans="1:12">
      <c r="A2" s="216"/>
      <c r="B2" s="220" t="s">
        <v>210</v>
      </c>
      <c r="C2" s="220"/>
      <c r="D2" s="220"/>
      <c r="E2" s="220"/>
      <c r="F2" s="220"/>
      <c r="G2" s="220"/>
      <c r="H2" s="220"/>
      <c r="I2" s="220"/>
      <c r="J2" s="220"/>
      <c r="K2" s="114"/>
      <c r="L2" s="114"/>
    </row>
    <row r="3" spans="1:12" ht="6.75" customHeight="1">
      <c r="A3" s="216"/>
      <c r="B3" s="217"/>
      <c r="C3" s="217"/>
      <c r="D3" s="216"/>
      <c r="E3" s="216"/>
      <c r="F3" s="216"/>
      <c r="G3" s="216"/>
      <c r="H3" s="216"/>
      <c r="I3" s="216"/>
      <c r="J3" s="216"/>
      <c r="K3" s="112"/>
      <c r="L3" s="112"/>
    </row>
    <row r="4" spans="1:12" ht="14.5" thickBot="1">
      <c r="A4" s="216"/>
      <c r="B4" s="806"/>
      <c r="C4" s="806"/>
      <c r="D4" s="806"/>
      <c r="E4" s="413"/>
      <c r="F4" s="221" t="s">
        <v>146</v>
      </c>
      <c r="G4" s="216"/>
      <c r="H4" s="221" t="s">
        <v>147</v>
      </c>
      <c r="I4" s="216"/>
      <c r="J4" s="222" t="s">
        <v>211</v>
      </c>
      <c r="K4" s="112"/>
      <c r="L4" s="112"/>
    </row>
    <row r="5" spans="1:12" ht="14.5" thickBot="1">
      <c r="A5" s="216"/>
      <c r="B5" s="807" t="s">
        <v>212</v>
      </c>
      <c r="C5" s="807"/>
      <c r="D5" s="807"/>
      <c r="E5" s="413"/>
      <c r="F5" s="223">
        <f>SUM(F9:F23)</f>
        <v>817052.62</v>
      </c>
      <c r="G5" s="218"/>
      <c r="H5" s="223">
        <f>SUM(H9:H23)</f>
        <v>770507.27</v>
      </c>
      <c r="I5" s="216"/>
      <c r="J5" s="224">
        <f>SUM(J9:J23)</f>
        <v>46545.350000000013</v>
      </c>
      <c r="K5" s="112"/>
      <c r="L5" s="112"/>
    </row>
    <row r="6" spans="1:12" ht="6.75" customHeight="1" thickBot="1">
      <c r="A6" s="216"/>
      <c r="B6" s="225"/>
      <c r="C6" s="225"/>
      <c r="D6" s="225"/>
      <c r="E6" s="225"/>
      <c r="F6" s="216"/>
      <c r="G6" s="216"/>
      <c r="H6" s="216"/>
      <c r="I6" s="216"/>
      <c r="J6" s="216"/>
      <c r="K6" s="112"/>
      <c r="L6" s="112"/>
    </row>
    <row r="7" spans="1:12" ht="26.5" thickBot="1">
      <c r="A7" s="216"/>
      <c r="B7" s="226" t="s">
        <v>82</v>
      </c>
      <c r="C7" s="227"/>
      <c r="D7" s="226" t="s">
        <v>213</v>
      </c>
      <c r="E7" s="227"/>
      <c r="F7" s="228" t="s">
        <v>214</v>
      </c>
      <c r="G7" s="229"/>
      <c r="H7" s="228" t="s">
        <v>215</v>
      </c>
      <c r="I7" s="229"/>
      <c r="J7" s="228" t="s">
        <v>216</v>
      </c>
      <c r="K7" s="173"/>
      <c r="L7" s="115" t="s">
        <v>217</v>
      </c>
    </row>
    <row r="8" spans="1:12" ht="6.75" customHeight="1">
      <c r="A8" s="216"/>
      <c r="B8" s="217"/>
      <c r="C8" s="217"/>
      <c r="D8" s="216"/>
      <c r="E8" s="216"/>
      <c r="F8" s="216"/>
      <c r="G8" s="216"/>
      <c r="H8" s="216"/>
      <c r="I8" s="216"/>
      <c r="J8" s="216"/>
      <c r="K8" s="112"/>
      <c r="L8" s="112"/>
    </row>
    <row r="9" spans="1:12">
      <c r="A9" s="216"/>
      <c r="B9" s="230">
        <f>'Expenditure Breakdown'!L6</f>
        <v>1</v>
      </c>
      <c r="C9" s="219"/>
      <c r="D9" s="231" t="str">
        <f>'Expenditure Breakdown'!M6</f>
        <v>1. Panels</v>
      </c>
      <c r="E9" s="86"/>
      <c r="F9" s="232">
        <f>'Expenditure Breakdown'!I6</f>
        <v>160883.16</v>
      </c>
      <c r="G9" s="86"/>
      <c r="H9" s="232">
        <f>'Expenditure Breakdown'!X6</f>
        <v>149174</v>
      </c>
      <c r="I9" s="89"/>
      <c r="J9" s="233">
        <f t="shared" ref="J9:J23" si="0">F9-H9</f>
        <v>11709.160000000003</v>
      </c>
      <c r="K9" s="174"/>
      <c r="L9" s="256"/>
    </row>
    <row r="10" spans="1:12">
      <c r="A10" s="216"/>
      <c r="B10" s="230">
        <f>'Expenditure Breakdown'!L13</f>
        <v>2</v>
      </c>
      <c r="C10" s="219"/>
      <c r="D10" s="231" t="str">
        <f>'Expenditure Breakdown'!M13</f>
        <v>2. Inverters</v>
      </c>
      <c r="E10" s="86"/>
      <c r="F10" s="232">
        <f>'Expenditure Breakdown'!I13</f>
        <v>74130</v>
      </c>
      <c r="G10" s="86"/>
      <c r="H10" s="232">
        <f>'Expenditure Breakdown'!X13</f>
        <v>74130.34</v>
      </c>
      <c r="I10" s="89"/>
      <c r="J10" s="233">
        <f t="shared" si="0"/>
        <v>-0.33999999999650754</v>
      </c>
      <c r="K10" s="174"/>
      <c r="L10" s="256"/>
    </row>
    <row r="11" spans="1:12">
      <c r="A11" s="216"/>
      <c r="B11" s="230">
        <f>'Expenditure Breakdown'!L21</f>
        <v>3</v>
      </c>
      <c r="C11" s="219"/>
      <c r="D11" s="231" t="str">
        <f>'Expenditure Breakdown'!M21</f>
        <v>3. Mounting Structures</v>
      </c>
      <c r="E11" s="234"/>
      <c r="F11" s="232">
        <f>'Expenditure Breakdown'!I21</f>
        <v>97648.8</v>
      </c>
      <c r="G11" s="86"/>
      <c r="H11" s="232">
        <f>'Expenditure Breakdown'!X21</f>
        <v>101652.61</v>
      </c>
      <c r="I11" s="89"/>
      <c r="J11" s="233">
        <f t="shared" si="0"/>
        <v>-4003.8099999999977</v>
      </c>
      <c r="K11" s="174"/>
      <c r="L11" s="256"/>
    </row>
    <row r="12" spans="1:12">
      <c r="A12" s="216"/>
      <c r="B12" s="230">
        <f>'Expenditure Breakdown'!L28</f>
        <v>4</v>
      </c>
      <c r="C12" s="219"/>
      <c r="D12" s="231" t="str">
        <f>'Expenditure Breakdown'!M28</f>
        <v>4. DC Equipment</v>
      </c>
      <c r="E12" s="234"/>
      <c r="F12" s="232">
        <f>'Expenditure Breakdown'!I28</f>
        <v>61800.6</v>
      </c>
      <c r="G12" s="86"/>
      <c r="H12" s="232">
        <f>'Expenditure Breakdown'!X28</f>
        <v>100367</v>
      </c>
      <c r="I12" s="89"/>
      <c r="J12" s="233">
        <f t="shared" si="0"/>
        <v>-38566.400000000001</v>
      </c>
      <c r="K12" s="174"/>
      <c r="L12" s="256"/>
    </row>
    <row r="13" spans="1:12">
      <c r="A13" s="216"/>
      <c r="B13" s="230">
        <f>'Expenditure Breakdown'!L44</f>
        <v>5</v>
      </c>
      <c r="C13" s="219"/>
      <c r="D13" s="231" t="str">
        <f>'Expenditure Breakdown'!M44</f>
        <v>5. Monitoring</v>
      </c>
      <c r="E13" s="234"/>
      <c r="F13" s="232">
        <f>'Expenditure Breakdown'!I44</f>
        <v>166000</v>
      </c>
      <c r="G13" s="86"/>
      <c r="H13" s="232">
        <f>'Expenditure Breakdown'!X44</f>
        <v>89397.709999999992</v>
      </c>
      <c r="I13" s="89"/>
      <c r="J13" s="233">
        <f t="shared" si="0"/>
        <v>76602.290000000008</v>
      </c>
      <c r="K13" s="174"/>
      <c r="L13" s="256"/>
    </row>
    <row r="14" spans="1:12">
      <c r="A14" s="216"/>
      <c r="B14" s="230">
        <f>'Expenditure Breakdown'!L53</f>
        <v>6</v>
      </c>
      <c r="C14" s="219"/>
      <c r="D14" s="231" t="str">
        <f>'Expenditure Breakdown'!M53</f>
        <v>6. AC Equipment</v>
      </c>
      <c r="E14" s="234"/>
      <c r="F14" s="232">
        <f>'Expenditure Breakdown'!I53</f>
        <v>135950.84</v>
      </c>
      <c r="G14" s="86"/>
      <c r="H14" s="232">
        <f>'Expenditure Breakdown'!X53</f>
        <v>126812.12</v>
      </c>
      <c r="I14" s="89"/>
      <c r="J14" s="233">
        <f t="shared" si="0"/>
        <v>9138.7200000000012</v>
      </c>
      <c r="K14" s="174"/>
      <c r="L14" s="256"/>
    </row>
    <row r="15" spans="1:12">
      <c r="A15" s="216"/>
      <c r="B15" s="230">
        <f>'Expenditure Breakdown'!L71</f>
        <v>7</v>
      </c>
      <c r="C15" s="219"/>
      <c r="D15" s="231" t="str">
        <f>'Expenditure Breakdown'!M71</f>
        <v>7.BESS</v>
      </c>
      <c r="E15" s="234"/>
      <c r="F15" s="232">
        <f>'Expenditure Breakdown'!I71</f>
        <v>0</v>
      </c>
      <c r="G15" s="86"/>
      <c r="H15" s="232">
        <f>'Expenditure Breakdown'!X71</f>
        <v>0</v>
      </c>
      <c r="I15" s="89"/>
      <c r="J15" s="233">
        <f t="shared" si="0"/>
        <v>0</v>
      </c>
      <c r="K15" s="174"/>
      <c r="L15" s="256"/>
    </row>
    <row r="16" spans="1:12">
      <c r="A16" s="216"/>
      <c r="B16" s="230">
        <f>'Expenditure Breakdown'!L80</f>
        <v>8</v>
      </c>
      <c r="C16" s="219"/>
      <c r="D16" s="231" t="str">
        <f>'Expenditure Breakdown'!M80</f>
        <v xml:space="preserve">8. Product Add On </v>
      </c>
      <c r="E16" s="234"/>
      <c r="F16" s="232">
        <f>'Expenditure Breakdown'!I80</f>
        <v>0</v>
      </c>
      <c r="G16" s="86"/>
      <c r="H16" s="232">
        <f>'Expenditure Breakdown'!X80</f>
        <v>0</v>
      </c>
      <c r="I16" s="89"/>
      <c r="J16" s="233">
        <f t="shared" si="0"/>
        <v>0</v>
      </c>
      <c r="K16" s="174"/>
      <c r="L16" s="256"/>
    </row>
    <row r="17" spans="1:12">
      <c r="A17" s="216"/>
      <c r="B17" s="230">
        <f>'Expenditure Breakdown'!L90</f>
        <v>9</v>
      </c>
      <c r="C17" s="219"/>
      <c r="D17" s="231" t="str">
        <f>'Expenditure Breakdown'!M90</f>
        <v>9. AC &amp; DC installation</v>
      </c>
      <c r="E17" s="234"/>
      <c r="F17" s="232">
        <f>'Expenditure Breakdown'!I90</f>
        <v>54230</v>
      </c>
      <c r="G17" s="86"/>
      <c r="H17" s="232">
        <f>'Expenditure Breakdown'!X90</f>
        <v>59310</v>
      </c>
      <c r="I17" s="89"/>
      <c r="J17" s="233">
        <f t="shared" si="0"/>
        <v>-5080</v>
      </c>
      <c r="K17" s="174"/>
      <c r="L17" s="256"/>
    </row>
    <row r="18" spans="1:12">
      <c r="A18" s="216"/>
      <c r="B18" s="230">
        <f>'Expenditure Breakdown'!L103</f>
        <v>10</v>
      </c>
      <c r="C18" s="219"/>
      <c r="D18" s="231" t="str">
        <f>'Expenditure Breakdown'!M103</f>
        <v>10. Site Logistics</v>
      </c>
      <c r="E18" s="86"/>
      <c r="F18" s="232">
        <f>'Expenditure Breakdown'!I103</f>
        <v>26112.27</v>
      </c>
      <c r="G18" s="86"/>
      <c r="H18" s="232">
        <f>'Expenditure Breakdown'!X103</f>
        <v>34792</v>
      </c>
      <c r="I18" s="89"/>
      <c r="J18" s="233">
        <f t="shared" si="0"/>
        <v>-8679.73</v>
      </c>
      <c r="K18" s="174"/>
      <c r="L18" s="256"/>
    </row>
    <row r="19" spans="1:12">
      <c r="A19" s="216"/>
      <c r="B19" s="230">
        <f>'Expenditure Breakdown'!L119</f>
        <v>11</v>
      </c>
      <c r="C19" s="219"/>
      <c r="D19" s="231" t="str">
        <f>'Expenditure Breakdown'!M119</f>
        <v>11. Due Dilligence</v>
      </c>
      <c r="E19" s="86"/>
      <c r="F19" s="232">
        <f>'Expenditure Breakdown'!I119</f>
        <v>29000</v>
      </c>
      <c r="G19" s="86"/>
      <c r="H19" s="232">
        <f>'Expenditure Breakdown'!X119</f>
        <v>18575</v>
      </c>
      <c r="I19" s="89"/>
      <c r="J19" s="233">
        <f t="shared" si="0"/>
        <v>10425</v>
      </c>
      <c r="K19" s="174"/>
      <c r="L19" s="256"/>
    </row>
    <row r="20" spans="1:12">
      <c r="A20" s="216"/>
      <c r="B20" s="230">
        <f>'Expenditure Breakdown'!L125</f>
        <v>12</v>
      </c>
      <c r="C20" s="219"/>
      <c r="D20" s="231" t="str">
        <f>'Expenditure Breakdown'!M125</f>
        <v>12. BDP Commission</v>
      </c>
      <c r="E20" s="86"/>
      <c r="F20" s="232">
        <f>'Expenditure Breakdown'!I125</f>
        <v>0</v>
      </c>
      <c r="G20" s="86"/>
      <c r="H20" s="232">
        <f>'Expenditure Breakdown'!X125</f>
        <v>0</v>
      </c>
      <c r="I20" s="89"/>
      <c r="J20" s="233">
        <f t="shared" si="0"/>
        <v>0</v>
      </c>
      <c r="K20" s="174"/>
      <c r="L20" s="256"/>
    </row>
    <row r="21" spans="1:12">
      <c r="A21" s="216"/>
      <c r="B21" s="230">
        <f>'Expenditure Breakdown'!L128</f>
        <v>13</v>
      </c>
      <c r="C21" s="219"/>
      <c r="D21" s="231" t="str">
        <f>'Expenditure Breakdown'!M129</f>
        <v>13. Engineering</v>
      </c>
      <c r="E21" s="86"/>
      <c r="F21" s="232">
        <f>'Expenditure Breakdown'!I128</f>
        <v>10071.950000000001</v>
      </c>
      <c r="G21" s="86"/>
      <c r="H21" s="232">
        <f>'Expenditure Breakdown'!X128</f>
        <v>12839.2</v>
      </c>
      <c r="I21" s="89"/>
      <c r="J21" s="233">
        <f t="shared" si="0"/>
        <v>-2767.25</v>
      </c>
      <c r="K21" s="174"/>
      <c r="L21" s="256"/>
    </row>
    <row r="22" spans="1:12">
      <c r="A22" s="216"/>
      <c r="B22" s="230">
        <f>'Expenditure Breakdown'!L135</f>
        <v>14</v>
      </c>
      <c r="C22" s="219"/>
      <c r="D22" s="231" t="str">
        <f>'Expenditure Breakdown'!M135</f>
        <v>14. General Expenses</v>
      </c>
      <c r="E22" s="86"/>
      <c r="F22" s="232">
        <f>'Expenditure Breakdown'!I135</f>
        <v>1225</v>
      </c>
      <c r="G22" s="86"/>
      <c r="H22" s="232">
        <f>'Expenditure Breakdown'!X135</f>
        <v>3159.05</v>
      </c>
      <c r="I22" s="89"/>
      <c r="J22" s="233">
        <f t="shared" si="0"/>
        <v>-1934.0500000000002</v>
      </c>
      <c r="K22" s="174"/>
      <c r="L22" s="256"/>
    </row>
    <row r="23" spans="1:12">
      <c r="A23" s="216"/>
      <c r="B23" s="230">
        <f>'Expenditure Breakdown'!L148</f>
        <v>15</v>
      </c>
      <c r="C23" s="219"/>
      <c r="D23" s="231" t="str">
        <f>'Expenditure Breakdown'!M148</f>
        <v>15. Service Add On</v>
      </c>
      <c r="E23" s="86"/>
      <c r="F23" s="232">
        <f>'Expenditure Breakdown'!I148</f>
        <v>0</v>
      </c>
      <c r="G23" s="86"/>
      <c r="H23" s="232">
        <f>'Expenditure Breakdown'!X148</f>
        <v>298.24</v>
      </c>
      <c r="I23" s="89"/>
      <c r="J23" s="233">
        <f t="shared" si="0"/>
        <v>-298.24</v>
      </c>
      <c r="K23" s="174"/>
      <c r="L23" s="256"/>
    </row>
    <row r="24" spans="1:12" ht="6.75" customHeight="1">
      <c r="A24" s="216"/>
      <c r="B24" s="87"/>
      <c r="C24" s="87"/>
      <c r="D24" s="86"/>
      <c r="E24" s="86"/>
      <c r="F24" s="86"/>
      <c r="G24" s="86"/>
      <c r="H24" s="89"/>
      <c r="I24" s="89"/>
      <c r="J24" s="89"/>
      <c r="K24" s="174"/>
      <c r="L24" s="112"/>
    </row>
    <row r="25" spans="1:12" ht="15" customHeight="1">
      <c r="A25" s="216"/>
      <c r="B25" s="87"/>
      <c r="C25" s="87"/>
      <c r="D25" s="235" t="s">
        <v>218</v>
      </c>
      <c r="E25" s="86"/>
      <c r="F25" s="236">
        <f>'Expenditure Breakdown'!I2-'Expenditure Tracking'!F5</f>
        <v>0</v>
      </c>
      <c r="G25" s="236" t="e">
        <f>#REF!-G5</f>
        <v>#REF!</v>
      </c>
      <c r="H25" s="236">
        <f>'Expenditure Breakdown'!X2-H5</f>
        <v>0</v>
      </c>
      <c r="I25" s="89"/>
      <c r="J25" s="237"/>
      <c r="K25" s="174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9"/>
  <sheetViews>
    <sheetView tabSelected="1" topLeftCell="L1" zoomScale="82" zoomScaleNormal="80" workbookViewId="0">
      <pane ySplit="4" topLeftCell="A5" activePane="bottomLeft" state="frozen"/>
      <selection activeCell="X33" sqref="X33"/>
      <selection pane="bottomLeft" activeCell="R147" sqref="R147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3" style="70" hidden="1" customWidth="1"/>
    <col min="6" max="6" width="16.54296875" style="474" hidden="1" customWidth="1"/>
    <col min="7" max="7" width="17.453125" style="24" hidden="1" customWidth="1"/>
    <col min="8" max="8" width="17.453125" style="542" hidden="1" customWidth="1"/>
    <col min="9" max="9" width="22.453125" style="351" hidden="1" customWidth="1"/>
    <col min="10" max="10" width="22.453125" style="351" bestFit="1" customWidth="1"/>
    <col min="11" max="12" width="5.179687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7" width="17.453125" style="112" customWidth="1"/>
    <col min="18" max="18" width="38.81640625" style="166" bestFit="1" customWidth="1"/>
    <col min="19" max="19" width="25.453125" style="112" customWidth="1"/>
    <col min="20" max="21" width="17.453125" style="542" customWidth="1"/>
    <col min="22" max="22" width="17.453125" style="112" customWidth="1"/>
    <col min="23" max="23" width="17.453125" style="542" customWidth="1"/>
    <col min="24" max="24" width="21.1796875" style="112" customWidth="1"/>
    <col min="25" max="25" width="34.453125" style="112" customWidth="1"/>
    <col min="26" max="26" width="24.81640625" style="112" bestFit="1" customWidth="1"/>
    <col min="27" max="76" width="17.453125" style="112" customWidth="1"/>
    <col min="77" max="16384" width="9.453125" style="24"/>
  </cols>
  <sheetData>
    <row r="1" spans="1:76" s="112" customFormat="1" ht="4.5" customHeight="1" thickBot="1">
      <c r="E1" s="166"/>
      <c r="F1" s="464"/>
      <c r="H1" s="258"/>
      <c r="I1" s="257"/>
      <c r="J1" s="257"/>
      <c r="O1" s="166"/>
      <c r="P1" s="464"/>
      <c r="Q1" s="364"/>
      <c r="R1" s="364"/>
      <c r="S1" s="364"/>
      <c r="T1" s="258"/>
      <c r="U1" s="258"/>
      <c r="V1" s="364"/>
      <c r="W1" s="258"/>
      <c r="Y1" s="482"/>
    </row>
    <row r="2" spans="1:76" ht="21.75" customHeight="1" thickBot="1">
      <c r="B2" s="733" t="s">
        <v>219</v>
      </c>
      <c r="C2" s="734"/>
      <c r="D2" s="734"/>
      <c r="E2" s="734"/>
      <c r="F2" s="734"/>
      <c r="G2" s="734"/>
      <c r="H2" s="681"/>
      <c r="I2" s="259">
        <f>SUM(I6:I160)</f>
        <v>817052.62</v>
      </c>
      <c r="J2" s="259">
        <f>SUM(J6:J160)</f>
        <v>1027135</v>
      </c>
      <c r="L2" s="735" t="s">
        <v>220</v>
      </c>
      <c r="M2" s="736"/>
      <c r="N2" s="736"/>
      <c r="O2" s="736"/>
      <c r="P2" s="736"/>
      <c r="Q2" s="736"/>
      <c r="R2" s="737" t="s">
        <v>221</v>
      </c>
      <c r="S2" s="738"/>
      <c r="T2" s="738"/>
      <c r="U2" s="738"/>
      <c r="V2" s="738"/>
      <c r="W2" s="739"/>
      <c r="X2" s="478">
        <f>SUM(X6:X160)</f>
        <v>770507.27</v>
      </c>
    </row>
    <row r="3" spans="1:76" s="112" customFormat="1" ht="13.5" customHeight="1" thickBot="1">
      <c r="E3" s="166"/>
      <c r="F3" s="464"/>
      <c r="H3" s="542"/>
      <c r="I3" s="257"/>
      <c r="J3" s="371"/>
      <c r="O3" s="166"/>
      <c r="P3" s="464"/>
      <c r="Q3" s="258"/>
      <c r="R3" s="166"/>
      <c r="T3" s="542"/>
      <c r="U3" s="542"/>
      <c r="W3" s="542"/>
      <c r="X3" s="479"/>
    </row>
    <row r="4" spans="1:76" s="70" customFormat="1" ht="42.5" thickBot="1">
      <c r="A4" s="166"/>
      <c r="B4" s="260" t="s">
        <v>222</v>
      </c>
      <c r="C4" s="261" t="s">
        <v>223</v>
      </c>
      <c r="D4" s="261" t="s">
        <v>224</v>
      </c>
      <c r="E4" s="261" t="s">
        <v>225</v>
      </c>
      <c r="F4" s="465" t="s">
        <v>226</v>
      </c>
      <c r="G4" s="262" t="s">
        <v>227</v>
      </c>
      <c r="H4" s="621" t="s">
        <v>228</v>
      </c>
      <c r="I4" s="263" t="s">
        <v>229</v>
      </c>
      <c r="J4" s="263" t="str">
        <f>IF(J2-'Revenue Tracking'!D4&gt;=0, "Total Revenue", "ERROR on REV" )</f>
        <v>ERROR on REV</v>
      </c>
      <c r="K4" s="166"/>
      <c r="L4" s="260" t="s">
        <v>222</v>
      </c>
      <c r="M4" s="261" t="s">
        <v>230</v>
      </c>
      <c r="N4" s="261" t="s">
        <v>224</v>
      </c>
      <c r="O4" s="261" t="s">
        <v>225</v>
      </c>
      <c r="P4" s="465" t="s">
        <v>226</v>
      </c>
      <c r="Q4" s="373" t="s">
        <v>231</v>
      </c>
      <c r="R4" s="597" t="s">
        <v>232</v>
      </c>
      <c r="S4" s="598" t="s">
        <v>166</v>
      </c>
      <c r="T4" s="621" t="s">
        <v>167</v>
      </c>
      <c r="U4" s="622" t="s">
        <v>233</v>
      </c>
      <c r="V4" s="373" t="s">
        <v>234</v>
      </c>
      <c r="W4" s="621" t="s">
        <v>228</v>
      </c>
      <c r="X4" s="480" t="s">
        <v>229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4"/>
      <c r="C5" s="265"/>
      <c r="D5" s="265"/>
      <c r="E5" s="266"/>
      <c r="F5" s="466"/>
      <c r="G5" s="267"/>
      <c r="H5" s="498"/>
      <c r="I5" s="268"/>
      <c r="J5" s="268"/>
      <c r="K5" s="269"/>
      <c r="L5" s="264"/>
      <c r="M5" s="265"/>
      <c r="N5" s="265"/>
      <c r="O5" s="266"/>
      <c r="P5" s="466"/>
      <c r="Q5" s="476"/>
      <c r="R5" s="497"/>
      <c r="S5" s="599"/>
      <c r="T5" s="498"/>
      <c r="U5" s="498"/>
      <c r="V5" s="498"/>
      <c r="W5" s="498"/>
      <c r="X5" s="481"/>
      <c r="Y5" s="48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2">
        <v>1</v>
      </c>
      <c r="C6" s="352" t="s">
        <v>235</v>
      </c>
      <c r="D6" s="283" t="s">
        <v>236</v>
      </c>
      <c r="E6" s="284"/>
      <c r="F6" s="437"/>
      <c r="G6" s="391">
        <f>D161</f>
        <v>160883.16</v>
      </c>
      <c r="H6" s="564">
        <v>45955</v>
      </c>
      <c r="I6" s="730">
        <f>SUM(G6:G11)</f>
        <v>160883.16</v>
      </c>
      <c r="J6" s="730">
        <f>F161</f>
        <v>206260</v>
      </c>
      <c r="K6" s="388"/>
      <c r="L6" s="282">
        <v>1</v>
      </c>
      <c r="M6" s="417" t="s">
        <v>237</v>
      </c>
      <c r="N6" s="283" t="s">
        <v>238</v>
      </c>
      <c r="O6" s="620">
        <f>'Project Plan'!$E$3*1000/620</f>
        <v>114.51612903225806</v>
      </c>
      <c r="P6" s="437">
        <v>1227.5999999999999</v>
      </c>
      <c r="Q6" s="391">
        <v>141174</v>
      </c>
      <c r="R6" s="580" t="s">
        <v>239</v>
      </c>
      <c r="S6" s="600" t="s">
        <v>240</v>
      </c>
      <c r="T6" s="655">
        <v>45900</v>
      </c>
      <c r="U6" s="674">
        <v>195198.55497606823</v>
      </c>
      <c r="V6" s="743">
        <f>J6-SUM(U6:U11)</f>
        <v>0</v>
      </c>
      <c r="W6" s="697">
        <v>45954</v>
      </c>
      <c r="X6" s="740">
        <f>SUM(Q6:Q11)</f>
        <v>149174</v>
      </c>
      <c r="Y6" s="482"/>
    </row>
    <row r="7" spans="1:76" ht="15" customHeight="1">
      <c r="B7" s="312">
        <v>1</v>
      </c>
      <c r="C7" s="418"/>
      <c r="D7" s="389" t="s">
        <v>241</v>
      </c>
      <c r="E7" s="390"/>
      <c r="F7" s="459"/>
      <c r="G7" s="316"/>
      <c r="H7" s="565">
        <v>45955</v>
      </c>
      <c r="I7" s="731"/>
      <c r="J7" s="731"/>
      <c r="K7" s="289"/>
      <c r="L7" s="312">
        <v>1</v>
      </c>
      <c r="M7" s="314" t="s">
        <v>237</v>
      </c>
      <c r="N7" s="389" t="s">
        <v>242</v>
      </c>
      <c r="O7" s="544"/>
      <c r="P7" s="444"/>
      <c r="Q7" s="316">
        <v>8000</v>
      </c>
      <c r="R7" s="636"/>
      <c r="S7" s="600" t="s">
        <v>240</v>
      </c>
      <c r="T7" s="654">
        <v>45900</v>
      </c>
      <c r="U7" s="674">
        <v>11061.445023931785</v>
      </c>
      <c r="V7" s="744"/>
      <c r="W7" s="533">
        <v>45954</v>
      </c>
      <c r="X7" s="741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65"/>
      <c r="I8" s="731"/>
      <c r="J8" s="731"/>
      <c r="K8" s="289"/>
      <c r="L8" s="312">
        <v>1</v>
      </c>
      <c r="M8" s="314" t="s">
        <v>237</v>
      </c>
      <c r="N8" s="485"/>
      <c r="O8" s="545"/>
      <c r="P8" s="444"/>
      <c r="Q8" s="316"/>
      <c r="R8" s="636"/>
      <c r="S8" s="601"/>
      <c r="T8" s="517" t="str">
        <f t="shared" ref="T8:T70" si="0">IF(W8&gt;1,EOMONTH(W8,0),"")</f>
        <v/>
      </c>
      <c r="U8" s="503">
        <f>(Q8/$X$6*$J$6)</f>
        <v>0</v>
      </c>
      <c r="V8" s="744"/>
      <c r="W8" s="565"/>
      <c r="X8" s="741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66"/>
      <c r="I9" s="731"/>
      <c r="J9" s="731"/>
      <c r="K9" s="289"/>
      <c r="L9" s="312">
        <v>1</v>
      </c>
      <c r="M9" s="314" t="s">
        <v>237</v>
      </c>
      <c r="N9" s="485"/>
      <c r="O9" s="545"/>
      <c r="P9" s="444"/>
      <c r="Q9" s="386"/>
      <c r="R9" s="637"/>
      <c r="S9" s="602"/>
      <c r="T9" s="518" t="str">
        <f t="shared" si="0"/>
        <v/>
      </c>
      <c r="U9" s="503">
        <f>(Q9/$X$6*$J$6)</f>
        <v>0</v>
      </c>
      <c r="V9" s="744"/>
      <c r="W9" s="566"/>
      <c r="X9" s="741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66"/>
      <c r="I10" s="731"/>
      <c r="J10" s="731"/>
      <c r="K10" s="289"/>
      <c r="L10" s="312">
        <v>1</v>
      </c>
      <c r="M10" s="314" t="s">
        <v>237</v>
      </c>
      <c r="N10" s="485"/>
      <c r="O10" s="545"/>
      <c r="P10" s="444"/>
      <c r="Q10" s="386"/>
      <c r="R10" s="637"/>
      <c r="S10" s="602"/>
      <c r="T10" s="518" t="str">
        <f t="shared" si="0"/>
        <v/>
      </c>
      <c r="U10" s="503">
        <f>(Q10/$X$6*$J$6)</f>
        <v>0</v>
      </c>
      <c r="V10" s="744"/>
      <c r="W10" s="566"/>
      <c r="X10" s="741"/>
      <c r="Y10" s="482"/>
    </row>
    <row r="11" spans="1:76" ht="15" customHeight="1" thickBot="1">
      <c r="B11" s="317">
        <v>1</v>
      </c>
      <c r="C11" s="419"/>
      <c r="D11" s="392"/>
      <c r="E11" s="393"/>
      <c r="F11" s="460"/>
      <c r="G11" s="331"/>
      <c r="H11" s="567"/>
      <c r="I11" s="732"/>
      <c r="J11" s="732"/>
      <c r="K11" s="290"/>
      <c r="L11" s="317">
        <v>1</v>
      </c>
      <c r="M11" s="419" t="s">
        <v>237</v>
      </c>
      <c r="N11" s="392"/>
      <c r="O11" s="546"/>
      <c r="P11" s="460"/>
      <c r="Q11" s="331"/>
      <c r="R11" s="638"/>
      <c r="S11" s="603"/>
      <c r="T11" s="519" t="str">
        <f t="shared" si="0"/>
        <v/>
      </c>
      <c r="U11" s="503">
        <f>(Q11/$X$6*$J$6)</f>
        <v>0</v>
      </c>
      <c r="V11" s="745"/>
      <c r="W11" s="567"/>
      <c r="X11" s="742"/>
      <c r="Y11" s="581" t="s">
        <v>243</v>
      </c>
      <c r="Z11" s="582" t="s">
        <v>244</v>
      </c>
    </row>
    <row r="12" spans="1:76" ht="14.5" thickBot="1">
      <c r="A12" s="24"/>
      <c r="B12" s="277"/>
      <c r="C12" s="278"/>
      <c r="D12" s="279"/>
      <c r="E12" s="292"/>
      <c r="F12" s="456"/>
      <c r="G12" s="280"/>
      <c r="H12" s="568"/>
      <c r="I12" s="281"/>
      <c r="J12" s="281"/>
      <c r="K12" s="24"/>
      <c r="L12" s="277"/>
      <c r="M12" s="403"/>
      <c r="N12" s="279"/>
      <c r="O12" s="547"/>
      <c r="P12" s="456"/>
      <c r="Q12" s="280"/>
      <c r="R12" s="639"/>
      <c r="S12" s="604"/>
      <c r="T12" s="520" t="str">
        <f t="shared" si="0"/>
        <v/>
      </c>
      <c r="U12" s="505"/>
      <c r="V12" s="496"/>
      <c r="W12" s="568"/>
      <c r="X12" s="351"/>
      <c r="Y12" s="583" t="s">
        <v>245</v>
      </c>
      <c r="Z12" s="584">
        <f>G53</f>
        <v>135950.84</v>
      </c>
    </row>
    <row r="13" spans="1:76" ht="14.25" customHeight="1">
      <c r="B13" s="294">
        <v>2</v>
      </c>
      <c r="C13" s="320" t="s">
        <v>246</v>
      </c>
      <c r="D13" s="320" t="s">
        <v>247</v>
      </c>
      <c r="E13" s="366"/>
      <c r="F13" s="457"/>
      <c r="G13" s="297">
        <f>D162</f>
        <v>74130</v>
      </c>
      <c r="H13" s="569">
        <f>H6</f>
        <v>45955</v>
      </c>
      <c r="I13" s="724">
        <f>SUM(G13:G19)</f>
        <v>74130</v>
      </c>
      <c r="J13" s="724">
        <f>F162</f>
        <v>95038</v>
      </c>
      <c r="K13" s="298"/>
      <c r="L13" s="294">
        <v>2</v>
      </c>
      <c r="M13" s="420" t="s">
        <v>248</v>
      </c>
      <c r="N13" s="320" t="s">
        <v>249</v>
      </c>
      <c r="O13" s="548">
        <v>2</v>
      </c>
      <c r="P13" s="457">
        <v>37065.17</v>
      </c>
      <c r="Q13" s="297">
        <f>O13*P13</f>
        <v>74130.34</v>
      </c>
      <c r="R13" s="640" t="s">
        <v>239</v>
      </c>
      <c r="S13" s="605" t="s">
        <v>250</v>
      </c>
      <c r="T13" s="656">
        <v>45900</v>
      </c>
      <c r="U13" s="675">
        <v>95038</v>
      </c>
      <c r="V13" s="746">
        <f>J13-SUM(U13:U19)</f>
        <v>0</v>
      </c>
      <c r="W13" s="698">
        <f>W6</f>
        <v>45954</v>
      </c>
      <c r="X13" s="727">
        <f>SUM(Q13:Q19)</f>
        <v>74130.34</v>
      </c>
      <c r="Y13" s="583" t="s">
        <v>251</v>
      </c>
      <c r="Z13" s="585">
        <f>G29</f>
        <v>48780.6</v>
      </c>
    </row>
    <row r="14" spans="1:76" ht="14.25" customHeight="1">
      <c r="B14" s="299">
        <v>2</v>
      </c>
      <c r="C14" s="426"/>
      <c r="D14" s="408"/>
      <c r="E14" s="487"/>
      <c r="F14" s="453"/>
      <c r="G14" s="477"/>
      <c r="H14" s="628"/>
      <c r="I14" s="725"/>
      <c r="J14" s="725"/>
      <c r="K14" s="302"/>
      <c r="L14" s="299">
        <v>2</v>
      </c>
      <c r="M14" s="426" t="s">
        <v>248</v>
      </c>
      <c r="N14" s="408"/>
      <c r="O14" s="549"/>
      <c r="P14" s="453"/>
      <c r="Q14" s="477"/>
      <c r="R14" s="641"/>
      <c r="S14" s="606"/>
      <c r="T14" s="627"/>
      <c r="U14" s="507">
        <f t="shared" ref="U14:U19" si="1">(Q14/$X$13*$J$13)</f>
        <v>0</v>
      </c>
      <c r="V14" s="747"/>
      <c r="W14" s="628"/>
      <c r="X14" s="728"/>
      <c r="Y14" s="583" t="s">
        <v>252</v>
      </c>
      <c r="Z14" s="584">
        <f>G90</f>
        <v>17690</v>
      </c>
    </row>
    <row r="15" spans="1:76" ht="14.25" customHeight="1">
      <c r="B15" s="299">
        <v>2</v>
      </c>
      <c r="C15" s="426"/>
      <c r="D15" s="408"/>
      <c r="E15" s="487"/>
      <c r="F15" s="453"/>
      <c r="G15" s="477"/>
      <c r="H15" s="570"/>
      <c r="I15" s="725"/>
      <c r="J15" s="725"/>
      <c r="K15" s="302"/>
      <c r="L15" s="299">
        <v>2</v>
      </c>
      <c r="M15" s="426" t="s">
        <v>248</v>
      </c>
      <c r="N15" s="408"/>
      <c r="O15" s="549"/>
      <c r="P15" s="453"/>
      <c r="Q15" s="477"/>
      <c r="R15" s="641"/>
      <c r="S15" s="606"/>
      <c r="T15" s="522" t="str">
        <f t="shared" si="0"/>
        <v/>
      </c>
      <c r="U15" s="507">
        <f t="shared" si="1"/>
        <v>0</v>
      </c>
      <c r="V15" s="747"/>
      <c r="W15" s="570"/>
      <c r="X15" s="728"/>
      <c r="Y15" s="583" t="s">
        <v>253</v>
      </c>
      <c r="Z15" s="584">
        <f>G91</f>
        <v>36540</v>
      </c>
    </row>
    <row r="16" spans="1:76" ht="14.25" customHeight="1">
      <c r="B16" s="299">
        <v>2</v>
      </c>
      <c r="C16" s="426"/>
      <c r="D16" s="408"/>
      <c r="E16" s="487"/>
      <c r="F16" s="453"/>
      <c r="G16" s="477"/>
      <c r="H16" s="570"/>
      <c r="I16" s="725"/>
      <c r="J16" s="725"/>
      <c r="K16" s="302"/>
      <c r="L16" s="299">
        <v>2</v>
      </c>
      <c r="M16" s="426" t="s">
        <v>248</v>
      </c>
      <c r="N16" s="408"/>
      <c r="O16" s="549"/>
      <c r="P16" s="453"/>
      <c r="Q16" s="477"/>
      <c r="R16" s="641"/>
      <c r="S16" s="606"/>
      <c r="T16" s="522" t="str">
        <f t="shared" si="0"/>
        <v/>
      </c>
      <c r="U16" s="507">
        <f t="shared" si="1"/>
        <v>0</v>
      </c>
      <c r="V16" s="747"/>
      <c r="W16" s="570"/>
      <c r="X16" s="728"/>
      <c r="Y16" s="583" t="s">
        <v>254</v>
      </c>
      <c r="Z16" s="584">
        <f>G103</f>
        <v>8500</v>
      </c>
    </row>
    <row r="17" spans="1:27" ht="14.25" customHeight="1">
      <c r="B17" s="299">
        <v>2</v>
      </c>
      <c r="C17" s="426"/>
      <c r="D17" s="408"/>
      <c r="E17" s="487"/>
      <c r="F17" s="453"/>
      <c r="G17" s="477"/>
      <c r="H17" s="570"/>
      <c r="I17" s="725"/>
      <c r="J17" s="725"/>
      <c r="K17" s="302"/>
      <c r="L17" s="299">
        <v>2</v>
      </c>
      <c r="M17" s="426" t="s">
        <v>248</v>
      </c>
      <c r="N17" s="408"/>
      <c r="O17" s="549"/>
      <c r="P17" s="453"/>
      <c r="Q17" s="477"/>
      <c r="R17" s="641"/>
      <c r="S17" s="606"/>
      <c r="T17" s="522" t="str">
        <f t="shared" si="0"/>
        <v/>
      </c>
      <c r="U17" s="507">
        <f t="shared" si="1"/>
        <v>0</v>
      </c>
      <c r="V17" s="747"/>
      <c r="W17" s="570"/>
      <c r="X17" s="728"/>
      <c r="Y17" s="583" t="s">
        <v>255</v>
      </c>
      <c r="Z17" s="584">
        <f>G104</f>
        <v>9212.27</v>
      </c>
    </row>
    <row r="18" spans="1:27" ht="14.25" customHeight="1">
      <c r="B18" s="299">
        <v>2</v>
      </c>
      <c r="C18" s="426"/>
      <c r="D18" s="408"/>
      <c r="E18" s="487"/>
      <c r="F18" s="453"/>
      <c r="G18" s="477"/>
      <c r="H18" s="570"/>
      <c r="I18" s="725"/>
      <c r="J18" s="725"/>
      <c r="K18" s="302"/>
      <c r="L18" s="299">
        <v>2</v>
      </c>
      <c r="M18" s="426" t="s">
        <v>248</v>
      </c>
      <c r="N18" s="408"/>
      <c r="O18" s="549"/>
      <c r="P18" s="453"/>
      <c r="Q18" s="477"/>
      <c r="R18" s="641"/>
      <c r="S18" s="606"/>
      <c r="T18" s="522" t="str">
        <f t="shared" si="0"/>
        <v/>
      </c>
      <c r="U18" s="507">
        <f t="shared" si="1"/>
        <v>0</v>
      </c>
      <c r="V18" s="747"/>
      <c r="W18" s="570"/>
      <c r="X18" s="728"/>
      <c r="Y18" s="583" t="s">
        <v>256</v>
      </c>
      <c r="Z18" s="584">
        <f>G106</f>
        <v>0</v>
      </c>
    </row>
    <row r="19" spans="1:27" ht="15" customHeight="1" thickBot="1">
      <c r="B19" s="395">
        <v>2</v>
      </c>
      <c r="C19" s="396"/>
      <c r="D19" s="396"/>
      <c r="E19" s="397"/>
      <c r="F19" s="467"/>
      <c r="G19" s="398"/>
      <c r="H19" s="571"/>
      <c r="I19" s="726"/>
      <c r="J19" s="726"/>
      <c r="K19" s="307"/>
      <c r="L19" s="395">
        <v>2</v>
      </c>
      <c r="M19" s="421" t="s">
        <v>248</v>
      </c>
      <c r="N19" s="396"/>
      <c r="O19" s="550"/>
      <c r="P19" s="467"/>
      <c r="Q19" s="398"/>
      <c r="R19" s="642"/>
      <c r="S19" s="607"/>
      <c r="T19" s="523" t="str">
        <f t="shared" si="0"/>
        <v/>
      </c>
      <c r="U19" s="508">
        <f t="shared" si="1"/>
        <v>0</v>
      </c>
      <c r="V19" s="748"/>
      <c r="W19" s="571"/>
      <c r="X19" s="729"/>
      <c r="Y19" s="583" t="s">
        <v>257</v>
      </c>
      <c r="Z19" s="584">
        <v>0</v>
      </c>
    </row>
    <row r="20" spans="1:27" ht="14.5" thickBot="1">
      <c r="A20" s="24"/>
      <c r="B20" s="291"/>
      <c r="C20" s="278"/>
      <c r="D20" s="278"/>
      <c r="E20" s="292"/>
      <c r="F20" s="456"/>
      <c r="G20" s="293"/>
      <c r="H20" s="568"/>
      <c r="I20" s="281"/>
      <c r="J20" s="281"/>
      <c r="K20" s="24"/>
      <c r="L20" s="291"/>
      <c r="M20" s="278"/>
      <c r="N20" s="278"/>
      <c r="O20" s="547"/>
      <c r="P20" s="456"/>
      <c r="Q20" s="293"/>
      <c r="R20" s="639"/>
      <c r="S20" s="604"/>
      <c r="T20" s="520" t="str">
        <f t="shared" si="0"/>
        <v/>
      </c>
      <c r="U20" s="509"/>
      <c r="V20" s="492"/>
      <c r="W20" s="568"/>
      <c r="X20" s="351"/>
      <c r="Y20" s="583"/>
      <c r="Z20" s="584"/>
    </row>
    <row r="21" spans="1:27" ht="14.25" customHeight="1">
      <c r="B21" s="282">
        <v>3</v>
      </c>
      <c r="C21" s="310" t="s">
        <v>258</v>
      </c>
      <c r="D21" s="328" t="s">
        <v>259</v>
      </c>
      <c r="E21" s="284"/>
      <c r="F21" s="437"/>
      <c r="G21" s="285">
        <f>D163</f>
        <v>97648.8</v>
      </c>
      <c r="H21" s="533">
        <v>45910</v>
      </c>
      <c r="I21" s="730">
        <f>SUM(G21:G26)</f>
        <v>97648.8</v>
      </c>
      <c r="J21" s="730">
        <f>F163</f>
        <v>125191</v>
      </c>
      <c r="K21" s="286"/>
      <c r="L21" s="282">
        <v>3</v>
      </c>
      <c r="M21" s="422" t="s">
        <v>260</v>
      </c>
      <c r="N21" s="328" t="s">
        <v>261</v>
      </c>
      <c r="O21" s="543"/>
      <c r="P21" s="437"/>
      <c r="Q21" s="285">
        <v>83929.11</v>
      </c>
      <c r="R21" s="580" t="s">
        <v>262</v>
      </c>
      <c r="S21" s="608" t="s">
        <v>263</v>
      </c>
      <c r="T21" s="657">
        <v>45930</v>
      </c>
      <c r="U21" s="686">
        <v>103363.49661863084</v>
      </c>
      <c r="V21" s="743">
        <f>J21-SUM(U21:U26)</f>
        <v>0</v>
      </c>
      <c r="W21" s="701">
        <f>T21+30</f>
        <v>45960</v>
      </c>
      <c r="X21" s="740">
        <f>SUM(Q21:Q26)</f>
        <v>101652.61</v>
      </c>
      <c r="Y21" s="583" t="s">
        <v>264</v>
      </c>
      <c r="Z21" s="586">
        <v>0</v>
      </c>
    </row>
    <row r="22" spans="1:27" ht="14.25" customHeight="1">
      <c r="B22" s="312">
        <v>3</v>
      </c>
      <c r="C22" s="313"/>
      <c r="D22" s="329"/>
      <c r="E22" s="315"/>
      <c r="F22" s="459"/>
      <c r="G22" s="316"/>
      <c r="H22" s="533">
        <v>45911</v>
      </c>
      <c r="I22" s="731"/>
      <c r="J22" s="731"/>
      <c r="K22" s="289"/>
      <c r="L22" s="312">
        <v>3</v>
      </c>
      <c r="M22" s="423" t="s">
        <v>260</v>
      </c>
      <c r="N22" s="329" t="s">
        <v>265</v>
      </c>
      <c r="O22" s="544"/>
      <c r="P22" s="459"/>
      <c r="Q22" s="316">
        <v>17723.5</v>
      </c>
      <c r="R22" s="636" t="s">
        <v>266</v>
      </c>
      <c r="S22" s="601" t="s">
        <v>267</v>
      </c>
      <c r="T22" s="654">
        <v>45930</v>
      </c>
      <c r="U22" s="686">
        <v>21827.503381369155</v>
      </c>
      <c r="V22" s="744"/>
      <c r="W22" s="533">
        <v>45911</v>
      </c>
      <c r="X22" s="741"/>
      <c r="Y22" s="583" t="s">
        <v>189</v>
      </c>
      <c r="Z22" s="584">
        <f>SUM(Z12:Z21)</f>
        <v>256673.71</v>
      </c>
    </row>
    <row r="23" spans="1:27" ht="14.25" customHeight="1">
      <c r="B23" s="312">
        <v>3</v>
      </c>
      <c r="C23" s="313"/>
      <c r="D23" s="329"/>
      <c r="E23" s="315"/>
      <c r="F23" s="459"/>
      <c r="G23" s="316"/>
      <c r="H23" s="565"/>
      <c r="I23" s="731"/>
      <c r="J23" s="731"/>
      <c r="K23" s="289"/>
      <c r="L23" s="312">
        <v>3</v>
      </c>
      <c r="M23" s="423" t="s">
        <v>260</v>
      </c>
      <c r="N23" s="329"/>
      <c r="O23" s="544"/>
      <c r="P23" s="459"/>
      <c r="Q23" s="316"/>
      <c r="R23" s="636"/>
      <c r="S23" s="601"/>
      <c r="T23" s="517" t="str">
        <f t="shared" si="0"/>
        <v/>
      </c>
      <c r="U23" s="503">
        <f t="shared" ref="U23:U26" si="2">(Q23/$X$21*$J$21)</f>
        <v>0</v>
      </c>
      <c r="V23" s="744"/>
      <c r="W23" s="565"/>
      <c r="X23" s="741"/>
      <c r="Y23" s="583" t="s">
        <v>268</v>
      </c>
      <c r="Z23" s="587">
        <f>+Z22*0.85</f>
        <v>218172.65349999999</v>
      </c>
    </row>
    <row r="24" spans="1:27" ht="14.25" customHeight="1">
      <c r="B24" s="312">
        <v>3</v>
      </c>
      <c r="C24" s="384"/>
      <c r="D24" s="385"/>
      <c r="E24" s="406"/>
      <c r="F24" s="444"/>
      <c r="G24" s="386"/>
      <c r="H24" s="566"/>
      <c r="I24" s="731"/>
      <c r="J24" s="731"/>
      <c r="K24" s="289"/>
      <c r="L24" s="312">
        <v>3</v>
      </c>
      <c r="M24" s="423" t="s">
        <v>260</v>
      </c>
      <c r="N24" s="385"/>
      <c r="O24" s="545"/>
      <c r="P24" s="444"/>
      <c r="Q24" s="386"/>
      <c r="R24" s="637"/>
      <c r="S24" s="602"/>
      <c r="T24" s="518" t="str">
        <f t="shared" si="0"/>
        <v/>
      </c>
      <c r="U24" s="503">
        <f t="shared" si="2"/>
        <v>0</v>
      </c>
      <c r="V24" s="744"/>
      <c r="W24" s="566"/>
      <c r="X24" s="741"/>
      <c r="Y24" s="588" t="s">
        <v>269</v>
      </c>
      <c r="Z24" s="586">
        <f>Z23/'Project Plan'!$E$3/1000</f>
        <v>3.0728542746478871</v>
      </c>
    </row>
    <row r="25" spans="1:27" ht="14.25" customHeight="1">
      <c r="B25" s="312">
        <v>3</v>
      </c>
      <c r="C25" s="384"/>
      <c r="D25" s="385"/>
      <c r="E25" s="406"/>
      <c r="F25" s="444"/>
      <c r="G25" s="386"/>
      <c r="H25" s="566"/>
      <c r="I25" s="731"/>
      <c r="J25" s="731"/>
      <c r="K25" s="289"/>
      <c r="L25" s="312">
        <v>3</v>
      </c>
      <c r="M25" s="423" t="s">
        <v>260</v>
      </c>
      <c r="N25" s="385"/>
      <c r="O25" s="545"/>
      <c r="P25" s="444"/>
      <c r="Q25" s="386"/>
      <c r="R25" s="637"/>
      <c r="S25" s="602"/>
      <c r="T25" s="518" t="str">
        <f t="shared" si="0"/>
        <v/>
      </c>
      <c r="U25" s="503">
        <f t="shared" si="2"/>
        <v>0</v>
      </c>
      <c r="V25" s="744"/>
      <c r="W25" s="566"/>
      <c r="X25" s="741"/>
    </row>
    <row r="26" spans="1:27" ht="15" customHeight="1" thickBot="1">
      <c r="B26" s="317">
        <v>3</v>
      </c>
      <c r="C26" s="338"/>
      <c r="D26" s="330"/>
      <c r="E26" s="319"/>
      <c r="F26" s="460"/>
      <c r="G26" s="331"/>
      <c r="H26" s="567"/>
      <c r="I26" s="732"/>
      <c r="J26" s="732"/>
      <c r="K26" s="290"/>
      <c r="L26" s="317">
        <v>3</v>
      </c>
      <c r="M26" s="424" t="s">
        <v>260</v>
      </c>
      <c r="N26" s="330"/>
      <c r="O26" s="546"/>
      <c r="P26" s="460"/>
      <c r="Q26" s="331"/>
      <c r="R26" s="638"/>
      <c r="S26" s="603"/>
      <c r="T26" s="519" t="str">
        <f t="shared" si="0"/>
        <v/>
      </c>
      <c r="U26" s="504">
        <f t="shared" si="2"/>
        <v>0</v>
      </c>
      <c r="V26" s="745"/>
      <c r="W26" s="567"/>
      <c r="X26" s="742"/>
      <c r="Y26" s="589" t="s">
        <v>270</v>
      </c>
      <c r="Z26" s="590" t="s">
        <v>271</v>
      </c>
    </row>
    <row r="27" spans="1:27" ht="14.5" thickBot="1">
      <c r="A27" s="24"/>
      <c r="B27" s="291"/>
      <c r="C27" s="308"/>
      <c r="D27" s="309"/>
      <c r="E27" s="292"/>
      <c r="F27" s="456"/>
      <c r="G27" s="293"/>
      <c r="H27" s="568"/>
      <c r="I27" s="281"/>
      <c r="J27" s="281"/>
      <c r="K27" s="24"/>
      <c r="L27" s="291"/>
      <c r="M27" s="308"/>
      <c r="N27" s="309"/>
      <c r="O27" s="547"/>
      <c r="P27" s="456"/>
      <c r="Q27" s="293"/>
      <c r="R27" s="639"/>
      <c r="S27" s="604"/>
      <c r="T27" s="520" t="str">
        <f t="shared" si="0"/>
        <v/>
      </c>
      <c r="U27" s="509"/>
      <c r="V27" s="492"/>
      <c r="W27" s="568"/>
      <c r="X27" s="351"/>
      <c r="Y27" s="591" t="str">
        <f>Y12</f>
        <v>AC Equipment</v>
      </c>
      <c r="Z27" s="592">
        <v>126812.1</v>
      </c>
    </row>
    <row r="28" spans="1:27" ht="14.25" customHeight="1">
      <c r="B28" s="294">
        <v>4</v>
      </c>
      <c r="C28" s="295" t="s">
        <v>251</v>
      </c>
      <c r="D28" s="295" t="s">
        <v>272</v>
      </c>
      <c r="E28" s="366">
        <f>G28/14*1.15</f>
        <v>1069.5</v>
      </c>
      <c r="F28" s="457"/>
      <c r="G28" s="297">
        <v>13020</v>
      </c>
      <c r="H28" s="569">
        <v>45930</v>
      </c>
      <c r="I28" s="724">
        <f>SUM(G28:G42)</f>
        <v>61800.6</v>
      </c>
      <c r="J28" s="724">
        <f>F164</f>
        <v>79232</v>
      </c>
      <c r="K28" s="298"/>
      <c r="L28" s="294">
        <v>4</v>
      </c>
      <c r="M28" s="425" t="s">
        <v>273</v>
      </c>
      <c r="N28" s="295" t="s">
        <v>274</v>
      </c>
      <c r="O28" s="540">
        <v>4000</v>
      </c>
      <c r="P28" s="457">
        <v>13.5</v>
      </c>
      <c r="Q28" s="297">
        <v>54000</v>
      </c>
      <c r="R28" s="640" t="s">
        <v>239</v>
      </c>
      <c r="S28" s="605" t="s">
        <v>275</v>
      </c>
      <c r="T28" s="656">
        <v>45900</v>
      </c>
      <c r="U28" s="675">
        <v>42628.832185877829</v>
      </c>
      <c r="V28" s="746">
        <f>J28-SUM(U28:U42)</f>
        <v>0</v>
      </c>
      <c r="W28" s="687">
        <v>45930</v>
      </c>
      <c r="X28" s="727">
        <f>SUM(Q28:Q42)</f>
        <v>100367</v>
      </c>
      <c r="Y28" s="591" t="str">
        <f t="shared" ref="Y28:Y30" si="3">Y13</f>
        <v>DC Equipment</v>
      </c>
      <c r="Z28" s="592">
        <v>46367</v>
      </c>
    </row>
    <row r="29" spans="1:27" ht="14.25" customHeight="1">
      <c r="B29" s="321">
        <v>4</v>
      </c>
      <c r="C29" s="408"/>
      <c r="D29" s="408" t="s">
        <v>276</v>
      </c>
      <c r="E29" s="394"/>
      <c r="F29" s="453"/>
      <c r="G29" s="617">
        <f>D164-G28</f>
        <v>48780.6</v>
      </c>
      <c r="H29" s="569">
        <v>45931</v>
      </c>
      <c r="I29" s="725"/>
      <c r="J29" s="725"/>
      <c r="K29" s="302"/>
      <c r="L29" s="299">
        <v>4</v>
      </c>
      <c r="M29" s="426" t="s">
        <v>273</v>
      </c>
      <c r="N29" s="408"/>
      <c r="O29" s="541"/>
      <c r="P29" s="453"/>
      <c r="Q29" s="301"/>
      <c r="R29" s="641"/>
      <c r="S29" s="606"/>
      <c r="T29" s="522"/>
      <c r="U29" s="507">
        <f>(Q29/$X$28*$J$28)</f>
        <v>0</v>
      </c>
      <c r="V29" s="747"/>
      <c r="W29" s="570"/>
      <c r="X29" s="728"/>
      <c r="Y29" s="591" t="str">
        <f t="shared" si="3"/>
        <v>AC Labour</v>
      </c>
      <c r="Z29" s="592">
        <v>12365</v>
      </c>
      <c r="AA29" s="629"/>
    </row>
    <row r="30" spans="1:27" ht="14.25" customHeight="1">
      <c r="B30" s="321">
        <v>4</v>
      </c>
      <c r="C30" s="408"/>
      <c r="D30" s="408"/>
      <c r="E30" s="394"/>
      <c r="F30" s="453"/>
      <c r="G30" s="301"/>
      <c r="H30" s="570"/>
      <c r="I30" s="725"/>
      <c r="J30" s="725"/>
      <c r="K30" s="302"/>
      <c r="L30" s="299">
        <v>4</v>
      </c>
      <c r="M30" s="426" t="s">
        <v>273</v>
      </c>
      <c r="N30" s="408"/>
      <c r="O30" s="541"/>
      <c r="P30" s="453"/>
      <c r="Q30" s="301"/>
      <c r="R30" s="641"/>
      <c r="S30" s="606"/>
      <c r="T30" s="522" t="str">
        <f t="shared" si="0"/>
        <v/>
      </c>
      <c r="U30" s="507">
        <f>(Q30/$X$28*$J$28)</f>
        <v>0</v>
      </c>
      <c r="V30" s="747"/>
      <c r="W30" s="570"/>
      <c r="X30" s="728"/>
      <c r="Y30" s="591" t="str">
        <f t="shared" si="3"/>
        <v>DC Labour</v>
      </c>
      <c r="Z30" s="592">
        <v>46945</v>
      </c>
    </row>
    <row r="31" spans="1:27" ht="14.25" customHeight="1">
      <c r="B31" s="321">
        <v>4</v>
      </c>
      <c r="C31" s="408"/>
      <c r="D31" s="408"/>
      <c r="E31" s="394"/>
      <c r="F31" s="453"/>
      <c r="G31" s="301"/>
      <c r="H31" s="570"/>
      <c r="I31" s="725"/>
      <c r="J31" s="725"/>
      <c r="K31" s="302"/>
      <c r="L31" s="299">
        <v>4</v>
      </c>
      <c r="M31" s="426" t="s">
        <v>273</v>
      </c>
      <c r="N31" s="408"/>
      <c r="O31" s="549"/>
      <c r="P31" s="453"/>
      <c r="Q31" s="301"/>
      <c r="R31" s="641"/>
      <c r="S31" s="606"/>
      <c r="T31" s="522" t="str">
        <f t="shared" si="0"/>
        <v/>
      </c>
      <c r="U31" s="507">
        <f>(Q31/$X$28*$J$28)</f>
        <v>0</v>
      </c>
      <c r="V31" s="747"/>
      <c r="W31" s="570"/>
      <c r="X31" s="728"/>
      <c r="Y31" s="591" t="s">
        <v>277</v>
      </c>
      <c r="Z31" s="592">
        <v>12000</v>
      </c>
    </row>
    <row r="32" spans="1:27" ht="14.25" customHeight="1">
      <c r="B32" s="321">
        <v>4</v>
      </c>
      <c r="C32" s="408"/>
      <c r="D32" s="408"/>
      <c r="E32" s="394"/>
      <c r="F32" s="453"/>
      <c r="G32" s="301"/>
      <c r="H32" s="535"/>
      <c r="I32" s="725"/>
      <c r="J32" s="725"/>
      <c r="K32" s="302"/>
      <c r="L32" s="299">
        <v>4</v>
      </c>
      <c r="M32" s="426" t="s">
        <v>273</v>
      </c>
      <c r="N32" s="408" t="s">
        <v>278</v>
      </c>
      <c r="O32" s="558">
        <f>Z28</f>
        <v>46367</v>
      </c>
      <c r="P32" s="559">
        <v>0.1</v>
      </c>
      <c r="Q32" s="301">
        <f>$O$32*P32</f>
        <v>4636.7</v>
      </c>
      <c r="R32" s="758" t="s">
        <v>279</v>
      </c>
      <c r="S32" s="606" t="s">
        <v>280</v>
      </c>
      <c r="T32" s="658">
        <v>45900</v>
      </c>
      <c r="U32" s="675">
        <v>3660.3167814122171</v>
      </c>
      <c r="V32" s="747"/>
      <c r="W32" s="535">
        <f>W91</f>
        <v>45904</v>
      </c>
      <c r="X32" s="728"/>
      <c r="Y32" s="591" t="s">
        <v>281</v>
      </c>
      <c r="Z32" s="592">
        <v>0</v>
      </c>
    </row>
    <row r="33" spans="1:26" ht="14.25" customHeight="1">
      <c r="B33" s="321">
        <v>4</v>
      </c>
      <c r="C33" s="408"/>
      <c r="D33" s="408"/>
      <c r="E33" s="394"/>
      <c r="F33" s="453"/>
      <c r="G33" s="301"/>
      <c r="H33" s="535"/>
      <c r="I33" s="725"/>
      <c r="J33" s="725"/>
      <c r="K33" s="302"/>
      <c r="L33" s="299">
        <v>4</v>
      </c>
      <c r="M33" s="426" t="s">
        <v>273</v>
      </c>
      <c r="N33" s="408" t="s">
        <v>106</v>
      </c>
      <c r="O33" s="549"/>
      <c r="P33" s="559">
        <v>0.15</v>
      </c>
      <c r="Q33" s="301">
        <f t="shared" ref="Q33:Q39" si="4">$O$32*P33</f>
        <v>6955.05</v>
      </c>
      <c r="R33" s="759"/>
      <c r="S33" s="606" t="s">
        <v>282</v>
      </c>
      <c r="T33" s="658">
        <v>45900</v>
      </c>
      <c r="U33" s="675">
        <v>5490.4751721183256</v>
      </c>
      <c r="V33" s="747"/>
      <c r="W33" s="535">
        <f t="shared" ref="W33:W37" si="5">W92</f>
        <v>45911</v>
      </c>
      <c r="X33" s="728"/>
      <c r="Y33" s="591" t="s">
        <v>283</v>
      </c>
      <c r="Z33" s="592">
        <v>0</v>
      </c>
    </row>
    <row r="34" spans="1:26" ht="14.25" customHeight="1">
      <c r="B34" s="321">
        <v>4</v>
      </c>
      <c r="C34" s="408"/>
      <c r="D34" s="408"/>
      <c r="E34" s="394"/>
      <c r="F34" s="453"/>
      <c r="G34" s="301"/>
      <c r="H34" s="570"/>
      <c r="I34" s="725"/>
      <c r="J34" s="725"/>
      <c r="K34" s="302"/>
      <c r="L34" s="299">
        <v>4</v>
      </c>
      <c r="M34" s="426" t="s">
        <v>273</v>
      </c>
      <c r="N34" s="408" t="s">
        <v>284</v>
      </c>
      <c r="O34" s="549"/>
      <c r="P34" s="559">
        <v>0.2</v>
      </c>
      <c r="Q34" s="301">
        <f t="shared" si="4"/>
        <v>9273.4</v>
      </c>
      <c r="R34" s="759"/>
      <c r="S34" s="606" t="s">
        <v>285</v>
      </c>
      <c r="T34" s="658">
        <v>45900</v>
      </c>
      <c r="U34" s="675">
        <v>7320.6335628244342</v>
      </c>
      <c r="V34" s="747"/>
      <c r="W34" s="535">
        <f t="shared" si="5"/>
        <v>45946</v>
      </c>
      <c r="X34" s="728"/>
      <c r="Y34" s="591" t="s">
        <v>286</v>
      </c>
      <c r="Z34" s="592">
        <v>0</v>
      </c>
    </row>
    <row r="35" spans="1:26" ht="14.25" customHeight="1">
      <c r="B35" s="321">
        <v>4</v>
      </c>
      <c r="C35" s="408"/>
      <c r="D35" s="408"/>
      <c r="E35" s="394"/>
      <c r="F35" s="453"/>
      <c r="G35" s="301"/>
      <c r="H35" s="570"/>
      <c r="I35" s="725"/>
      <c r="J35" s="725"/>
      <c r="K35" s="302"/>
      <c r="L35" s="299">
        <v>4</v>
      </c>
      <c r="M35" s="426" t="s">
        <v>273</v>
      </c>
      <c r="N35" s="408" t="s">
        <v>287</v>
      </c>
      <c r="O35" s="549"/>
      <c r="P35" s="559">
        <v>0.25</v>
      </c>
      <c r="Q35" s="301">
        <f t="shared" si="4"/>
        <v>11591.75</v>
      </c>
      <c r="R35" s="759"/>
      <c r="S35" s="606" t="s">
        <v>288</v>
      </c>
      <c r="T35" s="658">
        <v>45900</v>
      </c>
      <c r="U35" s="675">
        <v>9150.7919535305427</v>
      </c>
      <c r="V35" s="747"/>
      <c r="W35" s="535">
        <f t="shared" si="5"/>
        <v>45946</v>
      </c>
      <c r="X35" s="728"/>
      <c r="Y35" s="591" t="s">
        <v>58</v>
      </c>
      <c r="Z35" s="592">
        <v>0</v>
      </c>
    </row>
    <row r="36" spans="1:26" ht="14.25" customHeight="1">
      <c r="B36" s="321">
        <v>4</v>
      </c>
      <c r="C36" s="408"/>
      <c r="D36" s="408"/>
      <c r="E36" s="394"/>
      <c r="F36" s="453"/>
      <c r="G36" s="301"/>
      <c r="H36" s="570"/>
      <c r="I36" s="725"/>
      <c r="J36" s="725"/>
      <c r="K36" s="302"/>
      <c r="L36" s="299">
        <v>4</v>
      </c>
      <c r="M36" s="426" t="s">
        <v>273</v>
      </c>
      <c r="N36" s="408" t="s">
        <v>289</v>
      </c>
      <c r="O36" s="549"/>
      <c r="P36" s="559">
        <v>0.1</v>
      </c>
      <c r="Q36" s="301">
        <f t="shared" si="4"/>
        <v>4636.7</v>
      </c>
      <c r="R36" s="759"/>
      <c r="S36" s="606" t="s">
        <v>290</v>
      </c>
      <c r="T36" s="658">
        <v>45900</v>
      </c>
      <c r="U36" s="675">
        <v>3660.3167814122171</v>
      </c>
      <c r="V36" s="747"/>
      <c r="W36" s="708">
        <f t="shared" si="5"/>
        <v>46072</v>
      </c>
      <c r="X36" s="728"/>
      <c r="Y36" s="591" t="s">
        <v>264</v>
      </c>
      <c r="Z36" s="592">
        <v>0</v>
      </c>
    </row>
    <row r="37" spans="1:26" ht="14.25" customHeight="1">
      <c r="B37" s="321">
        <v>4</v>
      </c>
      <c r="C37" s="408"/>
      <c r="D37" s="408"/>
      <c r="E37" s="394"/>
      <c r="F37" s="453"/>
      <c r="G37" s="301"/>
      <c r="H37" s="570"/>
      <c r="I37" s="725"/>
      <c r="J37" s="725"/>
      <c r="K37" s="302"/>
      <c r="L37" s="299">
        <v>4</v>
      </c>
      <c r="M37" s="426" t="s">
        <v>273</v>
      </c>
      <c r="N37" s="408" t="s">
        <v>291</v>
      </c>
      <c r="O37" s="549"/>
      <c r="P37" s="559">
        <v>0.1</v>
      </c>
      <c r="Q37" s="301">
        <f>$O$32*P37</f>
        <v>4636.7</v>
      </c>
      <c r="R37" s="759"/>
      <c r="S37" s="606" t="s">
        <v>292</v>
      </c>
      <c r="T37" s="658">
        <v>45900</v>
      </c>
      <c r="U37" s="675">
        <v>3660.3167814122171</v>
      </c>
      <c r="V37" s="747"/>
      <c r="W37" s="708">
        <f t="shared" si="5"/>
        <v>46072</v>
      </c>
      <c r="X37" s="728"/>
      <c r="Y37" s="591" t="s">
        <v>264</v>
      </c>
      <c r="Z37" s="593">
        <v>0</v>
      </c>
    </row>
    <row r="38" spans="1:26" ht="14.25" customHeight="1">
      <c r="B38" s="321">
        <v>4</v>
      </c>
      <c r="C38" s="408"/>
      <c r="D38" s="408"/>
      <c r="E38" s="394"/>
      <c r="F38" s="453"/>
      <c r="G38" s="301"/>
      <c r="H38" s="570"/>
      <c r="I38" s="725"/>
      <c r="J38" s="725"/>
      <c r="K38" s="302"/>
      <c r="L38" s="299">
        <v>4</v>
      </c>
      <c r="M38" s="426" t="s">
        <v>273</v>
      </c>
      <c r="N38" s="408" t="s">
        <v>293</v>
      </c>
      <c r="O38" s="549"/>
      <c r="P38" s="559">
        <v>0.05</v>
      </c>
      <c r="Q38" s="301">
        <f t="shared" si="4"/>
        <v>2318.35</v>
      </c>
      <c r="R38" s="759"/>
      <c r="S38" s="606" t="s">
        <v>294</v>
      </c>
      <c r="T38" s="658">
        <v>45900</v>
      </c>
      <c r="U38" s="675">
        <v>1830.1583907061085</v>
      </c>
      <c r="V38" s="747"/>
      <c r="W38" s="708">
        <v>46037</v>
      </c>
      <c r="X38" s="728"/>
      <c r="Y38" s="591" t="s">
        <v>189</v>
      </c>
      <c r="Z38" s="592">
        <f>SUM(Z27:Z37)</f>
        <v>244489.1</v>
      </c>
    </row>
    <row r="39" spans="1:26" ht="14.25" customHeight="1">
      <c r="B39" s="321">
        <v>4</v>
      </c>
      <c r="C39" s="408"/>
      <c r="D39" s="408"/>
      <c r="E39" s="394"/>
      <c r="F39" s="453"/>
      <c r="G39" s="301"/>
      <c r="H39" s="570"/>
      <c r="I39" s="725"/>
      <c r="J39" s="725"/>
      <c r="K39" s="302"/>
      <c r="L39" s="299">
        <v>4</v>
      </c>
      <c r="M39" s="426" t="s">
        <v>273</v>
      </c>
      <c r="N39" s="408" t="s">
        <v>295</v>
      </c>
      <c r="O39" s="723">
        <f>Q39+Q66+Q98+Q114</f>
        <v>12224.46</v>
      </c>
      <c r="P39" s="559">
        <v>0.05</v>
      </c>
      <c r="Q39" s="301">
        <f t="shared" si="4"/>
        <v>2318.35</v>
      </c>
      <c r="R39" s="760"/>
      <c r="S39" s="606" t="s">
        <v>296</v>
      </c>
      <c r="T39" s="658">
        <v>45900</v>
      </c>
      <c r="U39" s="675">
        <v>1830.1583907061085</v>
      </c>
      <c r="V39" s="747"/>
      <c r="W39" s="708">
        <v>46037</v>
      </c>
      <c r="X39" s="728"/>
      <c r="Y39" s="594" t="s">
        <v>269</v>
      </c>
      <c r="Z39" s="593">
        <f>Z38/'Project Plan'!$E$3/1000</f>
        <v>3.4435084507042255</v>
      </c>
    </row>
    <row r="40" spans="1:26" ht="14.25" customHeight="1">
      <c r="B40" s="321">
        <v>4</v>
      </c>
      <c r="C40" s="408"/>
      <c r="D40" s="408"/>
      <c r="E40" s="394"/>
      <c r="F40" s="453"/>
      <c r="G40" s="301"/>
      <c r="H40" s="570"/>
      <c r="I40" s="725"/>
      <c r="J40" s="725"/>
      <c r="K40" s="302"/>
      <c r="L40" s="299">
        <v>4</v>
      </c>
      <c r="M40" s="426" t="s">
        <v>273</v>
      </c>
      <c r="N40" s="408"/>
      <c r="O40" s="723">
        <f>O39*1.15</f>
        <v>14058.128999999997</v>
      </c>
      <c r="P40" s="453"/>
      <c r="Q40" s="301"/>
      <c r="R40" s="641"/>
      <c r="S40" s="606"/>
      <c r="T40" s="522" t="str">
        <f t="shared" si="0"/>
        <v/>
      </c>
      <c r="U40" s="507">
        <f>(Q40/$X$28*$J$28)</f>
        <v>0</v>
      </c>
      <c r="V40" s="747"/>
      <c r="W40" s="570"/>
      <c r="X40" s="728"/>
      <c r="Y40" s="482"/>
    </row>
    <row r="41" spans="1:26" ht="14.25" customHeight="1">
      <c r="B41" s="321">
        <v>4</v>
      </c>
      <c r="C41" s="408"/>
      <c r="D41" s="408"/>
      <c r="E41" s="394"/>
      <c r="F41" s="453"/>
      <c r="G41" s="301"/>
      <c r="H41" s="570"/>
      <c r="I41" s="725"/>
      <c r="J41" s="725"/>
      <c r="K41" s="302"/>
      <c r="L41" s="299">
        <v>4</v>
      </c>
      <c r="M41" s="426" t="s">
        <v>273</v>
      </c>
      <c r="N41" s="408"/>
      <c r="O41" s="549"/>
      <c r="P41" s="453"/>
      <c r="Q41" s="301"/>
      <c r="R41" s="641"/>
      <c r="S41" s="606"/>
      <c r="T41" s="522" t="str">
        <f t="shared" si="0"/>
        <v/>
      </c>
      <c r="U41" s="507">
        <f>(Q41/$X$28*$J$28)</f>
        <v>0</v>
      </c>
      <c r="V41" s="747"/>
      <c r="W41" s="570"/>
      <c r="X41" s="728"/>
      <c r="Y41" s="482"/>
    </row>
    <row r="42" spans="1:26" ht="15" customHeight="1" thickBot="1">
      <c r="B42" s="303">
        <v>4</v>
      </c>
      <c r="C42" s="326"/>
      <c r="D42" s="326"/>
      <c r="E42" s="397"/>
      <c r="F42" s="455"/>
      <c r="G42" s="306"/>
      <c r="H42" s="571"/>
      <c r="I42" s="726"/>
      <c r="J42" s="726"/>
      <c r="K42" s="307"/>
      <c r="L42" s="303">
        <v>4</v>
      </c>
      <c r="M42" s="427" t="s">
        <v>273</v>
      </c>
      <c r="N42" s="326"/>
      <c r="O42" s="550"/>
      <c r="P42" s="455"/>
      <c r="Q42" s="306"/>
      <c r="R42" s="642"/>
      <c r="S42" s="607"/>
      <c r="T42" s="523" t="str">
        <f t="shared" si="0"/>
        <v/>
      </c>
      <c r="U42" s="508">
        <f>(Q42/$X$28*$J$28)</f>
        <v>0</v>
      </c>
      <c r="V42" s="748"/>
      <c r="W42" s="571"/>
      <c r="X42" s="729"/>
      <c r="Y42" s="482"/>
    </row>
    <row r="43" spans="1:26" ht="14.5" thickBot="1">
      <c r="A43" s="24"/>
      <c r="B43" s="277"/>
      <c r="C43" s="278"/>
      <c r="D43" s="309"/>
      <c r="E43" s="292"/>
      <c r="F43" s="456"/>
      <c r="G43" s="293"/>
      <c r="H43" s="568"/>
      <c r="I43" s="281"/>
      <c r="J43" s="281"/>
      <c r="K43" s="24"/>
      <c r="L43" s="277"/>
      <c r="M43" s="278"/>
      <c r="N43" s="309"/>
      <c r="O43" s="547"/>
      <c r="P43" s="456"/>
      <c r="Q43" s="293"/>
      <c r="R43" s="643"/>
      <c r="S43" s="609"/>
      <c r="T43" s="520" t="str">
        <f t="shared" si="0"/>
        <v/>
      </c>
      <c r="U43" s="511"/>
      <c r="V43" s="495"/>
      <c r="W43" s="568"/>
      <c r="X43" s="351"/>
      <c r="Y43" s="482"/>
    </row>
    <row r="44" spans="1:26" ht="14.25" customHeight="1">
      <c r="B44" s="282">
        <v>5</v>
      </c>
      <c r="C44" s="310" t="s">
        <v>297</v>
      </c>
      <c r="D44" s="328" t="s">
        <v>298</v>
      </c>
      <c r="E44" s="284"/>
      <c r="F44" s="437"/>
      <c r="G44" s="285">
        <f>D166-G45</f>
        <v>151000</v>
      </c>
      <c r="H44" s="572">
        <f>H13</f>
        <v>45955</v>
      </c>
      <c r="I44" s="730">
        <f>SUM(G44:G51)</f>
        <v>166000</v>
      </c>
      <c r="J44" s="730">
        <f>F166</f>
        <v>212821</v>
      </c>
      <c r="K44" s="286"/>
      <c r="L44" s="282">
        <v>5</v>
      </c>
      <c r="M44" s="422" t="s">
        <v>299</v>
      </c>
      <c r="N44" s="328" t="s">
        <v>300</v>
      </c>
      <c r="O44" s="543"/>
      <c r="P44" s="437"/>
      <c r="Q44" s="285">
        <v>8598.34</v>
      </c>
      <c r="R44" s="580" t="s">
        <v>239</v>
      </c>
      <c r="S44" s="608" t="s">
        <v>250</v>
      </c>
      <c r="T44" s="657">
        <v>45900</v>
      </c>
      <c r="U44" s="676">
        <v>13585.528030442627</v>
      </c>
      <c r="V44" s="743">
        <f>J44-SUM(U44:U51)</f>
        <v>12.165099481266225</v>
      </c>
      <c r="W44" s="699">
        <f>W13</f>
        <v>45954</v>
      </c>
      <c r="X44" s="740">
        <f>SUM(Q44:Q51)</f>
        <v>89397.709999999992</v>
      </c>
      <c r="Y44" s="482"/>
    </row>
    <row r="45" spans="1:26" ht="14.25" customHeight="1">
      <c r="B45" s="287">
        <v>5</v>
      </c>
      <c r="C45" s="311"/>
      <c r="D45" s="314" t="s">
        <v>301</v>
      </c>
      <c r="E45" s="451"/>
      <c r="F45" s="452"/>
      <c r="G45" s="316">
        <v>15000</v>
      </c>
      <c r="H45" s="565">
        <v>45955</v>
      </c>
      <c r="I45" s="731"/>
      <c r="J45" s="731"/>
      <c r="K45" s="289"/>
      <c r="L45" s="287">
        <v>5</v>
      </c>
      <c r="M45" s="428" t="s">
        <v>299</v>
      </c>
      <c r="N45" s="288" t="s">
        <v>302</v>
      </c>
      <c r="O45" s="551"/>
      <c r="P45" s="452"/>
      <c r="Q45" s="316">
        <v>22428</v>
      </c>
      <c r="R45" s="636" t="s">
        <v>303</v>
      </c>
      <c r="S45" s="601" t="s">
        <v>304</v>
      </c>
      <c r="T45" s="654">
        <v>45900</v>
      </c>
      <c r="U45" s="676">
        <v>35436.633427704328</v>
      </c>
      <c r="V45" s="744"/>
      <c r="W45" s="700">
        <f>T45+30</f>
        <v>45930</v>
      </c>
      <c r="X45" s="741"/>
      <c r="Y45" s="482"/>
    </row>
    <row r="46" spans="1:26" ht="14.25" customHeight="1">
      <c r="B46" s="287">
        <v>5</v>
      </c>
      <c r="C46" s="311"/>
      <c r="D46" s="314"/>
      <c r="E46" s="315"/>
      <c r="F46" s="459"/>
      <c r="G46" s="316"/>
      <c r="H46" s="533">
        <v>45955</v>
      </c>
      <c r="I46" s="731"/>
      <c r="J46" s="731"/>
      <c r="K46" s="289"/>
      <c r="L46" s="287">
        <v>5</v>
      </c>
      <c r="M46" s="428" t="s">
        <v>299</v>
      </c>
      <c r="N46" s="314" t="s">
        <v>305</v>
      </c>
      <c r="O46" s="544"/>
      <c r="P46" s="459"/>
      <c r="Q46" s="316">
        <v>11169</v>
      </c>
      <c r="R46" s="636"/>
      <c r="S46" s="601" t="s">
        <v>306</v>
      </c>
      <c r="T46" s="654">
        <v>45900</v>
      </c>
      <c r="U46" s="676">
        <v>17647.215924470736</v>
      </c>
      <c r="V46" s="744"/>
      <c r="W46" s="533">
        <v>45900</v>
      </c>
      <c r="X46" s="741"/>
      <c r="Y46" s="482"/>
    </row>
    <row r="47" spans="1:26" ht="14.25" customHeight="1">
      <c r="B47" s="312">
        <v>5</v>
      </c>
      <c r="C47" s="313"/>
      <c r="D47" s="314"/>
      <c r="E47" s="315"/>
      <c r="F47" s="459"/>
      <c r="G47" s="316"/>
      <c r="H47" s="565">
        <v>45955</v>
      </c>
      <c r="I47" s="731"/>
      <c r="J47" s="731"/>
      <c r="K47" s="289"/>
      <c r="L47" s="312">
        <v>5</v>
      </c>
      <c r="M47" s="428" t="s">
        <v>299</v>
      </c>
      <c r="N47" s="314" t="s">
        <v>307</v>
      </c>
      <c r="O47" s="544"/>
      <c r="P47" s="459"/>
      <c r="Q47" s="316">
        <v>44000</v>
      </c>
      <c r="R47" s="636" t="s">
        <v>308</v>
      </c>
      <c r="S47" s="601" t="s">
        <v>309</v>
      </c>
      <c r="T47" s="703">
        <v>45961</v>
      </c>
      <c r="U47" s="704">
        <v>139319.34685811546</v>
      </c>
      <c r="V47" s="744"/>
      <c r="W47" s="700">
        <v>45961</v>
      </c>
      <c r="X47" s="741"/>
      <c r="Y47" s="482"/>
    </row>
    <row r="48" spans="1:26" ht="14.25" customHeight="1">
      <c r="B48" s="383"/>
      <c r="C48" s="384"/>
      <c r="D48" s="387"/>
      <c r="E48" s="406"/>
      <c r="F48" s="444"/>
      <c r="G48" s="386"/>
      <c r="H48" s="566"/>
      <c r="I48" s="731"/>
      <c r="J48" s="731"/>
      <c r="K48" s="289"/>
      <c r="L48" s="312">
        <v>5</v>
      </c>
      <c r="M48" s="428" t="s">
        <v>299</v>
      </c>
      <c r="N48" s="387" t="s">
        <v>310</v>
      </c>
      <c r="O48" s="545"/>
      <c r="P48" s="444"/>
      <c r="Q48" s="386">
        <v>577.37</v>
      </c>
      <c r="R48" s="637"/>
      <c r="S48" s="602" t="s">
        <v>311</v>
      </c>
      <c r="T48" s="680">
        <v>45961</v>
      </c>
      <c r="U48" s="704">
        <v>1379.8946741022314</v>
      </c>
      <c r="V48" s="744"/>
      <c r="W48" s="702">
        <v>45991</v>
      </c>
      <c r="X48" s="741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66">
        <v>45955</v>
      </c>
      <c r="I49" s="731"/>
      <c r="J49" s="731"/>
      <c r="K49" s="289"/>
      <c r="L49" s="312">
        <v>5</v>
      </c>
      <c r="M49" s="428" t="s">
        <v>299</v>
      </c>
      <c r="N49" s="387" t="s">
        <v>312</v>
      </c>
      <c r="O49" s="545"/>
      <c r="P49" s="444">
        <v>3500</v>
      </c>
      <c r="Q49" s="386">
        <v>975</v>
      </c>
      <c r="R49" s="637"/>
      <c r="S49" s="602" t="s">
        <v>313</v>
      </c>
      <c r="T49" s="680">
        <v>45930</v>
      </c>
      <c r="U49" s="704">
        <v>2345.4241839694523</v>
      </c>
      <c r="V49" s="744"/>
      <c r="W49" s="702">
        <v>45939</v>
      </c>
      <c r="X49" s="741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66">
        <v>45955</v>
      </c>
      <c r="I50" s="731"/>
      <c r="J50" s="731"/>
      <c r="K50" s="289"/>
      <c r="L50" s="312">
        <v>5</v>
      </c>
      <c r="M50" s="428" t="s">
        <v>299</v>
      </c>
      <c r="N50" s="387" t="s">
        <v>312</v>
      </c>
      <c r="O50" s="545"/>
      <c r="P50" s="444"/>
      <c r="Q50" s="386">
        <v>1300</v>
      </c>
      <c r="R50" s="637"/>
      <c r="S50" s="602" t="s">
        <v>314</v>
      </c>
      <c r="T50" s="680">
        <v>45961</v>
      </c>
      <c r="U50" s="686">
        <f>(Q50/$X$44*$J$44)</f>
        <v>3094.7918017139368</v>
      </c>
      <c r="V50" s="744"/>
      <c r="W50" s="702">
        <f>T50</f>
        <v>45961</v>
      </c>
      <c r="X50" s="741"/>
      <c r="Y50" s="482"/>
    </row>
    <row r="51" spans="1:25" ht="15" customHeight="1" thickBot="1">
      <c r="B51" s="317">
        <v>5</v>
      </c>
      <c r="C51" s="338"/>
      <c r="D51" s="318"/>
      <c r="E51" s="319"/>
      <c r="F51" s="460"/>
      <c r="G51" s="331"/>
      <c r="H51" s="567">
        <v>45955</v>
      </c>
      <c r="I51" s="732"/>
      <c r="J51" s="732"/>
      <c r="K51" s="290"/>
      <c r="L51" s="317">
        <v>5</v>
      </c>
      <c r="M51" s="424" t="s">
        <v>299</v>
      </c>
      <c r="N51" s="318" t="s">
        <v>315</v>
      </c>
      <c r="O51" s="546"/>
      <c r="P51" s="460"/>
      <c r="Q51" s="331">
        <v>350</v>
      </c>
      <c r="R51" s="638" t="s">
        <v>316</v>
      </c>
      <c r="S51" s="603" t="s">
        <v>317</v>
      </c>
      <c r="T51" s="707">
        <v>45991</v>
      </c>
      <c r="U51" s="504"/>
      <c r="V51" s="745"/>
      <c r="W51" s="712">
        <v>46029</v>
      </c>
      <c r="X51" s="742"/>
      <c r="Y51" s="482"/>
    </row>
    <row r="52" spans="1:25" ht="14.5" thickBot="1">
      <c r="A52" s="24"/>
      <c r="B52" s="291"/>
      <c r="C52" s="308"/>
      <c r="D52" s="279"/>
      <c r="E52" s="292"/>
      <c r="F52" s="456"/>
      <c r="G52" s="293"/>
      <c r="H52" s="568">
        <v>45955</v>
      </c>
      <c r="I52" s="327"/>
      <c r="J52" s="327"/>
      <c r="K52" s="24"/>
      <c r="L52" s="291"/>
      <c r="M52" s="308"/>
      <c r="N52" s="279"/>
      <c r="O52" s="547"/>
      <c r="P52" s="456"/>
      <c r="Q52" s="293"/>
      <c r="R52" s="639"/>
      <c r="S52" s="604"/>
      <c r="T52" s="520" t="str">
        <f t="shared" si="0"/>
        <v/>
      </c>
      <c r="U52" s="509"/>
      <c r="V52" s="492"/>
      <c r="W52" s="568"/>
      <c r="X52" s="483"/>
      <c r="Y52" s="482"/>
    </row>
    <row r="53" spans="1:25" ht="14.25" customHeight="1">
      <c r="B53" s="294">
        <v>6</v>
      </c>
      <c r="C53" s="295" t="s">
        <v>245</v>
      </c>
      <c r="D53" s="296" t="s">
        <v>318</v>
      </c>
      <c r="E53" s="475"/>
      <c r="F53" s="457"/>
      <c r="G53" s="297">
        <f>D165</f>
        <v>135950.84</v>
      </c>
      <c r="H53" s="569">
        <v>45955</v>
      </c>
      <c r="I53" s="724">
        <f>SUM(G53:G69)</f>
        <v>135950.84</v>
      </c>
      <c r="J53" s="724">
        <f>F165</f>
        <v>174296</v>
      </c>
      <c r="K53" s="298"/>
      <c r="L53" s="294">
        <v>6</v>
      </c>
      <c r="M53" s="431" t="s">
        <v>319</v>
      </c>
      <c r="N53" s="296"/>
      <c r="O53" s="539"/>
      <c r="P53" s="457"/>
      <c r="Q53" s="297"/>
      <c r="R53" s="640"/>
      <c r="S53" s="605"/>
      <c r="T53" s="521" t="str">
        <f t="shared" si="0"/>
        <v/>
      </c>
      <c r="U53" s="506">
        <f t="shared" ref="U53:U58" si="6">(Q53/$X$53*$J$53)</f>
        <v>0</v>
      </c>
      <c r="V53" s="746">
        <f>J53-SUM(U53:U69)</f>
        <v>0</v>
      </c>
      <c r="W53" s="569"/>
      <c r="X53" s="727">
        <f>SUM(Q53:Q69)</f>
        <v>126812.12</v>
      </c>
      <c r="Y53" s="482"/>
    </row>
    <row r="54" spans="1:25" ht="14.25" customHeight="1">
      <c r="B54" s="299">
        <v>6</v>
      </c>
      <c r="C54" s="408"/>
      <c r="D54" s="443"/>
      <c r="E54" s="394"/>
      <c r="F54" s="453"/>
      <c r="G54" s="322"/>
      <c r="H54" s="570"/>
      <c r="I54" s="725"/>
      <c r="J54" s="725"/>
      <c r="K54" s="302"/>
      <c r="L54" s="299">
        <v>6</v>
      </c>
      <c r="M54" s="429" t="s">
        <v>319</v>
      </c>
      <c r="N54" s="443"/>
      <c r="O54" s="549"/>
      <c r="P54" s="453"/>
      <c r="Q54" s="322"/>
      <c r="R54" s="641"/>
      <c r="S54" s="606"/>
      <c r="T54" s="522"/>
      <c r="U54" s="507">
        <f t="shared" si="6"/>
        <v>0</v>
      </c>
      <c r="V54" s="747"/>
      <c r="W54" s="570"/>
      <c r="X54" s="728"/>
      <c r="Y54" s="482"/>
    </row>
    <row r="55" spans="1:25" ht="14.25" customHeight="1">
      <c r="B55" s="299">
        <v>6</v>
      </c>
      <c r="C55" s="408"/>
      <c r="D55" s="443"/>
      <c r="E55" s="394"/>
      <c r="F55" s="453"/>
      <c r="G55" s="322"/>
      <c r="H55" s="570"/>
      <c r="I55" s="725"/>
      <c r="J55" s="725"/>
      <c r="K55" s="302"/>
      <c r="L55" s="299">
        <v>6</v>
      </c>
      <c r="M55" s="429" t="s">
        <v>319</v>
      </c>
      <c r="N55" s="443"/>
      <c r="O55" s="549"/>
      <c r="P55" s="453"/>
      <c r="Q55" s="322"/>
      <c r="R55" s="641"/>
      <c r="S55" s="606"/>
      <c r="T55" s="522" t="str">
        <f t="shared" si="0"/>
        <v/>
      </c>
      <c r="U55" s="507">
        <f t="shared" si="6"/>
        <v>0</v>
      </c>
      <c r="V55" s="747"/>
      <c r="W55" s="570"/>
      <c r="X55" s="728"/>
      <c r="Y55" s="482"/>
    </row>
    <row r="56" spans="1:25" ht="14.25" customHeight="1">
      <c r="B56" s="299">
        <v>6</v>
      </c>
      <c r="C56" s="408"/>
      <c r="D56" s="443"/>
      <c r="E56" s="394"/>
      <c r="F56" s="453"/>
      <c r="G56" s="322"/>
      <c r="H56" s="570"/>
      <c r="I56" s="725"/>
      <c r="J56" s="725"/>
      <c r="K56" s="302"/>
      <c r="L56" s="299">
        <v>6</v>
      </c>
      <c r="M56" s="429" t="s">
        <v>319</v>
      </c>
      <c r="N56" s="443"/>
      <c r="O56" s="549"/>
      <c r="P56" s="453"/>
      <c r="Q56" s="322"/>
      <c r="R56" s="641"/>
      <c r="S56" s="606"/>
      <c r="T56" s="522" t="str">
        <f t="shared" si="0"/>
        <v/>
      </c>
      <c r="U56" s="507">
        <f t="shared" si="6"/>
        <v>0</v>
      </c>
      <c r="V56" s="747"/>
      <c r="W56" s="570"/>
      <c r="X56" s="728"/>
      <c r="Y56" s="482"/>
    </row>
    <row r="57" spans="1:25" ht="14.25" customHeight="1">
      <c r="B57" s="299">
        <v>6</v>
      </c>
      <c r="C57" s="408"/>
      <c r="D57" s="443"/>
      <c r="E57" s="394"/>
      <c r="F57" s="453"/>
      <c r="G57" s="322"/>
      <c r="H57" s="570"/>
      <c r="I57" s="725"/>
      <c r="J57" s="725"/>
      <c r="K57" s="302"/>
      <c r="L57" s="299">
        <v>6</v>
      </c>
      <c r="M57" s="429" t="s">
        <v>319</v>
      </c>
      <c r="N57" s="443"/>
      <c r="O57" s="549"/>
      <c r="P57" s="453"/>
      <c r="Q57" s="322"/>
      <c r="R57" s="641"/>
      <c r="S57" s="606"/>
      <c r="T57" s="522" t="str">
        <f t="shared" si="0"/>
        <v/>
      </c>
      <c r="U57" s="507">
        <f t="shared" si="6"/>
        <v>0</v>
      </c>
      <c r="V57" s="747"/>
      <c r="W57" s="570"/>
      <c r="X57" s="728"/>
      <c r="Y57" s="482"/>
    </row>
    <row r="58" spans="1:25" ht="14.25" customHeight="1">
      <c r="B58" s="299">
        <v>6</v>
      </c>
      <c r="C58" s="408"/>
      <c r="D58" s="443"/>
      <c r="E58" s="394"/>
      <c r="F58" s="453"/>
      <c r="G58" s="322"/>
      <c r="H58" s="570"/>
      <c r="I58" s="725"/>
      <c r="J58" s="725"/>
      <c r="K58" s="302"/>
      <c r="L58" s="299">
        <v>6</v>
      </c>
      <c r="M58" s="429" t="s">
        <v>319</v>
      </c>
      <c r="N58" s="443"/>
      <c r="O58" s="549"/>
      <c r="P58" s="453"/>
      <c r="Q58" s="322"/>
      <c r="R58" s="641"/>
      <c r="S58" s="606"/>
      <c r="T58" s="522" t="str">
        <f t="shared" si="0"/>
        <v/>
      </c>
      <c r="U58" s="507">
        <f t="shared" si="6"/>
        <v>0</v>
      </c>
      <c r="V58" s="747"/>
      <c r="W58" s="570"/>
      <c r="X58" s="728"/>
      <c r="Y58" s="482"/>
    </row>
    <row r="59" spans="1:25" ht="14.25" customHeight="1">
      <c r="B59" s="299">
        <v>6</v>
      </c>
      <c r="C59" s="450"/>
      <c r="D59" s="300"/>
      <c r="E59" s="399"/>
      <c r="F59" s="454"/>
      <c r="G59" s="322"/>
      <c r="H59" s="535">
        <f>H91</f>
        <v>45904</v>
      </c>
      <c r="I59" s="725"/>
      <c r="J59" s="725"/>
      <c r="K59" s="302"/>
      <c r="L59" s="299">
        <v>6</v>
      </c>
      <c r="M59" s="429" t="s">
        <v>319</v>
      </c>
      <c r="N59" s="408" t="s">
        <v>278</v>
      </c>
      <c r="O59" s="558">
        <f>Z27</f>
        <v>126812.1</v>
      </c>
      <c r="P59" s="559">
        <v>0.1</v>
      </c>
      <c r="Q59" s="301">
        <v>12681.21</v>
      </c>
      <c r="R59" s="758" t="s">
        <v>279</v>
      </c>
      <c r="S59" s="606" t="s">
        <v>280</v>
      </c>
      <c r="T59" s="658">
        <v>45900</v>
      </c>
      <c r="U59" s="675">
        <v>17429.597251114483</v>
      </c>
      <c r="V59" s="747"/>
      <c r="W59" s="535">
        <f>W91</f>
        <v>45904</v>
      </c>
      <c r="X59" s="728"/>
      <c r="Y59" s="482"/>
    </row>
    <row r="60" spans="1:25" ht="14.25" customHeight="1">
      <c r="B60" s="299">
        <v>6</v>
      </c>
      <c r="C60" s="400"/>
      <c r="D60" s="300"/>
      <c r="E60" s="399"/>
      <c r="F60" s="454"/>
      <c r="G60" s="322"/>
      <c r="H60" s="535">
        <f t="shared" ref="H60:H66" si="7">H92</f>
        <v>45911</v>
      </c>
      <c r="I60" s="725"/>
      <c r="J60" s="725"/>
      <c r="K60" s="302"/>
      <c r="L60" s="299">
        <v>6</v>
      </c>
      <c r="M60" s="430" t="s">
        <v>319</v>
      </c>
      <c r="N60" s="408" t="s">
        <v>106</v>
      </c>
      <c r="O60" s="549"/>
      <c r="P60" s="559">
        <v>0.15</v>
      </c>
      <c r="Q60" s="301">
        <v>19021.82</v>
      </c>
      <c r="R60" s="759"/>
      <c r="S60" s="606" t="s">
        <v>282</v>
      </c>
      <c r="T60" s="658">
        <v>45900</v>
      </c>
      <c r="U60" s="675">
        <v>26144.402748885517</v>
      </c>
      <c r="V60" s="747"/>
      <c r="W60" s="535">
        <f t="shared" ref="W60:W64" si="8">W92</f>
        <v>45911</v>
      </c>
      <c r="X60" s="728"/>
      <c r="Y60" s="482"/>
    </row>
    <row r="61" spans="1:25" ht="14.25" customHeight="1">
      <c r="B61" s="299">
        <v>6</v>
      </c>
      <c r="C61" s="400"/>
      <c r="D61" s="300"/>
      <c r="E61" s="399"/>
      <c r="F61" s="454"/>
      <c r="G61" s="322"/>
      <c r="H61" s="570" t="e">
        <f t="shared" si="7"/>
        <v>#REF!</v>
      </c>
      <c r="I61" s="725"/>
      <c r="J61" s="725"/>
      <c r="K61" s="302"/>
      <c r="L61" s="299">
        <v>6</v>
      </c>
      <c r="M61" s="430" t="s">
        <v>319</v>
      </c>
      <c r="N61" s="408" t="s">
        <v>284</v>
      </c>
      <c r="O61" s="549"/>
      <c r="P61" s="559">
        <v>0.2</v>
      </c>
      <c r="Q61" s="301">
        <v>25362.42</v>
      </c>
      <c r="R61" s="759"/>
      <c r="S61" s="606" t="s">
        <v>285</v>
      </c>
      <c r="T61" s="658">
        <v>45900</v>
      </c>
      <c r="U61" s="675">
        <v>34859.194502228966</v>
      </c>
      <c r="V61" s="747"/>
      <c r="W61" s="535">
        <f t="shared" si="8"/>
        <v>45946</v>
      </c>
      <c r="X61" s="728"/>
      <c r="Y61" s="482"/>
    </row>
    <row r="62" spans="1:25" ht="14.25" customHeight="1">
      <c r="B62" s="299">
        <v>6</v>
      </c>
      <c r="C62" s="400"/>
      <c r="D62" s="300"/>
      <c r="E62" s="399"/>
      <c r="F62" s="454"/>
      <c r="G62" s="322"/>
      <c r="H62" s="570" t="e">
        <f t="shared" si="7"/>
        <v>#REF!</v>
      </c>
      <c r="I62" s="725"/>
      <c r="J62" s="725"/>
      <c r="K62" s="302"/>
      <c r="L62" s="299">
        <v>6</v>
      </c>
      <c r="M62" s="430" t="s">
        <v>319</v>
      </c>
      <c r="N62" s="408" t="s">
        <v>287</v>
      </c>
      <c r="O62" s="549"/>
      <c r="P62" s="559">
        <v>0.25</v>
      </c>
      <c r="Q62" s="301">
        <v>31703.03</v>
      </c>
      <c r="R62" s="759"/>
      <c r="S62" s="606" t="s">
        <v>288</v>
      </c>
      <c r="T62" s="658">
        <v>45900</v>
      </c>
      <c r="U62" s="675">
        <v>43574</v>
      </c>
      <c r="V62" s="747"/>
      <c r="W62" s="535">
        <f t="shared" si="8"/>
        <v>45946</v>
      </c>
      <c r="X62" s="728"/>
      <c r="Y62" s="482"/>
    </row>
    <row r="63" spans="1:25" ht="14.25" customHeight="1">
      <c r="B63" s="299">
        <v>6</v>
      </c>
      <c r="C63" s="400"/>
      <c r="D63" s="300"/>
      <c r="E63" s="399"/>
      <c r="F63" s="454"/>
      <c r="G63" s="322"/>
      <c r="H63" s="570" t="e">
        <f t="shared" si="7"/>
        <v>#REF!</v>
      </c>
      <c r="I63" s="725"/>
      <c r="J63" s="725"/>
      <c r="K63" s="302"/>
      <c r="L63" s="299">
        <v>6</v>
      </c>
      <c r="M63" s="430" t="s">
        <v>319</v>
      </c>
      <c r="N63" s="408" t="s">
        <v>289</v>
      </c>
      <c r="O63" s="549"/>
      <c r="P63" s="559">
        <v>0.1</v>
      </c>
      <c r="Q63" s="301">
        <v>12681.21</v>
      </c>
      <c r="R63" s="759"/>
      <c r="S63" s="606" t="s">
        <v>290</v>
      </c>
      <c r="T63" s="658">
        <v>45900</v>
      </c>
      <c r="U63" s="675">
        <v>17429.597251114483</v>
      </c>
      <c r="V63" s="747"/>
      <c r="W63" s="708">
        <f t="shared" si="8"/>
        <v>46072</v>
      </c>
      <c r="X63" s="728"/>
      <c r="Y63" s="482"/>
    </row>
    <row r="64" spans="1:25" ht="14.25" customHeight="1">
      <c r="B64" s="299">
        <v>6</v>
      </c>
      <c r="C64" s="499"/>
      <c r="D64" s="336"/>
      <c r="E64" s="415"/>
      <c r="F64" s="461"/>
      <c r="G64" s="322"/>
      <c r="H64" s="570" t="e">
        <f t="shared" si="7"/>
        <v>#REF!</v>
      </c>
      <c r="I64" s="725"/>
      <c r="J64" s="725"/>
      <c r="K64" s="302"/>
      <c r="L64" s="299">
        <v>6</v>
      </c>
      <c r="M64" s="430" t="s">
        <v>319</v>
      </c>
      <c r="N64" s="408" t="s">
        <v>291</v>
      </c>
      <c r="O64" s="549"/>
      <c r="P64" s="559">
        <v>0.1</v>
      </c>
      <c r="Q64" s="301">
        <v>12681.21</v>
      </c>
      <c r="R64" s="759"/>
      <c r="S64" s="610" t="s">
        <v>292</v>
      </c>
      <c r="T64" s="658">
        <v>45900</v>
      </c>
      <c r="U64" s="677">
        <v>17429.597251114483</v>
      </c>
      <c r="V64" s="747"/>
      <c r="W64" s="708">
        <f t="shared" si="8"/>
        <v>46072</v>
      </c>
      <c r="X64" s="728"/>
      <c r="Y64" s="482"/>
    </row>
    <row r="65" spans="1:25" ht="14.25" customHeight="1">
      <c r="B65" s="299">
        <v>6</v>
      </c>
      <c r="C65" s="499"/>
      <c r="D65" s="336"/>
      <c r="E65" s="415"/>
      <c r="F65" s="461"/>
      <c r="G65" s="322"/>
      <c r="H65" s="570" t="e">
        <f t="shared" si="7"/>
        <v>#REF!</v>
      </c>
      <c r="I65" s="725"/>
      <c r="J65" s="725"/>
      <c r="K65" s="302"/>
      <c r="L65" s="299">
        <v>6</v>
      </c>
      <c r="M65" s="430" t="s">
        <v>319</v>
      </c>
      <c r="N65" s="408" t="s">
        <v>293</v>
      </c>
      <c r="O65" s="549"/>
      <c r="P65" s="559">
        <v>0.05</v>
      </c>
      <c r="Q65" s="301">
        <v>6340.61</v>
      </c>
      <c r="R65" s="759"/>
      <c r="S65" s="610" t="s">
        <v>294</v>
      </c>
      <c r="T65" s="658">
        <v>45900</v>
      </c>
      <c r="U65" s="677">
        <v>8714.8054977710326</v>
      </c>
      <c r="V65" s="747"/>
      <c r="W65" s="708">
        <v>46037</v>
      </c>
      <c r="X65" s="728"/>
      <c r="Y65" s="482"/>
    </row>
    <row r="66" spans="1:25" ht="14.25" customHeight="1">
      <c r="B66" s="299">
        <v>6</v>
      </c>
      <c r="C66" s="499"/>
      <c r="D66" s="336"/>
      <c r="E66" s="415"/>
      <c r="F66" s="461"/>
      <c r="G66" s="322"/>
      <c r="H66" s="570" t="e">
        <f t="shared" si="7"/>
        <v>#REF!</v>
      </c>
      <c r="I66" s="725"/>
      <c r="J66" s="725"/>
      <c r="K66" s="302"/>
      <c r="L66" s="299">
        <v>6</v>
      </c>
      <c r="M66" s="430" t="s">
        <v>319</v>
      </c>
      <c r="N66" s="408" t="s">
        <v>295</v>
      </c>
      <c r="O66" s="549"/>
      <c r="P66" s="559">
        <v>0.05</v>
      </c>
      <c r="Q66" s="301">
        <v>6340.61</v>
      </c>
      <c r="R66" s="760"/>
      <c r="S66" s="610" t="s">
        <v>296</v>
      </c>
      <c r="T66" s="658">
        <v>45900</v>
      </c>
      <c r="U66" s="677">
        <v>8714.8054977710326</v>
      </c>
      <c r="V66" s="747"/>
      <c r="W66" s="708">
        <v>46037</v>
      </c>
      <c r="X66" s="728"/>
      <c r="Y66" s="482"/>
    </row>
    <row r="67" spans="1:25" ht="14.25" customHeight="1">
      <c r="B67" s="299">
        <v>6</v>
      </c>
      <c r="C67" s="499"/>
      <c r="D67" s="336"/>
      <c r="E67" s="415"/>
      <c r="F67" s="461"/>
      <c r="G67" s="322"/>
      <c r="H67" s="573"/>
      <c r="I67" s="725"/>
      <c r="J67" s="725"/>
      <c r="K67" s="302"/>
      <c r="L67" s="299">
        <v>6</v>
      </c>
      <c r="M67" s="430" t="s">
        <v>319</v>
      </c>
      <c r="N67" s="408"/>
      <c r="O67" s="549"/>
      <c r="P67" s="559"/>
      <c r="Q67" s="301"/>
      <c r="R67" s="644"/>
      <c r="S67" s="610"/>
      <c r="T67" s="525" t="str">
        <f t="shared" si="0"/>
        <v/>
      </c>
      <c r="U67" s="512">
        <f>(Q67/$X$53*$J$53)</f>
        <v>0</v>
      </c>
      <c r="V67" s="747"/>
      <c r="W67" s="719"/>
      <c r="X67" s="728"/>
      <c r="Y67" s="482"/>
    </row>
    <row r="68" spans="1:25" ht="14.25" customHeight="1">
      <c r="B68" s="299">
        <v>6</v>
      </c>
      <c r="C68" s="499"/>
      <c r="D68" s="336"/>
      <c r="E68" s="415"/>
      <c r="F68" s="461"/>
      <c r="G68" s="322"/>
      <c r="H68" s="573"/>
      <c r="I68" s="725"/>
      <c r="J68" s="725"/>
      <c r="K68" s="302"/>
      <c r="L68" s="299">
        <v>6</v>
      </c>
      <c r="M68" s="430" t="s">
        <v>319</v>
      </c>
      <c r="N68" s="408"/>
      <c r="O68" s="549"/>
      <c r="P68" s="559"/>
      <c r="Q68" s="301"/>
      <c r="R68" s="644"/>
      <c r="S68" s="610"/>
      <c r="T68" s="525" t="str">
        <f t="shared" si="0"/>
        <v/>
      </c>
      <c r="U68" s="512">
        <f>(Q68/$X$53*$J$53)</f>
        <v>0</v>
      </c>
      <c r="V68" s="747"/>
      <c r="W68" s="573"/>
      <c r="X68" s="728"/>
      <c r="Y68" s="482"/>
    </row>
    <row r="69" spans="1:25" ht="15" customHeight="1" thickBot="1">
      <c r="B69" s="303">
        <v>6</v>
      </c>
      <c r="C69" s="401"/>
      <c r="D69" s="305"/>
      <c r="E69" s="458"/>
      <c r="F69" s="455"/>
      <c r="G69" s="306"/>
      <c r="H69" s="571"/>
      <c r="I69" s="726"/>
      <c r="J69" s="726"/>
      <c r="K69" s="307"/>
      <c r="L69" s="303">
        <v>6</v>
      </c>
      <c r="M69" s="432" t="s">
        <v>319</v>
      </c>
      <c r="N69" s="305"/>
      <c r="O69" s="553"/>
      <c r="P69" s="455"/>
      <c r="Q69" s="306"/>
      <c r="R69" s="642"/>
      <c r="S69" s="607"/>
      <c r="T69" s="523" t="str">
        <f t="shared" si="0"/>
        <v/>
      </c>
      <c r="U69" s="508">
        <f>(Q69/$X$53*$J$53)</f>
        <v>0</v>
      </c>
      <c r="V69" s="748"/>
      <c r="W69" s="571"/>
      <c r="X69" s="729"/>
      <c r="Y69" s="482"/>
    </row>
    <row r="70" spans="1:25" ht="14.5" thickBot="1">
      <c r="A70" s="24"/>
      <c r="B70" s="291"/>
      <c r="C70" s="332"/>
      <c r="D70" s="309"/>
      <c r="E70" s="292"/>
      <c r="F70" s="456"/>
      <c r="G70" s="293"/>
      <c r="H70" s="574"/>
      <c r="I70" s="281"/>
      <c r="J70" s="281"/>
      <c r="K70" s="24"/>
      <c r="L70" s="291"/>
      <c r="M70" s="332"/>
      <c r="N70" s="309"/>
      <c r="O70" s="547"/>
      <c r="P70" s="456"/>
      <c r="Q70" s="293"/>
      <c r="R70" s="645"/>
      <c r="S70" s="611"/>
      <c r="T70" s="526" t="str">
        <f t="shared" si="0"/>
        <v/>
      </c>
      <c r="U70" s="513"/>
      <c r="V70" s="488"/>
      <c r="W70" s="574"/>
      <c r="X70" s="351"/>
      <c r="Y70" s="482"/>
    </row>
    <row r="71" spans="1:25" ht="14.25" customHeight="1">
      <c r="B71" s="380">
        <v>7</v>
      </c>
      <c r="C71" s="310" t="s">
        <v>320</v>
      </c>
      <c r="D71" s="381"/>
      <c r="E71" s="462"/>
      <c r="F71" s="468"/>
      <c r="G71" s="382"/>
      <c r="H71" s="575"/>
      <c r="I71" s="730">
        <f>SUM(G71:G78)</f>
        <v>0</v>
      </c>
      <c r="J71" s="730">
        <f>F170</f>
        <v>0</v>
      </c>
      <c r="K71" s="286"/>
      <c r="L71" s="380">
        <v>7</v>
      </c>
      <c r="M71" s="310" t="s">
        <v>321</v>
      </c>
      <c r="N71" s="381"/>
      <c r="O71" s="462"/>
      <c r="P71" s="468"/>
      <c r="Q71" s="382"/>
      <c r="R71" s="646"/>
      <c r="S71" s="612"/>
      <c r="T71" s="527"/>
      <c r="U71" s="625"/>
      <c r="V71" s="749">
        <f>J71-SUM(U71:U78)</f>
        <v>0</v>
      </c>
      <c r="W71" s="575"/>
      <c r="X71" s="740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66"/>
      <c r="I72" s="731"/>
      <c r="J72" s="731"/>
      <c r="K72" s="289"/>
      <c r="L72" s="383">
        <v>7</v>
      </c>
      <c r="M72" s="384" t="s">
        <v>321</v>
      </c>
      <c r="N72" s="385"/>
      <c r="O72" s="406"/>
      <c r="P72" s="444"/>
      <c r="Q72" s="386"/>
      <c r="R72" s="637"/>
      <c r="S72" s="602"/>
      <c r="T72" s="518"/>
      <c r="U72" s="503"/>
      <c r="V72" s="750"/>
      <c r="W72" s="566"/>
      <c r="X72" s="741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66"/>
      <c r="I73" s="731"/>
      <c r="J73" s="731"/>
      <c r="K73" s="289"/>
      <c r="L73" s="383">
        <v>7</v>
      </c>
      <c r="M73" s="384" t="s">
        <v>321</v>
      </c>
      <c r="N73" s="385"/>
      <c r="O73" s="406"/>
      <c r="P73" s="444"/>
      <c r="Q73" s="386"/>
      <c r="R73" s="637"/>
      <c r="S73" s="602"/>
      <c r="T73" s="518"/>
      <c r="U73" s="503"/>
      <c r="V73" s="750"/>
      <c r="W73" s="566"/>
      <c r="X73" s="741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66"/>
      <c r="I74" s="731"/>
      <c r="J74" s="731"/>
      <c r="K74" s="289"/>
      <c r="L74" s="383">
        <v>7</v>
      </c>
      <c r="M74" s="384" t="s">
        <v>321</v>
      </c>
      <c r="N74" s="385"/>
      <c r="O74" s="406"/>
      <c r="P74" s="444"/>
      <c r="Q74" s="386"/>
      <c r="R74" s="637"/>
      <c r="S74" s="602"/>
      <c r="T74" s="518"/>
      <c r="U74" s="503"/>
      <c r="V74" s="750"/>
      <c r="W74" s="566"/>
      <c r="X74" s="741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66"/>
      <c r="I75" s="731"/>
      <c r="J75" s="731"/>
      <c r="K75" s="289"/>
      <c r="L75" s="383">
        <v>7</v>
      </c>
      <c r="M75" s="384" t="s">
        <v>321</v>
      </c>
      <c r="N75" s="385"/>
      <c r="O75" s="406"/>
      <c r="P75" s="444"/>
      <c r="Q75" s="386"/>
      <c r="R75" s="637"/>
      <c r="S75" s="602"/>
      <c r="T75" s="518"/>
      <c r="U75" s="503"/>
      <c r="V75" s="750"/>
      <c r="W75" s="566"/>
      <c r="X75" s="741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66"/>
      <c r="I76" s="731"/>
      <c r="J76" s="731"/>
      <c r="K76" s="289"/>
      <c r="L76" s="383">
        <v>7</v>
      </c>
      <c r="M76" s="384" t="s">
        <v>321</v>
      </c>
      <c r="N76" s="385"/>
      <c r="O76" s="545"/>
      <c r="P76" s="444"/>
      <c r="Q76" s="386"/>
      <c r="R76" s="637"/>
      <c r="S76" s="602"/>
      <c r="T76" s="518"/>
      <c r="U76" s="503"/>
      <c r="V76" s="750"/>
      <c r="W76" s="566"/>
      <c r="X76" s="741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66"/>
      <c r="I77" s="731"/>
      <c r="J77" s="731"/>
      <c r="K77" s="289"/>
      <c r="L77" s="383">
        <v>7</v>
      </c>
      <c r="M77" s="384" t="s">
        <v>321</v>
      </c>
      <c r="N77" s="385"/>
      <c r="O77" s="545"/>
      <c r="P77" s="444"/>
      <c r="Q77" s="386"/>
      <c r="R77" s="637"/>
      <c r="S77" s="602"/>
      <c r="T77" s="518"/>
      <c r="U77" s="503"/>
      <c r="V77" s="750"/>
      <c r="W77" s="566"/>
      <c r="X77" s="741"/>
      <c r="Y77" s="482"/>
    </row>
    <row r="78" spans="1:25" ht="15" customHeight="1" thickBot="1">
      <c r="B78" s="317">
        <v>7</v>
      </c>
      <c r="C78" s="338"/>
      <c r="D78" s="330"/>
      <c r="E78" s="319"/>
      <c r="F78" s="460"/>
      <c r="G78" s="331"/>
      <c r="H78" s="567"/>
      <c r="I78" s="732"/>
      <c r="J78" s="732"/>
      <c r="K78" s="290"/>
      <c r="L78" s="317">
        <v>7</v>
      </c>
      <c r="M78" s="338" t="s">
        <v>321</v>
      </c>
      <c r="N78" s="330"/>
      <c r="O78" s="546"/>
      <c r="P78" s="460"/>
      <c r="Q78" s="331"/>
      <c r="R78" s="638"/>
      <c r="S78" s="603"/>
      <c r="T78" s="519"/>
      <c r="U78" s="504"/>
      <c r="V78" s="751"/>
      <c r="W78" s="567"/>
      <c r="X78" s="742"/>
      <c r="Y78" s="482"/>
    </row>
    <row r="79" spans="1:25" ht="14.5" thickBot="1">
      <c r="A79" s="24"/>
      <c r="B79" s="291"/>
      <c r="C79" s="332"/>
      <c r="D79" s="309"/>
      <c r="E79" s="292"/>
      <c r="F79" s="456"/>
      <c r="G79" s="293"/>
      <c r="H79" s="568"/>
      <c r="I79" s="281"/>
      <c r="J79" s="281"/>
      <c r="K79" s="24"/>
      <c r="L79" s="291"/>
      <c r="M79" s="332"/>
      <c r="N79" s="309"/>
      <c r="O79" s="547"/>
      <c r="P79" s="456"/>
      <c r="Q79" s="293"/>
      <c r="R79" s="639"/>
      <c r="S79" s="604"/>
      <c r="T79" s="520"/>
      <c r="U79" s="509"/>
      <c r="V79" s="492"/>
      <c r="W79" s="568"/>
      <c r="X79" s="351"/>
      <c r="Y79" s="482"/>
    </row>
    <row r="80" spans="1:25" ht="14.25" customHeight="1">
      <c r="B80" s="333">
        <v>8</v>
      </c>
      <c r="C80" s="295" t="s">
        <v>322</v>
      </c>
      <c r="D80" s="334"/>
      <c r="E80" s="463"/>
      <c r="F80" s="416"/>
      <c r="G80" s="335"/>
      <c r="H80" s="569"/>
      <c r="I80" s="724">
        <f>SUM(G80:G88)</f>
        <v>0</v>
      </c>
      <c r="J80" s="724">
        <f>F167+F169</f>
        <v>0</v>
      </c>
      <c r="K80" s="298"/>
      <c r="L80" s="333">
        <v>8</v>
      </c>
      <c r="M80" s="425" t="s">
        <v>323</v>
      </c>
      <c r="N80" s="334"/>
      <c r="O80" s="463"/>
      <c r="P80" s="416"/>
      <c r="Q80" s="335"/>
      <c r="R80" s="640"/>
      <c r="S80" s="605"/>
      <c r="T80" s="521"/>
      <c r="U80" s="506"/>
      <c r="V80" s="773">
        <f>J80-SUM(U80:U88)</f>
        <v>0</v>
      </c>
      <c r="W80" s="569"/>
      <c r="X80" s="727">
        <f>SUM(Q80:Q88)</f>
        <v>0</v>
      </c>
      <c r="Y80" s="482"/>
    </row>
    <row r="81" spans="1:25" ht="14.25" customHeight="1">
      <c r="B81" s="323">
        <v>8</v>
      </c>
      <c r="C81" s="324"/>
      <c r="D81" s="336"/>
      <c r="E81" s="415"/>
      <c r="F81" s="461"/>
      <c r="G81" s="325"/>
      <c r="H81" s="570"/>
      <c r="I81" s="725"/>
      <c r="J81" s="725"/>
      <c r="K81" s="302"/>
      <c r="L81" s="323">
        <v>8</v>
      </c>
      <c r="M81" s="433" t="s">
        <v>323</v>
      </c>
      <c r="N81" s="336"/>
      <c r="O81" s="415"/>
      <c r="P81" s="461"/>
      <c r="Q81" s="325"/>
      <c r="R81" s="641"/>
      <c r="S81" s="606"/>
      <c r="T81" s="522"/>
      <c r="U81" s="507"/>
      <c r="V81" s="774"/>
      <c r="W81" s="570"/>
      <c r="X81" s="728"/>
      <c r="Y81" s="482"/>
    </row>
    <row r="82" spans="1:25" ht="14.25" customHeight="1">
      <c r="B82" s="323">
        <v>8</v>
      </c>
      <c r="C82" s="324"/>
      <c r="D82" s="336"/>
      <c r="E82" s="415"/>
      <c r="F82" s="461"/>
      <c r="G82" s="325"/>
      <c r="H82" s="570"/>
      <c r="I82" s="725"/>
      <c r="J82" s="725"/>
      <c r="K82" s="302"/>
      <c r="L82" s="323">
        <v>8</v>
      </c>
      <c r="M82" s="433" t="s">
        <v>323</v>
      </c>
      <c r="N82" s="336"/>
      <c r="O82" s="415"/>
      <c r="P82" s="461"/>
      <c r="Q82" s="325"/>
      <c r="R82" s="641"/>
      <c r="S82" s="606"/>
      <c r="T82" s="522"/>
      <c r="U82" s="507"/>
      <c r="V82" s="774"/>
      <c r="W82" s="570"/>
      <c r="X82" s="728"/>
      <c r="Y82" s="482"/>
    </row>
    <row r="83" spans="1:25" ht="14.25" customHeight="1">
      <c r="B83" s="323">
        <v>8</v>
      </c>
      <c r="C83" s="324"/>
      <c r="D83" s="336"/>
      <c r="E83" s="415"/>
      <c r="F83" s="461"/>
      <c r="G83" s="325"/>
      <c r="H83" s="570"/>
      <c r="I83" s="725"/>
      <c r="J83" s="725"/>
      <c r="K83" s="302"/>
      <c r="L83" s="323">
        <v>8</v>
      </c>
      <c r="M83" s="433" t="s">
        <v>323</v>
      </c>
      <c r="N83" s="336"/>
      <c r="O83" s="552"/>
      <c r="P83" s="461"/>
      <c r="Q83" s="325"/>
      <c r="R83" s="641"/>
      <c r="S83" s="606"/>
      <c r="T83" s="522"/>
      <c r="U83" s="507"/>
      <c r="V83" s="774"/>
      <c r="W83" s="570"/>
      <c r="X83" s="728"/>
      <c r="Y83" s="482"/>
    </row>
    <row r="84" spans="1:25" ht="14.25" customHeight="1">
      <c r="B84" s="323">
        <v>8</v>
      </c>
      <c r="C84" s="324"/>
      <c r="D84" s="336"/>
      <c r="E84" s="415"/>
      <c r="F84" s="461"/>
      <c r="G84" s="325"/>
      <c r="H84" s="570"/>
      <c r="I84" s="725"/>
      <c r="J84" s="725"/>
      <c r="K84" s="302"/>
      <c r="L84" s="323">
        <v>8</v>
      </c>
      <c r="M84" s="433" t="s">
        <v>323</v>
      </c>
      <c r="N84" s="336"/>
      <c r="O84" s="552"/>
      <c r="P84" s="461"/>
      <c r="Q84" s="325"/>
      <c r="R84" s="641"/>
      <c r="S84" s="606"/>
      <c r="T84" s="522"/>
      <c r="U84" s="507"/>
      <c r="V84" s="774"/>
      <c r="W84" s="570"/>
      <c r="X84" s="728"/>
      <c r="Y84" s="482"/>
    </row>
    <row r="85" spans="1:25" ht="14.25" customHeight="1">
      <c r="B85" s="323">
        <v>8</v>
      </c>
      <c r="C85" s="324"/>
      <c r="D85" s="336"/>
      <c r="E85" s="415"/>
      <c r="F85" s="461"/>
      <c r="G85" s="325"/>
      <c r="H85" s="570"/>
      <c r="I85" s="725"/>
      <c r="J85" s="725"/>
      <c r="K85" s="302"/>
      <c r="L85" s="323">
        <v>8</v>
      </c>
      <c r="M85" s="433" t="s">
        <v>323</v>
      </c>
      <c r="N85" s="336"/>
      <c r="O85" s="552"/>
      <c r="P85" s="461"/>
      <c r="Q85" s="325"/>
      <c r="R85" s="641"/>
      <c r="S85" s="606"/>
      <c r="T85" s="522"/>
      <c r="U85" s="507"/>
      <c r="V85" s="774"/>
      <c r="W85" s="570"/>
      <c r="X85" s="728"/>
      <c r="Y85" s="482"/>
    </row>
    <row r="86" spans="1:25" ht="14.25" customHeight="1">
      <c r="B86" s="323">
        <v>8</v>
      </c>
      <c r="C86" s="324"/>
      <c r="D86" s="336"/>
      <c r="E86" s="415"/>
      <c r="F86" s="461"/>
      <c r="G86" s="325"/>
      <c r="H86" s="570"/>
      <c r="I86" s="725"/>
      <c r="J86" s="725"/>
      <c r="K86" s="302"/>
      <c r="L86" s="323">
        <v>8</v>
      </c>
      <c r="M86" s="433" t="s">
        <v>323</v>
      </c>
      <c r="N86" s="336"/>
      <c r="O86" s="552"/>
      <c r="P86" s="461"/>
      <c r="Q86" s="325"/>
      <c r="R86" s="641"/>
      <c r="S86" s="606"/>
      <c r="T86" s="522"/>
      <c r="U86" s="507"/>
      <c r="V86" s="774"/>
      <c r="W86" s="570"/>
      <c r="X86" s="728"/>
      <c r="Y86" s="482"/>
    </row>
    <row r="87" spans="1:25" ht="14.25" customHeight="1">
      <c r="B87" s="323">
        <v>8</v>
      </c>
      <c r="C87" s="324"/>
      <c r="D87" s="336"/>
      <c r="E87" s="415"/>
      <c r="F87" s="461"/>
      <c r="G87" s="325"/>
      <c r="H87" s="573"/>
      <c r="I87" s="725"/>
      <c r="J87" s="725"/>
      <c r="K87" s="302"/>
      <c r="L87" s="323">
        <v>8</v>
      </c>
      <c r="M87" s="433" t="s">
        <v>323</v>
      </c>
      <c r="N87" s="336"/>
      <c r="O87" s="552"/>
      <c r="P87" s="461"/>
      <c r="Q87" s="325"/>
      <c r="R87" s="644"/>
      <c r="S87" s="610"/>
      <c r="T87" s="525"/>
      <c r="U87" s="512"/>
      <c r="V87" s="774"/>
      <c r="W87" s="573"/>
      <c r="X87" s="728"/>
      <c r="Y87" s="482"/>
    </row>
    <row r="88" spans="1:25" ht="15" customHeight="1" thickBot="1">
      <c r="B88" s="323">
        <v>8</v>
      </c>
      <c r="C88" s="304"/>
      <c r="D88" s="305"/>
      <c r="E88" s="458"/>
      <c r="F88" s="455"/>
      <c r="G88" s="306"/>
      <c r="H88" s="571"/>
      <c r="I88" s="726"/>
      <c r="J88" s="726"/>
      <c r="K88" s="307"/>
      <c r="L88" s="303">
        <v>8</v>
      </c>
      <c r="M88" s="432" t="s">
        <v>323</v>
      </c>
      <c r="N88" s="305"/>
      <c r="O88" s="553"/>
      <c r="P88" s="455"/>
      <c r="Q88" s="306"/>
      <c r="R88" s="642"/>
      <c r="S88" s="607"/>
      <c r="T88" s="523"/>
      <c r="U88" s="508"/>
      <c r="V88" s="775"/>
      <c r="W88" s="571"/>
      <c r="X88" s="729"/>
      <c r="Y88" s="482"/>
    </row>
    <row r="89" spans="1:25" ht="22.5" customHeight="1" thickBot="1">
      <c r="A89" s="24"/>
      <c r="B89" s="337"/>
      <c r="C89" s="165"/>
      <c r="D89" s="165"/>
      <c r="E89" s="165"/>
      <c r="F89" s="469"/>
      <c r="G89" s="165"/>
      <c r="H89" s="536"/>
      <c r="I89" s="439"/>
      <c r="J89" s="440"/>
      <c r="K89" s="165" t="s">
        <v>324</v>
      </c>
      <c r="L89" s="337"/>
      <c r="M89" s="165"/>
      <c r="N89" s="165"/>
      <c r="O89" s="554"/>
      <c r="P89" s="469"/>
      <c r="Q89" s="165"/>
      <c r="R89" s="647"/>
      <c r="S89" s="337"/>
      <c r="T89" s="528" t="str">
        <f t="shared" ref="T89:T140" si="9">IF(W89&gt;1,EOMONTH(W89,0),"")</f>
        <v/>
      </c>
      <c r="U89" s="494"/>
      <c r="V89" s="494"/>
      <c r="W89" s="536"/>
      <c r="X89" s="439"/>
      <c r="Y89" s="482"/>
    </row>
    <row r="90" spans="1:25" ht="15" customHeight="1">
      <c r="B90" s="312">
        <v>9</v>
      </c>
      <c r="C90" s="442" t="s">
        <v>325</v>
      </c>
      <c r="D90" s="328" t="s">
        <v>326</v>
      </c>
      <c r="E90" s="315"/>
      <c r="F90" s="437"/>
      <c r="G90" s="596">
        <f>D174</f>
        <v>17690</v>
      </c>
      <c r="H90" s="572">
        <f>H91</f>
        <v>45904</v>
      </c>
      <c r="I90" s="764">
        <f>SUM(G90:G101)</f>
        <v>54230</v>
      </c>
      <c r="J90" s="730">
        <f>F174+F175</f>
        <v>60256</v>
      </c>
      <c r="K90" s="289"/>
      <c r="L90" s="312">
        <v>9</v>
      </c>
      <c r="M90" s="423" t="s">
        <v>327</v>
      </c>
      <c r="N90" s="328"/>
      <c r="O90" s="544"/>
      <c r="P90" s="437"/>
      <c r="Q90" s="316"/>
      <c r="R90" s="580"/>
      <c r="S90" s="608"/>
      <c r="T90" s="524" t="str">
        <f t="shared" si="9"/>
        <v/>
      </c>
      <c r="U90" s="510">
        <f>(Q90/$X$90*$J$90)</f>
        <v>0</v>
      </c>
      <c r="V90" s="743">
        <f>J90-SUM(U90:U101)</f>
        <v>0</v>
      </c>
      <c r="W90" s="572"/>
      <c r="X90" s="767">
        <f>SUM(Q90:Q101)</f>
        <v>59310</v>
      </c>
      <c r="Y90" s="482"/>
    </row>
    <row r="91" spans="1:25" ht="15" customHeight="1">
      <c r="B91" s="312">
        <v>9</v>
      </c>
      <c r="C91" s="442"/>
      <c r="D91" s="329" t="s">
        <v>328</v>
      </c>
      <c r="E91" s="315"/>
      <c r="F91" s="459"/>
      <c r="G91" s="596">
        <f>D175</f>
        <v>36540</v>
      </c>
      <c r="H91" s="533">
        <v>45904</v>
      </c>
      <c r="I91" s="765"/>
      <c r="J91" s="731"/>
      <c r="K91" s="289"/>
      <c r="L91" s="312">
        <v>9</v>
      </c>
      <c r="M91" s="423" t="s">
        <v>327</v>
      </c>
      <c r="N91" s="329" t="s">
        <v>278</v>
      </c>
      <c r="O91" s="561">
        <f>Z30+Z29</f>
        <v>59310</v>
      </c>
      <c r="P91" s="562">
        <v>0.1</v>
      </c>
      <c r="Q91" s="316">
        <f>$O$91*P91</f>
        <v>5931</v>
      </c>
      <c r="R91" s="755" t="s">
        <v>279</v>
      </c>
      <c r="S91" s="601" t="s">
        <v>280</v>
      </c>
      <c r="T91" s="660">
        <v>45900</v>
      </c>
      <c r="U91" s="674">
        <v>6025.6</v>
      </c>
      <c r="V91" s="744"/>
      <c r="W91" s="533">
        <v>45904</v>
      </c>
      <c r="X91" s="768"/>
      <c r="Y91" s="482"/>
    </row>
    <row r="92" spans="1:25" ht="15" customHeight="1">
      <c r="B92" s="383">
        <v>9</v>
      </c>
      <c r="C92" s="500"/>
      <c r="D92" s="385"/>
      <c r="E92" s="406"/>
      <c r="F92" s="444"/>
      <c r="G92" s="386"/>
      <c r="H92" s="534">
        <v>45911</v>
      </c>
      <c r="I92" s="765"/>
      <c r="J92" s="731"/>
      <c r="K92" s="289"/>
      <c r="L92" s="383">
        <v>9</v>
      </c>
      <c r="M92" s="501" t="s">
        <v>327</v>
      </c>
      <c r="N92" s="385" t="s">
        <v>106</v>
      </c>
      <c r="O92" s="545"/>
      <c r="P92" s="560">
        <v>0.15</v>
      </c>
      <c r="Q92" s="316">
        <f t="shared" ref="Q92:Q98" si="10">$O$91*P92</f>
        <v>8896.5</v>
      </c>
      <c r="R92" s="756"/>
      <c r="S92" s="602" t="s">
        <v>282</v>
      </c>
      <c r="T92" s="660">
        <v>45900</v>
      </c>
      <c r="U92" s="674">
        <v>9038.4</v>
      </c>
      <c r="V92" s="744"/>
      <c r="W92" s="534">
        <v>45911</v>
      </c>
      <c r="X92" s="768"/>
      <c r="Y92" s="482"/>
    </row>
    <row r="93" spans="1:25" ht="15" customHeight="1">
      <c r="B93" s="383">
        <v>9</v>
      </c>
      <c r="C93" s="500"/>
      <c r="D93" s="385"/>
      <c r="E93" s="406"/>
      <c r="F93" s="444"/>
      <c r="G93" s="386"/>
      <c r="H93" s="566" t="e">
        <f>'Project Plan'!#REF!+7</f>
        <v>#REF!</v>
      </c>
      <c r="I93" s="765"/>
      <c r="J93" s="731"/>
      <c r="K93" s="289"/>
      <c r="L93" s="383">
        <v>9</v>
      </c>
      <c r="M93" s="501" t="s">
        <v>327</v>
      </c>
      <c r="N93" s="385" t="s">
        <v>284</v>
      </c>
      <c r="O93" s="545"/>
      <c r="P93" s="560">
        <v>0.2</v>
      </c>
      <c r="Q93" s="316">
        <f t="shared" si="10"/>
        <v>11862</v>
      </c>
      <c r="R93" s="756"/>
      <c r="S93" s="602" t="s">
        <v>329</v>
      </c>
      <c r="T93" s="680">
        <v>45961</v>
      </c>
      <c r="U93" s="686">
        <v>12051.2</v>
      </c>
      <c r="V93" s="744"/>
      <c r="W93" s="534">
        <v>45946</v>
      </c>
      <c r="X93" s="768"/>
      <c r="Y93" s="482"/>
    </row>
    <row r="94" spans="1:25" ht="15" customHeight="1">
      <c r="B94" s="383">
        <v>9</v>
      </c>
      <c r="C94" s="500"/>
      <c r="D94" s="385"/>
      <c r="E94" s="406"/>
      <c r="F94" s="444"/>
      <c r="G94" s="386"/>
      <c r="H94" s="566" t="e">
        <f>'Project Plan'!#REF!+7</f>
        <v>#REF!</v>
      </c>
      <c r="I94" s="765"/>
      <c r="J94" s="731"/>
      <c r="K94" s="289"/>
      <c r="L94" s="383">
        <v>9</v>
      </c>
      <c r="M94" s="501" t="s">
        <v>327</v>
      </c>
      <c r="N94" s="385" t="s">
        <v>287</v>
      </c>
      <c r="O94" s="688"/>
      <c r="P94" s="560">
        <v>0.25</v>
      </c>
      <c r="Q94" s="316">
        <f t="shared" si="10"/>
        <v>14827.5</v>
      </c>
      <c r="R94" s="756"/>
      <c r="S94" s="602" t="s">
        <v>329</v>
      </c>
      <c r="T94" s="680">
        <v>45961</v>
      </c>
      <c r="U94" s="686">
        <v>15064</v>
      </c>
      <c r="V94" s="744"/>
      <c r="W94" s="534">
        <v>45946</v>
      </c>
      <c r="X94" s="768"/>
      <c r="Y94" s="482"/>
    </row>
    <row r="95" spans="1:25" ht="15" customHeight="1">
      <c r="B95" s="383">
        <v>9</v>
      </c>
      <c r="C95" s="500"/>
      <c r="D95" s="385"/>
      <c r="E95" s="406"/>
      <c r="F95" s="444"/>
      <c r="G95" s="386"/>
      <c r="H95" s="566" t="e">
        <f>'Project Plan'!#REF!+7</f>
        <v>#REF!</v>
      </c>
      <c r="I95" s="765"/>
      <c r="J95" s="731"/>
      <c r="K95" s="289"/>
      <c r="L95" s="383">
        <v>9</v>
      </c>
      <c r="M95" s="501" t="s">
        <v>327</v>
      </c>
      <c r="N95" s="385" t="s">
        <v>289</v>
      </c>
      <c r="O95" s="545"/>
      <c r="P95" s="560">
        <v>0.1</v>
      </c>
      <c r="Q95" s="316">
        <f t="shared" si="10"/>
        <v>5931</v>
      </c>
      <c r="R95" s="756"/>
      <c r="S95" s="602" t="s">
        <v>329</v>
      </c>
      <c r="T95" s="680">
        <v>45961</v>
      </c>
      <c r="U95" s="686">
        <v>6025.6</v>
      </c>
      <c r="V95" s="744"/>
      <c r="W95" s="566">
        <v>46072</v>
      </c>
      <c r="X95" s="768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66" t="e">
        <f>'Project Plan'!#REF!+7</f>
        <v>#REF!</v>
      </c>
      <c r="I96" s="765"/>
      <c r="J96" s="731"/>
      <c r="K96" s="289"/>
      <c r="L96" s="383">
        <v>9</v>
      </c>
      <c r="M96" s="501" t="s">
        <v>327</v>
      </c>
      <c r="N96" s="385" t="s">
        <v>291</v>
      </c>
      <c r="O96" s="545"/>
      <c r="P96" s="560">
        <v>0.1</v>
      </c>
      <c r="Q96" s="316">
        <f t="shared" si="10"/>
        <v>5931</v>
      </c>
      <c r="R96" s="756"/>
      <c r="S96" s="602" t="s">
        <v>329</v>
      </c>
      <c r="T96" s="680">
        <v>45961</v>
      </c>
      <c r="U96" s="686">
        <v>6025.6</v>
      </c>
      <c r="V96" s="744"/>
      <c r="W96" s="566">
        <v>46072</v>
      </c>
      <c r="X96" s="768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66" t="e">
        <f>'Project Plan'!#REF!+7</f>
        <v>#REF!</v>
      </c>
      <c r="I97" s="765"/>
      <c r="J97" s="731"/>
      <c r="K97" s="289"/>
      <c r="L97" s="383">
        <v>9</v>
      </c>
      <c r="M97" s="501" t="s">
        <v>327</v>
      </c>
      <c r="N97" s="385" t="s">
        <v>293</v>
      </c>
      <c r="O97" s="545"/>
      <c r="P97" s="560">
        <v>0.05</v>
      </c>
      <c r="Q97" s="316">
        <f t="shared" si="10"/>
        <v>2965.5</v>
      </c>
      <c r="R97" s="756"/>
      <c r="S97" s="602" t="s">
        <v>329</v>
      </c>
      <c r="T97" s="680">
        <v>45961</v>
      </c>
      <c r="U97" s="686">
        <v>3012.8</v>
      </c>
      <c r="V97" s="744"/>
      <c r="W97" s="566">
        <v>46071</v>
      </c>
      <c r="X97" s="768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66" t="e">
        <f>'Project Plan'!#REF!+30</f>
        <v>#REF!</v>
      </c>
      <c r="I98" s="765"/>
      <c r="J98" s="731"/>
      <c r="K98" s="289"/>
      <c r="L98" s="383">
        <v>9</v>
      </c>
      <c r="M98" s="501" t="s">
        <v>327</v>
      </c>
      <c r="N98" s="385" t="s">
        <v>295</v>
      </c>
      <c r="O98" s="545"/>
      <c r="P98" s="560">
        <v>0.05</v>
      </c>
      <c r="Q98" s="316">
        <f t="shared" si="10"/>
        <v>2965.5</v>
      </c>
      <c r="R98" s="757"/>
      <c r="S98" s="602" t="s">
        <v>329</v>
      </c>
      <c r="T98" s="680">
        <v>45961</v>
      </c>
      <c r="U98" s="686">
        <v>3012.8</v>
      </c>
      <c r="V98" s="744"/>
      <c r="W98" s="566">
        <v>46072</v>
      </c>
      <c r="X98" s="768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66"/>
      <c r="I99" s="765"/>
      <c r="J99" s="731"/>
      <c r="K99" s="289"/>
      <c r="L99" s="383">
        <v>9</v>
      </c>
      <c r="M99" s="501" t="s">
        <v>327</v>
      </c>
      <c r="N99" s="385"/>
      <c r="O99" s="545"/>
      <c r="P99" s="444"/>
      <c r="Q99" s="386"/>
      <c r="R99" s="637"/>
      <c r="S99" s="602"/>
      <c r="T99" s="518" t="str">
        <f t="shared" si="9"/>
        <v/>
      </c>
      <c r="U99" s="503">
        <f t="shared" ref="U99:U101" si="11">(Q99/$X$90*$J$90)</f>
        <v>0</v>
      </c>
      <c r="V99" s="744"/>
      <c r="W99" s="566"/>
      <c r="X99" s="768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66"/>
      <c r="I100" s="765"/>
      <c r="J100" s="731"/>
      <c r="K100" s="289"/>
      <c r="L100" s="383">
        <v>9</v>
      </c>
      <c r="M100" s="501" t="s">
        <v>327</v>
      </c>
      <c r="N100" s="385"/>
      <c r="O100" s="545"/>
      <c r="P100" s="444"/>
      <c r="Q100" s="386"/>
      <c r="R100" s="637"/>
      <c r="S100" s="602"/>
      <c r="T100" s="518"/>
      <c r="U100" s="503">
        <f t="shared" si="11"/>
        <v>0</v>
      </c>
      <c r="V100" s="744"/>
      <c r="W100" s="566"/>
      <c r="X100" s="768"/>
      <c r="Y100" s="482"/>
    </row>
    <row r="101" spans="1:25" ht="15" customHeight="1" thickBot="1">
      <c r="B101" s="317">
        <v>9</v>
      </c>
      <c r="C101" s="438"/>
      <c r="D101" s="330"/>
      <c r="E101" s="319"/>
      <c r="F101" s="460"/>
      <c r="G101" s="331"/>
      <c r="H101" s="567"/>
      <c r="I101" s="766"/>
      <c r="J101" s="732"/>
      <c r="K101" s="365"/>
      <c r="L101" s="317">
        <v>9</v>
      </c>
      <c r="M101" s="441" t="s">
        <v>327</v>
      </c>
      <c r="N101" s="330"/>
      <c r="O101" s="546"/>
      <c r="P101" s="460"/>
      <c r="Q101" s="331"/>
      <c r="R101" s="638"/>
      <c r="S101" s="603"/>
      <c r="T101" s="519" t="str">
        <f t="shared" si="9"/>
        <v/>
      </c>
      <c r="U101" s="504">
        <f t="shared" si="11"/>
        <v>0</v>
      </c>
      <c r="V101" s="745"/>
      <c r="W101" s="567"/>
      <c r="X101" s="769"/>
      <c r="Y101" s="482"/>
    </row>
    <row r="102" spans="1:25" ht="14.5" thickBot="1">
      <c r="A102" s="24"/>
      <c r="B102" s="291"/>
      <c r="C102" s="308"/>
      <c r="D102" s="309"/>
      <c r="E102" s="292"/>
      <c r="F102" s="456"/>
      <c r="G102" s="293"/>
      <c r="H102" s="568"/>
      <c r="I102" s="281"/>
      <c r="J102" s="402"/>
      <c r="K102" s="24"/>
      <c r="L102" s="291"/>
      <c r="M102" s="308"/>
      <c r="N102" s="309"/>
      <c r="O102" s="547"/>
      <c r="P102" s="456"/>
      <c r="Q102" s="293"/>
      <c r="R102" s="639"/>
      <c r="S102" s="604"/>
      <c r="T102" s="520" t="str">
        <f t="shared" si="9"/>
        <v/>
      </c>
      <c r="U102" s="509"/>
      <c r="V102" s="492"/>
      <c r="W102" s="568"/>
      <c r="X102" s="351"/>
      <c r="Y102" s="482"/>
    </row>
    <row r="103" spans="1:25" ht="14.25" customHeight="1">
      <c r="B103" s="270">
        <v>10</v>
      </c>
      <c r="C103" s="271" t="s">
        <v>330</v>
      </c>
      <c r="D103" s="271" t="s">
        <v>254</v>
      </c>
      <c r="E103" s="272"/>
      <c r="F103" s="470"/>
      <c r="G103" s="339">
        <f>D178</f>
        <v>8500</v>
      </c>
      <c r="H103" s="537">
        <v>45897</v>
      </c>
      <c r="I103" s="752">
        <f>SUM(G103:G117)</f>
        <v>26112.27</v>
      </c>
      <c r="J103" s="752">
        <f>F178+F181+F182+F180+F179</f>
        <v>29013</v>
      </c>
      <c r="K103" s="340"/>
      <c r="L103" s="270">
        <v>10</v>
      </c>
      <c r="M103" s="434" t="s">
        <v>331</v>
      </c>
      <c r="N103" s="271"/>
      <c r="O103" s="555"/>
      <c r="P103" s="470"/>
      <c r="Q103" s="339"/>
      <c r="R103" s="648"/>
      <c r="S103" s="613"/>
      <c r="T103" s="529"/>
      <c r="U103" s="514">
        <f>(Q103/$X$103*$J$103)</f>
        <v>0</v>
      </c>
      <c r="V103" s="770">
        <f>J103-SUM(U103:U117)</f>
        <v>0</v>
      </c>
      <c r="W103" s="576"/>
      <c r="X103" s="761">
        <f>SUM(Q103:Q117)</f>
        <v>34792</v>
      </c>
      <c r="Y103" s="482"/>
    </row>
    <row r="104" spans="1:25" ht="14.25" customHeight="1">
      <c r="B104" s="341">
        <v>10</v>
      </c>
      <c r="C104" s="342"/>
      <c r="D104" s="342" t="s">
        <v>255</v>
      </c>
      <c r="E104" s="343"/>
      <c r="F104" s="471"/>
      <c r="G104" s="344">
        <f>D182</f>
        <v>9212.27</v>
      </c>
      <c r="H104" s="537">
        <v>45898</v>
      </c>
      <c r="I104" s="753"/>
      <c r="J104" s="753"/>
      <c r="K104" s="273"/>
      <c r="L104" s="341">
        <v>10</v>
      </c>
      <c r="M104" s="435" t="s">
        <v>331</v>
      </c>
      <c r="N104" s="342" t="s">
        <v>332</v>
      </c>
      <c r="O104" s="556"/>
      <c r="P104" s="471"/>
      <c r="Q104" s="344">
        <v>22792</v>
      </c>
      <c r="R104" s="649" t="s">
        <v>333</v>
      </c>
      <c r="S104" s="614" t="s">
        <v>334</v>
      </c>
      <c r="T104" s="661">
        <v>45900</v>
      </c>
      <c r="U104" s="678">
        <v>19006.216831455506</v>
      </c>
      <c r="V104" s="771"/>
      <c r="W104" s="537">
        <v>45898</v>
      </c>
      <c r="X104" s="762"/>
      <c r="Y104" s="482"/>
    </row>
    <row r="105" spans="1:25" ht="14.25" customHeight="1">
      <c r="B105" s="341">
        <v>10</v>
      </c>
      <c r="C105" s="342"/>
      <c r="D105" s="342" t="s">
        <v>332</v>
      </c>
      <c r="E105" s="343"/>
      <c r="F105" s="471"/>
      <c r="G105" s="344">
        <f>D181</f>
        <v>8400</v>
      </c>
      <c r="H105" s="537">
        <v>45899</v>
      </c>
      <c r="I105" s="753"/>
      <c r="J105" s="753"/>
      <c r="K105" s="273"/>
      <c r="L105" s="341">
        <v>10</v>
      </c>
      <c r="M105" s="435" t="s">
        <v>331</v>
      </c>
      <c r="N105" s="342"/>
      <c r="O105" s="556"/>
      <c r="P105" s="471"/>
      <c r="Q105" s="344"/>
      <c r="R105" s="649"/>
      <c r="S105" s="614"/>
      <c r="T105" s="530" t="str">
        <f t="shared" si="9"/>
        <v/>
      </c>
      <c r="U105" s="515">
        <f>(Q105/$X$103*$J$103)</f>
        <v>0</v>
      </c>
      <c r="V105" s="771"/>
      <c r="W105" s="577"/>
      <c r="X105" s="762"/>
      <c r="Y105" s="482"/>
    </row>
    <row r="106" spans="1:25" ht="14.25" customHeight="1">
      <c r="B106" s="341">
        <v>10</v>
      </c>
      <c r="C106" s="342"/>
      <c r="D106" s="342" t="s">
        <v>256</v>
      </c>
      <c r="E106" s="343"/>
      <c r="F106" s="471"/>
      <c r="G106" s="344">
        <f>D180</f>
        <v>0</v>
      </c>
      <c r="H106" s="537">
        <v>45900</v>
      </c>
      <c r="I106" s="753"/>
      <c r="J106" s="753"/>
      <c r="K106" s="273"/>
      <c r="L106" s="341">
        <v>10</v>
      </c>
      <c r="M106" s="435" t="s">
        <v>331</v>
      </c>
      <c r="N106" s="342"/>
      <c r="O106" s="556"/>
      <c r="P106" s="471"/>
      <c r="Q106" s="344"/>
      <c r="R106" s="649"/>
      <c r="S106" s="614"/>
      <c r="T106" s="530" t="str">
        <f t="shared" si="9"/>
        <v/>
      </c>
      <c r="U106" s="515">
        <f>(Q106/$X$103*$J$103)</f>
        <v>0</v>
      </c>
      <c r="V106" s="771"/>
      <c r="W106" s="577"/>
      <c r="X106" s="762"/>
      <c r="Y106" s="482"/>
    </row>
    <row r="107" spans="1:25" ht="14.25" customHeight="1">
      <c r="B107" s="341">
        <v>10</v>
      </c>
      <c r="C107" s="342"/>
      <c r="D107" s="342"/>
      <c r="E107" s="343"/>
      <c r="F107" s="471"/>
      <c r="G107" s="344"/>
      <c r="H107" s="537">
        <v>45901</v>
      </c>
      <c r="I107" s="753"/>
      <c r="J107" s="753"/>
      <c r="K107" s="273"/>
      <c r="L107" s="341">
        <v>10</v>
      </c>
      <c r="M107" s="435" t="s">
        <v>331</v>
      </c>
      <c r="N107" s="342" t="s">
        <v>278</v>
      </c>
      <c r="O107" s="595">
        <f>SUM(Z31:Z35)</f>
        <v>12000</v>
      </c>
      <c r="P107" s="563">
        <v>0.1</v>
      </c>
      <c r="Q107" s="344">
        <f>$O$107*P107</f>
        <v>1200</v>
      </c>
      <c r="R107" s="776" t="s">
        <v>279</v>
      </c>
      <c r="S107" s="615" t="s">
        <v>280</v>
      </c>
      <c r="T107" s="659">
        <v>45900</v>
      </c>
      <c r="U107" s="679">
        <v>1000.6783168544493</v>
      </c>
      <c r="V107" s="771"/>
      <c r="W107" s="538">
        <f>W91</f>
        <v>45904</v>
      </c>
      <c r="X107" s="762"/>
      <c r="Y107" s="482"/>
    </row>
    <row r="108" spans="1:25" ht="14.25" customHeight="1">
      <c r="B108" s="341">
        <v>10</v>
      </c>
      <c r="C108" s="342"/>
      <c r="D108" s="342"/>
      <c r="E108" s="343"/>
      <c r="F108" s="471"/>
      <c r="G108" s="344"/>
      <c r="H108" s="537">
        <v>45902</v>
      </c>
      <c r="I108" s="753"/>
      <c r="J108" s="753"/>
      <c r="K108" s="273"/>
      <c r="L108" s="341">
        <v>10</v>
      </c>
      <c r="M108" s="435" t="s">
        <v>331</v>
      </c>
      <c r="N108" s="342" t="s">
        <v>106</v>
      </c>
      <c r="O108" s="556"/>
      <c r="P108" s="563">
        <v>0.15</v>
      </c>
      <c r="Q108" s="344">
        <f t="shared" ref="Q108:Q114" si="12">$O$107*P108</f>
        <v>1800</v>
      </c>
      <c r="R108" s="777"/>
      <c r="S108" s="619" t="s">
        <v>282</v>
      </c>
      <c r="T108" s="659">
        <v>45900</v>
      </c>
      <c r="U108" s="679">
        <v>1501.017475281674</v>
      </c>
      <c r="V108" s="771"/>
      <c r="W108" s="538">
        <f t="shared" ref="W108:W114" si="13">W92</f>
        <v>45911</v>
      </c>
      <c r="X108" s="762"/>
      <c r="Y108" s="482"/>
    </row>
    <row r="109" spans="1:25" ht="14.25" customHeight="1">
      <c r="B109" s="341">
        <v>10</v>
      </c>
      <c r="C109" s="342"/>
      <c r="D109" s="342"/>
      <c r="E109" s="343"/>
      <c r="F109" s="471"/>
      <c r="G109" s="344"/>
      <c r="H109" s="537">
        <v>45903</v>
      </c>
      <c r="I109" s="753"/>
      <c r="J109" s="753"/>
      <c r="K109" s="273"/>
      <c r="L109" s="341">
        <v>10</v>
      </c>
      <c r="M109" s="435" t="s">
        <v>331</v>
      </c>
      <c r="N109" s="342" t="s">
        <v>284</v>
      </c>
      <c r="O109" s="556"/>
      <c r="P109" s="563">
        <v>0.2</v>
      </c>
      <c r="Q109" s="344">
        <f t="shared" si="12"/>
        <v>2400</v>
      </c>
      <c r="R109" s="777"/>
      <c r="S109" s="615" t="s">
        <v>285</v>
      </c>
      <c r="T109" s="659">
        <v>45900</v>
      </c>
      <c r="U109" s="679">
        <v>2001.3566337088987</v>
      </c>
      <c r="V109" s="771"/>
      <c r="W109" s="538">
        <f t="shared" si="13"/>
        <v>45946</v>
      </c>
      <c r="X109" s="762"/>
      <c r="Y109" s="482"/>
    </row>
    <row r="110" spans="1:25" ht="14.25" customHeight="1">
      <c r="B110" s="341">
        <v>10</v>
      </c>
      <c r="C110" s="342"/>
      <c r="D110" s="342"/>
      <c r="E110" s="343"/>
      <c r="F110" s="471"/>
      <c r="G110" s="344"/>
      <c r="H110" s="537">
        <v>45904</v>
      </c>
      <c r="I110" s="753"/>
      <c r="J110" s="753"/>
      <c r="K110" s="273"/>
      <c r="L110" s="341">
        <v>10</v>
      </c>
      <c r="M110" s="435" t="s">
        <v>331</v>
      </c>
      <c r="N110" s="342" t="s">
        <v>287</v>
      </c>
      <c r="O110" s="556"/>
      <c r="P110" s="563">
        <v>0.25</v>
      </c>
      <c r="Q110" s="344">
        <f t="shared" si="12"/>
        <v>3000</v>
      </c>
      <c r="R110" s="777"/>
      <c r="S110" s="615" t="s">
        <v>288</v>
      </c>
      <c r="T110" s="659">
        <v>45900</v>
      </c>
      <c r="U110" s="679">
        <v>2501.6957921361231</v>
      </c>
      <c r="V110" s="771"/>
      <c r="W110" s="538">
        <f t="shared" si="13"/>
        <v>45946</v>
      </c>
      <c r="X110" s="762"/>
      <c r="Y110" s="482"/>
    </row>
    <row r="111" spans="1:25" ht="14.25" customHeight="1">
      <c r="B111" s="341">
        <v>10</v>
      </c>
      <c r="C111" s="342"/>
      <c r="D111" s="342"/>
      <c r="E111" s="343"/>
      <c r="F111" s="471"/>
      <c r="G111" s="344"/>
      <c r="H111" s="537">
        <v>45905</v>
      </c>
      <c r="I111" s="753"/>
      <c r="J111" s="753"/>
      <c r="K111" s="273"/>
      <c r="L111" s="341">
        <v>10</v>
      </c>
      <c r="M111" s="435" t="s">
        <v>331</v>
      </c>
      <c r="N111" s="342" t="s">
        <v>289</v>
      </c>
      <c r="O111" s="556"/>
      <c r="P111" s="563">
        <v>0.1</v>
      </c>
      <c r="Q111" s="344">
        <f t="shared" si="12"/>
        <v>1200</v>
      </c>
      <c r="R111" s="777"/>
      <c r="S111" s="615" t="s">
        <v>290</v>
      </c>
      <c r="T111" s="659">
        <v>45900</v>
      </c>
      <c r="U111" s="679">
        <v>1000.6783168544493</v>
      </c>
      <c r="V111" s="771"/>
      <c r="W111" s="685">
        <f t="shared" si="13"/>
        <v>46072</v>
      </c>
      <c r="X111" s="762"/>
      <c r="Y111" s="482"/>
    </row>
    <row r="112" spans="1:25" ht="14.25" customHeight="1">
      <c r="B112" s="341">
        <v>10</v>
      </c>
      <c r="C112" s="342"/>
      <c r="D112" s="342"/>
      <c r="E112" s="343"/>
      <c r="F112" s="471"/>
      <c r="G112" s="344"/>
      <c r="H112" s="537">
        <v>45906</v>
      </c>
      <c r="I112" s="753"/>
      <c r="J112" s="753"/>
      <c r="K112" s="273"/>
      <c r="L112" s="341">
        <v>10</v>
      </c>
      <c r="M112" s="435" t="s">
        <v>331</v>
      </c>
      <c r="N112" s="342" t="s">
        <v>291</v>
      </c>
      <c r="O112" s="556"/>
      <c r="P112" s="563">
        <v>0.1</v>
      </c>
      <c r="Q112" s="344">
        <f t="shared" si="12"/>
        <v>1200</v>
      </c>
      <c r="R112" s="777"/>
      <c r="S112" s="615" t="s">
        <v>292</v>
      </c>
      <c r="T112" s="659">
        <v>45900</v>
      </c>
      <c r="U112" s="679">
        <v>1000.6783168544493</v>
      </c>
      <c r="V112" s="771"/>
      <c r="W112" s="685">
        <f t="shared" si="13"/>
        <v>46072</v>
      </c>
      <c r="X112" s="762"/>
      <c r="Y112" s="482"/>
    </row>
    <row r="113" spans="1:25" ht="14.25" customHeight="1">
      <c r="B113" s="341">
        <v>10</v>
      </c>
      <c r="C113" s="342"/>
      <c r="D113" s="342"/>
      <c r="E113" s="343"/>
      <c r="F113" s="471"/>
      <c r="G113" s="344"/>
      <c r="H113" s="537">
        <v>45907</v>
      </c>
      <c r="I113" s="753"/>
      <c r="J113" s="753"/>
      <c r="K113" s="273"/>
      <c r="L113" s="341">
        <v>10</v>
      </c>
      <c r="M113" s="435" t="s">
        <v>331</v>
      </c>
      <c r="N113" s="342" t="s">
        <v>293</v>
      </c>
      <c r="O113" s="556"/>
      <c r="P113" s="563">
        <v>0.05</v>
      </c>
      <c r="Q113" s="344">
        <f t="shared" si="12"/>
        <v>600</v>
      </c>
      <c r="R113" s="777"/>
      <c r="S113" s="615" t="s">
        <v>294</v>
      </c>
      <c r="T113" s="659">
        <v>45900</v>
      </c>
      <c r="U113" s="679">
        <v>500.33915842722467</v>
      </c>
      <c r="V113" s="771"/>
      <c r="W113" s="685">
        <f t="shared" si="13"/>
        <v>46071</v>
      </c>
      <c r="X113" s="762"/>
      <c r="Y113" s="482"/>
    </row>
    <row r="114" spans="1:25" ht="14.25" customHeight="1">
      <c r="B114" s="341">
        <v>10</v>
      </c>
      <c r="C114" s="342"/>
      <c r="D114" s="342"/>
      <c r="E114" s="343"/>
      <c r="F114" s="471"/>
      <c r="G114" s="344"/>
      <c r="H114" s="537">
        <v>45908</v>
      </c>
      <c r="I114" s="753"/>
      <c r="J114" s="753"/>
      <c r="K114" s="273"/>
      <c r="L114" s="341">
        <v>10</v>
      </c>
      <c r="M114" s="435" t="s">
        <v>331</v>
      </c>
      <c r="N114" s="342" t="s">
        <v>295</v>
      </c>
      <c r="O114" s="556"/>
      <c r="P114" s="563">
        <v>0.05</v>
      </c>
      <c r="Q114" s="344">
        <f t="shared" si="12"/>
        <v>600</v>
      </c>
      <c r="R114" s="778"/>
      <c r="S114" s="615" t="s">
        <v>296</v>
      </c>
      <c r="T114" s="659">
        <v>45900</v>
      </c>
      <c r="U114" s="679">
        <v>500.33915842722467</v>
      </c>
      <c r="V114" s="771"/>
      <c r="W114" s="685">
        <f t="shared" si="13"/>
        <v>46072</v>
      </c>
      <c r="X114" s="762"/>
      <c r="Y114" s="482"/>
    </row>
    <row r="115" spans="1:25" ht="14.15" customHeight="1">
      <c r="B115" s="341">
        <v>10</v>
      </c>
      <c r="C115" s="342"/>
      <c r="D115" s="342"/>
      <c r="E115" s="343"/>
      <c r="F115" s="471"/>
      <c r="G115" s="344"/>
      <c r="H115" s="537">
        <v>45909</v>
      </c>
      <c r="I115" s="753"/>
      <c r="J115" s="753"/>
      <c r="K115" s="273"/>
      <c r="L115" s="341">
        <v>10</v>
      </c>
      <c r="M115" s="435" t="s">
        <v>331</v>
      </c>
      <c r="N115" s="342"/>
      <c r="O115" s="556"/>
      <c r="P115" s="471"/>
      <c r="Q115" s="344"/>
      <c r="R115" s="650"/>
      <c r="S115" s="615"/>
      <c r="T115" s="531" t="str">
        <f t="shared" si="9"/>
        <v/>
      </c>
      <c r="U115" s="515">
        <f>(Q115/$X$103*$J$103)</f>
        <v>0</v>
      </c>
      <c r="V115" s="771"/>
      <c r="W115" s="685"/>
      <c r="X115" s="762"/>
      <c r="Y115" s="482"/>
    </row>
    <row r="116" spans="1:25" ht="14.25" customHeight="1">
      <c r="B116" s="341">
        <v>10</v>
      </c>
      <c r="C116" s="342"/>
      <c r="D116" s="342"/>
      <c r="E116" s="343"/>
      <c r="F116" s="471"/>
      <c r="G116" s="344"/>
      <c r="H116" s="537">
        <v>45910</v>
      </c>
      <c r="I116" s="753"/>
      <c r="J116" s="753"/>
      <c r="K116" s="273"/>
      <c r="L116" s="341">
        <v>10</v>
      </c>
      <c r="M116" s="435" t="s">
        <v>331</v>
      </c>
      <c r="N116" s="342"/>
      <c r="O116" s="556"/>
      <c r="P116" s="471"/>
      <c r="Q116" s="344"/>
      <c r="R116" s="650"/>
      <c r="S116" s="615"/>
      <c r="T116" s="531" t="str">
        <f t="shared" si="9"/>
        <v/>
      </c>
      <c r="U116" s="515">
        <f>(Q116/$X$103*$J$103)</f>
        <v>0</v>
      </c>
      <c r="V116" s="771"/>
      <c r="W116" s="578"/>
      <c r="X116" s="762"/>
      <c r="Y116" s="482"/>
    </row>
    <row r="117" spans="1:25" ht="15" customHeight="1" thickBot="1">
      <c r="B117" s="274">
        <v>10</v>
      </c>
      <c r="C117" s="345"/>
      <c r="D117" s="345"/>
      <c r="E117" s="346"/>
      <c r="F117" s="472"/>
      <c r="G117" s="275"/>
      <c r="H117" s="537">
        <v>45911</v>
      </c>
      <c r="I117" s="754"/>
      <c r="J117" s="754"/>
      <c r="K117" s="276"/>
      <c r="L117" s="274">
        <v>10</v>
      </c>
      <c r="M117" s="436" t="s">
        <v>331</v>
      </c>
      <c r="N117" s="345"/>
      <c r="O117" s="557"/>
      <c r="P117" s="472"/>
      <c r="Q117" s="275"/>
      <c r="R117" s="651"/>
      <c r="S117" s="616"/>
      <c r="T117" s="532" t="str">
        <f t="shared" si="9"/>
        <v/>
      </c>
      <c r="U117" s="516">
        <f>(Q117/$X$103*$J$103)</f>
        <v>0</v>
      </c>
      <c r="V117" s="772"/>
      <c r="W117" s="579"/>
      <c r="X117" s="763"/>
      <c r="Y117" s="482"/>
    </row>
    <row r="118" spans="1:25" ht="14.5" thickBot="1">
      <c r="A118" s="24"/>
      <c r="B118" s="277"/>
      <c r="C118" s="278"/>
      <c r="D118" s="278"/>
      <c r="E118" s="292"/>
      <c r="F118" s="456"/>
      <c r="G118" s="280"/>
      <c r="H118" s="537">
        <v>45912</v>
      </c>
      <c r="I118" s="281"/>
      <c r="J118" s="402"/>
      <c r="K118" s="24"/>
      <c r="L118" s="277"/>
      <c r="M118" s="278"/>
      <c r="N118" s="278"/>
      <c r="O118" s="547"/>
      <c r="P118" s="456"/>
      <c r="Q118" s="280"/>
      <c r="R118" s="643"/>
      <c r="S118" s="609"/>
      <c r="T118" s="520" t="str">
        <f t="shared" si="9"/>
        <v/>
      </c>
      <c r="U118" s="505"/>
      <c r="V118" s="493"/>
      <c r="W118" s="568"/>
      <c r="X118" s="351"/>
      <c r="Y118" s="482"/>
    </row>
    <row r="119" spans="1:25" ht="14.25" customHeight="1">
      <c r="B119" s="282">
        <v>11</v>
      </c>
      <c r="C119" s="283" t="s">
        <v>335</v>
      </c>
      <c r="D119" s="352" t="s">
        <v>336</v>
      </c>
      <c r="E119" s="284"/>
      <c r="F119" s="437"/>
      <c r="G119" s="285">
        <v>11000</v>
      </c>
      <c r="H119" s="537">
        <v>45913</v>
      </c>
      <c r="I119" s="730">
        <f>SUM(G119:G123)</f>
        <v>29000</v>
      </c>
      <c r="J119" s="730">
        <f>F177</f>
        <v>32222</v>
      </c>
      <c r="K119" s="286"/>
      <c r="L119" s="282">
        <v>11</v>
      </c>
      <c r="M119" s="352" t="s">
        <v>337</v>
      </c>
      <c r="N119" s="352" t="s">
        <v>336</v>
      </c>
      <c r="O119" s="284"/>
      <c r="P119" s="437"/>
      <c r="Q119" s="285">
        <v>12575</v>
      </c>
      <c r="R119" s="580"/>
      <c r="S119" s="608" t="s">
        <v>338</v>
      </c>
      <c r="T119" s="657">
        <v>46053</v>
      </c>
      <c r="U119" s="686">
        <v>18772.536958277255</v>
      </c>
      <c r="V119" s="743">
        <f>J119-SUM(U119:U123)</f>
        <v>-2.5142424055957235E-4</v>
      </c>
      <c r="W119" s="699">
        <v>46051</v>
      </c>
      <c r="X119" s="740">
        <f>SUM(Q119:Q123)</f>
        <v>18575</v>
      </c>
      <c r="Y119" s="482"/>
    </row>
    <row r="120" spans="1:25" ht="15" customHeight="1">
      <c r="B120" s="312">
        <v>11</v>
      </c>
      <c r="C120" s="314"/>
      <c r="D120" s="314" t="s">
        <v>339</v>
      </c>
      <c r="E120" s="315"/>
      <c r="F120" s="459"/>
      <c r="G120" s="316">
        <v>18000</v>
      </c>
      <c r="H120" s="537">
        <v>45914</v>
      </c>
      <c r="I120" s="731"/>
      <c r="J120" s="731"/>
      <c r="K120" s="289"/>
      <c r="L120" s="312">
        <v>11</v>
      </c>
      <c r="M120" s="389" t="s">
        <v>337</v>
      </c>
      <c r="N120" s="314" t="s">
        <v>340</v>
      </c>
      <c r="O120" s="315"/>
      <c r="P120" s="459"/>
      <c r="Q120" s="316">
        <v>0</v>
      </c>
      <c r="R120" s="636"/>
      <c r="S120" s="601"/>
      <c r="T120" s="524"/>
      <c r="U120" s="503">
        <f>(Q120/$X$119*$J$119)</f>
        <v>0</v>
      </c>
      <c r="V120" s="744"/>
      <c r="W120" s="565"/>
      <c r="X120" s="741"/>
      <c r="Y120" s="482"/>
    </row>
    <row r="121" spans="1:25" ht="15" customHeight="1">
      <c r="B121" s="312">
        <v>11</v>
      </c>
      <c r="C121" s="314"/>
      <c r="D121" s="314"/>
      <c r="E121" s="315"/>
      <c r="F121" s="459"/>
      <c r="G121" s="316"/>
      <c r="H121" s="537">
        <v>45915</v>
      </c>
      <c r="I121" s="731"/>
      <c r="J121" s="731"/>
      <c r="K121" s="289"/>
      <c r="L121" s="312">
        <v>11</v>
      </c>
      <c r="M121" s="389" t="s">
        <v>337</v>
      </c>
      <c r="N121" s="387"/>
      <c r="O121" s="315"/>
      <c r="P121" s="459"/>
      <c r="Q121" s="316"/>
      <c r="R121" s="636"/>
      <c r="S121" s="601"/>
      <c r="T121" s="517" t="str">
        <f>IF(W121&gt;1,EOMONTH(W121,-1),"")</f>
        <v/>
      </c>
      <c r="U121" s="503">
        <f>(Q121/$X$119*$J$119)</f>
        <v>0</v>
      </c>
      <c r="V121" s="744"/>
      <c r="W121" s="565"/>
      <c r="X121" s="741"/>
      <c r="Y121" s="482"/>
    </row>
    <row r="122" spans="1:25" ht="15" customHeight="1">
      <c r="B122" s="312">
        <v>11</v>
      </c>
      <c r="C122" s="387"/>
      <c r="D122" s="387"/>
      <c r="E122" s="406"/>
      <c r="F122" s="444"/>
      <c r="G122" s="386"/>
      <c r="H122" s="537">
        <v>45916</v>
      </c>
      <c r="I122" s="731"/>
      <c r="J122" s="731"/>
      <c r="K122" s="289"/>
      <c r="L122" s="312">
        <v>11</v>
      </c>
      <c r="M122" s="389" t="s">
        <v>337</v>
      </c>
      <c r="N122" s="387" t="s">
        <v>341</v>
      </c>
      <c r="O122" s="545"/>
      <c r="P122" s="444"/>
      <c r="Q122" s="386">
        <v>6000</v>
      </c>
      <c r="R122" s="637"/>
      <c r="S122" s="602" t="s">
        <v>342</v>
      </c>
      <c r="T122" s="654">
        <v>45961</v>
      </c>
      <c r="U122" s="686">
        <v>13449.463293146986</v>
      </c>
      <c r="V122" s="744"/>
      <c r="W122" s="702">
        <f>T122+30</f>
        <v>45991</v>
      </c>
      <c r="X122" s="741"/>
      <c r="Y122" s="482"/>
    </row>
    <row r="123" spans="1:25" ht="15" customHeight="1" thickBot="1">
      <c r="B123" s="317">
        <v>11</v>
      </c>
      <c r="C123" s="318"/>
      <c r="D123" s="318"/>
      <c r="E123" s="319"/>
      <c r="F123" s="460"/>
      <c r="G123" s="331"/>
      <c r="H123" s="537">
        <v>45917</v>
      </c>
      <c r="I123" s="732"/>
      <c r="J123" s="732"/>
      <c r="K123" s="290"/>
      <c r="L123" s="317">
        <v>11</v>
      </c>
      <c r="M123" s="419" t="s">
        <v>337</v>
      </c>
      <c r="N123" s="318"/>
      <c r="O123" s="319"/>
      <c r="P123" s="460"/>
      <c r="Q123" s="331"/>
      <c r="R123" s="638"/>
      <c r="S123" s="603"/>
      <c r="T123" s="519" t="str">
        <f t="shared" si="9"/>
        <v/>
      </c>
      <c r="U123" s="504">
        <f>(Q123/$X$119*$J$119)</f>
        <v>0</v>
      </c>
      <c r="V123" s="745"/>
      <c r="W123" s="567"/>
      <c r="X123" s="742"/>
      <c r="Y123" s="482"/>
    </row>
    <row r="124" spans="1:25" ht="15" customHeight="1" thickBot="1">
      <c r="A124" s="24"/>
      <c r="B124" s="291"/>
      <c r="C124" s="278"/>
      <c r="D124" s="278"/>
      <c r="E124" s="292"/>
      <c r="F124" s="456"/>
      <c r="G124" s="293"/>
      <c r="H124" s="537">
        <v>45918</v>
      </c>
      <c r="I124" s="281"/>
      <c r="J124" s="281"/>
      <c r="K124" s="24"/>
      <c r="L124" s="291"/>
      <c r="M124" s="278"/>
      <c r="N124" s="278"/>
      <c r="O124" s="547"/>
      <c r="P124" s="456"/>
      <c r="Q124" s="293"/>
      <c r="R124" s="639"/>
      <c r="S124" s="604"/>
      <c r="T124" s="520" t="str">
        <f t="shared" si="9"/>
        <v/>
      </c>
      <c r="U124" s="509"/>
      <c r="V124" s="492"/>
      <c r="W124" s="568"/>
      <c r="X124" s="351"/>
      <c r="Y124" s="482"/>
    </row>
    <row r="125" spans="1:25">
      <c r="B125" s="270">
        <v>12</v>
      </c>
      <c r="C125" s="271" t="s">
        <v>343</v>
      </c>
      <c r="D125" s="271"/>
      <c r="E125" s="272"/>
      <c r="F125" s="470"/>
      <c r="G125" s="339"/>
      <c r="H125" s="537">
        <v>45919</v>
      </c>
      <c r="I125" s="752">
        <f>SUM(G125:G126)</f>
        <v>0</v>
      </c>
      <c r="J125" s="752">
        <v>0</v>
      </c>
      <c r="K125" s="779"/>
      <c r="L125" s="270">
        <v>12</v>
      </c>
      <c r="M125" s="271" t="s">
        <v>344</v>
      </c>
      <c r="N125" s="271"/>
      <c r="O125" s="555"/>
      <c r="P125" s="470"/>
      <c r="Q125" s="339"/>
      <c r="R125" s="648"/>
      <c r="S125" s="613"/>
      <c r="T125" s="529" t="str">
        <f t="shared" si="9"/>
        <v/>
      </c>
      <c r="U125" s="514"/>
      <c r="V125" s="491"/>
      <c r="W125" s="576"/>
      <c r="X125" s="761">
        <f>SUM(Q125:Q126)</f>
        <v>0</v>
      </c>
      <c r="Y125" s="482"/>
    </row>
    <row r="126" spans="1:25" ht="15" customHeight="1" thickBot="1">
      <c r="B126" s="274">
        <v>12</v>
      </c>
      <c r="C126" s="345" t="s">
        <v>343</v>
      </c>
      <c r="D126" s="345"/>
      <c r="E126" s="346"/>
      <c r="F126" s="472"/>
      <c r="G126" s="275"/>
      <c r="H126" s="537">
        <v>45920</v>
      </c>
      <c r="I126" s="754"/>
      <c r="J126" s="754"/>
      <c r="K126" s="780"/>
      <c r="L126" s="274">
        <v>12</v>
      </c>
      <c r="M126" s="345" t="s">
        <v>344</v>
      </c>
      <c r="N126" s="345"/>
      <c r="O126" s="557"/>
      <c r="P126" s="472"/>
      <c r="Q126" s="275"/>
      <c r="R126" s="651"/>
      <c r="S126" s="616"/>
      <c r="T126" s="532" t="str">
        <f t="shared" si="9"/>
        <v/>
      </c>
      <c r="U126" s="516"/>
      <c r="V126" s="490"/>
      <c r="W126" s="579"/>
      <c r="X126" s="763"/>
      <c r="Y126" s="482"/>
    </row>
    <row r="127" spans="1:25" ht="14.5" thickBot="1">
      <c r="A127" s="24"/>
      <c r="B127" s="291"/>
      <c r="C127" s="278"/>
      <c r="D127" s="278"/>
      <c r="E127" s="292"/>
      <c r="F127" s="456"/>
      <c r="G127" s="293"/>
      <c r="H127" s="537">
        <v>45921</v>
      </c>
      <c r="I127" s="327"/>
      <c r="J127" s="327"/>
      <c r="K127" s="24"/>
      <c r="L127" s="291"/>
      <c r="M127" s="278"/>
      <c r="N127" s="278"/>
      <c r="O127" s="547"/>
      <c r="P127" s="456"/>
      <c r="Q127" s="293"/>
      <c r="R127" s="639"/>
      <c r="S127" s="604"/>
      <c r="T127" s="520" t="str">
        <f t="shared" si="9"/>
        <v/>
      </c>
      <c r="U127" s="509"/>
      <c r="V127" s="492"/>
      <c r="W127" s="568"/>
      <c r="X127" s="483"/>
      <c r="Y127" s="482"/>
    </row>
    <row r="128" spans="1:25" ht="15.75" customHeight="1">
      <c r="B128" s="282">
        <v>13</v>
      </c>
      <c r="C128" s="283" t="s">
        <v>345</v>
      </c>
      <c r="D128" s="352" t="s">
        <v>346</v>
      </c>
      <c r="E128" s="284"/>
      <c r="F128" s="437"/>
      <c r="G128" s="285">
        <v>10071.950000000001</v>
      </c>
      <c r="H128" s="537">
        <v>45922</v>
      </c>
      <c r="I128" s="730">
        <f>SUM(G128:G132)</f>
        <v>10071.950000000001</v>
      </c>
      <c r="J128" s="730">
        <f>F176</f>
        <v>11445</v>
      </c>
      <c r="K128" s="286"/>
      <c r="L128" s="282">
        <v>13</v>
      </c>
      <c r="M128" s="352" t="s">
        <v>347</v>
      </c>
      <c r="N128" s="352" t="s">
        <v>348</v>
      </c>
      <c r="O128" s="543"/>
      <c r="P128" s="437"/>
      <c r="Q128" s="285">
        <f>'Project Plan'!$E$6*1.25%</f>
        <v>12839.2</v>
      </c>
      <c r="R128" s="580"/>
      <c r="S128" s="608" t="s">
        <v>349</v>
      </c>
      <c r="T128" s="657">
        <v>45961</v>
      </c>
      <c r="U128" s="705">
        <v>11445</v>
      </c>
      <c r="V128" s="743">
        <f>J128-SUM(U128:U133)</f>
        <v>0</v>
      </c>
      <c r="W128" s="709">
        <f>T128+30</f>
        <v>45991</v>
      </c>
      <c r="X128" s="740">
        <f>SUM(Q128:Q133)</f>
        <v>12839.2</v>
      </c>
      <c r="Y128" s="482"/>
    </row>
    <row r="129" spans="1:25" ht="15.75" customHeight="1">
      <c r="B129" s="312">
        <v>13</v>
      </c>
      <c r="C129" s="314"/>
      <c r="D129" s="314"/>
      <c r="E129" s="315"/>
      <c r="F129" s="459"/>
      <c r="G129" s="316"/>
      <c r="H129" s="565"/>
      <c r="I129" s="731"/>
      <c r="J129" s="731"/>
      <c r="K129" s="289"/>
      <c r="L129" s="312">
        <v>13</v>
      </c>
      <c r="M129" s="389" t="s">
        <v>347</v>
      </c>
      <c r="N129" s="314" t="s">
        <v>350</v>
      </c>
      <c r="O129" s="544"/>
      <c r="P129" s="459"/>
      <c r="Q129" s="316"/>
      <c r="R129" s="636"/>
      <c r="S129" s="601"/>
      <c r="T129" s="517"/>
      <c r="U129" s="704">
        <v>0</v>
      </c>
      <c r="V129" s="744"/>
      <c r="W129" s="565"/>
      <c r="X129" s="741"/>
      <c r="Y129" s="482"/>
    </row>
    <row r="130" spans="1:25" ht="15.75" customHeight="1">
      <c r="B130" s="312">
        <v>13</v>
      </c>
      <c r="C130" s="314"/>
      <c r="D130" s="314"/>
      <c r="E130" s="315"/>
      <c r="F130" s="459"/>
      <c r="G130" s="316"/>
      <c r="H130" s="565"/>
      <c r="I130" s="731"/>
      <c r="J130" s="731"/>
      <c r="K130" s="289"/>
      <c r="L130" s="312">
        <v>13</v>
      </c>
      <c r="M130" s="389" t="s">
        <v>347</v>
      </c>
      <c r="N130" s="314" t="s">
        <v>351</v>
      </c>
      <c r="O130" s="544"/>
      <c r="P130" s="459"/>
      <c r="Q130" s="316">
        <f>G130</f>
        <v>0</v>
      </c>
      <c r="R130" s="636"/>
      <c r="S130" s="601"/>
      <c r="T130" s="517"/>
      <c r="U130" s="704">
        <v>0</v>
      </c>
      <c r="V130" s="744"/>
      <c r="W130" s="565"/>
      <c r="X130" s="741"/>
      <c r="Y130" s="482"/>
    </row>
    <row r="131" spans="1:25" ht="15.75" customHeight="1">
      <c r="B131" s="312">
        <v>13</v>
      </c>
      <c r="C131" s="314"/>
      <c r="D131" s="314"/>
      <c r="E131" s="315"/>
      <c r="F131" s="459"/>
      <c r="G131" s="316"/>
      <c r="H131" s="565"/>
      <c r="I131" s="731"/>
      <c r="J131" s="731"/>
      <c r="K131" s="289"/>
      <c r="L131" s="312">
        <v>13</v>
      </c>
      <c r="M131" s="389" t="s">
        <v>347</v>
      </c>
      <c r="N131" s="314" t="s">
        <v>352</v>
      </c>
      <c r="O131" s="544"/>
      <c r="P131" s="459"/>
      <c r="Q131" s="316">
        <f>G131</f>
        <v>0</v>
      </c>
      <c r="R131" s="636"/>
      <c r="S131" s="601"/>
      <c r="T131" s="517"/>
      <c r="U131" s="704">
        <v>0</v>
      </c>
      <c r="V131" s="744"/>
      <c r="W131" s="565"/>
      <c r="X131" s="741"/>
      <c r="Y131" s="482"/>
    </row>
    <row r="132" spans="1:25" ht="15.75" customHeight="1">
      <c r="B132" s="312">
        <v>13</v>
      </c>
      <c r="C132" s="314"/>
      <c r="D132" s="314"/>
      <c r="E132" s="315"/>
      <c r="F132" s="459"/>
      <c r="G132" s="316"/>
      <c r="H132" s="565"/>
      <c r="I132" s="731"/>
      <c r="J132" s="731"/>
      <c r="K132" s="289"/>
      <c r="L132" s="312">
        <v>13</v>
      </c>
      <c r="M132" s="389" t="s">
        <v>347</v>
      </c>
      <c r="N132" s="314" t="s">
        <v>353</v>
      </c>
      <c r="O132" s="544"/>
      <c r="P132" s="459"/>
      <c r="Q132" s="316">
        <f>G132</f>
        <v>0</v>
      </c>
      <c r="R132" s="636"/>
      <c r="S132" s="601"/>
      <c r="T132" s="517"/>
      <c r="U132" s="704">
        <v>0</v>
      </c>
      <c r="V132" s="744"/>
      <c r="W132" s="565"/>
      <c r="X132" s="741"/>
      <c r="Y132" s="482"/>
    </row>
    <row r="133" spans="1:25" ht="15.75" customHeight="1">
      <c r="B133" s="317">
        <v>13</v>
      </c>
      <c r="C133" s="318"/>
      <c r="D133" s="318"/>
      <c r="E133" s="319"/>
      <c r="F133" s="460"/>
      <c r="G133" s="331"/>
      <c r="H133" s="567"/>
      <c r="I133" s="732"/>
      <c r="J133" s="732"/>
      <c r="K133" s="365"/>
      <c r="L133" s="317">
        <v>13</v>
      </c>
      <c r="M133" s="419" t="s">
        <v>347</v>
      </c>
      <c r="N133" s="318"/>
      <c r="O133" s="546"/>
      <c r="P133" s="460"/>
      <c r="Q133" s="331"/>
      <c r="R133" s="638"/>
      <c r="S133" s="603"/>
      <c r="T133" s="519" t="str">
        <f t="shared" si="9"/>
        <v/>
      </c>
      <c r="U133" s="706">
        <v>0</v>
      </c>
      <c r="V133" s="745"/>
      <c r="W133" s="567"/>
      <c r="X133" s="742"/>
      <c r="Y133" s="482"/>
    </row>
    <row r="134" spans="1:25" ht="14.5" thickBot="1">
      <c r="A134" s="24"/>
      <c r="B134" s="291"/>
      <c r="C134" s="278"/>
      <c r="D134" s="278"/>
      <c r="E134" s="292"/>
      <c r="F134" s="456"/>
      <c r="G134" s="293"/>
      <c r="H134" s="568"/>
      <c r="I134" s="281"/>
      <c r="J134" s="281"/>
      <c r="K134" s="24"/>
      <c r="L134" s="291"/>
      <c r="M134" s="278"/>
      <c r="N134" s="278"/>
      <c r="O134" s="547"/>
      <c r="P134" s="456"/>
      <c r="Q134" s="293"/>
      <c r="R134" s="639"/>
      <c r="S134" s="604"/>
      <c r="T134" s="520" t="str">
        <f t="shared" si="9"/>
        <v/>
      </c>
      <c r="U134" s="509"/>
      <c r="V134" s="492"/>
      <c r="W134" s="568"/>
      <c r="X134" s="483"/>
      <c r="Y134" s="482"/>
    </row>
    <row r="135" spans="1:25" ht="14.25" customHeight="1">
      <c r="B135" s="270">
        <v>14</v>
      </c>
      <c r="C135" s="271" t="s">
        <v>354</v>
      </c>
      <c r="D135" s="271" t="s">
        <v>355</v>
      </c>
      <c r="E135" s="272"/>
      <c r="F135" s="470"/>
      <c r="G135" s="339">
        <f>D187</f>
        <v>1225</v>
      </c>
      <c r="H135" s="538">
        <v>45900</v>
      </c>
      <c r="I135" s="752">
        <f>SUM(G135:G146)</f>
        <v>1225</v>
      </c>
      <c r="J135" s="752">
        <f>F187</f>
        <v>1361</v>
      </c>
      <c r="K135" s="340"/>
      <c r="L135" s="270">
        <v>14</v>
      </c>
      <c r="M135" s="434" t="s">
        <v>356</v>
      </c>
      <c r="N135" s="271" t="s">
        <v>357</v>
      </c>
      <c r="O135" s="555"/>
      <c r="P135" s="633"/>
      <c r="Q135" s="672">
        <v>0</v>
      </c>
      <c r="R135" s="652"/>
      <c r="S135" s="618"/>
      <c r="T135" s="673">
        <v>45900</v>
      </c>
      <c r="U135" s="514">
        <f t="shared" ref="U135:U146" si="14">(Q135/$X$135*$J$135)</f>
        <v>0</v>
      </c>
      <c r="V135" s="770">
        <f>J135-SUM(U135:U146)</f>
        <v>0</v>
      </c>
      <c r="W135" s="538">
        <v>45900</v>
      </c>
      <c r="X135" s="761">
        <f>SUM(Q135:Q146)</f>
        <v>3159.05</v>
      </c>
      <c r="Y135" s="482"/>
    </row>
    <row r="136" spans="1:25" ht="14.25" customHeight="1">
      <c r="B136" s="341">
        <v>14</v>
      </c>
      <c r="C136" s="342"/>
      <c r="D136" s="342"/>
      <c r="E136" s="343"/>
      <c r="F136" s="471"/>
      <c r="G136" s="344"/>
      <c r="H136" s="578">
        <v>45930</v>
      </c>
      <c r="I136" s="753"/>
      <c r="J136" s="753"/>
      <c r="K136" s="273"/>
      <c r="L136" s="341">
        <v>14</v>
      </c>
      <c r="M136" s="435" t="s">
        <v>356</v>
      </c>
      <c r="N136" s="342" t="s">
        <v>357</v>
      </c>
      <c r="O136" s="556"/>
      <c r="P136" s="634"/>
      <c r="Q136" s="635">
        <v>0</v>
      </c>
      <c r="R136" s="653"/>
      <c r="S136" s="618"/>
      <c r="T136" s="684">
        <v>45930</v>
      </c>
      <c r="U136" s="515">
        <f t="shared" si="14"/>
        <v>0</v>
      </c>
      <c r="V136" s="771"/>
      <c r="W136" s="685">
        <v>45930</v>
      </c>
      <c r="X136" s="762"/>
      <c r="Y136" s="482"/>
    </row>
    <row r="137" spans="1:25" ht="14.25" customHeight="1">
      <c r="B137" s="341">
        <v>14</v>
      </c>
      <c r="C137" s="342"/>
      <c r="D137" s="342"/>
      <c r="E137" s="343"/>
      <c r="F137" s="471"/>
      <c r="G137" s="344"/>
      <c r="H137" s="578">
        <v>45961</v>
      </c>
      <c r="I137" s="753"/>
      <c r="J137" s="753"/>
      <c r="K137" s="273"/>
      <c r="L137" s="341">
        <v>14</v>
      </c>
      <c r="M137" s="435" t="s">
        <v>356</v>
      </c>
      <c r="N137" s="342" t="s">
        <v>357</v>
      </c>
      <c r="O137" s="556"/>
      <c r="P137" s="471"/>
      <c r="Q137" s="344">
        <v>0</v>
      </c>
      <c r="R137" s="650"/>
      <c r="S137" s="618"/>
      <c r="T137" s="684">
        <v>45961</v>
      </c>
      <c r="U137" s="515">
        <f t="shared" si="14"/>
        <v>0</v>
      </c>
      <c r="V137" s="771"/>
      <c r="W137" s="685">
        <v>45961</v>
      </c>
      <c r="X137" s="762"/>
      <c r="Y137" s="482"/>
    </row>
    <row r="138" spans="1:25" ht="14.25" customHeight="1">
      <c r="B138" s="341">
        <v>14</v>
      </c>
      <c r="C138" s="342"/>
      <c r="D138" s="342"/>
      <c r="E138" s="343"/>
      <c r="F138" s="471"/>
      <c r="G138" s="344"/>
      <c r="H138" s="578">
        <v>45991</v>
      </c>
      <c r="I138" s="753"/>
      <c r="J138" s="753"/>
      <c r="K138" s="273"/>
      <c r="L138" s="341">
        <v>14</v>
      </c>
      <c r="M138" s="435" t="s">
        <v>356</v>
      </c>
      <c r="N138" s="342" t="s">
        <v>357</v>
      </c>
      <c r="O138" s="556"/>
      <c r="P138" s="471"/>
      <c r="Q138" s="344">
        <v>3159.05</v>
      </c>
      <c r="R138" s="650"/>
      <c r="S138" s="613" t="s">
        <v>358</v>
      </c>
      <c r="T138" s="684">
        <v>45991</v>
      </c>
      <c r="U138" s="711">
        <v>1361</v>
      </c>
      <c r="V138" s="771"/>
      <c r="W138" s="685">
        <v>45996</v>
      </c>
      <c r="X138" s="762"/>
      <c r="Y138" s="482"/>
    </row>
    <row r="139" spans="1:25" ht="14.25" customHeight="1">
      <c r="B139" s="341">
        <v>14</v>
      </c>
      <c r="C139" s="342"/>
      <c r="D139" s="342"/>
      <c r="E139" s="343"/>
      <c r="F139" s="471"/>
      <c r="G139" s="344"/>
      <c r="H139" s="578"/>
      <c r="I139" s="753"/>
      <c r="J139" s="753"/>
      <c r="K139" s="273"/>
      <c r="L139" s="341">
        <v>14</v>
      </c>
      <c r="M139" s="435" t="s">
        <v>356</v>
      </c>
      <c r="N139" s="342" t="s">
        <v>357</v>
      </c>
      <c r="O139" s="556"/>
      <c r="P139" s="471"/>
      <c r="Q139" s="344"/>
      <c r="R139" s="650"/>
      <c r="S139" s="613"/>
      <c r="T139" s="531" t="str">
        <f t="shared" si="9"/>
        <v/>
      </c>
      <c r="U139" s="515">
        <f t="shared" si="14"/>
        <v>0</v>
      </c>
      <c r="V139" s="771"/>
      <c r="W139" s="578"/>
      <c r="X139" s="762"/>
      <c r="Y139" s="482"/>
    </row>
    <row r="140" spans="1:25" ht="14.25" customHeight="1">
      <c r="B140" s="341">
        <v>14</v>
      </c>
      <c r="C140" s="342"/>
      <c r="D140" s="342"/>
      <c r="E140" s="343"/>
      <c r="F140" s="471"/>
      <c r="G140" s="344"/>
      <c r="H140" s="578"/>
      <c r="I140" s="753"/>
      <c r="J140" s="753"/>
      <c r="K140" s="273"/>
      <c r="L140" s="341">
        <v>14</v>
      </c>
      <c r="M140" s="435" t="s">
        <v>356</v>
      </c>
      <c r="N140" s="342" t="s">
        <v>357</v>
      </c>
      <c r="O140" s="556"/>
      <c r="P140" s="471"/>
      <c r="Q140" s="344"/>
      <c r="R140" s="650"/>
      <c r="S140" s="613"/>
      <c r="T140" s="531" t="str">
        <f t="shared" si="9"/>
        <v/>
      </c>
      <c r="U140" s="515">
        <f t="shared" si="14"/>
        <v>0</v>
      </c>
      <c r="V140" s="771"/>
      <c r="W140" s="578"/>
      <c r="X140" s="762"/>
      <c r="Y140" s="482"/>
    </row>
    <row r="141" spans="1:25" ht="14.25" customHeight="1">
      <c r="B141" s="341">
        <v>14</v>
      </c>
      <c r="C141" s="342"/>
      <c r="D141" s="342"/>
      <c r="E141" s="343"/>
      <c r="F141" s="471"/>
      <c r="G141" s="344"/>
      <c r="H141" s="578"/>
      <c r="I141" s="753"/>
      <c r="J141" s="753"/>
      <c r="K141" s="273"/>
      <c r="L141" s="341">
        <v>14</v>
      </c>
      <c r="M141" s="435" t="s">
        <v>356</v>
      </c>
      <c r="N141" s="342" t="s">
        <v>357</v>
      </c>
      <c r="O141" s="556"/>
      <c r="P141" s="471"/>
      <c r="Q141" s="344"/>
      <c r="R141" s="650"/>
      <c r="S141" s="613"/>
      <c r="T141" s="531" t="str">
        <f t="shared" ref="T141:T159" si="15">IF(W141&gt;1,EOMONTH(W141,0),"")</f>
        <v/>
      </c>
      <c r="U141" s="515">
        <f t="shared" si="14"/>
        <v>0</v>
      </c>
      <c r="V141" s="771"/>
      <c r="W141" s="578"/>
      <c r="X141" s="762"/>
      <c r="Y141" s="482"/>
    </row>
    <row r="142" spans="1:25" ht="14.25" customHeight="1">
      <c r="B142" s="341">
        <v>14</v>
      </c>
      <c r="C142" s="342"/>
      <c r="D142" s="342"/>
      <c r="E142" s="343"/>
      <c r="F142" s="471"/>
      <c r="G142" s="344"/>
      <c r="H142" s="578"/>
      <c r="I142" s="753"/>
      <c r="J142" s="753"/>
      <c r="K142" s="273"/>
      <c r="L142" s="341">
        <v>14</v>
      </c>
      <c r="M142" s="435" t="s">
        <v>356</v>
      </c>
      <c r="N142" s="342" t="s">
        <v>357</v>
      </c>
      <c r="O142" s="556"/>
      <c r="P142" s="471"/>
      <c r="Q142" s="344"/>
      <c r="R142" s="650"/>
      <c r="S142" s="613"/>
      <c r="T142" s="531" t="str">
        <f t="shared" si="15"/>
        <v/>
      </c>
      <c r="U142" s="515">
        <f t="shared" si="14"/>
        <v>0</v>
      </c>
      <c r="V142" s="771"/>
      <c r="W142" s="578"/>
      <c r="X142" s="762"/>
      <c r="Y142" s="482"/>
    </row>
    <row r="143" spans="1:25" ht="14.25" customHeight="1">
      <c r="B143" s="341">
        <v>14</v>
      </c>
      <c r="C143" s="342"/>
      <c r="D143" s="342"/>
      <c r="E143" s="343"/>
      <c r="F143" s="471"/>
      <c r="G143" s="344"/>
      <c r="H143" s="578"/>
      <c r="I143" s="753"/>
      <c r="J143" s="753"/>
      <c r="K143" s="273"/>
      <c r="L143" s="341">
        <v>14</v>
      </c>
      <c r="M143" s="435" t="s">
        <v>356</v>
      </c>
      <c r="N143" s="342" t="s">
        <v>357</v>
      </c>
      <c r="O143" s="556"/>
      <c r="P143" s="471"/>
      <c r="Q143" s="344"/>
      <c r="R143" s="650"/>
      <c r="S143" s="613"/>
      <c r="T143" s="531" t="str">
        <f t="shared" si="15"/>
        <v/>
      </c>
      <c r="U143" s="515">
        <f t="shared" si="14"/>
        <v>0</v>
      </c>
      <c r="V143" s="771"/>
      <c r="W143" s="578"/>
      <c r="X143" s="762"/>
      <c r="Y143" s="482"/>
    </row>
    <row r="144" spans="1:25" ht="14.25" customHeight="1">
      <c r="B144" s="341">
        <v>14</v>
      </c>
      <c r="C144" s="342"/>
      <c r="D144" s="342"/>
      <c r="E144" s="343"/>
      <c r="F144" s="471"/>
      <c r="G144" s="344"/>
      <c r="H144" s="578"/>
      <c r="I144" s="753"/>
      <c r="J144" s="753"/>
      <c r="K144" s="273"/>
      <c r="L144" s="341">
        <v>14</v>
      </c>
      <c r="M144" s="435" t="s">
        <v>356</v>
      </c>
      <c r="N144" s="342" t="s">
        <v>357</v>
      </c>
      <c r="O144" s="556"/>
      <c r="P144" s="471"/>
      <c r="Q144" s="344"/>
      <c r="R144" s="650"/>
      <c r="S144" s="613"/>
      <c r="T144" s="531" t="str">
        <f t="shared" si="15"/>
        <v/>
      </c>
      <c r="U144" s="515">
        <f t="shared" si="14"/>
        <v>0</v>
      </c>
      <c r="V144" s="771"/>
      <c r="W144" s="578"/>
      <c r="X144" s="762"/>
      <c r="Y144" s="482"/>
    </row>
    <row r="145" spans="1:25" ht="14.25" customHeight="1">
      <c r="B145" s="341">
        <v>14</v>
      </c>
      <c r="C145" s="342"/>
      <c r="D145" s="342"/>
      <c r="E145" s="343"/>
      <c r="F145" s="471"/>
      <c r="G145" s="344"/>
      <c r="H145" s="578"/>
      <c r="I145" s="753"/>
      <c r="J145" s="753"/>
      <c r="K145" s="273"/>
      <c r="L145" s="341">
        <v>14</v>
      </c>
      <c r="M145" s="435" t="s">
        <v>356</v>
      </c>
      <c r="N145" s="342"/>
      <c r="O145" s="556"/>
      <c r="P145" s="471"/>
      <c r="Q145" s="344"/>
      <c r="R145" s="650"/>
      <c r="S145" s="615"/>
      <c r="T145" s="531" t="str">
        <f t="shared" si="15"/>
        <v/>
      </c>
      <c r="U145" s="515">
        <f t="shared" si="14"/>
        <v>0</v>
      </c>
      <c r="V145" s="771"/>
      <c r="W145" s="578"/>
      <c r="X145" s="762"/>
      <c r="Y145" s="482"/>
    </row>
    <row r="146" spans="1:25" ht="15" customHeight="1" thickBot="1">
      <c r="B146" s="274">
        <v>14</v>
      </c>
      <c r="C146" s="345"/>
      <c r="D146" s="345"/>
      <c r="E146" s="346"/>
      <c r="F146" s="472"/>
      <c r="G146" s="275"/>
      <c r="H146" s="579"/>
      <c r="I146" s="754"/>
      <c r="J146" s="754"/>
      <c r="K146" s="276"/>
      <c r="L146" s="274">
        <v>14</v>
      </c>
      <c r="M146" s="436" t="s">
        <v>356</v>
      </c>
      <c r="N146" s="345"/>
      <c r="O146" s="557"/>
      <c r="P146" s="472"/>
      <c r="Q146" s="275"/>
      <c r="R146" s="651"/>
      <c r="S146" s="616"/>
      <c r="T146" s="532" t="str">
        <f t="shared" si="15"/>
        <v/>
      </c>
      <c r="U146" s="516">
        <f t="shared" si="14"/>
        <v>0</v>
      </c>
      <c r="V146" s="772"/>
      <c r="W146" s="579"/>
      <c r="X146" s="763"/>
      <c r="Y146" s="482"/>
    </row>
    <row r="147" spans="1:25" ht="14.5" thickBot="1">
      <c r="A147" s="24"/>
      <c r="B147" s="291"/>
      <c r="C147" s="278"/>
      <c r="D147" s="278"/>
      <c r="E147" s="292"/>
      <c r="F147" s="456"/>
      <c r="G147" s="293"/>
      <c r="H147" s="568"/>
      <c r="I147" s="347"/>
      <c r="J147" s="347"/>
      <c r="K147" s="24"/>
      <c r="L147" s="291"/>
      <c r="M147" s="278"/>
      <c r="N147" s="278"/>
      <c r="O147" s="547"/>
      <c r="P147" s="456"/>
      <c r="Q147" s="293"/>
      <c r="R147" s="639"/>
      <c r="S147" s="604"/>
      <c r="T147" s="520" t="str">
        <f t="shared" si="15"/>
        <v/>
      </c>
      <c r="U147" s="509"/>
      <c r="V147" s="492"/>
      <c r="W147" s="568"/>
      <c r="X147" s="489"/>
      <c r="Y147" s="482"/>
    </row>
    <row r="148" spans="1:25">
      <c r="B148" s="282">
        <v>15</v>
      </c>
      <c r="C148" s="283" t="s">
        <v>359</v>
      </c>
      <c r="D148" s="283"/>
      <c r="E148" s="284"/>
      <c r="F148" s="437"/>
      <c r="G148" s="285"/>
      <c r="H148" s="572"/>
      <c r="I148" s="730">
        <f>SUM(G148:G159)</f>
        <v>0</v>
      </c>
      <c r="J148" s="730">
        <f>F184</f>
        <v>0</v>
      </c>
      <c r="K148" s="286"/>
      <c r="L148" s="282">
        <v>15</v>
      </c>
      <c r="M148" s="352" t="s">
        <v>360</v>
      </c>
      <c r="N148" s="283" t="s">
        <v>361</v>
      </c>
      <c r="O148" s="284"/>
      <c r="P148" s="437"/>
      <c r="Q148" s="285">
        <v>298.24</v>
      </c>
      <c r="R148" s="580"/>
      <c r="S148" s="608" t="s">
        <v>362</v>
      </c>
      <c r="T148" s="710">
        <v>45991</v>
      </c>
      <c r="U148" s="510"/>
      <c r="V148" s="743">
        <v>0</v>
      </c>
      <c r="W148" s="699">
        <v>46022</v>
      </c>
      <c r="X148" s="740">
        <f>SUM(Q148:Q159)</f>
        <v>298.24</v>
      </c>
      <c r="Y148" s="482"/>
    </row>
    <row r="149" spans="1:25">
      <c r="B149" s="312">
        <v>15</v>
      </c>
      <c r="C149" s="314"/>
      <c r="D149" s="314"/>
      <c r="E149" s="315"/>
      <c r="F149" s="459"/>
      <c r="G149" s="316"/>
      <c r="H149" s="565"/>
      <c r="I149" s="731"/>
      <c r="J149" s="731"/>
      <c r="K149" s="289"/>
      <c r="L149" s="312">
        <v>15</v>
      </c>
      <c r="M149" s="389" t="s">
        <v>360</v>
      </c>
      <c r="N149" s="314"/>
      <c r="O149" s="544"/>
      <c r="P149" s="459"/>
      <c r="Q149" s="316"/>
      <c r="R149" s="636"/>
      <c r="S149" s="601"/>
      <c r="T149" s="517"/>
      <c r="U149" s="502"/>
      <c r="V149" s="744"/>
      <c r="W149" s="565"/>
      <c r="X149" s="741"/>
      <c r="Y149" s="482"/>
    </row>
    <row r="150" spans="1:25">
      <c r="B150" s="312">
        <v>15</v>
      </c>
      <c r="C150" s="314"/>
      <c r="D150" s="314"/>
      <c r="E150" s="315"/>
      <c r="F150" s="459"/>
      <c r="G150" s="316"/>
      <c r="H150" s="565"/>
      <c r="I150" s="731"/>
      <c r="J150" s="731"/>
      <c r="K150" s="289"/>
      <c r="L150" s="312">
        <v>15</v>
      </c>
      <c r="M150" s="389" t="s">
        <v>360</v>
      </c>
      <c r="N150" s="314"/>
      <c r="O150" s="544"/>
      <c r="P150" s="459"/>
      <c r="Q150" s="316"/>
      <c r="R150" s="636"/>
      <c r="S150" s="601"/>
      <c r="T150" s="517" t="str">
        <f t="shared" si="15"/>
        <v/>
      </c>
      <c r="U150" s="502"/>
      <c r="V150" s="744"/>
      <c r="W150" s="565"/>
      <c r="X150" s="741"/>
      <c r="Y150" s="482"/>
    </row>
    <row r="151" spans="1:25">
      <c r="B151" s="312">
        <v>15</v>
      </c>
      <c r="C151" s="314"/>
      <c r="D151" s="314"/>
      <c r="E151" s="315"/>
      <c r="F151" s="459"/>
      <c r="G151" s="316"/>
      <c r="H151" s="565"/>
      <c r="I151" s="731"/>
      <c r="J151" s="731"/>
      <c r="K151" s="289"/>
      <c r="L151" s="312">
        <v>15</v>
      </c>
      <c r="M151" s="389" t="s">
        <v>360</v>
      </c>
      <c r="N151" s="314"/>
      <c r="O151" s="544"/>
      <c r="P151" s="459"/>
      <c r="Q151" s="316"/>
      <c r="R151" s="636"/>
      <c r="S151" s="601"/>
      <c r="T151" s="517" t="str">
        <f t="shared" si="15"/>
        <v/>
      </c>
      <c r="U151" s="502"/>
      <c r="V151" s="744"/>
      <c r="W151" s="565"/>
      <c r="X151" s="741"/>
      <c r="Y151" s="482"/>
    </row>
    <row r="152" spans="1:25">
      <c r="B152" s="312">
        <v>15</v>
      </c>
      <c r="C152" s="314"/>
      <c r="D152" s="314"/>
      <c r="E152" s="315"/>
      <c r="F152" s="459"/>
      <c r="G152" s="316"/>
      <c r="H152" s="565"/>
      <c r="I152" s="731"/>
      <c r="J152" s="731"/>
      <c r="K152" s="289"/>
      <c r="L152" s="312">
        <v>15</v>
      </c>
      <c r="M152" s="389" t="s">
        <v>360</v>
      </c>
      <c r="N152" s="314"/>
      <c r="O152" s="544"/>
      <c r="P152" s="459"/>
      <c r="Q152" s="316"/>
      <c r="R152" s="636"/>
      <c r="S152" s="601"/>
      <c r="T152" s="517" t="str">
        <f t="shared" si="15"/>
        <v/>
      </c>
      <c r="U152" s="502"/>
      <c r="V152" s="744"/>
      <c r="W152" s="565"/>
      <c r="X152" s="741"/>
      <c r="Y152" s="482"/>
    </row>
    <row r="153" spans="1:25">
      <c r="B153" s="312">
        <v>15</v>
      </c>
      <c r="C153" s="314"/>
      <c r="D153" s="314"/>
      <c r="E153" s="315"/>
      <c r="F153" s="459"/>
      <c r="G153" s="316"/>
      <c r="H153" s="565"/>
      <c r="I153" s="731"/>
      <c r="J153" s="731"/>
      <c r="K153" s="289"/>
      <c r="L153" s="312">
        <v>15</v>
      </c>
      <c r="M153" s="389" t="s">
        <v>360</v>
      </c>
      <c r="N153" s="314"/>
      <c r="O153" s="544"/>
      <c r="P153" s="459"/>
      <c r="Q153" s="316"/>
      <c r="R153" s="636"/>
      <c r="S153" s="601"/>
      <c r="T153" s="517" t="str">
        <f t="shared" si="15"/>
        <v/>
      </c>
      <c r="U153" s="502"/>
      <c r="V153" s="744"/>
      <c r="W153" s="565"/>
      <c r="X153" s="741"/>
      <c r="Y153" s="482"/>
    </row>
    <row r="154" spans="1:25">
      <c r="B154" s="312">
        <v>15</v>
      </c>
      <c r="C154" s="314"/>
      <c r="D154" s="314"/>
      <c r="E154" s="315"/>
      <c r="F154" s="459"/>
      <c r="G154" s="316"/>
      <c r="H154" s="565"/>
      <c r="I154" s="731"/>
      <c r="J154" s="731"/>
      <c r="K154" s="289"/>
      <c r="L154" s="312">
        <v>15</v>
      </c>
      <c r="M154" s="389" t="s">
        <v>360</v>
      </c>
      <c r="N154" s="314"/>
      <c r="O154" s="544"/>
      <c r="P154" s="459"/>
      <c r="Q154" s="316"/>
      <c r="R154" s="636"/>
      <c r="S154" s="601"/>
      <c r="T154" s="517" t="str">
        <f t="shared" si="15"/>
        <v/>
      </c>
      <c r="U154" s="502"/>
      <c r="V154" s="744"/>
      <c r="W154" s="565"/>
      <c r="X154" s="741"/>
      <c r="Y154" s="482"/>
    </row>
    <row r="155" spans="1:25">
      <c r="B155" s="312">
        <v>15</v>
      </c>
      <c r="C155" s="314"/>
      <c r="D155" s="314"/>
      <c r="E155" s="315"/>
      <c r="F155" s="459"/>
      <c r="G155" s="316"/>
      <c r="H155" s="565"/>
      <c r="I155" s="731"/>
      <c r="J155" s="731"/>
      <c r="K155" s="289"/>
      <c r="L155" s="312">
        <v>15</v>
      </c>
      <c r="M155" s="389" t="s">
        <v>360</v>
      </c>
      <c r="N155" s="314"/>
      <c r="O155" s="544"/>
      <c r="P155" s="459"/>
      <c r="Q155" s="316"/>
      <c r="R155" s="636"/>
      <c r="S155" s="601"/>
      <c r="T155" s="517" t="str">
        <f t="shared" si="15"/>
        <v/>
      </c>
      <c r="U155" s="502"/>
      <c r="V155" s="744"/>
      <c r="W155" s="565"/>
      <c r="X155" s="741"/>
      <c r="Y155" s="482"/>
    </row>
    <row r="156" spans="1:25">
      <c r="B156" s="312">
        <v>15</v>
      </c>
      <c r="C156" s="314"/>
      <c r="D156" s="314"/>
      <c r="E156" s="315"/>
      <c r="F156" s="459"/>
      <c r="G156" s="316"/>
      <c r="H156" s="565"/>
      <c r="I156" s="731"/>
      <c r="J156" s="731"/>
      <c r="K156" s="289"/>
      <c r="L156" s="312">
        <v>15</v>
      </c>
      <c r="M156" s="389" t="s">
        <v>360</v>
      </c>
      <c r="N156" s="314"/>
      <c r="O156" s="544"/>
      <c r="P156" s="459"/>
      <c r="Q156" s="316"/>
      <c r="R156" s="636"/>
      <c r="S156" s="601"/>
      <c r="T156" s="517" t="str">
        <f t="shared" si="15"/>
        <v/>
      </c>
      <c r="U156" s="502"/>
      <c r="V156" s="744"/>
      <c r="W156" s="565"/>
      <c r="X156" s="741"/>
      <c r="Y156" s="482"/>
    </row>
    <row r="157" spans="1:25">
      <c r="B157" s="312">
        <v>15</v>
      </c>
      <c r="C157" s="314"/>
      <c r="D157" s="314"/>
      <c r="E157" s="315"/>
      <c r="F157" s="459"/>
      <c r="G157" s="316"/>
      <c r="H157" s="565"/>
      <c r="I157" s="731"/>
      <c r="J157" s="731"/>
      <c r="K157" s="289"/>
      <c r="L157" s="312">
        <v>15</v>
      </c>
      <c r="M157" s="389" t="s">
        <v>360</v>
      </c>
      <c r="N157" s="314"/>
      <c r="O157" s="544"/>
      <c r="P157" s="459"/>
      <c r="Q157" s="316"/>
      <c r="R157" s="636"/>
      <c r="S157" s="601"/>
      <c r="T157" s="517" t="str">
        <f t="shared" si="15"/>
        <v/>
      </c>
      <c r="U157" s="502"/>
      <c r="V157" s="744"/>
      <c r="W157" s="565"/>
      <c r="X157" s="741"/>
      <c r="Y157" s="482"/>
    </row>
    <row r="158" spans="1:25">
      <c r="B158" s="312">
        <v>15</v>
      </c>
      <c r="C158" s="314"/>
      <c r="D158" s="314"/>
      <c r="E158" s="315"/>
      <c r="F158" s="459"/>
      <c r="G158" s="316"/>
      <c r="H158" s="565"/>
      <c r="I158" s="731"/>
      <c r="J158" s="731"/>
      <c r="K158" s="289"/>
      <c r="L158" s="312">
        <v>15</v>
      </c>
      <c r="M158" s="389" t="s">
        <v>360</v>
      </c>
      <c r="N158" s="314"/>
      <c r="O158" s="544"/>
      <c r="P158" s="459"/>
      <c r="Q158" s="316"/>
      <c r="R158" s="636"/>
      <c r="S158" s="601"/>
      <c r="T158" s="517" t="str">
        <f t="shared" si="15"/>
        <v/>
      </c>
      <c r="U158" s="502"/>
      <c r="V158" s="744"/>
      <c r="W158" s="565"/>
      <c r="X158" s="741"/>
      <c r="Y158" s="482"/>
    </row>
    <row r="159" spans="1:25" ht="15" customHeight="1" thickBot="1">
      <c r="B159" s="317">
        <v>15</v>
      </c>
      <c r="C159" s="318"/>
      <c r="D159" s="318"/>
      <c r="E159" s="319"/>
      <c r="F159" s="460"/>
      <c r="G159" s="331"/>
      <c r="H159" s="567"/>
      <c r="I159" s="732"/>
      <c r="J159" s="732"/>
      <c r="K159" s="290"/>
      <c r="L159" s="317">
        <v>15</v>
      </c>
      <c r="M159" s="419" t="s">
        <v>360</v>
      </c>
      <c r="N159" s="318"/>
      <c r="O159" s="546"/>
      <c r="P159" s="460"/>
      <c r="Q159" s="331"/>
      <c r="R159" s="638"/>
      <c r="S159" s="603"/>
      <c r="T159" s="519" t="str">
        <f t="shared" si="15"/>
        <v/>
      </c>
      <c r="U159" s="504"/>
      <c r="V159" s="745"/>
      <c r="W159" s="567"/>
      <c r="X159" s="742"/>
      <c r="Y159" s="482"/>
    </row>
    <row r="160" spans="1:25" s="3" customFormat="1">
      <c r="B160" s="109"/>
      <c r="E160" s="4"/>
      <c r="F160" s="473"/>
      <c r="G160" s="5"/>
      <c r="H160" s="349"/>
      <c r="I160" s="348"/>
      <c r="J160" s="348"/>
      <c r="L160" s="109"/>
      <c r="O160" s="4"/>
      <c r="P160" s="473"/>
      <c r="Q160" s="349"/>
      <c r="R160" s="349"/>
      <c r="S160" s="349"/>
      <c r="T160" s="349"/>
      <c r="U160" s="349"/>
      <c r="V160" s="349"/>
      <c r="W160" s="349"/>
      <c r="X160" s="349"/>
    </row>
    <row r="161" spans="2:23">
      <c r="B161" s="112"/>
      <c r="C161" s="542" t="s">
        <v>363</v>
      </c>
      <c r="D161" s="630">
        <v>160883.16</v>
      </c>
      <c r="E161" s="166"/>
      <c r="F161" s="632">
        <v>206260</v>
      </c>
      <c r="G161" s="112"/>
      <c r="I161" s="112"/>
      <c r="J161" s="112"/>
    </row>
    <row r="162" spans="2:23">
      <c r="B162" s="112"/>
      <c r="C162" s="542" t="s">
        <v>364</v>
      </c>
      <c r="D162" s="630">
        <v>74130</v>
      </c>
      <c r="E162" s="166"/>
      <c r="F162" s="632">
        <v>95038</v>
      </c>
      <c r="G162" s="112"/>
      <c r="I162" s="257"/>
      <c r="J162" s="257"/>
    </row>
    <row r="163" spans="2:23">
      <c r="B163" s="112"/>
      <c r="C163" s="542" t="s">
        <v>365</v>
      </c>
      <c r="D163" s="630">
        <v>97648.8</v>
      </c>
      <c r="E163" s="166"/>
      <c r="F163" s="632">
        <v>125191</v>
      </c>
      <c r="G163" s="112"/>
      <c r="I163" s="350"/>
      <c r="J163" s="350"/>
    </row>
    <row r="164" spans="2:23">
      <c r="B164" s="112"/>
      <c r="C164" s="542" t="s">
        <v>276</v>
      </c>
      <c r="D164" s="630">
        <v>61800.6</v>
      </c>
      <c r="E164" s="166"/>
      <c r="F164" s="632">
        <v>79232</v>
      </c>
      <c r="G164" s="112"/>
      <c r="I164" s="257"/>
      <c r="J164" s="257"/>
    </row>
    <row r="165" spans="2:23">
      <c r="B165" s="112"/>
      <c r="C165" s="542" t="s">
        <v>318</v>
      </c>
      <c r="D165" s="630">
        <v>135950.84</v>
      </c>
      <c r="E165" s="166"/>
      <c r="F165" s="632">
        <v>174296</v>
      </c>
      <c r="G165" s="112"/>
      <c r="I165" s="350"/>
      <c r="J165" s="350"/>
    </row>
    <row r="166" spans="2:23">
      <c r="B166" s="112"/>
      <c r="C166" s="542" t="s">
        <v>298</v>
      </c>
      <c r="D166" s="630">
        <v>166000</v>
      </c>
      <c r="E166" s="166"/>
      <c r="F166" s="632">
        <v>212821</v>
      </c>
      <c r="G166" s="112"/>
      <c r="I166" s="257"/>
      <c r="J166" s="257"/>
    </row>
    <row r="167" spans="2:23">
      <c r="B167" s="112"/>
      <c r="C167" s="542" t="s">
        <v>366</v>
      </c>
      <c r="D167" s="630"/>
      <c r="E167" s="166"/>
      <c r="F167" s="632"/>
      <c r="G167" s="112"/>
      <c r="I167" s="257"/>
      <c r="J167" s="257"/>
    </row>
    <row r="168" spans="2:23">
      <c r="B168" s="112"/>
      <c r="C168" s="542" t="s">
        <v>367</v>
      </c>
      <c r="D168" s="630"/>
      <c r="E168" s="166"/>
      <c r="F168" s="632"/>
      <c r="G168" s="112"/>
      <c r="I168" s="257"/>
      <c r="J168" s="257"/>
    </row>
    <row r="169" spans="2:23">
      <c r="B169" s="112"/>
      <c r="C169" s="542" t="s">
        <v>368</v>
      </c>
      <c r="D169" s="630"/>
      <c r="E169" s="166"/>
      <c r="F169" s="632"/>
      <c r="G169" s="112"/>
      <c r="I169" s="257"/>
      <c r="J169" s="257"/>
    </row>
    <row r="170" spans="2:23">
      <c r="B170" s="112"/>
      <c r="C170" s="542" t="s">
        <v>369</v>
      </c>
      <c r="D170" s="630"/>
      <c r="E170" s="166"/>
      <c r="F170" s="632"/>
      <c r="G170" s="112"/>
      <c r="I170" s="257"/>
      <c r="J170" s="257"/>
    </row>
    <row r="171" spans="2:23">
      <c r="B171" s="112"/>
      <c r="C171" s="542" t="s">
        <v>370</v>
      </c>
      <c r="D171" s="630"/>
      <c r="E171" s="166"/>
      <c r="F171" s="632"/>
      <c r="G171" s="112"/>
      <c r="I171" s="257"/>
      <c r="J171" s="257"/>
    </row>
    <row r="172" spans="2:23">
      <c r="B172" s="112"/>
      <c r="C172" s="542" t="s">
        <v>371</v>
      </c>
      <c r="D172" s="630"/>
      <c r="E172" s="166"/>
      <c r="F172" s="632"/>
      <c r="G172" s="112"/>
      <c r="I172" s="257"/>
      <c r="J172" s="257"/>
    </row>
    <row r="173" spans="2:23">
      <c r="B173" s="112"/>
      <c r="C173" s="542"/>
      <c r="D173" s="630"/>
      <c r="E173" s="166"/>
      <c r="F173" s="632"/>
      <c r="G173" s="112"/>
      <c r="I173" s="257"/>
      <c r="J173" s="257"/>
    </row>
    <row r="174" spans="2:23" s="112" customFormat="1">
      <c r="C174" s="542" t="s">
        <v>372</v>
      </c>
      <c r="D174" s="631">
        <v>17690</v>
      </c>
      <c r="E174" s="166"/>
      <c r="F174" s="632">
        <v>19656</v>
      </c>
      <c r="H174" s="542"/>
      <c r="I174" s="257"/>
      <c r="J174" s="257"/>
      <c r="R174" s="166"/>
      <c r="T174" s="542"/>
      <c r="U174" s="542"/>
      <c r="W174" s="542"/>
    </row>
    <row r="175" spans="2:23" s="112" customFormat="1">
      <c r="C175" s="542" t="s">
        <v>373</v>
      </c>
      <c r="D175" s="631">
        <v>36540</v>
      </c>
      <c r="E175" s="166"/>
      <c r="F175" s="632">
        <v>40600</v>
      </c>
      <c r="H175" s="542"/>
      <c r="I175" s="257"/>
      <c r="J175" s="257"/>
      <c r="R175" s="166"/>
      <c r="T175" s="542"/>
      <c r="U175" s="542"/>
      <c r="W175" s="542"/>
    </row>
    <row r="176" spans="2:23" s="112" customFormat="1">
      <c r="C176" s="542" t="s">
        <v>374</v>
      </c>
      <c r="D176" s="631">
        <v>10071.950000000001</v>
      </c>
      <c r="E176" s="166"/>
      <c r="F176" s="632">
        <v>11445</v>
      </c>
      <c r="H176" s="542"/>
      <c r="I176" s="257"/>
      <c r="J176" s="257"/>
      <c r="R176" s="166"/>
      <c r="T176" s="542"/>
      <c r="U176" s="542"/>
      <c r="W176" s="542"/>
    </row>
    <row r="177" spans="3:23" s="112" customFormat="1">
      <c r="C177" s="542" t="s">
        <v>375</v>
      </c>
      <c r="D177" s="631">
        <v>29000</v>
      </c>
      <c r="E177" s="166"/>
      <c r="F177" s="632">
        <v>32222</v>
      </c>
      <c r="H177" s="542"/>
      <c r="I177" s="257"/>
      <c r="J177" s="257"/>
      <c r="R177" s="166"/>
      <c r="T177" s="542"/>
      <c r="U177" s="542"/>
      <c r="W177" s="542"/>
    </row>
    <row r="178" spans="3:23" s="112" customFormat="1">
      <c r="C178" s="542" t="s">
        <v>376</v>
      </c>
      <c r="D178" s="631">
        <v>8500</v>
      </c>
      <c r="E178" s="166"/>
      <c r="F178" s="632">
        <v>9444</v>
      </c>
      <c r="H178" s="542"/>
      <c r="I178" s="257"/>
      <c r="J178" s="257"/>
      <c r="R178" s="166"/>
      <c r="T178" s="542"/>
      <c r="U178" s="542"/>
      <c r="W178" s="542"/>
    </row>
    <row r="179" spans="3:23" s="112" customFormat="1">
      <c r="C179" s="542" t="s">
        <v>377</v>
      </c>
      <c r="D179" s="631"/>
      <c r="E179" s="166"/>
      <c r="F179" s="632"/>
      <c r="H179" s="542"/>
      <c r="I179" s="257"/>
      <c r="J179" s="257"/>
      <c r="R179" s="166"/>
      <c r="T179" s="542"/>
      <c r="U179" s="542"/>
      <c r="W179" s="542"/>
    </row>
    <row r="180" spans="3:23" s="112" customFormat="1">
      <c r="C180" s="542" t="s">
        <v>378</v>
      </c>
      <c r="D180" s="631"/>
      <c r="E180" s="166"/>
      <c r="F180" s="632"/>
      <c r="H180" s="542"/>
      <c r="I180" s="257"/>
      <c r="J180" s="257"/>
      <c r="R180" s="166"/>
      <c r="T180" s="542"/>
      <c r="U180" s="542"/>
      <c r="W180" s="542"/>
    </row>
    <row r="181" spans="3:23" s="112" customFormat="1">
      <c r="C181" s="542" t="s">
        <v>379</v>
      </c>
      <c r="D181" s="631">
        <v>8400</v>
      </c>
      <c r="E181" s="166"/>
      <c r="F181" s="632">
        <v>9333</v>
      </c>
      <c r="H181" s="542"/>
      <c r="I181" s="257"/>
      <c r="J181" s="257"/>
      <c r="R181" s="166"/>
      <c r="T181" s="542"/>
      <c r="U181" s="542"/>
      <c r="W181" s="542"/>
    </row>
    <row r="182" spans="3:23" s="112" customFormat="1">
      <c r="C182" s="542" t="s">
        <v>380</v>
      </c>
      <c r="D182" s="631">
        <v>9212.27</v>
      </c>
      <c r="E182" s="166"/>
      <c r="F182" s="632">
        <v>10236</v>
      </c>
      <c r="H182" s="542"/>
      <c r="I182" s="257"/>
      <c r="J182" s="257"/>
      <c r="R182" s="166"/>
      <c r="T182" s="542"/>
      <c r="U182" s="542"/>
      <c r="W182" s="542"/>
    </row>
    <row r="183" spans="3:23" s="112" customFormat="1">
      <c r="C183" s="542" t="s">
        <v>381</v>
      </c>
      <c r="D183" s="631"/>
      <c r="E183" s="166"/>
      <c r="F183" s="632"/>
      <c r="H183" s="542"/>
      <c r="I183" s="257"/>
      <c r="J183" s="257"/>
      <c r="R183" s="166"/>
      <c r="T183" s="542"/>
      <c r="U183" s="542"/>
      <c r="W183" s="542"/>
    </row>
    <row r="184" spans="3:23" s="112" customFormat="1">
      <c r="C184" s="542" t="s">
        <v>368</v>
      </c>
      <c r="D184" s="631"/>
      <c r="E184" s="166"/>
      <c r="F184" s="632"/>
      <c r="H184" s="542"/>
      <c r="I184" s="257"/>
      <c r="J184" s="257"/>
      <c r="R184" s="166"/>
      <c r="T184" s="542"/>
      <c r="U184" s="542"/>
      <c r="W184" s="542"/>
    </row>
    <row r="185" spans="3:23" s="112" customFormat="1">
      <c r="C185" s="542"/>
      <c r="D185" s="631"/>
      <c r="E185" s="166"/>
      <c r="F185" s="632"/>
      <c r="H185" s="542"/>
      <c r="I185" s="257"/>
      <c r="J185" s="257"/>
      <c r="R185" s="166"/>
      <c r="T185" s="542"/>
      <c r="U185" s="542"/>
      <c r="W185" s="542"/>
    </row>
    <row r="186" spans="3:23" s="112" customFormat="1">
      <c r="C186" s="542" t="s">
        <v>382</v>
      </c>
      <c r="D186" s="631"/>
      <c r="E186" s="166"/>
      <c r="F186" s="632"/>
      <c r="H186" s="542"/>
      <c r="I186" s="257"/>
      <c r="J186" s="257"/>
      <c r="R186" s="166"/>
      <c r="T186" s="542"/>
      <c r="U186" s="542"/>
      <c r="W186" s="542"/>
    </row>
    <row r="187" spans="3:23" s="112" customFormat="1">
      <c r="C187" s="542" t="s">
        <v>383</v>
      </c>
      <c r="D187" s="631">
        <v>1225</v>
      </c>
      <c r="E187" s="166"/>
      <c r="F187" s="632">
        <v>1361</v>
      </c>
      <c r="H187" s="542"/>
      <c r="I187" s="257"/>
      <c r="J187" s="257"/>
      <c r="R187" s="166"/>
      <c r="T187" s="542"/>
      <c r="U187" s="542"/>
      <c r="W187" s="542"/>
    </row>
    <row r="188" spans="3:23" s="112" customFormat="1">
      <c r="C188" s="542"/>
      <c r="D188" s="542"/>
      <c r="E188" s="166"/>
      <c r="F188" s="464"/>
      <c r="H188" s="542"/>
      <c r="I188" s="257"/>
      <c r="J188" s="257"/>
      <c r="R188" s="166"/>
      <c r="T188" s="542"/>
      <c r="U188" s="542"/>
      <c r="W188" s="542"/>
    </row>
    <row r="189" spans="3:23" s="112" customFormat="1">
      <c r="C189" s="542"/>
      <c r="D189" s="542"/>
      <c r="E189" s="166"/>
      <c r="F189" s="464"/>
      <c r="H189" s="542"/>
      <c r="I189" s="257"/>
      <c r="J189" s="257"/>
      <c r="R189" s="166"/>
      <c r="T189" s="542"/>
      <c r="U189" s="542"/>
      <c r="W189" s="542"/>
    </row>
    <row r="190" spans="3:23" s="112" customFormat="1">
      <c r="C190" s="542"/>
      <c r="D190" s="542"/>
      <c r="E190" s="166"/>
      <c r="F190" s="464"/>
      <c r="H190" s="542"/>
      <c r="I190" s="257"/>
      <c r="J190" s="257"/>
      <c r="R190" s="166"/>
      <c r="T190" s="542"/>
      <c r="U190" s="542"/>
      <c r="W190" s="542"/>
    </row>
    <row r="191" spans="3:23" s="112" customFormat="1">
      <c r="C191" s="542"/>
      <c r="D191" s="542"/>
      <c r="E191" s="166"/>
      <c r="F191" s="464"/>
      <c r="H191" s="542"/>
      <c r="I191" s="257"/>
      <c r="J191" s="257"/>
      <c r="R191" s="166"/>
      <c r="T191" s="542"/>
      <c r="U191" s="542"/>
      <c r="W191" s="542"/>
    </row>
    <row r="192" spans="3:23" s="112" customFormat="1">
      <c r="C192" s="542"/>
      <c r="D192" s="542"/>
      <c r="E192" s="166"/>
      <c r="F192" s="464"/>
      <c r="H192" s="542"/>
      <c r="I192" s="257"/>
      <c r="J192" s="257"/>
      <c r="R192" s="166"/>
      <c r="T192" s="542"/>
      <c r="U192" s="542"/>
      <c r="W192" s="542"/>
    </row>
    <row r="193" spans="3:23" s="112" customFormat="1">
      <c r="C193" s="542"/>
      <c r="D193" s="542"/>
      <c r="E193" s="166"/>
      <c r="F193" s="464"/>
      <c r="H193" s="542"/>
      <c r="I193" s="257"/>
      <c r="J193" s="257"/>
      <c r="R193" s="166"/>
      <c r="T193" s="542"/>
      <c r="U193" s="542"/>
      <c r="W193" s="542"/>
    </row>
    <row r="194" spans="3:23" s="112" customFormat="1">
      <c r="C194" s="542"/>
      <c r="D194" s="542"/>
      <c r="E194" s="166"/>
      <c r="F194" s="464"/>
      <c r="H194" s="542"/>
      <c r="I194" s="257"/>
      <c r="J194" s="257"/>
      <c r="R194" s="166"/>
      <c r="T194" s="542"/>
      <c r="U194" s="542"/>
      <c r="W194" s="542"/>
    </row>
    <row r="195" spans="3:23" s="112" customFormat="1">
      <c r="C195" s="542"/>
      <c r="D195" s="542"/>
      <c r="E195" s="166"/>
      <c r="F195" s="464"/>
      <c r="H195" s="542"/>
      <c r="I195" s="257"/>
      <c r="J195" s="257"/>
      <c r="R195" s="166"/>
      <c r="T195" s="542"/>
      <c r="U195" s="542"/>
      <c r="W195" s="542"/>
    </row>
    <row r="196" spans="3:23" s="112" customFormat="1">
      <c r="C196" s="542"/>
      <c r="D196" s="542"/>
      <c r="E196" s="166"/>
      <c r="F196" s="464"/>
      <c r="H196" s="542"/>
      <c r="I196" s="257"/>
      <c r="J196" s="257"/>
      <c r="R196" s="166"/>
      <c r="T196" s="542"/>
      <c r="U196" s="542"/>
      <c r="W196" s="542"/>
    </row>
    <row r="197" spans="3:23" s="112" customFormat="1">
      <c r="C197" s="542"/>
      <c r="D197" s="542"/>
      <c r="E197" s="166"/>
      <c r="F197" s="464"/>
      <c r="H197" s="542"/>
      <c r="I197" s="257"/>
      <c r="J197" s="257"/>
      <c r="R197" s="166"/>
      <c r="T197" s="542"/>
      <c r="U197" s="542"/>
      <c r="W197" s="542"/>
    </row>
    <row r="198" spans="3:23" s="112" customFormat="1">
      <c r="C198" s="542"/>
      <c r="D198" s="542"/>
      <c r="E198" s="166"/>
      <c r="F198" s="464"/>
      <c r="H198" s="542"/>
      <c r="I198" s="257"/>
      <c r="J198" s="257"/>
      <c r="R198" s="166"/>
      <c r="T198" s="542"/>
      <c r="U198" s="542"/>
      <c r="W198" s="542"/>
    </row>
    <row r="199" spans="3:23" s="112" customFormat="1">
      <c r="C199" s="542"/>
      <c r="D199" s="542"/>
      <c r="E199" s="166"/>
      <c r="F199" s="464"/>
      <c r="H199" s="542"/>
      <c r="I199" s="257"/>
      <c r="J199" s="257"/>
      <c r="R199" s="166"/>
      <c r="T199" s="542"/>
      <c r="U199" s="542"/>
      <c r="W199" s="542"/>
    </row>
    <row r="200" spans="3:23" s="112" customFormat="1">
      <c r="C200" s="542"/>
      <c r="D200" s="542"/>
      <c r="E200" s="166"/>
      <c r="F200" s="464"/>
      <c r="H200" s="542"/>
      <c r="I200" s="257"/>
      <c r="J200" s="257"/>
      <c r="R200" s="166"/>
      <c r="T200" s="542"/>
      <c r="U200" s="542"/>
      <c r="W200" s="542"/>
    </row>
    <row r="201" spans="3:23" s="112" customFormat="1">
      <c r="C201" s="542"/>
      <c r="D201" s="542"/>
      <c r="E201" s="166"/>
      <c r="F201" s="464"/>
      <c r="H201" s="542"/>
      <c r="I201" s="257"/>
      <c r="J201" s="257"/>
      <c r="R201" s="166"/>
      <c r="T201" s="542"/>
      <c r="U201" s="542"/>
      <c r="W201" s="542"/>
    </row>
    <row r="202" spans="3:23" s="112" customFormat="1">
      <c r="C202" s="542"/>
      <c r="D202" s="542"/>
      <c r="E202" s="166"/>
      <c r="F202" s="464"/>
      <c r="H202" s="542"/>
      <c r="I202" s="257"/>
      <c r="J202" s="257"/>
      <c r="R202" s="166"/>
      <c r="T202" s="542"/>
      <c r="U202" s="542"/>
      <c r="W202" s="542"/>
    </row>
    <row r="203" spans="3:23" s="112" customFormat="1">
      <c r="C203" s="542"/>
      <c r="D203" s="542"/>
      <c r="E203" s="166"/>
      <c r="F203" s="464"/>
      <c r="H203" s="542"/>
      <c r="I203" s="257"/>
      <c r="J203" s="257"/>
      <c r="R203" s="166"/>
      <c r="T203" s="542"/>
      <c r="U203" s="542"/>
      <c r="W203" s="542"/>
    </row>
    <row r="204" spans="3:23" s="112" customFormat="1">
      <c r="C204" s="542"/>
      <c r="D204" s="542"/>
      <c r="E204" s="166"/>
      <c r="F204" s="464"/>
      <c r="H204" s="542"/>
      <c r="I204" s="257"/>
      <c r="J204" s="257"/>
      <c r="R204" s="166"/>
      <c r="T204" s="542"/>
      <c r="U204" s="542"/>
      <c r="W204" s="542"/>
    </row>
    <row r="205" spans="3:23" s="112" customFormat="1">
      <c r="C205" s="542"/>
      <c r="D205" s="542"/>
      <c r="E205" s="166"/>
      <c r="F205" s="464"/>
      <c r="H205" s="542"/>
      <c r="I205" s="257"/>
      <c r="J205" s="257"/>
      <c r="R205" s="166"/>
      <c r="T205" s="542"/>
      <c r="U205" s="542"/>
      <c r="W205" s="542"/>
    </row>
    <row r="206" spans="3:23" s="112" customFormat="1">
      <c r="C206" s="542"/>
      <c r="D206" s="542"/>
      <c r="E206" s="166"/>
      <c r="F206" s="464"/>
      <c r="H206" s="542"/>
      <c r="I206" s="257"/>
      <c r="J206" s="257"/>
      <c r="R206" s="166"/>
      <c r="T206" s="542"/>
      <c r="U206" s="542"/>
      <c r="W206" s="542"/>
    </row>
    <row r="207" spans="3:23" s="112" customFormat="1">
      <c r="C207" s="542"/>
      <c r="D207" s="542"/>
      <c r="E207" s="166"/>
      <c r="F207" s="464"/>
      <c r="H207" s="542"/>
      <c r="I207" s="257"/>
      <c r="J207" s="257"/>
      <c r="R207" s="166"/>
      <c r="T207" s="542"/>
      <c r="U207" s="542"/>
      <c r="W207" s="542"/>
    </row>
    <row r="208" spans="3:23" s="112" customFormat="1">
      <c r="E208" s="166"/>
      <c r="F208" s="464"/>
      <c r="H208" s="542"/>
      <c r="I208" s="257"/>
      <c r="J208" s="257"/>
      <c r="R208" s="166"/>
      <c r="T208" s="542"/>
      <c r="U208" s="542"/>
      <c r="W208" s="542"/>
    </row>
    <row r="209" spans="5:23" s="112" customFormat="1">
      <c r="E209" s="166"/>
      <c r="F209" s="464"/>
      <c r="H209" s="542"/>
      <c r="I209" s="257"/>
      <c r="J209" s="257"/>
      <c r="R209" s="166"/>
      <c r="T209" s="542"/>
      <c r="U209" s="542"/>
      <c r="W209" s="542"/>
    </row>
    <row r="210" spans="5:23" s="112" customFormat="1">
      <c r="E210" s="166"/>
      <c r="F210" s="464"/>
      <c r="H210" s="542"/>
      <c r="I210" s="257"/>
      <c r="J210" s="257"/>
      <c r="R210" s="166"/>
      <c r="T210" s="542"/>
      <c r="U210" s="542"/>
      <c r="W210" s="542"/>
    </row>
    <row r="211" spans="5:23" s="112" customFormat="1">
      <c r="E211" s="166"/>
      <c r="F211" s="464"/>
      <c r="H211" s="542"/>
      <c r="I211" s="257"/>
      <c r="J211" s="257"/>
      <c r="R211" s="166"/>
      <c r="T211" s="542"/>
      <c r="U211" s="542"/>
      <c r="W211" s="542"/>
    </row>
    <row r="212" spans="5:23" s="112" customFormat="1">
      <c r="E212" s="166"/>
      <c r="F212" s="464"/>
      <c r="H212" s="542"/>
      <c r="I212" s="257"/>
      <c r="J212" s="257"/>
      <c r="R212" s="166"/>
      <c r="T212" s="542"/>
      <c r="U212" s="542"/>
      <c r="W212" s="542"/>
    </row>
    <row r="213" spans="5:23" s="112" customFormat="1">
      <c r="E213" s="166"/>
      <c r="F213" s="464"/>
      <c r="H213" s="542"/>
      <c r="I213" s="257"/>
      <c r="J213" s="257"/>
      <c r="R213" s="166"/>
      <c r="T213" s="542"/>
      <c r="U213" s="542"/>
      <c r="W213" s="542"/>
    </row>
    <row r="214" spans="5:23" s="112" customFormat="1">
      <c r="E214" s="166"/>
      <c r="F214" s="464"/>
      <c r="H214" s="542"/>
      <c r="I214" s="257"/>
      <c r="J214" s="257"/>
      <c r="R214" s="166"/>
      <c r="T214" s="542"/>
      <c r="U214" s="542"/>
      <c r="W214" s="542"/>
    </row>
    <row r="215" spans="5:23" s="112" customFormat="1">
      <c r="E215" s="166"/>
      <c r="F215" s="464"/>
      <c r="H215" s="542"/>
      <c r="I215" s="257"/>
      <c r="J215" s="257"/>
      <c r="R215" s="166"/>
      <c r="T215" s="542"/>
      <c r="U215" s="542"/>
      <c r="W215" s="542"/>
    </row>
    <row r="216" spans="5:23" s="112" customFormat="1">
      <c r="E216" s="166"/>
      <c r="F216" s="464"/>
      <c r="H216" s="542"/>
      <c r="I216" s="257"/>
      <c r="J216" s="257"/>
      <c r="R216" s="166"/>
      <c r="T216" s="542"/>
      <c r="U216" s="542"/>
      <c r="W216" s="542"/>
    </row>
    <row r="217" spans="5:23" s="112" customFormat="1">
      <c r="E217" s="166"/>
      <c r="F217" s="464"/>
      <c r="H217" s="542"/>
      <c r="I217" s="257"/>
      <c r="J217" s="257"/>
      <c r="R217" s="166"/>
      <c r="T217" s="542"/>
      <c r="U217" s="542"/>
      <c r="W217" s="542"/>
    </row>
    <row r="218" spans="5:23" s="112" customFormat="1">
      <c r="E218" s="166"/>
      <c r="F218" s="464"/>
      <c r="H218" s="542"/>
      <c r="I218" s="257"/>
      <c r="J218" s="257"/>
      <c r="R218" s="166"/>
      <c r="T218" s="542"/>
      <c r="U218" s="542"/>
      <c r="W218" s="542"/>
    </row>
    <row r="219" spans="5:23" s="112" customFormat="1">
      <c r="E219" s="166"/>
      <c r="F219" s="464"/>
      <c r="H219" s="542"/>
      <c r="I219" s="257"/>
      <c r="J219" s="257"/>
      <c r="R219" s="166"/>
      <c r="T219" s="542"/>
      <c r="U219" s="542"/>
      <c r="W219" s="542"/>
    </row>
    <row r="220" spans="5:23" s="112" customFormat="1">
      <c r="E220" s="166"/>
      <c r="F220" s="464"/>
      <c r="H220" s="542"/>
      <c r="I220" s="257"/>
      <c r="J220" s="257"/>
      <c r="R220" s="166"/>
      <c r="T220" s="542"/>
      <c r="U220" s="542"/>
      <c r="W220" s="542"/>
    </row>
    <row r="221" spans="5:23" s="112" customFormat="1">
      <c r="E221" s="166"/>
      <c r="F221" s="464"/>
      <c r="H221" s="542"/>
      <c r="I221" s="257"/>
      <c r="J221" s="257"/>
      <c r="R221" s="166"/>
      <c r="T221" s="542"/>
      <c r="U221" s="542"/>
      <c r="W221" s="542"/>
    </row>
    <row r="222" spans="5:23" s="112" customFormat="1">
      <c r="E222" s="166"/>
      <c r="F222" s="464"/>
      <c r="H222" s="542"/>
      <c r="I222" s="257"/>
      <c r="J222" s="257"/>
      <c r="R222" s="166"/>
      <c r="T222" s="542"/>
      <c r="U222" s="542"/>
      <c r="W222" s="542"/>
    </row>
    <row r="223" spans="5:23" s="112" customFormat="1">
      <c r="E223" s="166"/>
      <c r="F223" s="464"/>
      <c r="H223" s="542"/>
      <c r="I223" s="257"/>
      <c r="J223" s="257"/>
      <c r="R223" s="166"/>
      <c r="T223" s="542"/>
      <c r="U223" s="542"/>
      <c r="W223" s="542"/>
    </row>
    <row r="224" spans="5:23" s="112" customFormat="1">
      <c r="E224" s="166"/>
      <c r="F224" s="464"/>
      <c r="H224" s="542"/>
      <c r="I224" s="257"/>
      <c r="J224" s="257"/>
      <c r="R224" s="166"/>
      <c r="T224" s="542"/>
      <c r="U224" s="542"/>
      <c r="W224" s="542"/>
    </row>
    <row r="225" spans="5:23" s="112" customFormat="1">
      <c r="E225" s="166"/>
      <c r="F225" s="464"/>
      <c r="H225" s="542"/>
      <c r="I225" s="257"/>
      <c r="J225" s="257"/>
      <c r="R225" s="166"/>
      <c r="T225" s="542"/>
      <c r="U225" s="542"/>
      <c r="W225" s="542"/>
    </row>
    <row r="226" spans="5:23" s="112" customFormat="1">
      <c r="E226" s="166"/>
      <c r="F226" s="464"/>
      <c r="H226" s="542"/>
      <c r="I226" s="257"/>
      <c r="J226" s="257"/>
      <c r="R226" s="166"/>
      <c r="T226" s="542"/>
      <c r="U226" s="542"/>
      <c r="W226" s="542"/>
    </row>
    <row r="227" spans="5:23" s="112" customFormat="1">
      <c r="E227" s="166"/>
      <c r="F227" s="464"/>
      <c r="H227" s="542"/>
      <c r="I227" s="257"/>
      <c r="J227" s="257"/>
      <c r="R227" s="166"/>
      <c r="T227" s="542"/>
      <c r="U227" s="542"/>
      <c r="W227" s="542"/>
    </row>
    <row r="228" spans="5:23" s="112" customFormat="1">
      <c r="E228" s="166"/>
      <c r="F228" s="464"/>
      <c r="H228" s="542"/>
      <c r="I228" s="257"/>
      <c r="J228" s="257"/>
      <c r="R228" s="166"/>
      <c r="T228" s="542"/>
      <c r="U228" s="542"/>
      <c r="W228" s="542"/>
    </row>
    <row r="229" spans="5:23" s="112" customFormat="1">
      <c r="E229" s="166"/>
      <c r="F229" s="464"/>
      <c r="H229" s="542"/>
      <c r="I229" s="257"/>
      <c r="J229" s="257"/>
      <c r="R229" s="166"/>
      <c r="T229" s="542"/>
      <c r="U229" s="542"/>
      <c r="W229" s="542"/>
    </row>
    <row r="230" spans="5:23" s="112" customFormat="1">
      <c r="E230" s="166"/>
      <c r="F230" s="464"/>
      <c r="H230" s="542"/>
      <c r="I230" s="257"/>
      <c r="J230" s="257"/>
      <c r="R230" s="166"/>
      <c r="T230" s="542"/>
      <c r="U230" s="542"/>
      <c r="W230" s="542"/>
    </row>
    <row r="231" spans="5:23" s="112" customFormat="1">
      <c r="E231" s="166"/>
      <c r="F231" s="464"/>
      <c r="H231" s="542"/>
      <c r="I231" s="257"/>
      <c r="J231" s="257"/>
      <c r="R231" s="166"/>
      <c r="T231" s="542"/>
      <c r="U231" s="542"/>
      <c r="W231" s="542"/>
    </row>
    <row r="232" spans="5:23" s="112" customFormat="1">
      <c r="E232" s="166"/>
      <c r="F232" s="464"/>
      <c r="H232" s="542"/>
      <c r="I232" s="257"/>
      <c r="J232" s="257"/>
      <c r="R232" s="166"/>
      <c r="T232" s="542"/>
      <c r="U232" s="542"/>
      <c r="W232" s="542"/>
    </row>
    <row r="233" spans="5:23" s="112" customFormat="1">
      <c r="E233" s="166"/>
      <c r="F233" s="464"/>
      <c r="H233" s="542"/>
      <c r="I233" s="257"/>
      <c r="J233" s="257"/>
      <c r="R233" s="166"/>
      <c r="T233" s="542"/>
      <c r="U233" s="542"/>
      <c r="W233" s="542"/>
    </row>
    <row r="234" spans="5:23" s="112" customFormat="1">
      <c r="E234" s="166"/>
      <c r="F234" s="464"/>
      <c r="H234" s="542"/>
      <c r="I234" s="257"/>
      <c r="J234" s="257"/>
      <c r="R234" s="166"/>
      <c r="T234" s="542"/>
      <c r="U234" s="542"/>
      <c r="W234" s="542"/>
    </row>
    <row r="235" spans="5:23" s="112" customFormat="1">
      <c r="E235" s="166"/>
      <c r="F235" s="464"/>
      <c r="H235" s="542"/>
      <c r="I235" s="257"/>
      <c r="J235" s="257"/>
      <c r="R235" s="166"/>
      <c r="T235" s="542"/>
      <c r="U235" s="542"/>
      <c r="W235" s="542"/>
    </row>
    <row r="236" spans="5:23" s="112" customFormat="1">
      <c r="E236" s="166"/>
      <c r="F236" s="464"/>
      <c r="H236" s="542"/>
      <c r="I236" s="257"/>
      <c r="J236" s="257"/>
      <c r="R236" s="166"/>
      <c r="T236" s="542"/>
      <c r="U236" s="542"/>
      <c r="W236" s="542"/>
    </row>
    <row r="237" spans="5:23" s="112" customFormat="1">
      <c r="E237" s="166"/>
      <c r="F237" s="464"/>
      <c r="H237" s="542"/>
      <c r="I237" s="257"/>
      <c r="J237" s="257"/>
      <c r="R237" s="166"/>
      <c r="T237" s="542"/>
      <c r="U237" s="542"/>
      <c r="W237" s="542"/>
    </row>
    <row r="238" spans="5:23" s="112" customFormat="1">
      <c r="E238" s="166"/>
      <c r="F238" s="464"/>
      <c r="H238" s="542"/>
      <c r="I238" s="257"/>
      <c r="J238" s="257"/>
      <c r="R238" s="166"/>
      <c r="T238" s="542"/>
      <c r="U238" s="542"/>
      <c r="W238" s="542"/>
    </row>
    <row r="239" spans="5:23" s="112" customFormat="1">
      <c r="E239" s="166"/>
      <c r="F239" s="464"/>
      <c r="H239" s="542"/>
      <c r="I239" s="257"/>
      <c r="J239" s="257"/>
      <c r="R239" s="166"/>
      <c r="T239" s="542"/>
      <c r="U239" s="542"/>
      <c r="W239" s="542"/>
    </row>
    <row r="240" spans="5:23" s="112" customFormat="1">
      <c r="E240" s="166"/>
      <c r="F240" s="464"/>
      <c r="H240" s="542"/>
      <c r="I240" s="257"/>
      <c r="J240" s="257"/>
      <c r="R240" s="166"/>
      <c r="T240" s="542"/>
      <c r="U240" s="542"/>
      <c r="W240" s="542"/>
    </row>
    <row r="241" spans="5:23" s="112" customFormat="1">
      <c r="E241" s="166"/>
      <c r="F241" s="464"/>
      <c r="H241" s="542"/>
      <c r="I241" s="257"/>
      <c r="J241" s="257"/>
      <c r="R241" s="166"/>
      <c r="T241" s="542"/>
      <c r="U241" s="542"/>
      <c r="W241" s="542"/>
    </row>
    <row r="242" spans="5:23" s="112" customFormat="1">
      <c r="E242" s="166"/>
      <c r="F242" s="464"/>
      <c r="H242" s="542"/>
      <c r="I242" s="257"/>
      <c r="J242" s="257"/>
      <c r="R242" s="166"/>
      <c r="T242" s="542"/>
      <c r="U242" s="542"/>
      <c r="W242" s="542"/>
    </row>
    <row r="243" spans="5:23" s="112" customFormat="1">
      <c r="E243" s="166"/>
      <c r="F243" s="464"/>
      <c r="H243" s="542"/>
      <c r="I243" s="257"/>
      <c r="J243" s="257"/>
      <c r="R243" s="166"/>
      <c r="T243" s="542"/>
      <c r="U243" s="542"/>
      <c r="W243" s="542"/>
    </row>
    <row r="244" spans="5:23" s="112" customFormat="1">
      <c r="E244" s="166"/>
      <c r="F244" s="464"/>
      <c r="H244" s="542"/>
      <c r="I244" s="257"/>
      <c r="J244" s="257"/>
      <c r="R244" s="166"/>
      <c r="T244" s="542"/>
      <c r="U244" s="542"/>
      <c r="W244" s="542"/>
    </row>
    <row r="245" spans="5:23" s="112" customFormat="1">
      <c r="E245" s="166"/>
      <c r="F245" s="464"/>
      <c r="H245" s="542"/>
      <c r="I245" s="257"/>
      <c r="J245" s="257"/>
      <c r="R245" s="166"/>
      <c r="T245" s="542"/>
      <c r="U245" s="542"/>
      <c r="W245" s="542"/>
    </row>
    <row r="246" spans="5:23" s="112" customFormat="1">
      <c r="E246" s="166"/>
      <c r="F246" s="464"/>
      <c r="H246" s="542"/>
      <c r="I246" s="257"/>
      <c r="J246" s="257"/>
      <c r="R246" s="166"/>
      <c r="T246" s="542"/>
      <c r="U246" s="542"/>
      <c r="W246" s="542"/>
    </row>
    <row r="247" spans="5:23" s="112" customFormat="1">
      <c r="E247" s="166"/>
      <c r="F247" s="464"/>
      <c r="H247" s="542"/>
      <c r="I247" s="257"/>
      <c r="J247" s="257"/>
      <c r="R247" s="166"/>
      <c r="T247" s="542"/>
      <c r="U247" s="542"/>
      <c r="W247" s="542"/>
    </row>
    <row r="248" spans="5:23" s="112" customFormat="1">
      <c r="E248" s="166"/>
      <c r="F248" s="464"/>
      <c r="H248" s="542"/>
      <c r="I248" s="257"/>
      <c r="J248" s="257"/>
      <c r="R248" s="166"/>
      <c r="T248" s="542"/>
      <c r="U248" s="542"/>
      <c r="W248" s="542"/>
    </row>
    <row r="249" spans="5:23" s="112" customFormat="1">
      <c r="E249" s="166"/>
      <c r="F249" s="464"/>
      <c r="H249" s="542"/>
      <c r="I249" s="257"/>
      <c r="J249" s="257"/>
      <c r="R249" s="166"/>
      <c r="T249" s="542"/>
      <c r="U249" s="542"/>
      <c r="W249" s="542"/>
    </row>
    <row r="250" spans="5:23" s="112" customFormat="1">
      <c r="E250" s="166"/>
      <c r="F250" s="464"/>
      <c r="H250" s="542"/>
      <c r="I250" s="257"/>
      <c r="J250" s="257"/>
      <c r="R250" s="166"/>
      <c r="T250" s="542"/>
      <c r="U250" s="542"/>
      <c r="W250" s="542"/>
    </row>
    <row r="251" spans="5:23" s="112" customFormat="1">
      <c r="E251" s="166"/>
      <c r="F251" s="464"/>
      <c r="H251" s="542"/>
      <c r="I251" s="257"/>
      <c r="J251" s="257"/>
      <c r="R251" s="166"/>
      <c r="T251" s="542"/>
      <c r="U251" s="542"/>
      <c r="W251" s="542"/>
    </row>
    <row r="252" spans="5:23" s="112" customFormat="1">
      <c r="E252" s="166"/>
      <c r="F252" s="464"/>
      <c r="H252" s="542"/>
      <c r="I252" s="257"/>
      <c r="J252" s="257"/>
      <c r="R252" s="166"/>
      <c r="T252" s="542"/>
      <c r="U252" s="542"/>
      <c r="W252" s="542"/>
    </row>
    <row r="253" spans="5:23" s="112" customFormat="1">
      <c r="E253" s="166"/>
      <c r="F253" s="464"/>
      <c r="H253" s="542"/>
      <c r="I253" s="257"/>
      <c r="J253" s="257"/>
      <c r="R253" s="166"/>
      <c r="T253" s="542"/>
      <c r="U253" s="542"/>
      <c r="W253" s="542"/>
    </row>
    <row r="254" spans="5:23" s="112" customFormat="1">
      <c r="E254" s="166"/>
      <c r="F254" s="464"/>
      <c r="H254" s="542"/>
      <c r="I254" s="257"/>
      <c r="J254" s="257"/>
      <c r="R254" s="166"/>
      <c r="T254" s="542"/>
      <c r="U254" s="542"/>
      <c r="W254" s="542"/>
    </row>
    <row r="255" spans="5:23" s="112" customFormat="1">
      <c r="E255" s="166"/>
      <c r="F255" s="464"/>
      <c r="H255" s="542"/>
      <c r="I255" s="257"/>
      <c r="J255" s="257"/>
      <c r="R255" s="166"/>
      <c r="T255" s="542"/>
      <c r="U255" s="542"/>
      <c r="W255" s="542"/>
    </row>
    <row r="256" spans="5:23" s="112" customFormat="1">
      <c r="E256" s="166"/>
      <c r="F256" s="464"/>
      <c r="H256" s="542"/>
      <c r="I256" s="257"/>
      <c r="J256" s="257"/>
      <c r="R256" s="166"/>
      <c r="T256" s="542"/>
      <c r="U256" s="542"/>
      <c r="W256" s="542"/>
    </row>
    <row r="257" spans="5:23" s="112" customFormat="1">
      <c r="E257" s="166"/>
      <c r="F257" s="464"/>
      <c r="H257" s="542"/>
      <c r="I257" s="257"/>
      <c r="J257" s="257"/>
      <c r="R257" s="166"/>
      <c r="T257" s="542"/>
      <c r="U257" s="542"/>
      <c r="W257" s="542"/>
    </row>
    <row r="258" spans="5:23" s="112" customFormat="1">
      <c r="E258" s="166"/>
      <c r="F258" s="464"/>
      <c r="H258" s="542"/>
      <c r="I258" s="257"/>
      <c r="J258" s="257"/>
      <c r="R258" s="166"/>
      <c r="T258" s="542"/>
      <c r="U258" s="542"/>
      <c r="W258" s="542"/>
    </row>
    <row r="259" spans="5:23" s="112" customFormat="1">
      <c r="E259" s="166"/>
      <c r="F259" s="464"/>
      <c r="H259" s="542"/>
      <c r="I259" s="257"/>
      <c r="J259" s="257"/>
      <c r="R259" s="166"/>
      <c r="T259" s="542"/>
      <c r="U259" s="542"/>
      <c r="W259" s="542"/>
    </row>
    <row r="260" spans="5:23" s="112" customFormat="1">
      <c r="E260" s="166"/>
      <c r="F260" s="464"/>
      <c r="H260" s="542"/>
      <c r="I260" s="257"/>
      <c r="J260" s="257"/>
      <c r="R260" s="166"/>
      <c r="T260" s="542"/>
      <c r="U260" s="542"/>
      <c r="W260" s="542"/>
    </row>
    <row r="261" spans="5:23" s="112" customFormat="1">
      <c r="E261" s="166"/>
      <c r="F261" s="464"/>
      <c r="H261" s="542"/>
      <c r="I261" s="257"/>
      <c r="J261" s="257"/>
      <c r="R261" s="166"/>
      <c r="T261" s="542"/>
      <c r="U261" s="542"/>
      <c r="W261" s="542"/>
    </row>
    <row r="262" spans="5:23" s="112" customFormat="1">
      <c r="E262" s="166"/>
      <c r="F262" s="464"/>
      <c r="H262" s="542"/>
      <c r="I262" s="257"/>
      <c r="J262" s="257"/>
      <c r="R262" s="166"/>
      <c r="T262" s="542"/>
      <c r="U262" s="542"/>
      <c r="W262" s="542"/>
    </row>
    <row r="263" spans="5:23" s="112" customFormat="1">
      <c r="E263" s="166"/>
      <c r="F263" s="464"/>
      <c r="H263" s="542"/>
      <c r="I263" s="257"/>
      <c r="J263" s="257"/>
      <c r="R263" s="166"/>
      <c r="T263" s="542"/>
      <c r="U263" s="542"/>
      <c r="W263" s="542"/>
    </row>
    <row r="264" spans="5:23" s="112" customFormat="1">
      <c r="E264" s="166"/>
      <c r="F264" s="464"/>
      <c r="H264" s="542"/>
      <c r="I264" s="257"/>
      <c r="J264" s="257"/>
      <c r="R264" s="166"/>
      <c r="T264" s="542"/>
      <c r="U264" s="542"/>
      <c r="W264" s="542"/>
    </row>
    <row r="265" spans="5:23" s="112" customFormat="1">
      <c r="E265" s="166"/>
      <c r="F265" s="464"/>
      <c r="H265" s="542"/>
      <c r="I265" s="257"/>
      <c r="J265" s="257"/>
      <c r="R265" s="166"/>
      <c r="T265" s="542"/>
      <c r="U265" s="542"/>
      <c r="W265" s="542"/>
    </row>
    <row r="266" spans="5:23" s="112" customFormat="1">
      <c r="E266" s="166"/>
      <c r="F266" s="464"/>
      <c r="H266" s="542"/>
      <c r="I266" s="257"/>
      <c r="J266" s="257"/>
      <c r="R266" s="166"/>
      <c r="T266" s="542"/>
      <c r="U266" s="542"/>
      <c r="W266" s="542"/>
    </row>
    <row r="267" spans="5:23" s="112" customFormat="1">
      <c r="E267" s="166"/>
      <c r="F267" s="464"/>
      <c r="H267" s="542"/>
      <c r="I267" s="257"/>
      <c r="J267" s="257"/>
      <c r="R267" s="166"/>
      <c r="T267" s="542"/>
      <c r="U267" s="542"/>
      <c r="W267" s="542"/>
    </row>
    <row r="268" spans="5:23" s="112" customFormat="1">
      <c r="E268" s="166"/>
      <c r="F268" s="464"/>
      <c r="H268" s="542"/>
      <c r="I268" s="257"/>
      <c r="J268" s="257"/>
      <c r="R268" s="166"/>
      <c r="T268" s="542"/>
      <c r="U268" s="542"/>
      <c r="W268" s="542"/>
    </row>
    <row r="269" spans="5:23" s="112" customFormat="1">
      <c r="E269" s="166"/>
      <c r="F269" s="464"/>
      <c r="H269" s="542"/>
      <c r="I269" s="257"/>
      <c r="J269" s="257"/>
      <c r="R269" s="166"/>
      <c r="T269" s="542"/>
      <c r="U269" s="542"/>
      <c r="W269" s="542"/>
    </row>
    <row r="270" spans="5:23" s="112" customFormat="1">
      <c r="E270" s="166"/>
      <c r="F270" s="464"/>
      <c r="H270" s="542"/>
      <c r="I270" s="257"/>
      <c r="J270" s="257"/>
      <c r="R270" s="166"/>
      <c r="T270" s="542"/>
      <c r="U270" s="542"/>
      <c r="W270" s="542"/>
    </row>
    <row r="271" spans="5:23" s="112" customFormat="1">
      <c r="E271" s="166"/>
      <c r="F271" s="464"/>
      <c r="H271" s="542"/>
      <c r="I271" s="257"/>
      <c r="J271" s="257"/>
      <c r="R271" s="166"/>
      <c r="T271" s="542"/>
      <c r="U271" s="542"/>
      <c r="W271" s="542"/>
    </row>
    <row r="272" spans="5:23" s="112" customFormat="1">
      <c r="E272" s="166"/>
      <c r="F272" s="464"/>
      <c r="H272" s="542"/>
      <c r="I272" s="257"/>
      <c r="J272" s="257"/>
      <c r="R272" s="166"/>
      <c r="T272" s="542"/>
      <c r="U272" s="542"/>
      <c r="W272" s="542"/>
    </row>
    <row r="273" spans="5:23" s="112" customFormat="1">
      <c r="E273" s="166"/>
      <c r="F273" s="464"/>
      <c r="H273" s="542"/>
      <c r="I273" s="257"/>
      <c r="J273" s="257"/>
      <c r="R273" s="166"/>
      <c r="T273" s="542"/>
      <c r="U273" s="542"/>
      <c r="W273" s="542"/>
    </row>
    <row r="274" spans="5:23" s="112" customFormat="1">
      <c r="E274" s="166"/>
      <c r="F274" s="464"/>
      <c r="H274" s="542"/>
      <c r="I274" s="257"/>
      <c r="J274" s="257"/>
      <c r="R274" s="166"/>
      <c r="T274" s="542"/>
      <c r="U274" s="542"/>
      <c r="W274" s="542"/>
    </row>
    <row r="275" spans="5:23" s="112" customFormat="1">
      <c r="E275" s="166"/>
      <c r="F275" s="464"/>
      <c r="H275" s="542"/>
      <c r="I275" s="257"/>
      <c r="J275" s="257"/>
      <c r="R275" s="166"/>
      <c r="T275" s="542"/>
      <c r="U275" s="542"/>
      <c r="W275" s="542"/>
    </row>
    <row r="276" spans="5:23" s="112" customFormat="1">
      <c r="E276" s="166"/>
      <c r="F276" s="464"/>
      <c r="H276" s="542"/>
      <c r="I276" s="257"/>
      <c r="J276" s="257"/>
      <c r="R276" s="166"/>
      <c r="T276" s="542"/>
      <c r="U276" s="542"/>
      <c r="W276" s="542"/>
    </row>
    <row r="277" spans="5:23" s="112" customFormat="1">
      <c r="E277" s="166"/>
      <c r="F277" s="464"/>
      <c r="H277" s="542"/>
      <c r="I277" s="257"/>
      <c r="J277" s="257"/>
      <c r="R277" s="166"/>
      <c r="T277" s="542"/>
      <c r="U277" s="542"/>
      <c r="W277" s="542"/>
    </row>
    <row r="278" spans="5:23" s="112" customFormat="1">
      <c r="E278" s="166"/>
      <c r="F278" s="464"/>
      <c r="H278" s="542"/>
      <c r="I278" s="257"/>
      <c r="J278" s="257"/>
      <c r="R278" s="166"/>
      <c r="T278" s="542"/>
      <c r="U278" s="542"/>
      <c r="W278" s="542"/>
    </row>
    <row r="279" spans="5:23" s="112" customFormat="1">
      <c r="E279" s="166"/>
      <c r="F279" s="464"/>
      <c r="H279" s="542"/>
      <c r="I279" s="257"/>
      <c r="J279" s="257"/>
      <c r="R279" s="166"/>
      <c r="T279" s="542"/>
      <c r="U279" s="542"/>
      <c r="W279" s="542"/>
    </row>
    <row r="280" spans="5:23" s="112" customFormat="1">
      <c r="E280" s="166"/>
      <c r="F280" s="464"/>
      <c r="H280" s="542"/>
      <c r="I280" s="257"/>
      <c r="J280" s="257"/>
      <c r="R280" s="166"/>
      <c r="T280" s="542"/>
      <c r="U280" s="542"/>
      <c r="W280" s="542"/>
    </row>
    <row r="281" spans="5:23" s="112" customFormat="1">
      <c r="E281" s="166"/>
      <c r="F281" s="464"/>
      <c r="H281" s="542"/>
      <c r="I281" s="257"/>
      <c r="J281" s="257"/>
      <c r="R281" s="166"/>
      <c r="T281" s="542"/>
      <c r="U281" s="542"/>
      <c r="W281" s="542"/>
    </row>
    <row r="282" spans="5:23" s="112" customFormat="1">
      <c r="E282" s="166"/>
      <c r="F282" s="464"/>
      <c r="H282" s="542"/>
      <c r="I282" s="257"/>
      <c r="J282" s="257"/>
      <c r="R282" s="166"/>
      <c r="T282" s="542"/>
      <c r="U282" s="542"/>
      <c r="W282" s="542"/>
    </row>
    <row r="283" spans="5:23" s="112" customFormat="1">
      <c r="E283" s="166"/>
      <c r="F283" s="464"/>
      <c r="H283" s="542"/>
      <c r="I283" s="257"/>
      <c r="J283" s="257"/>
      <c r="R283" s="166"/>
      <c r="T283" s="542"/>
      <c r="U283" s="542"/>
      <c r="W283" s="542"/>
    </row>
    <row r="284" spans="5:23" s="112" customFormat="1">
      <c r="E284" s="166"/>
      <c r="F284" s="464"/>
      <c r="H284" s="542"/>
      <c r="I284" s="257"/>
      <c r="J284" s="257"/>
      <c r="R284" s="166"/>
      <c r="T284" s="542"/>
      <c r="U284" s="542"/>
      <c r="W284" s="542"/>
    </row>
    <row r="285" spans="5:23" s="112" customFormat="1">
      <c r="E285" s="166"/>
      <c r="F285" s="464"/>
      <c r="H285" s="542"/>
      <c r="I285" s="257"/>
      <c r="J285" s="257"/>
      <c r="R285" s="166"/>
      <c r="T285" s="542"/>
      <c r="U285" s="542"/>
      <c r="W285" s="542"/>
    </row>
    <row r="286" spans="5:23" s="112" customFormat="1">
      <c r="E286" s="166"/>
      <c r="F286" s="464"/>
      <c r="H286" s="542"/>
      <c r="I286" s="257"/>
      <c r="J286" s="257"/>
      <c r="R286" s="166"/>
      <c r="T286" s="542"/>
      <c r="U286" s="542"/>
      <c r="W286" s="542"/>
    </row>
    <row r="287" spans="5:23" s="112" customFormat="1">
      <c r="E287" s="166"/>
      <c r="F287" s="464"/>
      <c r="H287" s="542"/>
      <c r="I287" s="257"/>
      <c r="J287" s="257"/>
      <c r="R287" s="166"/>
      <c r="T287" s="542"/>
      <c r="U287" s="542"/>
      <c r="W287" s="542"/>
    </row>
    <row r="288" spans="5:23" s="112" customFormat="1">
      <c r="E288" s="166"/>
      <c r="F288" s="464"/>
      <c r="H288" s="542"/>
      <c r="I288" s="257"/>
      <c r="J288" s="257"/>
      <c r="R288" s="166"/>
      <c r="T288" s="542"/>
      <c r="U288" s="542"/>
      <c r="W288" s="542"/>
    </row>
    <row r="289" spans="5:23" s="112" customFormat="1">
      <c r="E289" s="166"/>
      <c r="F289" s="464"/>
      <c r="H289" s="542"/>
      <c r="I289" s="257"/>
      <c r="J289" s="257"/>
      <c r="R289" s="166"/>
      <c r="T289" s="542"/>
      <c r="U289" s="542"/>
      <c r="W289" s="542"/>
    </row>
    <row r="290" spans="5:23" s="112" customFormat="1">
      <c r="E290" s="166"/>
      <c r="F290" s="464"/>
      <c r="H290" s="542"/>
      <c r="I290" s="257"/>
      <c r="J290" s="257"/>
      <c r="R290" s="166"/>
      <c r="T290" s="542"/>
      <c r="U290" s="542"/>
      <c r="W290" s="542"/>
    </row>
    <row r="291" spans="5:23" s="112" customFormat="1">
      <c r="E291" s="166"/>
      <c r="F291" s="464"/>
      <c r="H291" s="542"/>
      <c r="I291" s="257"/>
      <c r="J291" s="257"/>
      <c r="R291" s="166"/>
      <c r="T291" s="542"/>
      <c r="U291" s="542"/>
      <c r="W291" s="542"/>
    </row>
    <row r="292" spans="5:23" s="112" customFormat="1">
      <c r="E292" s="166"/>
      <c r="F292" s="464"/>
      <c r="H292" s="542"/>
      <c r="I292" s="257"/>
      <c r="J292" s="257"/>
      <c r="R292" s="166"/>
      <c r="T292" s="542"/>
      <c r="U292" s="542"/>
      <c r="W292" s="542"/>
    </row>
    <row r="293" spans="5:23" s="112" customFormat="1">
      <c r="E293" s="166"/>
      <c r="F293" s="464"/>
      <c r="H293" s="542"/>
      <c r="I293" s="257"/>
      <c r="J293" s="257"/>
      <c r="R293" s="166"/>
      <c r="T293" s="542"/>
      <c r="U293" s="542"/>
      <c r="W293" s="542"/>
    </row>
    <row r="294" spans="5:23" s="112" customFormat="1">
      <c r="E294" s="166"/>
      <c r="F294" s="464"/>
      <c r="H294" s="542"/>
      <c r="I294" s="257"/>
      <c r="J294" s="257"/>
      <c r="R294" s="166"/>
      <c r="T294" s="542"/>
      <c r="U294" s="542"/>
      <c r="W294" s="542"/>
    </row>
    <row r="295" spans="5:23" s="112" customFormat="1">
      <c r="E295" s="166"/>
      <c r="F295" s="464"/>
      <c r="H295" s="542"/>
      <c r="I295" s="257"/>
      <c r="J295" s="257"/>
      <c r="R295" s="166"/>
      <c r="T295" s="542"/>
      <c r="U295" s="542"/>
      <c r="W295" s="542"/>
    </row>
    <row r="296" spans="5:23" s="112" customFormat="1">
      <c r="E296" s="166"/>
      <c r="F296" s="464"/>
      <c r="H296" s="542"/>
      <c r="I296" s="257"/>
      <c r="J296" s="257"/>
      <c r="R296" s="166"/>
      <c r="T296" s="542"/>
      <c r="U296" s="542"/>
      <c r="W296" s="542"/>
    </row>
    <row r="297" spans="5:23" s="112" customFormat="1">
      <c r="E297" s="166"/>
      <c r="F297" s="464"/>
      <c r="H297" s="542"/>
      <c r="I297" s="257"/>
      <c r="J297" s="257"/>
      <c r="R297" s="166"/>
      <c r="T297" s="542"/>
      <c r="U297" s="542"/>
      <c r="W297" s="542"/>
    </row>
    <row r="298" spans="5:23" s="112" customFormat="1">
      <c r="E298" s="166"/>
      <c r="F298" s="464"/>
      <c r="H298" s="542"/>
      <c r="I298" s="257"/>
      <c r="J298" s="257"/>
      <c r="R298" s="166"/>
      <c r="T298" s="542"/>
      <c r="U298" s="542"/>
      <c r="W298" s="542"/>
    </row>
    <row r="299" spans="5:23" s="112" customFormat="1">
      <c r="E299" s="166"/>
      <c r="F299" s="464"/>
      <c r="H299" s="542"/>
      <c r="I299" s="257"/>
      <c r="J299" s="257"/>
      <c r="R299" s="166"/>
      <c r="T299" s="542"/>
      <c r="U299" s="542"/>
      <c r="W299" s="542"/>
    </row>
    <row r="300" spans="5:23" s="112" customFormat="1">
      <c r="E300" s="166"/>
      <c r="F300" s="464"/>
      <c r="H300" s="542"/>
      <c r="I300" s="257"/>
      <c r="J300" s="257"/>
      <c r="R300" s="166"/>
      <c r="T300" s="542"/>
      <c r="U300" s="542"/>
      <c r="W300" s="542"/>
    </row>
    <row r="301" spans="5:23" s="112" customFormat="1">
      <c r="E301" s="166"/>
      <c r="F301" s="464"/>
      <c r="H301" s="542"/>
      <c r="I301" s="257"/>
      <c r="J301" s="257"/>
      <c r="R301" s="166"/>
      <c r="T301" s="542"/>
      <c r="U301" s="542"/>
      <c r="W301" s="542"/>
    </row>
    <row r="302" spans="5:23" s="112" customFormat="1">
      <c r="E302" s="166"/>
      <c r="F302" s="464"/>
      <c r="H302" s="542"/>
      <c r="I302" s="257"/>
      <c r="J302" s="257"/>
      <c r="R302" s="166"/>
      <c r="T302" s="542"/>
      <c r="U302" s="542"/>
      <c r="W302" s="542"/>
    </row>
    <row r="303" spans="5:23" s="112" customFormat="1">
      <c r="E303" s="166"/>
      <c r="F303" s="464"/>
      <c r="H303" s="542"/>
      <c r="I303" s="257"/>
      <c r="J303" s="257"/>
      <c r="R303" s="166"/>
      <c r="T303" s="542"/>
      <c r="U303" s="542"/>
      <c r="W303" s="542"/>
    </row>
    <row r="304" spans="5:23" s="112" customFormat="1">
      <c r="E304" s="166"/>
      <c r="F304" s="464"/>
      <c r="H304" s="542"/>
      <c r="I304" s="257"/>
      <c r="J304" s="257"/>
      <c r="R304" s="166"/>
      <c r="T304" s="542"/>
      <c r="U304" s="542"/>
      <c r="W304" s="542"/>
    </row>
    <row r="305" spans="5:23" s="112" customFormat="1">
      <c r="E305" s="166"/>
      <c r="F305" s="464"/>
      <c r="H305" s="542"/>
      <c r="I305" s="257"/>
      <c r="J305" s="257"/>
      <c r="R305" s="166"/>
      <c r="T305" s="542"/>
      <c r="U305" s="542"/>
      <c r="W305" s="542"/>
    </row>
    <row r="306" spans="5:23" s="112" customFormat="1">
      <c r="E306" s="166"/>
      <c r="F306" s="464"/>
      <c r="H306" s="542"/>
      <c r="I306" s="257"/>
      <c r="J306" s="257"/>
      <c r="R306" s="166"/>
      <c r="T306" s="542"/>
      <c r="U306" s="542"/>
      <c r="W306" s="542"/>
    </row>
    <row r="307" spans="5:23" s="112" customFormat="1">
      <c r="E307" s="166"/>
      <c r="F307" s="464"/>
      <c r="H307" s="542"/>
      <c r="I307" s="257"/>
      <c r="J307" s="257"/>
      <c r="R307" s="166"/>
      <c r="T307" s="542"/>
      <c r="U307" s="542"/>
      <c r="W307" s="542"/>
    </row>
    <row r="308" spans="5:23" s="112" customFormat="1">
      <c r="E308" s="166"/>
      <c r="F308" s="464"/>
      <c r="H308" s="542"/>
      <c r="I308" s="257"/>
      <c r="J308" s="257"/>
      <c r="R308" s="166"/>
      <c r="T308" s="542"/>
      <c r="U308" s="542"/>
      <c r="W308" s="542"/>
    </row>
    <row r="309" spans="5:23" s="112" customFormat="1">
      <c r="E309" s="166"/>
      <c r="F309" s="464"/>
      <c r="H309" s="542"/>
      <c r="I309" s="257"/>
      <c r="J309" s="257"/>
      <c r="R309" s="166"/>
      <c r="T309" s="542"/>
      <c r="U309" s="542"/>
      <c r="W309" s="542"/>
    </row>
    <row r="310" spans="5:23" s="112" customFormat="1">
      <c r="E310" s="166"/>
      <c r="F310" s="464"/>
      <c r="H310" s="542"/>
      <c r="I310" s="257"/>
      <c r="J310" s="257"/>
      <c r="R310" s="166"/>
      <c r="T310" s="542"/>
      <c r="U310" s="542"/>
      <c r="W310" s="542"/>
    </row>
    <row r="311" spans="5:23" s="112" customFormat="1">
      <c r="E311" s="166"/>
      <c r="F311" s="464"/>
      <c r="H311" s="542"/>
      <c r="I311" s="257"/>
      <c r="J311" s="257"/>
      <c r="R311" s="166"/>
      <c r="T311" s="542"/>
      <c r="U311" s="542"/>
      <c r="W311" s="542"/>
    </row>
    <row r="312" spans="5:23" s="112" customFormat="1">
      <c r="E312" s="166"/>
      <c r="F312" s="464"/>
      <c r="H312" s="542"/>
      <c r="I312" s="257"/>
      <c r="J312" s="257"/>
      <c r="R312" s="166"/>
      <c r="T312" s="542"/>
      <c r="U312" s="542"/>
      <c r="W312" s="542"/>
    </row>
    <row r="313" spans="5:23" s="112" customFormat="1">
      <c r="E313" s="166"/>
      <c r="F313" s="464"/>
      <c r="H313" s="542"/>
      <c r="I313" s="257"/>
      <c r="J313" s="257"/>
      <c r="R313" s="166"/>
      <c r="T313" s="542"/>
      <c r="U313" s="542"/>
      <c r="W313" s="542"/>
    </row>
    <row r="314" spans="5:23" s="112" customFormat="1">
      <c r="E314" s="166"/>
      <c r="F314" s="464"/>
      <c r="H314" s="542"/>
      <c r="I314" s="257"/>
      <c r="J314" s="257"/>
      <c r="R314" s="166"/>
      <c r="T314" s="542"/>
      <c r="U314" s="542"/>
      <c r="W314" s="542"/>
    </row>
    <row r="315" spans="5:23" s="112" customFormat="1">
      <c r="E315" s="166"/>
      <c r="F315" s="464"/>
      <c r="H315" s="542"/>
      <c r="I315" s="257"/>
      <c r="J315" s="257"/>
      <c r="R315" s="166"/>
      <c r="T315" s="542"/>
      <c r="U315" s="542"/>
      <c r="W315" s="542"/>
    </row>
    <row r="316" spans="5:23" s="112" customFormat="1">
      <c r="E316" s="166"/>
      <c r="F316" s="464"/>
      <c r="H316" s="542"/>
      <c r="I316" s="257"/>
      <c r="J316" s="257"/>
      <c r="R316" s="166"/>
      <c r="T316" s="542"/>
      <c r="U316" s="542"/>
      <c r="W316" s="542"/>
    </row>
    <row r="317" spans="5:23" s="112" customFormat="1">
      <c r="E317" s="166"/>
      <c r="F317" s="464"/>
      <c r="H317" s="542"/>
      <c r="I317" s="257"/>
      <c r="J317" s="257"/>
      <c r="R317" s="166"/>
      <c r="T317" s="542"/>
      <c r="U317" s="542"/>
      <c r="W317" s="542"/>
    </row>
    <row r="318" spans="5:23" s="112" customFormat="1">
      <c r="E318" s="166"/>
      <c r="F318" s="464"/>
      <c r="H318" s="542"/>
      <c r="I318" s="257"/>
      <c r="J318" s="257"/>
      <c r="R318" s="166"/>
      <c r="T318" s="542"/>
      <c r="U318" s="542"/>
      <c r="W318" s="542"/>
    </row>
    <row r="319" spans="5:23" s="112" customFormat="1">
      <c r="E319" s="166"/>
      <c r="F319" s="464"/>
      <c r="H319" s="542"/>
      <c r="I319" s="257"/>
      <c r="J319" s="257"/>
      <c r="R319" s="166"/>
      <c r="T319" s="542"/>
      <c r="U319" s="542"/>
      <c r="W319" s="542"/>
    </row>
    <row r="320" spans="5:23" s="112" customFormat="1">
      <c r="E320" s="166"/>
      <c r="F320" s="464"/>
      <c r="H320" s="542"/>
      <c r="I320" s="257"/>
      <c r="J320" s="257"/>
      <c r="R320" s="166"/>
      <c r="T320" s="542"/>
      <c r="U320" s="542"/>
      <c r="W320" s="542"/>
    </row>
    <row r="321" spans="5:23" s="112" customFormat="1">
      <c r="E321" s="166"/>
      <c r="F321" s="464"/>
      <c r="H321" s="542"/>
      <c r="I321" s="257"/>
      <c r="J321" s="257"/>
      <c r="R321" s="166"/>
      <c r="T321" s="542"/>
      <c r="U321" s="542"/>
      <c r="W321" s="542"/>
    </row>
    <row r="322" spans="5:23" s="112" customFormat="1">
      <c r="E322" s="166"/>
      <c r="F322" s="464"/>
      <c r="H322" s="542"/>
      <c r="I322" s="257"/>
      <c r="J322" s="257"/>
      <c r="R322" s="166"/>
      <c r="T322" s="542"/>
      <c r="U322" s="542"/>
      <c r="W322" s="542"/>
    </row>
    <row r="323" spans="5:23" s="112" customFormat="1">
      <c r="E323" s="166"/>
      <c r="F323" s="464"/>
      <c r="H323" s="542"/>
      <c r="I323" s="257"/>
      <c r="J323" s="257"/>
      <c r="R323" s="166"/>
      <c r="T323" s="542"/>
      <c r="U323" s="542"/>
      <c r="W323" s="542"/>
    </row>
    <row r="324" spans="5:23" s="112" customFormat="1">
      <c r="E324" s="166"/>
      <c r="F324" s="464"/>
      <c r="H324" s="542"/>
      <c r="I324" s="257"/>
      <c r="J324" s="257"/>
      <c r="R324" s="166"/>
      <c r="T324" s="542"/>
      <c r="U324" s="542"/>
      <c r="W324" s="542"/>
    </row>
    <row r="325" spans="5:23" s="112" customFormat="1">
      <c r="E325" s="166"/>
      <c r="F325" s="464"/>
      <c r="H325" s="542"/>
      <c r="I325" s="257"/>
      <c r="J325" s="257"/>
      <c r="R325" s="166"/>
      <c r="T325" s="542"/>
      <c r="U325" s="542"/>
      <c r="W325" s="542"/>
    </row>
    <row r="326" spans="5:23" s="112" customFormat="1">
      <c r="E326" s="166"/>
      <c r="F326" s="464"/>
      <c r="H326" s="542"/>
      <c r="I326" s="257"/>
      <c r="J326" s="257"/>
      <c r="R326" s="166"/>
      <c r="T326" s="542"/>
      <c r="U326" s="542"/>
      <c r="W326" s="542"/>
    </row>
    <row r="327" spans="5:23" s="112" customFormat="1">
      <c r="E327" s="166"/>
      <c r="F327" s="464"/>
      <c r="H327" s="542"/>
      <c r="I327" s="257"/>
      <c r="J327" s="257"/>
      <c r="R327" s="166"/>
      <c r="T327" s="542"/>
      <c r="U327" s="542"/>
      <c r="W327" s="542"/>
    </row>
    <row r="328" spans="5:23" s="112" customFormat="1">
      <c r="E328" s="166"/>
      <c r="F328" s="464"/>
      <c r="H328" s="542"/>
      <c r="I328" s="257"/>
      <c r="J328" s="257"/>
      <c r="R328" s="166"/>
      <c r="T328" s="542"/>
      <c r="U328" s="542"/>
      <c r="W328" s="542"/>
    </row>
    <row r="329" spans="5:23" s="112" customFormat="1">
      <c r="E329" s="166"/>
      <c r="F329" s="464"/>
      <c r="H329" s="542"/>
      <c r="I329" s="257"/>
      <c r="J329" s="257"/>
      <c r="R329" s="166"/>
      <c r="T329" s="542"/>
      <c r="U329" s="542"/>
      <c r="W329" s="542"/>
    </row>
    <row r="330" spans="5:23" s="112" customFormat="1">
      <c r="E330" s="166"/>
      <c r="F330" s="464"/>
      <c r="H330" s="542"/>
      <c r="I330" s="257"/>
      <c r="J330" s="257"/>
      <c r="R330" s="166"/>
      <c r="T330" s="542"/>
      <c r="U330" s="542"/>
      <c r="W330" s="542"/>
    </row>
    <row r="331" spans="5:23" s="112" customFormat="1">
      <c r="E331" s="166"/>
      <c r="F331" s="464"/>
      <c r="H331" s="542"/>
      <c r="I331" s="257"/>
      <c r="J331" s="257"/>
      <c r="R331" s="166"/>
      <c r="T331" s="542"/>
      <c r="U331" s="542"/>
      <c r="W331" s="542"/>
    </row>
    <row r="332" spans="5:23" s="112" customFormat="1">
      <c r="E332" s="166"/>
      <c r="F332" s="464"/>
      <c r="H332" s="542"/>
      <c r="I332" s="257"/>
      <c r="J332" s="257"/>
      <c r="R332" s="166"/>
      <c r="T332" s="542"/>
      <c r="U332" s="542"/>
      <c r="W332" s="542"/>
    </row>
    <row r="333" spans="5:23" s="112" customFormat="1">
      <c r="E333" s="166"/>
      <c r="F333" s="464"/>
      <c r="H333" s="542"/>
      <c r="I333" s="257"/>
      <c r="J333" s="257"/>
      <c r="R333" s="166"/>
      <c r="T333" s="542"/>
      <c r="U333" s="542"/>
      <c r="W333" s="542"/>
    </row>
    <row r="334" spans="5:23" s="112" customFormat="1">
      <c r="E334" s="166"/>
      <c r="F334" s="464"/>
      <c r="H334" s="542"/>
      <c r="I334" s="257"/>
      <c r="J334" s="257"/>
      <c r="R334" s="166"/>
      <c r="T334" s="542"/>
      <c r="U334" s="542"/>
      <c r="W334" s="542"/>
    </row>
    <row r="335" spans="5:23" s="112" customFormat="1">
      <c r="E335" s="166"/>
      <c r="F335" s="464"/>
      <c r="H335" s="542"/>
      <c r="I335" s="257"/>
      <c r="J335" s="257"/>
      <c r="R335" s="166"/>
      <c r="T335" s="542"/>
      <c r="U335" s="542"/>
      <c r="W335" s="542"/>
    </row>
    <row r="336" spans="5:23" s="112" customFormat="1">
      <c r="E336" s="166"/>
      <c r="F336" s="464"/>
      <c r="H336" s="542"/>
      <c r="I336" s="257"/>
      <c r="J336" s="257"/>
      <c r="R336" s="166"/>
      <c r="T336" s="542"/>
      <c r="U336" s="542"/>
      <c r="W336" s="542"/>
    </row>
    <row r="337" spans="5:23" s="112" customFormat="1">
      <c r="E337" s="166"/>
      <c r="F337" s="464"/>
      <c r="H337" s="542"/>
      <c r="I337" s="257"/>
      <c r="J337" s="257"/>
      <c r="R337" s="166"/>
      <c r="T337" s="542"/>
      <c r="U337" s="542"/>
      <c r="W337" s="542"/>
    </row>
    <row r="338" spans="5:23" s="112" customFormat="1">
      <c r="E338" s="166"/>
      <c r="F338" s="464"/>
      <c r="H338" s="542"/>
      <c r="I338" s="257"/>
      <c r="J338" s="257"/>
      <c r="R338" s="166"/>
      <c r="T338" s="542"/>
      <c r="U338" s="542"/>
      <c r="W338" s="542"/>
    </row>
    <row r="339" spans="5:23" s="112" customFormat="1">
      <c r="E339" s="166"/>
      <c r="F339" s="464"/>
      <c r="H339" s="542"/>
      <c r="I339" s="257"/>
      <c r="J339" s="257"/>
      <c r="R339" s="166"/>
      <c r="T339" s="542"/>
      <c r="U339" s="542"/>
      <c r="W339" s="542"/>
    </row>
    <row r="340" spans="5:23" s="112" customFormat="1">
      <c r="E340" s="166"/>
      <c r="F340" s="464"/>
      <c r="H340" s="542"/>
      <c r="I340" s="257"/>
      <c r="J340" s="257"/>
      <c r="R340" s="166"/>
      <c r="T340" s="542"/>
      <c r="U340" s="542"/>
      <c r="W340" s="542"/>
    </row>
    <row r="341" spans="5:23" s="112" customFormat="1">
      <c r="E341" s="166"/>
      <c r="F341" s="464"/>
      <c r="H341" s="542"/>
      <c r="I341" s="257"/>
      <c r="J341" s="257"/>
      <c r="R341" s="166"/>
      <c r="T341" s="542"/>
      <c r="U341" s="542"/>
      <c r="W341" s="542"/>
    </row>
    <row r="342" spans="5:23" s="112" customFormat="1">
      <c r="E342" s="166"/>
      <c r="F342" s="464"/>
      <c r="H342" s="542"/>
      <c r="I342" s="257"/>
      <c r="J342" s="257"/>
      <c r="R342" s="166"/>
      <c r="T342" s="542"/>
      <c r="U342" s="542"/>
      <c r="W342" s="542"/>
    </row>
    <row r="343" spans="5:23" s="112" customFormat="1">
      <c r="E343" s="166"/>
      <c r="F343" s="464"/>
      <c r="H343" s="542"/>
      <c r="I343" s="257"/>
      <c r="J343" s="257"/>
      <c r="R343" s="166"/>
      <c r="T343" s="542"/>
      <c r="U343" s="542"/>
      <c r="W343" s="542"/>
    </row>
    <row r="344" spans="5:23" s="112" customFormat="1">
      <c r="E344" s="166"/>
      <c r="F344" s="464"/>
      <c r="H344" s="542"/>
      <c r="I344" s="257"/>
      <c r="J344" s="257"/>
      <c r="R344" s="166"/>
      <c r="T344" s="542"/>
      <c r="U344" s="542"/>
      <c r="W344" s="542"/>
    </row>
    <row r="345" spans="5:23" s="112" customFormat="1">
      <c r="E345" s="166"/>
      <c r="F345" s="464"/>
      <c r="H345" s="542"/>
      <c r="I345" s="257"/>
      <c r="J345" s="257"/>
      <c r="R345" s="166"/>
      <c r="T345" s="542"/>
      <c r="U345" s="542"/>
      <c r="W345" s="542"/>
    </row>
    <row r="346" spans="5:23" s="112" customFormat="1">
      <c r="E346" s="166"/>
      <c r="F346" s="464"/>
      <c r="H346" s="542"/>
      <c r="I346" s="257"/>
      <c r="J346" s="257"/>
      <c r="R346" s="166"/>
      <c r="T346" s="542"/>
      <c r="U346" s="542"/>
      <c r="W346" s="542"/>
    </row>
    <row r="347" spans="5:23" s="112" customFormat="1">
      <c r="E347" s="166"/>
      <c r="F347" s="464"/>
      <c r="H347" s="542"/>
      <c r="I347" s="257"/>
      <c r="J347" s="257"/>
      <c r="R347" s="166"/>
      <c r="T347" s="542"/>
      <c r="U347" s="542"/>
      <c r="W347" s="542"/>
    </row>
    <row r="348" spans="5:23" s="112" customFormat="1">
      <c r="E348" s="166"/>
      <c r="F348" s="464"/>
      <c r="H348" s="542"/>
      <c r="I348" s="257"/>
      <c r="J348" s="257"/>
      <c r="R348" s="166"/>
      <c r="T348" s="542"/>
      <c r="U348" s="542"/>
      <c r="W348" s="542"/>
    </row>
    <row r="349" spans="5:23" s="112" customFormat="1">
      <c r="E349" s="166"/>
      <c r="F349" s="464"/>
      <c r="H349" s="542"/>
      <c r="I349" s="257"/>
      <c r="J349" s="257"/>
      <c r="R349" s="166"/>
      <c r="T349" s="542"/>
      <c r="U349" s="542"/>
      <c r="W349" s="542"/>
    </row>
    <row r="350" spans="5:23" s="112" customFormat="1">
      <c r="E350" s="166"/>
      <c r="F350" s="464"/>
      <c r="H350" s="542"/>
      <c r="I350" s="257"/>
      <c r="J350" s="257"/>
      <c r="R350" s="166"/>
      <c r="T350" s="542"/>
      <c r="U350" s="542"/>
      <c r="W350" s="542"/>
    </row>
    <row r="351" spans="5:23" s="112" customFormat="1">
      <c r="E351" s="166"/>
      <c r="F351" s="464"/>
      <c r="H351" s="542"/>
      <c r="I351" s="257"/>
      <c r="J351" s="257"/>
      <c r="R351" s="166"/>
      <c r="T351" s="542"/>
      <c r="U351" s="542"/>
      <c r="W351" s="542"/>
    </row>
    <row r="352" spans="5:23" s="112" customFormat="1">
      <c r="E352" s="166"/>
      <c r="F352" s="464"/>
      <c r="H352" s="542"/>
      <c r="I352" s="257"/>
      <c r="J352" s="257"/>
      <c r="R352" s="166"/>
      <c r="T352" s="542"/>
      <c r="U352" s="542"/>
      <c r="W352" s="542"/>
    </row>
    <row r="353" spans="5:23" s="112" customFormat="1">
      <c r="E353" s="166"/>
      <c r="F353" s="464"/>
      <c r="H353" s="542"/>
      <c r="I353" s="257"/>
      <c r="J353" s="257"/>
      <c r="R353" s="166"/>
      <c r="T353" s="542"/>
      <c r="U353" s="542"/>
      <c r="W353" s="542"/>
    </row>
    <row r="354" spans="5:23" s="112" customFormat="1">
      <c r="E354" s="166"/>
      <c r="F354" s="464"/>
      <c r="H354" s="542"/>
      <c r="I354" s="257"/>
      <c r="J354" s="257"/>
      <c r="R354" s="166"/>
      <c r="T354" s="542"/>
      <c r="U354" s="542"/>
      <c r="W354" s="542"/>
    </row>
    <row r="355" spans="5:23" s="112" customFormat="1">
      <c r="E355" s="166"/>
      <c r="F355" s="464"/>
      <c r="H355" s="542"/>
      <c r="I355" s="257"/>
      <c r="J355" s="257"/>
      <c r="R355" s="166"/>
      <c r="T355" s="542"/>
      <c r="U355" s="542"/>
      <c r="W355" s="542"/>
    </row>
    <row r="356" spans="5:23" s="112" customFormat="1">
      <c r="E356" s="166"/>
      <c r="F356" s="464"/>
      <c r="H356" s="542"/>
      <c r="I356" s="257"/>
      <c r="J356" s="257"/>
      <c r="R356" s="166"/>
      <c r="T356" s="542"/>
      <c r="U356" s="542"/>
      <c r="W356" s="542"/>
    </row>
    <row r="357" spans="5:23" s="112" customFormat="1">
      <c r="E357" s="166"/>
      <c r="F357" s="464"/>
      <c r="H357" s="542"/>
      <c r="I357" s="257"/>
      <c r="J357" s="257"/>
      <c r="R357" s="166"/>
      <c r="T357" s="542"/>
      <c r="U357" s="542"/>
      <c r="W357" s="542"/>
    </row>
    <row r="358" spans="5:23" s="112" customFormat="1">
      <c r="E358" s="166"/>
      <c r="F358" s="464"/>
      <c r="H358" s="542"/>
      <c r="I358" s="257"/>
      <c r="J358" s="257"/>
      <c r="R358" s="166"/>
      <c r="T358" s="542"/>
      <c r="U358" s="542"/>
      <c r="W358" s="542"/>
    </row>
    <row r="359" spans="5:23" s="112" customFormat="1">
      <c r="E359" s="166"/>
      <c r="F359" s="464"/>
      <c r="H359" s="542"/>
      <c r="I359" s="257"/>
      <c r="J359" s="257"/>
      <c r="R359" s="166"/>
      <c r="T359" s="542"/>
      <c r="U359" s="542"/>
      <c r="W359" s="542"/>
    </row>
    <row r="360" spans="5:23" s="112" customFormat="1">
      <c r="E360" s="166"/>
      <c r="F360" s="464"/>
      <c r="H360" s="542"/>
      <c r="I360" s="257"/>
      <c r="J360" s="257"/>
      <c r="R360" s="166"/>
      <c r="T360" s="542"/>
      <c r="U360" s="542"/>
      <c r="W360" s="542"/>
    </row>
    <row r="361" spans="5:23" s="112" customFormat="1">
      <c r="E361" s="166"/>
      <c r="F361" s="464"/>
      <c r="H361" s="542"/>
      <c r="I361" s="257"/>
      <c r="J361" s="257"/>
      <c r="R361" s="166"/>
      <c r="T361" s="542"/>
      <c r="U361" s="542"/>
      <c r="W361" s="542"/>
    </row>
    <row r="362" spans="5:23" s="112" customFormat="1">
      <c r="E362" s="166"/>
      <c r="F362" s="464"/>
      <c r="H362" s="542"/>
      <c r="I362" s="257"/>
      <c r="J362" s="257"/>
      <c r="R362" s="166"/>
      <c r="T362" s="542"/>
      <c r="U362" s="542"/>
      <c r="W362" s="542"/>
    </row>
    <row r="363" spans="5:23" s="112" customFormat="1">
      <c r="E363" s="166"/>
      <c r="F363" s="464"/>
      <c r="H363" s="542"/>
      <c r="I363" s="257"/>
      <c r="J363" s="257"/>
      <c r="R363" s="166"/>
      <c r="T363" s="542"/>
      <c r="U363" s="542"/>
      <c r="W363" s="542"/>
    </row>
    <row r="364" spans="5:23" s="112" customFormat="1">
      <c r="E364" s="166"/>
      <c r="F364" s="464"/>
      <c r="H364" s="542"/>
      <c r="I364" s="257"/>
      <c r="J364" s="257"/>
      <c r="R364" s="166"/>
      <c r="T364" s="542"/>
      <c r="U364" s="542"/>
      <c r="W364" s="542"/>
    </row>
    <row r="365" spans="5:23" s="112" customFormat="1">
      <c r="E365" s="166"/>
      <c r="F365" s="464"/>
      <c r="H365" s="542"/>
      <c r="I365" s="257"/>
      <c r="J365" s="257"/>
      <c r="R365" s="166"/>
      <c r="T365" s="542"/>
      <c r="U365" s="542"/>
      <c r="W365" s="542"/>
    </row>
    <row r="366" spans="5:23" s="112" customFormat="1">
      <c r="E366" s="166"/>
      <c r="F366" s="464"/>
      <c r="H366" s="542"/>
      <c r="I366" s="257"/>
      <c r="J366" s="257"/>
      <c r="R366" s="166"/>
      <c r="T366" s="542"/>
      <c r="U366" s="542"/>
      <c r="W366" s="542"/>
    </row>
    <row r="367" spans="5:23" s="112" customFormat="1">
      <c r="E367" s="166"/>
      <c r="F367" s="464"/>
      <c r="H367" s="542"/>
      <c r="I367" s="257"/>
      <c r="J367" s="257"/>
      <c r="R367" s="166"/>
      <c r="T367" s="542"/>
      <c r="U367" s="542"/>
      <c r="W367" s="542"/>
    </row>
    <row r="368" spans="5:23" s="112" customFormat="1">
      <c r="E368" s="166"/>
      <c r="F368" s="464"/>
      <c r="H368" s="542"/>
      <c r="I368" s="257"/>
      <c r="J368" s="257"/>
      <c r="R368" s="166"/>
      <c r="T368" s="542"/>
      <c r="U368" s="542"/>
      <c r="W368" s="542"/>
    </row>
    <row r="369" spans="5:23" s="112" customFormat="1">
      <c r="E369" s="166"/>
      <c r="F369" s="464"/>
      <c r="H369" s="542"/>
      <c r="I369" s="257"/>
      <c r="J369" s="257"/>
      <c r="R369" s="166"/>
      <c r="T369" s="542"/>
      <c r="U369" s="542"/>
      <c r="W369" s="542"/>
    </row>
    <row r="370" spans="5:23" s="112" customFormat="1">
      <c r="E370" s="166"/>
      <c r="F370" s="464"/>
      <c r="H370" s="542"/>
      <c r="I370" s="257"/>
      <c r="J370" s="257"/>
      <c r="R370" s="166"/>
      <c r="T370" s="542"/>
      <c r="U370" s="542"/>
      <c r="W370" s="542"/>
    </row>
    <row r="371" spans="5:23" s="112" customFormat="1">
      <c r="E371" s="166"/>
      <c r="F371" s="464"/>
      <c r="H371" s="542"/>
      <c r="I371" s="257"/>
      <c r="J371" s="257"/>
      <c r="R371" s="166"/>
      <c r="T371" s="542"/>
      <c r="U371" s="542"/>
      <c r="W371" s="542"/>
    </row>
    <row r="372" spans="5:23" s="112" customFormat="1">
      <c r="E372" s="166"/>
      <c r="F372" s="464"/>
      <c r="H372" s="542"/>
      <c r="I372" s="257"/>
      <c r="J372" s="257"/>
      <c r="R372" s="166"/>
      <c r="T372" s="542"/>
      <c r="U372" s="542"/>
      <c r="W372" s="542"/>
    </row>
    <row r="373" spans="5:23" s="112" customFormat="1">
      <c r="E373" s="166"/>
      <c r="F373" s="464"/>
      <c r="H373" s="542"/>
      <c r="I373" s="257"/>
      <c r="J373" s="257"/>
      <c r="R373" s="166"/>
      <c r="T373" s="542"/>
      <c r="U373" s="542"/>
      <c r="W373" s="542"/>
    </row>
    <row r="374" spans="5:23" s="112" customFormat="1">
      <c r="E374" s="166"/>
      <c r="F374" s="464"/>
      <c r="H374" s="542"/>
      <c r="I374" s="257"/>
      <c r="J374" s="257"/>
      <c r="R374" s="166"/>
      <c r="T374" s="542"/>
      <c r="U374" s="542"/>
      <c r="W374" s="542"/>
    </row>
    <row r="375" spans="5:23" s="112" customFormat="1">
      <c r="E375" s="166"/>
      <c r="F375" s="464"/>
      <c r="H375" s="542"/>
      <c r="I375" s="257"/>
      <c r="J375" s="257"/>
      <c r="R375" s="166"/>
      <c r="T375" s="542"/>
      <c r="U375" s="542"/>
      <c r="W375" s="542"/>
    </row>
    <row r="376" spans="5:23" s="112" customFormat="1">
      <c r="E376" s="166"/>
      <c r="F376" s="464"/>
      <c r="H376" s="542"/>
      <c r="I376" s="257"/>
      <c r="J376" s="257"/>
      <c r="R376" s="166"/>
      <c r="T376" s="542"/>
      <c r="U376" s="542"/>
      <c r="W376" s="542"/>
    </row>
    <row r="377" spans="5:23" s="112" customFormat="1">
      <c r="E377" s="166"/>
      <c r="F377" s="464"/>
      <c r="H377" s="542"/>
      <c r="I377" s="257"/>
      <c r="J377" s="257"/>
      <c r="R377" s="166"/>
      <c r="T377" s="542"/>
      <c r="U377" s="542"/>
      <c r="W377" s="542"/>
    </row>
    <row r="378" spans="5:23" s="112" customFormat="1">
      <c r="E378" s="166"/>
      <c r="F378" s="464"/>
      <c r="H378" s="542"/>
      <c r="I378" s="257"/>
      <c r="J378" s="257"/>
      <c r="R378" s="166"/>
      <c r="T378" s="542"/>
      <c r="U378" s="542"/>
      <c r="W378" s="542"/>
    </row>
    <row r="379" spans="5:23" s="112" customFormat="1">
      <c r="E379" s="166"/>
      <c r="F379" s="464"/>
      <c r="H379" s="542"/>
      <c r="I379" s="257"/>
      <c r="J379" s="257"/>
      <c r="R379" s="166"/>
      <c r="T379" s="542"/>
      <c r="U379" s="542"/>
      <c r="W379" s="542"/>
    </row>
    <row r="380" spans="5:23" s="112" customFormat="1">
      <c r="E380" s="166"/>
      <c r="F380" s="464"/>
      <c r="H380" s="542"/>
      <c r="I380" s="257"/>
      <c r="J380" s="257"/>
      <c r="R380" s="166"/>
      <c r="T380" s="542"/>
      <c r="U380" s="542"/>
      <c r="W380" s="542"/>
    </row>
    <row r="381" spans="5:23" s="112" customFormat="1">
      <c r="E381" s="166"/>
      <c r="F381" s="464"/>
      <c r="H381" s="542"/>
      <c r="I381" s="257"/>
      <c r="J381" s="257"/>
      <c r="R381" s="166"/>
      <c r="T381" s="542"/>
      <c r="U381" s="542"/>
      <c r="W381" s="542"/>
    </row>
    <row r="382" spans="5:23" s="112" customFormat="1">
      <c r="E382" s="166"/>
      <c r="F382" s="464"/>
      <c r="H382" s="542"/>
      <c r="I382" s="257"/>
      <c r="J382" s="257"/>
      <c r="R382" s="166"/>
      <c r="T382" s="542"/>
      <c r="U382" s="542"/>
      <c r="W382" s="542"/>
    </row>
    <row r="383" spans="5:23" s="112" customFormat="1">
      <c r="E383" s="166"/>
      <c r="F383" s="464"/>
      <c r="H383" s="542"/>
      <c r="I383" s="257"/>
      <c r="J383" s="257"/>
      <c r="R383" s="166"/>
      <c r="T383" s="542"/>
      <c r="U383" s="542"/>
      <c r="W383" s="542"/>
    </row>
    <row r="384" spans="5:23" s="112" customFormat="1">
      <c r="E384" s="166"/>
      <c r="F384" s="464"/>
      <c r="H384" s="542"/>
      <c r="I384" s="257"/>
      <c r="J384" s="257"/>
      <c r="R384" s="166"/>
      <c r="T384" s="542"/>
      <c r="U384" s="542"/>
      <c r="W384" s="542"/>
    </row>
    <row r="385" spans="5:23" s="112" customFormat="1">
      <c r="E385" s="166"/>
      <c r="F385" s="464"/>
      <c r="H385" s="542"/>
      <c r="I385" s="257"/>
      <c r="J385" s="257"/>
      <c r="R385" s="166"/>
      <c r="T385" s="542"/>
      <c r="U385" s="542"/>
      <c r="W385" s="542"/>
    </row>
    <row r="386" spans="5:23" s="112" customFormat="1">
      <c r="E386" s="166"/>
      <c r="F386" s="464"/>
      <c r="H386" s="542"/>
      <c r="I386" s="257"/>
      <c r="J386" s="257"/>
      <c r="R386" s="166"/>
      <c r="T386" s="542"/>
      <c r="U386" s="542"/>
      <c r="W386" s="542"/>
    </row>
    <row r="387" spans="5:23" s="112" customFormat="1">
      <c r="E387" s="166"/>
      <c r="F387" s="464"/>
      <c r="H387" s="542"/>
      <c r="I387" s="257"/>
      <c r="J387" s="257"/>
      <c r="R387" s="166"/>
      <c r="T387" s="542"/>
      <c r="U387" s="542"/>
      <c r="W387" s="542"/>
    </row>
    <row r="388" spans="5:23" s="112" customFormat="1">
      <c r="E388" s="166"/>
      <c r="F388" s="464"/>
      <c r="H388" s="542"/>
      <c r="I388" s="257"/>
      <c r="J388" s="257"/>
      <c r="R388" s="166"/>
      <c r="T388" s="542"/>
      <c r="U388" s="542"/>
      <c r="W388" s="542"/>
    </row>
    <row r="389" spans="5:23" s="112" customFormat="1">
      <c r="E389" s="166"/>
      <c r="F389" s="464"/>
      <c r="H389" s="542"/>
      <c r="I389" s="257"/>
      <c r="J389" s="257"/>
      <c r="R389" s="166"/>
      <c r="T389" s="542"/>
      <c r="U389" s="542"/>
      <c r="W389" s="542"/>
    </row>
    <row r="390" spans="5:23" s="112" customFormat="1">
      <c r="E390" s="166"/>
      <c r="F390" s="464"/>
      <c r="H390" s="542"/>
      <c r="I390" s="257"/>
      <c r="J390" s="257"/>
      <c r="R390" s="166"/>
      <c r="T390" s="542"/>
      <c r="U390" s="542"/>
      <c r="W390" s="542"/>
    </row>
    <row r="391" spans="5:23" s="112" customFormat="1">
      <c r="E391" s="166"/>
      <c r="F391" s="464"/>
      <c r="H391" s="542"/>
      <c r="I391" s="257"/>
      <c r="J391" s="257"/>
      <c r="R391" s="166"/>
      <c r="T391" s="542"/>
      <c r="U391" s="542"/>
      <c r="W391" s="542"/>
    </row>
    <row r="392" spans="5:23" s="112" customFormat="1">
      <c r="E392" s="166"/>
      <c r="F392" s="464"/>
      <c r="H392" s="542"/>
      <c r="I392" s="257"/>
      <c r="J392" s="257"/>
      <c r="R392" s="166"/>
      <c r="T392" s="542"/>
      <c r="U392" s="542"/>
      <c r="W392" s="542"/>
    </row>
    <row r="393" spans="5:23" s="112" customFormat="1">
      <c r="E393" s="166"/>
      <c r="F393" s="464"/>
      <c r="H393" s="542"/>
      <c r="I393" s="257"/>
      <c r="J393" s="257"/>
      <c r="R393" s="166"/>
      <c r="T393" s="542"/>
      <c r="U393" s="542"/>
      <c r="W393" s="542"/>
    </row>
    <row r="394" spans="5:23" s="112" customFormat="1">
      <c r="E394" s="166"/>
      <c r="F394" s="464"/>
      <c r="H394" s="542"/>
      <c r="I394" s="257"/>
      <c r="J394" s="257"/>
      <c r="R394" s="166"/>
      <c r="T394" s="542"/>
      <c r="U394" s="542"/>
      <c r="W394" s="542"/>
    </row>
    <row r="395" spans="5:23" s="112" customFormat="1">
      <c r="E395" s="166"/>
      <c r="F395" s="464"/>
      <c r="H395" s="542"/>
      <c r="I395" s="257"/>
      <c r="J395" s="257"/>
      <c r="R395" s="166"/>
      <c r="T395" s="542"/>
      <c r="U395" s="542"/>
      <c r="W395" s="542"/>
    </row>
    <row r="396" spans="5:23" s="112" customFormat="1">
      <c r="E396" s="166"/>
      <c r="F396" s="464"/>
      <c r="H396" s="542"/>
      <c r="I396" s="257"/>
      <c r="J396" s="257"/>
      <c r="R396" s="166"/>
      <c r="T396" s="542"/>
      <c r="U396" s="542"/>
      <c r="W396" s="542"/>
    </row>
    <row r="397" spans="5:23" s="112" customFormat="1">
      <c r="E397" s="166"/>
      <c r="F397" s="464"/>
      <c r="H397" s="542"/>
      <c r="I397" s="257"/>
      <c r="J397" s="257"/>
      <c r="R397" s="166"/>
      <c r="T397" s="542"/>
      <c r="U397" s="542"/>
      <c r="W397" s="542"/>
    </row>
    <row r="398" spans="5:23" s="112" customFormat="1">
      <c r="E398" s="166"/>
      <c r="F398" s="464"/>
      <c r="H398" s="542"/>
      <c r="I398" s="257"/>
      <c r="J398" s="257"/>
      <c r="R398" s="166"/>
      <c r="T398" s="542"/>
      <c r="U398" s="542"/>
      <c r="W398" s="542"/>
    </row>
    <row r="399" spans="5:23" s="112" customFormat="1">
      <c r="E399" s="166"/>
      <c r="F399" s="464"/>
      <c r="H399" s="542"/>
      <c r="I399" s="257"/>
      <c r="J399" s="257"/>
      <c r="R399" s="166"/>
      <c r="T399" s="542"/>
      <c r="U399" s="542"/>
      <c r="W399" s="542"/>
    </row>
    <row r="400" spans="5:23" s="112" customFormat="1">
      <c r="E400" s="166"/>
      <c r="F400" s="464"/>
      <c r="H400" s="542"/>
      <c r="I400" s="257"/>
      <c r="J400" s="257"/>
      <c r="R400" s="166"/>
      <c r="T400" s="542"/>
      <c r="U400" s="542"/>
      <c r="W400" s="542"/>
    </row>
    <row r="401" spans="5:23" s="112" customFormat="1">
      <c r="E401" s="166"/>
      <c r="F401" s="464"/>
      <c r="H401" s="542"/>
      <c r="I401" s="257"/>
      <c r="J401" s="257"/>
      <c r="R401" s="166"/>
      <c r="T401" s="542"/>
      <c r="U401" s="542"/>
      <c r="W401" s="542"/>
    </row>
    <row r="402" spans="5:23" s="112" customFormat="1">
      <c r="E402" s="166"/>
      <c r="F402" s="464"/>
      <c r="H402" s="542"/>
      <c r="I402" s="257"/>
      <c r="J402" s="257"/>
      <c r="R402" s="166"/>
      <c r="T402" s="542"/>
      <c r="U402" s="542"/>
      <c r="W402" s="542"/>
    </row>
    <row r="403" spans="5:23" s="112" customFormat="1">
      <c r="E403" s="166"/>
      <c r="F403" s="464"/>
      <c r="H403" s="542"/>
      <c r="I403" s="257"/>
      <c r="J403" s="257"/>
      <c r="R403" s="166"/>
      <c r="T403" s="542"/>
      <c r="U403" s="542"/>
      <c r="W403" s="542"/>
    </row>
    <row r="404" spans="5:23" s="112" customFormat="1">
      <c r="E404" s="166"/>
      <c r="F404" s="464"/>
      <c r="H404" s="542"/>
      <c r="I404" s="257"/>
      <c r="J404" s="257"/>
      <c r="R404" s="166"/>
      <c r="T404" s="542"/>
      <c r="U404" s="542"/>
      <c r="W404" s="542"/>
    </row>
    <row r="405" spans="5:23" s="112" customFormat="1">
      <c r="E405" s="166"/>
      <c r="F405" s="464"/>
      <c r="H405" s="542"/>
      <c r="I405" s="257"/>
      <c r="J405" s="257"/>
      <c r="R405" s="166"/>
      <c r="T405" s="542"/>
      <c r="U405" s="542"/>
      <c r="W405" s="542"/>
    </row>
    <row r="406" spans="5:23" s="112" customFormat="1">
      <c r="E406" s="166"/>
      <c r="F406" s="464"/>
      <c r="H406" s="542"/>
      <c r="I406" s="257"/>
      <c r="J406" s="257"/>
      <c r="R406" s="166"/>
      <c r="T406" s="542"/>
      <c r="U406" s="542"/>
      <c r="W406" s="542"/>
    </row>
    <row r="407" spans="5:23" s="112" customFormat="1">
      <c r="E407" s="166"/>
      <c r="F407" s="464"/>
      <c r="H407" s="542"/>
      <c r="I407" s="257"/>
      <c r="J407" s="257"/>
      <c r="R407" s="166"/>
      <c r="T407" s="542"/>
      <c r="U407" s="542"/>
      <c r="W407" s="542"/>
    </row>
    <row r="408" spans="5:23" s="112" customFormat="1">
      <c r="E408" s="166"/>
      <c r="F408" s="464"/>
      <c r="H408" s="542"/>
      <c r="I408" s="257"/>
      <c r="J408" s="257"/>
      <c r="R408" s="166"/>
      <c r="T408" s="542"/>
      <c r="U408" s="542"/>
      <c r="W408" s="542"/>
    </row>
    <row r="409" spans="5:23" s="112" customFormat="1">
      <c r="E409" s="166"/>
      <c r="F409" s="464"/>
      <c r="H409" s="542"/>
      <c r="I409" s="257"/>
      <c r="J409" s="257"/>
      <c r="R409" s="166"/>
      <c r="T409" s="542"/>
      <c r="U409" s="542"/>
      <c r="W409" s="542"/>
    </row>
    <row r="410" spans="5:23" s="112" customFormat="1">
      <c r="E410" s="166"/>
      <c r="F410" s="464"/>
      <c r="H410" s="542"/>
      <c r="I410" s="257"/>
      <c r="J410" s="257"/>
      <c r="R410" s="166"/>
      <c r="T410" s="542"/>
      <c r="U410" s="542"/>
      <c r="W410" s="542"/>
    </row>
    <row r="411" spans="5:23" s="112" customFormat="1">
      <c r="E411" s="166"/>
      <c r="F411" s="464"/>
      <c r="H411" s="542"/>
      <c r="I411" s="257"/>
      <c r="J411" s="257"/>
      <c r="R411" s="166"/>
      <c r="T411" s="542"/>
      <c r="U411" s="542"/>
      <c r="W411" s="542"/>
    </row>
    <row r="412" spans="5:23" s="112" customFormat="1">
      <c r="E412" s="166"/>
      <c r="F412" s="464"/>
      <c r="H412" s="542"/>
      <c r="I412" s="257"/>
      <c r="J412" s="257"/>
      <c r="R412" s="166"/>
      <c r="T412" s="542"/>
      <c r="U412" s="542"/>
      <c r="W412" s="542"/>
    </row>
    <row r="413" spans="5:23" s="112" customFormat="1">
      <c r="E413" s="166"/>
      <c r="F413" s="464"/>
      <c r="H413" s="542"/>
      <c r="I413" s="257"/>
      <c r="J413" s="257"/>
      <c r="R413" s="166"/>
      <c r="T413" s="542"/>
      <c r="U413" s="542"/>
      <c r="W413" s="542"/>
    </row>
    <row r="414" spans="5:23" s="112" customFormat="1">
      <c r="E414" s="166"/>
      <c r="F414" s="464"/>
      <c r="H414" s="542"/>
      <c r="I414" s="257"/>
      <c r="J414" s="257"/>
      <c r="R414" s="166"/>
      <c r="T414" s="542"/>
      <c r="U414" s="542"/>
      <c r="W414" s="542"/>
    </row>
    <row r="415" spans="5:23" s="112" customFormat="1">
      <c r="E415" s="166"/>
      <c r="F415" s="464"/>
      <c r="H415" s="542"/>
      <c r="I415" s="257"/>
      <c r="J415" s="257"/>
      <c r="R415" s="166"/>
      <c r="T415" s="542"/>
      <c r="U415" s="542"/>
      <c r="W415" s="542"/>
    </row>
    <row r="416" spans="5:23" s="112" customFormat="1">
      <c r="E416" s="166"/>
      <c r="F416" s="464"/>
      <c r="H416" s="542"/>
      <c r="I416" s="257"/>
      <c r="J416" s="257"/>
      <c r="R416" s="166"/>
      <c r="T416" s="542"/>
      <c r="U416" s="542"/>
      <c r="W416" s="542"/>
    </row>
    <row r="417" spans="5:23" s="112" customFormat="1">
      <c r="E417" s="166"/>
      <c r="F417" s="464"/>
      <c r="H417" s="542"/>
      <c r="I417" s="257"/>
      <c r="J417" s="257"/>
      <c r="R417" s="166"/>
      <c r="T417" s="542"/>
      <c r="U417" s="542"/>
      <c r="W417" s="542"/>
    </row>
    <row r="418" spans="5:23" s="112" customFormat="1">
      <c r="E418" s="166"/>
      <c r="F418" s="464"/>
      <c r="H418" s="542"/>
      <c r="I418" s="257"/>
      <c r="J418" s="257"/>
      <c r="R418" s="166"/>
      <c r="T418" s="542"/>
      <c r="U418" s="542"/>
      <c r="W418" s="542"/>
    </row>
    <row r="419" spans="5:23" s="112" customFormat="1">
      <c r="E419" s="166"/>
      <c r="F419" s="464"/>
      <c r="H419" s="542"/>
      <c r="I419" s="257"/>
      <c r="J419" s="257"/>
      <c r="R419" s="166"/>
      <c r="T419" s="542"/>
      <c r="U419" s="542"/>
      <c r="W419" s="542"/>
    </row>
    <row r="420" spans="5:23" s="112" customFormat="1">
      <c r="E420" s="166"/>
      <c r="F420" s="464"/>
      <c r="H420" s="542"/>
      <c r="I420" s="257"/>
      <c r="J420" s="257"/>
      <c r="R420" s="166"/>
      <c r="T420" s="542"/>
      <c r="U420" s="542"/>
      <c r="W420" s="542"/>
    </row>
    <row r="421" spans="5:23" s="112" customFormat="1">
      <c r="E421" s="166"/>
      <c r="F421" s="464"/>
      <c r="H421" s="542"/>
      <c r="I421" s="257"/>
      <c r="J421" s="257"/>
      <c r="R421" s="166"/>
      <c r="T421" s="542"/>
      <c r="U421" s="542"/>
      <c r="W421" s="542"/>
    </row>
    <row r="422" spans="5:23" s="112" customFormat="1">
      <c r="E422" s="166"/>
      <c r="F422" s="464"/>
      <c r="H422" s="542"/>
      <c r="I422" s="257"/>
      <c r="J422" s="257"/>
      <c r="R422" s="166"/>
      <c r="T422" s="542"/>
      <c r="U422" s="542"/>
      <c r="W422" s="542"/>
    </row>
    <row r="423" spans="5:23" s="112" customFormat="1">
      <c r="E423" s="166"/>
      <c r="F423" s="464"/>
      <c r="H423" s="542"/>
      <c r="I423" s="257"/>
      <c r="J423" s="257"/>
      <c r="R423" s="166"/>
      <c r="T423" s="542"/>
      <c r="U423" s="542"/>
      <c r="W423" s="542"/>
    </row>
    <row r="424" spans="5:23" s="112" customFormat="1">
      <c r="E424" s="166"/>
      <c r="F424" s="464"/>
      <c r="H424" s="542"/>
      <c r="I424" s="257"/>
      <c r="J424" s="257"/>
      <c r="R424" s="166"/>
      <c r="T424" s="542"/>
      <c r="U424" s="542"/>
      <c r="W424" s="542"/>
    </row>
    <row r="425" spans="5:23" s="112" customFormat="1">
      <c r="E425" s="166"/>
      <c r="F425" s="464"/>
      <c r="H425" s="542"/>
      <c r="I425" s="257"/>
      <c r="J425" s="257"/>
      <c r="R425" s="166"/>
      <c r="T425" s="542"/>
      <c r="U425" s="542"/>
      <c r="W425" s="542"/>
    </row>
    <row r="426" spans="5:23" s="112" customFormat="1">
      <c r="E426" s="166"/>
      <c r="F426" s="464"/>
      <c r="H426" s="542"/>
      <c r="I426" s="257"/>
      <c r="J426" s="257"/>
      <c r="R426" s="166"/>
      <c r="T426" s="542"/>
      <c r="U426" s="542"/>
      <c r="W426" s="542"/>
    </row>
    <row r="427" spans="5:23" s="112" customFormat="1">
      <c r="E427" s="166"/>
      <c r="F427" s="464"/>
      <c r="H427" s="542"/>
      <c r="I427" s="257"/>
      <c r="J427" s="257"/>
      <c r="R427" s="166"/>
      <c r="T427" s="542"/>
      <c r="U427" s="542"/>
      <c r="W427" s="542"/>
    </row>
    <row r="428" spans="5:23" s="112" customFormat="1">
      <c r="E428" s="166"/>
      <c r="F428" s="464"/>
      <c r="H428" s="542"/>
      <c r="I428" s="257"/>
      <c r="J428" s="257"/>
      <c r="R428" s="166"/>
      <c r="T428" s="542"/>
      <c r="U428" s="542"/>
      <c r="W428" s="542"/>
    </row>
    <row r="429" spans="5:23" s="112" customFormat="1">
      <c r="E429" s="166"/>
      <c r="F429" s="464"/>
      <c r="H429" s="542"/>
      <c r="I429" s="257"/>
      <c r="J429" s="257"/>
      <c r="R429" s="166"/>
      <c r="T429" s="542"/>
      <c r="U429" s="542"/>
      <c r="W429" s="542"/>
    </row>
    <row r="430" spans="5:23" s="112" customFormat="1">
      <c r="E430" s="166"/>
      <c r="F430" s="464"/>
      <c r="H430" s="542"/>
      <c r="I430" s="257"/>
      <c r="J430" s="257"/>
      <c r="R430" s="166"/>
      <c r="T430" s="542"/>
      <c r="U430" s="542"/>
      <c r="W430" s="542"/>
    </row>
    <row r="431" spans="5:23" s="112" customFormat="1">
      <c r="E431" s="166"/>
      <c r="F431" s="464"/>
      <c r="H431" s="542"/>
      <c r="I431" s="257"/>
      <c r="J431" s="257"/>
      <c r="R431" s="166"/>
      <c r="T431" s="542"/>
      <c r="U431" s="542"/>
      <c r="W431" s="542"/>
    </row>
    <row r="432" spans="5:23" s="112" customFormat="1">
      <c r="E432" s="166"/>
      <c r="F432" s="464"/>
      <c r="H432" s="542"/>
      <c r="I432" s="257"/>
      <c r="J432" s="257"/>
      <c r="R432" s="166"/>
      <c r="T432" s="542"/>
      <c r="U432" s="542"/>
      <c r="W432" s="542"/>
    </row>
    <row r="433" spans="5:23" s="112" customFormat="1">
      <c r="E433" s="166"/>
      <c r="F433" s="464"/>
      <c r="H433" s="542"/>
      <c r="I433" s="257"/>
      <c r="J433" s="257"/>
      <c r="R433" s="166"/>
      <c r="T433" s="542"/>
      <c r="U433" s="542"/>
      <c r="W433" s="542"/>
    </row>
    <row r="434" spans="5:23" s="112" customFormat="1">
      <c r="E434" s="166"/>
      <c r="F434" s="464"/>
      <c r="H434" s="542"/>
      <c r="I434" s="257"/>
      <c r="J434" s="257"/>
      <c r="R434" s="166"/>
      <c r="T434" s="542"/>
      <c r="U434" s="542"/>
      <c r="W434" s="542"/>
    </row>
    <row r="435" spans="5:23" s="112" customFormat="1">
      <c r="E435" s="166"/>
      <c r="F435" s="464"/>
      <c r="H435" s="542"/>
      <c r="I435" s="257"/>
      <c r="J435" s="257"/>
      <c r="R435" s="166"/>
      <c r="T435" s="542"/>
      <c r="U435" s="542"/>
      <c r="W435" s="542"/>
    </row>
    <row r="436" spans="5:23" s="112" customFormat="1">
      <c r="E436" s="166"/>
      <c r="F436" s="464"/>
      <c r="H436" s="542"/>
      <c r="I436" s="257"/>
      <c r="J436" s="257"/>
      <c r="R436" s="166"/>
      <c r="T436" s="542"/>
      <c r="U436" s="542"/>
      <c r="W436" s="542"/>
    </row>
    <row r="437" spans="5:23" s="112" customFormat="1">
      <c r="E437" s="166"/>
      <c r="F437" s="464"/>
      <c r="H437" s="542"/>
      <c r="I437" s="257"/>
      <c r="J437" s="257"/>
      <c r="R437" s="166"/>
      <c r="T437" s="542"/>
      <c r="U437" s="542"/>
      <c r="W437" s="542"/>
    </row>
    <row r="438" spans="5:23" s="112" customFormat="1">
      <c r="E438" s="166"/>
      <c r="F438" s="464"/>
      <c r="H438" s="542"/>
      <c r="I438" s="257"/>
      <c r="J438" s="257"/>
      <c r="R438" s="166"/>
      <c r="T438" s="542"/>
      <c r="U438" s="542"/>
      <c r="W438" s="542"/>
    </row>
    <row r="439" spans="5:23" s="112" customFormat="1">
      <c r="E439" s="166"/>
      <c r="F439" s="464"/>
      <c r="H439" s="542"/>
      <c r="I439" s="257"/>
      <c r="J439" s="257"/>
      <c r="R439" s="166"/>
      <c r="T439" s="542"/>
      <c r="U439" s="542"/>
      <c r="W439" s="542"/>
    </row>
    <row r="440" spans="5:23" s="112" customFormat="1">
      <c r="E440" s="166"/>
      <c r="F440" s="464"/>
      <c r="H440" s="542"/>
      <c r="I440" s="257"/>
      <c r="J440" s="257"/>
      <c r="R440" s="166"/>
      <c r="T440" s="542"/>
      <c r="U440" s="542"/>
      <c r="W440" s="542"/>
    </row>
    <row r="441" spans="5:23" s="112" customFormat="1">
      <c r="E441" s="166"/>
      <c r="F441" s="464"/>
      <c r="H441" s="542"/>
      <c r="I441" s="257"/>
      <c r="J441" s="257"/>
      <c r="R441" s="166"/>
      <c r="T441" s="542"/>
      <c r="U441" s="542"/>
      <c r="W441" s="542"/>
    </row>
    <row r="442" spans="5:23" s="112" customFormat="1">
      <c r="E442" s="166"/>
      <c r="F442" s="464"/>
      <c r="H442" s="542"/>
      <c r="I442" s="257"/>
      <c r="J442" s="257"/>
      <c r="R442" s="166"/>
      <c r="T442" s="542"/>
      <c r="U442" s="542"/>
      <c r="W442" s="542"/>
    </row>
    <row r="443" spans="5:23" s="112" customFormat="1">
      <c r="E443" s="166"/>
      <c r="F443" s="464"/>
      <c r="H443" s="542"/>
      <c r="I443" s="257"/>
      <c r="J443" s="257"/>
      <c r="R443" s="166"/>
      <c r="T443" s="542"/>
      <c r="U443" s="542"/>
      <c r="W443" s="542"/>
    </row>
    <row r="444" spans="5:23" s="112" customFormat="1">
      <c r="E444" s="166"/>
      <c r="F444" s="464"/>
      <c r="H444" s="542"/>
      <c r="I444" s="257"/>
      <c r="J444" s="257"/>
      <c r="R444" s="166"/>
      <c r="T444" s="542"/>
      <c r="U444" s="542"/>
      <c r="W444" s="542"/>
    </row>
    <row r="445" spans="5:23" s="112" customFormat="1">
      <c r="E445" s="166"/>
      <c r="F445" s="464"/>
      <c r="H445" s="542"/>
      <c r="I445" s="257"/>
      <c r="J445" s="257"/>
      <c r="R445" s="166"/>
      <c r="T445" s="542"/>
      <c r="U445" s="542"/>
      <c r="W445" s="542"/>
    </row>
    <row r="446" spans="5:23" s="112" customFormat="1">
      <c r="E446" s="166"/>
      <c r="F446" s="464"/>
      <c r="H446" s="542"/>
      <c r="I446" s="257"/>
      <c r="J446" s="257"/>
      <c r="R446" s="166"/>
      <c r="T446" s="542"/>
      <c r="U446" s="542"/>
      <c r="W446" s="542"/>
    </row>
    <row r="447" spans="5:23" s="112" customFormat="1">
      <c r="E447" s="166"/>
      <c r="F447" s="464"/>
      <c r="H447" s="542"/>
      <c r="I447" s="257"/>
      <c r="J447" s="257"/>
      <c r="R447" s="166"/>
      <c r="T447" s="542"/>
      <c r="U447" s="542"/>
      <c r="W447" s="542"/>
    </row>
    <row r="448" spans="5:23" s="112" customFormat="1">
      <c r="E448" s="166"/>
      <c r="F448" s="464"/>
      <c r="H448" s="542"/>
      <c r="I448" s="257"/>
      <c r="J448" s="257"/>
      <c r="R448" s="166"/>
      <c r="T448" s="542"/>
      <c r="U448" s="542"/>
      <c r="W448" s="542"/>
    </row>
    <row r="449" spans="5:23" s="112" customFormat="1">
      <c r="E449" s="166"/>
      <c r="F449" s="464"/>
      <c r="H449" s="542"/>
      <c r="I449" s="257"/>
      <c r="J449" s="257"/>
      <c r="R449" s="166"/>
      <c r="T449" s="542"/>
      <c r="U449" s="542"/>
      <c r="W449" s="542"/>
    </row>
    <row r="450" spans="5:23" s="112" customFormat="1">
      <c r="E450" s="166"/>
      <c r="F450" s="464"/>
      <c r="H450" s="542"/>
      <c r="I450" s="257"/>
      <c r="J450" s="257"/>
      <c r="R450" s="166"/>
      <c r="T450" s="542"/>
      <c r="U450" s="542"/>
      <c r="W450" s="542"/>
    </row>
    <row r="451" spans="5:23" s="112" customFormat="1">
      <c r="E451" s="166"/>
      <c r="F451" s="464"/>
      <c r="H451" s="542"/>
      <c r="I451" s="257"/>
      <c r="J451" s="257"/>
      <c r="R451" s="166"/>
      <c r="T451" s="542"/>
      <c r="U451" s="542"/>
      <c r="W451" s="542"/>
    </row>
    <row r="452" spans="5:23" s="112" customFormat="1">
      <c r="E452" s="166"/>
      <c r="F452" s="464"/>
      <c r="H452" s="542"/>
      <c r="I452" s="257"/>
      <c r="J452" s="257"/>
      <c r="R452" s="166"/>
      <c r="T452" s="542"/>
      <c r="U452" s="542"/>
      <c r="W452" s="542"/>
    </row>
    <row r="453" spans="5:23" s="112" customFormat="1">
      <c r="E453" s="166"/>
      <c r="F453" s="464"/>
      <c r="H453" s="542"/>
      <c r="I453" s="257"/>
      <c r="J453" s="257"/>
      <c r="R453" s="166"/>
      <c r="T453" s="542"/>
      <c r="U453" s="542"/>
      <c r="W453" s="542"/>
    </row>
    <row r="454" spans="5:23" s="112" customFormat="1">
      <c r="E454" s="166"/>
      <c r="F454" s="464"/>
      <c r="H454" s="542"/>
      <c r="I454" s="257"/>
      <c r="J454" s="257"/>
      <c r="R454" s="166"/>
      <c r="T454" s="542"/>
      <c r="U454" s="542"/>
      <c r="W454" s="542"/>
    </row>
    <row r="455" spans="5:23" s="112" customFormat="1">
      <c r="E455" s="166"/>
      <c r="F455" s="464"/>
      <c r="H455" s="542"/>
      <c r="I455" s="257"/>
      <c r="J455" s="257"/>
      <c r="R455" s="166"/>
      <c r="T455" s="542"/>
      <c r="U455" s="542"/>
      <c r="W455" s="542"/>
    </row>
    <row r="456" spans="5:23" s="112" customFormat="1">
      <c r="E456" s="166"/>
      <c r="F456" s="464"/>
      <c r="H456" s="542"/>
      <c r="I456" s="257"/>
      <c r="J456" s="257"/>
      <c r="R456" s="166"/>
      <c r="T456" s="542"/>
      <c r="U456" s="542"/>
      <c r="W456" s="542"/>
    </row>
    <row r="457" spans="5:23" s="112" customFormat="1">
      <c r="E457" s="166"/>
      <c r="F457" s="464"/>
      <c r="H457" s="542"/>
      <c r="I457" s="257"/>
      <c r="J457" s="257"/>
      <c r="R457" s="166"/>
      <c r="T457" s="542"/>
      <c r="U457" s="542"/>
      <c r="W457" s="542"/>
    </row>
    <row r="458" spans="5:23" s="112" customFormat="1">
      <c r="E458" s="166"/>
      <c r="F458" s="464"/>
      <c r="H458" s="542"/>
      <c r="I458" s="257"/>
      <c r="J458" s="257"/>
      <c r="R458" s="166"/>
      <c r="T458" s="542"/>
      <c r="U458" s="542"/>
      <c r="W458" s="542"/>
    </row>
    <row r="459" spans="5:23" s="112" customFormat="1">
      <c r="E459" s="166"/>
      <c r="F459" s="464"/>
      <c r="H459" s="542"/>
      <c r="I459" s="257"/>
      <c r="J459" s="257"/>
      <c r="R459" s="166"/>
      <c r="T459" s="542"/>
      <c r="U459" s="542"/>
      <c r="W459" s="542"/>
    </row>
    <row r="460" spans="5:23" s="112" customFormat="1">
      <c r="E460" s="166"/>
      <c r="F460" s="464"/>
      <c r="H460" s="542"/>
      <c r="I460" s="257"/>
      <c r="J460" s="257"/>
      <c r="R460" s="166"/>
      <c r="T460" s="542"/>
      <c r="U460" s="542"/>
      <c r="W460" s="542"/>
    </row>
    <row r="461" spans="5:23" s="112" customFormat="1">
      <c r="E461" s="166"/>
      <c r="F461" s="464"/>
      <c r="H461" s="542"/>
      <c r="I461" s="257"/>
      <c r="J461" s="257"/>
      <c r="R461" s="166"/>
      <c r="T461" s="542"/>
      <c r="U461" s="542"/>
      <c r="W461" s="542"/>
    </row>
    <row r="462" spans="5:23" s="112" customFormat="1">
      <c r="E462" s="166"/>
      <c r="F462" s="464"/>
      <c r="H462" s="542"/>
      <c r="I462" s="257"/>
      <c r="J462" s="257"/>
      <c r="R462" s="166"/>
      <c r="T462" s="542"/>
      <c r="U462" s="542"/>
      <c r="W462" s="542"/>
    </row>
    <row r="463" spans="5:23" s="112" customFormat="1">
      <c r="E463" s="166"/>
      <c r="F463" s="464"/>
      <c r="H463" s="542"/>
      <c r="I463" s="257"/>
      <c r="J463" s="257"/>
      <c r="R463" s="166"/>
      <c r="T463" s="542"/>
      <c r="U463" s="542"/>
      <c r="W463" s="542"/>
    </row>
    <row r="464" spans="5:23" s="112" customFormat="1">
      <c r="E464" s="166"/>
      <c r="F464" s="464"/>
      <c r="H464" s="542"/>
      <c r="I464" s="257"/>
      <c r="J464" s="257"/>
      <c r="R464" s="166"/>
      <c r="T464" s="542"/>
      <c r="U464" s="542"/>
      <c r="W464" s="542"/>
    </row>
    <row r="465" spans="5:23" s="112" customFormat="1">
      <c r="E465" s="166"/>
      <c r="F465" s="464"/>
      <c r="H465" s="542"/>
      <c r="I465" s="257"/>
      <c r="J465" s="257"/>
      <c r="R465" s="166"/>
      <c r="T465" s="542"/>
      <c r="U465" s="542"/>
      <c r="W465" s="542"/>
    </row>
    <row r="466" spans="5:23" s="112" customFormat="1">
      <c r="E466" s="166"/>
      <c r="F466" s="464"/>
      <c r="H466" s="542"/>
      <c r="I466" s="257"/>
      <c r="J466" s="257"/>
      <c r="R466" s="166"/>
      <c r="T466" s="542"/>
      <c r="U466" s="542"/>
      <c r="W466" s="542"/>
    </row>
    <row r="467" spans="5:23" s="112" customFormat="1">
      <c r="E467" s="166"/>
      <c r="F467" s="464"/>
      <c r="H467" s="542"/>
      <c r="I467" s="257"/>
      <c r="J467" s="257"/>
      <c r="R467" s="166"/>
      <c r="T467" s="542"/>
      <c r="U467" s="542"/>
      <c r="W467" s="542"/>
    </row>
    <row r="468" spans="5:23" s="112" customFormat="1">
      <c r="E468" s="166"/>
      <c r="F468" s="464"/>
      <c r="H468" s="542"/>
      <c r="I468" s="257"/>
      <c r="J468" s="257"/>
      <c r="R468" s="166"/>
      <c r="T468" s="542"/>
      <c r="U468" s="542"/>
      <c r="W468" s="542"/>
    </row>
    <row r="469" spans="5:23" s="112" customFormat="1">
      <c r="E469" s="166"/>
      <c r="F469" s="464"/>
      <c r="H469" s="542"/>
      <c r="I469" s="257"/>
      <c r="J469" s="257"/>
      <c r="R469" s="166"/>
      <c r="T469" s="542"/>
      <c r="U469" s="542"/>
      <c r="W469" s="542"/>
    </row>
    <row r="470" spans="5:23" s="112" customFormat="1">
      <c r="E470" s="166"/>
      <c r="F470" s="464"/>
      <c r="H470" s="542"/>
      <c r="I470" s="257"/>
      <c r="J470" s="257"/>
      <c r="R470" s="166"/>
      <c r="T470" s="542"/>
      <c r="U470" s="542"/>
      <c r="W470" s="542"/>
    </row>
    <row r="471" spans="5:23" s="112" customFormat="1">
      <c r="E471" s="166"/>
      <c r="F471" s="464"/>
      <c r="H471" s="542"/>
      <c r="I471" s="257"/>
      <c r="J471" s="257"/>
      <c r="R471" s="166"/>
      <c r="T471" s="542"/>
      <c r="U471" s="542"/>
      <c r="W471" s="542"/>
    </row>
    <row r="472" spans="5:23" s="112" customFormat="1">
      <c r="E472" s="166"/>
      <c r="F472" s="464"/>
      <c r="H472" s="542"/>
      <c r="I472" s="257"/>
      <c r="J472" s="257"/>
      <c r="R472" s="166"/>
      <c r="T472" s="542"/>
      <c r="U472" s="542"/>
      <c r="W472" s="542"/>
    </row>
    <row r="473" spans="5:23" s="112" customFormat="1">
      <c r="E473" s="166"/>
      <c r="F473" s="464"/>
      <c r="H473" s="542"/>
      <c r="I473" s="257"/>
      <c r="J473" s="257"/>
      <c r="R473" s="166"/>
      <c r="T473" s="542"/>
      <c r="U473" s="542"/>
      <c r="W473" s="542"/>
    </row>
    <row r="474" spans="5:23" s="112" customFormat="1">
      <c r="E474" s="166"/>
      <c r="F474" s="464"/>
      <c r="H474" s="542"/>
      <c r="I474" s="257"/>
      <c r="J474" s="257"/>
      <c r="R474" s="166"/>
      <c r="T474" s="542"/>
      <c r="U474" s="542"/>
      <c r="W474" s="542"/>
    </row>
    <row r="475" spans="5:23" s="112" customFormat="1">
      <c r="E475" s="166"/>
      <c r="F475" s="464"/>
      <c r="H475" s="542"/>
      <c r="I475" s="257"/>
      <c r="J475" s="257"/>
      <c r="R475" s="166"/>
      <c r="T475" s="542"/>
      <c r="U475" s="542"/>
      <c r="W475" s="542"/>
    </row>
    <row r="476" spans="5:23" s="112" customFormat="1">
      <c r="E476" s="166"/>
      <c r="F476" s="464"/>
      <c r="H476" s="542"/>
      <c r="I476" s="257"/>
      <c r="J476" s="257"/>
      <c r="R476" s="166"/>
      <c r="T476" s="542"/>
      <c r="U476" s="542"/>
      <c r="W476" s="542"/>
    </row>
    <row r="477" spans="5:23" s="112" customFormat="1">
      <c r="E477" s="166"/>
      <c r="F477" s="464"/>
      <c r="H477" s="542"/>
      <c r="I477" s="257"/>
      <c r="J477" s="257"/>
      <c r="R477" s="166"/>
      <c r="T477" s="542"/>
      <c r="U477" s="542"/>
      <c r="W477" s="542"/>
    </row>
    <row r="478" spans="5:23" s="112" customFormat="1">
      <c r="E478" s="166"/>
      <c r="F478" s="464"/>
      <c r="H478" s="542"/>
      <c r="I478" s="257"/>
      <c r="J478" s="257"/>
      <c r="R478" s="166"/>
      <c r="T478" s="542"/>
      <c r="U478" s="542"/>
      <c r="W478" s="542"/>
    </row>
    <row r="479" spans="5:23" s="112" customFormat="1">
      <c r="E479" s="166"/>
      <c r="F479" s="464"/>
      <c r="H479" s="542"/>
      <c r="I479" s="257"/>
      <c r="J479" s="257"/>
      <c r="R479" s="166"/>
      <c r="T479" s="542"/>
      <c r="U479" s="542"/>
      <c r="W479" s="542"/>
    </row>
    <row r="480" spans="5:23" s="112" customFormat="1">
      <c r="E480" s="166"/>
      <c r="F480" s="464"/>
      <c r="H480" s="542"/>
      <c r="I480" s="257"/>
      <c r="J480" s="257"/>
      <c r="R480" s="166"/>
      <c r="T480" s="542"/>
      <c r="U480" s="542"/>
      <c r="W480" s="542"/>
    </row>
    <row r="481" spans="5:23" s="112" customFormat="1">
      <c r="E481" s="166"/>
      <c r="F481" s="464"/>
      <c r="H481" s="542"/>
      <c r="I481" s="257"/>
      <c r="J481" s="257"/>
      <c r="R481" s="166"/>
      <c r="T481" s="542"/>
      <c r="U481" s="542"/>
      <c r="W481" s="542"/>
    </row>
    <row r="482" spans="5:23" s="112" customFormat="1">
      <c r="E482" s="166"/>
      <c r="F482" s="464"/>
      <c r="H482" s="542"/>
      <c r="I482" s="257"/>
      <c r="J482" s="257"/>
      <c r="R482" s="166"/>
      <c r="T482" s="542"/>
      <c r="U482" s="542"/>
      <c r="W482" s="542"/>
    </row>
    <row r="483" spans="5:23" s="112" customFormat="1">
      <c r="E483" s="166"/>
      <c r="F483" s="464"/>
      <c r="H483" s="542"/>
      <c r="I483" s="257"/>
      <c r="J483" s="257"/>
      <c r="R483" s="166"/>
      <c r="T483" s="542"/>
      <c r="U483" s="542"/>
      <c r="W483" s="542"/>
    </row>
    <row r="484" spans="5:23" s="112" customFormat="1">
      <c r="E484" s="166"/>
      <c r="F484" s="464"/>
      <c r="H484" s="542"/>
      <c r="I484" s="257"/>
      <c r="J484" s="257"/>
      <c r="R484" s="166"/>
      <c r="T484" s="542"/>
      <c r="U484" s="542"/>
      <c r="W484" s="542"/>
    </row>
    <row r="485" spans="5:23" s="112" customFormat="1">
      <c r="E485" s="166"/>
      <c r="F485" s="464"/>
      <c r="H485" s="542"/>
      <c r="I485" s="257"/>
      <c r="J485" s="257"/>
      <c r="R485" s="166"/>
      <c r="T485" s="542"/>
      <c r="U485" s="542"/>
      <c r="W485" s="542"/>
    </row>
    <row r="486" spans="5:23" s="112" customFormat="1">
      <c r="E486" s="166"/>
      <c r="F486" s="464"/>
      <c r="H486" s="542"/>
      <c r="I486" s="257"/>
      <c r="J486" s="257"/>
      <c r="R486" s="166"/>
      <c r="T486" s="542"/>
      <c r="U486" s="542"/>
      <c r="W486" s="542"/>
    </row>
    <row r="487" spans="5:23" s="112" customFormat="1">
      <c r="E487" s="166"/>
      <c r="F487" s="464"/>
      <c r="H487" s="542"/>
      <c r="I487" s="257"/>
      <c r="J487" s="257"/>
      <c r="R487" s="166"/>
      <c r="T487" s="542"/>
      <c r="U487" s="542"/>
      <c r="W487" s="542"/>
    </row>
    <row r="488" spans="5:23" s="112" customFormat="1">
      <c r="E488" s="166"/>
      <c r="F488" s="464"/>
      <c r="H488" s="542"/>
      <c r="I488" s="257"/>
      <c r="J488" s="257"/>
      <c r="R488" s="166"/>
      <c r="T488" s="542"/>
      <c r="U488" s="542"/>
      <c r="W488" s="542"/>
    </row>
    <row r="489" spans="5:23" s="112" customFormat="1">
      <c r="E489" s="166"/>
      <c r="F489" s="464"/>
      <c r="H489" s="542"/>
      <c r="I489" s="257"/>
      <c r="J489" s="257"/>
      <c r="R489" s="166"/>
      <c r="T489" s="542"/>
      <c r="U489" s="542"/>
      <c r="W489" s="542"/>
    </row>
    <row r="490" spans="5:23" s="112" customFormat="1">
      <c r="E490" s="166"/>
      <c r="F490" s="464"/>
      <c r="H490" s="542"/>
      <c r="I490" s="257"/>
      <c r="J490" s="257"/>
      <c r="R490" s="166"/>
      <c r="T490" s="542"/>
      <c r="U490" s="542"/>
      <c r="W490" s="542"/>
    </row>
    <row r="491" spans="5:23" s="112" customFormat="1">
      <c r="E491" s="166"/>
      <c r="F491" s="464"/>
      <c r="H491" s="542"/>
      <c r="I491" s="257"/>
      <c r="J491" s="257"/>
      <c r="R491" s="166"/>
      <c r="T491" s="542"/>
      <c r="U491" s="542"/>
      <c r="W491" s="542"/>
    </row>
    <row r="492" spans="5:23" s="112" customFormat="1">
      <c r="E492" s="166"/>
      <c r="F492" s="464"/>
      <c r="H492" s="542"/>
      <c r="I492" s="257"/>
      <c r="J492" s="257"/>
      <c r="R492" s="166"/>
      <c r="T492" s="542"/>
      <c r="U492" s="542"/>
      <c r="W492" s="542"/>
    </row>
    <row r="493" spans="5:23" s="112" customFormat="1">
      <c r="E493" s="166"/>
      <c r="F493" s="464"/>
      <c r="H493" s="542"/>
      <c r="I493" s="257"/>
      <c r="J493" s="257"/>
      <c r="R493" s="166"/>
      <c r="T493" s="542"/>
      <c r="U493" s="542"/>
      <c r="W493" s="542"/>
    </row>
    <row r="494" spans="5:23" s="112" customFormat="1">
      <c r="E494" s="166"/>
      <c r="F494" s="464"/>
      <c r="H494" s="542"/>
      <c r="I494" s="257"/>
      <c r="J494" s="257"/>
      <c r="R494" s="166"/>
      <c r="T494" s="542"/>
      <c r="U494" s="542"/>
      <c r="W494" s="542"/>
    </row>
    <row r="495" spans="5:23" s="112" customFormat="1">
      <c r="E495" s="166"/>
      <c r="F495" s="464"/>
      <c r="H495" s="542"/>
      <c r="I495" s="257"/>
      <c r="J495" s="257"/>
      <c r="R495" s="166"/>
      <c r="T495" s="542"/>
      <c r="U495" s="542"/>
      <c r="W495" s="542"/>
    </row>
    <row r="496" spans="5:23" s="112" customFormat="1">
      <c r="E496" s="166"/>
      <c r="F496" s="464"/>
      <c r="H496" s="542"/>
      <c r="I496" s="257"/>
      <c r="J496" s="257"/>
      <c r="R496" s="166"/>
      <c r="T496" s="542"/>
      <c r="U496" s="542"/>
      <c r="W496" s="542"/>
    </row>
    <row r="497" spans="5:23" s="112" customFormat="1">
      <c r="E497" s="166"/>
      <c r="F497" s="464"/>
      <c r="H497" s="542"/>
      <c r="I497" s="257"/>
      <c r="J497" s="257"/>
      <c r="R497" s="166"/>
      <c r="T497" s="542"/>
      <c r="U497" s="542"/>
      <c r="W497" s="542"/>
    </row>
    <row r="498" spans="5:23" s="112" customFormat="1">
      <c r="E498" s="166"/>
      <c r="F498" s="464"/>
      <c r="H498" s="542"/>
      <c r="I498" s="257"/>
      <c r="J498" s="257"/>
      <c r="R498" s="166"/>
      <c r="T498" s="542"/>
      <c r="U498" s="542"/>
      <c r="W498" s="542"/>
    </row>
    <row r="499" spans="5:23" s="112" customFormat="1">
      <c r="E499" s="166"/>
      <c r="F499" s="464"/>
      <c r="H499" s="542"/>
      <c r="I499" s="257"/>
      <c r="J499" s="257"/>
      <c r="R499" s="166"/>
      <c r="T499" s="542"/>
      <c r="U499" s="542"/>
      <c r="W499" s="542"/>
    </row>
    <row r="500" spans="5:23" s="112" customFormat="1">
      <c r="E500" s="166"/>
      <c r="F500" s="464"/>
      <c r="H500" s="542"/>
      <c r="I500" s="257"/>
      <c r="J500" s="257"/>
      <c r="R500" s="166"/>
      <c r="T500" s="542"/>
      <c r="U500" s="542"/>
      <c r="W500" s="542"/>
    </row>
    <row r="501" spans="5:23" s="112" customFormat="1">
      <c r="E501" s="166"/>
      <c r="F501" s="464"/>
      <c r="H501" s="542"/>
      <c r="I501" s="257"/>
      <c r="J501" s="257"/>
      <c r="R501" s="166"/>
      <c r="T501" s="542"/>
      <c r="U501" s="542"/>
      <c r="W501" s="542"/>
    </row>
    <row r="502" spans="5:23" s="112" customFormat="1">
      <c r="E502" s="166"/>
      <c r="F502" s="464"/>
      <c r="H502" s="542"/>
      <c r="I502" s="257"/>
      <c r="J502" s="257"/>
      <c r="R502" s="166"/>
      <c r="T502" s="542"/>
      <c r="U502" s="542"/>
      <c r="W502" s="542"/>
    </row>
    <row r="503" spans="5:23" s="112" customFormat="1">
      <c r="E503" s="166"/>
      <c r="F503" s="464"/>
      <c r="H503" s="542"/>
      <c r="I503" s="257"/>
      <c r="J503" s="257"/>
      <c r="R503" s="166"/>
      <c r="T503" s="542"/>
      <c r="U503" s="542"/>
      <c r="W503" s="542"/>
    </row>
    <row r="504" spans="5:23" s="112" customFormat="1">
      <c r="E504" s="166"/>
      <c r="F504" s="464"/>
      <c r="H504" s="542"/>
      <c r="I504" s="257"/>
      <c r="J504" s="257"/>
      <c r="R504" s="166"/>
      <c r="T504" s="542"/>
      <c r="U504" s="542"/>
      <c r="W504" s="542"/>
    </row>
    <row r="505" spans="5:23" s="112" customFormat="1">
      <c r="E505" s="166"/>
      <c r="F505" s="464"/>
      <c r="H505" s="542"/>
      <c r="I505" s="257"/>
      <c r="J505" s="257"/>
      <c r="R505" s="166"/>
      <c r="T505" s="542"/>
      <c r="U505" s="542"/>
      <c r="W505" s="542"/>
    </row>
    <row r="506" spans="5:23" s="112" customFormat="1">
      <c r="E506" s="166"/>
      <c r="F506" s="464"/>
      <c r="H506" s="542"/>
      <c r="I506" s="257"/>
      <c r="J506" s="257"/>
      <c r="R506" s="166"/>
      <c r="T506" s="542"/>
      <c r="U506" s="542"/>
      <c r="W506" s="542"/>
    </row>
    <row r="507" spans="5:23" s="112" customFormat="1">
      <c r="E507" s="166"/>
      <c r="F507" s="464"/>
      <c r="H507" s="542"/>
      <c r="I507" s="257"/>
      <c r="J507" s="257"/>
      <c r="R507" s="166"/>
      <c r="T507" s="542"/>
      <c r="U507" s="542"/>
      <c r="W507" s="542"/>
    </row>
    <row r="508" spans="5:23" s="112" customFormat="1">
      <c r="E508" s="166"/>
      <c r="F508" s="464"/>
      <c r="H508" s="542"/>
      <c r="I508" s="257"/>
      <c r="J508" s="257"/>
      <c r="R508" s="166"/>
      <c r="T508" s="542"/>
      <c r="U508" s="542"/>
      <c r="W508" s="542"/>
    </row>
    <row r="509" spans="5:23" s="112" customFormat="1">
      <c r="E509" s="166"/>
      <c r="F509" s="464"/>
      <c r="H509" s="542"/>
      <c r="I509" s="257"/>
      <c r="J509" s="257"/>
      <c r="R509" s="166"/>
      <c r="T509" s="542"/>
      <c r="U509" s="542"/>
      <c r="W509" s="542"/>
    </row>
    <row r="510" spans="5:23" s="112" customFormat="1">
      <c r="E510" s="166"/>
      <c r="F510" s="464"/>
      <c r="H510" s="542"/>
      <c r="I510" s="257"/>
      <c r="J510" s="257"/>
      <c r="R510" s="166"/>
      <c r="T510" s="542"/>
      <c r="U510" s="542"/>
      <c r="W510" s="542"/>
    </row>
    <row r="511" spans="5:23" s="112" customFormat="1">
      <c r="E511" s="166"/>
      <c r="F511" s="464"/>
      <c r="H511" s="542"/>
      <c r="I511" s="257"/>
      <c r="J511" s="257"/>
      <c r="R511" s="166"/>
      <c r="T511" s="542"/>
      <c r="U511" s="542"/>
      <c r="W511" s="542"/>
    </row>
    <row r="512" spans="5:23" s="112" customFormat="1">
      <c r="E512" s="166"/>
      <c r="F512" s="464"/>
      <c r="H512" s="542"/>
      <c r="I512" s="257"/>
      <c r="J512" s="257"/>
      <c r="R512" s="166"/>
      <c r="T512" s="542"/>
      <c r="U512" s="542"/>
      <c r="W512" s="542"/>
    </row>
    <row r="513" spans="5:23" s="112" customFormat="1">
      <c r="E513" s="166"/>
      <c r="F513" s="464"/>
      <c r="H513" s="542"/>
      <c r="I513" s="257"/>
      <c r="J513" s="257"/>
      <c r="R513" s="166"/>
      <c r="T513" s="542"/>
      <c r="U513" s="542"/>
      <c r="W513" s="542"/>
    </row>
    <row r="514" spans="5:23" s="112" customFormat="1">
      <c r="E514" s="166"/>
      <c r="F514" s="464"/>
      <c r="H514" s="542"/>
      <c r="I514" s="257"/>
      <c r="J514" s="257"/>
      <c r="R514" s="166"/>
      <c r="T514" s="542"/>
      <c r="U514" s="542"/>
      <c r="W514" s="542"/>
    </row>
    <row r="515" spans="5:23" s="112" customFormat="1">
      <c r="E515" s="166"/>
      <c r="F515" s="464"/>
      <c r="H515" s="542"/>
      <c r="I515" s="257"/>
      <c r="J515" s="257"/>
      <c r="R515" s="166"/>
      <c r="T515" s="542"/>
      <c r="U515" s="542"/>
      <c r="W515" s="542"/>
    </row>
    <row r="516" spans="5:23" s="112" customFormat="1">
      <c r="E516" s="166"/>
      <c r="F516" s="464"/>
      <c r="H516" s="542"/>
      <c r="I516" s="257"/>
      <c r="J516" s="257"/>
      <c r="R516" s="166"/>
      <c r="T516" s="542"/>
      <c r="U516" s="542"/>
      <c r="W516" s="542"/>
    </row>
    <row r="517" spans="5:23" s="112" customFormat="1">
      <c r="E517" s="166"/>
      <c r="F517" s="464"/>
      <c r="H517" s="542"/>
      <c r="I517" s="257"/>
      <c r="J517" s="257"/>
      <c r="R517" s="166"/>
      <c r="T517" s="542"/>
      <c r="U517" s="542"/>
      <c r="W517" s="542"/>
    </row>
    <row r="518" spans="5:23" s="112" customFormat="1">
      <c r="E518" s="166"/>
      <c r="F518" s="464"/>
      <c r="H518" s="542"/>
      <c r="I518" s="257"/>
      <c r="J518" s="257"/>
      <c r="R518" s="166"/>
      <c r="T518" s="542"/>
      <c r="U518" s="542"/>
      <c r="W518" s="542"/>
    </row>
    <row r="519" spans="5:23" s="112" customFormat="1">
      <c r="E519" s="166"/>
      <c r="F519" s="464"/>
      <c r="H519" s="542"/>
      <c r="I519" s="257"/>
      <c r="J519" s="257"/>
      <c r="R519" s="166"/>
      <c r="T519" s="542"/>
      <c r="U519" s="542"/>
      <c r="W519" s="542"/>
    </row>
  </sheetData>
  <sheetProtection formatCells="0" formatColumns="0" formatRows="0" insertColumns="0" insertRows="0" insertHyperlinks="0" deleteColumns="0" deleteRows="0" sort="0" autoFilter="0" pivotTables="0"/>
  <mergeCells count="67">
    <mergeCell ref="I148:I159"/>
    <mergeCell ref="J148:J159"/>
    <mergeCell ref="X148:X159"/>
    <mergeCell ref="I128:I133"/>
    <mergeCell ref="J128:J133"/>
    <mergeCell ref="X128:X133"/>
    <mergeCell ref="I135:I146"/>
    <mergeCell ref="J135:J146"/>
    <mergeCell ref="X135:X146"/>
    <mergeCell ref="V128:V133"/>
    <mergeCell ref="V135:V146"/>
    <mergeCell ref="V148:V159"/>
    <mergeCell ref="I125:I126"/>
    <mergeCell ref="J125:J126"/>
    <mergeCell ref="K125:K126"/>
    <mergeCell ref="X125:X126"/>
    <mergeCell ref="V119:V123"/>
    <mergeCell ref="X44:X51"/>
    <mergeCell ref="I53:I69"/>
    <mergeCell ref="I119:I123"/>
    <mergeCell ref="J119:J123"/>
    <mergeCell ref="X119:X123"/>
    <mergeCell ref="X103:X117"/>
    <mergeCell ref="I80:I88"/>
    <mergeCell ref="J80:J88"/>
    <mergeCell ref="X80:X88"/>
    <mergeCell ref="I90:I101"/>
    <mergeCell ref="J90:J101"/>
    <mergeCell ref="X90:X101"/>
    <mergeCell ref="V103:V117"/>
    <mergeCell ref="V80:V88"/>
    <mergeCell ref="V90:V101"/>
    <mergeCell ref="R107:R114"/>
    <mergeCell ref="R91:R98"/>
    <mergeCell ref="V44:V51"/>
    <mergeCell ref="V53:V69"/>
    <mergeCell ref="R59:R66"/>
    <mergeCell ref="R32:R39"/>
    <mergeCell ref="I103:I117"/>
    <mergeCell ref="J103:J117"/>
    <mergeCell ref="I44:I51"/>
    <mergeCell ref="J44:J51"/>
    <mergeCell ref="J53:J69"/>
    <mergeCell ref="X53:X69"/>
    <mergeCell ref="I71:I78"/>
    <mergeCell ref="J71:J78"/>
    <mergeCell ref="V71:V78"/>
    <mergeCell ref="X71:X78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2"/>
  </cols>
  <sheetData>
    <row r="1" spans="1:794">
      <c r="D1" s="188" t="s">
        <v>384</v>
      </c>
      <c r="E1" s="189"/>
      <c r="F1" s="190">
        <v>45677</v>
      </c>
      <c r="G1" s="191">
        <f>F1+7</f>
        <v>45684</v>
      </c>
      <c r="H1" s="191">
        <f>G1+7</f>
        <v>45691</v>
      </c>
      <c r="I1" s="191">
        <f t="shared" ref="I1:BT1" si="0">H1+7</f>
        <v>45698</v>
      </c>
      <c r="J1" s="191">
        <f t="shared" si="0"/>
        <v>45705</v>
      </c>
      <c r="K1" s="191">
        <f t="shared" si="0"/>
        <v>45712</v>
      </c>
      <c r="L1" s="191">
        <f t="shared" si="0"/>
        <v>45719</v>
      </c>
      <c r="M1" s="191">
        <f t="shared" si="0"/>
        <v>45726</v>
      </c>
      <c r="N1" s="191">
        <f t="shared" si="0"/>
        <v>45733</v>
      </c>
      <c r="O1" s="191">
        <f t="shared" si="0"/>
        <v>45740</v>
      </c>
      <c r="P1" s="191">
        <f t="shared" si="0"/>
        <v>45747</v>
      </c>
      <c r="Q1" s="191">
        <f t="shared" si="0"/>
        <v>45754</v>
      </c>
      <c r="R1" s="191">
        <f t="shared" si="0"/>
        <v>45761</v>
      </c>
      <c r="S1" s="191">
        <f t="shared" si="0"/>
        <v>45768</v>
      </c>
      <c r="T1" s="191">
        <f t="shared" si="0"/>
        <v>45775</v>
      </c>
      <c r="U1" s="191">
        <f t="shared" si="0"/>
        <v>45782</v>
      </c>
      <c r="V1" s="191">
        <f t="shared" si="0"/>
        <v>45789</v>
      </c>
      <c r="W1" s="191">
        <f t="shared" si="0"/>
        <v>45796</v>
      </c>
      <c r="X1" s="191">
        <f t="shared" si="0"/>
        <v>45803</v>
      </c>
      <c r="Y1" s="191">
        <f t="shared" si="0"/>
        <v>45810</v>
      </c>
      <c r="Z1" s="191">
        <f t="shared" si="0"/>
        <v>45817</v>
      </c>
      <c r="AA1" s="191">
        <f t="shared" si="0"/>
        <v>45824</v>
      </c>
      <c r="AB1" s="191">
        <f t="shared" si="0"/>
        <v>45831</v>
      </c>
      <c r="AC1" s="191">
        <f t="shared" si="0"/>
        <v>45838</v>
      </c>
      <c r="AD1" s="191">
        <f t="shared" si="0"/>
        <v>45845</v>
      </c>
      <c r="AE1" s="191">
        <f t="shared" si="0"/>
        <v>45852</v>
      </c>
      <c r="AF1" s="191">
        <f t="shared" si="0"/>
        <v>45859</v>
      </c>
      <c r="AG1" s="191">
        <f t="shared" si="0"/>
        <v>45866</v>
      </c>
      <c r="AH1" s="191">
        <f t="shared" si="0"/>
        <v>45873</v>
      </c>
      <c r="AI1" s="191">
        <f t="shared" si="0"/>
        <v>45880</v>
      </c>
      <c r="AJ1" s="191">
        <f t="shared" si="0"/>
        <v>45887</v>
      </c>
      <c r="AK1" s="191">
        <f t="shared" si="0"/>
        <v>45894</v>
      </c>
      <c r="AL1" s="191">
        <f t="shared" si="0"/>
        <v>45901</v>
      </c>
      <c r="AM1" s="191">
        <f t="shared" si="0"/>
        <v>45908</v>
      </c>
      <c r="AN1" s="191">
        <f t="shared" si="0"/>
        <v>45915</v>
      </c>
      <c r="AO1" s="191">
        <f t="shared" si="0"/>
        <v>45922</v>
      </c>
      <c r="AP1" s="191">
        <f t="shared" si="0"/>
        <v>45929</v>
      </c>
      <c r="AQ1" s="191">
        <f t="shared" si="0"/>
        <v>45936</v>
      </c>
      <c r="AR1" s="191">
        <f t="shared" si="0"/>
        <v>45943</v>
      </c>
      <c r="AS1" s="191">
        <f t="shared" si="0"/>
        <v>45950</v>
      </c>
      <c r="AT1" s="191">
        <f t="shared" si="0"/>
        <v>45957</v>
      </c>
      <c r="AU1" s="191">
        <f t="shared" si="0"/>
        <v>45964</v>
      </c>
      <c r="AV1" s="191">
        <f t="shared" si="0"/>
        <v>45971</v>
      </c>
      <c r="AW1" s="191">
        <f t="shared" si="0"/>
        <v>45978</v>
      </c>
      <c r="AX1" s="191">
        <f t="shared" si="0"/>
        <v>45985</v>
      </c>
      <c r="AY1" s="191">
        <f t="shared" si="0"/>
        <v>45992</v>
      </c>
      <c r="AZ1" s="191">
        <f t="shared" si="0"/>
        <v>45999</v>
      </c>
      <c r="BA1" s="191">
        <f t="shared" si="0"/>
        <v>46006</v>
      </c>
      <c r="BB1" s="191">
        <f t="shared" si="0"/>
        <v>46013</v>
      </c>
      <c r="BC1" s="191">
        <f t="shared" si="0"/>
        <v>46020</v>
      </c>
      <c r="BD1" s="191">
        <f t="shared" si="0"/>
        <v>46027</v>
      </c>
      <c r="BE1" s="191">
        <f t="shared" si="0"/>
        <v>46034</v>
      </c>
      <c r="BF1" s="191">
        <f t="shared" si="0"/>
        <v>46041</v>
      </c>
      <c r="BG1" s="191">
        <f t="shared" si="0"/>
        <v>46048</v>
      </c>
      <c r="BH1" s="191">
        <f t="shared" si="0"/>
        <v>46055</v>
      </c>
      <c r="BI1" s="191">
        <f t="shared" si="0"/>
        <v>46062</v>
      </c>
      <c r="BJ1" s="191">
        <f t="shared" si="0"/>
        <v>46069</v>
      </c>
      <c r="BK1" s="191">
        <f t="shared" si="0"/>
        <v>46076</v>
      </c>
      <c r="BL1" s="191">
        <f t="shared" si="0"/>
        <v>46083</v>
      </c>
      <c r="BM1" s="191">
        <f t="shared" si="0"/>
        <v>46090</v>
      </c>
      <c r="BN1" s="191">
        <f t="shared" si="0"/>
        <v>46097</v>
      </c>
      <c r="BO1" s="191">
        <f t="shared" si="0"/>
        <v>46104</v>
      </c>
      <c r="BP1" s="191">
        <f t="shared" si="0"/>
        <v>46111</v>
      </c>
      <c r="BQ1" s="191">
        <f t="shared" si="0"/>
        <v>46118</v>
      </c>
      <c r="BR1" s="191">
        <f t="shared" si="0"/>
        <v>46125</v>
      </c>
      <c r="BS1" s="191">
        <f t="shared" si="0"/>
        <v>46132</v>
      </c>
      <c r="BT1" s="191">
        <f t="shared" si="0"/>
        <v>46139</v>
      </c>
      <c r="BU1" s="191">
        <f t="shared" ref="BU1:EF1" si="1">BT1+7</f>
        <v>46146</v>
      </c>
      <c r="BV1" s="191">
        <f t="shared" si="1"/>
        <v>46153</v>
      </c>
      <c r="BW1" s="191">
        <f t="shared" si="1"/>
        <v>46160</v>
      </c>
      <c r="BX1" s="191">
        <f t="shared" si="1"/>
        <v>46167</v>
      </c>
      <c r="BY1" s="191">
        <f t="shared" si="1"/>
        <v>46174</v>
      </c>
      <c r="BZ1" s="191">
        <f t="shared" si="1"/>
        <v>46181</v>
      </c>
      <c r="CA1" s="191">
        <f t="shared" si="1"/>
        <v>46188</v>
      </c>
      <c r="CB1" s="191">
        <f t="shared" si="1"/>
        <v>46195</v>
      </c>
      <c r="CC1" s="191">
        <f t="shared" si="1"/>
        <v>46202</v>
      </c>
      <c r="CD1" s="191">
        <f t="shared" si="1"/>
        <v>46209</v>
      </c>
      <c r="CE1" s="191">
        <f t="shared" si="1"/>
        <v>46216</v>
      </c>
      <c r="CF1" s="191">
        <f t="shared" si="1"/>
        <v>46223</v>
      </c>
      <c r="CG1" s="191">
        <f t="shared" si="1"/>
        <v>46230</v>
      </c>
      <c r="CH1" s="191">
        <f t="shared" si="1"/>
        <v>46237</v>
      </c>
      <c r="CI1" s="191">
        <f t="shared" si="1"/>
        <v>46244</v>
      </c>
      <c r="CJ1" s="191">
        <f t="shared" si="1"/>
        <v>46251</v>
      </c>
      <c r="CK1" s="191">
        <f t="shared" si="1"/>
        <v>46258</v>
      </c>
      <c r="CL1" s="191">
        <f t="shared" si="1"/>
        <v>46265</v>
      </c>
      <c r="CM1" s="191">
        <f t="shared" si="1"/>
        <v>46272</v>
      </c>
      <c r="CN1" s="191">
        <f t="shared" si="1"/>
        <v>46279</v>
      </c>
      <c r="CO1" s="191">
        <f t="shared" si="1"/>
        <v>46286</v>
      </c>
      <c r="CP1" s="191">
        <f t="shared" si="1"/>
        <v>46293</v>
      </c>
      <c r="CQ1" s="191">
        <f t="shared" si="1"/>
        <v>46300</v>
      </c>
      <c r="CR1" s="191">
        <f t="shared" si="1"/>
        <v>46307</v>
      </c>
      <c r="CS1" s="191">
        <f t="shared" si="1"/>
        <v>46314</v>
      </c>
      <c r="CT1" s="191">
        <f t="shared" si="1"/>
        <v>46321</v>
      </c>
      <c r="CU1" s="191">
        <f t="shared" si="1"/>
        <v>46328</v>
      </c>
      <c r="CV1" s="191">
        <f t="shared" si="1"/>
        <v>46335</v>
      </c>
      <c r="CW1" s="191">
        <f t="shared" si="1"/>
        <v>46342</v>
      </c>
      <c r="CX1" s="191">
        <f t="shared" si="1"/>
        <v>46349</v>
      </c>
      <c r="CY1" s="191">
        <f t="shared" si="1"/>
        <v>46356</v>
      </c>
      <c r="CZ1" s="191">
        <f t="shared" si="1"/>
        <v>46363</v>
      </c>
      <c r="DA1" s="191">
        <f t="shared" si="1"/>
        <v>46370</v>
      </c>
      <c r="DB1" s="191">
        <f t="shared" si="1"/>
        <v>46377</v>
      </c>
      <c r="DC1" s="191">
        <f t="shared" si="1"/>
        <v>46384</v>
      </c>
      <c r="DD1" s="191">
        <f t="shared" si="1"/>
        <v>46391</v>
      </c>
      <c r="DE1" s="191">
        <f t="shared" si="1"/>
        <v>46398</v>
      </c>
      <c r="DF1" s="191">
        <f t="shared" si="1"/>
        <v>46405</v>
      </c>
      <c r="DG1" s="191">
        <f t="shared" si="1"/>
        <v>46412</v>
      </c>
      <c r="DH1" s="191">
        <f t="shared" si="1"/>
        <v>46419</v>
      </c>
      <c r="DI1" s="191">
        <f t="shared" si="1"/>
        <v>46426</v>
      </c>
      <c r="DJ1" s="191">
        <f t="shared" si="1"/>
        <v>46433</v>
      </c>
      <c r="DK1" s="191">
        <f t="shared" si="1"/>
        <v>46440</v>
      </c>
      <c r="DL1" s="191">
        <f t="shared" si="1"/>
        <v>46447</v>
      </c>
      <c r="DM1" s="191">
        <f t="shared" si="1"/>
        <v>46454</v>
      </c>
      <c r="DN1" s="191">
        <f t="shared" si="1"/>
        <v>46461</v>
      </c>
      <c r="DO1" s="191">
        <f t="shared" si="1"/>
        <v>46468</v>
      </c>
      <c r="DP1" s="191">
        <f t="shared" si="1"/>
        <v>46475</v>
      </c>
      <c r="DQ1" s="191">
        <f t="shared" si="1"/>
        <v>46482</v>
      </c>
      <c r="DR1" s="191">
        <f t="shared" si="1"/>
        <v>46489</v>
      </c>
      <c r="DS1" s="191">
        <f t="shared" si="1"/>
        <v>46496</v>
      </c>
      <c r="DT1" s="191">
        <f t="shared" si="1"/>
        <v>46503</v>
      </c>
      <c r="DU1" s="191">
        <f t="shared" si="1"/>
        <v>46510</v>
      </c>
      <c r="DV1" s="191">
        <f t="shared" si="1"/>
        <v>46517</v>
      </c>
      <c r="DW1" s="191">
        <f t="shared" si="1"/>
        <v>46524</v>
      </c>
      <c r="DX1" s="191">
        <f t="shared" si="1"/>
        <v>46531</v>
      </c>
      <c r="DY1" s="191">
        <f t="shared" si="1"/>
        <v>46538</v>
      </c>
      <c r="DZ1" s="191">
        <f t="shared" si="1"/>
        <v>46545</v>
      </c>
      <c r="EA1" s="191">
        <f t="shared" si="1"/>
        <v>46552</v>
      </c>
      <c r="EB1" s="191">
        <f t="shared" si="1"/>
        <v>46559</v>
      </c>
      <c r="EC1" s="191">
        <f t="shared" si="1"/>
        <v>46566</v>
      </c>
      <c r="ED1" s="191">
        <f t="shared" si="1"/>
        <v>46573</v>
      </c>
      <c r="EE1" s="191">
        <f t="shared" si="1"/>
        <v>46580</v>
      </c>
      <c r="EF1" s="191">
        <f t="shared" si="1"/>
        <v>46587</v>
      </c>
      <c r="EG1" s="191">
        <f t="shared" ref="EG1:GR1" si="2">EF1+7</f>
        <v>46594</v>
      </c>
      <c r="EH1" s="191">
        <f t="shared" si="2"/>
        <v>46601</v>
      </c>
      <c r="EI1" s="191">
        <f t="shared" si="2"/>
        <v>46608</v>
      </c>
      <c r="EJ1" s="191">
        <f t="shared" si="2"/>
        <v>46615</v>
      </c>
      <c r="EK1" s="191">
        <f t="shared" si="2"/>
        <v>46622</v>
      </c>
      <c r="EL1" s="191">
        <f t="shared" si="2"/>
        <v>46629</v>
      </c>
      <c r="EM1" s="191">
        <f t="shared" si="2"/>
        <v>46636</v>
      </c>
      <c r="EN1" s="191">
        <f t="shared" si="2"/>
        <v>46643</v>
      </c>
      <c r="EO1" s="191">
        <f t="shared" si="2"/>
        <v>46650</v>
      </c>
      <c r="EP1" s="191">
        <f t="shared" si="2"/>
        <v>46657</v>
      </c>
      <c r="EQ1" s="191">
        <f t="shared" si="2"/>
        <v>46664</v>
      </c>
      <c r="ER1" s="191">
        <f t="shared" si="2"/>
        <v>46671</v>
      </c>
      <c r="ES1" s="191">
        <f t="shared" si="2"/>
        <v>46678</v>
      </c>
      <c r="ET1" s="191">
        <f t="shared" si="2"/>
        <v>46685</v>
      </c>
      <c r="EU1" s="191">
        <f t="shared" si="2"/>
        <v>46692</v>
      </c>
      <c r="EV1" s="191">
        <f t="shared" si="2"/>
        <v>46699</v>
      </c>
      <c r="EW1" s="191">
        <f t="shared" si="2"/>
        <v>46706</v>
      </c>
      <c r="EX1" s="191">
        <f t="shared" si="2"/>
        <v>46713</v>
      </c>
      <c r="EY1" s="191">
        <f t="shared" si="2"/>
        <v>46720</v>
      </c>
      <c r="EZ1" s="191">
        <f t="shared" si="2"/>
        <v>46727</v>
      </c>
      <c r="FA1" s="191">
        <f t="shared" si="2"/>
        <v>46734</v>
      </c>
      <c r="FB1" s="191">
        <f t="shared" si="2"/>
        <v>46741</v>
      </c>
      <c r="FC1" s="191">
        <f t="shared" si="2"/>
        <v>46748</v>
      </c>
      <c r="FD1" s="191">
        <f t="shared" si="2"/>
        <v>46755</v>
      </c>
      <c r="FE1" s="191">
        <f t="shared" si="2"/>
        <v>46762</v>
      </c>
      <c r="FF1" s="191">
        <f t="shared" si="2"/>
        <v>46769</v>
      </c>
      <c r="FG1" s="191">
        <f t="shared" si="2"/>
        <v>46776</v>
      </c>
      <c r="FH1" s="191">
        <f t="shared" si="2"/>
        <v>46783</v>
      </c>
      <c r="FI1" s="191">
        <f t="shared" si="2"/>
        <v>46790</v>
      </c>
      <c r="FJ1" s="191">
        <f t="shared" si="2"/>
        <v>46797</v>
      </c>
      <c r="FK1" s="191">
        <f t="shared" si="2"/>
        <v>46804</v>
      </c>
      <c r="FL1" s="191">
        <f t="shared" si="2"/>
        <v>46811</v>
      </c>
      <c r="FM1" s="191">
        <f t="shared" si="2"/>
        <v>46818</v>
      </c>
      <c r="FN1" s="191">
        <f t="shared" si="2"/>
        <v>46825</v>
      </c>
      <c r="FO1" s="191">
        <f t="shared" si="2"/>
        <v>46832</v>
      </c>
      <c r="FP1" s="191">
        <f t="shared" si="2"/>
        <v>46839</v>
      </c>
      <c r="FQ1" s="191">
        <f t="shared" si="2"/>
        <v>46846</v>
      </c>
      <c r="FR1" s="191">
        <f t="shared" si="2"/>
        <v>46853</v>
      </c>
      <c r="FS1" s="191">
        <f t="shared" si="2"/>
        <v>46860</v>
      </c>
      <c r="FT1" s="191">
        <f t="shared" si="2"/>
        <v>46867</v>
      </c>
      <c r="FU1" s="191">
        <f t="shared" si="2"/>
        <v>46874</v>
      </c>
      <c r="FV1" s="191">
        <f t="shared" si="2"/>
        <v>46881</v>
      </c>
      <c r="FW1" s="191">
        <f t="shared" si="2"/>
        <v>46888</v>
      </c>
      <c r="FX1" s="191">
        <f t="shared" si="2"/>
        <v>46895</v>
      </c>
      <c r="FY1" s="191">
        <f t="shared" si="2"/>
        <v>46902</v>
      </c>
      <c r="FZ1" s="191">
        <f t="shared" si="2"/>
        <v>46909</v>
      </c>
      <c r="GA1" s="191">
        <f t="shared" si="2"/>
        <v>46916</v>
      </c>
      <c r="GB1" s="191">
        <f t="shared" si="2"/>
        <v>46923</v>
      </c>
      <c r="GC1" s="191">
        <f t="shared" si="2"/>
        <v>46930</v>
      </c>
      <c r="GD1" s="191">
        <f t="shared" si="2"/>
        <v>46937</v>
      </c>
      <c r="GE1" s="191">
        <f t="shared" si="2"/>
        <v>46944</v>
      </c>
      <c r="GF1" s="191">
        <f t="shared" si="2"/>
        <v>46951</v>
      </c>
      <c r="GG1" s="191">
        <f t="shared" si="2"/>
        <v>46958</v>
      </c>
      <c r="GH1" s="191">
        <f t="shared" si="2"/>
        <v>46965</v>
      </c>
      <c r="GI1" s="191">
        <f t="shared" si="2"/>
        <v>46972</v>
      </c>
      <c r="GJ1" s="191">
        <f t="shared" si="2"/>
        <v>46979</v>
      </c>
      <c r="GK1" s="191">
        <f t="shared" si="2"/>
        <v>46986</v>
      </c>
      <c r="GL1" s="191">
        <f t="shared" si="2"/>
        <v>46993</v>
      </c>
      <c r="GM1" s="191">
        <f t="shared" si="2"/>
        <v>47000</v>
      </c>
      <c r="GN1" s="191">
        <f t="shared" si="2"/>
        <v>47007</v>
      </c>
      <c r="GO1" s="191">
        <f t="shared" si="2"/>
        <v>47014</v>
      </c>
      <c r="GP1" s="191">
        <f t="shared" si="2"/>
        <v>47021</v>
      </c>
      <c r="GQ1" s="191">
        <f t="shared" si="2"/>
        <v>47028</v>
      </c>
      <c r="GR1" s="191">
        <f t="shared" si="2"/>
        <v>47035</v>
      </c>
      <c r="GS1" s="191">
        <f t="shared" ref="GS1:JD1" si="3">GR1+7</f>
        <v>47042</v>
      </c>
      <c r="GT1" s="191">
        <f t="shared" si="3"/>
        <v>47049</v>
      </c>
      <c r="GU1" s="191">
        <f t="shared" si="3"/>
        <v>47056</v>
      </c>
      <c r="GV1" s="191">
        <f t="shared" si="3"/>
        <v>47063</v>
      </c>
      <c r="GW1" s="191">
        <f t="shared" si="3"/>
        <v>47070</v>
      </c>
      <c r="GX1" s="191">
        <f t="shared" si="3"/>
        <v>47077</v>
      </c>
      <c r="GY1" s="191">
        <f t="shared" si="3"/>
        <v>47084</v>
      </c>
      <c r="GZ1" s="191">
        <f t="shared" si="3"/>
        <v>47091</v>
      </c>
      <c r="HA1" s="191">
        <f t="shared" si="3"/>
        <v>47098</v>
      </c>
      <c r="HB1" s="191">
        <f t="shared" si="3"/>
        <v>47105</v>
      </c>
      <c r="HC1" s="191">
        <f t="shared" si="3"/>
        <v>47112</v>
      </c>
      <c r="HD1" s="191">
        <f t="shared" si="3"/>
        <v>47119</v>
      </c>
      <c r="HE1" s="191">
        <f t="shared" si="3"/>
        <v>47126</v>
      </c>
      <c r="HF1" s="191">
        <f t="shared" si="3"/>
        <v>47133</v>
      </c>
      <c r="HG1" s="191">
        <f t="shared" si="3"/>
        <v>47140</v>
      </c>
      <c r="HH1" s="191">
        <f t="shared" si="3"/>
        <v>47147</v>
      </c>
      <c r="HI1" s="191">
        <f t="shared" si="3"/>
        <v>47154</v>
      </c>
      <c r="HJ1" s="191">
        <f t="shared" si="3"/>
        <v>47161</v>
      </c>
      <c r="HK1" s="191">
        <f t="shared" si="3"/>
        <v>47168</v>
      </c>
      <c r="HL1" s="191">
        <f t="shared" si="3"/>
        <v>47175</v>
      </c>
      <c r="HM1" s="191">
        <f t="shared" si="3"/>
        <v>47182</v>
      </c>
      <c r="HN1" s="191">
        <f t="shared" si="3"/>
        <v>47189</v>
      </c>
      <c r="HO1" s="191">
        <f t="shared" si="3"/>
        <v>47196</v>
      </c>
      <c r="HP1" s="191">
        <f t="shared" si="3"/>
        <v>47203</v>
      </c>
      <c r="HQ1" s="191">
        <f t="shared" si="3"/>
        <v>47210</v>
      </c>
      <c r="HR1" s="191">
        <f t="shared" si="3"/>
        <v>47217</v>
      </c>
      <c r="HS1" s="191">
        <f t="shared" si="3"/>
        <v>47224</v>
      </c>
      <c r="HT1" s="191">
        <f t="shared" si="3"/>
        <v>47231</v>
      </c>
      <c r="HU1" s="191">
        <f t="shared" si="3"/>
        <v>47238</v>
      </c>
      <c r="HV1" s="191">
        <f t="shared" si="3"/>
        <v>47245</v>
      </c>
      <c r="HW1" s="191">
        <f t="shared" si="3"/>
        <v>47252</v>
      </c>
      <c r="HX1" s="191">
        <f t="shared" si="3"/>
        <v>47259</v>
      </c>
      <c r="HY1" s="191">
        <f t="shared" si="3"/>
        <v>47266</v>
      </c>
      <c r="HZ1" s="191">
        <f t="shared" si="3"/>
        <v>47273</v>
      </c>
      <c r="IA1" s="191">
        <f t="shared" si="3"/>
        <v>47280</v>
      </c>
      <c r="IB1" s="191">
        <f t="shared" si="3"/>
        <v>47287</v>
      </c>
      <c r="IC1" s="191">
        <f t="shared" si="3"/>
        <v>47294</v>
      </c>
      <c r="ID1" s="191">
        <f t="shared" si="3"/>
        <v>47301</v>
      </c>
      <c r="IE1" s="191">
        <f t="shared" si="3"/>
        <v>47308</v>
      </c>
      <c r="IF1" s="191">
        <f t="shared" si="3"/>
        <v>47315</v>
      </c>
      <c r="IG1" s="191">
        <f t="shared" si="3"/>
        <v>47322</v>
      </c>
      <c r="IH1" s="191">
        <f t="shared" si="3"/>
        <v>47329</v>
      </c>
      <c r="II1" s="191">
        <f t="shared" si="3"/>
        <v>47336</v>
      </c>
      <c r="IJ1" s="191">
        <f t="shared" si="3"/>
        <v>47343</v>
      </c>
      <c r="IK1" s="191">
        <f t="shared" si="3"/>
        <v>47350</v>
      </c>
      <c r="IL1" s="191">
        <f t="shared" si="3"/>
        <v>47357</v>
      </c>
      <c r="IM1" s="191">
        <f t="shared" si="3"/>
        <v>47364</v>
      </c>
      <c r="IN1" s="191">
        <f t="shared" si="3"/>
        <v>47371</v>
      </c>
      <c r="IO1" s="191">
        <f t="shared" si="3"/>
        <v>47378</v>
      </c>
      <c r="IP1" s="191">
        <f t="shared" si="3"/>
        <v>47385</v>
      </c>
      <c r="IQ1" s="191">
        <f t="shared" si="3"/>
        <v>47392</v>
      </c>
      <c r="IR1" s="191">
        <f t="shared" si="3"/>
        <v>47399</v>
      </c>
      <c r="IS1" s="191">
        <f t="shared" si="3"/>
        <v>47406</v>
      </c>
      <c r="IT1" s="191">
        <f t="shared" si="3"/>
        <v>47413</v>
      </c>
      <c r="IU1" s="191">
        <f t="shared" si="3"/>
        <v>47420</v>
      </c>
      <c r="IV1" s="191">
        <f t="shared" si="3"/>
        <v>47427</v>
      </c>
      <c r="IW1" s="191">
        <f t="shared" si="3"/>
        <v>47434</v>
      </c>
      <c r="IX1" s="191">
        <f t="shared" si="3"/>
        <v>47441</v>
      </c>
      <c r="IY1" s="191">
        <f t="shared" si="3"/>
        <v>47448</v>
      </c>
      <c r="IZ1" s="191">
        <f t="shared" si="3"/>
        <v>47455</v>
      </c>
      <c r="JA1" s="191">
        <f t="shared" si="3"/>
        <v>47462</v>
      </c>
      <c r="JB1" s="191">
        <f t="shared" si="3"/>
        <v>47469</v>
      </c>
      <c r="JC1" s="191">
        <f t="shared" si="3"/>
        <v>47476</v>
      </c>
      <c r="JD1" s="191">
        <f t="shared" si="3"/>
        <v>47483</v>
      </c>
      <c r="JE1" s="191">
        <f t="shared" ref="JE1:LD1" si="4">JD1+7</f>
        <v>47490</v>
      </c>
      <c r="JF1" s="191">
        <f t="shared" si="4"/>
        <v>47497</v>
      </c>
      <c r="JG1" s="191">
        <f t="shared" si="4"/>
        <v>47504</v>
      </c>
      <c r="JH1" s="191">
        <f t="shared" si="4"/>
        <v>47511</v>
      </c>
      <c r="JI1" s="191">
        <f t="shared" si="4"/>
        <v>47518</v>
      </c>
      <c r="JJ1" s="191">
        <f t="shared" si="4"/>
        <v>47525</v>
      </c>
      <c r="JK1" s="191">
        <f t="shared" si="4"/>
        <v>47532</v>
      </c>
      <c r="JL1" s="191">
        <f t="shared" si="4"/>
        <v>47539</v>
      </c>
      <c r="JM1" s="191">
        <f t="shared" si="4"/>
        <v>47546</v>
      </c>
      <c r="JN1" s="191">
        <f t="shared" si="4"/>
        <v>47553</v>
      </c>
      <c r="JO1" s="191">
        <f t="shared" si="4"/>
        <v>47560</v>
      </c>
      <c r="JP1" s="191">
        <f t="shared" si="4"/>
        <v>47567</v>
      </c>
      <c r="JQ1" s="191">
        <f t="shared" si="4"/>
        <v>47574</v>
      </c>
      <c r="JR1" s="191">
        <f t="shared" si="4"/>
        <v>47581</v>
      </c>
      <c r="JS1" s="191">
        <f t="shared" si="4"/>
        <v>47588</v>
      </c>
      <c r="JT1" s="191">
        <f t="shared" si="4"/>
        <v>47595</v>
      </c>
      <c r="JU1" s="191">
        <f t="shared" si="4"/>
        <v>47602</v>
      </c>
      <c r="JV1" s="191">
        <f t="shared" si="4"/>
        <v>47609</v>
      </c>
      <c r="JW1" s="191">
        <f t="shared" si="4"/>
        <v>47616</v>
      </c>
      <c r="JX1" s="191">
        <f t="shared" si="4"/>
        <v>47623</v>
      </c>
      <c r="JY1" s="191">
        <f t="shared" si="4"/>
        <v>47630</v>
      </c>
      <c r="JZ1" s="191">
        <f t="shared" si="4"/>
        <v>47637</v>
      </c>
      <c r="KA1" s="191">
        <f t="shared" si="4"/>
        <v>47644</v>
      </c>
      <c r="KB1" s="191">
        <f t="shared" si="4"/>
        <v>47651</v>
      </c>
      <c r="KC1" s="191">
        <f t="shared" si="4"/>
        <v>47658</v>
      </c>
      <c r="KD1" s="191">
        <f t="shared" si="4"/>
        <v>47665</v>
      </c>
      <c r="KE1" s="191">
        <f t="shared" si="4"/>
        <v>47672</v>
      </c>
      <c r="KF1" s="191">
        <f t="shared" si="4"/>
        <v>47679</v>
      </c>
      <c r="KG1" s="191">
        <f t="shared" si="4"/>
        <v>47686</v>
      </c>
      <c r="KH1" s="191">
        <f t="shared" si="4"/>
        <v>47693</v>
      </c>
      <c r="KI1" s="191">
        <f t="shared" si="4"/>
        <v>47700</v>
      </c>
      <c r="KJ1" s="191">
        <f t="shared" si="4"/>
        <v>47707</v>
      </c>
      <c r="KK1" s="191">
        <f t="shared" si="4"/>
        <v>47714</v>
      </c>
      <c r="KL1" s="191">
        <f t="shared" si="4"/>
        <v>47721</v>
      </c>
      <c r="KM1" s="191">
        <f t="shared" si="4"/>
        <v>47728</v>
      </c>
      <c r="KN1" s="191">
        <f t="shared" si="4"/>
        <v>47735</v>
      </c>
      <c r="KO1" s="191">
        <f t="shared" si="4"/>
        <v>47742</v>
      </c>
      <c r="KP1" s="191">
        <f t="shared" si="4"/>
        <v>47749</v>
      </c>
      <c r="KQ1" s="191">
        <f t="shared" si="4"/>
        <v>47756</v>
      </c>
      <c r="KR1" s="191">
        <f t="shared" si="4"/>
        <v>47763</v>
      </c>
      <c r="KS1" s="191">
        <f t="shared" si="4"/>
        <v>47770</v>
      </c>
      <c r="KT1" s="191">
        <f t="shared" si="4"/>
        <v>47777</v>
      </c>
      <c r="KU1" s="191">
        <f t="shared" si="4"/>
        <v>47784</v>
      </c>
      <c r="KV1" s="191">
        <f t="shared" si="4"/>
        <v>47791</v>
      </c>
      <c r="KW1" s="191">
        <f t="shared" si="4"/>
        <v>47798</v>
      </c>
      <c r="KX1" s="191">
        <f t="shared" si="4"/>
        <v>47805</v>
      </c>
      <c r="KY1" s="191">
        <f t="shared" si="4"/>
        <v>47812</v>
      </c>
      <c r="KZ1" s="191">
        <f t="shared" si="4"/>
        <v>47819</v>
      </c>
      <c r="LA1" s="191">
        <f t="shared" si="4"/>
        <v>47826</v>
      </c>
      <c r="LB1" s="191">
        <f t="shared" si="4"/>
        <v>47833</v>
      </c>
      <c r="LC1" s="191">
        <f t="shared" si="4"/>
        <v>47840</v>
      </c>
      <c r="LD1" s="191">
        <f t="shared" si="4"/>
        <v>47847</v>
      </c>
    </row>
    <row r="2" spans="1:794" s="192" customFormat="1">
      <c r="A2" s="808" t="s">
        <v>385</v>
      </c>
      <c r="B2" s="193"/>
      <c r="C2" s="194" t="s">
        <v>234</v>
      </c>
      <c r="D2" s="194" t="s">
        <v>234</v>
      </c>
      <c r="E2" s="194"/>
      <c r="F2" s="195"/>
      <c r="G2" s="195"/>
      <c r="H2" s="195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195"/>
      <c r="AO2" s="195"/>
      <c r="AP2" s="195"/>
      <c r="AQ2" s="195"/>
      <c r="AR2" s="195"/>
      <c r="AS2" s="195"/>
      <c r="AT2" s="195"/>
      <c r="AU2" s="195"/>
      <c r="AV2" s="195"/>
      <c r="AW2" s="195"/>
      <c r="AX2" s="195"/>
      <c r="AY2" s="195"/>
      <c r="AZ2" s="195"/>
      <c r="BA2" s="195"/>
      <c r="BB2" s="195"/>
      <c r="BC2" s="195"/>
      <c r="BD2" s="195"/>
      <c r="BE2" s="195"/>
      <c r="BF2" s="195"/>
      <c r="BG2" s="195"/>
      <c r="BH2" s="195"/>
      <c r="BI2" s="195"/>
      <c r="BJ2" s="195"/>
      <c r="BK2" s="195"/>
      <c r="BL2" s="195"/>
      <c r="BM2" s="195"/>
      <c r="BN2" s="195"/>
      <c r="BO2" s="195"/>
      <c r="BP2" s="195"/>
      <c r="BQ2" s="195"/>
      <c r="BR2" s="195"/>
      <c r="BS2" s="195"/>
      <c r="BT2" s="195"/>
      <c r="BU2" s="195"/>
      <c r="BV2" s="195"/>
      <c r="BW2" s="195"/>
      <c r="BX2" s="195"/>
      <c r="BY2" s="195"/>
      <c r="BZ2" s="195"/>
      <c r="CA2" s="195"/>
      <c r="CB2" s="195"/>
      <c r="CC2" s="195"/>
      <c r="CD2" s="195"/>
      <c r="CE2" s="195"/>
      <c r="CF2" s="195"/>
      <c r="CG2" s="195"/>
      <c r="CH2" s="195"/>
      <c r="CI2" s="195"/>
      <c r="CJ2" s="195"/>
      <c r="CK2" s="195"/>
      <c r="CL2" s="195"/>
      <c r="CM2" s="195"/>
      <c r="CN2" s="195"/>
      <c r="CO2" s="195"/>
      <c r="CP2" s="195"/>
      <c r="CQ2" s="195"/>
      <c r="CR2" s="195"/>
      <c r="CS2" s="195"/>
      <c r="CT2" s="195"/>
      <c r="CU2" s="195"/>
      <c r="CV2" s="195"/>
      <c r="CW2" s="195"/>
      <c r="CX2" s="195"/>
      <c r="CY2" s="195"/>
      <c r="CZ2" s="195"/>
      <c r="DA2" s="195"/>
      <c r="DB2" s="195"/>
      <c r="DC2" s="195"/>
      <c r="DD2" s="195"/>
      <c r="DE2" s="195"/>
      <c r="DF2" s="195"/>
      <c r="DG2" s="195"/>
      <c r="DH2" s="195"/>
      <c r="DI2" s="195"/>
      <c r="DJ2" s="195"/>
      <c r="DK2" s="195"/>
      <c r="DL2" s="195"/>
      <c r="DM2" s="195"/>
      <c r="DN2" s="195"/>
      <c r="DO2" s="195"/>
      <c r="DP2" s="195"/>
      <c r="DQ2" s="195"/>
      <c r="DR2" s="195"/>
      <c r="DS2" s="195"/>
      <c r="DT2" s="195"/>
      <c r="DU2" s="195"/>
      <c r="DV2" s="195"/>
      <c r="DW2" s="195"/>
      <c r="DX2" s="195"/>
      <c r="DY2" s="195"/>
      <c r="DZ2" s="195"/>
      <c r="EA2" s="195"/>
      <c r="EB2" s="195"/>
      <c r="EC2" s="195"/>
      <c r="ED2" s="195"/>
      <c r="EE2" s="195"/>
      <c r="EF2" s="195"/>
      <c r="EG2" s="195"/>
      <c r="EH2" s="195"/>
      <c r="EI2" s="195"/>
      <c r="EJ2" s="195"/>
      <c r="EK2" s="195"/>
      <c r="EL2" s="195"/>
      <c r="EM2" s="195"/>
      <c r="EN2" s="195"/>
      <c r="EO2" s="195"/>
      <c r="EP2" s="195"/>
      <c r="EQ2" s="195"/>
      <c r="ER2" s="195"/>
      <c r="ES2" s="195"/>
      <c r="ET2" s="195"/>
      <c r="EU2" s="195"/>
      <c r="EV2" s="195"/>
      <c r="EW2" s="195"/>
      <c r="EX2" s="195"/>
      <c r="EY2" s="195"/>
      <c r="EZ2" s="195"/>
      <c r="FA2" s="195"/>
      <c r="FB2" s="195"/>
      <c r="FC2" s="195"/>
      <c r="FD2" s="195"/>
      <c r="FE2" s="195"/>
      <c r="FF2" s="195"/>
      <c r="FG2" s="195"/>
      <c r="FH2" s="195"/>
      <c r="FI2" s="195"/>
      <c r="FJ2" s="195"/>
      <c r="FK2" s="195"/>
      <c r="FL2" s="195"/>
      <c r="FM2" s="195"/>
      <c r="FN2" s="195"/>
      <c r="FO2" s="195"/>
      <c r="FP2" s="195"/>
      <c r="FQ2" s="195"/>
      <c r="FR2" s="195"/>
      <c r="FS2" s="195"/>
      <c r="FT2" s="195"/>
      <c r="FU2" s="195"/>
      <c r="FV2" s="195"/>
      <c r="FW2" s="195"/>
      <c r="FX2" s="195"/>
      <c r="FY2" s="195"/>
      <c r="FZ2" s="195"/>
      <c r="GA2" s="195"/>
      <c r="GB2" s="195"/>
      <c r="GC2" s="195"/>
      <c r="GD2" s="195"/>
      <c r="GE2" s="195"/>
      <c r="GF2" s="195"/>
      <c r="GG2" s="195"/>
      <c r="GH2" s="195"/>
      <c r="GI2" s="195"/>
      <c r="GJ2" s="195"/>
      <c r="GK2" s="195"/>
      <c r="GL2" s="195"/>
      <c r="GM2" s="195"/>
      <c r="GN2" s="195"/>
      <c r="GO2" s="195"/>
      <c r="GP2" s="195"/>
      <c r="GQ2" s="195"/>
      <c r="GR2" s="195"/>
      <c r="GS2" s="195"/>
      <c r="GT2" s="195"/>
      <c r="GU2" s="195"/>
      <c r="GV2" s="195"/>
      <c r="GW2" s="195"/>
      <c r="GX2" s="195"/>
      <c r="GY2" s="195"/>
      <c r="GZ2" s="195"/>
      <c r="HA2" s="195"/>
      <c r="HB2" s="195"/>
      <c r="HC2" s="195"/>
      <c r="HD2" s="195"/>
      <c r="HE2" s="195"/>
      <c r="HF2" s="195"/>
      <c r="HG2" s="195"/>
      <c r="HH2" s="195"/>
      <c r="HI2" s="195"/>
      <c r="HJ2" s="195"/>
      <c r="HK2" s="195"/>
      <c r="HL2" s="195"/>
      <c r="HM2" s="195"/>
      <c r="HN2" s="195"/>
      <c r="HO2" s="195"/>
      <c r="HP2" s="195"/>
      <c r="HQ2" s="195"/>
      <c r="HR2" s="195"/>
      <c r="HS2" s="195"/>
      <c r="HT2" s="195"/>
      <c r="HU2" s="195"/>
      <c r="HV2" s="195"/>
      <c r="HW2" s="195"/>
      <c r="HX2" s="195"/>
      <c r="HY2" s="195"/>
      <c r="HZ2" s="195"/>
      <c r="IA2" s="195"/>
      <c r="IB2" s="195"/>
      <c r="IC2" s="195"/>
      <c r="ID2" s="195"/>
      <c r="IE2" s="195"/>
      <c r="IF2" s="195"/>
      <c r="IG2" s="195"/>
      <c r="IH2" s="195"/>
      <c r="II2" s="195"/>
      <c r="IJ2" s="195"/>
      <c r="IK2" s="195"/>
      <c r="IL2" s="195"/>
      <c r="IM2" s="195"/>
      <c r="IN2" s="195"/>
      <c r="IO2" s="195"/>
      <c r="IP2" s="195"/>
      <c r="IQ2" s="195"/>
      <c r="IR2" s="195"/>
      <c r="IS2" s="195"/>
      <c r="IT2" s="195"/>
      <c r="IU2" s="195"/>
      <c r="IV2" s="195"/>
      <c r="IW2" s="195"/>
      <c r="IX2" s="195"/>
      <c r="IY2" s="195"/>
      <c r="IZ2" s="195"/>
      <c r="JA2" s="195"/>
      <c r="JB2" s="195"/>
      <c r="JC2" s="195"/>
      <c r="JD2" s="195"/>
      <c r="JE2" s="195"/>
      <c r="JF2" s="195"/>
      <c r="JG2" s="195"/>
      <c r="JH2" s="195"/>
      <c r="JI2" s="195"/>
      <c r="JJ2" s="195"/>
      <c r="JK2" s="195"/>
      <c r="JL2" s="195"/>
      <c r="JM2" s="195"/>
      <c r="JN2" s="195"/>
      <c r="JO2" s="195"/>
      <c r="JP2" s="195"/>
      <c r="JQ2" s="195"/>
      <c r="JR2" s="195"/>
      <c r="JS2" s="195"/>
      <c r="JT2" s="195"/>
      <c r="JU2" s="195"/>
      <c r="JV2" s="195"/>
      <c r="JW2" s="195"/>
      <c r="JX2" s="195"/>
      <c r="JY2" s="195"/>
      <c r="JZ2" s="195"/>
      <c r="KA2" s="195"/>
      <c r="KB2" s="195"/>
      <c r="KC2" s="195"/>
      <c r="KD2" s="195"/>
      <c r="KE2" s="195"/>
      <c r="KF2" s="195"/>
      <c r="KG2" s="195"/>
      <c r="KH2" s="195"/>
      <c r="KI2" s="195"/>
      <c r="KJ2" s="195"/>
      <c r="KK2" s="195"/>
      <c r="KL2" s="195"/>
      <c r="KM2" s="195"/>
      <c r="KN2" s="195"/>
      <c r="KO2" s="195"/>
      <c r="KP2" s="195"/>
      <c r="KQ2" s="195"/>
      <c r="KR2" s="195"/>
      <c r="KS2" s="195"/>
      <c r="KT2" s="195"/>
      <c r="KU2" s="195"/>
      <c r="KV2" s="195"/>
      <c r="KW2" s="195"/>
      <c r="KX2" s="195"/>
      <c r="KY2" s="195"/>
      <c r="KZ2" s="195"/>
      <c r="LA2" s="195"/>
      <c r="LB2" s="195"/>
      <c r="LC2" s="195"/>
      <c r="LD2" s="195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6" t="s">
        <v>156</v>
      </c>
      <c r="C3" s="197">
        <f>'Revenue Tracking'!D4</f>
        <v>1027136</v>
      </c>
      <c r="D3" s="197">
        <f>SUM(F3:LD3)</f>
        <v>1027136</v>
      </c>
      <c r="E3" s="198"/>
      <c r="F3" s="199">
        <f>SUMIFS('Revenue Tracking'!$F$13:$F$19, 'Revenue Tracking'!$H$13:$H$19, "&gt;="&amp;F1,'Revenue Tracking'!$H$13:$H$19, "&lt;"&amp;G1)</f>
        <v>0</v>
      </c>
      <c r="G3" s="199">
        <f>SUMIFS('Revenue Tracking'!$F$13:$F$19, 'Revenue Tracking'!$H$13:$H$19, "&gt;="&amp;G1,'Revenue Tracking'!$H$13:$H$19, "&lt;"&amp;H1)</f>
        <v>0</v>
      </c>
      <c r="H3" s="199">
        <f>SUMIFS('Revenue Tracking'!$F$13:$F$19, 'Revenue Tracking'!$H$13:$H$19, "&gt;="&amp;H1,'Revenue Tracking'!$H$13:$H$19, "&lt;"&amp;I1)</f>
        <v>0</v>
      </c>
      <c r="I3" s="199">
        <f>SUMIFS('Revenue Tracking'!$F$13:$F$19, 'Revenue Tracking'!$H$13:$H$19, "&gt;="&amp;I1,'Revenue Tracking'!$H$13:$H$19, "&lt;"&amp;J1)</f>
        <v>0</v>
      </c>
      <c r="J3" s="199">
        <f>SUMIFS('Revenue Tracking'!$F$13:$F$19, 'Revenue Tracking'!$H$13:$H$19, "&gt;="&amp;J1,'Revenue Tracking'!$H$13:$H$19, "&lt;"&amp;K1)</f>
        <v>0</v>
      </c>
      <c r="K3" s="199">
        <f>SUMIFS('Revenue Tracking'!$F$13:$F$19, 'Revenue Tracking'!$H$13:$H$19, "&gt;="&amp;K1,'Revenue Tracking'!$H$13:$H$19, "&lt;"&amp;L1)</f>
        <v>0</v>
      </c>
      <c r="L3" s="199">
        <f>SUMIFS('Revenue Tracking'!$F$13:$F$19, 'Revenue Tracking'!$H$13:$H$19, "&gt;="&amp;L1,'Revenue Tracking'!$H$13:$H$19, "&lt;"&amp;M1)</f>
        <v>0</v>
      </c>
      <c r="M3" s="199">
        <f>SUMIFS('Revenue Tracking'!$F$13:$F$19, 'Revenue Tracking'!$H$13:$H$19, "&gt;="&amp;M1,'Revenue Tracking'!$H$13:$H$19, "&lt;"&amp;N1)</f>
        <v>0</v>
      </c>
      <c r="N3" s="199">
        <f>SUMIFS('Revenue Tracking'!$F$13:$F$19, 'Revenue Tracking'!$H$13:$H$19, "&gt;="&amp;N1,'Revenue Tracking'!$H$13:$H$19, "&lt;"&amp;O1)</f>
        <v>0</v>
      </c>
      <c r="O3" s="199">
        <f>SUMIFS('Revenue Tracking'!$F$13:$F$19, 'Revenue Tracking'!$H$13:$H$19, "&gt;="&amp;O1,'Revenue Tracking'!$H$13:$H$19, "&lt;"&amp;P1)</f>
        <v>0</v>
      </c>
      <c r="P3" s="199">
        <f>SUMIFS('Revenue Tracking'!$F$13:$F$19, 'Revenue Tracking'!$H$13:$H$19, "&gt;="&amp;P1,'Revenue Tracking'!$H$13:$H$19, "&lt;"&amp;Q1)</f>
        <v>0</v>
      </c>
      <c r="Q3" s="199">
        <f>SUMIFS('Revenue Tracking'!$F$13:$F$19, 'Revenue Tracking'!$H$13:$H$19, "&gt;="&amp;Q1,'Revenue Tracking'!$H$13:$H$19, "&lt;"&amp;R1)</f>
        <v>0</v>
      </c>
      <c r="R3" s="199">
        <f>SUMIFS('Revenue Tracking'!$F$13:$F$19, 'Revenue Tracking'!$H$13:$H$19, "&gt;="&amp;R1,'Revenue Tracking'!$H$13:$H$19, "&lt;"&amp;S1)</f>
        <v>0</v>
      </c>
      <c r="S3" s="199">
        <f>SUMIFS('Revenue Tracking'!$F$13:$F$19, 'Revenue Tracking'!$H$13:$H$19, "&gt;="&amp;S1,'Revenue Tracking'!$H$13:$H$19, "&lt;"&amp;T1)</f>
        <v>0</v>
      </c>
      <c r="T3" s="199">
        <f>SUMIFS('Revenue Tracking'!$F$13:$F$19, 'Revenue Tracking'!$H$13:$H$19, "&gt;="&amp;T1,'Revenue Tracking'!$H$13:$H$19, "&lt;"&amp;U1)</f>
        <v>0</v>
      </c>
      <c r="U3" s="199">
        <f>SUMIFS('Revenue Tracking'!$F$13:$F$19, 'Revenue Tracking'!$H$13:$H$19, "&gt;="&amp;U1,'Revenue Tracking'!$H$13:$H$19, "&lt;"&amp;V1)</f>
        <v>0</v>
      </c>
      <c r="V3" s="199">
        <f>SUMIFS('Revenue Tracking'!$F$13:$F$19, 'Revenue Tracking'!$H$13:$H$19, "&gt;="&amp;V1,'Revenue Tracking'!$H$13:$H$19, "&lt;"&amp;W1)</f>
        <v>0</v>
      </c>
      <c r="W3" s="199">
        <f>SUMIFS('Revenue Tracking'!$F$13:$F$19, 'Revenue Tracking'!$H$13:$H$19, "&gt;="&amp;W1,'Revenue Tracking'!$H$13:$H$19, "&lt;"&amp;X1)</f>
        <v>0</v>
      </c>
      <c r="X3" s="199">
        <f>SUMIFS('Revenue Tracking'!$F$13:$F$19, 'Revenue Tracking'!$H$13:$H$19, "&gt;="&amp;X1,'Revenue Tracking'!$H$13:$H$19, "&lt;"&amp;Y1)</f>
        <v>0</v>
      </c>
      <c r="Y3" s="199">
        <f>SUMIFS('Revenue Tracking'!$F$13:$F$19, 'Revenue Tracking'!$H$13:$H$19, "&gt;="&amp;Y1,'Revenue Tracking'!$H$13:$H$19, "&lt;"&amp;Z1)</f>
        <v>0</v>
      </c>
      <c r="Z3" s="199">
        <f>SUMIFS('Revenue Tracking'!$F$13:$F$19, 'Revenue Tracking'!$H$13:$H$19, "&gt;="&amp;Z1,'Revenue Tracking'!$H$13:$H$19, "&lt;"&amp;AA1)</f>
        <v>0</v>
      </c>
      <c r="AA3" s="199">
        <f>SUMIFS('Revenue Tracking'!$F$13:$F$19, 'Revenue Tracking'!$H$13:$H$19, "&gt;="&amp;AA1,'Revenue Tracking'!$H$13:$H$19, "&lt;"&amp;AB1)</f>
        <v>0</v>
      </c>
      <c r="AB3" s="199">
        <f>SUMIFS('Revenue Tracking'!$F$13:$F$19, 'Revenue Tracking'!$H$13:$H$19, "&gt;="&amp;AB1,'Revenue Tracking'!$H$13:$H$19, "&lt;"&amp;AC1)</f>
        <v>0</v>
      </c>
      <c r="AC3" s="199">
        <f>SUMIFS('Revenue Tracking'!$F$13:$F$19, 'Revenue Tracking'!$H$13:$H$19, "&gt;="&amp;AC1,'Revenue Tracking'!$H$13:$H$19, "&lt;"&amp;AD1)</f>
        <v>0</v>
      </c>
      <c r="AD3" s="199">
        <f>SUMIFS('Revenue Tracking'!$F$13:$F$19, 'Revenue Tracking'!$H$13:$H$19, "&gt;="&amp;AD1,'Revenue Tracking'!$H$13:$H$19, "&lt;"&amp;AE1)</f>
        <v>0</v>
      </c>
      <c r="AE3" s="199">
        <f>SUMIFS('Revenue Tracking'!$F$13:$F$19, 'Revenue Tracking'!$H$13:$H$19, "&gt;="&amp;AE1,'Revenue Tracking'!$H$13:$H$19, "&lt;"&amp;AF1)</f>
        <v>0</v>
      </c>
      <c r="AF3" s="199">
        <f>SUMIFS('Revenue Tracking'!$F$13:$F$19, 'Revenue Tracking'!$H$13:$H$19, "&gt;="&amp;AF1,'Revenue Tracking'!$H$13:$H$19, "&lt;"&amp;AG1)</f>
        <v>0</v>
      </c>
      <c r="AG3" s="199">
        <f>SUMIFS('Revenue Tracking'!$F$13:$F$19, 'Revenue Tracking'!$H$13:$H$19, "&gt;="&amp;AG1,'Revenue Tracking'!$H$13:$H$19, "&lt;"&amp;AH1)</f>
        <v>0</v>
      </c>
      <c r="AH3" s="199">
        <f>SUMIFS('Revenue Tracking'!$F$13:$F$19, 'Revenue Tracking'!$H$13:$H$19, "&gt;="&amp;AH1,'Revenue Tracking'!$H$13:$H$19, "&lt;"&amp;AI1)</f>
        <v>0</v>
      </c>
      <c r="AI3" s="199">
        <f>SUMIFS('Revenue Tracking'!$F$13:$F$19, 'Revenue Tracking'!$H$13:$H$19, "&gt;="&amp;AI1,'Revenue Tracking'!$H$13:$H$19, "&lt;"&amp;AJ1)</f>
        <v>0</v>
      </c>
      <c r="AJ3" s="199">
        <f>SUMIFS('Revenue Tracking'!$F$13:$F$19, 'Revenue Tracking'!$H$13:$H$19, "&gt;="&amp;AJ1,'Revenue Tracking'!$H$13:$H$19, "&lt;"&amp;AK1)</f>
        <v>513568</v>
      </c>
      <c r="AK3" s="199">
        <f>SUMIFS('Revenue Tracking'!$F$13:$F$19, 'Revenue Tracking'!$H$13:$H$19, "&gt;="&amp;AK1,'Revenue Tracking'!$H$13:$H$19, "&lt;"&amp;AL1)</f>
        <v>0</v>
      </c>
      <c r="AL3" s="199">
        <f>SUMIFS('Revenue Tracking'!$F$13:$F$19, 'Revenue Tracking'!$H$13:$H$19, "&gt;="&amp;AL1,'Revenue Tracking'!$H$13:$H$19, "&lt;"&amp;AM1)</f>
        <v>359497.6</v>
      </c>
      <c r="AM3" s="199">
        <f>SUMIFS('Revenue Tracking'!$F$13:$F$19, 'Revenue Tracking'!$H$13:$H$19, "&gt;="&amp;AM1,'Revenue Tracking'!$H$13:$H$19, "&lt;"&amp;AN1)</f>
        <v>0</v>
      </c>
      <c r="AN3" s="199">
        <f>SUMIFS('Revenue Tracking'!$F$13:$F$19, 'Revenue Tracking'!$H$13:$H$19, "&gt;="&amp;AN1,'Revenue Tracking'!$H$13:$H$19, "&lt;"&amp;AO1)</f>
        <v>0</v>
      </c>
      <c r="AO3" s="199">
        <f>SUMIFS('Revenue Tracking'!$F$13:$F$19, 'Revenue Tracking'!$H$13:$H$19, "&gt;="&amp;AO1,'Revenue Tracking'!$H$13:$H$19, "&lt;"&amp;AP1)</f>
        <v>0</v>
      </c>
      <c r="AP3" s="199">
        <f>SUMIFS('Revenue Tracking'!$F$13:$F$19, 'Revenue Tracking'!$H$13:$H$19, "&gt;="&amp;AP1,'Revenue Tracking'!$H$13:$H$19, "&lt;"&amp;AQ1)</f>
        <v>0</v>
      </c>
      <c r="AQ3" s="199">
        <f>SUMIFS('Revenue Tracking'!$F$13:$F$19, 'Revenue Tracking'!$H$13:$H$19, "&gt;="&amp;AQ1,'Revenue Tracking'!$H$13:$H$19, "&lt;"&amp;AR1)</f>
        <v>0</v>
      </c>
      <c r="AR3" s="199">
        <f>SUMIFS('Revenue Tracking'!$F$13:$F$19, 'Revenue Tracking'!$H$13:$H$19, "&gt;="&amp;AR1,'Revenue Tracking'!$H$13:$H$19, "&lt;"&amp;AS1)</f>
        <v>0</v>
      </c>
      <c r="AS3" s="199">
        <f>SUMIFS('Revenue Tracking'!$F$13:$F$19, 'Revenue Tracking'!$H$13:$H$19, "&gt;="&amp;AS1,'Revenue Tracking'!$H$13:$H$19, "&lt;"&amp;AT1)</f>
        <v>102713.60000000001</v>
      </c>
      <c r="AT3" s="199">
        <f>SUMIFS('Revenue Tracking'!$F$13:$F$19, 'Revenue Tracking'!$H$13:$H$19, "&gt;="&amp;AT1,'Revenue Tracking'!$H$13:$H$19, "&lt;"&amp;AU1)</f>
        <v>51356.800000000003</v>
      </c>
      <c r="AU3" s="199">
        <f>SUMIFS('Revenue Tracking'!$F$13:$F$19, 'Revenue Tracking'!$H$13:$H$19, "&gt;="&amp;AU1,'Revenue Tracking'!$H$13:$H$19, "&lt;"&amp;AV1)</f>
        <v>0</v>
      </c>
      <c r="AV3" s="199">
        <f>SUMIFS('Revenue Tracking'!$F$13:$F$19, 'Revenue Tracking'!$H$13:$H$19, "&gt;="&amp;AV1,'Revenue Tracking'!$H$13:$H$19, "&lt;"&amp;AW1)</f>
        <v>0</v>
      </c>
      <c r="AW3" s="199">
        <f>SUMIFS('Revenue Tracking'!$F$13:$F$19, 'Revenue Tracking'!$H$13:$H$19, "&gt;="&amp;AW1,'Revenue Tracking'!$H$13:$H$19, "&lt;"&amp;AX1)</f>
        <v>0</v>
      </c>
      <c r="AX3" s="199">
        <f>SUMIFS('Revenue Tracking'!$F$13:$F$19, 'Revenue Tracking'!$H$13:$H$19, "&gt;="&amp;AX1,'Revenue Tracking'!$H$13:$H$19, "&lt;"&amp;AY1)</f>
        <v>0</v>
      </c>
      <c r="AY3" s="199">
        <f>SUMIFS('Revenue Tracking'!$F$13:$F$19, 'Revenue Tracking'!$H$13:$H$19, "&gt;="&amp;AY1,'Revenue Tracking'!$H$13:$H$19, "&lt;"&amp;AZ1)</f>
        <v>0</v>
      </c>
      <c r="AZ3" s="199">
        <f>SUMIFS('Revenue Tracking'!$F$13:$F$19, 'Revenue Tracking'!$H$13:$H$19, "&gt;="&amp;AZ1,'Revenue Tracking'!$H$13:$H$19, "&lt;"&amp;BA1)</f>
        <v>0</v>
      </c>
      <c r="BA3" s="199">
        <f>SUMIFS('Revenue Tracking'!$F$13:$F$19, 'Revenue Tracking'!$H$13:$H$19, "&gt;="&amp;BA1,'Revenue Tracking'!$H$13:$H$19, "&lt;"&amp;BB1)</f>
        <v>0</v>
      </c>
      <c r="BB3" s="199">
        <f>SUMIFS('Revenue Tracking'!$F$13:$F$19, 'Revenue Tracking'!$H$13:$H$19, "&gt;="&amp;BB1,'Revenue Tracking'!$H$13:$H$19, "&lt;"&amp;BC1)</f>
        <v>0</v>
      </c>
      <c r="BC3" s="199">
        <f>SUMIFS('Revenue Tracking'!$F$13:$F$19, 'Revenue Tracking'!$H$13:$H$19, "&gt;="&amp;BC1,'Revenue Tracking'!$H$13:$H$19, "&lt;"&amp;BD1)</f>
        <v>0</v>
      </c>
      <c r="BD3" s="199">
        <f>SUMIFS('Revenue Tracking'!$F$13:$F$19, 'Revenue Tracking'!$H$13:$H$19, "&gt;="&amp;BD1,'Revenue Tracking'!$H$13:$H$19, "&lt;"&amp;BE1)</f>
        <v>0</v>
      </c>
      <c r="BE3" s="199">
        <f>SUMIFS('Revenue Tracking'!$F$13:$F$19, 'Revenue Tracking'!$H$13:$H$19, "&gt;="&amp;BE1,'Revenue Tracking'!$H$13:$H$19, "&lt;"&amp;BF1)</f>
        <v>0</v>
      </c>
      <c r="BF3" s="199">
        <f>SUMIFS('Revenue Tracking'!$F$13:$F$19, 'Revenue Tracking'!$H$13:$H$19, "&gt;="&amp;BF1,'Revenue Tracking'!$H$13:$H$19, "&lt;"&amp;BG1)</f>
        <v>0</v>
      </c>
      <c r="BG3" s="199">
        <f>SUMIFS('Revenue Tracking'!$F$13:$F$19, 'Revenue Tracking'!$H$13:$H$19, "&gt;="&amp;BG1,'Revenue Tracking'!$H$13:$H$19, "&lt;"&amp;BH1)</f>
        <v>0</v>
      </c>
      <c r="BH3" s="199">
        <f>SUMIFS('Revenue Tracking'!$F$13:$F$19, 'Revenue Tracking'!$H$13:$H$19, "&gt;="&amp;BH1,'Revenue Tracking'!$H$13:$H$19, "&lt;"&amp;BI1)</f>
        <v>0</v>
      </c>
      <c r="BI3" s="199">
        <f>SUMIFS('Revenue Tracking'!$F$13:$F$19, 'Revenue Tracking'!$H$13:$H$19, "&gt;="&amp;BI1,'Revenue Tracking'!$H$13:$H$19, "&lt;"&amp;BJ1)</f>
        <v>0</v>
      </c>
      <c r="BJ3" s="199">
        <f>SUMIFS('Revenue Tracking'!$F$13:$F$19, 'Revenue Tracking'!$H$13:$H$19, "&gt;="&amp;BJ1,'Revenue Tracking'!$H$13:$H$19, "&lt;"&amp;BK1)</f>
        <v>0</v>
      </c>
      <c r="BK3" s="199">
        <f>SUMIFS('Revenue Tracking'!$F$13:$F$19, 'Revenue Tracking'!$H$13:$H$19, "&gt;="&amp;BK1,'Revenue Tracking'!$H$13:$H$19, "&lt;"&amp;BL1)</f>
        <v>0</v>
      </c>
      <c r="BL3" s="199">
        <f>SUMIFS('Revenue Tracking'!$F$13:$F$19, 'Revenue Tracking'!$H$13:$H$19, "&gt;="&amp;BL1,'Revenue Tracking'!$H$13:$H$19, "&lt;"&amp;BM1)</f>
        <v>0</v>
      </c>
      <c r="BM3" s="199">
        <f>SUMIFS('Revenue Tracking'!$F$13:$F$19, 'Revenue Tracking'!$H$13:$H$19, "&gt;="&amp;BM1,'Revenue Tracking'!$H$13:$H$19, "&lt;"&amp;BN1)</f>
        <v>0</v>
      </c>
      <c r="BN3" s="199">
        <f>SUMIFS('Revenue Tracking'!$F$13:$F$19, 'Revenue Tracking'!$H$13:$H$19, "&gt;="&amp;BN1,'Revenue Tracking'!$H$13:$H$19, "&lt;"&amp;BO1)</f>
        <v>0</v>
      </c>
      <c r="BO3" s="199">
        <f>SUMIFS('Revenue Tracking'!$F$13:$F$19, 'Revenue Tracking'!$H$13:$H$19, "&gt;="&amp;BO1,'Revenue Tracking'!$H$13:$H$19, "&lt;"&amp;BP1)</f>
        <v>0</v>
      </c>
      <c r="BP3" s="199">
        <f>SUMIFS('Revenue Tracking'!$F$13:$F$19, 'Revenue Tracking'!$H$13:$H$19, "&gt;="&amp;BP1,'Revenue Tracking'!$H$13:$H$19, "&lt;"&amp;BQ1)</f>
        <v>0</v>
      </c>
      <c r="BQ3" s="199">
        <f>SUMIFS('Revenue Tracking'!$F$13:$F$19, 'Revenue Tracking'!$H$13:$H$19, "&gt;="&amp;BQ1,'Revenue Tracking'!$H$13:$H$19, "&lt;"&amp;BR1)</f>
        <v>0</v>
      </c>
      <c r="BR3" s="199">
        <f>SUMIFS('Revenue Tracking'!$F$13:$F$19, 'Revenue Tracking'!$H$13:$H$19, "&gt;="&amp;BR1,'Revenue Tracking'!$H$13:$H$19, "&lt;"&amp;BS1)</f>
        <v>0</v>
      </c>
      <c r="BS3" s="199">
        <f>SUMIFS('Revenue Tracking'!$F$13:$F$19, 'Revenue Tracking'!$H$13:$H$19, "&gt;="&amp;BS1,'Revenue Tracking'!$H$13:$H$19, "&lt;"&amp;BT1)</f>
        <v>0</v>
      </c>
      <c r="BT3" s="199">
        <f>SUMIFS('Revenue Tracking'!$F$13:$F$19, 'Revenue Tracking'!$H$13:$H$19, "&gt;="&amp;BT1,'Revenue Tracking'!$H$13:$H$19, "&lt;"&amp;BU1)</f>
        <v>0</v>
      </c>
      <c r="BU3" s="199">
        <f>SUMIFS('Revenue Tracking'!$F$13:$F$19, 'Revenue Tracking'!$H$13:$H$19, "&gt;="&amp;BU1,'Revenue Tracking'!$H$13:$H$19, "&lt;"&amp;BV1)</f>
        <v>0</v>
      </c>
      <c r="BV3" s="199">
        <f>SUMIFS('Revenue Tracking'!$F$13:$F$19, 'Revenue Tracking'!$H$13:$H$19, "&gt;="&amp;BV1,'Revenue Tracking'!$H$13:$H$19, "&lt;"&amp;BW1)</f>
        <v>0</v>
      </c>
      <c r="BW3" s="199">
        <f>SUMIFS('Revenue Tracking'!$F$13:$F$19, 'Revenue Tracking'!$H$13:$H$19, "&gt;="&amp;BW1,'Revenue Tracking'!$H$13:$H$19, "&lt;"&amp;BX1)</f>
        <v>0</v>
      </c>
      <c r="BX3" s="199">
        <f>SUMIFS('Revenue Tracking'!$F$13:$F$19, 'Revenue Tracking'!$H$13:$H$19, "&gt;="&amp;BX1,'Revenue Tracking'!$H$13:$H$19, "&lt;"&amp;BY1)</f>
        <v>0</v>
      </c>
      <c r="BY3" s="199">
        <f>SUMIFS('Revenue Tracking'!$F$13:$F$19, 'Revenue Tracking'!$H$13:$H$19, "&gt;="&amp;BY1,'Revenue Tracking'!$H$13:$H$19, "&lt;"&amp;BZ1)</f>
        <v>0</v>
      </c>
      <c r="BZ3" s="199">
        <f>SUMIFS('Revenue Tracking'!$F$13:$F$19, 'Revenue Tracking'!$H$13:$H$19, "&gt;="&amp;BZ1,'Revenue Tracking'!$H$13:$H$19, "&lt;"&amp;CA1)</f>
        <v>0</v>
      </c>
      <c r="CA3" s="199">
        <f>SUMIFS('Revenue Tracking'!$F$13:$F$19, 'Revenue Tracking'!$H$13:$H$19, "&gt;="&amp;CA1,'Revenue Tracking'!$H$13:$H$19, "&lt;"&amp;CB1)</f>
        <v>0</v>
      </c>
      <c r="CB3" s="199">
        <f>SUMIFS('Revenue Tracking'!$F$13:$F$19, 'Revenue Tracking'!$H$13:$H$19, "&gt;="&amp;CB1,'Revenue Tracking'!$H$13:$H$19, "&lt;"&amp;CC1)</f>
        <v>0</v>
      </c>
      <c r="CC3" s="199">
        <f>SUMIFS('Revenue Tracking'!$F$13:$F$19, 'Revenue Tracking'!$H$13:$H$19, "&gt;="&amp;CC1,'Revenue Tracking'!$H$13:$H$19, "&lt;"&amp;CD1)</f>
        <v>0</v>
      </c>
      <c r="CD3" s="199">
        <f>SUMIFS('Revenue Tracking'!$F$13:$F$19, 'Revenue Tracking'!$H$13:$H$19, "&gt;="&amp;CD1,'Revenue Tracking'!$H$13:$H$19, "&lt;"&amp;CE1)</f>
        <v>0</v>
      </c>
      <c r="CE3" s="199">
        <f>SUMIFS('Revenue Tracking'!$F$13:$F$19, 'Revenue Tracking'!$H$13:$H$19, "&gt;="&amp;CE1,'Revenue Tracking'!$H$13:$H$19, "&lt;"&amp;CF1)</f>
        <v>0</v>
      </c>
      <c r="CF3" s="199">
        <f>SUMIFS('Revenue Tracking'!$F$13:$F$19, 'Revenue Tracking'!$H$13:$H$19, "&gt;="&amp;CF1,'Revenue Tracking'!$H$13:$H$19, "&lt;"&amp;CG1)</f>
        <v>0</v>
      </c>
      <c r="CG3" s="199">
        <f>SUMIFS('Revenue Tracking'!$F$13:$F$19, 'Revenue Tracking'!$H$13:$H$19, "&gt;="&amp;CG1,'Revenue Tracking'!$H$13:$H$19, "&lt;"&amp;CH1)</f>
        <v>0</v>
      </c>
      <c r="CH3" s="199">
        <f>SUMIFS('Revenue Tracking'!$F$13:$F$19, 'Revenue Tracking'!$H$13:$H$19, "&gt;="&amp;CH1,'Revenue Tracking'!$H$13:$H$19, "&lt;"&amp;CI1)</f>
        <v>0</v>
      </c>
      <c r="CI3" s="199">
        <f>SUMIFS('Revenue Tracking'!$F$13:$F$19, 'Revenue Tracking'!$H$13:$H$19, "&gt;="&amp;CI1,'Revenue Tracking'!$H$13:$H$19, "&lt;"&amp;CJ1)</f>
        <v>0</v>
      </c>
      <c r="CJ3" s="199">
        <f>SUMIFS('Revenue Tracking'!$F$13:$F$19, 'Revenue Tracking'!$H$13:$H$19, "&gt;="&amp;CJ1,'Revenue Tracking'!$H$13:$H$19, "&lt;"&amp;CK1)</f>
        <v>0</v>
      </c>
      <c r="CK3" s="199">
        <f>SUMIFS('Revenue Tracking'!$F$13:$F$19, 'Revenue Tracking'!$H$13:$H$19, "&gt;="&amp;CK1,'Revenue Tracking'!$H$13:$H$19, "&lt;"&amp;CL1)</f>
        <v>0</v>
      </c>
      <c r="CL3" s="199">
        <f>SUMIFS('Revenue Tracking'!$F$13:$F$19, 'Revenue Tracking'!$H$13:$H$19, "&gt;="&amp;CL1,'Revenue Tracking'!$H$13:$H$19, "&lt;"&amp;CM1)</f>
        <v>0</v>
      </c>
      <c r="CM3" s="199">
        <f>SUMIFS('Revenue Tracking'!$F$13:$F$19, 'Revenue Tracking'!$H$13:$H$19, "&gt;="&amp;CM1,'Revenue Tracking'!$H$13:$H$19, "&lt;"&amp;CN1)</f>
        <v>0</v>
      </c>
      <c r="CN3" s="199">
        <f>SUMIFS('Revenue Tracking'!$F$13:$F$19, 'Revenue Tracking'!$H$13:$H$19, "&gt;="&amp;CN1,'Revenue Tracking'!$H$13:$H$19, "&lt;"&amp;CO1)</f>
        <v>0</v>
      </c>
      <c r="CO3" s="199">
        <f>SUMIFS('Revenue Tracking'!$F$13:$F$19, 'Revenue Tracking'!$H$13:$H$19, "&gt;="&amp;CO1,'Revenue Tracking'!$H$13:$H$19, "&lt;"&amp;CP1)</f>
        <v>0</v>
      </c>
      <c r="CP3" s="199">
        <f>SUMIFS('Revenue Tracking'!$F$13:$F$19, 'Revenue Tracking'!$H$13:$H$19, "&gt;="&amp;CP1,'Revenue Tracking'!$H$13:$H$19, "&lt;"&amp;CQ1)</f>
        <v>0</v>
      </c>
      <c r="CQ3" s="199">
        <f>SUMIFS('Revenue Tracking'!$F$13:$F$19, 'Revenue Tracking'!$H$13:$H$19, "&gt;="&amp;CQ1,'Revenue Tracking'!$H$13:$H$19, "&lt;"&amp;CR1)</f>
        <v>0</v>
      </c>
      <c r="CR3" s="199">
        <f>SUMIFS('Revenue Tracking'!$F$13:$F$19, 'Revenue Tracking'!$H$13:$H$19, "&gt;="&amp;CR1,'Revenue Tracking'!$H$13:$H$19, "&lt;"&amp;CS1)</f>
        <v>0</v>
      </c>
      <c r="CS3" s="199">
        <f>SUMIFS('Revenue Tracking'!$F$13:$F$19, 'Revenue Tracking'!$H$13:$H$19, "&gt;="&amp;CS1,'Revenue Tracking'!$H$13:$H$19, "&lt;"&amp;CT1)</f>
        <v>0</v>
      </c>
      <c r="CT3" s="199">
        <f>SUMIFS('Revenue Tracking'!$F$13:$F$19, 'Revenue Tracking'!$H$13:$H$19, "&gt;="&amp;CT1,'Revenue Tracking'!$H$13:$H$19, "&lt;"&amp;CU1)</f>
        <v>0</v>
      </c>
      <c r="CU3" s="199">
        <f>SUMIFS('Revenue Tracking'!$F$13:$F$19, 'Revenue Tracking'!$H$13:$H$19, "&gt;="&amp;CU1,'Revenue Tracking'!$H$13:$H$19, "&lt;"&amp;CV1)</f>
        <v>0</v>
      </c>
      <c r="CV3" s="199">
        <f>SUMIFS('Revenue Tracking'!$F$13:$F$19, 'Revenue Tracking'!$H$13:$H$19, "&gt;="&amp;CV1,'Revenue Tracking'!$H$13:$H$19, "&lt;"&amp;CW1)</f>
        <v>0</v>
      </c>
      <c r="CW3" s="199">
        <f>SUMIFS('Revenue Tracking'!$F$13:$F$19, 'Revenue Tracking'!$H$13:$H$19, "&gt;="&amp;CW1,'Revenue Tracking'!$H$13:$H$19, "&lt;"&amp;CX1)</f>
        <v>0</v>
      </c>
      <c r="CX3" s="199">
        <f>SUMIFS('Revenue Tracking'!$F$13:$F$19, 'Revenue Tracking'!$H$13:$H$19, "&gt;="&amp;CX1,'Revenue Tracking'!$H$13:$H$19, "&lt;"&amp;CY1)</f>
        <v>0</v>
      </c>
      <c r="CY3" s="199">
        <f>SUMIFS('Revenue Tracking'!$F$13:$F$19, 'Revenue Tracking'!$H$13:$H$19, "&gt;="&amp;CY1,'Revenue Tracking'!$H$13:$H$19, "&lt;"&amp;CZ1)</f>
        <v>0</v>
      </c>
      <c r="CZ3" s="199">
        <f>SUMIFS('Revenue Tracking'!$F$13:$F$19, 'Revenue Tracking'!$H$13:$H$19, "&gt;="&amp;CZ1,'Revenue Tracking'!$H$13:$H$19, "&lt;"&amp;DA1)</f>
        <v>0</v>
      </c>
      <c r="DA3" s="199">
        <f>SUMIFS('Revenue Tracking'!$F$13:$F$19, 'Revenue Tracking'!$H$13:$H$19, "&gt;="&amp;DA1,'Revenue Tracking'!$H$13:$H$19, "&lt;"&amp;DB1)</f>
        <v>0</v>
      </c>
      <c r="DB3" s="199">
        <f>SUMIFS('Revenue Tracking'!$F$13:$F$19, 'Revenue Tracking'!$H$13:$H$19, "&gt;="&amp;DB1,'Revenue Tracking'!$H$13:$H$19, "&lt;"&amp;DC1)</f>
        <v>0</v>
      </c>
      <c r="DC3" s="199">
        <f>SUMIFS('Revenue Tracking'!$F$13:$F$19, 'Revenue Tracking'!$H$13:$H$19, "&gt;="&amp;DC1,'Revenue Tracking'!$H$13:$H$19, "&lt;"&amp;DD1)</f>
        <v>0</v>
      </c>
      <c r="DD3" s="199">
        <f>SUMIFS('Revenue Tracking'!$F$13:$F$19, 'Revenue Tracking'!$H$13:$H$19, "&gt;="&amp;DD1,'Revenue Tracking'!$H$13:$H$19, "&lt;"&amp;DE1)</f>
        <v>0</v>
      </c>
      <c r="DE3" s="199">
        <f>SUMIFS('Revenue Tracking'!$F$13:$F$19, 'Revenue Tracking'!$H$13:$H$19, "&gt;="&amp;DE1,'Revenue Tracking'!$H$13:$H$19, "&lt;"&amp;DF1)</f>
        <v>0</v>
      </c>
      <c r="DF3" s="199">
        <f>SUMIFS('Revenue Tracking'!$F$13:$F$19, 'Revenue Tracking'!$H$13:$H$19, "&gt;="&amp;DF1,'Revenue Tracking'!$H$13:$H$19, "&lt;"&amp;DG1)</f>
        <v>0</v>
      </c>
      <c r="DG3" s="199">
        <f>SUMIFS('Revenue Tracking'!$F$13:$F$19, 'Revenue Tracking'!$H$13:$H$19, "&gt;="&amp;DG1,'Revenue Tracking'!$H$13:$H$19, "&lt;"&amp;DH1)</f>
        <v>0</v>
      </c>
      <c r="DH3" s="199">
        <f>SUMIFS('Revenue Tracking'!$F$13:$F$19, 'Revenue Tracking'!$H$13:$H$19, "&gt;="&amp;DH1,'Revenue Tracking'!$H$13:$H$19, "&lt;"&amp;DI1)</f>
        <v>0</v>
      </c>
      <c r="DI3" s="199">
        <f>SUMIFS('Revenue Tracking'!$F$13:$F$19, 'Revenue Tracking'!$H$13:$H$19, "&gt;="&amp;DI1,'Revenue Tracking'!$H$13:$H$19, "&lt;"&amp;DJ1)</f>
        <v>0</v>
      </c>
      <c r="DJ3" s="199">
        <f>SUMIFS('Revenue Tracking'!$F$13:$F$19, 'Revenue Tracking'!$H$13:$H$19, "&gt;="&amp;DJ1,'Revenue Tracking'!$H$13:$H$19, "&lt;"&amp;DK1)</f>
        <v>0</v>
      </c>
      <c r="DK3" s="199">
        <f>SUMIFS('Revenue Tracking'!$F$13:$F$19, 'Revenue Tracking'!$H$13:$H$19, "&gt;="&amp;DK1,'Revenue Tracking'!$H$13:$H$19, "&lt;"&amp;DL1)</f>
        <v>0</v>
      </c>
      <c r="DL3" s="199">
        <f>SUMIFS('Revenue Tracking'!$F$13:$F$19, 'Revenue Tracking'!$H$13:$H$19, "&gt;="&amp;DL1,'Revenue Tracking'!$H$13:$H$19, "&lt;"&amp;DM1)</f>
        <v>0</v>
      </c>
      <c r="DM3" s="199">
        <f>SUMIFS('Revenue Tracking'!$F$13:$F$19, 'Revenue Tracking'!$H$13:$H$19, "&gt;="&amp;DM1,'Revenue Tracking'!$H$13:$H$19, "&lt;"&amp;DN1)</f>
        <v>0</v>
      </c>
      <c r="DN3" s="199">
        <f>SUMIFS('Revenue Tracking'!$F$13:$F$19, 'Revenue Tracking'!$H$13:$H$19, "&gt;="&amp;DN1,'Revenue Tracking'!$H$13:$H$19, "&lt;"&amp;DO1)</f>
        <v>0</v>
      </c>
      <c r="DO3" s="199">
        <f>SUMIFS('Revenue Tracking'!$F$13:$F$19, 'Revenue Tracking'!$H$13:$H$19, "&gt;="&amp;DO1,'Revenue Tracking'!$H$13:$H$19, "&lt;"&amp;DP1)</f>
        <v>0</v>
      </c>
      <c r="DP3" s="199">
        <f>SUMIFS('Revenue Tracking'!$F$13:$F$19, 'Revenue Tracking'!$H$13:$H$19, "&gt;="&amp;DP1,'Revenue Tracking'!$H$13:$H$19, "&lt;"&amp;DQ1)</f>
        <v>0</v>
      </c>
      <c r="DQ3" s="199">
        <f>SUMIFS('Revenue Tracking'!$F$13:$F$19, 'Revenue Tracking'!$H$13:$H$19, "&gt;="&amp;DQ1,'Revenue Tracking'!$H$13:$H$19, "&lt;"&amp;DR1)</f>
        <v>0</v>
      </c>
      <c r="DR3" s="199">
        <f>SUMIFS('Revenue Tracking'!$F$13:$F$19, 'Revenue Tracking'!$H$13:$H$19, "&gt;="&amp;DR1,'Revenue Tracking'!$H$13:$H$19, "&lt;"&amp;DS1)</f>
        <v>0</v>
      </c>
      <c r="DS3" s="199">
        <f>SUMIFS('Revenue Tracking'!$F$13:$F$19, 'Revenue Tracking'!$H$13:$H$19, "&gt;="&amp;DS1,'Revenue Tracking'!$H$13:$H$19, "&lt;"&amp;DT1)</f>
        <v>0</v>
      </c>
      <c r="DT3" s="199">
        <f>SUMIFS('Revenue Tracking'!$F$13:$F$19, 'Revenue Tracking'!$H$13:$H$19, "&gt;="&amp;DT1,'Revenue Tracking'!$H$13:$H$19, "&lt;"&amp;DU1)</f>
        <v>0</v>
      </c>
      <c r="DU3" s="199">
        <f>SUMIFS('Revenue Tracking'!$F$13:$F$19, 'Revenue Tracking'!$H$13:$H$19, "&gt;="&amp;DU1,'Revenue Tracking'!$H$13:$H$19, "&lt;"&amp;DV1)</f>
        <v>0</v>
      </c>
      <c r="DV3" s="199">
        <f>SUMIFS('Revenue Tracking'!$F$13:$F$19, 'Revenue Tracking'!$H$13:$H$19, "&gt;="&amp;DV1,'Revenue Tracking'!$H$13:$H$19, "&lt;"&amp;DW1)</f>
        <v>0</v>
      </c>
      <c r="DW3" s="199">
        <f>SUMIFS('Revenue Tracking'!$F$13:$F$19, 'Revenue Tracking'!$H$13:$H$19, "&gt;="&amp;DW1,'Revenue Tracking'!$H$13:$H$19, "&lt;"&amp;DX1)</f>
        <v>0</v>
      </c>
      <c r="DX3" s="199">
        <f>SUMIFS('Revenue Tracking'!$F$13:$F$19, 'Revenue Tracking'!$H$13:$H$19, "&gt;="&amp;DX1,'Revenue Tracking'!$H$13:$H$19, "&lt;"&amp;DY1)</f>
        <v>0</v>
      </c>
      <c r="DY3" s="199">
        <f>SUMIFS('Revenue Tracking'!$F$13:$F$19, 'Revenue Tracking'!$H$13:$H$19, "&gt;="&amp;DY1,'Revenue Tracking'!$H$13:$H$19, "&lt;"&amp;DZ1)</f>
        <v>0</v>
      </c>
      <c r="DZ3" s="199">
        <f>SUMIFS('Revenue Tracking'!$F$13:$F$19, 'Revenue Tracking'!$H$13:$H$19, "&gt;="&amp;DZ1,'Revenue Tracking'!$H$13:$H$19, "&lt;"&amp;EA1)</f>
        <v>0</v>
      </c>
      <c r="EA3" s="199">
        <f>SUMIFS('Revenue Tracking'!$F$13:$F$19, 'Revenue Tracking'!$H$13:$H$19, "&gt;="&amp;EA1,'Revenue Tracking'!$H$13:$H$19, "&lt;"&amp;EB1)</f>
        <v>0</v>
      </c>
      <c r="EB3" s="199">
        <f>SUMIFS('Revenue Tracking'!$F$13:$F$19, 'Revenue Tracking'!$H$13:$H$19, "&gt;="&amp;EB1,'Revenue Tracking'!$H$13:$H$19, "&lt;"&amp;EC1)</f>
        <v>0</v>
      </c>
      <c r="EC3" s="199">
        <f>SUMIFS('Revenue Tracking'!$F$13:$F$19, 'Revenue Tracking'!$H$13:$H$19, "&gt;="&amp;EC1,'Revenue Tracking'!$H$13:$H$19, "&lt;"&amp;ED1)</f>
        <v>0</v>
      </c>
      <c r="ED3" s="199">
        <f>SUMIFS('Revenue Tracking'!$F$13:$F$19, 'Revenue Tracking'!$H$13:$H$19, "&gt;="&amp;ED1,'Revenue Tracking'!$H$13:$H$19, "&lt;"&amp;EE1)</f>
        <v>0</v>
      </c>
      <c r="EE3" s="199">
        <f>SUMIFS('Revenue Tracking'!$F$13:$F$19, 'Revenue Tracking'!$H$13:$H$19, "&gt;="&amp;EE1,'Revenue Tracking'!$H$13:$H$19, "&lt;"&amp;EF1)</f>
        <v>0</v>
      </c>
      <c r="EF3" s="199">
        <f>SUMIFS('Revenue Tracking'!$F$13:$F$19, 'Revenue Tracking'!$H$13:$H$19, "&gt;="&amp;EF1,'Revenue Tracking'!$H$13:$H$19, "&lt;"&amp;EG1)</f>
        <v>0</v>
      </c>
      <c r="EG3" s="199">
        <f>SUMIFS('Revenue Tracking'!$F$13:$F$19, 'Revenue Tracking'!$H$13:$H$19, "&gt;="&amp;EG1,'Revenue Tracking'!$H$13:$H$19, "&lt;"&amp;EH1)</f>
        <v>0</v>
      </c>
      <c r="EH3" s="199">
        <f>SUMIFS('Revenue Tracking'!$F$13:$F$19, 'Revenue Tracking'!$H$13:$H$19, "&gt;="&amp;EH1,'Revenue Tracking'!$H$13:$H$19, "&lt;"&amp;EI1)</f>
        <v>0</v>
      </c>
      <c r="EI3" s="199">
        <f>SUMIFS('Revenue Tracking'!$F$13:$F$19, 'Revenue Tracking'!$H$13:$H$19, "&gt;="&amp;EI1,'Revenue Tracking'!$H$13:$H$19, "&lt;"&amp;EJ1)</f>
        <v>0</v>
      </c>
      <c r="EJ3" s="199">
        <f>SUMIFS('Revenue Tracking'!$F$13:$F$19, 'Revenue Tracking'!$H$13:$H$19, "&gt;="&amp;EJ1,'Revenue Tracking'!$H$13:$H$19, "&lt;"&amp;EK1)</f>
        <v>0</v>
      </c>
      <c r="EK3" s="199">
        <f>SUMIFS('Revenue Tracking'!$F$13:$F$19, 'Revenue Tracking'!$H$13:$H$19, "&gt;="&amp;EK1,'Revenue Tracking'!$H$13:$H$19, "&lt;"&amp;EL1)</f>
        <v>0</v>
      </c>
      <c r="EL3" s="199">
        <f>SUMIFS('Revenue Tracking'!$F$13:$F$19, 'Revenue Tracking'!$H$13:$H$19, "&gt;="&amp;EL1,'Revenue Tracking'!$H$13:$H$19, "&lt;"&amp;EM1)</f>
        <v>0</v>
      </c>
      <c r="EM3" s="199">
        <f>SUMIFS('Revenue Tracking'!$F$13:$F$19, 'Revenue Tracking'!$H$13:$H$19, "&gt;="&amp;EM1,'Revenue Tracking'!$H$13:$H$19, "&lt;"&amp;EN1)</f>
        <v>0</v>
      </c>
      <c r="EN3" s="199">
        <f>SUMIFS('Revenue Tracking'!$F$13:$F$19, 'Revenue Tracking'!$H$13:$H$19, "&gt;="&amp;EN1,'Revenue Tracking'!$H$13:$H$19, "&lt;"&amp;EO1)</f>
        <v>0</v>
      </c>
      <c r="EO3" s="199">
        <f>SUMIFS('Revenue Tracking'!$F$13:$F$19, 'Revenue Tracking'!$H$13:$H$19, "&gt;="&amp;EO1,'Revenue Tracking'!$H$13:$H$19, "&lt;"&amp;EP1)</f>
        <v>0</v>
      </c>
      <c r="EP3" s="199">
        <f>SUMIFS('Revenue Tracking'!$F$13:$F$19, 'Revenue Tracking'!$H$13:$H$19, "&gt;="&amp;EP1,'Revenue Tracking'!$H$13:$H$19, "&lt;"&amp;EQ1)</f>
        <v>0</v>
      </c>
      <c r="EQ3" s="199">
        <f>SUMIFS('Revenue Tracking'!$F$13:$F$19, 'Revenue Tracking'!$H$13:$H$19, "&gt;="&amp;EQ1,'Revenue Tracking'!$H$13:$H$19, "&lt;"&amp;ER1)</f>
        <v>0</v>
      </c>
      <c r="ER3" s="199">
        <f>SUMIFS('Revenue Tracking'!$F$13:$F$19, 'Revenue Tracking'!$H$13:$H$19, "&gt;="&amp;ER1,'Revenue Tracking'!$H$13:$H$19, "&lt;"&amp;ES1)</f>
        <v>0</v>
      </c>
      <c r="ES3" s="199">
        <f>SUMIFS('Revenue Tracking'!$F$13:$F$19, 'Revenue Tracking'!$H$13:$H$19, "&gt;="&amp;ES1,'Revenue Tracking'!$H$13:$H$19, "&lt;"&amp;ET1)</f>
        <v>0</v>
      </c>
      <c r="ET3" s="199">
        <f>SUMIFS('Revenue Tracking'!$F$13:$F$19, 'Revenue Tracking'!$H$13:$H$19, "&gt;="&amp;ET1,'Revenue Tracking'!$H$13:$H$19, "&lt;"&amp;EU1)</f>
        <v>0</v>
      </c>
      <c r="EU3" s="199">
        <f>SUMIFS('Revenue Tracking'!$F$13:$F$19, 'Revenue Tracking'!$H$13:$H$19, "&gt;="&amp;EU1,'Revenue Tracking'!$H$13:$H$19, "&lt;"&amp;EV1)</f>
        <v>0</v>
      </c>
      <c r="EV3" s="199">
        <f>SUMIFS('Revenue Tracking'!$F$13:$F$19, 'Revenue Tracking'!$H$13:$H$19, "&gt;="&amp;EV1,'Revenue Tracking'!$H$13:$H$19, "&lt;"&amp;EW1)</f>
        <v>0</v>
      </c>
      <c r="EW3" s="199">
        <f>SUMIFS('Revenue Tracking'!$F$13:$F$19, 'Revenue Tracking'!$H$13:$H$19, "&gt;="&amp;EW1,'Revenue Tracking'!$H$13:$H$19, "&lt;"&amp;EX1)</f>
        <v>0</v>
      </c>
      <c r="EX3" s="199">
        <f>SUMIFS('Revenue Tracking'!$F$13:$F$19, 'Revenue Tracking'!$H$13:$H$19, "&gt;="&amp;EX1,'Revenue Tracking'!$H$13:$H$19, "&lt;"&amp;EY1)</f>
        <v>0</v>
      </c>
      <c r="EY3" s="199">
        <f>SUMIFS('Revenue Tracking'!$F$13:$F$19, 'Revenue Tracking'!$H$13:$H$19, "&gt;="&amp;EY1,'Revenue Tracking'!$H$13:$H$19, "&lt;"&amp;EZ1)</f>
        <v>0</v>
      </c>
      <c r="EZ3" s="199">
        <f>SUMIFS('Revenue Tracking'!$F$13:$F$19, 'Revenue Tracking'!$H$13:$H$19, "&gt;="&amp;EZ1,'Revenue Tracking'!$H$13:$H$19, "&lt;"&amp;FA1)</f>
        <v>0</v>
      </c>
      <c r="FA3" s="199">
        <f>SUMIFS('Revenue Tracking'!$F$13:$F$19, 'Revenue Tracking'!$H$13:$H$19, "&gt;="&amp;FA1,'Revenue Tracking'!$H$13:$H$19, "&lt;"&amp;FB1)</f>
        <v>0</v>
      </c>
      <c r="FB3" s="199">
        <f>SUMIFS('Revenue Tracking'!$F$13:$F$19, 'Revenue Tracking'!$H$13:$H$19, "&gt;="&amp;FB1,'Revenue Tracking'!$H$13:$H$19, "&lt;"&amp;FC1)</f>
        <v>0</v>
      </c>
      <c r="FC3" s="199">
        <f>SUMIFS('Revenue Tracking'!$F$13:$F$19, 'Revenue Tracking'!$H$13:$H$19, "&gt;="&amp;FC1,'Revenue Tracking'!$H$13:$H$19, "&lt;"&amp;FD1)</f>
        <v>0</v>
      </c>
      <c r="FD3" s="199">
        <f>SUMIFS('Revenue Tracking'!$F$13:$F$19, 'Revenue Tracking'!$H$13:$H$19, "&gt;="&amp;FD1,'Revenue Tracking'!$H$13:$H$19, "&lt;"&amp;FE1)</f>
        <v>0</v>
      </c>
      <c r="FE3" s="199">
        <f>SUMIFS('Revenue Tracking'!$F$13:$F$19, 'Revenue Tracking'!$H$13:$H$19, "&gt;="&amp;FE1,'Revenue Tracking'!$H$13:$H$19, "&lt;"&amp;FF1)</f>
        <v>0</v>
      </c>
      <c r="FF3" s="199">
        <f>SUMIFS('Revenue Tracking'!$F$13:$F$19, 'Revenue Tracking'!$H$13:$H$19, "&gt;="&amp;FF1,'Revenue Tracking'!$H$13:$H$19, "&lt;"&amp;FG1)</f>
        <v>0</v>
      </c>
      <c r="FG3" s="199">
        <f>SUMIFS('Revenue Tracking'!$F$13:$F$19, 'Revenue Tracking'!$H$13:$H$19, "&gt;="&amp;FG1,'Revenue Tracking'!$H$13:$H$19, "&lt;"&amp;FH1)</f>
        <v>0</v>
      </c>
      <c r="FH3" s="199">
        <f>SUMIFS('Revenue Tracking'!$F$13:$F$19, 'Revenue Tracking'!$H$13:$H$19, "&gt;="&amp;FH1,'Revenue Tracking'!$H$13:$H$19, "&lt;"&amp;FI1)</f>
        <v>0</v>
      </c>
      <c r="FI3" s="199">
        <f>SUMIFS('Revenue Tracking'!$F$13:$F$19, 'Revenue Tracking'!$H$13:$H$19, "&gt;="&amp;FI1,'Revenue Tracking'!$H$13:$H$19, "&lt;"&amp;FJ1)</f>
        <v>0</v>
      </c>
      <c r="FJ3" s="199">
        <f>SUMIFS('Revenue Tracking'!$F$13:$F$19, 'Revenue Tracking'!$H$13:$H$19, "&gt;="&amp;FJ1,'Revenue Tracking'!$H$13:$H$19, "&lt;"&amp;FK1)</f>
        <v>0</v>
      </c>
      <c r="FK3" s="199">
        <f>SUMIFS('Revenue Tracking'!$F$13:$F$19, 'Revenue Tracking'!$H$13:$H$19, "&gt;="&amp;FK1,'Revenue Tracking'!$H$13:$H$19, "&lt;"&amp;FL1)</f>
        <v>0</v>
      </c>
      <c r="FL3" s="199">
        <f>SUMIFS('Revenue Tracking'!$F$13:$F$19, 'Revenue Tracking'!$H$13:$H$19, "&gt;="&amp;FL1,'Revenue Tracking'!$H$13:$H$19, "&lt;"&amp;FM1)</f>
        <v>0</v>
      </c>
      <c r="FM3" s="199">
        <f>SUMIFS('Revenue Tracking'!$F$13:$F$19, 'Revenue Tracking'!$H$13:$H$19, "&gt;="&amp;FM1,'Revenue Tracking'!$H$13:$H$19, "&lt;"&amp;FN1)</f>
        <v>0</v>
      </c>
      <c r="FN3" s="199">
        <f>SUMIFS('Revenue Tracking'!$F$13:$F$19, 'Revenue Tracking'!$H$13:$H$19, "&gt;="&amp;FN1,'Revenue Tracking'!$H$13:$H$19, "&lt;"&amp;FO1)</f>
        <v>0</v>
      </c>
      <c r="FO3" s="199">
        <f>SUMIFS('Revenue Tracking'!$F$13:$F$19, 'Revenue Tracking'!$H$13:$H$19, "&gt;="&amp;FO1,'Revenue Tracking'!$H$13:$H$19, "&lt;"&amp;FP1)</f>
        <v>0</v>
      </c>
      <c r="FP3" s="199">
        <f>SUMIFS('Revenue Tracking'!$F$13:$F$19, 'Revenue Tracking'!$H$13:$H$19, "&gt;="&amp;FP1,'Revenue Tracking'!$H$13:$H$19, "&lt;"&amp;FQ1)</f>
        <v>0</v>
      </c>
      <c r="FQ3" s="199">
        <f>SUMIFS('Revenue Tracking'!$F$13:$F$19, 'Revenue Tracking'!$H$13:$H$19, "&gt;="&amp;FQ1,'Revenue Tracking'!$H$13:$H$19, "&lt;"&amp;FR1)</f>
        <v>0</v>
      </c>
      <c r="FR3" s="199">
        <f>SUMIFS('Revenue Tracking'!$F$13:$F$19, 'Revenue Tracking'!$H$13:$H$19, "&gt;="&amp;FR1,'Revenue Tracking'!$H$13:$H$19, "&lt;"&amp;FS1)</f>
        <v>0</v>
      </c>
      <c r="FS3" s="199">
        <f>SUMIFS('Revenue Tracking'!$F$13:$F$19, 'Revenue Tracking'!$H$13:$H$19, "&gt;="&amp;FS1,'Revenue Tracking'!$H$13:$H$19, "&lt;"&amp;FT1)</f>
        <v>0</v>
      </c>
      <c r="FT3" s="199">
        <f>SUMIFS('Revenue Tracking'!$F$13:$F$19, 'Revenue Tracking'!$H$13:$H$19, "&gt;="&amp;FT1,'Revenue Tracking'!$H$13:$H$19, "&lt;"&amp;FU1)</f>
        <v>0</v>
      </c>
      <c r="FU3" s="199">
        <f>SUMIFS('Revenue Tracking'!$F$13:$F$19, 'Revenue Tracking'!$H$13:$H$19, "&gt;="&amp;FU1,'Revenue Tracking'!$H$13:$H$19, "&lt;"&amp;FV1)</f>
        <v>0</v>
      </c>
      <c r="FV3" s="199">
        <f>SUMIFS('Revenue Tracking'!$F$13:$F$19, 'Revenue Tracking'!$H$13:$H$19, "&gt;="&amp;FV1,'Revenue Tracking'!$H$13:$H$19, "&lt;"&amp;FW1)</f>
        <v>0</v>
      </c>
      <c r="FW3" s="199">
        <f>SUMIFS('Revenue Tracking'!$F$13:$F$19, 'Revenue Tracking'!$H$13:$H$19, "&gt;="&amp;FW1,'Revenue Tracking'!$H$13:$H$19, "&lt;"&amp;FX1)</f>
        <v>0</v>
      </c>
      <c r="FX3" s="199">
        <f>SUMIFS('Revenue Tracking'!$F$13:$F$19, 'Revenue Tracking'!$H$13:$H$19, "&gt;="&amp;FX1,'Revenue Tracking'!$H$13:$H$19, "&lt;"&amp;FY1)</f>
        <v>0</v>
      </c>
      <c r="FY3" s="199">
        <f>SUMIFS('Revenue Tracking'!$F$13:$F$19, 'Revenue Tracking'!$H$13:$H$19, "&gt;="&amp;FY1,'Revenue Tracking'!$H$13:$H$19, "&lt;"&amp;FZ1)</f>
        <v>0</v>
      </c>
      <c r="FZ3" s="199">
        <f>SUMIFS('Revenue Tracking'!$F$13:$F$19, 'Revenue Tracking'!$H$13:$H$19, "&gt;="&amp;FZ1,'Revenue Tracking'!$H$13:$H$19, "&lt;"&amp;GA1)</f>
        <v>0</v>
      </c>
      <c r="GA3" s="199">
        <f>SUMIFS('Revenue Tracking'!$F$13:$F$19, 'Revenue Tracking'!$H$13:$H$19, "&gt;="&amp;GA1,'Revenue Tracking'!$H$13:$H$19, "&lt;"&amp;GB1)</f>
        <v>0</v>
      </c>
      <c r="GB3" s="199">
        <f>SUMIFS('Revenue Tracking'!$F$13:$F$19, 'Revenue Tracking'!$H$13:$H$19, "&gt;="&amp;GB1,'Revenue Tracking'!$H$13:$H$19, "&lt;"&amp;GC1)</f>
        <v>0</v>
      </c>
      <c r="GC3" s="199">
        <f>SUMIFS('Revenue Tracking'!$F$13:$F$19, 'Revenue Tracking'!$H$13:$H$19, "&gt;="&amp;GC1,'Revenue Tracking'!$H$13:$H$19, "&lt;"&amp;GD1)</f>
        <v>0</v>
      </c>
      <c r="GD3" s="199">
        <f>SUMIFS('Revenue Tracking'!$F$13:$F$19, 'Revenue Tracking'!$H$13:$H$19, "&gt;="&amp;GD1,'Revenue Tracking'!$H$13:$H$19, "&lt;"&amp;GE1)</f>
        <v>0</v>
      </c>
      <c r="GE3" s="199">
        <f>SUMIFS('Revenue Tracking'!$F$13:$F$19, 'Revenue Tracking'!$H$13:$H$19, "&gt;="&amp;GE1,'Revenue Tracking'!$H$13:$H$19, "&lt;"&amp;GF1)</f>
        <v>0</v>
      </c>
      <c r="GF3" s="199">
        <f>SUMIFS('Revenue Tracking'!$F$13:$F$19, 'Revenue Tracking'!$H$13:$H$19, "&gt;="&amp;GF1,'Revenue Tracking'!$H$13:$H$19, "&lt;"&amp;GG1)</f>
        <v>0</v>
      </c>
      <c r="GG3" s="199">
        <f>SUMIFS('Revenue Tracking'!$F$13:$F$19, 'Revenue Tracking'!$H$13:$H$19, "&gt;="&amp;GG1,'Revenue Tracking'!$H$13:$H$19, "&lt;"&amp;GH1)</f>
        <v>0</v>
      </c>
      <c r="GH3" s="199">
        <f>SUMIFS('Revenue Tracking'!$F$13:$F$19, 'Revenue Tracking'!$H$13:$H$19, "&gt;="&amp;GH1,'Revenue Tracking'!$H$13:$H$19, "&lt;"&amp;GI1)</f>
        <v>0</v>
      </c>
      <c r="GI3" s="199">
        <f>SUMIFS('Revenue Tracking'!$F$13:$F$19, 'Revenue Tracking'!$H$13:$H$19, "&gt;="&amp;GI1,'Revenue Tracking'!$H$13:$H$19, "&lt;"&amp;GJ1)</f>
        <v>0</v>
      </c>
      <c r="GJ3" s="199">
        <f>SUMIFS('Revenue Tracking'!$F$13:$F$19, 'Revenue Tracking'!$H$13:$H$19, "&gt;="&amp;GJ1,'Revenue Tracking'!$H$13:$H$19, "&lt;"&amp;GK1)</f>
        <v>0</v>
      </c>
      <c r="GK3" s="199">
        <f>SUMIFS('Revenue Tracking'!$F$13:$F$19, 'Revenue Tracking'!$H$13:$H$19, "&gt;="&amp;GK1,'Revenue Tracking'!$H$13:$H$19, "&lt;"&amp;GL1)</f>
        <v>0</v>
      </c>
      <c r="GL3" s="199">
        <f>SUMIFS('Revenue Tracking'!$F$13:$F$19, 'Revenue Tracking'!$H$13:$H$19, "&gt;="&amp;GL1,'Revenue Tracking'!$H$13:$H$19, "&lt;"&amp;GM1)</f>
        <v>0</v>
      </c>
      <c r="GM3" s="199">
        <f>SUMIFS('Revenue Tracking'!$F$13:$F$19, 'Revenue Tracking'!$H$13:$H$19, "&gt;="&amp;GM1,'Revenue Tracking'!$H$13:$H$19, "&lt;"&amp;GN1)</f>
        <v>0</v>
      </c>
      <c r="GN3" s="199">
        <f>SUMIFS('Revenue Tracking'!$F$13:$F$19, 'Revenue Tracking'!$H$13:$H$19, "&gt;="&amp;GN1,'Revenue Tracking'!$H$13:$H$19, "&lt;"&amp;GO1)</f>
        <v>0</v>
      </c>
      <c r="GO3" s="199">
        <f>SUMIFS('Revenue Tracking'!$F$13:$F$19, 'Revenue Tracking'!$H$13:$H$19, "&gt;="&amp;GO1,'Revenue Tracking'!$H$13:$H$19, "&lt;"&amp;GP1)</f>
        <v>0</v>
      </c>
      <c r="GP3" s="199">
        <f>SUMIFS('Revenue Tracking'!$F$13:$F$19, 'Revenue Tracking'!$H$13:$H$19, "&gt;="&amp;GP1,'Revenue Tracking'!$H$13:$H$19, "&lt;"&amp;GQ1)</f>
        <v>0</v>
      </c>
      <c r="GQ3" s="199">
        <f>SUMIFS('Revenue Tracking'!$F$13:$F$19, 'Revenue Tracking'!$H$13:$H$19, "&gt;="&amp;GQ1,'Revenue Tracking'!$H$13:$H$19, "&lt;"&amp;GR1)</f>
        <v>0</v>
      </c>
      <c r="GR3" s="199">
        <f>SUMIFS('Revenue Tracking'!$F$13:$F$19, 'Revenue Tracking'!$H$13:$H$19, "&gt;="&amp;GR1,'Revenue Tracking'!$H$13:$H$19, "&lt;"&amp;GS1)</f>
        <v>0</v>
      </c>
      <c r="GS3" s="199">
        <f>SUMIFS('Revenue Tracking'!$F$13:$F$19, 'Revenue Tracking'!$H$13:$H$19, "&gt;="&amp;GS1,'Revenue Tracking'!$H$13:$H$19, "&lt;"&amp;GT1)</f>
        <v>0</v>
      </c>
      <c r="GT3" s="199">
        <f>SUMIFS('Revenue Tracking'!$F$13:$F$19, 'Revenue Tracking'!$H$13:$H$19, "&gt;="&amp;GT1,'Revenue Tracking'!$H$13:$H$19, "&lt;"&amp;GU1)</f>
        <v>0</v>
      </c>
      <c r="GU3" s="199">
        <f>SUMIFS('Revenue Tracking'!$F$13:$F$19, 'Revenue Tracking'!$H$13:$H$19, "&gt;="&amp;GU1,'Revenue Tracking'!$H$13:$H$19, "&lt;"&amp;GV1)</f>
        <v>0</v>
      </c>
      <c r="GV3" s="199">
        <f>SUMIFS('Revenue Tracking'!$F$13:$F$19, 'Revenue Tracking'!$H$13:$H$19, "&gt;="&amp;GV1,'Revenue Tracking'!$H$13:$H$19, "&lt;"&amp;GW1)</f>
        <v>0</v>
      </c>
      <c r="GW3" s="199">
        <f>SUMIFS('Revenue Tracking'!$F$13:$F$19, 'Revenue Tracking'!$H$13:$H$19, "&gt;="&amp;GW1,'Revenue Tracking'!$H$13:$H$19, "&lt;"&amp;GX1)</f>
        <v>0</v>
      </c>
      <c r="GX3" s="199">
        <f>SUMIFS('Revenue Tracking'!$F$13:$F$19, 'Revenue Tracking'!$H$13:$H$19, "&gt;="&amp;GX1,'Revenue Tracking'!$H$13:$H$19, "&lt;"&amp;GY1)</f>
        <v>0</v>
      </c>
      <c r="GY3" s="199">
        <f>SUMIFS('Revenue Tracking'!$F$13:$F$19, 'Revenue Tracking'!$H$13:$H$19, "&gt;="&amp;GY1,'Revenue Tracking'!$H$13:$H$19, "&lt;"&amp;GZ1)</f>
        <v>0</v>
      </c>
      <c r="GZ3" s="199">
        <f>SUMIFS('Revenue Tracking'!$F$13:$F$19, 'Revenue Tracking'!$H$13:$H$19, "&gt;="&amp;GZ1,'Revenue Tracking'!$H$13:$H$19, "&lt;"&amp;HA1)</f>
        <v>0</v>
      </c>
      <c r="HA3" s="199">
        <f>SUMIFS('Revenue Tracking'!$F$13:$F$19, 'Revenue Tracking'!$H$13:$H$19, "&gt;="&amp;HA1,'Revenue Tracking'!$H$13:$H$19, "&lt;"&amp;HB1)</f>
        <v>0</v>
      </c>
      <c r="HB3" s="199">
        <f>SUMIFS('Revenue Tracking'!$F$13:$F$19, 'Revenue Tracking'!$H$13:$H$19, "&gt;="&amp;HB1,'Revenue Tracking'!$H$13:$H$19, "&lt;"&amp;HC1)</f>
        <v>0</v>
      </c>
      <c r="HC3" s="199">
        <f>SUMIFS('Revenue Tracking'!$F$13:$F$19, 'Revenue Tracking'!$H$13:$H$19, "&gt;="&amp;HC1,'Revenue Tracking'!$H$13:$H$19, "&lt;"&amp;HD1)</f>
        <v>0</v>
      </c>
      <c r="HD3" s="199">
        <f>SUMIFS('Revenue Tracking'!$F$13:$F$19, 'Revenue Tracking'!$H$13:$H$19, "&gt;="&amp;HD1,'Revenue Tracking'!$H$13:$H$19, "&lt;"&amp;HE1)</f>
        <v>0</v>
      </c>
      <c r="HE3" s="199">
        <f>SUMIFS('Revenue Tracking'!$F$13:$F$19, 'Revenue Tracking'!$H$13:$H$19, "&gt;="&amp;HE1,'Revenue Tracking'!$H$13:$H$19, "&lt;"&amp;HF1)</f>
        <v>0</v>
      </c>
      <c r="HF3" s="199">
        <f>SUMIFS('Revenue Tracking'!$F$13:$F$19, 'Revenue Tracking'!$H$13:$H$19, "&gt;="&amp;HF1,'Revenue Tracking'!$H$13:$H$19, "&lt;"&amp;HG1)</f>
        <v>0</v>
      </c>
      <c r="HG3" s="199">
        <f>SUMIFS('Revenue Tracking'!$F$13:$F$19, 'Revenue Tracking'!$H$13:$H$19, "&gt;="&amp;HG1,'Revenue Tracking'!$H$13:$H$19, "&lt;"&amp;HH1)</f>
        <v>0</v>
      </c>
      <c r="HH3" s="199">
        <f>SUMIFS('Revenue Tracking'!$F$13:$F$19, 'Revenue Tracking'!$H$13:$H$19, "&gt;="&amp;HH1,'Revenue Tracking'!$H$13:$H$19, "&lt;"&amp;HI1)</f>
        <v>0</v>
      </c>
      <c r="HI3" s="199">
        <f>SUMIFS('Revenue Tracking'!$F$13:$F$19, 'Revenue Tracking'!$H$13:$H$19, "&gt;="&amp;HI1,'Revenue Tracking'!$H$13:$H$19, "&lt;"&amp;HJ1)</f>
        <v>0</v>
      </c>
      <c r="HJ3" s="199">
        <f>SUMIFS('Revenue Tracking'!$F$13:$F$19, 'Revenue Tracking'!$H$13:$H$19, "&gt;="&amp;HJ1,'Revenue Tracking'!$H$13:$H$19, "&lt;"&amp;HK1)</f>
        <v>0</v>
      </c>
      <c r="HK3" s="199">
        <f>SUMIFS('Revenue Tracking'!$F$13:$F$19, 'Revenue Tracking'!$H$13:$H$19, "&gt;="&amp;HK1,'Revenue Tracking'!$H$13:$H$19, "&lt;"&amp;HL1)</f>
        <v>0</v>
      </c>
      <c r="HL3" s="199">
        <f>SUMIFS('Revenue Tracking'!$F$13:$F$19, 'Revenue Tracking'!$H$13:$H$19, "&gt;="&amp;HL1,'Revenue Tracking'!$H$13:$H$19, "&lt;"&amp;HM1)</f>
        <v>0</v>
      </c>
      <c r="HM3" s="199">
        <f>SUMIFS('Revenue Tracking'!$F$13:$F$19, 'Revenue Tracking'!$H$13:$H$19, "&gt;="&amp;HM1,'Revenue Tracking'!$H$13:$H$19, "&lt;"&amp;HN1)</f>
        <v>0</v>
      </c>
      <c r="HN3" s="199">
        <f>SUMIFS('Revenue Tracking'!$F$13:$F$19, 'Revenue Tracking'!$H$13:$H$19, "&gt;="&amp;HN1,'Revenue Tracking'!$H$13:$H$19, "&lt;"&amp;HO1)</f>
        <v>0</v>
      </c>
      <c r="HO3" s="199">
        <f>SUMIFS('Revenue Tracking'!$F$13:$F$19, 'Revenue Tracking'!$H$13:$H$19, "&gt;="&amp;HO1,'Revenue Tracking'!$H$13:$H$19, "&lt;"&amp;HP1)</f>
        <v>0</v>
      </c>
      <c r="HP3" s="199">
        <f>SUMIFS('Revenue Tracking'!$F$13:$F$19, 'Revenue Tracking'!$H$13:$H$19, "&gt;="&amp;HP1,'Revenue Tracking'!$H$13:$H$19, "&lt;"&amp;HQ1)</f>
        <v>0</v>
      </c>
      <c r="HQ3" s="199">
        <f>SUMIFS('Revenue Tracking'!$F$13:$F$19, 'Revenue Tracking'!$H$13:$H$19, "&gt;="&amp;HQ1,'Revenue Tracking'!$H$13:$H$19, "&lt;"&amp;HR1)</f>
        <v>0</v>
      </c>
      <c r="HR3" s="199">
        <f>SUMIFS('Revenue Tracking'!$F$13:$F$19, 'Revenue Tracking'!$H$13:$H$19, "&gt;="&amp;HR1,'Revenue Tracking'!$H$13:$H$19, "&lt;"&amp;HS1)</f>
        <v>0</v>
      </c>
      <c r="HS3" s="199">
        <f>SUMIFS('Revenue Tracking'!$F$13:$F$19, 'Revenue Tracking'!$H$13:$H$19, "&gt;="&amp;HS1,'Revenue Tracking'!$H$13:$H$19, "&lt;"&amp;HT1)</f>
        <v>0</v>
      </c>
      <c r="HT3" s="199">
        <f>SUMIFS('Revenue Tracking'!$F$13:$F$19, 'Revenue Tracking'!$H$13:$H$19, "&gt;="&amp;HT1,'Revenue Tracking'!$H$13:$H$19, "&lt;"&amp;HU1)</f>
        <v>0</v>
      </c>
      <c r="HU3" s="199">
        <f>SUMIFS('Revenue Tracking'!$F$13:$F$19, 'Revenue Tracking'!$H$13:$H$19, "&gt;="&amp;HU1,'Revenue Tracking'!$H$13:$H$19, "&lt;"&amp;HV1)</f>
        <v>0</v>
      </c>
      <c r="HV3" s="199">
        <f>SUMIFS('Revenue Tracking'!$F$13:$F$19, 'Revenue Tracking'!$H$13:$H$19, "&gt;="&amp;HV1,'Revenue Tracking'!$H$13:$H$19, "&lt;"&amp;HW1)</f>
        <v>0</v>
      </c>
      <c r="HW3" s="199">
        <f>SUMIFS('Revenue Tracking'!$F$13:$F$19, 'Revenue Tracking'!$H$13:$H$19, "&gt;="&amp;HW1,'Revenue Tracking'!$H$13:$H$19, "&lt;"&amp;HX1)</f>
        <v>0</v>
      </c>
      <c r="HX3" s="199">
        <f>SUMIFS('Revenue Tracking'!$F$13:$F$19, 'Revenue Tracking'!$H$13:$H$19, "&gt;="&amp;HX1,'Revenue Tracking'!$H$13:$H$19, "&lt;"&amp;HY1)</f>
        <v>0</v>
      </c>
      <c r="HY3" s="199">
        <f>SUMIFS('Revenue Tracking'!$F$13:$F$19, 'Revenue Tracking'!$H$13:$H$19, "&gt;="&amp;HY1,'Revenue Tracking'!$H$13:$H$19, "&lt;"&amp;HZ1)</f>
        <v>0</v>
      </c>
      <c r="HZ3" s="199">
        <f>SUMIFS('Revenue Tracking'!$F$13:$F$19, 'Revenue Tracking'!$H$13:$H$19, "&gt;="&amp;HZ1,'Revenue Tracking'!$H$13:$H$19, "&lt;"&amp;IA1)</f>
        <v>0</v>
      </c>
      <c r="IA3" s="199">
        <f>SUMIFS('Revenue Tracking'!$F$13:$F$19, 'Revenue Tracking'!$H$13:$H$19, "&gt;="&amp;IA1,'Revenue Tracking'!$H$13:$H$19, "&lt;"&amp;IB1)</f>
        <v>0</v>
      </c>
      <c r="IB3" s="199">
        <f>SUMIFS('Revenue Tracking'!$F$13:$F$19, 'Revenue Tracking'!$H$13:$H$19, "&gt;="&amp;IB1,'Revenue Tracking'!$H$13:$H$19, "&lt;"&amp;IC1)</f>
        <v>0</v>
      </c>
      <c r="IC3" s="199">
        <f>SUMIFS('Revenue Tracking'!$F$13:$F$19, 'Revenue Tracking'!$H$13:$H$19, "&gt;="&amp;IC1,'Revenue Tracking'!$H$13:$H$19, "&lt;"&amp;ID1)</f>
        <v>0</v>
      </c>
      <c r="ID3" s="199">
        <f>SUMIFS('Revenue Tracking'!$F$13:$F$19, 'Revenue Tracking'!$H$13:$H$19, "&gt;="&amp;ID1,'Revenue Tracking'!$H$13:$H$19, "&lt;"&amp;IE1)</f>
        <v>0</v>
      </c>
      <c r="IE3" s="199">
        <f>SUMIFS('Revenue Tracking'!$F$13:$F$19, 'Revenue Tracking'!$H$13:$H$19, "&gt;="&amp;IE1,'Revenue Tracking'!$H$13:$H$19, "&lt;"&amp;IF1)</f>
        <v>0</v>
      </c>
      <c r="IF3" s="199">
        <f>SUMIFS('Revenue Tracking'!$F$13:$F$19, 'Revenue Tracking'!$H$13:$H$19, "&gt;="&amp;IF1,'Revenue Tracking'!$H$13:$H$19, "&lt;"&amp;IG1)</f>
        <v>0</v>
      </c>
      <c r="IG3" s="199">
        <f>SUMIFS('Revenue Tracking'!$F$13:$F$19, 'Revenue Tracking'!$H$13:$H$19, "&gt;="&amp;IG1,'Revenue Tracking'!$H$13:$H$19, "&lt;"&amp;IH1)</f>
        <v>0</v>
      </c>
      <c r="IH3" s="199">
        <f>SUMIFS('Revenue Tracking'!$F$13:$F$19, 'Revenue Tracking'!$H$13:$H$19, "&gt;="&amp;IH1,'Revenue Tracking'!$H$13:$H$19, "&lt;"&amp;II1)</f>
        <v>0</v>
      </c>
      <c r="II3" s="199">
        <f>SUMIFS('Revenue Tracking'!$F$13:$F$19, 'Revenue Tracking'!$H$13:$H$19, "&gt;="&amp;II1,'Revenue Tracking'!$H$13:$H$19, "&lt;"&amp;IJ1)</f>
        <v>0</v>
      </c>
      <c r="IJ3" s="199">
        <f>SUMIFS('Revenue Tracking'!$F$13:$F$19, 'Revenue Tracking'!$H$13:$H$19, "&gt;="&amp;IJ1,'Revenue Tracking'!$H$13:$H$19, "&lt;"&amp;IK1)</f>
        <v>0</v>
      </c>
      <c r="IK3" s="199">
        <f>SUMIFS('Revenue Tracking'!$F$13:$F$19, 'Revenue Tracking'!$H$13:$H$19, "&gt;="&amp;IK1,'Revenue Tracking'!$H$13:$H$19, "&lt;"&amp;IL1)</f>
        <v>0</v>
      </c>
      <c r="IL3" s="199">
        <f>SUMIFS('Revenue Tracking'!$F$13:$F$19, 'Revenue Tracking'!$H$13:$H$19, "&gt;="&amp;IL1,'Revenue Tracking'!$H$13:$H$19, "&lt;"&amp;IM1)</f>
        <v>0</v>
      </c>
      <c r="IM3" s="199">
        <f>SUMIFS('Revenue Tracking'!$F$13:$F$19, 'Revenue Tracking'!$H$13:$H$19, "&gt;="&amp;IM1,'Revenue Tracking'!$H$13:$H$19, "&lt;"&amp;IN1)</f>
        <v>0</v>
      </c>
      <c r="IN3" s="199">
        <f>SUMIFS('Revenue Tracking'!$F$13:$F$19, 'Revenue Tracking'!$H$13:$H$19, "&gt;="&amp;IN1,'Revenue Tracking'!$H$13:$H$19, "&lt;"&amp;IO1)</f>
        <v>0</v>
      </c>
      <c r="IO3" s="199">
        <f>SUMIFS('Revenue Tracking'!$F$13:$F$19, 'Revenue Tracking'!$H$13:$H$19, "&gt;="&amp;IO1,'Revenue Tracking'!$H$13:$H$19, "&lt;"&amp;IP1)</f>
        <v>0</v>
      </c>
      <c r="IP3" s="199">
        <f>SUMIFS('Revenue Tracking'!$F$13:$F$19, 'Revenue Tracking'!$H$13:$H$19, "&gt;="&amp;IP1,'Revenue Tracking'!$H$13:$H$19, "&lt;"&amp;IQ1)</f>
        <v>0</v>
      </c>
      <c r="IQ3" s="199">
        <f>SUMIFS('Revenue Tracking'!$F$13:$F$19, 'Revenue Tracking'!$H$13:$H$19, "&gt;="&amp;IQ1,'Revenue Tracking'!$H$13:$H$19, "&lt;"&amp;IR1)</f>
        <v>0</v>
      </c>
      <c r="IR3" s="199">
        <f>SUMIFS('Revenue Tracking'!$F$13:$F$19, 'Revenue Tracking'!$H$13:$H$19, "&gt;="&amp;IR1,'Revenue Tracking'!$H$13:$H$19, "&lt;"&amp;IS1)</f>
        <v>0</v>
      </c>
      <c r="IS3" s="199">
        <f>SUMIFS('Revenue Tracking'!$F$13:$F$19, 'Revenue Tracking'!$H$13:$H$19, "&gt;="&amp;IS1,'Revenue Tracking'!$H$13:$H$19, "&lt;"&amp;IT1)</f>
        <v>0</v>
      </c>
      <c r="IT3" s="199">
        <f>SUMIFS('Revenue Tracking'!$F$13:$F$19, 'Revenue Tracking'!$H$13:$H$19, "&gt;="&amp;IT1,'Revenue Tracking'!$H$13:$H$19, "&lt;"&amp;IU1)</f>
        <v>0</v>
      </c>
      <c r="IU3" s="199">
        <f>SUMIFS('Revenue Tracking'!$F$13:$F$19, 'Revenue Tracking'!$H$13:$H$19, "&gt;="&amp;IU1,'Revenue Tracking'!$H$13:$H$19, "&lt;"&amp;IV1)</f>
        <v>0</v>
      </c>
      <c r="IV3" s="199">
        <f>SUMIFS('Revenue Tracking'!$F$13:$F$19, 'Revenue Tracking'!$H$13:$H$19, "&gt;="&amp;IV1,'Revenue Tracking'!$H$13:$H$19, "&lt;"&amp;IW1)</f>
        <v>0</v>
      </c>
      <c r="IW3" s="199">
        <f>SUMIFS('Revenue Tracking'!$F$13:$F$19, 'Revenue Tracking'!$H$13:$H$19, "&gt;="&amp;IW1,'Revenue Tracking'!$H$13:$H$19, "&lt;"&amp;IX1)</f>
        <v>0</v>
      </c>
      <c r="IX3" s="199">
        <f>SUMIFS('Revenue Tracking'!$F$13:$F$19, 'Revenue Tracking'!$H$13:$H$19, "&gt;="&amp;IX1,'Revenue Tracking'!$H$13:$H$19, "&lt;"&amp;IY1)</f>
        <v>0</v>
      </c>
      <c r="IY3" s="199">
        <f>SUMIFS('Revenue Tracking'!$F$13:$F$19, 'Revenue Tracking'!$H$13:$H$19, "&gt;="&amp;IY1,'Revenue Tracking'!$H$13:$H$19, "&lt;"&amp;IZ1)</f>
        <v>0</v>
      </c>
      <c r="IZ3" s="199">
        <f>SUMIFS('Revenue Tracking'!$F$13:$F$19, 'Revenue Tracking'!$H$13:$H$19, "&gt;="&amp;IZ1,'Revenue Tracking'!$H$13:$H$19, "&lt;"&amp;JA1)</f>
        <v>0</v>
      </c>
      <c r="JA3" s="199">
        <f>SUMIFS('Revenue Tracking'!$F$13:$F$19, 'Revenue Tracking'!$H$13:$H$19, "&gt;="&amp;JA1,'Revenue Tracking'!$H$13:$H$19, "&lt;"&amp;JB1)</f>
        <v>0</v>
      </c>
      <c r="JB3" s="199">
        <f>SUMIFS('Revenue Tracking'!$F$13:$F$19, 'Revenue Tracking'!$H$13:$H$19, "&gt;="&amp;JB1,'Revenue Tracking'!$H$13:$H$19, "&lt;"&amp;JC1)</f>
        <v>0</v>
      </c>
      <c r="JC3" s="199">
        <f>SUMIFS('Revenue Tracking'!$F$13:$F$19, 'Revenue Tracking'!$H$13:$H$19, "&gt;="&amp;JC1,'Revenue Tracking'!$H$13:$H$19, "&lt;"&amp;JD1)</f>
        <v>0</v>
      </c>
      <c r="JD3" s="199">
        <f>SUMIFS('Revenue Tracking'!$F$13:$F$19, 'Revenue Tracking'!$H$13:$H$19, "&gt;="&amp;JD1,'Revenue Tracking'!$H$13:$H$19, "&lt;"&amp;JE1)</f>
        <v>0</v>
      </c>
      <c r="JE3" s="199">
        <f>SUMIFS('Revenue Tracking'!$F$13:$F$19, 'Revenue Tracking'!$H$13:$H$19, "&gt;="&amp;JE1,'Revenue Tracking'!$H$13:$H$19, "&lt;"&amp;JF1)</f>
        <v>0</v>
      </c>
      <c r="JF3" s="199">
        <f>SUMIFS('Revenue Tracking'!$F$13:$F$19, 'Revenue Tracking'!$H$13:$H$19, "&gt;="&amp;JF1,'Revenue Tracking'!$H$13:$H$19, "&lt;"&amp;JG1)</f>
        <v>0</v>
      </c>
      <c r="JG3" s="199">
        <f>SUMIFS('Revenue Tracking'!$F$13:$F$19, 'Revenue Tracking'!$H$13:$H$19, "&gt;="&amp;JG1,'Revenue Tracking'!$H$13:$H$19, "&lt;"&amp;JH1)</f>
        <v>0</v>
      </c>
      <c r="JH3" s="199">
        <f>SUMIFS('Revenue Tracking'!$F$13:$F$19, 'Revenue Tracking'!$H$13:$H$19, "&gt;="&amp;JH1,'Revenue Tracking'!$H$13:$H$19, "&lt;"&amp;JI1)</f>
        <v>0</v>
      </c>
      <c r="JI3" s="199">
        <f>SUMIFS('Revenue Tracking'!$F$13:$F$19, 'Revenue Tracking'!$H$13:$H$19, "&gt;="&amp;JI1,'Revenue Tracking'!$H$13:$H$19, "&lt;"&amp;JJ1)</f>
        <v>0</v>
      </c>
      <c r="JJ3" s="199">
        <f>SUMIFS('Revenue Tracking'!$F$13:$F$19, 'Revenue Tracking'!$H$13:$H$19, "&gt;="&amp;JJ1,'Revenue Tracking'!$H$13:$H$19, "&lt;"&amp;JK1)</f>
        <v>0</v>
      </c>
      <c r="JK3" s="199">
        <f>SUMIFS('Revenue Tracking'!$F$13:$F$19, 'Revenue Tracking'!$H$13:$H$19, "&gt;="&amp;JK1,'Revenue Tracking'!$H$13:$H$19, "&lt;"&amp;JL1)</f>
        <v>0</v>
      </c>
      <c r="JL3" s="199">
        <f>SUMIFS('Revenue Tracking'!$F$13:$F$19, 'Revenue Tracking'!$H$13:$H$19, "&gt;="&amp;JL1,'Revenue Tracking'!$H$13:$H$19, "&lt;"&amp;JM1)</f>
        <v>0</v>
      </c>
      <c r="JM3" s="199">
        <f>SUMIFS('Revenue Tracking'!$F$13:$F$19, 'Revenue Tracking'!$H$13:$H$19, "&gt;="&amp;JM1,'Revenue Tracking'!$H$13:$H$19, "&lt;"&amp;JN1)</f>
        <v>0</v>
      </c>
      <c r="JN3" s="199">
        <f>SUMIFS('Revenue Tracking'!$F$13:$F$19, 'Revenue Tracking'!$H$13:$H$19, "&gt;="&amp;JN1,'Revenue Tracking'!$H$13:$H$19, "&lt;"&amp;JO1)</f>
        <v>0</v>
      </c>
      <c r="JO3" s="199">
        <f>SUMIFS('Revenue Tracking'!$F$13:$F$19, 'Revenue Tracking'!$H$13:$H$19, "&gt;="&amp;JO1,'Revenue Tracking'!$H$13:$H$19, "&lt;"&amp;JP1)</f>
        <v>0</v>
      </c>
      <c r="JP3" s="199">
        <f>SUMIFS('Revenue Tracking'!$F$13:$F$19, 'Revenue Tracking'!$H$13:$H$19, "&gt;="&amp;JP1,'Revenue Tracking'!$H$13:$H$19, "&lt;"&amp;JQ1)</f>
        <v>0</v>
      </c>
      <c r="JQ3" s="199">
        <f>SUMIFS('Revenue Tracking'!$F$13:$F$19, 'Revenue Tracking'!$H$13:$H$19, "&gt;="&amp;JQ1,'Revenue Tracking'!$H$13:$H$19, "&lt;"&amp;JR1)</f>
        <v>0</v>
      </c>
      <c r="JR3" s="199">
        <f>SUMIFS('Revenue Tracking'!$F$13:$F$19, 'Revenue Tracking'!$H$13:$H$19, "&gt;="&amp;JR1,'Revenue Tracking'!$H$13:$H$19, "&lt;"&amp;JS1)</f>
        <v>0</v>
      </c>
      <c r="JS3" s="199">
        <f>SUMIFS('Revenue Tracking'!$F$13:$F$19, 'Revenue Tracking'!$H$13:$H$19, "&gt;="&amp;JS1,'Revenue Tracking'!$H$13:$H$19, "&lt;"&amp;JT1)</f>
        <v>0</v>
      </c>
      <c r="JT3" s="199">
        <f>SUMIFS('Revenue Tracking'!$F$13:$F$19, 'Revenue Tracking'!$H$13:$H$19, "&gt;="&amp;JT1,'Revenue Tracking'!$H$13:$H$19, "&lt;"&amp;JU1)</f>
        <v>0</v>
      </c>
      <c r="JU3" s="199">
        <f>SUMIFS('Revenue Tracking'!$F$13:$F$19, 'Revenue Tracking'!$H$13:$H$19, "&gt;="&amp;JU1,'Revenue Tracking'!$H$13:$H$19, "&lt;"&amp;JV1)</f>
        <v>0</v>
      </c>
      <c r="JV3" s="199">
        <f>SUMIFS('Revenue Tracking'!$F$13:$F$19, 'Revenue Tracking'!$H$13:$H$19, "&gt;="&amp;JV1,'Revenue Tracking'!$H$13:$H$19, "&lt;"&amp;JW1)</f>
        <v>0</v>
      </c>
      <c r="JW3" s="199">
        <f>SUMIFS('Revenue Tracking'!$F$13:$F$19, 'Revenue Tracking'!$H$13:$H$19, "&gt;="&amp;JW1,'Revenue Tracking'!$H$13:$H$19, "&lt;"&amp;JX1)</f>
        <v>0</v>
      </c>
      <c r="JX3" s="199">
        <f>SUMIFS('Revenue Tracking'!$F$13:$F$19, 'Revenue Tracking'!$H$13:$H$19, "&gt;="&amp;JX1,'Revenue Tracking'!$H$13:$H$19, "&lt;"&amp;JY1)</f>
        <v>0</v>
      </c>
      <c r="JY3" s="199">
        <f>SUMIFS('Revenue Tracking'!$F$13:$F$19, 'Revenue Tracking'!$H$13:$H$19, "&gt;="&amp;JY1,'Revenue Tracking'!$H$13:$H$19, "&lt;"&amp;JZ1)</f>
        <v>0</v>
      </c>
      <c r="JZ3" s="199">
        <f>SUMIFS('Revenue Tracking'!$F$13:$F$19, 'Revenue Tracking'!$H$13:$H$19, "&gt;="&amp;JZ1,'Revenue Tracking'!$H$13:$H$19, "&lt;"&amp;KA1)</f>
        <v>0</v>
      </c>
      <c r="KA3" s="199">
        <f>SUMIFS('Revenue Tracking'!$F$13:$F$19, 'Revenue Tracking'!$H$13:$H$19, "&gt;="&amp;KA1,'Revenue Tracking'!$H$13:$H$19, "&lt;"&amp;KB1)</f>
        <v>0</v>
      </c>
      <c r="KB3" s="199">
        <f>SUMIFS('Revenue Tracking'!$F$13:$F$19, 'Revenue Tracking'!$H$13:$H$19, "&gt;="&amp;KB1,'Revenue Tracking'!$H$13:$H$19, "&lt;"&amp;KC1)</f>
        <v>0</v>
      </c>
      <c r="KC3" s="199">
        <f>SUMIFS('Revenue Tracking'!$F$13:$F$19, 'Revenue Tracking'!$H$13:$H$19, "&gt;="&amp;KC1,'Revenue Tracking'!$H$13:$H$19, "&lt;"&amp;KD1)</f>
        <v>0</v>
      </c>
      <c r="KD3" s="199">
        <f>SUMIFS('Revenue Tracking'!$F$13:$F$19, 'Revenue Tracking'!$H$13:$H$19, "&gt;="&amp;KD1,'Revenue Tracking'!$H$13:$H$19, "&lt;"&amp;KE1)</f>
        <v>0</v>
      </c>
      <c r="KE3" s="199">
        <f>SUMIFS('Revenue Tracking'!$F$13:$F$19, 'Revenue Tracking'!$H$13:$H$19, "&gt;="&amp;KE1,'Revenue Tracking'!$H$13:$H$19, "&lt;"&amp;KF1)</f>
        <v>0</v>
      </c>
      <c r="KF3" s="199">
        <f>SUMIFS('Revenue Tracking'!$F$13:$F$19, 'Revenue Tracking'!$H$13:$H$19, "&gt;="&amp;KF1,'Revenue Tracking'!$H$13:$H$19, "&lt;"&amp;KG1)</f>
        <v>0</v>
      </c>
      <c r="KG3" s="199">
        <f>SUMIFS('Revenue Tracking'!$F$13:$F$19, 'Revenue Tracking'!$H$13:$H$19, "&gt;="&amp;KG1,'Revenue Tracking'!$H$13:$H$19, "&lt;"&amp;KH1)</f>
        <v>0</v>
      </c>
      <c r="KH3" s="199">
        <f>SUMIFS('Revenue Tracking'!$F$13:$F$19, 'Revenue Tracking'!$H$13:$H$19, "&gt;="&amp;KH1,'Revenue Tracking'!$H$13:$H$19, "&lt;"&amp;KI1)</f>
        <v>0</v>
      </c>
      <c r="KI3" s="199">
        <f>SUMIFS('Revenue Tracking'!$F$13:$F$19, 'Revenue Tracking'!$H$13:$H$19, "&gt;="&amp;KI1,'Revenue Tracking'!$H$13:$H$19, "&lt;"&amp;KJ1)</f>
        <v>0</v>
      </c>
      <c r="KJ3" s="199">
        <f>SUMIFS('Revenue Tracking'!$F$13:$F$19, 'Revenue Tracking'!$H$13:$H$19, "&gt;="&amp;KJ1,'Revenue Tracking'!$H$13:$H$19, "&lt;"&amp;KK1)</f>
        <v>0</v>
      </c>
      <c r="KK3" s="199">
        <f>SUMIFS('Revenue Tracking'!$F$13:$F$19, 'Revenue Tracking'!$H$13:$H$19, "&gt;="&amp;KK1,'Revenue Tracking'!$H$13:$H$19, "&lt;"&amp;KL1)</f>
        <v>0</v>
      </c>
      <c r="KL3" s="199">
        <f>SUMIFS('Revenue Tracking'!$F$13:$F$19, 'Revenue Tracking'!$H$13:$H$19, "&gt;="&amp;KL1,'Revenue Tracking'!$H$13:$H$19, "&lt;"&amp;KM1)</f>
        <v>0</v>
      </c>
      <c r="KM3" s="199">
        <f>SUMIFS('Revenue Tracking'!$F$13:$F$19, 'Revenue Tracking'!$H$13:$H$19, "&gt;="&amp;KM1,'Revenue Tracking'!$H$13:$H$19, "&lt;"&amp;KN1)</f>
        <v>0</v>
      </c>
      <c r="KN3" s="199">
        <f>SUMIFS('Revenue Tracking'!$F$13:$F$19, 'Revenue Tracking'!$H$13:$H$19, "&gt;="&amp;KN1,'Revenue Tracking'!$H$13:$H$19, "&lt;"&amp;KO1)</f>
        <v>0</v>
      </c>
      <c r="KO3" s="199">
        <f>SUMIFS('Revenue Tracking'!$F$13:$F$19, 'Revenue Tracking'!$H$13:$H$19, "&gt;="&amp;KO1,'Revenue Tracking'!$H$13:$H$19, "&lt;"&amp;KP1)</f>
        <v>0</v>
      </c>
      <c r="KP3" s="199">
        <f>SUMIFS('Revenue Tracking'!$F$13:$F$19, 'Revenue Tracking'!$H$13:$H$19, "&gt;="&amp;KP1,'Revenue Tracking'!$H$13:$H$19, "&lt;"&amp;KQ1)</f>
        <v>0</v>
      </c>
      <c r="KQ3" s="199">
        <f>SUMIFS('Revenue Tracking'!$F$13:$F$19, 'Revenue Tracking'!$H$13:$H$19, "&gt;="&amp;KQ1,'Revenue Tracking'!$H$13:$H$19, "&lt;"&amp;KR1)</f>
        <v>0</v>
      </c>
      <c r="KR3" s="199">
        <f>SUMIFS('Revenue Tracking'!$F$13:$F$19, 'Revenue Tracking'!$H$13:$H$19, "&gt;="&amp;KR1,'Revenue Tracking'!$H$13:$H$19, "&lt;"&amp;KS1)</f>
        <v>0</v>
      </c>
      <c r="KS3" s="199">
        <f>SUMIFS('Revenue Tracking'!$F$13:$F$19, 'Revenue Tracking'!$H$13:$H$19, "&gt;="&amp;KS1,'Revenue Tracking'!$H$13:$H$19, "&lt;"&amp;KT1)</f>
        <v>0</v>
      </c>
      <c r="KT3" s="199">
        <f>SUMIFS('Revenue Tracking'!$F$13:$F$19, 'Revenue Tracking'!$H$13:$H$19, "&gt;="&amp;KT1,'Revenue Tracking'!$H$13:$H$19, "&lt;"&amp;KU1)</f>
        <v>0</v>
      </c>
      <c r="KU3" s="199">
        <f>SUMIFS('Revenue Tracking'!$F$13:$F$19, 'Revenue Tracking'!$H$13:$H$19, "&gt;="&amp;KU1,'Revenue Tracking'!$H$13:$H$19, "&lt;"&amp;KV1)</f>
        <v>0</v>
      </c>
      <c r="KV3" s="199">
        <f>SUMIFS('Revenue Tracking'!$F$13:$F$19, 'Revenue Tracking'!$H$13:$H$19, "&gt;="&amp;KV1,'Revenue Tracking'!$H$13:$H$19, "&lt;"&amp;KW1)</f>
        <v>0</v>
      </c>
      <c r="KW3" s="199">
        <f>SUMIFS('Revenue Tracking'!$F$13:$F$19, 'Revenue Tracking'!$H$13:$H$19, "&gt;="&amp;KW1,'Revenue Tracking'!$H$13:$H$19, "&lt;"&amp;KX1)</f>
        <v>0</v>
      </c>
      <c r="KX3" s="199">
        <f>SUMIFS('Revenue Tracking'!$F$13:$F$19, 'Revenue Tracking'!$H$13:$H$19, "&gt;="&amp;KX1,'Revenue Tracking'!$H$13:$H$19, "&lt;"&amp;KY1)</f>
        <v>0</v>
      </c>
      <c r="KY3" s="199">
        <f>SUMIFS('Revenue Tracking'!$F$13:$F$19, 'Revenue Tracking'!$H$13:$H$19, "&gt;="&amp;KY1,'Revenue Tracking'!$H$13:$H$19, "&lt;"&amp;KZ1)</f>
        <v>0</v>
      </c>
      <c r="KZ3" s="199">
        <f>SUMIFS('Revenue Tracking'!$F$13:$F$19, 'Revenue Tracking'!$H$13:$H$19, "&gt;="&amp;KZ1,'Revenue Tracking'!$H$13:$H$19, "&lt;"&amp;LA1)</f>
        <v>0</v>
      </c>
      <c r="LA3" s="199">
        <f>SUMIFS('Revenue Tracking'!$F$13:$F$19, 'Revenue Tracking'!$H$13:$H$19, "&gt;="&amp;LA1,'Revenue Tracking'!$H$13:$H$19, "&lt;"&amp;LB1)</f>
        <v>0</v>
      </c>
      <c r="LB3" s="199">
        <f>SUMIFS('Revenue Tracking'!$F$13:$F$19, 'Revenue Tracking'!$H$13:$H$19, "&gt;="&amp;LB1,'Revenue Tracking'!$H$13:$H$19, "&lt;"&amp;LC1)</f>
        <v>0</v>
      </c>
      <c r="LC3" s="199">
        <f>SUMIFS('Revenue Tracking'!$F$13:$F$19, 'Revenue Tracking'!$H$13:$H$19, "&gt;="&amp;LC1,'Revenue Tracking'!$H$13:$H$19, "&lt;"&amp;LD1)</f>
        <v>0</v>
      </c>
      <c r="LD3" s="199">
        <f>SUMIFS('Revenue Tracking'!$F$13:$F$19, 'Revenue Tracking'!$H$13:$H$19, "&gt;="&amp;LD1,'Revenue Tracking'!$H$13:$H$19, "&lt;"&amp;#REF!)</f>
        <v>0</v>
      </c>
    </row>
    <row r="4" spans="1:794">
      <c r="A4" s="809"/>
      <c r="B4" s="196" t="s">
        <v>386</v>
      </c>
      <c r="C4" s="197"/>
      <c r="D4" s="197"/>
      <c r="E4" s="198"/>
      <c r="F4" s="199">
        <f>F3</f>
        <v>0</v>
      </c>
      <c r="G4" s="199">
        <f>F4+G3</f>
        <v>0</v>
      </c>
      <c r="H4" s="199">
        <f>G4+H3</f>
        <v>0</v>
      </c>
      <c r="I4" s="199">
        <f t="shared" ref="I4:BT4" si="5">H4+I3</f>
        <v>0</v>
      </c>
      <c r="J4" s="199">
        <f t="shared" si="5"/>
        <v>0</v>
      </c>
      <c r="K4" s="199">
        <f t="shared" si="5"/>
        <v>0</v>
      </c>
      <c r="L4" s="199">
        <f t="shared" si="5"/>
        <v>0</v>
      </c>
      <c r="M4" s="199">
        <f t="shared" si="5"/>
        <v>0</v>
      </c>
      <c r="N4" s="199">
        <f t="shared" si="5"/>
        <v>0</v>
      </c>
      <c r="O4" s="199">
        <f t="shared" si="5"/>
        <v>0</v>
      </c>
      <c r="P4" s="199">
        <f t="shared" si="5"/>
        <v>0</v>
      </c>
      <c r="Q4" s="199">
        <f t="shared" si="5"/>
        <v>0</v>
      </c>
      <c r="R4" s="199">
        <f t="shared" si="5"/>
        <v>0</v>
      </c>
      <c r="S4" s="199">
        <f t="shared" si="5"/>
        <v>0</v>
      </c>
      <c r="T4" s="199">
        <f t="shared" si="5"/>
        <v>0</v>
      </c>
      <c r="U4" s="199">
        <f t="shared" si="5"/>
        <v>0</v>
      </c>
      <c r="V4" s="199">
        <f t="shared" si="5"/>
        <v>0</v>
      </c>
      <c r="W4" s="199">
        <f t="shared" si="5"/>
        <v>0</v>
      </c>
      <c r="X4" s="199">
        <f t="shared" si="5"/>
        <v>0</v>
      </c>
      <c r="Y4" s="199">
        <f t="shared" si="5"/>
        <v>0</v>
      </c>
      <c r="Z4" s="199">
        <f t="shared" si="5"/>
        <v>0</v>
      </c>
      <c r="AA4" s="199">
        <f t="shared" si="5"/>
        <v>0</v>
      </c>
      <c r="AB4" s="199">
        <f t="shared" si="5"/>
        <v>0</v>
      </c>
      <c r="AC4" s="199">
        <f t="shared" si="5"/>
        <v>0</v>
      </c>
      <c r="AD4" s="199">
        <f t="shared" si="5"/>
        <v>0</v>
      </c>
      <c r="AE4" s="199">
        <f t="shared" si="5"/>
        <v>0</v>
      </c>
      <c r="AF4" s="199">
        <f t="shared" si="5"/>
        <v>0</v>
      </c>
      <c r="AG4" s="199">
        <f t="shared" si="5"/>
        <v>0</v>
      </c>
      <c r="AH4" s="199">
        <f t="shared" si="5"/>
        <v>0</v>
      </c>
      <c r="AI4" s="199">
        <f t="shared" si="5"/>
        <v>0</v>
      </c>
      <c r="AJ4" s="199">
        <f t="shared" si="5"/>
        <v>513568</v>
      </c>
      <c r="AK4" s="199">
        <f t="shared" si="5"/>
        <v>513568</v>
      </c>
      <c r="AL4" s="199">
        <f t="shared" si="5"/>
        <v>873065.6</v>
      </c>
      <c r="AM4" s="199">
        <f t="shared" si="5"/>
        <v>873065.6</v>
      </c>
      <c r="AN4" s="199">
        <f t="shared" si="5"/>
        <v>873065.6</v>
      </c>
      <c r="AO4" s="199">
        <f t="shared" si="5"/>
        <v>873065.6</v>
      </c>
      <c r="AP4" s="199">
        <f t="shared" si="5"/>
        <v>873065.6</v>
      </c>
      <c r="AQ4" s="199">
        <f t="shared" si="5"/>
        <v>873065.6</v>
      </c>
      <c r="AR4" s="199">
        <f t="shared" si="5"/>
        <v>873065.6</v>
      </c>
      <c r="AS4" s="199">
        <f t="shared" si="5"/>
        <v>975779.2</v>
      </c>
      <c r="AT4" s="199">
        <f t="shared" si="5"/>
        <v>1027136</v>
      </c>
      <c r="AU4" s="199">
        <f t="shared" si="5"/>
        <v>1027136</v>
      </c>
      <c r="AV4" s="199">
        <f t="shared" si="5"/>
        <v>1027136</v>
      </c>
      <c r="AW4" s="199">
        <f t="shared" si="5"/>
        <v>1027136</v>
      </c>
      <c r="AX4" s="199">
        <f t="shared" si="5"/>
        <v>1027136</v>
      </c>
      <c r="AY4" s="199">
        <f t="shared" si="5"/>
        <v>1027136</v>
      </c>
      <c r="AZ4" s="199">
        <f t="shared" si="5"/>
        <v>1027136</v>
      </c>
      <c r="BA4" s="199">
        <f t="shared" si="5"/>
        <v>1027136</v>
      </c>
      <c r="BB4" s="199">
        <f t="shared" si="5"/>
        <v>1027136</v>
      </c>
      <c r="BC4" s="199">
        <f t="shared" si="5"/>
        <v>1027136</v>
      </c>
      <c r="BD4" s="199">
        <f t="shared" si="5"/>
        <v>1027136</v>
      </c>
      <c r="BE4" s="199">
        <f t="shared" si="5"/>
        <v>1027136</v>
      </c>
      <c r="BF4" s="199">
        <f t="shared" si="5"/>
        <v>1027136</v>
      </c>
      <c r="BG4" s="199">
        <f t="shared" si="5"/>
        <v>1027136</v>
      </c>
      <c r="BH4" s="199">
        <f t="shared" si="5"/>
        <v>1027136</v>
      </c>
      <c r="BI4" s="199">
        <f t="shared" si="5"/>
        <v>1027136</v>
      </c>
      <c r="BJ4" s="199">
        <f t="shared" si="5"/>
        <v>1027136</v>
      </c>
      <c r="BK4" s="199">
        <f t="shared" si="5"/>
        <v>1027136</v>
      </c>
      <c r="BL4" s="199">
        <f t="shared" si="5"/>
        <v>1027136</v>
      </c>
      <c r="BM4" s="199">
        <f t="shared" si="5"/>
        <v>1027136</v>
      </c>
      <c r="BN4" s="199">
        <f t="shared" si="5"/>
        <v>1027136</v>
      </c>
      <c r="BO4" s="199">
        <f t="shared" si="5"/>
        <v>1027136</v>
      </c>
      <c r="BP4" s="199">
        <f t="shared" si="5"/>
        <v>1027136</v>
      </c>
      <c r="BQ4" s="199">
        <f t="shared" si="5"/>
        <v>1027136</v>
      </c>
      <c r="BR4" s="199">
        <f t="shared" si="5"/>
        <v>1027136</v>
      </c>
      <c r="BS4" s="199">
        <f t="shared" si="5"/>
        <v>1027136</v>
      </c>
      <c r="BT4" s="199">
        <f t="shared" si="5"/>
        <v>1027136</v>
      </c>
      <c r="BU4" s="199">
        <f t="shared" ref="BU4:EF4" si="6">BT4+BU3</f>
        <v>1027136</v>
      </c>
      <c r="BV4" s="199">
        <f t="shared" si="6"/>
        <v>1027136</v>
      </c>
      <c r="BW4" s="199">
        <f t="shared" si="6"/>
        <v>1027136</v>
      </c>
      <c r="BX4" s="199">
        <f t="shared" si="6"/>
        <v>1027136</v>
      </c>
      <c r="BY4" s="199">
        <f t="shared" si="6"/>
        <v>1027136</v>
      </c>
      <c r="BZ4" s="199">
        <f t="shared" si="6"/>
        <v>1027136</v>
      </c>
      <c r="CA4" s="199">
        <f t="shared" si="6"/>
        <v>1027136</v>
      </c>
      <c r="CB4" s="199">
        <f t="shared" si="6"/>
        <v>1027136</v>
      </c>
      <c r="CC4" s="199">
        <f t="shared" si="6"/>
        <v>1027136</v>
      </c>
      <c r="CD4" s="199">
        <f t="shared" si="6"/>
        <v>1027136</v>
      </c>
      <c r="CE4" s="199">
        <f t="shared" si="6"/>
        <v>1027136</v>
      </c>
      <c r="CF4" s="199">
        <f t="shared" si="6"/>
        <v>1027136</v>
      </c>
      <c r="CG4" s="199">
        <f t="shared" si="6"/>
        <v>1027136</v>
      </c>
      <c r="CH4" s="199">
        <f t="shared" si="6"/>
        <v>1027136</v>
      </c>
      <c r="CI4" s="199">
        <f t="shared" si="6"/>
        <v>1027136</v>
      </c>
      <c r="CJ4" s="199">
        <f t="shared" si="6"/>
        <v>1027136</v>
      </c>
      <c r="CK4" s="199">
        <f t="shared" si="6"/>
        <v>1027136</v>
      </c>
      <c r="CL4" s="199">
        <f t="shared" si="6"/>
        <v>1027136</v>
      </c>
      <c r="CM4" s="199">
        <f t="shared" si="6"/>
        <v>1027136</v>
      </c>
      <c r="CN4" s="199">
        <f t="shared" si="6"/>
        <v>1027136</v>
      </c>
      <c r="CO4" s="199">
        <f t="shared" si="6"/>
        <v>1027136</v>
      </c>
      <c r="CP4" s="199">
        <f t="shared" si="6"/>
        <v>1027136</v>
      </c>
      <c r="CQ4" s="199">
        <f t="shared" si="6"/>
        <v>1027136</v>
      </c>
      <c r="CR4" s="199">
        <f t="shared" si="6"/>
        <v>1027136</v>
      </c>
      <c r="CS4" s="199">
        <f t="shared" si="6"/>
        <v>1027136</v>
      </c>
      <c r="CT4" s="199">
        <f t="shared" si="6"/>
        <v>1027136</v>
      </c>
      <c r="CU4" s="199">
        <f t="shared" si="6"/>
        <v>1027136</v>
      </c>
      <c r="CV4" s="199">
        <f t="shared" si="6"/>
        <v>1027136</v>
      </c>
      <c r="CW4" s="199">
        <f t="shared" si="6"/>
        <v>1027136</v>
      </c>
      <c r="CX4" s="199">
        <f t="shared" si="6"/>
        <v>1027136</v>
      </c>
      <c r="CY4" s="199">
        <f t="shared" si="6"/>
        <v>1027136</v>
      </c>
      <c r="CZ4" s="199">
        <f t="shared" si="6"/>
        <v>1027136</v>
      </c>
      <c r="DA4" s="199">
        <f t="shared" si="6"/>
        <v>1027136</v>
      </c>
      <c r="DB4" s="199">
        <f t="shared" si="6"/>
        <v>1027136</v>
      </c>
      <c r="DC4" s="199">
        <f t="shared" si="6"/>
        <v>1027136</v>
      </c>
      <c r="DD4" s="199">
        <f t="shared" si="6"/>
        <v>1027136</v>
      </c>
      <c r="DE4" s="199">
        <f t="shared" si="6"/>
        <v>1027136</v>
      </c>
      <c r="DF4" s="199">
        <f t="shared" si="6"/>
        <v>1027136</v>
      </c>
      <c r="DG4" s="199">
        <f t="shared" si="6"/>
        <v>1027136</v>
      </c>
      <c r="DH4" s="199">
        <f t="shared" si="6"/>
        <v>1027136</v>
      </c>
      <c r="DI4" s="199">
        <f t="shared" si="6"/>
        <v>1027136</v>
      </c>
      <c r="DJ4" s="199">
        <f t="shared" si="6"/>
        <v>1027136</v>
      </c>
      <c r="DK4" s="199">
        <f t="shared" si="6"/>
        <v>1027136</v>
      </c>
      <c r="DL4" s="199">
        <f t="shared" si="6"/>
        <v>1027136</v>
      </c>
      <c r="DM4" s="199">
        <f t="shared" si="6"/>
        <v>1027136</v>
      </c>
      <c r="DN4" s="199">
        <f t="shared" si="6"/>
        <v>1027136</v>
      </c>
      <c r="DO4" s="199">
        <f t="shared" si="6"/>
        <v>1027136</v>
      </c>
      <c r="DP4" s="199">
        <f t="shared" si="6"/>
        <v>1027136</v>
      </c>
      <c r="DQ4" s="199">
        <f t="shared" si="6"/>
        <v>1027136</v>
      </c>
      <c r="DR4" s="199">
        <f t="shared" si="6"/>
        <v>1027136</v>
      </c>
      <c r="DS4" s="199">
        <f t="shared" si="6"/>
        <v>1027136</v>
      </c>
      <c r="DT4" s="199">
        <f t="shared" si="6"/>
        <v>1027136</v>
      </c>
      <c r="DU4" s="199">
        <f t="shared" si="6"/>
        <v>1027136</v>
      </c>
      <c r="DV4" s="199">
        <f t="shared" si="6"/>
        <v>1027136</v>
      </c>
      <c r="DW4" s="199">
        <f t="shared" si="6"/>
        <v>1027136</v>
      </c>
      <c r="DX4" s="199">
        <f t="shared" si="6"/>
        <v>1027136</v>
      </c>
      <c r="DY4" s="199">
        <f t="shared" si="6"/>
        <v>1027136</v>
      </c>
      <c r="DZ4" s="199">
        <f t="shared" si="6"/>
        <v>1027136</v>
      </c>
      <c r="EA4" s="199">
        <f t="shared" si="6"/>
        <v>1027136</v>
      </c>
      <c r="EB4" s="199">
        <f t="shared" si="6"/>
        <v>1027136</v>
      </c>
      <c r="EC4" s="199">
        <f t="shared" si="6"/>
        <v>1027136</v>
      </c>
      <c r="ED4" s="199">
        <f t="shared" si="6"/>
        <v>1027136</v>
      </c>
      <c r="EE4" s="199">
        <f t="shared" si="6"/>
        <v>1027136</v>
      </c>
      <c r="EF4" s="199">
        <f t="shared" si="6"/>
        <v>1027136</v>
      </c>
      <c r="EG4" s="199">
        <f t="shared" ref="EG4:GR4" si="7">EF4+EG3</f>
        <v>1027136</v>
      </c>
      <c r="EH4" s="199">
        <f t="shared" si="7"/>
        <v>1027136</v>
      </c>
      <c r="EI4" s="199">
        <f t="shared" si="7"/>
        <v>1027136</v>
      </c>
      <c r="EJ4" s="199">
        <f t="shared" si="7"/>
        <v>1027136</v>
      </c>
      <c r="EK4" s="199">
        <f t="shared" si="7"/>
        <v>1027136</v>
      </c>
      <c r="EL4" s="199">
        <f t="shared" si="7"/>
        <v>1027136</v>
      </c>
      <c r="EM4" s="199">
        <f t="shared" si="7"/>
        <v>1027136</v>
      </c>
      <c r="EN4" s="199">
        <f t="shared" si="7"/>
        <v>1027136</v>
      </c>
      <c r="EO4" s="199">
        <f t="shared" si="7"/>
        <v>1027136</v>
      </c>
      <c r="EP4" s="199">
        <f t="shared" si="7"/>
        <v>1027136</v>
      </c>
      <c r="EQ4" s="199">
        <f t="shared" si="7"/>
        <v>1027136</v>
      </c>
      <c r="ER4" s="199">
        <f t="shared" si="7"/>
        <v>1027136</v>
      </c>
      <c r="ES4" s="199">
        <f t="shared" si="7"/>
        <v>1027136</v>
      </c>
      <c r="ET4" s="199">
        <f t="shared" si="7"/>
        <v>1027136</v>
      </c>
      <c r="EU4" s="199">
        <f t="shared" si="7"/>
        <v>1027136</v>
      </c>
      <c r="EV4" s="199">
        <f t="shared" si="7"/>
        <v>1027136</v>
      </c>
      <c r="EW4" s="199">
        <f t="shared" si="7"/>
        <v>1027136</v>
      </c>
      <c r="EX4" s="199">
        <f t="shared" si="7"/>
        <v>1027136</v>
      </c>
      <c r="EY4" s="199">
        <f t="shared" si="7"/>
        <v>1027136</v>
      </c>
      <c r="EZ4" s="199">
        <f t="shared" si="7"/>
        <v>1027136</v>
      </c>
      <c r="FA4" s="199">
        <f t="shared" si="7"/>
        <v>1027136</v>
      </c>
      <c r="FB4" s="199">
        <f t="shared" si="7"/>
        <v>1027136</v>
      </c>
      <c r="FC4" s="199">
        <f t="shared" si="7"/>
        <v>1027136</v>
      </c>
      <c r="FD4" s="199">
        <f t="shared" si="7"/>
        <v>1027136</v>
      </c>
      <c r="FE4" s="199">
        <f t="shared" si="7"/>
        <v>1027136</v>
      </c>
      <c r="FF4" s="199">
        <f t="shared" si="7"/>
        <v>1027136</v>
      </c>
      <c r="FG4" s="199">
        <f t="shared" si="7"/>
        <v>1027136</v>
      </c>
      <c r="FH4" s="199">
        <f t="shared" si="7"/>
        <v>1027136</v>
      </c>
      <c r="FI4" s="199">
        <f t="shared" si="7"/>
        <v>1027136</v>
      </c>
      <c r="FJ4" s="199">
        <f t="shared" si="7"/>
        <v>1027136</v>
      </c>
      <c r="FK4" s="199">
        <f t="shared" si="7"/>
        <v>1027136</v>
      </c>
      <c r="FL4" s="199">
        <f t="shared" si="7"/>
        <v>1027136</v>
      </c>
      <c r="FM4" s="199">
        <f t="shared" si="7"/>
        <v>1027136</v>
      </c>
      <c r="FN4" s="199">
        <f t="shared" si="7"/>
        <v>1027136</v>
      </c>
      <c r="FO4" s="199">
        <f t="shared" si="7"/>
        <v>1027136</v>
      </c>
      <c r="FP4" s="199">
        <f t="shared" si="7"/>
        <v>1027136</v>
      </c>
      <c r="FQ4" s="199">
        <f t="shared" si="7"/>
        <v>1027136</v>
      </c>
      <c r="FR4" s="199">
        <f t="shared" si="7"/>
        <v>1027136</v>
      </c>
      <c r="FS4" s="199">
        <f t="shared" si="7"/>
        <v>1027136</v>
      </c>
      <c r="FT4" s="199">
        <f t="shared" si="7"/>
        <v>1027136</v>
      </c>
      <c r="FU4" s="199">
        <f t="shared" si="7"/>
        <v>1027136</v>
      </c>
      <c r="FV4" s="199">
        <f t="shared" si="7"/>
        <v>1027136</v>
      </c>
      <c r="FW4" s="199">
        <f t="shared" si="7"/>
        <v>1027136</v>
      </c>
      <c r="FX4" s="199">
        <f t="shared" si="7"/>
        <v>1027136</v>
      </c>
      <c r="FY4" s="199">
        <f t="shared" si="7"/>
        <v>1027136</v>
      </c>
      <c r="FZ4" s="199">
        <f t="shared" si="7"/>
        <v>1027136</v>
      </c>
      <c r="GA4" s="199">
        <f t="shared" si="7"/>
        <v>1027136</v>
      </c>
      <c r="GB4" s="199">
        <f t="shared" si="7"/>
        <v>1027136</v>
      </c>
      <c r="GC4" s="199">
        <f t="shared" si="7"/>
        <v>1027136</v>
      </c>
      <c r="GD4" s="199">
        <f t="shared" si="7"/>
        <v>1027136</v>
      </c>
      <c r="GE4" s="199">
        <f t="shared" si="7"/>
        <v>1027136</v>
      </c>
      <c r="GF4" s="199">
        <f t="shared" si="7"/>
        <v>1027136</v>
      </c>
      <c r="GG4" s="199">
        <f t="shared" si="7"/>
        <v>1027136</v>
      </c>
      <c r="GH4" s="199">
        <f t="shared" si="7"/>
        <v>1027136</v>
      </c>
      <c r="GI4" s="199">
        <f t="shared" si="7"/>
        <v>1027136</v>
      </c>
      <c r="GJ4" s="199">
        <f t="shared" si="7"/>
        <v>1027136</v>
      </c>
      <c r="GK4" s="199">
        <f t="shared" si="7"/>
        <v>1027136</v>
      </c>
      <c r="GL4" s="199">
        <f t="shared" si="7"/>
        <v>1027136</v>
      </c>
      <c r="GM4" s="199">
        <f t="shared" si="7"/>
        <v>1027136</v>
      </c>
      <c r="GN4" s="199">
        <f t="shared" si="7"/>
        <v>1027136</v>
      </c>
      <c r="GO4" s="199">
        <f t="shared" si="7"/>
        <v>1027136</v>
      </c>
      <c r="GP4" s="199">
        <f t="shared" si="7"/>
        <v>1027136</v>
      </c>
      <c r="GQ4" s="199">
        <f t="shared" si="7"/>
        <v>1027136</v>
      </c>
      <c r="GR4" s="199">
        <f t="shared" si="7"/>
        <v>1027136</v>
      </c>
      <c r="GS4" s="199">
        <f t="shared" ref="GS4:JD4" si="8">GR4+GS3</f>
        <v>1027136</v>
      </c>
      <c r="GT4" s="199">
        <f t="shared" si="8"/>
        <v>1027136</v>
      </c>
      <c r="GU4" s="199">
        <f t="shared" si="8"/>
        <v>1027136</v>
      </c>
      <c r="GV4" s="199">
        <f t="shared" si="8"/>
        <v>1027136</v>
      </c>
      <c r="GW4" s="199">
        <f t="shared" si="8"/>
        <v>1027136</v>
      </c>
      <c r="GX4" s="199">
        <f t="shared" si="8"/>
        <v>1027136</v>
      </c>
      <c r="GY4" s="199">
        <f t="shared" si="8"/>
        <v>1027136</v>
      </c>
      <c r="GZ4" s="199">
        <f t="shared" si="8"/>
        <v>1027136</v>
      </c>
      <c r="HA4" s="199">
        <f t="shared" si="8"/>
        <v>1027136</v>
      </c>
      <c r="HB4" s="199">
        <f t="shared" si="8"/>
        <v>1027136</v>
      </c>
      <c r="HC4" s="199">
        <f t="shared" si="8"/>
        <v>1027136</v>
      </c>
      <c r="HD4" s="199">
        <f t="shared" si="8"/>
        <v>1027136</v>
      </c>
      <c r="HE4" s="199">
        <f t="shared" si="8"/>
        <v>1027136</v>
      </c>
      <c r="HF4" s="199">
        <f t="shared" si="8"/>
        <v>1027136</v>
      </c>
      <c r="HG4" s="199">
        <f t="shared" si="8"/>
        <v>1027136</v>
      </c>
      <c r="HH4" s="199">
        <f t="shared" si="8"/>
        <v>1027136</v>
      </c>
      <c r="HI4" s="199">
        <f t="shared" si="8"/>
        <v>1027136</v>
      </c>
      <c r="HJ4" s="199">
        <f t="shared" si="8"/>
        <v>1027136</v>
      </c>
      <c r="HK4" s="199">
        <f t="shared" si="8"/>
        <v>1027136</v>
      </c>
      <c r="HL4" s="199">
        <f t="shared" si="8"/>
        <v>1027136</v>
      </c>
      <c r="HM4" s="199">
        <f t="shared" si="8"/>
        <v>1027136</v>
      </c>
      <c r="HN4" s="199">
        <f t="shared" si="8"/>
        <v>1027136</v>
      </c>
      <c r="HO4" s="199">
        <f t="shared" si="8"/>
        <v>1027136</v>
      </c>
      <c r="HP4" s="199">
        <f t="shared" si="8"/>
        <v>1027136</v>
      </c>
      <c r="HQ4" s="199">
        <f t="shared" si="8"/>
        <v>1027136</v>
      </c>
      <c r="HR4" s="199">
        <f t="shared" si="8"/>
        <v>1027136</v>
      </c>
      <c r="HS4" s="199">
        <f t="shared" si="8"/>
        <v>1027136</v>
      </c>
      <c r="HT4" s="199">
        <f t="shared" si="8"/>
        <v>1027136</v>
      </c>
      <c r="HU4" s="199">
        <f t="shared" si="8"/>
        <v>1027136</v>
      </c>
      <c r="HV4" s="199">
        <f t="shared" si="8"/>
        <v>1027136</v>
      </c>
      <c r="HW4" s="199">
        <f t="shared" si="8"/>
        <v>1027136</v>
      </c>
      <c r="HX4" s="199">
        <f t="shared" si="8"/>
        <v>1027136</v>
      </c>
      <c r="HY4" s="199">
        <f t="shared" si="8"/>
        <v>1027136</v>
      </c>
      <c r="HZ4" s="199">
        <f t="shared" si="8"/>
        <v>1027136</v>
      </c>
      <c r="IA4" s="199">
        <f t="shared" si="8"/>
        <v>1027136</v>
      </c>
      <c r="IB4" s="199">
        <f t="shared" si="8"/>
        <v>1027136</v>
      </c>
      <c r="IC4" s="199">
        <f t="shared" si="8"/>
        <v>1027136</v>
      </c>
      <c r="ID4" s="199">
        <f t="shared" si="8"/>
        <v>1027136</v>
      </c>
      <c r="IE4" s="199">
        <f t="shared" si="8"/>
        <v>1027136</v>
      </c>
      <c r="IF4" s="199">
        <f t="shared" si="8"/>
        <v>1027136</v>
      </c>
      <c r="IG4" s="199">
        <f t="shared" si="8"/>
        <v>1027136</v>
      </c>
      <c r="IH4" s="199">
        <f t="shared" si="8"/>
        <v>1027136</v>
      </c>
      <c r="II4" s="199">
        <f t="shared" si="8"/>
        <v>1027136</v>
      </c>
      <c r="IJ4" s="199">
        <f t="shared" si="8"/>
        <v>1027136</v>
      </c>
      <c r="IK4" s="199">
        <f t="shared" si="8"/>
        <v>1027136</v>
      </c>
      <c r="IL4" s="199">
        <f t="shared" si="8"/>
        <v>1027136</v>
      </c>
      <c r="IM4" s="199">
        <f t="shared" si="8"/>
        <v>1027136</v>
      </c>
      <c r="IN4" s="199">
        <f t="shared" si="8"/>
        <v>1027136</v>
      </c>
      <c r="IO4" s="199">
        <f t="shared" si="8"/>
        <v>1027136</v>
      </c>
      <c r="IP4" s="199">
        <f t="shared" si="8"/>
        <v>1027136</v>
      </c>
      <c r="IQ4" s="199">
        <f t="shared" si="8"/>
        <v>1027136</v>
      </c>
      <c r="IR4" s="199">
        <f t="shared" si="8"/>
        <v>1027136</v>
      </c>
      <c r="IS4" s="199">
        <f t="shared" si="8"/>
        <v>1027136</v>
      </c>
      <c r="IT4" s="199">
        <f t="shared" si="8"/>
        <v>1027136</v>
      </c>
      <c r="IU4" s="199">
        <f t="shared" si="8"/>
        <v>1027136</v>
      </c>
      <c r="IV4" s="199">
        <f t="shared" si="8"/>
        <v>1027136</v>
      </c>
      <c r="IW4" s="199">
        <f t="shared" si="8"/>
        <v>1027136</v>
      </c>
      <c r="IX4" s="199">
        <f t="shared" si="8"/>
        <v>1027136</v>
      </c>
      <c r="IY4" s="199">
        <f t="shared" si="8"/>
        <v>1027136</v>
      </c>
      <c r="IZ4" s="199">
        <f t="shared" si="8"/>
        <v>1027136</v>
      </c>
      <c r="JA4" s="199">
        <f t="shared" si="8"/>
        <v>1027136</v>
      </c>
      <c r="JB4" s="199">
        <f t="shared" si="8"/>
        <v>1027136</v>
      </c>
      <c r="JC4" s="199">
        <f t="shared" si="8"/>
        <v>1027136</v>
      </c>
      <c r="JD4" s="199">
        <f t="shared" si="8"/>
        <v>1027136</v>
      </c>
      <c r="JE4" s="199">
        <f t="shared" ref="JE4:LD4" si="9">JD4+JE3</f>
        <v>1027136</v>
      </c>
      <c r="JF4" s="199">
        <f t="shared" si="9"/>
        <v>1027136</v>
      </c>
      <c r="JG4" s="199">
        <f t="shared" si="9"/>
        <v>1027136</v>
      </c>
      <c r="JH4" s="199">
        <f t="shared" si="9"/>
        <v>1027136</v>
      </c>
      <c r="JI4" s="199">
        <f t="shared" si="9"/>
        <v>1027136</v>
      </c>
      <c r="JJ4" s="199">
        <f t="shared" si="9"/>
        <v>1027136</v>
      </c>
      <c r="JK4" s="199">
        <f t="shared" si="9"/>
        <v>1027136</v>
      </c>
      <c r="JL4" s="199">
        <f t="shared" si="9"/>
        <v>1027136</v>
      </c>
      <c r="JM4" s="199">
        <f t="shared" si="9"/>
        <v>1027136</v>
      </c>
      <c r="JN4" s="199">
        <f t="shared" si="9"/>
        <v>1027136</v>
      </c>
      <c r="JO4" s="199">
        <f t="shared" si="9"/>
        <v>1027136</v>
      </c>
      <c r="JP4" s="199">
        <f t="shared" si="9"/>
        <v>1027136</v>
      </c>
      <c r="JQ4" s="199">
        <f t="shared" si="9"/>
        <v>1027136</v>
      </c>
      <c r="JR4" s="199">
        <f t="shared" si="9"/>
        <v>1027136</v>
      </c>
      <c r="JS4" s="199">
        <f t="shared" si="9"/>
        <v>1027136</v>
      </c>
      <c r="JT4" s="199">
        <f t="shared" si="9"/>
        <v>1027136</v>
      </c>
      <c r="JU4" s="199">
        <f t="shared" si="9"/>
        <v>1027136</v>
      </c>
      <c r="JV4" s="199">
        <f t="shared" si="9"/>
        <v>1027136</v>
      </c>
      <c r="JW4" s="199">
        <f t="shared" si="9"/>
        <v>1027136</v>
      </c>
      <c r="JX4" s="199">
        <f t="shared" si="9"/>
        <v>1027136</v>
      </c>
      <c r="JY4" s="199">
        <f t="shared" si="9"/>
        <v>1027136</v>
      </c>
      <c r="JZ4" s="199">
        <f t="shared" si="9"/>
        <v>1027136</v>
      </c>
      <c r="KA4" s="199">
        <f t="shared" si="9"/>
        <v>1027136</v>
      </c>
      <c r="KB4" s="199">
        <f t="shared" si="9"/>
        <v>1027136</v>
      </c>
      <c r="KC4" s="199">
        <f t="shared" si="9"/>
        <v>1027136</v>
      </c>
      <c r="KD4" s="199">
        <f t="shared" si="9"/>
        <v>1027136</v>
      </c>
      <c r="KE4" s="199">
        <f t="shared" si="9"/>
        <v>1027136</v>
      </c>
      <c r="KF4" s="199">
        <f t="shared" si="9"/>
        <v>1027136</v>
      </c>
      <c r="KG4" s="199">
        <f t="shared" si="9"/>
        <v>1027136</v>
      </c>
      <c r="KH4" s="199">
        <f t="shared" si="9"/>
        <v>1027136</v>
      </c>
      <c r="KI4" s="199">
        <f t="shared" si="9"/>
        <v>1027136</v>
      </c>
      <c r="KJ4" s="199">
        <f t="shared" si="9"/>
        <v>1027136</v>
      </c>
      <c r="KK4" s="199">
        <f t="shared" si="9"/>
        <v>1027136</v>
      </c>
      <c r="KL4" s="199">
        <f t="shared" si="9"/>
        <v>1027136</v>
      </c>
      <c r="KM4" s="199">
        <f t="shared" si="9"/>
        <v>1027136</v>
      </c>
      <c r="KN4" s="199">
        <f t="shared" si="9"/>
        <v>1027136</v>
      </c>
      <c r="KO4" s="199">
        <f t="shared" si="9"/>
        <v>1027136</v>
      </c>
      <c r="KP4" s="199">
        <f t="shared" si="9"/>
        <v>1027136</v>
      </c>
      <c r="KQ4" s="199">
        <f t="shared" si="9"/>
        <v>1027136</v>
      </c>
      <c r="KR4" s="199">
        <f t="shared" si="9"/>
        <v>1027136</v>
      </c>
      <c r="KS4" s="199">
        <f t="shared" si="9"/>
        <v>1027136</v>
      </c>
      <c r="KT4" s="199">
        <f t="shared" si="9"/>
        <v>1027136</v>
      </c>
      <c r="KU4" s="199">
        <f t="shared" si="9"/>
        <v>1027136</v>
      </c>
      <c r="KV4" s="199">
        <f t="shared" si="9"/>
        <v>1027136</v>
      </c>
      <c r="KW4" s="199">
        <f t="shared" si="9"/>
        <v>1027136</v>
      </c>
      <c r="KX4" s="199">
        <f t="shared" si="9"/>
        <v>1027136</v>
      </c>
      <c r="KY4" s="199">
        <f t="shared" si="9"/>
        <v>1027136</v>
      </c>
      <c r="KZ4" s="199">
        <f t="shared" si="9"/>
        <v>1027136</v>
      </c>
      <c r="LA4" s="199">
        <f t="shared" si="9"/>
        <v>1027136</v>
      </c>
      <c r="LB4" s="199">
        <f t="shared" si="9"/>
        <v>1027136</v>
      </c>
      <c r="LC4" s="199">
        <f t="shared" si="9"/>
        <v>1027136</v>
      </c>
      <c r="LD4" s="199">
        <f t="shared" si="9"/>
        <v>1027136</v>
      </c>
    </row>
    <row r="5" spans="1:794" s="204" customFormat="1">
      <c r="A5" s="809"/>
      <c r="B5" s="200" t="s">
        <v>157</v>
      </c>
      <c r="C5" s="201">
        <f>'Revenue Tracking'!D5</f>
        <v>817052.62</v>
      </c>
      <c r="D5" s="201">
        <f>SUM(F5:LD5)</f>
        <v>817052.62</v>
      </c>
      <c r="E5" s="198"/>
      <c r="F5" s="202">
        <f>SUMIFS('Expenditure Breakdown'!$G$6:$G$201, 'Expenditure Breakdown'!$H$6:$H$201, "&gt;="&amp;F1,'Expenditure Breakdown'!$H$6:$H$201, "&lt;"&amp;G1)</f>
        <v>0</v>
      </c>
      <c r="G5" s="202">
        <f>SUMIFS('Expenditure Breakdown'!$G$6:$G$201, 'Expenditure Breakdown'!$H$6:$H$201, "&gt;="&amp;G1,'Expenditure Breakdown'!$H$6:$H$201, "&lt;"&amp;H1)</f>
        <v>0</v>
      </c>
      <c r="H5" s="202">
        <f>SUMIFS('Expenditure Breakdown'!$G$6:$G$201, 'Expenditure Breakdown'!$H$6:$H$201, "&gt;="&amp;H1,'Expenditure Breakdown'!$H$6:$H$201, "&lt;"&amp;I1)</f>
        <v>0</v>
      </c>
      <c r="I5" s="202">
        <f>SUMIFS('Expenditure Breakdown'!$G$6:$G$201, 'Expenditure Breakdown'!$H$6:$H$201, "&gt;="&amp;I1,'Expenditure Breakdown'!$H$6:$H$201, "&lt;"&amp;J1)</f>
        <v>0</v>
      </c>
      <c r="J5" s="202">
        <f>SUMIFS('Expenditure Breakdown'!$G$6:$G$201, 'Expenditure Breakdown'!$H$6:$H$201, "&gt;="&amp;J1,'Expenditure Breakdown'!$H$6:$H$201, "&lt;"&amp;K1)</f>
        <v>0</v>
      </c>
      <c r="K5" s="202">
        <f>SUMIFS('Expenditure Breakdown'!$G$6:$G$201, 'Expenditure Breakdown'!$H$6:$H$201, "&gt;="&amp;K1,'Expenditure Breakdown'!$H$6:$H$201, "&lt;"&amp;L1)</f>
        <v>0</v>
      </c>
      <c r="L5" s="202">
        <f>SUMIFS('Expenditure Breakdown'!$G$6:$G$201, 'Expenditure Breakdown'!$H$6:$H$201, "&gt;="&amp;L1,'Expenditure Breakdown'!$H$6:$H$201, "&lt;"&amp;M1)</f>
        <v>0</v>
      </c>
      <c r="M5" s="202">
        <f>SUMIFS('Expenditure Breakdown'!$G$6:$G$201, 'Expenditure Breakdown'!$H$6:$H$201, "&gt;="&amp;M1,'Expenditure Breakdown'!$H$6:$H$201, "&lt;"&amp;N1)</f>
        <v>0</v>
      </c>
      <c r="N5" s="202">
        <f>SUMIFS('Expenditure Breakdown'!$G$6:$G$201, 'Expenditure Breakdown'!$H$6:$H$201, "&gt;="&amp;N1,'Expenditure Breakdown'!$H$6:$H$201, "&lt;"&amp;O1)</f>
        <v>0</v>
      </c>
      <c r="O5" s="202">
        <f>SUMIFS('Expenditure Breakdown'!$G$6:$G$201, 'Expenditure Breakdown'!$H$6:$H$201, "&gt;="&amp;O1,'Expenditure Breakdown'!$H$6:$H$201, "&lt;"&amp;P1)</f>
        <v>0</v>
      </c>
      <c r="P5" s="202">
        <f>SUMIFS('Expenditure Breakdown'!$G$6:$G$201, 'Expenditure Breakdown'!$H$6:$H$201, "&gt;="&amp;P1,'Expenditure Breakdown'!$H$6:$H$201, "&lt;"&amp;Q1)</f>
        <v>0</v>
      </c>
      <c r="Q5" s="202">
        <f>SUMIFS('Expenditure Breakdown'!$G$6:$G$201, 'Expenditure Breakdown'!$H$6:$H$201, "&gt;="&amp;Q1,'Expenditure Breakdown'!$H$6:$H$201, "&lt;"&amp;R1)</f>
        <v>0</v>
      </c>
      <c r="R5" s="202">
        <f>SUMIFS('Expenditure Breakdown'!$G$6:$G$201, 'Expenditure Breakdown'!$H$6:$H$201, "&gt;="&amp;R1,'Expenditure Breakdown'!$H$6:$H$201, "&lt;"&amp;S1)</f>
        <v>0</v>
      </c>
      <c r="S5" s="202">
        <f>SUMIFS('Expenditure Breakdown'!$G$6:$G$201, 'Expenditure Breakdown'!$H$6:$H$201, "&gt;="&amp;S1,'Expenditure Breakdown'!$H$6:$H$201, "&lt;"&amp;T1)</f>
        <v>0</v>
      </c>
      <c r="T5" s="202">
        <f>SUMIFS('Expenditure Breakdown'!$G$6:$G$201, 'Expenditure Breakdown'!$H$6:$H$201, "&gt;="&amp;T1,'Expenditure Breakdown'!$H$6:$H$201, "&lt;"&amp;U1)</f>
        <v>0</v>
      </c>
      <c r="U5" s="202">
        <f>SUMIFS('Expenditure Breakdown'!$G$6:$G$201, 'Expenditure Breakdown'!$H$6:$H$201, "&gt;="&amp;U1,'Expenditure Breakdown'!$H$6:$H$201, "&lt;"&amp;V1)</f>
        <v>0</v>
      </c>
      <c r="V5" s="202">
        <f>SUMIFS('Expenditure Breakdown'!$G$6:$G$201, 'Expenditure Breakdown'!$H$6:$H$201, "&gt;="&amp;V1,'Expenditure Breakdown'!$H$6:$H$201, "&lt;"&amp;W1)</f>
        <v>0</v>
      </c>
      <c r="W5" s="202">
        <f>SUMIFS('Expenditure Breakdown'!$G$6:$G$201, 'Expenditure Breakdown'!$H$6:$H$201, "&gt;="&amp;W1,'Expenditure Breakdown'!$H$6:$H$201, "&lt;"&amp;X1)</f>
        <v>0</v>
      </c>
      <c r="X5" s="202">
        <f>SUMIFS('Expenditure Breakdown'!$G$6:$G$201, 'Expenditure Breakdown'!$H$6:$H$201, "&gt;="&amp;X1,'Expenditure Breakdown'!$H$6:$H$201, "&lt;"&amp;Y1)</f>
        <v>0</v>
      </c>
      <c r="Y5" s="202">
        <f>SUMIFS('Expenditure Breakdown'!$G$6:$G$201, 'Expenditure Breakdown'!$H$6:$H$201, "&gt;="&amp;Y1,'Expenditure Breakdown'!$H$6:$H$201, "&lt;"&amp;Z1)</f>
        <v>0</v>
      </c>
      <c r="Z5" s="202">
        <f>SUMIFS('Expenditure Breakdown'!$G$6:$G$201, 'Expenditure Breakdown'!$H$6:$H$201, "&gt;="&amp;Z1,'Expenditure Breakdown'!$H$6:$H$201, "&lt;"&amp;AA1)</f>
        <v>0</v>
      </c>
      <c r="AA5" s="202">
        <f>SUMIFS('Expenditure Breakdown'!$G$6:$G$201, 'Expenditure Breakdown'!$H$6:$H$201, "&gt;="&amp;AA1,'Expenditure Breakdown'!$H$6:$H$201, "&lt;"&amp;AB1)</f>
        <v>0</v>
      </c>
      <c r="AB5" s="202">
        <f>SUMIFS('Expenditure Breakdown'!$G$6:$G$201, 'Expenditure Breakdown'!$H$6:$H$201, "&gt;="&amp;AB1,'Expenditure Breakdown'!$H$6:$H$201, "&lt;"&amp;AC1)</f>
        <v>0</v>
      </c>
      <c r="AC5" s="202">
        <f>SUMIFS('Expenditure Breakdown'!$G$6:$G$201, 'Expenditure Breakdown'!$H$6:$H$201, "&gt;="&amp;AC1,'Expenditure Breakdown'!$H$6:$H$201, "&lt;"&amp;AD1)</f>
        <v>0</v>
      </c>
      <c r="AD5" s="202">
        <f>SUMIFS('Expenditure Breakdown'!$G$6:$G$201, 'Expenditure Breakdown'!$H$6:$H$201, "&gt;="&amp;AD1,'Expenditure Breakdown'!$H$6:$H$201, "&lt;"&amp;AE1)</f>
        <v>0</v>
      </c>
      <c r="AE5" s="202">
        <f>SUMIFS('Expenditure Breakdown'!$G$6:$G$201, 'Expenditure Breakdown'!$H$6:$H$201, "&gt;="&amp;AE1,'Expenditure Breakdown'!$H$6:$H$201, "&lt;"&amp;AF1)</f>
        <v>0</v>
      </c>
      <c r="AF5" s="202">
        <f>SUMIFS('Expenditure Breakdown'!$G$6:$G$201, 'Expenditure Breakdown'!$H$6:$H$201, "&gt;="&amp;AF1,'Expenditure Breakdown'!$H$6:$H$201, "&lt;"&amp;AG1)</f>
        <v>0</v>
      </c>
      <c r="AG5" s="202">
        <f>SUMIFS('Expenditure Breakdown'!$G$6:$G$201, 'Expenditure Breakdown'!$H$6:$H$201, "&gt;="&amp;AG1,'Expenditure Breakdown'!$H$6:$H$201, "&lt;"&amp;AH1)</f>
        <v>0</v>
      </c>
      <c r="AH5" s="202">
        <f>SUMIFS('Expenditure Breakdown'!$G$6:$G$201, 'Expenditure Breakdown'!$H$6:$H$201, "&gt;="&amp;AH1,'Expenditure Breakdown'!$H$6:$H$201, "&lt;"&amp;AI1)</f>
        <v>0</v>
      </c>
      <c r="AI5" s="202">
        <f>SUMIFS('Expenditure Breakdown'!$G$6:$G$201, 'Expenditure Breakdown'!$H$6:$H$201, "&gt;="&amp;AI1,'Expenditure Breakdown'!$H$6:$H$201, "&lt;"&amp;AJ1)</f>
        <v>0</v>
      </c>
      <c r="AJ5" s="202">
        <f>SUMIFS('Expenditure Breakdown'!$G$6:$G$201, 'Expenditure Breakdown'!$H$6:$H$201, "&gt;="&amp;AJ1,'Expenditure Breakdown'!$H$6:$H$201, "&lt;"&amp;AK1)</f>
        <v>0</v>
      </c>
      <c r="AK5" s="202">
        <f>SUMIFS('Expenditure Breakdown'!$G$6:$G$201, 'Expenditure Breakdown'!$H$6:$H$201, "&gt;="&amp;AK1,'Expenditure Breakdown'!$H$6:$H$201, "&lt;"&amp;AL1)</f>
        <v>27337.27</v>
      </c>
      <c r="AL5" s="202">
        <f>SUMIFS('Expenditure Breakdown'!$G$6:$G$201, 'Expenditure Breakdown'!$H$6:$H$201, "&gt;="&amp;AL1,'Expenditure Breakdown'!$H$6:$H$201, "&lt;"&amp;AM1)</f>
        <v>54230</v>
      </c>
      <c r="AM5" s="202">
        <f>SUMIFS('Expenditure Breakdown'!$G$6:$G$201, 'Expenditure Breakdown'!$H$6:$H$201, "&gt;="&amp;AM1,'Expenditure Breakdown'!$H$6:$H$201, "&lt;"&amp;AN1)</f>
        <v>126648.8</v>
      </c>
      <c r="AN5" s="202">
        <f>SUMIFS('Expenditure Breakdown'!$G$6:$G$201, 'Expenditure Breakdown'!$H$6:$H$201, "&gt;="&amp;AN1,'Expenditure Breakdown'!$H$6:$H$201, "&lt;"&amp;AO1)</f>
        <v>0</v>
      </c>
      <c r="AO5" s="202">
        <f>SUMIFS('Expenditure Breakdown'!$G$6:$G$201, 'Expenditure Breakdown'!$H$6:$H$201, "&gt;="&amp;AO1,'Expenditure Breakdown'!$H$6:$H$201, "&lt;"&amp;AP1)</f>
        <v>10071.950000000001</v>
      </c>
      <c r="AP5" s="202">
        <f>SUMIFS('Expenditure Breakdown'!$G$6:$G$201, 'Expenditure Breakdown'!$H$6:$H$201, "&gt;="&amp;AP1,'Expenditure Breakdown'!$H$6:$H$201, "&lt;"&amp;AQ1)</f>
        <v>61800.6</v>
      </c>
      <c r="AQ5" s="202">
        <f>SUMIFS('Expenditure Breakdown'!$G$6:$G$201, 'Expenditure Breakdown'!$H$6:$H$201, "&gt;="&amp;AQ1,'Expenditure Breakdown'!$H$6:$H$201, "&lt;"&amp;AR1)</f>
        <v>0</v>
      </c>
      <c r="AR5" s="202">
        <f>SUMIFS('Expenditure Breakdown'!$G$6:$G$201, 'Expenditure Breakdown'!$H$6:$H$201, "&gt;="&amp;AR1,'Expenditure Breakdown'!$H$6:$H$201, "&lt;"&amp;AS1)</f>
        <v>0</v>
      </c>
      <c r="AS5" s="202">
        <f>SUMIFS('Expenditure Breakdown'!$G$6:$G$201, 'Expenditure Breakdown'!$H$6:$H$201, "&gt;="&amp;AS1,'Expenditure Breakdown'!$H$6:$H$201, "&lt;"&amp;AT1)</f>
        <v>536964</v>
      </c>
      <c r="AT5" s="202">
        <f>SUMIFS('Expenditure Breakdown'!$G$6:$G$201, 'Expenditure Breakdown'!$H$6:$H$201, "&gt;="&amp;AT1,'Expenditure Breakdown'!$H$6:$H$201, "&lt;"&amp;AU1)</f>
        <v>0</v>
      </c>
      <c r="AU5" s="202">
        <f>SUMIFS('Expenditure Breakdown'!$G$6:$G$201, 'Expenditure Breakdown'!$H$6:$H$201, "&gt;="&amp;AU1,'Expenditure Breakdown'!$H$6:$H$201, "&lt;"&amp;AV1)</f>
        <v>0</v>
      </c>
      <c r="AV5" s="202">
        <f>SUMIFS('Expenditure Breakdown'!$G$6:$G$201, 'Expenditure Breakdown'!$H$6:$H$201, "&gt;="&amp;AV1,'Expenditure Breakdown'!$H$6:$H$201, "&lt;"&amp;AW1)</f>
        <v>0</v>
      </c>
      <c r="AW5" s="202">
        <f>SUMIFS('Expenditure Breakdown'!$G$6:$G$201, 'Expenditure Breakdown'!$H$6:$H$201, "&gt;="&amp;AW1,'Expenditure Breakdown'!$H$6:$H$201, "&lt;"&amp;AX1)</f>
        <v>0</v>
      </c>
      <c r="AX5" s="202">
        <f>SUMIFS('Expenditure Breakdown'!$G$6:$G$201, 'Expenditure Breakdown'!$H$6:$H$201, "&gt;="&amp;AX1,'Expenditure Breakdown'!$H$6:$H$201, "&lt;"&amp;AY1)</f>
        <v>0</v>
      </c>
      <c r="AY5" s="202">
        <f>SUMIFS('Expenditure Breakdown'!$G$6:$G$201, 'Expenditure Breakdown'!$H$6:$H$201, "&gt;="&amp;AY1,'Expenditure Breakdown'!$H$6:$H$201, "&lt;"&amp;AZ1)</f>
        <v>0</v>
      </c>
      <c r="AZ5" s="202">
        <f>SUMIFS('Expenditure Breakdown'!$G$6:$G$201, 'Expenditure Breakdown'!$H$6:$H$201, "&gt;="&amp;AZ1,'Expenditure Breakdown'!$H$6:$H$201, "&lt;"&amp;BA1)</f>
        <v>0</v>
      </c>
      <c r="BA5" s="202">
        <f>SUMIFS('Expenditure Breakdown'!$G$6:$G$201, 'Expenditure Breakdown'!$H$6:$H$201, "&gt;="&amp;BA1,'Expenditure Breakdown'!$H$6:$H$201, "&lt;"&amp;BB1)</f>
        <v>0</v>
      </c>
      <c r="BB5" s="202">
        <f>SUMIFS('Expenditure Breakdown'!$G$6:$G$201, 'Expenditure Breakdown'!$H$6:$H$201, "&gt;="&amp;BB1,'Expenditure Breakdown'!$H$6:$H$201, "&lt;"&amp;BC1)</f>
        <v>0</v>
      </c>
      <c r="BC5" s="202">
        <f>SUMIFS('Expenditure Breakdown'!$G$6:$G$201, 'Expenditure Breakdown'!$H$6:$H$201, "&gt;="&amp;BC1,'Expenditure Breakdown'!$H$6:$H$201, "&lt;"&amp;BD1)</f>
        <v>0</v>
      </c>
      <c r="BD5" s="202">
        <f>SUMIFS('Expenditure Breakdown'!$G$6:$G$201, 'Expenditure Breakdown'!$H$6:$H$201, "&gt;="&amp;BD1,'Expenditure Breakdown'!$H$6:$H$201, "&lt;"&amp;BE1)</f>
        <v>0</v>
      </c>
      <c r="BE5" s="202">
        <f>SUMIFS('Expenditure Breakdown'!$G$6:$G$201, 'Expenditure Breakdown'!$H$6:$H$201, "&gt;="&amp;BE1,'Expenditure Breakdown'!$H$6:$H$201, "&lt;"&amp;BF1)</f>
        <v>0</v>
      </c>
      <c r="BF5" s="202">
        <f>SUMIFS('Expenditure Breakdown'!$G$6:$G$201, 'Expenditure Breakdown'!$H$6:$H$201, "&gt;="&amp;BF1,'Expenditure Breakdown'!$H$6:$H$201, "&lt;"&amp;BG1)</f>
        <v>0</v>
      </c>
      <c r="BG5" s="202">
        <f>SUMIFS('Expenditure Breakdown'!$G$6:$G$201, 'Expenditure Breakdown'!$H$6:$H$201, "&gt;="&amp;BG1,'Expenditure Breakdown'!$H$6:$H$201, "&lt;"&amp;BH1)</f>
        <v>0</v>
      </c>
      <c r="BH5" s="202">
        <f>SUMIFS('Expenditure Breakdown'!$G$6:$G$201, 'Expenditure Breakdown'!$H$6:$H$201, "&gt;="&amp;BH1,'Expenditure Breakdown'!$H$6:$H$201, "&lt;"&amp;BI1)</f>
        <v>0</v>
      </c>
      <c r="BI5" s="202">
        <f>SUMIFS('Expenditure Breakdown'!$G$6:$G$201, 'Expenditure Breakdown'!$H$6:$H$201, "&gt;="&amp;BI1,'Expenditure Breakdown'!$H$6:$H$201, "&lt;"&amp;BJ1)</f>
        <v>0</v>
      </c>
      <c r="BJ5" s="202">
        <f>SUMIFS('Expenditure Breakdown'!$G$6:$G$201, 'Expenditure Breakdown'!$H$6:$H$201, "&gt;="&amp;BJ1,'Expenditure Breakdown'!$H$6:$H$201, "&lt;"&amp;BK1)</f>
        <v>0</v>
      </c>
      <c r="BK5" s="202">
        <f>SUMIFS('Expenditure Breakdown'!$G$6:$G$201, 'Expenditure Breakdown'!$H$6:$H$201, "&gt;="&amp;BK1,'Expenditure Breakdown'!$H$6:$H$201, "&lt;"&amp;BL1)</f>
        <v>0</v>
      </c>
      <c r="BL5" s="202">
        <f>SUMIFS('Expenditure Breakdown'!$G$6:$G$201, 'Expenditure Breakdown'!$H$6:$H$201, "&gt;="&amp;BL1,'Expenditure Breakdown'!$H$6:$H$201, "&lt;"&amp;BM1)</f>
        <v>0</v>
      </c>
      <c r="BM5" s="202">
        <f>SUMIFS('Expenditure Breakdown'!$G$6:$G$201, 'Expenditure Breakdown'!$H$6:$H$201, "&gt;="&amp;BM1,'Expenditure Breakdown'!$H$6:$H$201, "&lt;"&amp;BN1)</f>
        <v>0</v>
      </c>
      <c r="BN5" s="202">
        <f>SUMIFS('Expenditure Breakdown'!$G$6:$G$201, 'Expenditure Breakdown'!$H$6:$H$201, "&gt;="&amp;BN1,'Expenditure Breakdown'!$H$6:$H$201, "&lt;"&amp;BO1)</f>
        <v>0</v>
      </c>
      <c r="BO5" s="202">
        <f>SUMIFS('Expenditure Breakdown'!$G$6:$G$201, 'Expenditure Breakdown'!$H$6:$H$201, "&gt;="&amp;BO1,'Expenditure Breakdown'!$H$6:$H$201, "&lt;"&amp;BP1)</f>
        <v>0</v>
      </c>
      <c r="BP5" s="202">
        <f>SUMIFS('Expenditure Breakdown'!$G$6:$G$201, 'Expenditure Breakdown'!$H$6:$H$201, "&gt;="&amp;BP1,'Expenditure Breakdown'!$H$6:$H$201, "&lt;"&amp;BQ1)</f>
        <v>0</v>
      </c>
      <c r="BQ5" s="202">
        <f>SUMIFS('Expenditure Breakdown'!$G$6:$G$201, 'Expenditure Breakdown'!$H$6:$H$201, "&gt;="&amp;BQ1,'Expenditure Breakdown'!$H$6:$H$201, "&lt;"&amp;BR1)</f>
        <v>0</v>
      </c>
      <c r="BR5" s="202">
        <f>SUMIFS('Expenditure Breakdown'!$G$6:$G$201, 'Expenditure Breakdown'!$H$6:$H$201, "&gt;="&amp;BR1,'Expenditure Breakdown'!$H$6:$H$201, "&lt;"&amp;BS1)</f>
        <v>0</v>
      </c>
      <c r="BS5" s="202">
        <f>SUMIFS('Expenditure Breakdown'!$G$6:$G$201, 'Expenditure Breakdown'!$H$6:$H$201, "&gt;="&amp;BS1,'Expenditure Breakdown'!$H$6:$H$201, "&lt;"&amp;BT1)</f>
        <v>0</v>
      </c>
      <c r="BT5" s="202">
        <f>SUMIFS('Expenditure Breakdown'!$G$6:$G$201, 'Expenditure Breakdown'!$H$6:$H$201, "&gt;="&amp;BT1,'Expenditure Breakdown'!$H$6:$H$201, "&lt;"&amp;BU1)</f>
        <v>0</v>
      </c>
      <c r="BU5" s="202">
        <f>SUMIFS('Expenditure Breakdown'!$G$6:$G$201, 'Expenditure Breakdown'!$H$6:$H$201, "&gt;="&amp;BU1,'Expenditure Breakdown'!$H$6:$H$201, "&lt;"&amp;BV1)</f>
        <v>0</v>
      </c>
      <c r="BV5" s="202">
        <f>SUMIFS('Expenditure Breakdown'!$G$6:$G$201, 'Expenditure Breakdown'!$H$6:$H$201, "&gt;="&amp;BV1,'Expenditure Breakdown'!$H$6:$H$201, "&lt;"&amp;BW1)</f>
        <v>0</v>
      </c>
      <c r="BW5" s="202">
        <f>SUMIFS('Expenditure Breakdown'!$G$6:$G$201, 'Expenditure Breakdown'!$H$6:$H$201, "&gt;="&amp;BW1,'Expenditure Breakdown'!$H$6:$H$201, "&lt;"&amp;BX1)</f>
        <v>0</v>
      </c>
      <c r="BX5" s="202">
        <f>SUMIFS('Expenditure Breakdown'!$G$6:$G$201, 'Expenditure Breakdown'!$H$6:$H$201, "&gt;="&amp;BX1,'Expenditure Breakdown'!$H$6:$H$201, "&lt;"&amp;BY1)</f>
        <v>0</v>
      </c>
      <c r="BY5" s="202">
        <f>SUMIFS('Expenditure Breakdown'!$G$6:$G$201, 'Expenditure Breakdown'!$H$6:$H$201, "&gt;="&amp;BY1,'Expenditure Breakdown'!$H$6:$H$201, "&lt;"&amp;BZ1)</f>
        <v>0</v>
      </c>
      <c r="BZ5" s="202">
        <f>SUMIFS('Expenditure Breakdown'!$G$6:$G$201, 'Expenditure Breakdown'!$H$6:$H$201, "&gt;="&amp;BZ1,'Expenditure Breakdown'!$H$6:$H$201, "&lt;"&amp;CA1)</f>
        <v>0</v>
      </c>
      <c r="CA5" s="202">
        <f>SUMIFS('Expenditure Breakdown'!$G$6:$G$201, 'Expenditure Breakdown'!$H$6:$H$201, "&gt;="&amp;CA1,'Expenditure Breakdown'!$H$6:$H$201, "&lt;"&amp;CB1)</f>
        <v>0</v>
      </c>
      <c r="CB5" s="202">
        <f>SUMIFS('Expenditure Breakdown'!$G$6:$G$201, 'Expenditure Breakdown'!$H$6:$H$201, "&gt;="&amp;CB1,'Expenditure Breakdown'!$H$6:$H$201, "&lt;"&amp;CC1)</f>
        <v>0</v>
      </c>
      <c r="CC5" s="202">
        <f>SUMIFS('Expenditure Breakdown'!$G$6:$G$201, 'Expenditure Breakdown'!$H$6:$H$201, "&gt;="&amp;CC1,'Expenditure Breakdown'!$H$6:$H$201, "&lt;"&amp;CD1)</f>
        <v>0</v>
      </c>
      <c r="CD5" s="202">
        <f>SUMIFS('Expenditure Breakdown'!$G$6:$G$201, 'Expenditure Breakdown'!$H$6:$H$201, "&gt;="&amp;CD1,'Expenditure Breakdown'!$H$6:$H$201, "&lt;"&amp;CE1)</f>
        <v>0</v>
      </c>
      <c r="CE5" s="202">
        <f>SUMIFS('Expenditure Breakdown'!$G$6:$G$201, 'Expenditure Breakdown'!$H$6:$H$201, "&gt;="&amp;CE1,'Expenditure Breakdown'!$H$6:$H$201, "&lt;"&amp;CF1)</f>
        <v>0</v>
      </c>
      <c r="CF5" s="202">
        <f>SUMIFS('Expenditure Breakdown'!$G$6:$G$201, 'Expenditure Breakdown'!$H$6:$H$201, "&gt;="&amp;CF1,'Expenditure Breakdown'!$H$6:$H$201, "&lt;"&amp;CG1)</f>
        <v>0</v>
      </c>
      <c r="CG5" s="202">
        <f>SUMIFS('Expenditure Breakdown'!$G$6:$G$201, 'Expenditure Breakdown'!$H$6:$H$201, "&gt;="&amp;CG1,'Expenditure Breakdown'!$H$6:$H$201, "&lt;"&amp;CH1)</f>
        <v>0</v>
      </c>
      <c r="CH5" s="202">
        <f>SUMIFS('Expenditure Breakdown'!$G$6:$G$201, 'Expenditure Breakdown'!$H$6:$H$201, "&gt;="&amp;CH1,'Expenditure Breakdown'!$H$6:$H$201, "&lt;"&amp;CI1)</f>
        <v>0</v>
      </c>
      <c r="CI5" s="202">
        <f>SUMIFS('Expenditure Breakdown'!$G$6:$G$201, 'Expenditure Breakdown'!$H$6:$H$201, "&gt;="&amp;CI1,'Expenditure Breakdown'!$H$6:$H$201, "&lt;"&amp;CJ1)</f>
        <v>0</v>
      </c>
      <c r="CJ5" s="202">
        <f>SUMIFS('Expenditure Breakdown'!$G$6:$G$201, 'Expenditure Breakdown'!$H$6:$H$201, "&gt;="&amp;CJ1,'Expenditure Breakdown'!$H$6:$H$201, "&lt;"&amp;CK1)</f>
        <v>0</v>
      </c>
      <c r="CK5" s="202">
        <f>SUMIFS('Expenditure Breakdown'!$G$6:$G$201, 'Expenditure Breakdown'!$H$6:$H$201, "&gt;="&amp;CK1,'Expenditure Breakdown'!$H$6:$H$201, "&lt;"&amp;CL1)</f>
        <v>0</v>
      </c>
      <c r="CL5" s="202">
        <f>SUMIFS('Expenditure Breakdown'!$G$6:$G$201, 'Expenditure Breakdown'!$H$6:$H$201, "&gt;="&amp;CL1,'Expenditure Breakdown'!$H$6:$H$201, "&lt;"&amp;CM1)</f>
        <v>0</v>
      </c>
      <c r="CM5" s="202">
        <f>SUMIFS('Expenditure Breakdown'!$G$6:$G$201, 'Expenditure Breakdown'!$H$6:$H$201, "&gt;="&amp;CM1,'Expenditure Breakdown'!$H$6:$H$201, "&lt;"&amp;CN1)</f>
        <v>0</v>
      </c>
      <c r="CN5" s="202">
        <f>SUMIFS('Expenditure Breakdown'!$G$6:$G$201, 'Expenditure Breakdown'!$H$6:$H$201, "&gt;="&amp;CN1,'Expenditure Breakdown'!$H$6:$H$201, "&lt;"&amp;CO1)</f>
        <v>0</v>
      </c>
      <c r="CO5" s="202">
        <f>SUMIFS('Expenditure Breakdown'!$G$6:$G$201, 'Expenditure Breakdown'!$H$6:$H$201, "&gt;="&amp;CO1,'Expenditure Breakdown'!$H$6:$H$201, "&lt;"&amp;CP1)</f>
        <v>0</v>
      </c>
      <c r="CP5" s="202">
        <f>SUMIFS('Expenditure Breakdown'!$G$6:$G$201, 'Expenditure Breakdown'!$H$6:$H$201, "&gt;="&amp;CP1,'Expenditure Breakdown'!$H$6:$H$201, "&lt;"&amp;CQ1)</f>
        <v>0</v>
      </c>
      <c r="CQ5" s="202">
        <f>SUMIFS('Expenditure Breakdown'!$G$6:$G$201, 'Expenditure Breakdown'!$H$6:$H$201, "&gt;="&amp;CQ1,'Expenditure Breakdown'!$H$6:$H$201, "&lt;"&amp;CR1)</f>
        <v>0</v>
      </c>
      <c r="CR5" s="202">
        <f>SUMIFS('Expenditure Breakdown'!$G$6:$G$201, 'Expenditure Breakdown'!$H$6:$H$201, "&gt;="&amp;CR1,'Expenditure Breakdown'!$H$6:$H$201, "&lt;"&amp;CS1)</f>
        <v>0</v>
      </c>
      <c r="CS5" s="202">
        <f>SUMIFS('Expenditure Breakdown'!$G$6:$G$201, 'Expenditure Breakdown'!$H$6:$H$201, "&gt;="&amp;CS1,'Expenditure Breakdown'!$H$6:$H$201, "&lt;"&amp;CT1)</f>
        <v>0</v>
      </c>
      <c r="CT5" s="202">
        <f>SUMIFS('Expenditure Breakdown'!$G$6:$G$201, 'Expenditure Breakdown'!$H$6:$H$201, "&gt;="&amp;CT1,'Expenditure Breakdown'!$H$6:$H$201, "&lt;"&amp;CU1)</f>
        <v>0</v>
      </c>
      <c r="CU5" s="202">
        <f>SUMIFS('Expenditure Breakdown'!$G$6:$G$201, 'Expenditure Breakdown'!$H$6:$H$201, "&gt;="&amp;CU1,'Expenditure Breakdown'!$H$6:$H$201, "&lt;"&amp;CV1)</f>
        <v>0</v>
      </c>
      <c r="CV5" s="202">
        <f>SUMIFS('Expenditure Breakdown'!$G$6:$G$201, 'Expenditure Breakdown'!$H$6:$H$201, "&gt;="&amp;CV1,'Expenditure Breakdown'!$H$6:$H$201, "&lt;"&amp;CW1)</f>
        <v>0</v>
      </c>
      <c r="CW5" s="202">
        <f>SUMIFS('Expenditure Breakdown'!$G$6:$G$201, 'Expenditure Breakdown'!$H$6:$H$201, "&gt;="&amp;CW1,'Expenditure Breakdown'!$H$6:$H$201, "&lt;"&amp;CX1)</f>
        <v>0</v>
      </c>
      <c r="CX5" s="202">
        <f>SUMIFS('Expenditure Breakdown'!$G$6:$G$201, 'Expenditure Breakdown'!$H$6:$H$201, "&gt;="&amp;CX1,'Expenditure Breakdown'!$H$6:$H$201, "&lt;"&amp;CY1)</f>
        <v>0</v>
      </c>
      <c r="CY5" s="202">
        <f>SUMIFS('Expenditure Breakdown'!$G$6:$G$201, 'Expenditure Breakdown'!$H$6:$H$201, "&gt;="&amp;CY1,'Expenditure Breakdown'!$H$6:$H$201, "&lt;"&amp;CZ1)</f>
        <v>0</v>
      </c>
      <c r="CZ5" s="202">
        <f>SUMIFS('Expenditure Breakdown'!$G$6:$G$201, 'Expenditure Breakdown'!$H$6:$H$201, "&gt;="&amp;CZ1,'Expenditure Breakdown'!$H$6:$H$201, "&lt;"&amp;DA1)</f>
        <v>0</v>
      </c>
      <c r="DA5" s="202">
        <f>SUMIFS('Expenditure Breakdown'!$G$6:$G$201, 'Expenditure Breakdown'!$H$6:$H$201, "&gt;="&amp;DA1,'Expenditure Breakdown'!$H$6:$H$201, "&lt;"&amp;DB1)</f>
        <v>0</v>
      </c>
      <c r="DB5" s="202">
        <f>SUMIFS('Expenditure Breakdown'!$G$6:$G$201, 'Expenditure Breakdown'!$H$6:$H$201, "&gt;="&amp;DB1,'Expenditure Breakdown'!$H$6:$H$201, "&lt;"&amp;DC1)</f>
        <v>0</v>
      </c>
      <c r="DC5" s="202">
        <f>SUMIFS('Expenditure Breakdown'!$G$6:$G$201, 'Expenditure Breakdown'!$H$6:$H$201, "&gt;="&amp;DC1,'Expenditure Breakdown'!$H$6:$H$201, "&lt;"&amp;DD1)</f>
        <v>0</v>
      </c>
      <c r="DD5" s="202">
        <f>SUMIFS('Expenditure Breakdown'!$G$6:$G$201, 'Expenditure Breakdown'!$H$6:$H$201, "&gt;="&amp;DD1,'Expenditure Breakdown'!$H$6:$H$201, "&lt;"&amp;DE1)</f>
        <v>0</v>
      </c>
      <c r="DE5" s="202">
        <f>SUMIFS('Expenditure Breakdown'!$G$6:$G$201, 'Expenditure Breakdown'!$H$6:$H$201, "&gt;="&amp;DE1,'Expenditure Breakdown'!$H$6:$H$201, "&lt;"&amp;DF1)</f>
        <v>0</v>
      </c>
      <c r="DF5" s="202">
        <f>SUMIFS('Expenditure Breakdown'!$G$6:$G$201, 'Expenditure Breakdown'!$H$6:$H$201, "&gt;="&amp;DF1,'Expenditure Breakdown'!$H$6:$H$201, "&lt;"&amp;DG1)</f>
        <v>0</v>
      </c>
      <c r="DG5" s="202">
        <f>SUMIFS('Expenditure Breakdown'!$G$6:$G$201, 'Expenditure Breakdown'!$H$6:$H$201, "&gt;="&amp;DG1,'Expenditure Breakdown'!$H$6:$H$201, "&lt;"&amp;DH1)</f>
        <v>0</v>
      </c>
      <c r="DH5" s="202">
        <f>SUMIFS('Expenditure Breakdown'!$G$6:$G$201, 'Expenditure Breakdown'!$H$6:$H$201, "&gt;="&amp;DH1,'Expenditure Breakdown'!$H$6:$H$201, "&lt;"&amp;DI1)</f>
        <v>0</v>
      </c>
      <c r="DI5" s="202">
        <f>SUMIFS('Expenditure Breakdown'!$G$6:$G$201, 'Expenditure Breakdown'!$H$6:$H$201, "&gt;="&amp;DI1,'Expenditure Breakdown'!$H$6:$H$201, "&lt;"&amp;DJ1)</f>
        <v>0</v>
      </c>
      <c r="DJ5" s="202">
        <f>SUMIFS('Expenditure Breakdown'!$G$6:$G$201, 'Expenditure Breakdown'!$H$6:$H$201, "&gt;="&amp;DJ1,'Expenditure Breakdown'!$H$6:$H$201, "&lt;"&amp;DK1)</f>
        <v>0</v>
      </c>
      <c r="DK5" s="202">
        <f>SUMIFS('Expenditure Breakdown'!$G$6:$G$201, 'Expenditure Breakdown'!$H$6:$H$201, "&gt;="&amp;DK1,'Expenditure Breakdown'!$H$6:$H$201, "&lt;"&amp;DL1)</f>
        <v>0</v>
      </c>
      <c r="DL5" s="202">
        <f>SUMIFS('Expenditure Breakdown'!$G$6:$G$201, 'Expenditure Breakdown'!$H$6:$H$201, "&gt;="&amp;DL1,'Expenditure Breakdown'!$H$6:$H$201, "&lt;"&amp;DM1)</f>
        <v>0</v>
      </c>
      <c r="DM5" s="202">
        <f>SUMIFS('Expenditure Breakdown'!$G$6:$G$201, 'Expenditure Breakdown'!$H$6:$H$201, "&gt;="&amp;DM1,'Expenditure Breakdown'!$H$6:$H$201, "&lt;"&amp;DN1)</f>
        <v>0</v>
      </c>
      <c r="DN5" s="202">
        <f>SUMIFS('Expenditure Breakdown'!$G$6:$G$201, 'Expenditure Breakdown'!$H$6:$H$201, "&gt;="&amp;DN1,'Expenditure Breakdown'!$H$6:$H$201, "&lt;"&amp;DO1)</f>
        <v>0</v>
      </c>
      <c r="DO5" s="202">
        <f>SUMIFS('Expenditure Breakdown'!$G$6:$G$201, 'Expenditure Breakdown'!$H$6:$H$201, "&gt;="&amp;DO1,'Expenditure Breakdown'!$H$6:$H$201, "&lt;"&amp;DP1)</f>
        <v>0</v>
      </c>
      <c r="DP5" s="202">
        <f>SUMIFS('Expenditure Breakdown'!$G$6:$G$201, 'Expenditure Breakdown'!$H$6:$H$201, "&gt;="&amp;DP1,'Expenditure Breakdown'!$H$6:$H$201, "&lt;"&amp;DQ1)</f>
        <v>0</v>
      </c>
      <c r="DQ5" s="202">
        <f>SUMIFS('Expenditure Breakdown'!$G$6:$G$201, 'Expenditure Breakdown'!$H$6:$H$201, "&gt;="&amp;DQ1,'Expenditure Breakdown'!$H$6:$H$201, "&lt;"&amp;DR1)</f>
        <v>0</v>
      </c>
      <c r="DR5" s="202">
        <f>SUMIFS('Expenditure Breakdown'!$G$6:$G$201, 'Expenditure Breakdown'!$H$6:$H$201, "&gt;="&amp;DR1,'Expenditure Breakdown'!$H$6:$H$201, "&lt;"&amp;DS1)</f>
        <v>0</v>
      </c>
      <c r="DS5" s="202">
        <f>SUMIFS('Expenditure Breakdown'!$G$6:$G$201, 'Expenditure Breakdown'!$H$6:$H$201, "&gt;="&amp;DS1,'Expenditure Breakdown'!$H$6:$H$201, "&lt;"&amp;DT1)</f>
        <v>0</v>
      </c>
      <c r="DT5" s="202">
        <f>SUMIFS('Expenditure Breakdown'!$G$6:$G$201, 'Expenditure Breakdown'!$H$6:$H$201, "&gt;="&amp;DT1,'Expenditure Breakdown'!$H$6:$H$201, "&lt;"&amp;DU1)</f>
        <v>0</v>
      </c>
      <c r="DU5" s="202">
        <f>SUMIFS('Expenditure Breakdown'!$G$6:$G$201, 'Expenditure Breakdown'!$H$6:$H$201, "&gt;="&amp;DU1,'Expenditure Breakdown'!$H$6:$H$201, "&lt;"&amp;DV1)</f>
        <v>0</v>
      </c>
      <c r="DV5" s="202">
        <f>SUMIFS('Expenditure Breakdown'!$G$6:$G$201, 'Expenditure Breakdown'!$H$6:$H$201, "&gt;="&amp;DV1,'Expenditure Breakdown'!$H$6:$H$201, "&lt;"&amp;DW1)</f>
        <v>0</v>
      </c>
      <c r="DW5" s="202">
        <f>SUMIFS('Expenditure Breakdown'!$G$6:$G$201, 'Expenditure Breakdown'!$H$6:$H$201, "&gt;="&amp;DW1,'Expenditure Breakdown'!$H$6:$H$201, "&lt;"&amp;DX1)</f>
        <v>0</v>
      </c>
      <c r="DX5" s="202">
        <f>SUMIFS('Expenditure Breakdown'!$G$6:$G$201, 'Expenditure Breakdown'!$H$6:$H$201, "&gt;="&amp;DX1,'Expenditure Breakdown'!$H$6:$H$201, "&lt;"&amp;DY1)</f>
        <v>0</v>
      </c>
      <c r="DY5" s="202">
        <f>SUMIFS('Expenditure Breakdown'!$G$6:$G$201, 'Expenditure Breakdown'!$H$6:$H$201, "&gt;="&amp;DY1,'Expenditure Breakdown'!$H$6:$H$201, "&lt;"&amp;DZ1)</f>
        <v>0</v>
      </c>
      <c r="DZ5" s="202">
        <f>SUMIFS('Expenditure Breakdown'!$G$6:$G$201, 'Expenditure Breakdown'!$H$6:$H$201, "&gt;="&amp;DZ1,'Expenditure Breakdown'!$H$6:$H$201, "&lt;"&amp;EA1)</f>
        <v>0</v>
      </c>
      <c r="EA5" s="202">
        <f>SUMIFS('Expenditure Breakdown'!$G$6:$G$201, 'Expenditure Breakdown'!$H$6:$H$201, "&gt;="&amp;EA1,'Expenditure Breakdown'!$H$6:$H$201, "&lt;"&amp;EB1)</f>
        <v>0</v>
      </c>
      <c r="EB5" s="202">
        <f>SUMIFS('Expenditure Breakdown'!$G$6:$G$201, 'Expenditure Breakdown'!$H$6:$H$201, "&gt;="&amp;EB1,'Expenditure Breakdown'!$H$6:$H$201, "&lt;"&amp;EC1)</f>
        <v>0</v>
      </c>
      <c r="EC5" s="202">
        <f>SUMIFS('Expenditure Breakdown'!$G$6:$G$201, 'Expenditure Breakdown'!$H$6:$H$201, "&gt;="&amp;EC1,'Expenditure Breakdown'!$H$6:$H$201, "&lt;"&amp;ED1)</f>
        <v>0</v>
      </c>
      <c r="ED5" s="202">
        <f>SUMIFS('Expenditure Breakdown'!$G$6:$G$201, 'Expenditure Breakdown'!$H$6:$H$201, "&gt;="&amp;ED1,'Expenditure Breakdown'!$H$6:$H$201, "&lt;"&amp;EE1)</f>
        <v>0</v>
      </c>
      <c r="EE5" s="202">
        <f>SUMIFS('Expenditure Breakdown'!$G$6:$G$201, 'Expenditure Breakdown'!$H$6:$H$201, "&gt;="&amp;EE1,'Expenditure Breakdown'!$H$6:$H$201, "&lt;"&amp;EF1)</f>
        <v>0</v>
      </c>
      <c r="EF5" s="202">
        <f>SUMIFS('Expenditure Breakdown'!$G$6:$G$201, 'Expenditure Breakdown'!$H$6:$H$201, "&gt;="&amp;EF1,'Expenditure Breakdown'!$H$6:$H$201, "&lt;"&amp;EG1)</f>
        <v>0</v>
      </c>
      <c r="EG5" s="202">
        <f>SUMIFS('Expenditure Breakdown'!$G$6:$G$201, 'Expenditure Breakdown'!$H$6:$H$201, "&gt;="&amp;EG1,'Expenditure Breakdown'!$H$6:$H$201, "&lt;"&amp;EH1)</f>
        <v>0</v>
      </c>
      <c r="EH5" s="202">
        <f>SUMIFS('Expenditure Breakdown'!$G$6:$G$201, 'Expenditure Breakdown'!$H$6:$H$201, "&gt;="&amp;EH1,'Expenditure Breakdown'!$H$6:$H$201, "&lt;"&amp;EI1)</f>
        <v>0</v>
      </c>
      <c r="EI5" s="202">
        <f>SUMIFS('Expenditure Breakdown'!$G$6:$G$201, 'Expenditure Breakdown'!$H$6:$H$201, "&gt;="&amp;EI1,'Expenditure Breakdown'!$H$6:$H$201, "&lt;"&amp;EJ1)</f>
        <v>0</v>
      </c>
      <c r="EJ5" s="202">
        <f>SUMIFS('Expenditure Breakdown'!$G$6:$G$201, 'Expenditure Breakdown'!$H$6:$H$201, "&gt;="&amp;EJ1,'Expenditure Breakdown'!$H$6:$H$201, "&lt;"&amp;EK1)</f>
        <v>0</v>
      </c>
      <c r="EK5" s="202">
        <f>SUMIFS('Expenditure Breakdown'!$G$6:$G$201, 'Expenditure Breakdown'!$H$6:$H$201, "&gt;="&amp;EK1,'Expenditure Breakdown'!$H$6:$H$201, "&lt;"&amp;EL1)</f>
        <v>0</v>
      </c>
      <c r="EL5" s="202">
        <f>SUMIFS('Expenditure Breakdown'!$G$6:$G$201, 'Expenditure Breakdown'!$H$6:$H$201, "&gt;="&amp;EL1,'Expenditure Breakdown'!$H$6:$H$201, "&lt;"&amp;EM1)</f>
        <v>0</v>
      </c>
      <c r="EM5" s="202">
        <f>SUMIFS('Expenditure Breakdown'!$G$6:$G$201, 'Expenditure Breakdown'!$H$6:$H$201, "&gt;="&amp;EM1,'Expenditure Breakdown'!$H$6:$H$201, "&lt;"&amp;EN1)</f>
        <v>0</v>
      </c>
      <c r="EN5" s="202">
        <f>SUMIFS('Expenditure Breakdown'!$G$6:$G$201, 'Expenditure Breakdown'!$H$6:$H$201, "&gt;="&amp;EN1,'Expenditure Breakdown'!$H$6:$H$201, "&lt;"&amp;EO1)</f>
        <v>0</v>
      </c>
      <c r="EO5" s="202">
        <f>SUMIFS('Expenditure Breakdown'!$G$6:$G$201, 'Expenditure Breakdown'!$H$6:$H$201, "&gt;="&amp;EO1,'Expenditure Breakdown'!$H$6:$H$201, "&lt;"&amp;EP1)</f>
        <v>0</v>
      </c>
      <c r="EP5" s="202">
        <f>SUMIFS('Expenditure Breakdown'!$G$6:$G$201, 'Expenditure Breakdown'!$H$6:$H$201, "&gt;="&amp;EP1,'Expenditure Breakdown'!$H$6:$H$201, "&lt;"&amp;EQ1)</f>
        <v>0</v>
      </c>
      <c r="EQ5" s="202">
        <f>SUMIFS('Expenditure Breakdown'!$G$6:$G$201, 'Expenditure Breakdown'!$H$6:$H$201, "&gt;="&amp;EQ1,'Expenditure Breakdown'!$H$6:$H$201, "&lt;"&amp;ER1)</f>
        <v>0</v>
      </c>
      <c r="ER5" s="202">
        <f>SUMIFS('Expenditure Breakdown'!$G$6:$G$201, 'Expenditure Breakdown'!$H$6:$H$201, "&gt;="&amp;ER1,'Expenditure Breakdown'!$H$6:$H$201, "&lt;"&amp;ES1)</f>
        <v>0</v>
      </c>
      <c r="ES5" s="202">
        <f>SUMIFS('Expenditure Breakdown'!$G$6:$G$201, 'Expenditure Breakdown'!$H$6:$H$201, "&gt;="&amp;ES1,'Expenditure Breakdown'!$H$6:$H$201, "&lt;"&amp;ET1)</f>
        <v>0</v>
      </c>
      <c r="ET5" s="202">
        <f>SUMIFS('Expenditure Breakdown'!$G$6:$G$201, 'Expenditure Breakdown'!$H$6:$H$201, "&gt;="&amp;ET1,'Expenditure Breakdown'!$H$6:$H$201, "&lt;"&amp;EU1)</f>
        <v>0</v>
      </c>
      <c r="EU5" s="202">
        <f>SUMIFS('Expenditure Breakdown'!$G$6:$G$201, 'Expenditure Breakdown'!$H$6:$H$201, "&gt;="&amp;EU1,'Expenditure Breakdown'!$H$6:$H$201, "&lt;"&amp;EV1)</f>
        <v>0</v>
      </c>
      <c r="EV5" s="202">
        <f>SUMIFS('Expenditure Breakdown'!$G$6:$G$201, 'Expenditure Breakdown'!$H$6:$H$201, "&gt;="&amp;EV1,'Expenditure Breakdown'!$H$6:$H$201, "&lt;"&amp;EW1)</f>
        <v>0</v>
      </c>
      <c r="EW5" s="202">
        <f>SUMIFS('Expenditure Breakdown'!$G$6:$G$201, 'Expenditure Breakdown'!$H$6:$H$201, "&gt;="&amp;EW1,'Expenditure Breakdown'!$H$6:$H$201, "&lt;"&amp;EX1)</f>
        <v>0</v>
      </c>
      <c r="EX5" s="202">
        <f>SUMIFS('Expenditure Breakdown'!$G$6:$G$201, 'Expenditure Breakdown'!$H$6:$H$201, "&gt;="&amp;EX1,'Expenditure Breakdown'!$H$6:$H$201, "&lt;"&amp;EY1)</f>
        <v>0</v>
      </c>
      <c r="EY5" s="202">
        <f>SUMIFS('Expenditure Breakdown'!$G$6:$G$201, 'Expenditure Breakdown'!$H$6:$H$201, "&gt;="&amp;EY1,'Expenditure Breakdown'!$H$6:$H$201, "&lt;"&amp;EZ1)</f>
        <v>0</v>
      </c>
      <c r="EZ5" s="202">
        <f>SUMIFS('Expenditure Breakdown'!$G$6:$G$201, 'Expenditure Breakdown'!$H$6:$H$201, "&gt;="&amp;EZ1,'Expenditure Breakdown'!$H$6:$H$201, "&lt;"&amp;FA1)</f>
        <v>0</v>
      </c>
      <c r="FA5" s="202">
        <f>SUMIFS('Expenditure Breakdown'!$G$6:$G$201, 'Expenditure Breakdown'!$H$6:$H$201, "&gt;="&amp;FA1,'Expenditure Breakdown'!$H$6:$H$201, "&lt;"&amp;FB1)</f>
        <v>0</v>
      </c>
      <c r="FB5" s="202">
        <f>SUMIFS('Expenditure Breakdown'!$G$6:$G$201, 'Expenditure Breakdown'!$H$6:$H$201, "&gt;="&amp;FB1,'Expenditure Breakdown'!$H$6:$H$201, "&lt;"&amp;FC1)</f>
        <v>0</v>
      </c>
      <c r="FC5" s="202">
        <f>SUMIFS('Expenditure Breakdown'!$G$6:$G$201, 'Expenditure Breakdown'!$H$6:$H$201, "&gt;="&amp;FC1,'Expenditure Breakdown'!$H$6:$H$201, "&lt;"&amp;FD1)</f>
        <v>0</v>
      </c>
      <c r="FD5" s="202">
        <f>SUMIFS('Expenditure Breakdown'!$G$6:$G$201, 'Expenditure Breakdown'!$H$6:$H$201, "&gt;="&amp;FD1,'Expenditure Breakdown'!$H$6:$H$201, "&lt;"&amp;FE1)</f>
        <v>0</v>
      </c>
      <c r="FE5" s="202">
        <f>SUMIFS('Expenditure Breakdown'!$G$6:$G$201, 'Expenditure Breakdown'!$H$6:$H$201, "&gt;="&amp;FE1,'Expenditure Breakdown'!$H$6:$H$201, "&lt;"&amp;FF1)</f>
        <v>0</v>
      </c>
      <c r="FF5" s="202">
        <f>SUMIFS('Expenditure Breakdown'!$G$6:$G$201, 'Expenditure Breakdown'!$H$6:$H$201, "&gt;="&amp;FF1,'Expenditure Breakdown'!$H$6:$H$201, "&lt;"&amp;FG1)</f>
        <v>0</v>
      </c>
      <c r="FG5" s="202">
        <f>SUMIFS('Expenditure Breakdown'!$G$6:$G$201, 'Expenditure Breakdown'!$H$6:$H$201, "&gt;="&amp;FG1,'Expenditure Breakdown'!$H$6:$H$201, "&lt;"&amp;FH1)</f>
        <v>0</v>
      </c>
      <c r="FH5" s="202">
        <f>SUMIFS('Expenditure Breakdown'!$G$6:$G$201, 'Expenditure Breakdown'!$H$6:$H$201, "&gt;="&amp;FH1,'Expenditure Breakdown'!$H$6:$H$201, "&lt;"&amp;FI1)</f>
        <v>0</v>
      </c>
      <c r="FI5" s="202">
        <f>SUMIFS('Expenditure Breakdown'!$G$6:$G$201, 'Expenditure Breakdown'!$H$6:$H$201, "&gt;="&amp;FI1,'Expenditure Breakdown'!$H$6:$H$201, "&lt;"&amp;FJ1)</f>
        <v>0</v>
      </c>
      <c r="FJ5" s="202">
        <f>SUMIFS('Expenditure Breakdown'!$G$6:$G$201, 'Expenditure Breakdown'!$H$6:$H$201, "&gt;="&amp;FJ1,'Expenditure Breakdown'!$H$6:$H$201, "&lt;"&amp;FK1)</f>
        <v>0</v>
      </c>
      <c r="FK5" s="202">
        <f>SUMIFS('Expenditure Breakdown'!$G$6:$G$201, 'Expenditure Breakdown'!$H$6:$H$201, "&gt;="&amp;FK1,'Expenditure Breakdown'!$H$6:$H$201, "&lt;"&amp;FL1)</f>
        <v>0</v>
      </c>
      <c r="FL5" s="202">
        <f>SUMIFS('Expenditure Breakdown'!$G$6:$G$201, 'Expenditure Breakdown'!$H$6:$H$201, "&gt;="&amp;FL1,'Expenditure Breakdown'!$H$6:$H$201, "&lt;"&amp;FM1)</f>
        <v>0</v>
      </c>
      <c r="FM5" s="202">
        <f>SUMIFS('Expenditure Breakdown'!$G$6:$G$201, 'Expenditure Breakdown'!$H$6:$H$201, "&gt;="&amp;FM1,'Expenditure Breakdown'!$H$6:$H$201, "&lt;"&amp;FN1)</f>
        <v>0</v>
      </c>
      <c r="FN5" s="202">
        <f>SUMIFS('Expenditure Breakdown'!$G$6:$G$201, 'Expenditure Breakdown'!$H$6:$H$201, "&gt;="&amp;FN1,'Expenditure Breakdown'!$H$6:$H$201, "&lt;"&amp;FO1)</f>
        <v>0</v>
      </c>
      <c r="FO5" s="202">
        <f>SUMIFS('Expenditure Breakdown'!$G$6:$G$201, 'Expenditure Breakdown'!$H$6:$H$201, "&gt;="&amp;FO1,'Expenditure Breakdown'!$H$6:$H$201, "&lt;"&amp;FP1)</f>
        <v>0</v>
      </c>
      <c r="FP5" s="202">
        <f>SUMIFS('Expenditure Breakdown'!$G$6:$G$201, 'Expenditure Breakdown'!$H$6:$H$201, "&gt;="&amp;FP1,'Expenditure Breakdown'!$H$6:$H$201, "&lt;"&amp;FQ1)</f>
        <v>0</v>
      </c>
      <c r="FQ5" s="202">
        <f>SUMIFS('Expenditure Breakdown'!$G$6:$G$201, 'Expenditure Breakdown'!$H$6:$H$201, "&gt;="&amp;FQ1,'Expenditure Breakdown'!$H$6:$H$201, "&lt;"&amp;FR1)</f>
        <v>0</v>
      </c>
      <c r="FR5" s="202">
        <f>SUMIFS('Expenditure Breakdown'!$G$6:$G$201, 'Expenditure Breakdown'!$H$6:$H$201, "&gt;="&amp;FR1,'Expenditure Breakdown'!$H$6:$H$201, "&lt;"&amp;FS1)</f>
        <v>0</v>
      </c>
      <c r="FS5" s="202">
        <f>SUMIFS('Expenditure Breakdown'!$G$6:$G$201, 'Expenditure Breakdown'!$H$6:$H$201, "&gt;="&amp;FS1,'Expenditure Breakdown'!$H$6:$H$201, "&lt;"&amp;FT1)</f>
        <v>0</v>
      </c>
      <c r="FT5" s="202">
        <f>SUMIFS('Expenditure Breakdown'!$G$6:$G$201, 'Expenditure Breakdown'!$H$6:$H$201, "&gt;="&amp;FT1,'Expenditure Breakdown'!$H$6:$H$201, "&lt;"&amp;FU1)</f>
        <v>0</v>
      </c>
      <c r="FU5" s="202">
        <f>SUMIFS('Expenditure Breakdown'!$G$6:$G$201, 'Expenditure Breakdown'!$H$6:$H$201, "&gt;="&amp;FU1,'Expenditure Breakdown'!$H$6:$H$201, "&lt;"&amp;FV1)</f>
        <v>0</v>
      </c>
      <c r="FV5" s="202">
        <f>SUMIFS('Expenditure Breakdown'!$G$6:$G$201, 'Expenditure Breakdown'!$H$6:$H$201, "&gt;="&amp;FV1,'Expenditure Breakdown'!$H$6:$H$201, "&lt;"&amp;FW1)</f>
        <v>0</v>
      </c>
      <c r="FW5" s="202">
        <f>SUMIFS('Expenditure Breakdown'!$G$6:$G$201, 'Expenditure Breakdown'!$H$6:$H$201, "&gt;="&amp;FW1,'Expenditure Breakdown'!$H$6:$H$201, "&lt;"&amp;FX1)</f>
        <v>0</v>
      </c>
      <c r="FX5" s="202">
        <f>SUMIFS('Expenditure Breakdown'!$G$6:$G$201, 'Expenditure Breakdown'!$H$6:$H$201, "&gt;="&amp;FX1,'Expenditure Breakdown'!$H$6:$H$201, "&lt;"&amp;FY1)</f>
        <v>0</v>
      </c>
      <c r="FY5" s="202">
        <f>SUMIFS('Expenditure Breakdown'!$G$6:$G$201, 'Expenditure Breakdown'!$H$6:$H$201, "&gt;="&amp;FY1,'Expenditure Breakdown'!$H$6:$H$201, "&lt;"&amp;FZ1)</f>
        <v>0</v>
      </c>
      <c r="FZ5" s="202">
        <f>SUMIFS('Expenditure Breakdown'!$G$6:$G$201, 'Expenditure Breakdown'!$H$6:$H$201, "&gt;="&amp;FZ1,'Expenditure Breakdown'!$H$6:$H$201, "&lt;"&amp;GA1)</f>
        <v>0</v>
      </c>
      <c r="GA5" s="202">
        <f>SUMIFS('Expenditure Breakdown'!$G$6:$G$201, 'Expenditure Breakdown'!$H$6:$H$201, "&gt;="&amp;GA1,'Expenditure Breakdown'!$H$6:$H$201, "&lt;"&amp;GB1)</f>
        <v>0</v>
      </c>
      <c r="GB5" s="202">
        <f>SUMIFS('Expenditure Breakdown'!$G$6:$G$201, 'Expenditure Breakdown'!$H$6:$H$201, "&gt;="&amp;GB1,'Expenditure Breakdown'!$H$6:$H$201, "&lt;"&amp;GC1)</f>
        <v>0</v>
      </c>
      <c r="GC5" s="202">
        <f>SUMIFS('Expenditure Breakdown'!$G$6:$G$201, 'Expenditure Breakdown'!$H$6:$H$201, "&gt;="&amp;GC1,'Expenditure Breakdown'!$H$6:$H$201, "&lt;"&amp;GD1)</f>
        <v>0</v>
      </c>
      <c r="GD5" s="202">
        <f>SUMIFS('Expenditure Breakdown'!$G$6:$G$201, 'Expenditure Breakdown'!$H$6:$H$201, "&gt;="&amp;GD1,'Expenditure Breakdown'!$H$6:$H$201, "&lt;"&amp;GE1)</f>
        <v>0</v>
      </c>
      <c r="GE5" s="202">
        <f>SUMIFS('Expenditure Breakdown'!$G$6:$G$201, 'Expenditure Breakdown'!$H$6:$H$201, "&gt;="&amp;GE1,'Expenditure Breakdown'!$H$6:$H$201, "&lt;"&amp;GF1)</f>
        <v>0</v>
      </c>
      <c r="GF5" s="202">
        <f>SUMIFS('Expenditure Breakdown'!$G$6:$G$201, 'Expenditure Breakdown'!$H$6:$H$201, "&gt;="&amp;GF1,'Expenditure Breakdown'!$H$6:$H$201, "&lt;"&amp;GG1)</f>
        <v>0</v>
      </c>
      <c r="GG5" s="202">
        <f>SUMIFS('Expenditure Breakdown'!$G$6:$G$201, 'Expenditure Breakdown'!$H$6:$H$201, "&gt;="&amp;GG1,'Expenditure Breakdown'!$H$6:$H$201, "&lt;"&amp;GH1)</f>
        <v>0</v>
      </c>
      <c r="GH5" s="202">
        <f>SUMIFS('Expenditure Breakdown'!$G$6:$G$201, 'Expenditure Breakdown'!$H$6:$H$201, "&gt;="&amp;GH1,'Expenditure Breakdown'!$H$6:$H$201, "&lt;"&amp;GI1)</f>
        <v>0</v>
      </c>
      <c r="GI5" s="202">
        <f>SUMIFS('Expenditure Breakdown'!$G$6:$G$201, 'Expenditure Breakdown'!$H$6:$H$201, "&gt;="&amp;GI1,'Expenditure Breakdown'!$H$6:$H$201, "&lt;"&amp;GJ1)</f>
        <v>0</v>
      </c>
      <c r="GJ5" s="202">
        <f>SUMIFS('Expenditure Breakdown'!$G$6:$G$201, 'Expenditure Breakdown'!$H$6:$H$201, "&gt;="&amp;GJ1,'Expenditure Breakdown'!$H$6:$H$201, "&lt;"&amp;GK1)</f>
        <v>0</v>
      </c>
      <c r="GK5" s="202">
        <f>SUMIFS('Expenditure Breakdown'!$G$6:$G$201, 'Expenditure Breakdown'!$H$6:$H$201, "&gt;="&amp;GK1,'Expenditure Breakdown'!$H$6:$H$201, "&lt;"&amp;GL1)</f>
        <v>0</v>
      </c>
      <c r="GL5" s="202">
        <f>SUMIFS('Expenditure Breakdown'!$G$6:$G$201, 'Expenditure Breakdown'!$H$6:$H$201, "&gt;="&amp;GL1,'Expenditure Breakdown'!$H$6:$H$201, "&lt;"&amp;GM1)</f>
        <v>0</v>
      </c>
      <c r="GM5" s="202">
        <f>SUMIFS('Expenditure Breakdown'!$G$6:$G$201, 'Expenditure Breakdown'!$H$6:$H$201, "&gt;="&amp;GM1,'Expenditure Breakdown'!$H$6:$H$201, "&lt;"&amp;GN1)</f>
        <v>0</v>
      </c>
      <c r="GN5" s="202">
        <f>SUMIFS('Expenditure Breakdown'!$G$6:$G$201, 'Expenditure Breakdown'!$H$6:$H$201, "&gt;="&amp;GN1,'Expenditure Breakdown'!$H$6:$H$201, "&lt;"&amp;GO1)</f>
        <v>0</v>
      </c>
      <c r="GO5" s="202">
        <f>SUMIFS('Expenditure Breakdown'!$G$6:$G$201, 'Expenditure Breakdown'!$H$6:$H$201, "&gt;="&amp;GO1,'Expenditure Breakdown'!$H$6:$H$201, "&lt;"&amp;GP1)</f>
        <v>0</v>
      </c>
      <c r="GP5" s="202">
        <f>SUMIFS('Expenditure Breakdown'!$G$6:$G$201, 'Expenditure Breakdown'!$H$6:$H$201, "&gt;="&amp;GP1,'Expenditure Breakdown'!$H$6:$H$201, "&lt;"&amp;GQ1)</f>
        <v>0</v>
      </c>
      <c r="GQ5" s="202">
        <f>SUMIFS('Expenditure Breakdown'!$G$6:$G$201, 'Expenditure Breakdown'!$H$6:$H$201, "&gt;="&amp;GQ1,'Expenditure Breakdown'!$H$6:$H$201, "&lt;"&amp;GR1)</f>
        <v>0</v>
      </c>
      <c r="GR5" s="202">
        <f>SUMIFS('Expenditure Breakdown'!$G$6:$G$201, 'Expenditure Breakdown'!$H$6:$H$201, "&gt;="&amp;GR1,'Expenditure Breakdown'!$H$6:$H$201, "&lt;"&amp;GS1)</f>
        <v>0</v>
      </c>
      <c r="GS5" s="202">
        <f>SUMIFS('Expenditure Breakdown'!$G$6:$G$201, 'Expenditure Breakdown'!$H$6:$H$201, "&gt;="&amp;GS1,'Expenditure Breakdown'!$H$6:$H$201, "&lt;"&amp;GT1)</f>
        <v>0</v>
      </c>
      <c r="GT5" s="202">
        <f>SUMIFS('Expenditure Breakdown'!$G$6:$G$201, 'Expenditure Breakdown'!$H$6:$H$201, "&gt;="&amp;GT1,'Expenditure Breakdown'!$H$6:$H$201, "&lt;"&amp;GU1)</f>
        <v>0</v>
      </c>
      <c r="GU5" s="202">
        <f>SUMIFS('Expenditure Breakdown'!$G$6:$G$201, 'Expenditure Breakdown'!$H$6:$H$201, "&gt;="&amp;GU1,'Expenditure Breakdown'!$H$6:$H$201, "&lt;"&amp;GV1)</f>
        <v>0</v>
      </c>
      <c r="GV5" s="202">
        <f>SUMIFS('Expenditure Breakdown'!$G$6:$G$201, 'Expenditure Breakdown'!$H$6:$H$201, "&gt;="&amp;GV1,'Expenditure Breakdown'!$H$6:$H$201, "&lt;"&amp;GW1)</f>
        <v>0</v>
      </c>
      <c r="GW5" s="202">
        <f>SUMIFS('Expenditure Breakdown'!$G$6:$G$201, 'Expenditure Breakdown'!$H$6:$H$201, "&gt;="&amp;GW1,'Expenditure Breakdown'!$H$6:$H$201, "&lt;"&amp;GX1)</f>
        <v>0</v>
      </c>
      <c r="GX5" s="202">
        <f>SUMIFS('Expenditure Breakdown'!$G$6:$G$201, 'Expenditure Breakdown'!$H$6:$H$201, "&gt;="&amp;GX1,'Expenditure Breakdown'!$H$6:$H$201, "&lt;"&amp;GY1)</f>
        <v>0</v>
      </c>
      <c r="GY5" s="202">
        <f>SUMIFS('Expenditure Breakdown'!$G$6:$G$201, 'Expenditure Breakdown'!$H$6:$H$201, "&gt;="&amp;GY1,'Expenditure Breakdown'!$H$6:$H$201, "&lt;"&amp;GZ1)</f>
        <v>0</v>
      </c>
      <c r="GZ5" s="202">
        <f>SUMIFS('Expenditure Breakdown'!$G$6:$G$201, 'Expenditure Breakdown'!$H$6:$H$201, "&gt;="&amp;GZ1,'Expenditure Breakdown'!$H$6:$H$201, "&lt;"&amp;HA1)</f>
        <v>0</v>
      </c>
      <c r="HA5" s="202">
        <f>SUMIFS('Expenditure Breakdown'!$G$6:$G$201, 'Expenditure Breakdown'!$H$6:$H$201, "&gt;="&amp;HA1,'Expenditure Breakdown'!$H$6:$H$201, "&lt;"&amp;HB1)</f>
        <v>0</v>
      </c>
      <c r="HB5" s="202">
        <f>SUMIFS('Expenditure Breakdown'!$G$6:$G$201, 'Expenditure Breakdown'!$H$6:$H$201, "&gt;="&amp;HB1,'Expenditure Breakdown'!$H$6:$H$201, "&lt;"&amp;HC1)</f>
        <v>0</v>
      </c>
      <c r="HC5" s="202">
        <f>SUMIFS('Expenditure Breakdown'!$G$6:$G$201, 'Expenditure Breakdown'!$H$6:$H$201, "&gt;="&amp;HC1,'Expenditure Breakdown'!$H$6:$H$201, "&lt;"&amp;HD1)</f>
        <v>0</v>
      </c>
      <c r="HD5" s="202">
        <f>SUMIFS('Expenditure Breakdown'!$G$6:$G$201, 'Expenditure Breakdown'!$H$6:$H$201, "&gt;="&amp;HD1,'Expenditure Breakdown'!$H$6:$H$201, "&lt;"&amp;HE1)</f>
        <v>0</v>
      </c>
      <c r="HE5" s="202">
        <f>SUMIFS('Expenditure Breakdown'!$G$6:$G$201, 'Expenditure Breakdown'!$H$6:$H$201, "&gt;="&amp;HE1,'Expenditure Breakdown'!$H$6:$H$201, "&lt;"&amp;HF1)</f>
        <v>0</v>
      </c>
      <c r="HF5" s="202">
        <f>SUMIFS('Expenditure Breakdown'!$G$6:$G$201, 'Expenditure Breakdown'!$H$6:$H$201, "&gt;="&amp;HF1,'Expenditure Breakdown'!$H$6:$H$201, "&lt;"&amp;HG1)</f>
        <v>0</v>
      </c>
      <c r="HG5" s="202">
        <f>SUMIFS('Expenditure Breakdown'!$G$6:$G$201, 'Expenditure Breakdown'!$H$6:$H$201, "&gt;="&amp;HG1,'Expenditure Breakdown'!$H$6:$H$201, "&lt;"&amp;HH1)</f>
        <v>0</v>
      </c>
      <c r="HH5" s="202">
        <f>SUMIFS('Expenditure Breakdown'!$G$6:$G$201, 'Expenditure Breakdown'!$H$6:$H$201, "&gt;="&amp;HH1,'Expenditure Breakdown'!$H$6:$H$201, "&lt;"&amp;HI1)</f>
        <v>0</v>
      </c>
      <c r="HI5" s="202">
        <f>SUMIFS('Expenditure Breakdown'!$G$6:$G$201, 'Expenditure Breakdown'!$H$6:$H$201, "&gt;="&amp;HI1,'Expenditure Breakdown'!$H$6:$H$201, "&lt;"&amp;HJ1)</f>
        <v>0</v>
      </c>
      <c r="HJ5" s="202">
        <f>SUMIFS('Expenditure Breakdown'!$G$6:$G$201, 'Expenditure Breakdown'!$H$6:$H$201, "&gt;="&amp;HJ1,'Expenditure Breakdown'!$H$6:$H$201, "&lt;"&amp;HK1)</f>
        <v>0</v>
      </c>
      <c r="HK5" s="202">
        <f>SUMIFS('Expenditure Breakdown'!$G$6:$G$201, 'Expenditure Breakdown'!$H$6:$H$201, "&gt;="&amp;HK1,'Expenditure Breakdown'!$H$6:$H$201, "&lt;"&amp;HL1)</f>
        <v>0</v>
      </c>
      <c r="HL5" s="202">
        <f>SUMIFS('Expenditure Breakdown'!$G$6:$G$201, 'Expenditure Breakdown'!$H$6:$H$201, "&gt;="&amp;HL1,'Expenditure Breakdown'!$H$6:$H$201, "&lt;"&amp;HM1)</f>
        <v>0</v>
      </c>
      <c r="HM5" s="202">
        <f>SUMIFS('Expenditure Breakdown'!$G$6:$G$201, 'Expenditure Breakdown'!$H$6:$H$201, "&gt;="&amp;HM1,'Expenditure Breakdown'!$H$6:$H$201, "&lt;"&amp;HN1)</f>
        <v>0</v>
      </c>
      <c r="HN5" s="202">
        <f>SUMIFS('Expenditure Breakdown'!$G$6:$G$201, 'Expenditure Breakdown'!$H$6:$H$201, "&gt;="&amp;HN1,'Expenditure Breakdown'!$H$6:$H$201, "&lt;"&amp;HO1)</f>
        <v>0</v>
      </c>
      <c r="HO5" s="202">
        <f>SUMIFS('Expenditure Breakdown'!$G$6:$G$201, 'Expenditure Breakdown'!$H$6:$H$201, "&gt;="&amp;HO1,'Expenditure Breakdown'!$H$6:$H$201, "&lt;"&amp;HP1)</f>
        <v>0</v>
      </c>
      <c r="HP5" s="202">
        <f>SUMIFS('Expenditure Breakdown'!$G$6:$G$201, 'Expenditure Breakdown'!$H$6:$H$201, "&gt;="&amp;HP1,'Expenditure Breakdown'!$H$6:$H$201, "&lt;"&amp;HQ1)</f>
        <v>0</v>
      </c>
      <c r="HQ5" s="202">
        <f>SUMIFS('Expenditure Breakdown'!$G$6:$G$201, 'Expenditure Breakdown'!$H$6:$H$201, "&gt;="&amp;HQ1,'Expenditure Breakdown'!$H$6:$H$201, "&lt;"&amp;HR1)</f>
        <v>0</v>
      </c>
      <c r="HR5" s="202">
        <f>SUMIFS('Expenditure Breakdown'!$G$6:$G$201, 'Expenditure Breakdown'!$H$6:$H$201, "&gt;="&amp;HR1,'Expenditure Breakdown'!$H$6:$H$201, "&lt;"&amp;HS1)</f>
        <v>0</v>
      </c>
      <c r="HS5" s="202">
        <f>SUMIFS('Expenditure Breakdown'!$G$6:$G$201, 'Expenditure Breakdown'!$H$6:$H$201, "&gt;="&amp;HS1,'Expenditure Breakdown'!$H$6:$H$201, "&lt;"&amp;HT1)</f>
        <v>0</v>
      </c>
      <c r="HT5" s="202">
        <f>SUMIFS('Expenditure Breakdown'!$G$6:$G$201, 'Expenditure Breakdown'!$H$6:$H$201, "&gt;="&amp;HT1,'Expenditure Breakdown'!$H$6:$H$201, "&lt;"&amp;HU1)</f>
        <v>0</v>
      </c>
      <c r="HU5" s="202">
        <f>SUMIFS('Expenditure Breakdown'!$G$6:$G$201, 'Expenditure Breakdown'!$H$6:$H$201, "&gt;="&amp;HU1,'Expenditure Breakdown'!$H$6:$H$201, "&lt;"&amp;HV1)</f>
        <v>0</v>
      </c>
      <c r="HV5" s="202">
        <f>SUMIFS('Expenditure Breakdown'!$G$6:$G$201, 'Expenditure Breakdown'!$H$6:$H$201, "&gt;="&amp;HV1,'Expenditure Breakdown'!$H$6:$H$201, "&lt;"&amp;HW1)</f>
        <v>0</v>
      </c>
      <c r="HW5" s="202">
        <f>SUMIFS('Expenditure Breakdown'!$G$6:$G$201, 'Expenditure Breakdown'!$H$6:$H$201, "&gt;="&amp;HW1,'Expenditure Breakdown'!$H$6:$H$201, "&lt;"&amp;HX1)</f>
        <v>0</v>
      </c>
      <c r="HX5" s="202">
        <f>SUMIFS('Expenditure Breakdown'!$G$6:$G$201, 'Expenditure Breakdown'!$H$6:$H$201, "&gt;="&amp;HX1,'Expenditure Breakdown'!$H$6:$H$201, "&lt;"&amp;HY1)</f>
        <v>0</v>
      </c>
      <c r="HY5" s="202">
        <f>SUMIFS('Expenditure Breakdown'!$G$6:$G$201, 'Expenditure Breakdown'!$H$6:$H$201, "&gt;="&amp;HY1,'Expenditure Breakdown'!$H$6:$H$201, "&lt;"&amp;HZ1)</f>
        <v>0</v>
      </c>
      <c r="HZ5" s="202">
        <f>SUMIFS('Expenditure Breakdown'!$G$6:$G$201, 'Expenditure Breakdown'!$H$6:$H$201, "&gt;="&amp;HZ1,'Expenditure Breakdown'!$H$6:$H$201, "&lt;"&amp;IA1)</f>
        <v>0</v>
      </c>
      <c r="IA5" s="202">
        <f>SUMIFS('Expenditure Breakdown'!$G$6:$G$201, 'Expenditure Breakdown'!$H$6:$H$201, "&gt;="&amp;IA1,'Expenditure Breakdown'!$H$6:$H$201, "&lt;"&amp;IB1)</f>
        <v>0</v>
      </c>
      <c r="IB5" s="202">
        <f>SUMIFS('Expenditure Breakdown'!$G$6:$G$201, 'Expenditure Breakdown'!$H$6:$H$201, "&gt;="&amp;IB1,'Expenditure Breakdown'!$H$6:$H$201, "&lt;"&amp;IC1)</f>
        <v>0</v>
      </c>
      <c r="IC5" s="202">
        <f>SUMIFS('Expenditure Breakdown'!$G$6:$G$201, 'Expenditure Breakdown'!$H$6:$H$201, "&gt;="&amp;IC1,'Expenditure Breakdown'!$H$6:$H$201, "&lt;"&amp;ID1)</f>
        <v>0</v>
      </c>
      <c r="ID5" s="202">
        <f>SUMIFS('Expenditure Breakdown'!$G$6:$G$201, 'Expenditure Breakdown'!$H$6:$H$201, "&gt;="&amp;ID1,'Expenditure Breakdown'!$H$6:$H$201, "&lt;"&amp;IE1)</f>
        <v>0</v>
      </c>
      <c r="IE5" s="202">
        <f>SUMIFS('Expenditure Breakdown'!$G$6:$G$201, 'Expenditure Breakdown'!$H$6:$H$201, "&gt;="&amp;IE1,'Expenditure Breakdown'!$H$6:$H$201, "&lt;"&amp;IF1)</f>
        <v>0</v>
      </c>
      <c r="IF5" s="202">
        <f>SUMIFS('Expenditure Breakdown'!$G$6:$G$201, 'Expenditure Breakdown'!$H$6:$H$201, "&gt;="&amp;IF1,'Expenditure Breakdown'!$H$6:$H$201, "&lt;"&amp;IG1)</f>
        <v>0</v>
      </c>
      <c r="IG5" s="202">
        <f>SUMIFS('Expenditure Breakdown'!$G$6:$G$201, 'Expenditure Breakdown'!$H$6:$H$201, "&gt;="&amp;IG1,'Expenditure Breakdown'!$H$6:$H$201, "&lt;"&amp;IH1)</f>
        <v>0</v>
      </c>
      <c r="IH5" s="202">
        <f>SUMIFS('Expenditure Breakdown'!$G$6:$G$201, 'Expenditure Breakdown'!$H$6:$H$201, "&gt;="&amp;IH1,'Expenditure Breakdown'!$H$6:$H$201, "&lt;"&amp;II1)</f>
        <v>0</v>
      </c>
      <c r="II5" s="202">
        <f>SUMIFS('Expenditure Breakdown'!$G$6:$G$201, 'Expenditure Breakdown'!$H$6:$H$201, "&gt;="&amp;II1,'Expenditure Breakdown'!$H$6:$H$201, "&lt;"&amp;IJ1)</f>
        <v>0</v>
      </c>
      <c r="IJ5" s="202">
        <f>SUMIFS('Expenditure Breakdown'!$G$6:$G$201, 'Expenditure Breakdown'!$H$6:$H$201, "&gt;="&amp;IJ1,'Expenditure Breakdown'!$H$6:$H$201, "&lt;"&amp;IK1)</f>
        <v>0</v>
      </c>
      <c r="IK5" s="202">
        <f>SUMIFS('Expenditure Breakdown'!$G$6:$G$201, 'Expenditure Breakdown'!$H$6:$H$201, "&gt;="&amp;IK1,'Expenditure Breakdown'!$H$6:$H$201, "&lt;"&amp;IL1)</f>
        <v>0</v>
      </c>
      <c r="IL5" s="202">
        <f>SUMIFS('Expenditure Breakdown'!$G$6:$G$201, 'Expenditure Breakdown'!$H$6:$H$201, "&gt;="&amp;IL1,'Expenditure Breakdown'!$H$6:$H$201, "&lt;"&amp;IM1)</f>
        <v>0</v>
      </c>
      <c r="IM5" s="202">
        <f>SUMIFS('Expenditure Breakdown'!$G$6:$G$201, 'Expenditure Breakdown'!$H$6:$H$201, "&gt;="&amp;IM1,'Expenditure Breakdown'!$H$6:$H$201, "&lt;"&amp;IN1)</f>
        <v>0</v>
      </c>
      <c r="IN5" s="202">
        <f>SUMIFS('Expenditure Breakdown'!$G$6:$G$201, 'Expenditure Breakdown'!$H$6:$H$201, "&gt;="&amp;IN1,'Expenditure Breakdown'!$H$6:$H$201, "&lt;"&amp;IO1)</f>
        <v>0</v>
      </c>
      <c r="IO5" s="202">
        <f>SUMIFS('Expenditure Breakdown'!$G$6:$G$201, 'Expenditure Breakdown'!$H$6:$H$201, "&gt;="&amp;IO1,'Expenditure Breakdown'!$H$6:$H$201, "&lt;"&amp;IP1)</f>
        <v>0</v>
      </c>
      <c r="IP5" s="202">
        <f>SUMIFS('Expenditure Breakdown'!$G$6:$G$201, 'Expenditure Breakdown'!$H$6:$H$201, "&gt;="&amp;IP1,'Expenditure Breakdown'!$H$6:$H$201, "&lt;"&amp;IQ1)</f>
        <v>0</v>
      </c>
      <c r="IQ5" s="202">
        <f>SUMIFS('Expenditure Breakdown'!$G$6:$G$201, 'Expenditure Breakdown'!$H$6:$H$201, "&gt;="&amp;IQ1,'Expenditure Breakdown'!$H$6:$H$201, "&lt;"&amp;IR1)</f>
        <v>0</v>
      </c>
      <c r="IR5" s="202">
        <f>SUMIFS('Expenditure Breakdown'!$G$6:$G$201, 'Expenditure Breakdown'!$H$6:$H$201, "&gt;="&amp;IR1,'Expenditure Breakdown'!$H$6:$H$201, "&lt;"&amp;IS1)</f>
        <v>0</v>
      </c>
      <c r="IS5" s="202">
        <f>SUMIFS('Expenditure Breakdown'!$G$6:$G$201, 'Expenditure Breakdown'!$H$6:$H$201, "&gt;="&amp;IS1,'Expenditure Breakdown'!$H$6:$H$201, "&lt;"&amp;IT1)</f>
        <v>0</v>
      </c>
      <c r="IT5" s="202">
        <f>SUMIFS('Expenditure Breakdown'!$G$6:$G$201, 'Expenditure Breakdown'!$H$6:$H$201, "&gt;="&amp;IT1,'Expenditure Breakdown'!$H$6:$H$201, "&lt;"&amp;IU1)</f>
        <v>0</v>
      </c>
      <c r="IU5" s="202">
        <f>SUMIFS('Expenditure Breakdown'!$G$6:$G$201, 'Expenditure Breakdown'!$H$6:$H$201, "&gt;="&amp;IU1,'Expenditure Breakdown'!$H$6:$H$201, "&lt;"&amp;IV1)</f>
        <v>0</v>
      </c>
      <c r="IV5" s="202">
        <f>SUMIFS('Expenditure Breakdown'!$G$6:$G$201, 'Expenditure Breakdown'!$H$6:$H$201, "&gt;="&amp;IV1,'Expenditure Breakdown'!$H$6:$H$201, "&lt;"&amp;IW1)</f>
        <v>0</v>
      </c>
      <c r="IW5" s="202">
        <f>SUMIFS('Expenditure Breakdown'!$G$6:$G$201, 'Expenditure Breakdown'!$H$6:$H$201, "&gt;="&amp;IW1,'Expenditure Breakdown'!$H$6:$H$201, "&lt;"&amp;IX1)</f>
        <v>0</v>
      </c>
      <c r="IX5" s="202">
        <f>SUMIFS('Expenditure Breakdown'!$G$6:$G$201, 'Expenditure Breakdown'!$H$6:$H$201, "&gt;="&amp;IX1,'Expenditure Breakdown'!$H$6:$H$201, "&lt;"&amp;IY1)</f>
        <v>0</v>
      </c>
      <c r="IY5" s="202">
        <f>SUMIFS('Expenditure Breakdown'!$G$6:$G$201, 'Expenditure Breakdown'!$H$6:$H$201, "&gt;="&amp;IY1,'Expenditure Breakdown'!$H$6:$H$201, "&lt;"&amp;IZ1)</f>
        <v>0</v>
      </c>
      <c r="IZ5" s="202">
        <f>SUMIFS('Expenditure Breakdown'!$G$6:$G$201, 'Expenditure Breakdown'!$H$6:$H$201, "&gt;="&amp;IZ1,'Expenditure Breakdown'!$H$6:$H$201, "&lt;"&amp;JA1)</f>
        <v>0</v>
      </c>
      <c r="JA5" s="202">
        <f>SUMIFS('Expenditure Breakdown'!$G$6:$G$201, 'Expenditure Breakdown'!$H$6:$H$201, "&gt;="&amp;JA1,'Expenditure Breakdown'!$H$6:$H$201, "&lt;"&amp;JB1)</f>
        <v>0</v>
      </c>
      <c r="JB5" s="202">
        <f>SUMIFS('Expenditure Breakdown'!$G$6:$G$201, 'Expenditure Breakdown'!$H$6:$H$201, "&gt;="&amp;JB1,'Expenditure Breakdown'!$H$6:$H$201, "&lt;"&amp;JC1)</f>
        <v>0</v>
      </c>
      <c r="JC5" s="202">
        <f>SUMIFS('Expenditure Breakdown'!$G$6:$G$201, 'Expenditure Breakdown'!$H$6:$H$201, "&gt;="&amp;JC1,'Expenditure Breakdown'!$H$6:$H$201, "&lt;"&amp;JD1)</f>
        <v>0</v>
      </c>
      <c r="JD5" s="202">
        <f>SUMIFS('Expenditure Breakdown'!$G$6:$G$201, 'Expenditure Breakdown'!$H$6:$H$201, "&gt;="&amp;JD1,'Expenditure Breakdown'!$H$6:$H$201, "&lt;"&amp;JE1)</f>
        <v>0</v>
      </c>
      <c r="JE5" s="202">
        <f>SUMIFS('Expenditure Breakdown'!$G$6:$G$201, 'Expenditure Breakdown'!$H$6:$H$201, "&gt;="&amp;JE1,'Expenditure Breakdown'!$H$6:$H$201, "&lt;"&amp;JF1)</f>
        <v>0</v>
      </c>
      <c r="JF5" s="202">
        <f>SUMIFS('Expenditure Breakdown'!$G$6:$G$201, 'Expenditure Breakdown'!$H$6:$H$201, "&gt;="&amp;JF1,'Expenditure Breakdown'!$H$6:$H$201, "&lt;"&amp;JG1)</f>
        <v>0</v>
      </c>
      <c r="JG5" s="202">
        <f>SUMIFS('Expenditure Breakdown'!$G$6:$G$201, 'Expenditure Breakdown'!$H$6:$H$201, "&gt;="&amp;JG1,'Expenditure Breakdown'!$H$6:$H$201, "&lt;"&amp;JH1)</f>
        <v>0</v>
      </c>
      <c r="JH5" s="202">
        <f>SUMIFS('Expenditure Breakdown'!$G$6:$G$201, 'Expenditure Breakdown'!$H$6:$H$201, "&gt;="&amp;JH1,'Expenditure Breakdown'!$H$6:$H$201, "&lt;"&amp;JI1)</f>
        <v>0</v>
      </c>
      <c r="JI5" s="202">
        <f>SUMIFS('Expenditure Breakdown'!$G$6:$G$201, 'Expenditure Breakdown'!$H$6:$H$201, "&gt;="&amp;JI1,'Expenditure Breakdown'!$H$6:$H$201, "&lt;"&amp;JJ1)</f>
        <v>0</v>
      </c>
      <c r="JJ5" s="202">
        <f>SUMIFS('Expenditure Breakdown'!$G$6:$G$201, 'Expenditure Breakdown'!$H$6:$H$201, "&gt;="&amp;JJ1,'Expenditure Breakdown'!$H$6:$H$201, "&lt;"&amp;JK1)</f>
        <v>0</v>
      </c>
      <c r="JK5" s="202">
        <f>SUMIFS('Expenditure Breakdown'!$G$6:$G$201, 'Expenditure Breakdown'!$H$6:$H$201, "&gt;="&amp;JK1,'Expenditure Breakdown'!$H$6:$H$201, "&lt;"&amp;JL1)</f>
        <v>0</v>
      </c>
      <c r="JL5" s="202">
        <f>SUMIFS('Expenditure Breakdown'!$G$6:$G$201, 'Expenditure Breakdown'!$H$6:$H$201, "&gt;="&amp;JL1,'Expenditure Breakdown'!$H$6:$H$201, "&lt;"&amp;JM1)</f>
        <v>0</v>
      </c>
      <c r="JM5" s="202">
        <f>SUMIFS('Expenditure Breakdown'!$G$6:$G$201, 'Expenditure Breakdown'!$H$6:$H$201, "&gt;="&amp;JM1,'Expenditure Breakdown'!$H$6:$H$201, "&lt;"&amp;JN1)</f>
        <v>0</v>
      </c>
      <c r="JN5" s="202">
        <f>SUMIFS('Expenditure Breakdown'!$G$6:$G$201, 'Expenditure Breakdown'!$H$6:$H$201, "&gt;="&amp;JN1,'Expenditure Breakdown'!$H$6:$H$201, "&lt;"&amp;JO1)</f>
        <v>0</v>
      </c>
      <c r="JO5" s="202">
        <f>SUMIFS('Expenditure Breakdown'!$G$6:$G$201, 'Expenditure Breakdown'!$H$6:$H$201, "&gt;="&amp;JO1,'Expenditure Breakdown'!$H$6:$H$201, "&lt;"&amp;JP1)</f>
        <v>0</v>
      </c>
      <c r="JP5" s="202">
        <f>SUMIFS('Expenditure Breakdown'!$G$6:$G$201, 'Expenditure Breakdown'!$H$6:$H$201, "&gt;="&amp;JP1,'Expenditure Breakdown'!$H$6:$H$201, "&lt;"&amp;JQ1)</f>
        <v>0</v>
      </c>
      <c r="JQ5" s="202">
        <f>SUMIFS('Expenditure Breakdown'!$G$6:$G$201, 'Expenditure Breakdown'!$H$6:$H$201, "&gt;="&amp;JQ1,'Expenditure Breakdown'!$H$6:$H$201, "&lt;"&amp;JR1)</f>
        <v>0</v>
      </c>
      <c r="JR5" s="202">
        <f>SUMIFS('Expenditure Breakdown'!$G$6:$G$201, 'Expenditure Breakdown'!$H$6:$H$201, "&gt;="&amp;JR1,'Expenditure Breakdown'!$H$6:$H$201, "&lt;"&amp;JS1)</f>
        <v>0</v>
      </c>
      <c r="JS5" s="202">
        <f>SUMIFS('Expenditure Breakdown'!$G$6:$G$201, 'Expenditure Breakdown'!$H$6:$H$201, "&gt;="&amp;JS1,'Expenditure Breakdown'!$H$6:$H$201, "&lt;"&amp;JT1)</f>
        <v>0</v>
      </c>
      <c r="JT5" s="202">
        <f>SUMIFS('Expenditure Breakdown'!$G$6:$G$201, 'Expenditure Breakdown'!$H$6:$H$201, "&gt;="&amp;JT1,'Expenditure Breakdown'!$H$6:$H$201, "&lt;"&amp;JU1)</f>
        <v>0</v>
      </c>
      <c r="JU5" s="202">
        <f>SUMIFS('Expenditure Breakdown'!$G$6:$G$201, 'Expenditure Breakdown'!$H$6:$H$201, "&gt;="&amp;JU1,'Expenditure Breakdown'!$H$6:$H$201, "&lt;"&amp;JV1)</f>
        <v>0</v>
      </c>
      <c r="JV5" s="202">
        <f>SUMIFS('Expenditure Breakdown'!$G$6:$G$201, 'Expenditure Breakdown'!$H$6:$H$201, "&gt;="&amp;JV1,'Expenditure Breakdown'!$H$6:$H$201, "&lt;"&amp;JW1)</f>
        <v>0</v>
      </c>
      <c r="JW5" s="202">
        <f>SUMIFS('Expenditure Breakdown'!$G$6:$G$201, 'Expenditure Breakdown'!$H$6:$H$201, "&gt;="&amp;JW1,'Expenditure Breakdown'!$H$6:$H$201, "&lt;"&amp;JX1)</f>
        <v>0</v>
      </c>
      <c r="JX5" s="202">
        <f>SUMIFS('Expenditure Breakdown'!$G$6:$G$201, 'Expenditure Breakdown'!$H$6:$H$201, "&gt;="&amp;JX1,'Expenditure Breakdown'!$H$6:$H$201, "&lt;"&amp;JY1)</f>
        <v>0</v>
      </c>
      <c r="JY5" s="202">
        <f>SUMIFS('Expenditure Breakdown'!$G$6:$G$201, 'Expenditure Breakdown'!$H$6:$H$201, "&gt;="&amp;JY1,'Expenditure Breakdown'!$H$6:$H$201, "&lt;"&amp;JZ1)</f>
        <v>0</v>
      </c>
      <c r="JZ5" s="202">
        <f>SUMIFS('Expenditure Breakdown'!$G$6:$G$201, 'Expenditure Breakdown'!$H$6:$H$201, "&gt;="&amp;JZ1,'Expenditure Breakdown'!$H$6:$H$201, "&lt;"&amp;KA1)</f>
        <v>0</v>
      </c>
      <c r="KA5" s="202">
        <f>SUMIFS('Expenditure Breakdown'!$G$6:$G$201, 'Expenditure Breakdown'!$H$6:$H$201, "&gt;="&amp;KA1,'Expenditure Breakdown'!$H$6:$H$201, "&lt;"&amp;KB1)</f>
        <v>0</v>
      </c>
      <c r="KB5" s="202">
        <f>SUMIFS('Expenditure Breakdown'!$G$6:$G$201, 'Expenditure Breakdown'!$H$6:$H$201, "&gt;="&amp;KB1,'Expenditure Breakdown'!$H$6:$H$201, "&lt;"&amp;KC1)</f>
        <v>0</v>
      </c>
      <c r="KC5" s="202">
        <f>SUMIFS('Expenditure Breakdown'!$G$6:$G$201, 'Expenditure Breakdown'!$H$6:$H$201, "&gt;="&amp;KC1,'Expenditure Breakdown'!$H$6:$H$201, "&lt;"&amp;KD1)</f>
        <v>0</v>
      </c>
      <c r="KD5" s="202">
        <f>SUMIFS('Expenditure Breakdown'!$G$6:$G$201, 'Expenditure Breakdown'!$H$6:$H$201, "&gt;="&amp;KD1,'Expenditure Breakdown'!$H$6:$H$201, "&lt;"&amp;KE1)</f>
        <v>0</v>
      </c>
      <c r="KE5" s="202">
        <f>SUMIFS('Expenditure Breakdown'!$G$6:$G$201, 'Expenditure Breakdown'!$H$6:$H$201, "&gt;="&amp;KE1,'Expenditure Breakdown'!$H$6:$H$201, "&lt;"&amp;KF1)</f>
        <v>0</v>
      </c>
      <c r="KF5" s="202">
        <f>SUMIFS('Expenditure Breakdown'!$G$6:$G$201, 'Expenditure Breakdown'!$H$6:$H$201, "&gt;="&amp;KF1,'Expenditure Breakdown'!$H$6:$H$201, "&lt;"&amp;KG1)</f>
        <v>0</v>
      </c>
      <c r="KG5" s="202">
        <f>SUMIFS('Expenditure Breakdown'!$G$6:$G$201, 'Expenditure Breakdown'!$H$6:$H$201, "&gt;="&amp;KG1,'Expenditure Breakdown'!$H$6:$H$201, "&lt;"&amp;KH1)</f>
        <v>0</v>
      </c>
      <c r="KH5" s="202">
        <f>SUMIFS('Expenditure Breakdown'!$G$6:$G$201, 'Expenditure Breakdown'!$H$6:$H$201, "&gt;="&amp;KH1,'Expenditure Breakdown'!$H$6:$H$201, "&lt;"&amp;KI1)</f>
        <v>0</v>
      </c>
      <c r="KI5" s="202">
        <f>SUMIFS('Expenditure Breakdown'!$G$6:$G$201, 'Expenditure Breakdown'!$H$6:$H$201, "&gt;="&amp;KI1,'Expenditure Breakdown'!$H$6:$H$201, "&lt;"&amp;KJ1)</f>
        <v>0</v>
      </c>
      <c r="KJ5" s="202">
        <f>SUMIFS('Expenditure Breakdown'!$G$6:$G$201, 'Expenditure Breakdown'!$H$6:$H$201, "&gt;="&amp;KJ1,'Expenditure Breakdown'!$H$6:$H$201, "&lt;"&amp;KK1)</f>
        <v>0</v>
      </c>
      <c r="KK5" s="202">
        <f>SUMIFS('Expenditure Breakdown'!$G$6:$G$201, 'Expenditure Breakdown'!$H$6:$H$201, "&gt;="&amp;KK1,'Expenditure Breakdown'!$H$6:$H$201, "&lt;"&amp;KL1)</f>
        <v>0</v>
      </c>
      <c r="KL5" s="202">
        <f>SUMIFS('Expenditure Breakdown'!$G$6:$G$201, 'Expenditure Breakdown'!$H$6:$H$201, "&gt;="&amp;KL1,'Expenditure Breakdown'!$H$6:$H$201, "&lt;"&amp;KM1)</f>
        <v>0</v>
      </c>
      <c r="KM5" s="202">
        <f>SUMIFS('Expenditure Breakdown'!$G$6:$G$201, 'Expenditure Breakdown'!$H$6:$H$201, "&gt;="&amp;KM1,'Expenditure Breakdown'!$H$6:$H$201, "&lt;"&amp;KN1)</f>
        <v>0</v>
      </c>
      <c r="KN5" s="202">
        <f>SUMIFS('Expenditure Breakdown'!$G$6:$G$201, 'Expenditure Breakdown'!$H$6:$H$201, "&gt;="&amp;KN1,'Expenditure Breakdown'!$H$6:$H$201, "&lt;"&amp;KO1)</f>
        <v>0</v>
      </c>
      <c r="KO5" s="202">
        <f>SUMIFS('Expenditure Breakdown'!$G$6:$G$201, 'Expenditure Breakdown'!$H$6:$H$201, "&gt;="&amp;KO1,'Expenditure Breakdown'!$H$6:$H$201, "&lt;"&amp;KP1)</f>
        <v>0</v>
      </c>
      <c r="KP5" s="202">
        <f>SUMIFS('Expenditure Breakdown'!$G$6:$G$201, 'Expenditure Breakdown'!$H$6:$H$201, "&gt;="&amp;KP1,'Expenditure Breakdown'!$H$6:$H$201, "&lt;"&amp;KQ1)</f>
        <v>0</v>
      </c>
      <c r="KQ5" s="202">
        <f>SUMIFS('Expenditure Breakdown'!$G$6:$G$201, 'Expenditure Breakdown'!$H$6:$H$201, "&gt;="&amp;KQ1,'Expenditure Breakdown'!$H$6:$H$201, "&lt;"&amp;KR1)</f>
        <v>0</v>
      </c>
      <c r="KR5" s="202">
        <f>SUMIFS('Expenditure Breakdown'!$G$6:$G$201, 'Expenditure Breakdown'!$H$6:$H$201, "&gt;="&amp;KR1,'Expenditure Breakdown'!$H$6:$H$201, "&lt;"&amp;KS1)</f>
        <v>0</v>
      </c>
      <c r="KS5" s="202">
        <f>SUMIFS('Expenditure Breakdown'!$G$6:$G$201, 'Expenditure Breakdown'!$H$6:$H$201, "&gt;="&amp;KS1,'Expenditure Breakdown'!$H$6:$H$201, "&lt;"&amp;KT1)</f>
        <v>0</v>
      </c>
      <c r="KT5" s="202">
        <f>SUMIFS('Expenditure Breakdown'!$G$6:$G$201, 'Expenditure Breakdown'!$H$6:$H$201, "&gt;="&amp;KT1,'Expenditure Breakdown'!$H$6:$H$201, "&lt;"&amp;KU1)</f>
        <v>0</v>
      </c>
      <c r="KU5" s="202">
        <f>SUMIFS('Expenditure Breakdown'!$G$6:$G$201, 'Expenditure Breakdown'!$H$6:$H$201, "&gt;="&amp;KU1,'Expenditure Breakdown'!$H$6:$H$201, "&lt;"&amp;KV1)</f>
        <v>0</v>
      </c>
      <c r="KV5" s="202">
        <f>SUMIFS('Expenditure Breakdown'!$G$6:$G$201, 'Expenditure Breakdown'!$H$6:$H$201, "&gt;="&amp;KV1,'Expenditure Breakdown'!$H$6:$H$201, "&lt;"&amp;KW1)</f>
        <v>0</v>
      </c>
      <c r="KW5" s="202">
        <f>SUMIFS('Expenditure Breakdown'!$G$6:$G$201, 'Expenditure Breakdown'!$H$6:$H$201, "&gt;="&amp;KW1,'Expenditure Breakdown'!$H$6:$H$201, "&lt;"&amp;KX1)</f>
        <v>0</v>
      </c>
      <c r="KX5" s="202">
        <f>SUMIFS('Expenditure Breakdown'!$G$6:$G$201, 'Expenditure Breakdown'!$H$6:$H$201, "&gt;="&amp;KX1,'Expenditure Breakdown'!$H$6:$H$201, "&lt;"&amp;KY1)</f>
        <v>0</v>
      </c>
      <c r="KY5" s="202">
        <f>SUMIFS('Expenditure Breakdown'!$G$6:$G$201, 'Expenditure Breakdown'!$H$6:$H$201, "&gt;="&amp;KY1,'Expenditure Breakdown'!$H$6:$H$201, "&lt;"&amp;KZ1)</f>
        <v>0</v>
      </c>
      <c r="KZ5" s="202">
        <f>SUMIFS('Expenditure Breakdown'!$G$6:$G$201, 'Expenditure Breakdown'!$H$6:$H$201, "&gt;="&amp;KZ1,'Expenditure Breakdown'!$H$6:$H$201, "&lt;"&amp;LA1)</f>
        <v>0</v>
      </c>
      <c r="LA5" s="202">
        <f>SUMIFS('Expenditure Breakdown'!$G$6:$G$201, 'Expenditure Breakdown'!$H$6:$H$201, "&gt;="&amp;LA1,'Expenditure Breakdown'!$H$6:$H$201, "&lt;"&amp;LB1)</f>
        <v>0</v>
      </c>
      <c r="LB5" s="202">
        <f>SUMIFS('Expenditure Breakdown'!$G$6:$G$201, 'Expenditure Breakdown'!$H$6:$H$201, "&gt;="&amp;LB1,'Expenditure Breakdown'!$H$6:$H$201, "&lt;"&amp;LC1)</f>
        <v>0</v>
      </c>
      <c r="LC5" s="202">
        <f>SUMIFS('Expenditure Breakdown'!$G$6:$G$201, 'Expenditure Breakdown'!$H$6:$H$201, "&gt;="&amp;LC1,'Expenditure Breakdown'!$H$6:$H$201, "&lt;"&amp;LD1)</f>
        <v>0</v>
      </c>
      <c r="LD5" s="202">
        <f>SUMIFS('Expenditure Breakdown'!$G$6:$G$201, 'Expenditure Breakdown'!$H$6:$H$201, "&gt;="&amp;LD1,'Expenditure Breakdown'!$H$6:$H$201, "&lt;"&amp;#REF!)</f>
        <v>0</v>
      </c>
      <c r="LE5" s="192"/>
      <c r="LF5" s="203"/>
      <c r="LG5" s="203"/>
    </row>
    <row r="6" spans="1:794" s="204" customFormat="1">
      <c r="A6" s="809"/>
      <c r="B6" s="200" t="s">
        <v>387</v>
      </c>
      <c r="C6" s="201"/>
      <c r="D6" s="201"/>
      <c r="E6" s="198"/>
      <c r="F6" s="202">
        <f>F5</f>
        <v>0</v>
      </c>
      <c r="G6" s="202">
        <f>F6+G5</f>
        <v>0</v>
      </c>
      <c r="H6" s="202">
        <f>G6+H5</f>
        <v>0</v>
      </c>
      <c r="I6" s="202">
        <f t="shared" ref="I6:BT6" si="10">H6+I5</f>
        <v>0</v>
      </c>
      <c r="J6" s="202">
        <f t="shared" si="10"/>
        <v>0</v>
      </c>
      <c r="K6" s="202">
        <f t="shared" si="10"/>
        <v>0</v>
      </c>
      <c r="L6" s="202">
        <f t="shared" si="10"/>
        <v>0</v>
      </c>
      <c r="M6" s="202">
        <f t="shared" si="10"/>
        <v>0</v>
      </c>
      <c r="N6" s="202">
        <f t="shared" si="10"/>
        <v>0</v>
      </c>
      <c r="O6" s="202">
        <f t="shared" si="10"/>
        <v>0</v>
      </c>
      <c r="P6" s="202">
        <f t="shared" si="10"/>
        <v>0</v>
      </c>
      <c r="Q6" s="202">
        <f t="shared" si="10"/>
        <v>0</v>
      </c>
      <c r="R6" s="202">
        <f t="shared" si="10"/>
        <v>0</v>
      </c>
      <c r="S6" s="202">
        <f t="shared" si="10"/>
        <v>0</v>
      </c>
      <c r="T6" s="202">
        <f t="shared" si="10"/>
        <v>0</v>
      </c>
      <c r="U6" s="202">
        <f t="shared" si="10"/>
        <v>0</v>
      </c>
      <c r="V6" s="202">
        <f t="shared" si="10"/>
        <v>0</v>
      </c>
      <c r="W6" s="202">
        <f t="shared" si="10"/>
        <v>0</v>
      </c>
      <c r="X6" s="202">
        <f t="shared" si="10"/>
        <v>0</v>
      </c>
      <c r="Y6" s="202">
        <f t="shared" si="10"/>
        <v>0</v>
      </c>
      <c r="Z6" s="202">
        <f t="shared" si="10"/>
        <v>0</v>
      </c>
      <c r="AA6" s="202">
        <f t="shared" si="10"/>
        <v>0</v>
      </c>
      <c r="AB6" s="202">
        <f t="shared" si="10"/>
        <v>0</v>
      </c>
      <c r="AC6" s="202">
        <f t="shared" si="10"/>
        <v>0</v>
      </c>
      <c r="AD6" s="202">
        <f t="shared" si="10"/>
        <v>0</v>
      </c>
      <c r="AE6" s="202">
        <f t="shared" si="10"/>
        <v>0</v>
      </c>
      <c r="AF6" s="202">
        <f t="shared" si="10"/>
        <v>0</v>
      </c>
      <c r="AG6" s="202">
        <f t="shared" si="10"/>
        <v>0</v>
      </c>
      <c r="AH6" s="202">
        <f t="shared" si="10"/>
        <v>0</v>
      </c>
      <c r="AI6" s="202">
        <f t="shared" si="10"/>
        <v>0</v>
      </c>
      <c r="AJ6" s="202">
        <f t="shared" si="10"/>
        <v>0</v>
      </c>
      <c r="AK6" s="202">
        <f t="shared" si="10"/>
        <v>27337.27</v>
      </c>
      <c r="AL6" s="202">
        <f t="shared" si="10"/>
        <v>81567.27</v>
      </c>
      <c r="AM6" s="202">
        <f t="shared" si="10"/>
        <v>208216.07</v>
      </c>
      <c r="AN6" s="202">
        <f t="shared" si="10"/>
        <v>208216.07</v>
      </c>
      <c r="AO6" s="202">
        <f t="shared" si="10"/>
        <v>218288.02000000002</v>
      </c>
      <c r="AP6" s="202">
        <f t="shared" si="10"/>
        <v>280088.62</v>
      </c>
      <c r="AQ6" s="202">
        <f t="shared" si="10"/>
        <v>280088.62</v>
      </c>
      <c r="AR6" s="202">
        <f t="shared" si="10"/>
        <v>280088.62</v>
      </c>
      <c r="AS6" s="202">
        <f t="shared" si="10"/>
        <v>817052.62</v>
      </c>
      <c r="AT6" s="202">
        <f t="shared" si="10"/>
        <v>817052.62</v>
      </c>
      <c r="AU6" s="202">
        <f t="shared" si="10"/>
        <v>817052.62</v>
      </c>
      <c r="AV6" s="202">
        <f t="shared" si="10"/>
        <v>817052.62</v>
      </c>
      <c r="AW6" s="202">
        <f t="shared" si="10"/>
        <v>817052.62</v>
      </c>
      <c r="AX6" s="202">
        <f t="shared" si="10"/>
        <v>817052.62</v>
      </c>
      <c r="AY6" s="202">
        <f t="shared" si="10"/>
        <v>817052.62</v>
      </c>
      <c r="AZ6" s="202">
        <f t="shared" si="10"/>
        <v>817052.62</v>
      </c>
      <c r="BA6" s="202">
        <f t="shared" si="10"/>
        <v>817052.62</v>
      </c>
      <c r="BB6" s="202">
        <f t="shared" si="10"/>
        <v>817052.62</v>
      </c>
      <c r="BC6" s="202">
        <f t="shared" si="10"/>
        <v>817052.62</v>
      </c>
      <c r="BD6" s="202">
        <f t="shared" si="10"/>
        <v>817052.62</v>
      </c>
      <c r="BE6" s="202">
        <f t="shared" si="10"/>
        <v>817052.62</v>
      </c>
      <c r="BF6" s="202">
        <f t="shared" si="10"/>
        <v>817052.62</v>
      </c>
      <c r="BG6" s="202">
        <f t="shared" si="10"/>
        <v>817052.62</v>
      </c>
      <c r="BH6" s="202">
        <f t="shared" si="10"/>
        <v>817052.62</v>
      </c>
      <c r="BI6" s="202">
        <f t="shared" si="10"/>
        <v>817052.62</v>
      </c>
      <c r="BJ6" s="202">
        <f t="shared" si="10"/>
        <v>817052.62</v>
      </c>
      <c r="BK6" s="202">
        <f t="shared" si="10"/>
        <v>817052.62</v>
      </c>
      <c r="BL6" s="202">
        <f t="shared" si="10"/>
        <v>817052.62</v>
      </c>
      <c r="BM6" s="202">
        <f t="shared" si="10"/>
        <v>817052.62</v>
      </c>
      <c r="BN6" s="202">
        <f t="shared" si="10"/>
        <v>817052.62</v>
      </c>
      <c r="BO6" s="202">
        <f t="shared" si="10"/>
        <v>817052.62</v>
      </c>
      <c r="BP6" s="202">
        <f t="shared" si="10"/>
        <v>817052.62</v>
      </c>
      <c r="BQ6" s="202">
        <f t="shared" si="10"/>
        <v>817052.62</v>
      </c>
      <c r="BR6" s="202">
        <f t="shared" si="10"/>
        <v>817052.62</v>
      </c>
      <c r="BS6" s="202">
        <f t="shared" si="10"/>
        <v>817052.62</v>
      </c>
      <c r="BT6" s="202">
        <f t="shared" si="10"/>
        <v>817052.62</v>
      </c>
      <c r="BU6" s="202">
        <f t="shared" ref="BU6:EF6" si="11">BT6+BU5</f>
        <v>817052.62</v>
      </c>
      <c r="BV6" s="202">
        <f t="shared" si="11"/>
        <v>817052.62</v>
      </c>
      <c r="BW6" s="202">
        <f t="shared" si="11"/>
        <v>817052.62</v>
      </c>
      <c r="BX6" s="202">
        <f t="shared" si="11"/>
        <v>817052.62</v>
      </c>
      <c r="BY6" s="202">
        <f t="shared" si="11"/>
        <v>817052.62</v>
      </c>
      <c r="BZ6" s="202">
        <f t="shared" si="11"/>
        <v>817052.62</v>
      </c>
      <c r="CA6" s="202">
        <f t="shared" si="11"/>
        <v>817052.62</v>
      </c>
      <c r="CB6" s="202">
        <f t="shared" si="11"/>
        <v>817052.62</v>
      </c>
      <c r="CC6" s="202">
        <f t="shared" si="11"/>
        <v>817052.62</v>
      </c>
      <c r="CD6" s="202">
        <f t="shared" si="11"/>
        <v>817052.62</v>
      </c>
      <c r="CE6" s="202">
        <f t="shared" si="11"/>
        <v>817052.62</v>
      </c>
      <c r="CF6" s="202">
        <f t="shared" si="11"/>
        <v>817052.62</v>
      </c>
      <c r="CG6" s="202">
        <f t="shared" si="11"/>
        <v>817052.62</v>
      </c>
      <c r="CH6" s="202">
        <f t="shared" si="11"/>
        <v>817052.62</v>
      </c>
      <c r="CI6" s="202">
        <f t="shared" si="11"/>
        <v>817052.62</v>
      </c>
      <c r="CJ6" s="202">
        <f t="shared" si="11"/>
        <v>817052.62</v>
      </c>
      <c r="CK6" s="202">
        <f t="shared" si="11"/>
        <v>817052.62</v>
      </c>
      <c r="CL6" s="202">
        <f t="shared" si="11"/>
        <v>817052.62</v>
      </c>
      <c r="CM6" s="202">
        <f t="shared" si="11"/>
        <v>817052.62</v>
      </c>
      <c r="CN6" s="202">
        <f t="shared" si="11"/>
        <v>817052.62</v>
      </c>
      <c r="CO6" s="202">
        <f t="shared" si="11"/>
        <v>817052.62</v>
      </c>
      <c r="CP6" s="202">
        <f t="shared" si="11"/>
        <v>817052.62</v>
      </c>
      <c r="CQ6" s="202">
        <f t="shared" si="11"/>
        <v>817052.62</v>
      </c>
      <c r="CR6" s="202">
        <f t="shared" si="11"/>
        <v>817052.62</v>
      </c>
      <c r="CS6" s="202">
        <f t="shared" si="11"/>
        <v>817052.62</v>
      </c>
      <c r="CT6" s="202">
        <f t="shared" si="11"/>
        <v>817052.62</v>
      </c>
      <c r="CU6" s="202">
        <f t="shared" si="11"/>
        <v>817052.62</v>
      </c>
      <c r="CV6" s="202">
        <f t="shared" si="11"/>
        <v>817052.62</v>
      </c>
      <c r="CW6" s="202">
        <f t="shared" si="11"/>
        <v>817052.62</v>
      </c>
      <c r="CX6" s="202">
        <f t="shared" si="11"/>
        <v>817052.62</v>
      </c>
      <c r="CY6" s="202">
        <f t="shared" si="11"/>
        <v>817052.62</v>
      </c>
      <c r="CZ6" s="202">
        <f t="shared" si="11"/>
        <v>817052.62</v>
      </c>
      <c r="DA6" s="202">
        <f t="shared" si="11"/>
        <v>817052.62</v>
      </c>
      <c r="DB6" s="202">
        <f t="shared" si="11"/>
        <v>817052.62</v>
      </c>
      <c r="DC6" s="202">
        <f t="shared" si="11"/>
        <v>817052.62</v>
      </c>
      <c r="DD6" s="202">
        <f t="shared" si="11"/>
        <v>817052.62</v>
      </c>
      <c r="DE6" s="202">
        <f t="shared" si="11"/>
        <v>817052.62</v>
      </c>
      <c r="DF6" s="202">
        <f t="shared" si="11"/>
        <v>817052.62</v>
      </c>
      <c r="DG6" s="202">
        <f t="shared" si="11"/>
        <v>817052.62</v>
      </c>
      <c r="DH6" s="202">
        <f t="shared" si="11"/>
        <v>817052.62</v>
      </c>
      <c r="DI6" s="202">
        <f t="shared" si="11"/>
        <v>817052.62</v>
      </c>
      <c r="DJ6" s="202">
        <f t="shared" si="11"/>
        <v>817052.62</v>
      </c>
      <c r="DK6" s="202">
        <f t="shared" si="11"/>
        <v>817052.62</v>
      </c>
      <c r="DL6" s="202">
        <f t="shared" si="11"/>
        <v>817052.62</v>
      </c>
      <c r="DM6" s="202">
        <f t="shared" si="11"/>
        <v>817052.62</v>
      </c>
      <c r="DN6" s="202">
        <f t="shared" si="11"/>
        <v>817052.62</v>
      </c>
      <c r="DO6" s="202">
        <f t="shared" si="11"/>
        <v>817052.62</v>
      </c>
      <c r="DP6" s="202">
        <f t="shared" si="11"/>
        <v>817052.62</v>
      </c>
      <c r="DQ6" s="202">
        <f t="shared" si="11"/>
        <v>817052.62</v>
      </c>
      <c r="DR6" s="202">
        <f t="shared" si="11"/>
        <v>817052.62</v>
      </c>
      <c r="DS6" s="202">
        <f t="shared" si="11"/>
        <v>817052.62</v>
      </c>
      <c r="DT6" s="202">
        <f t="shared" si="11"/>
        <v>817052.62</v>
      </c>
      <c r="DU6" s="202">
        <f t="shared" si="11"/>
        <v>817052.62</v>
      </c>
      <c r="DV6" s="202">
        <f t="shared" si="11"/>
        <v>817052.62</v>
      </c>
      <c r="DW6" s="202">
        <f t="shared" si="11"/>
        <v>817052.62</v>
      </c>
      <c r="DX6" s="202">
        <f t="shared" si="11"/>
        <v>817052.62</v>
      </c>
      <c r="DY6" s="202">
        <f t="shared" si="11"/>
        <v>817052.62</v>
      </c>
      <c r="DZ6" s="202">
        <f t="shared" si="11"/>
        <v>817052.62</v>
      </c>
      <c r="EA6" s="202">
        <f t="shared" si="11"/>
        <v>817052.62</v>
      </c>
      <c r="EB6" s="202">
        <f t="shared" si="11"/>
        <v>817052.62</v>
      </c>
      <c r="EC6" s="202">
        <f t="shared" si="11"/>
        <v>817052.62</v>
      </c>
      <c r="ED6" s="202">
        <f t="shared" si="11"/>
        <v>817052.62</v>
      </c>
      <c r="EE6" s="202">
        <f t="shared" si="11"/>
        <v>817052.62</v>
      </c>
      <c r="EF6" s="202">
        <f t="shared" si="11"/>
        <v>817052.62</v>
      </c>
      <c r="EG6" s="202">
        <f t="shared" ref="EG6:GR6" si="12">EF6+EG5</f>
        <v>817052.62</v>
      </c>
      <c r="EH6" s="202">
        <f t="shared" si="12"/>
        <v>817052.62</v>
      </c>
      <c r="EI6" s="202">
        <f t="shared" si="12"/>
        <v>817052.62</v>
      </c>
      <c r="EJ6" s="202">
        <f t="shared" si="12"/>
        <v>817052.62</v>
      </c>
      <c r="EK6" s="202">
        <f t="shared" si="12"/>
        <v>817052.62</v>
      </c>
      <c r="EL6" s="202">
        <f t="shared" si="12"/>
        <v>817052.62</v>
      </c>
      <c r="EM6" s="202">
        <f t="shared" si="12"/>
        <v>817052.62</v>
      </c>
      <c r="EN6" s="202">
        <f t="shared" si="12"/>
        <v>817052.62</v>
      </c>
      <c r="EO6" s="202">
        <f t="shared" si="12"/>
        <v>817052.62</v>
      </c>
      <c r="EP6" s="202">
        <f t="shared" si="12"/>
        <v>817052.62</v>
      </c>
      <c r="EQ6" s="202">
        <f t="shared" si="12"/>
        <v>817052.62</v>
      </c>
      <c r="ER6" s="202">
        <f t="shared" si="12"/>
        <v>817052.62</v>
      </c>
      <c r="ES6" s="202">
        <f t="shared" si="12"/>
        <v>817052.62</v>
      </c>
      <c r="ET6" s="202">
        <f t="shared" si="12"/>
        <v>817052.62</v>
      </c>
      <c r="EU6" s="202">
        <f t="shared" si="12"/>
        <v>817052.62</v>
      </c>
      <c r="EV6" s="202">
        <f t="shared" si="12"/>
        <v>817052.62</v>
      </c>
      <c r="EW6" s="202">
        <f t="shared" si="12"/>
        <v>817052.62</v>
      </c>
      <c r="EX6" s="202">
        <f t="shared" si="12"/>
        <v>817052.62</v>
      </c>
      <c r="EY6" s="202">
        <f t="shared" si="12"/>
        <v>817052.62</v>
      </c>
      <c r="EZ6" s="202">
        <f t="shared" si="12"/>
        <v>817052.62</v>
      </c>
      <c r="FA6" s="202">
        <f t="shared" si="12"/>
        <v>817052.62</v>
      </c>
      <c r="FB6" s="202">
        <f t="shared" si="12"/>
        <v>817052.62</v>
      </c>
      <c r="FC6" s="202">
        <f t="shared" si="12"/>
        <v>817052.62</v>
      </c>
      <c r="FD6" s="202">
        <f t="shared" si="12"/>
        <v>817052.62</v>
      </c>
      <c r="FE6" s="202">
        <f t="shared" si="12"/>
        <v>817052.62</v>
      </c>
      <c r="FF6" s="202">
        <f t="shared" si="12"/>
        <v>817052.62</v>
      </c>
      <c r="FG6" s="202">
        <f t="shared" si="12"/>
        <v>817052.62</v>
      </c>
      <c r="FH6" s="202">
        <f t="shared" si="12"/>
        <v>817052.62</v>
      </c>
      <c r="FI6" s="202">
        <f t="shared" si="12"/>
        <v>817052.62</v>
      </c>
      <c r="FJ6" s="202">
        <f t="shared" si="12"/>
        <v>817052.62</v>
      </c>
      <c r="FK6" s="202">
        <f t="shared" si="12"/>
        <v>817052.62</v>
      </c>
      <c r="FL6" s="202">
        <f t="shared" si="12"/>
        <v>817052.62</v>
      </c>
      <c r="FM6" s="202">
        <f t="shared" si="12"/>
        <v>817052.62</v>
      </c>
      <c r="FN6" s="202">
        <f t="shared" si="12"/>
        <v>817052.62</v>
      </c>
      <c r="FO6" s="202">
        <f t="shared" si="12"/>
        <v>817052.62</v>
      </c>
      <c r="FP6" s="202">
        <f t="shared" si="12"/>
        <v>817052.62</v>
      </c>
      <c r="FQ6" s="202">
        <f t="shared" si="12"/>
        <v>817052.62</v>
      </c>
      <c r="FR6" s="202">
        <f t="shared" si="12"/>
        <v>817052.62</v>
      </c>
      <c r="FS6" s="202">
        <f t="shared" si="12"/>
        <v>817052.62</v>
      </c>
      <c r="FT6" s="202">
        <f t="shared" si="12"/>
        <v>817052.62</v>
      </c>
      <c r="FU6" s="202">
        <f t="shared" si="12"/>
        <v>817052.62</v>
      </c>
      <c r="FV6" s="202">
        <f t="shared" si="12"/>
        <v>817052.62</v>
      </c>
      <c r="FW6" s="202">
        <f t="shared" si="12"/>
        <v>817052.62</v>
      </c>
      <c r="FX6" s="202">
        <f t="shared" si="12"/>
        <v>817052.62</v>
      </c>
      <c r="FY6" s="202">
        <f t="shared" si="12"/>
        <v>817052.62</v>
      </c>
      <c r="FZ6" s="202">
        <f t="shared" si="12"/>
        <v>817052.62</v>
      </c>
      <c r="GA6" s="202">
        <f t="shared" si="12"/>
        <v>817052.62</v>
      </c>
      <c r="GB6" s="202">
        <f t="shared" si="12"/>
        <v>817052.62</v>
      </c>
      <c r="GC6" s="202">
        <f t="shared" si="12"/>
        <v>817052.62</v>
      </c>
      <c r="GD6" s="202">
        <f t="shared" si="12"/>
        <v>817052.62</v>
      </c>
      <c r="GE6" s="202">
        <f t="shared" si="12"/>
        <v>817052.62</v>
      </c>
      <c r="GF6" s="202">
        <f t="shared" si="12"/>
        <v>817052.62</v>
      </c>
      <c r="GG6" s="202">
        <f t="shared" si="12"/>
        <v>817052.62</v>
      </c>
      <c r="GH6" s="202">
        <f t="shared" si="12"/>
        <v>817052.62</v>
      </c>
      <c r="GI6" s="202">
        <f t="shared" si="12"/>
        <v>817052.62</v>
      </c>
      <c r="GJ6" s="202">
        <f t="shared" si="12"/>
        <v>817052.62</v>
      </c>
      <c r="GK6" s="202">
        <f t="shared" si="12"/>
        <v>817052.62</v>
      </c>
      <c r="GL6" s="202">
        <f t="shared" si="12"/>
        <v>817052.62</v>
      </c>
      <c r="GM6" s="202">
        <f t="shared" si="12"/>
        <v>817052.62</v>
      </c>
      <c r="GN6" s="202">
        <f t="shared" si="12"/>
        <v>817052.62</v>
      </c>
      <c r="GO6" s="202">
        <f t="shared" si="12"/>
        <v>817052.62</v>
      </c>
      <c r="GP6" s="202">
        <f t="shared" si="12"/>
        <v>817052.62</v>
      </c>
      <c r="GQ6" s="202">
        <f t="shared" si="12"/>
        <v>817052.62</v>
      </c>
      <c r="GR6" s="202">
        <f t="shared" si="12"/>
        <v>817052.62</v>
      </c>
      <c r="GS6" s="202">
        <f t="shared" ref="GS6:JD6" si="13">GR6+GS5</f>
        <v>817052.62</v>
      </c>
      <c r="GT6" s="202">
        <f t="shared" si="13"/>
        <v>817052.62</v>
      </c>
      <c r="GU6" s="202">
        <f t="shared" si="13"/>
        <v>817052.62</v>
      </c>
      <c r="GV6" s="202">
        <f t="shared" si="13"/>
        <v>817052.62</v>
      </c>
      <c r="GW6" s="202">
        <f t="shared" si="13"/>
        <v>817052.62</v>
      </c>
      <c r="GX6" s="202">
        <f t="shared" si="13"/>
        <v>817052.62</v>
      </c>
      <c r="GY6" s="202">
        <f t="shared" si="13"/>
        <v>817052.62</v>
      </c>
      <c r="GZ6" s="202">
        <f t="shared" si="13"/>
        <v>817052.62</v>
      </c>
      <c r="HA6" s="202">
        <f t="shared" si="13"/>
        <v>817052.62</v>
      </c>
      <c r="HB6" s="202">
        <f t="shared" si="13"/>
        <v>817052.62</v>
      </c>
      <c r="HC6" s="202">
        <f t="shared" si="13"/>
        <v>817052.62</v>
      </c>
      <c r="HD6" s="202">
        <f t="shared" si="13"/>
        <v>817052.62</v>
      </c>
      <c r="HE6" s="202">
        <f t="shared" si="13"/>
        <v>817052.62</v>
      </c>
      <c r="HF6" s="202">
        <f t="shared" si="13"/>
        <v>817052.62</v>
      </c>
      <c r="HG6" s="202">
        <f t="shared" si="13"/>
        <v>817052.62</v>
      </c>
      <c r="HH6" s="202">
        <f t="shared" si="13"/>
        <v>817052.62</v>
      </c>
      <c r="HI6" s="202">
        <f t="shared" si="13"/>
        <v>817052.62</v>
      </c>
      <c r="HJ6" s="202">
        <f t="shared" si="13"/>
        <v>817052.62</v>
      </c>
      <c r="HK6" s="202">
        <f t="shared" si="13"/>
        <v>817052.62</v>
      </c>
      <c r="HL6" s="202">
        <f t="shared" si="13"/>
        <v>817052.62</v>
      </c>
      <c r="HM6" s="202">
        <f t="shared" si="13"/>
        <v>817052.62</v>
      </c>
      <c r="HN6" s="202">
        <f t="shared" si="13"/>
        <v>817052.62</v>
      </c>
      <c r="HO6" s="202">
        <f t="shared" si="13"/>
        <v>817052.62</v>
      </c>
      <c r="HP6" s="202">
        <f t="shared" si="13"/>
        <v>817052.62</v>
      </c>
      <c r="HQ6" s="202">
        <f t="shared" si="13"/>
        <v>817052.62</v>
      </c>
      <c r="HR6" s="202">
        <f t="shared" si="13"/>
        <v>817052.62</v>
      </c>
      <c r="HS6" s="202">
        <f t="shared" si="13"/>
        <v>817052.62</v>
      </c>
      <c r="HT6" s="202">
        <f t="shared" si="13"/>
        <v>817052.62</v>
      </c>
      <c r="HU6" s="202">
        <f t="shared" si="13"/>
        <v>817052.62</v>
      </c>
      <c r="HV6" s="202">
        <f t="shared" si="13"/>
        <v>817052.62</v>
      </c>
      <c r="HW6" s="202">
        <f t="shared" si="13"/>
        <v>817052.62</v>
      </c>
      <c r="HX6" s="202">
        <f t="shared" si="13"/>
        <v>817052.62</v>
      </c>
      <c r="HY6" s="202">
        <f t="shared" si="13"/>
        <v>817052.62</v>
      </c>
      <c r="HZ6" s="202">
        <f t="shared" si="13"/>
        <v>817052.62</v>
      </c>
      <c r="IA6" s="202">
        <f t="shared" si="13"/>
        <v>817052.62</v>
      </c>
      <c r="IB6" s="202">
        <f t="shared" si="13"/>
        <v>817052.62</v>
      </c>
      <c r="IC6" s="202">
        <f t="shared" si="13"/>
        <v>817052.62</v>
      </c>
      <c r="ID6" s="202">
        <f t="shared" si="13"/>
        <v>817052.62</v>
      </c>
      <c r="IE6" s="202">
        <f t="shared" si="13"/>
        <v>817052.62</v>
      </c>
      <c r="IF6" s="202">
        <f t="shared" si="13"/>
        <v>817052.62</v>
      </c>
      <c r="IG6" s="202">
        <f t="shared" si="13"/>
        <v>817052.62</v>
      </c>
      <c r="IH6" s="202">
        <f t="shared" si="13"/>
        <v>817052.62</v>
      </c>
      <c r="II6" s="202">
        <f t="shared" si="13"/>
        <v>817052.62</v>
      </c>
      <c r="IJ6" s="202">
        <f t="shared" si="13"/>
        <v>817052.62</v>
      </c>
      <c r="IK6" s="202">
        <f t="shared" si="13"/>
        <v>817052.62</v>
      </c>
      <c r="IL6" s="202">
        <f t="shared" si="13"/>
        <v>817052.62</v>
      </c>
      <c r="IM6" s="202">
        <f t="shared" si="13"/>
        <v>817052.62</v>
      </c>
      <c r="IN6" s="202">
        <f t="shared" si="13"/>
        <v>817052.62</v>
      </c>
      <c r="IO6" s="202">
        <f t="shared" si="13"/>
        <v>817052.62</v>
      </c>
      <c r="IP6" s="202">
        <f t="shared" si="13"/>
        <v>817052.62</v>
      </c>
      <c r="IQ6" s="202">
        <f t="shared" si="13"/>
        <v>817052.62</v>
      </c>
      <c r="IR6" s="202">
        <f t="shared" si="13"/>
        <v>817052.62</v>
      </c>
      <c r="IS6" s="202">
        <f t="shared" si="13"/>
        <v>817052.62</v>
      </c>
      <c r="IT6" s="202">
        <f t="shared" si="13"/>
        <v>817052.62</v>
      </c>
      <c r="IU6" s="202">
        <f t="shared" si="13"/>
        <v>817052.62</v>
      </c>
      <c r="IV6" s="202">
        <f t="shared" si="13"/>
        <v>817052.62</v>
      </c>
      <c r="IW6" s="202">
        <f t="shared" si="13"/>
        <v>817052.62</v>
      </c>
      <c r="IX6" s="202">
        <f t="shared" si="13"/>
        <v>817052.62</v>
      </c>
      <c r="IY6" s="202">
        <f t="shared" si="13"/>
        <v>817052.62</v>
      </c>
      <c r="IZ6" s="202">
        <f t="shared" si="13"/>
        <v>817052.62</v>
      </c>
      <c r="JA6" s="202">
        <f t="shared" si="13"/>
        <v>817052.62</v>
      </c>
      <c r="JB6" s="202">
        <f t="shared" si="13"/>
        <v>817052.62</v>
      </c>
      <c r="JC6" s="202">
        <f t="shared" si="13"/>
        <v>817052.62</v>
      </c>
      <c r="JD6" s="202">
        <f t="shared" si="13"/>
        <v>817052.62</v>
      </c>
      <c r="JE6" s="202">
        <f t="shared" ref="JE6:LD6" si="14">JD6+JE5</f>
        <v>817052.62</v>
      </c>
      <c r="JF6" s="202">
        <f t="shared" si="14"/>
        <v>817052.62</v>
      </c>
      <c r="JG6" s="202">
        <f t="shared" si="14"/>
        <v>817052.62</v>
      </c>
      <c r="JH6" s="202">
        <f t="shared" si="14"/>
        <v>817052.62</v>
      </c>
      <c r="JI6" s="202">
        <f t="shared" si="14"/>
        <v>817052.62</v>
      </c>
      <c r="JJ6" s="202">
        <f t="shared" si="14"/>
        <v>817052.62</v>
      </c>
      <c r="JK6" s="202">
        <f t="shared" si="14"/>
        <v>817052.62</v>
      </c>
      <c r="JL6" s="202">
        <f t="shared" si="14"/>
        <v>817052.62</v>
      </c>
      <c r="JM6" s="202">
        <f t="shared" si="14"/>
        <v>817052.62</v>
      </c>
      <c r="JN6" s="202">
        <f t="shared" si="14"/>
        <v>817052.62</v>
      </c>
      <c r="JO6" s="202">
        <f t="shared" si="14"/>
        <v>817052.62</v>
      </c>
      <c r="JP6" s="202">
        <f t="shared" si="14"/>
        <v>817052.62</v>
      </c>
      <c r="JQ6" s="202">
        <f t="shared" si="14"/>
        <v>817052.62</v>
      </c>
      <c r="JR6" s="202">
        <f t="shared" si="14"/>
        <v>817052.62</v>
      </c>
      <c r="JS6" s="202">
        <f t="shared" si="14"/>
        <v>817052.62</v>
      </c>
      <c r="JT6" s="202">
        <f t="shared" si="14"/>
        <v>817052.62</v>
      </c>
      <c r="JU6" s="202">
        <f t="shared" si="14"/>
        <v>817052.62</v>
      </c>
      <c r="JV6" s="202">
        <f t="shared" si="14"/>
        <v>817052.62</v>
      </c>
      <c r="JW6" s="202">
        <f t="shared" si="14"/>
        <v>817052.62</v>
      </c>
      <c r="JX6" s="202">
        <f t="shared" si="14"/>
        <v>817052.62</v>
      </c>
      <c r="JY6" s="202">
        <f t="shared" si="14"/>
        <v>817052.62</v>
      </c>
      <c r="JZ6" s="202">
        <f t="shared" si="14"/>
        <v>817052.62</v>
      </c>
      <c r="KA6" s="202">
        <f t="shared" si="14"/>
        <v>817052.62</v>
      </c>
      <c r="KB6" s="202">
        <f t="shared" si="14"/>
        <v>817052.62</v>
      </c>
      <c r="KC6" s="202">
        <f t="shared" si="14"/>
        <v>817052.62</v>
      </c>
      <c r="KD6" s="202">
        <f t="shared" si="14"/>
        <v>817052.62</v>
      </c>
      <c r="KE6" s="202">
        <f t="shared" si="14"/>
        <v>817052.62</v>
      </c>
      <c r="KF6" s="202">
        <f t="shared" si="14"/>
        <v>817052.62</v>
      </c>
      <c r="KG6" s="202">
        <f t="shared" si="14"/>
        <v>817052.62</v>
      </c>
      <c r="KH6" s="202">
        <f t="shared" si="14"/>
        <v>817052.62</v>
      </c>
      <c r="KI6" s="202">
        <f t="shared" si="14"/>
        <v>817052.62</v>
      </c>
      <c r="KJ6" s="202">
        <f t="shared" si="14"/>
        <v>817052.62</v>
      </c>
      <c r="KK6" s="202">
        <f t="shared" si="14"/>
        <v>817052.62</v>
      </c>
      <c r="KL6" s="202">
        <f t="shared" si="14"/>
        <v>817052.62</v>
      </c>
      <c r="KM6" s="202">
        <f t="shared" si="14"/>
        <v>817052.62</v>
      </c>
      <c r="KN6" s="202">
        <f t="shared" si="14"/>
        <v>817052.62</v>
      </c>
      <c r="KO6" s="202">
        <f t="shared" si="14"/>
        <v>817052.62</v>
      </c>
      <c r="KP6" s="202">
        <f t="shared" si="14"/>
        <v>817052.62</v>
      </c>
      <c r="KQ6" s="202">
        <f t="shared" si="14"/>
        <v>817052.62</v>
      </c>
      <c r="KR6" s="202">
        <f t="shared" si="14"/>
        <v>817052.62</v>
      </c>
      <c r="KS6" s="202">
        <f t="shared" si="14"/>
        <v>817052.62</v>
      </c>
      <c r="KT6" s="202">
        <f t="shared" si="14"/>
        <v>817052.62</v>
      </c>
      <c r="KU6" s="202">
        <f t="shared" si="14"/>
        <v>817052.62</v>
      </c>
      <c r="KV6" s="202">
        <f t="shared" si="14"/>
        <v>817052.62</v>
      </c>
      <c r="KW6" s="202">
        <f t="shared" si="14"/>
        <v>817052.62</v>
      </c>
      <c r="KX6" s="202">
        <f t="shared" si="14"/>
        <v>817052.62</v>
      </c>
      <c r="KY6" s="202">
        <f t="shared" si="14"/>
        <v>817052.62</v>
      </c>
      <c r="KZ6" s="202">
        <f t="shared" si="14"/>
        <v>817052.62</v>
      </c>
      <c r="LA6" s="202">
        <f t="shared" si="14"/>
        <v>817052.62</v>
      </c>
      <c r="LB6" s="202">
        <f t="shared" si="14"/>
        <v>817052.62</v>
      </c>
      <c r="LC6" s="202">
        <f t="shared" si="14"/>
        <v>817052.62</v>
      </c>
      <c r="LD6" s="202">
        <f t="shared" si="14"/>
        <v>817052.62</v>
      </c>
      <c r="LE6" s="192"/>
      <c r="LF6" s="203"/>
    </row>
    <row r="7" spans="1:794">
      <c r="A7" s="809"/>
      <c r="B7" s="205" t="s">
        <v>388</v>
      </c>
      <c r="C7" s="206"/>
      <c r="D7" s="206"/>
      <c r="E7" s="207"/>
      <c r="F7" s="208">
        <f t="shared" ref="F7:H7" si="15">F4-F6</f>
        <v>0</v>
      </c>
      <c r="G7" s="208">
        <f t="shared" si="15"/>
        <v>0</v>
      </c>
      <c r="H7" s="208">
        <f t="shared" si="15"/>
        <v>0</v>
      </c>
      <c r="I7" s="208">
        <f t="shared" ref="I7:BT7" si="16">I4-I6</f>
        <v>0</v>
      </c>
      <c r="J7" s="208">
        <f t="shared" si="16"/>
        <v>0</v>
      </c>
      <c r="K7" s="208">
        <f t="shared" si="16"/>
        <v>0</v>
      </c>
      <c r="L7" s="208">
        <f t="shared" si="16"/>
        <v>0</v>
      </c>
      <c r="M7" s="208">
        <f t="shared" si="16"/>
        <v>0</v>
      </c>
      <c r="N7" s="208">
        <f t="shared" si="16"/>
        <v>0</v>
      </c>
      <c r="O7" s="208">
        <f t="shared" si="16"/>
        <v>0</v>
      </c>
      <c r="P7" s="208">
        <f t="shared" si="16"/>
        <v>0</v>
      </c>
      <c r="Q7" s="208">
        <f t="shared" si="16"/>
        <v>0</v>
      </c>
      <c r="R7" s="208">
        <f t="shared" si="16"/>
        <v>0</v>
      </c>
      <c r="S7" s="208">
        <f t="shared" si="16"/>
        <v>0</v>
      </c>
      <c r="T7" s="208">
        <f t="shared" si="16"/>
        <v>0</v>
      </c>
      <c r="U7" s="208">
        <f t="shared" si="16"/>
        <v>0</v>
      </c>
      <c r="V7" s="208">
        <f t="shared" si="16"/>
        <v>0</v>
      </c>
      <c r="W7" s="208">
        <f t="shared" si="16"/>
        <v>0</v>
      </c>
      <c r="X7" s="208">
        <f t="shared" si="16"/>
        <v>0</v>
      </c>
      <c r="Y7" s="208">
        <f t="shared" si="16"/>
        <v>0</v>
      </c>
      <c r="Z7" s="208">
        <f t="shared" si="16"/>
        <v>0</v>
      </c>
      <c r="AA7" s="208">
        <f t="shared" si="16"/>
        <v>0</v>
      </c>
      <c r="AB7" s="208">
        <f t="shared" si="16"/>
        <v>0</v>
      </c>
      <c r="AC7" s="208">
        <f t="shared" si="16"/>
        <v>0</v>
      </c>
      <c r="AD7" s="208">
        <f t="shared" si="16"/>
        <v>0</v>
      </c>
      <c r="AE7" s="208">
        <f t="shared" si="16"/>
        <v>0</v>
      </c>
      <c r="AF7" s="208">
        <f t="shared" si="16"/>
        <v>0</v>
      </c>
      <c r="AG7" s="208">
        <f t="shared" si="16"/>
        <v>0</v>
      </c>
      <c r="AH7" s="208">
        <f t="shared" si="16"/>
        <v>0</v>
      </c>
      <c r="AI7" s="208">
        <f t="shared" si="16"/>
        <v>0</v>
      </c>
      <c r="AJ7" s="208">
        <f t="shared" si="16"/>
        <v>513568</v>
      </c>
      <c r="AK7" s="208">
        <f t="shared" si="16"/>
        <v>486230.73</v>
      </c>
      <c r="AL7" s="208">
        <f t="shared" si="16"/>
        <v>791498.33</v>
      </c>
      <c r="AM7" s="208">
        <f t="shared" si="16"/>
        <v>664849.53</v>
      </c>
      <c r="AN7" s="208">
        <f t="shared" si="16"/>
        <v>664849.53</v>
      </c>
      <c r="AO7" s="208">
        <f t="shared" si="16"/>
        <v>654777.57999999996</v>
      </c>
      <c r="AP7" s="208">
        <f t="shared" si="16"/>
        <v>592976.98</v>
      </c>
      <c r="AQ7" s="208">
        <f t="shared" si="16"/>
        <v>592976.98</v>
      </c>
      <c r="AR7" s="208">
        <f t="shared" si="16"/>
        <v>592976.98</v>
      </c>
      <c r="AS7" s="208">
        <f t="shared" si="16"/>
        <v>158726.57999999996</v>
      </c>
      <c r="AT7" s="208">
        <f t="shared" si="16"/>
        <v>210083.38</v>
      </c>
      <c r="AU7" s="208">
        <f t="shared" si="16"/>
        <v>210083.38</v>
      </c>
      <c r="AV7" s="208">
        <f t="shared" si="16"/>
        <v>210083.38</v>
      </c>
      <c r="AW7" s="208">
        <f t="shared" si="16"/>
        <v>210083.38</v>
      </c>
      <c r="AX7" s="208">
        <f t="shared" si="16"/>
        <v>210083.38</v>
      </c>
      <c r="AY7" s="208">
        <f t="shared" si="16"/>
        <v>210083.38</v>
      </c>
      <c r="AZ7" s="208">
        <f t="shared" si="16"/>
        <v>210083.38</v>
      </c>
      <c r="BA7" s="208">
        <f t="shared" si="16"/>
        <v>210083.38</v>
      </c>
      <c r="BB7" s="208">
        <f t="shared" si="16"/>
        <v>210083.38</v>
      </c>
      <c r="BC7" s="208">
        <f t="shared" si="16"/>
        <v>210083.38</v>
      </c>
      <c r="BD7" s="208">
        <f t="shared" si="16"/>
        <v>210083.38</v>
      </c>
      <c r="BE7" s="208">
        <f t="shared" si="16"/>
        <v>210083.38</v>
      </c>
      <c r="BF7" s="208">
        <f t="shared" si="16"/>
        <v>210083.38</v>
      </c>
      <c r="BG7" s="208">
        <f t="shared" si="16"/>
        <v>210083.38</v>
      </c>
      <c r="BH7" s="208">
        <f t="shared" si="16"/>
        <v>210083.38</v>
      </c>
      <c r="BI7" s="208">
        <f t="shared" si="16"/>
        <v>210083.38</v>
      </c>
      <c r="BJ7" s="208">
        <f t="shared" si="16"/>
        <v>210083.38</v>
      </c>
      <c r="BK7" s="208">
        <f t="shared" si="16"/>
        <v>210083.38</v>
      </c>
      <c r="BL7" s="208">
        <f t="shared" si="16"/>
        <v>210083.38</v>
      </c>
      <c r="BM7" s="208">
        <f t="shared" si="16"/>
        <v>210083.38</v>
      </c>
      <c r="BN7" s="208">
        <f t="shared" si="16"/>
        <v>210083.38</v>
      </c>
      <c r="BO7" s="208">
        <f t="shared" si="16"/>
        <v>210083.38</v>
      </c>
      <c r="BP7" s="208">
        <f t="shared" si="16"/>
        <v>210083.38</v>
      </c>
      <c r="BQ7" s="208">
        <f t="shared" si="16"/>
        <v>210083.38</v>
      </c>
      <c r="BR7" s="208">
        <f t="shared" si="16"/>
        <v>210083.38</v>
      </c>
      <c r="BS7" s="208">
        <f t="shared" si="16"/>
        <v>210083.38</v>
      </c>
      <c r="BT7" s="208">
        <f t="shared" si="16"/>
        <v>210083.38</v>
      </c>
      <c r="BU7" s="208">
        <f t="shared" ref="BU7:EF7" si="17">BU4-BU6</f>
        <v>210083.38</v>
      </c>
      <c r="BV7" s="208">
        <f t="shared" si="17"/>
        <v>210083.38</v>
      </c>
      <c r="BW7" s="208">
        <f t="shared" si="17"/>
        <v>210083.38</v>
      </c>
      <c r="BX7" s="208">
        <f t="shared" si="17"/>
        <v>210083.38</v>
      </c>
      <c r="BY7" s="208">
        <f t="shared" si="17"/>
        <v>210083.38</v>
      </c>
      <c r="BZ7" s="208">
        <f t="shared" si="17"/>
        <v>210083.38</v>
      </c>
      <c r="CA7" s="208">
        <f t="shared" si="17"/>
        <v>210083.38</v>
      </c>
      <c r="CB7" s="208">
        <f t="shared" si="17"/>
        <v>210083.38</v>
      </c>
      <c r="CC7" s="208">
        <f t="shared" si="17"/>
        <v>210083.38</v>
      </c>
      <c r="CD7" s="208">
        <f t="shared" si="17"/>
        <v>210083.38</v>
      </c>
      <c r="CE7" s="208">
        <f t="shared" si="17"/>
        <v>210083.38</v>
      </c>
      <c r="CF7" s="208">
        <f t="shared" si="17"/>
        <v>210083.38</v>
      </c>
      <c r="CG7" s="208">
        <f t="shared" si="17"/>
        <v>210083.38</v>
      </c>
      <c r="CH7" s="208">
        <f t="shared" si="17"/>
        <v>210083.38</v>
      </c>
      <c r="CI7" s="208">
        <f t="shared" si="17"/>
        <v>210083.38</v>
      </c>
      <c r="CJ7" s="208">
        <f t="shared" si="17"/>
        <v>210083.38</v>
      </c>
      <c r="CK7" s="208">
        <f t="shared" si="17"/>
        <v>210083.38</v>
      </c>
      <c r="CL7" s="208">
        <f t="shared" si="17"/>
        <v>210083.38</v>
      </c>
      <c r="CM7" s="208">
        <f t="shared" si="17"/>
        <v>210083.38</v>
      </c>
      <c r="CN7" s="208">
        <f t="shared" si="17"/>
        <v>210083.38</v>
      </c>
      <c r="CO7" s="208">
        <f t="shared" si="17"/>
        <v>210083.38</v>
      </c>
      <c r="CP7" s="208">
        <f t="shared" si="17"/>
        <v>210083.38</v>
      </c>
      <c r="CQ7" s="208">
        <f t="shared" si="17"/>
        <v>210083.38</v>
      </c>
      <c r="CR7" s="208">
        <f t="shared" si="17"/>
        <v>210083.38</v>
      </c>
      <c r="CS7" s="208">
        <f t="shared" si="17"/>
        <v>210083.38</v>
      </c>
      <c r="CT7" s="208">
        <f t="shared" si="17"/>
        <v>210083.38</v>
      </c>
      <c r="CU7" s="208">
        <f t="shared" si="17"/>
        <v>210083.38</v>
      </c>
      <c r="CV7" s="208">
        <f t="shared" si="17"/>
        <v>210083.38</v>
      </c>
      <c r="CW7" s="208">
        <f t="shared" si="17"/>
        <v>210083.38</v>
      </c>
      <c r="CX7" s="208">
        <f t="shared" si="17"/>
        <v>210083.38</v>
      </c>
      <c r="CY7" s="208">
        <f t="shared" si="17"/>
        <v>210083.38</v>
      </c>
      <c r="CZ7" s="208">
        <f t="shared" si="17"/>
        <v>210083.38</v>
      </c>
      <c r="DA7" s="208">
        <f t="shared" si="17"/>
        <v>210083.38</v>
      </c>
      <c r="DB7" s="208">
        <f t="shared" si="17"/>
        <v>210083.38</v>
      </c>
      <c r="DC7" s="208">
        <f t="shared" si="17"/>
        <v>210083.38</v>
      </c>
      <c r="DD7" s="208">
        <f t="shared" si="17"/>
        <v>210083.38</v>
      </c>
      <c r="DE7" s="208">
        <f t="shared" si="17"/>
        <v>210083.38</v>
      </c>
      <c r="DF7" s="208">
        <f t="shared" si="17"/>
        <v>210083.38</v>
      </c>
      <c r="DG7" s="208">
        <f t="shared" si="17"/>
        <v>210083.38</v>
      </c>
      <c r="DH7" s="208">
        <f t="shared" si="17"/>
        <v>210083.38</v>
      </c>
      <c r="DI7" s="208">
        <f t="shared" si="17"/>
        <v>210083.38</v>
      </c>
      <c r="DJ7" s="208">
        <f t="shared" si="17"/>
        <v>210083.38</v>
      </c>
      <c r="DK7" s="208">
        <f t="shared" si="17"/>
        <v>210083.38</v>
      </c>
      <c r="DL7" s="208">
        <f t="shared" si="17"/>
        <v>210083.38</v>
      </c>
      <c r="DM7" s="208">
        <f t="shared" si="17"/>
        <v>210083.38</v>
      </c>
      <c r="DN7" s="208">
        <f t="shared" si="17"/>
        <v>210083.38</v>
      </c>
      <c r="DO7" s="208">
        <f t="shared" si="17"/>
        <v>210083.38</v>
      </c>
      <c r="DP7" s="208">
        <f t="shared" si="17"/>
        <v>210083.38</v>
      </c>
      <c r="DQ7" s="208">
        <f t="shared" si="17"/>
        <v>210083.38</v>
      </c>
      <c r="DR7" s="208">
        <f t="shared" si="17"/>
        <v>210083.38</v>
      </c>
      <c r="DS7" s="208">
        <f t="shared" si="17"/>
        <v>210083.38</v>
      </c>
      <c r="DT7" s="208">
        <f t="shared" si="17"/>
        <v>210083.38</v>
      </c>
      <c r="DU7" s="208">
        <f t="shared" si="17"/>
        <v>210083.38</v>
      </c>
      <c r="DV7" s="208">
        <f t="shared" si="17"/>
        <v>210083.38</v>
      </c>
      <c r="DW7" s="208">
        <f t="shared" si="17"/>
        <v>210083.38</v>
      </c>
      <c r="DX7" s="208">
        <f t="shared" si="17"/>
        <v>210083.38</v>
      </c>
      <c r="DY7" s="208">
        <f t="shared" si="17"/>
        <v>210083.38</v>
      </c>
      <c r="DZ7" s="208">
        <f t="shared" si="17"/>
        <v>210083.38</v>
      </c>
      <c r="EA7" s="208">
        <f t="shared" si="17"/>
        <v>210083.38</v>
      </c>
      <c r="EB7" s="208">
        <f t="shared" si="17"/>
        <v>210083.38</v>
      </c>
      <c r="EC7" s="208">
        <f t="shared" si="17"/>
        <v>210083.38</v>
      </c>
      <c r="ED7" s="208">
        <f t="shared" si="17"/>
        <v>210083.38</v>
      </c>
      <c r="EE7" s="208">
        <f t="shared" si="17"/>
        <v>210083.38</v>
      </c>
      <c r="EF7" s="208">
        <f t="shared" si="17"/>
        <v>210083.38</v>
      </c>
      <c r="EG7" s="208">
        <f t="shared" ref="EG7:GR7" si="18">EG4-EG6</f>
        <v>210083.38</v>
      </c>
      <c r="EH7" s="208">
        <f t="shared" si="18"/>
        <v>210083.38</v>
      </c>
      <c r="EI7" s="208">
        <f t="shared" si="18"/>
        <v>210083.38</v>
      </c>
      <c r="EJ7" s="208">
        <f t="shared" si="18"/>
        <v>210083.38</v>
      </c>
      <c r="EK7" s="208">
        <f t="shared" si="18"/>
        <v>210083.38</v>
      </c>
      <c r="EL7" s="208">
        <f t="shared" si="18"/>
        <v>210083.38</v>
      </c>
      <c r="EM7" s="208">
        <f t="shared" si="18"/>
        <v>210083.38</v>
      </c>
      <c r="EN7" s="208">
        <f t="shared" si="18"/>
        <v>210083.38</v>
      </c>
      <c r="EO7" s="208">
        <f t="shared" si="18"/>
        <v>210083.38</v>
      </c>
      <c r="EP7" s="208">
        <f t="shared" si="18"/>
        <v>210083.38</v>
      </c>
      <c r="EQ7" s="208">
        <f t="shared" si="18"/>
        <v>210083.38</v>
      </c>
      <c r="ER7" s="208">
        <f t="shared" si="18"/>
        <v>210083.38</v>
      </c>
      <c r="ES7" s="208">
        <f t="shared" si="18"/>
        <v>210083.38</v>
      </c>
      <c r="ET7" s="208">
        <f t="shared" si="18"/>
        <v>210083.38</v>
      </c>
      <c r="EU7" s="208">
        <f t="shared" si="18"/>
        <v>210083.38</v>
      </c>
      <c r="EV7" s="208">
        <f t="shared" si="18"/>
        <v>210083.38</v>
      </c>
      <c r="EW7" s="208">
        <f t="shared" si="18"/>
        <v>210083.38</v>
      </c>
      <c r="EX7" s="208">
        <f t="shared" si="18"/>
        <v>210083.38</v>
      </c>
      <c r="EY7" s="208">
        <f t="shared" si="18"/>
        <v>210083.38</v>
      </c>
      <c r="EZ7" s="208">
        <f t="shared" si="18"/>
        <v>210083.38</v>
      </c>
      <c r="FA7" s="208">
        <f t="shared" si="18"/>
        <v>210083.38</v>
      </c>
      <c r="FB7" s="208">
        <f t="shared" si="18"/>
        <v>210083.38</v>
      </c>
      <c r="FC7" s="208">
        <f t="shared" si="18"/>
        <v>210083.38</v>
      </c>
      <c r="FD7" s="208">
        <f t="shared" si="18"/>
        <v>210083.38</v>
      </c>
      <c r="FE7" s="208">
        <f t="shared" si="18"/>
        <v>210083.38</v>
      </c>
      <c r="FF7" s="208">
        <f t="shared" si="18"/>
        <v>210083.38</v>
      </c>
      <c r="FG7" s="208">
        <f t="shared" si="18"/>
        <v>210083.38</v>
      </c>
      <c r="FH7" s="208">
        <f t="shared" si="18"/>
        <v>210083.38</v>
      </c>
      <c r="FI7" s="208">
        <f t="shared" si="18"/>
        <v>210083.38</v>
      </c>
      <c r="FJ7" s="208">
        <f t="shared" si="18"/>
        <v>210083.38</v>
      </c>
      <c r="FK7" s="208">
        <f t="shared" si="18"/>
        <v>210083.38</v>
      </c>
      <c r="FL7" s="208">
        <f t="shared" si="18"/>
        <v>210083.38</v>
      </c>
      <c r="FM7" s="208">
        <f t="shared" si="18"/>
        <v>210083.38</v>
      </c>
      <c r="FN7" s="208">
        <f t="shared" si="18"/>
        <v>210083.38</v>
      </c>
      <c r="FO7" s="208">
        <f t="shared" si="18"/>
        <v>210083.38</v>
      </c>
      <c r="FP7" s="208">
        <f t="shared" si="18"/>
        <v>210083.38</v>
      </c>
      <c r="FQ7" s="208">
        <f t="shared" si="18"/>
        <v>210083.38</v>
      </c>
      <c r="FR7" s="208">
        <f t="shared" si="18"/>
        <v>210083.38</v>
      </c>
      <c r="FS7" s="208">
        <f t="shared" si="18"/>
        <v>210083.38</v>
      </c>
      <c r="FT7" s="208">
        <f t="shared" si="18"/>
        <v>210083.38</v>
      </c>
      <c r="FU7" s="208">
        <f t="shared" si="18"/>
        <v>210083.38</v>
      </c>
      <c r="FV7" s="208">
        <f t="shared" si="18"/>
        <v>210083.38</v>
      </c>
      <c r="FW7" s="208">
        <f t="shared" si="18"/>
        <v>210083.38</v>
      </c>
      <c r="FX7" s="208">
        <f t="shared" si="18"/>
        <v>210083.38</v>
      </c>
      <c r="FY7" s="208">
        <f t="shared" si="18"/>
        <v>210083.38</v>
      </c>
      <c r="FZ7" s="208">
        <f t="shared" si="18"/>
        <v>210083.38</v>
      </c>
      <c r="GA7" s="208">
        <f t="shared" si="18"/>
        <v>210083.38</v>
      </c>
      <c r="GB7" s="208">
        <f t="shared" si="18"/>
        <v>210083.38</v>
      </c>
      <c r="GC7" s="208">
        <f t="shared" si="18"/>
        <v>210083.38</v>
      </c>
      <c r="GD7" s="208">
        <f t="shared" si="18"/>
        <v>210083.38</v>
      </c>
      <c r="GE7" s="208">
        <f t="shared" si="18"/>
        <v>210083.38</v>
      </c>
      <c r="GF7" s="208">
        <f t="shared" si="18"/>
        <v>210083.38</v>
      </c>
      <c r="GG7" s="208">
        <f t="shared" si="18"/>
        <v>210083.38</v>
      </c>
      <c r="GH7" s="208">
        <f t="shared" si="18"/>
        <v>210083.38</v>
      </c>
      <c r="GI7" s="208">
        <f t="shared" si="18"/>
        <v>210083.38</v>
      </c>
      <c r="GJ7" s="208">
        <f t="shared" si="18"/>
        <v>210083.38</v>
      </c>
      <c r="GK7" s="208">
        <f t="shared" si="18"/>
        <v>210083.38</v>
      </c>
      <c r="GL7" s="208">
        <f t="shared" si="18"/>
        <v>210083.38</v>
      </c>
      <c r="GM7" s="208">
        <f t="shared" si="18"/>
        <v>210083.38</v>
      </c>
      <c r="GN7" s="208">
        <f t="shared" si="18"/>
        <v>210083.38</v>
      </c>
      <c r="GO7" s="208">
        <f t="shared" si="18"/>
        <v>210083.38</v>
      </c>
      <c r="GP7" s="208">
        <f t="shared" si="18"/>
        <v>210083.38</v>
      </c>
      <c r="GQ7" s="208">
        <f t="shared" si="18"/>
        <v>210083.38</v>
      </c>
      <c r="GR7" s="208">
        <f t="shared" si="18"/>
        <v>210083.38</v>
      </c>
      <c r="GS7" s="208">
        <f t="shared" ref="GS7:JD7" si="19">GS4-GS6</f>
        <v>210083.38</v>
      </c>
      <c r="GT7" s="208">
        <f t="shared" si="19"/>
        <v>210083.38</v>
      </c>
      <c r="GU7" s="208">
        <f t="shared" si="19"/>
        <v>210083.38</v>
      </c>
      <c r="GV7" s="208">
        <f t="shared" si="19"/>
        <v>210083.38</v>
      </c>
      <c r="GW7" s="208">
        <f t="shared" si="19"/>
        <v>210083.38</v>
      </c>
      <c r="GX7" s="208">
        <f t="shared" si="19"/>
        <v>210083.38</v>
      </c>
      <c r="GY7" s="208">
        <f t="shared" si="19"/>
        <v>210083.38</v>
      </c>
      <c r="GZ7" s="208">
        <f t="shared" si="19"/>
        <v>210083.38</v>
      </c>
      <c r="HA7" s="208">
        <f t="shared" si="19"/>
        <v>210083.38</v>
      </c>
      <c r="HB7" s="208">
        <f t="shared" si="19"/>
        <v>210083.38</v>
      </c>
      <c r="HC7" s="208">
        <f t="shared" si="19"/>
        <v>210083.38</v>
      </c>
      <c r="HD7" s="208">
        <f t="shared" si="19"/>
        <v>210083.38</v>
      </c>
      <c r="HE7" s="208">
        <f t="shared" si="19"/>
        <v>210083.38</v>
      </c>
      <c r="HF7" s="208">
        <f t="shared" si="19"/>
        <v>210083.38</v>
      </c>
      <c r="HG7" s="208">
        <f t="shared" si="19"/>
        <v>210083.38</v>
      </c>
      <c r="HH7" s="208">
        <f t="shared" si="19"/>
        <v>210083.38</v>
      </c>
      <c r="HI7" s="208">
        <f t="shared" si="19"/>
        <v>210083.38</v>
      </c>
      <c r="HJ7" s="208">
        <f t="shared" si="19"/>
        <v>210083.38</v>
      </c>
      <c r="HK7" s="208">
        <f t="shared" si="19"/>
        <v>210083.38</v>
      </c>
      <c r="HL7" s="208">
        <f t="shared" si="19"/>
        <v>210083.38</v>
      </c>
      <c r="HM7" s="208">
        <f t="shared" si="19"/>
        <v>210083.38</v>
      </c>
      <c r="HN7" s="208">
        <f t="shared" si="19"/>
        <v>210083.38</v>
      </c>
      <c r="HO7" s="208">
        <f t="shared" si="19"/>
        <v>210083.38</v>
      </c>
      <c r="HP7" s="208">
        <f t="shared" si="19"/>
        <v>210083.38</v>
      </c>
      <c r="HQ7" s="208">
        <f t="shared" si="19"/>
        <v>210083.38</v>
      </c>
      <c r="HR7" s="208">
        <f t="shared" si="19"/>
        <v>210083.38</v>
      </c>
      <c r="HS7" s="208">
        <f t="shared" si="19"/>
        <v>210083.38</v>
      </c>
      <c r="HT7" s="208">
        <f t="shared" si="19"/>
        <v>210083.38</v>
      </c>
      <c r="HU7" s="208">
        <f t="shared" si="19"/>
        <v>210083.38</v>
      </c>
      <c r="HV7" s="208">
        <f t="shared" si="19"/>
        <v>210083.38</v>
      </c>
      <c r="HW7" s="208">
        <f t="shared" si="19"/>
        <v>210083.38</v>
      </c>
      <c r="HX7" s="208">
        <f t="shared" si="19"/>
        <v>210083.38</v>
      </c>
      <c r="HY7" s="208">
        <f t="shared" si="19"/>
        <v>210083.38</v>
      </c>
      <c r="HZ7" s="208">
        <f t="shared" si="19"/>
        <v>210083.38</v>
      </c>
      <c r="IA7" s="208">
        <f t="shared" si="19"/>
        <v>210083.38</v>
      </c>
      <c r="IB7" s="208">
        <f t="shared" si="19"/>
        <v>210083.38</v>
      </c>
      <c r="IC7" s="208">
        <f t="shared" si="19"/>
        <v>210083.38</v>
      </c>
      <c r="ID7" s="208">
        <f t="shared" si="19"/>
        <v>210083.38</v>
      </c>
      <c r="IE7" s="208">
        <f t="shared" si="19"/>
        <v>210083.38</v>
      </c>
      <c r="IF7" s="208">
        <f t="shared" si="19"/>
        <v>210083.38</v>
      </c>
      <c r="IG7" s="208">
        <f t="shared" si="19"/>
        <v>210083.38</v>
      </c>
      <c r="IH7" s="208">
        <f t="shared" si="19"/>
        <v>210083.38</v>
      </c>
      <c r="II7" s="208">
        <f t="shared" si="19"/>
        <v>210083.38</v>
      </c>
      <c r="IJ7" s="208">
        <f t="shared" si="19"/>
        <v>210083.38</v>
      </c>
      <c r="IK7" s="208">
        <f t="shared" si="19"/>
        <v>210083.38</v>
      </c>
      <c r="IL7" s="208">
        <f t="shared" si="19"/>
        <v>210083.38</v>
      </c>
      <c r="IM7" s="208">
        <f t="shared" si="19"/>
        <v>210083.38</v>
      </c>
      <c r="IN7" s="208">
        <f t="shared" si="19"/>
        <v>210083.38</v>
      </c>
      <c r="IO7" s="208">
        <f t="shared" si="19"/>
        <v>210083.38</v>
      </c>
      <c r="IP7" s="208">
        <f t="shared" si="19"/>
        <v>210083.38</v>
      </c>
      <c r="IQ7" s="208">
        <f t="shared" si="19"/>
        <v>210083.38</v>
      </c>
      <c r="IR7" s="208">
        <f t="shared" si="19"/>
        <v>210083.38</v>
      </c>
      <c r="IS7" s="208">
        <f t="shared" si="19"/>
        <v>210083.38</v>
      </c>
      <c r="IT7" s="208">
        <f t="shared" si="19"/>
        <v>210083.38</v>
      </c>
      <c r="IU7" s="208">
        <f t="shared" si="19"/>
        <v>210083.38</v>
      </c>
      <c r="IV7" s="208">
        <f t="shared" si="19"/>
        <v>210083.38</v>
      </c>
      <c r="IW7" s="208">
        <f t="shared" si="19"/>
        <v>210083.38</v>
      </c>
      <c r="IX7" s="208">
        <f t="shared" si="19"/>
        <v>210083.38</v>
      </c>
      <c r="IY7" s="208">
        <f t="shared" si="19"/>
        <v>210083.38</v>
      </c>
      <c r="IZ7" s="208">
        <f t="shared" si="19"/>
        <v>210083.38</v>
      </c>
      <c r="JA7" s="208">
        <f t="shared" si="19"/>
        <v>210083.38</v>
      </c>
      <c r="JB7" s="208">
        <f t="shared" si="19"/>
        <v>210083.38</v>
      </c>
      <c r="JC7" s="208">
        <f t="shared" si="19"/>
        <v>210083.38</v>
      </c>
      <c r="JD7" s="208">
        <f t="shared" si="19"/>
        <v>210083.38</v>
      </c>
      <c r="JE7" s="208">
        <f t="shared" ref="JE7:LD7" si="20">JE4-JE6</f>
        <v>210083.38</v>
      </c>
      <c r="JF7" s="208">
        <f t="shared" si="20"/>
        <v>210083.38</v>
      </c>
      <c r="JG7" s="208">
        <f t="shared" si="20"/>
        <v>210083.38</v>
      </c>
      <c r="JH7" s="208">
        <f t="shared" si="20"/>
        <v>210083.38</v>
      </c>
      <c r="JI7" s="208">
        <f t="shared" si="20"/>
        <v>210083.38</v>
      </c>
      <c r="JJ7" s="208">
        <f t="shared" si="20"/>
        <v>210083.38</v>
      </c>
      <c r="JK7" s="208">
        <f t="shared" si="20"/>
        <v>210083.38</v>
      </c>
      <c r="JL7" s="208">
        <f t="shared" si="20"/>
        <v>210083.38</v>
      </c>
      <c r="JM7" s="208">
        <f t="shared" si="20"/>
        <v>210083.38</v>
      </c>
      <c r="JN7" s="208">
        <f t="shared" si="20"/>
        <v>210083.38</v>
      </c>
      <c r="JO7" s="208">
        <f t="shared" si="20"/>
        <v>210083.38</v>
      </c>
      <c r="JP7" s="208">
        <f t="shared" si="20"/>
        <v>210083.38</v>
      </c>
      <c r="JQ7" s="208">
        <f t="shared" si="20"/>
        <v>210083.38</v>
      </c>
      <c r="JR7" s="208">
        <f t="shared" si="20"/>
        <v>210083.38</v>
      </c>
      <c r="JS7" s="208">
        <f t="shared" si="20"/>
        <v>210083.38</v>
      </c>
      <c r="JT7" s="208">
        <f t="shared" si="20"/>
        <v>210083.38</v>
      </c>
      <c r="JU7" s="208">
        <f t="shared" si="20"/>
        <v>210083.38</v>
      </c>
      <c r="JV7" s="208">
        <f t="shared" si="20"/>
        <v>210083.38</v>
      </c>
      <c r="JW7" s="208">
        <f t="shared" si="20"/>
        <v>210083.38</v>
      </c>
      <c r="JX7" s="208">
        <f t="shared" si="20"/>
        <v>210083.38</v>
      </c>
      <c r="JY7" s="208">
        <f t="shared" si="20"/>
        <v>210083.38</v>
      </c>
      <c r="JZ7" s="208">
        <f t="shared" si="20"/>
        <v>210083.38</v>
      </c>
      <c r="KA7" s="208">
        <f t="shared" si="20"/>
        <v>210083.38</v>
      </c>
      <c r="KB7" s="208">
        <f t="shared" si="20"/>
        <v>210083.38</v>
      </c>
      <c r="KC7" s="208">
        <f t="shared" si="20"/>
        <v>210083.38</v>
      </c>
      <c r="KD7" s="208">
        <f t="shared" si="20"/>
        <v>210083.38</v>
      </c>
      <c r="KE7" s="208">
        <f t="shared" si="20"/>
        <v>210083.38</v>
      </c>
      <c r="KF7" s="208">
        <f t="shared" si="20"/>
        <v>210083.38</v>
      </c>
      <c r="KG7" s="208">
        <f t="shared" si="20"/>
        <v>210083.38</v>
      </c>
      <c r="KH7" s="208">
        <f t="shared" si="20"/>
        <v>210083.38</v>
      </c>
      <c r="KI7" s="208">
        <f t="shared" si="20"/>
        <v>210083.38</v>
      </c>
      <c r="KJ7" s="208">
        <f t="shared" si="20"/>
        <v>210083.38</v>
      </c>
      <c r="KK7" s="208">
        <f t="shared" si="20"/>
        <v>210083.38</v>
      </c>
      <c r="KL7" s="208">
        <f t="shared" si="20"/>
        <v>210083.38</v>
      </c>
      <c r="KM7" s="208">
        <f t="shared" si="20"/>
        <v>210083.38</v>
      </c>
      <c r="KN7" s="208">
        <f t="shared" si="20"/>
        <v>210083.38</v>
      </c>
      <c r="KO7" s="208">
        <f t="shared" si="20"/>
        <v>210083.38</v>
      </c>
      <c r="KP7" s="208">
        <f t="shared" si="20"/>
        <v>210083.38</v>
      </c>
      <c r="KQ7" s="208">
        <f t="shared" si="20"/>
        <v>210083.38</v>
      </c>
      <c r="KR7" s="208">
        <f t="shared" si="20"/>
        <v>210083.38</v>
      </c>
      <c r="KS7" s="208">
        <f t="shared" si="20"/>
        <v>210083.38</v>
      </c>
      <c r="KT7" s="208">
        <f t="shared" si="20"/>
        <v>210083.38</v>
      </c>
      <c r="KU7" s="208">
        <f t="shared" si="20"/>
        <v>210083.38</v>
      </c>
      <c r="KV7" s="208">
        <f t="shared" si="20"/>
        <v>210083.38</v>
      </c>
      <c r="KW7" s="208">
        <f t="shared" si="20"/>
        <v>210083.38</v>
      </c>
      <c r="KX7" s="208">
        <f t="shared" si="20"/>
        <v>210083.38</v>
      </c>
      <c r="KY7" s="208">
        <f t="shared" si="20"/>
        <v>210083.38</v>
      </c>
      <c r="KZ7" s="208">
        <f t="shared" si="20"/>
        <v>210083.38</v>
      </c>
      <c r="LA7" s="208">
        <f t="shared" si="20"/>
        <v>210083.38</v>
      </c>
      <c r="LB7" s="208">
        <f t="shared" si="20"/>
        <v>210083.38</v>
      </c>
      <c r="LC7" s="208">
        <f t="shared" si="20"/>
        <v>210083.38</v>
      </c>
      <c r="LD7" s="208">
        <f t="shared" si="20"/>
        <v>210083.38</v>
      </c>
    </row>
    <row r="8" spans="1:794" s="192" customFormat="1">
      <c r="A8" s="808" t="s">
        <v>147</v>
      </c>
      <c r="B8" s="193"/>
      <c r="C8" s="194" t="s">
        <v>234</v>
      </c>
      <c r="D8" s="194" t="s">
        <v>234</v>
      </c>
      <c r="E8" s="194"/>
      <c r="F8" s="209"/>
      <c r="G8" s="209"/>
      <c r="H8" s="209"/>
      <c r="I8" s="209"/>
      <c r="J8" s="209"/>
      <c r="K8" s="209"/>
      <c r="L8" s="209"/>
      <c r="M8" s="209"/>
      <c r="N8" s="209"/>
      <c r="O8" s="209"/>
      <c r="P8" s="209"/>
      <c r="Q8" s="209"/>
      <c r="R8" s="209"/>
      <c r="S8" s="209"/>
      <c r="T8" s="209"/>
      <c r="U8" s="209"/>
      <c r="V8" s="209"/>
      <c r="W8" s="209"/>
      <c r="X8" s="209"/>
      <c r="Y8" s="209"/>
      <c r="Z8" s="209"/>
      <c r="AA8" s="209"/>
      <c r="AB8" s="209"/>
      <c r="AC8" s="209"/>
      <c r="AD8" s="209"/>
      <c r="AE8" s="209"/>
      <c r="AF8" s="209"/>
      <c r="AG8" s="209"/>
      <c r="AH8" s="209"/>
      <c r="AI8" s="209"/>
      <c r="AJ8" s="209"/>
      <c r="AK8" s="209"/>
      <c r="AL8" s="209"/>
      <c r="AM8" s="209"/>
      <c r="AN8" s="209"/>
      <c r="AO8" s="209"/>
      <c r="AP8" s="209"/>
      <c r="AQ8" s="209"/>
      <c r="AR8" s="209"/>
      <c r="AS8" s="209"/>
      <c r="AT8" s="209"/>
      <c r="AU8" s="209"/>
      <c r="AV8" s="209"/>
      <c r="AW8" s="209"/>
      <c r="AX8" s="209"/>
      <c r="AY8" s="209"/>
      <c r="AZ8" s="209"/>
      <c r="BA8" s="209"/>
      <c r="BB8" s="209"/>
      <c r="BC8" s="209"/>
      <c r="BD8" s="209"/>
      <c r="BE8" s="209"/>
      <c r="BF8" s="209"/>
      <c r="BG8" s="209"/>
      <c r="BH8" s="209"/>
      <c r="BI8" s="209"/>
      <c r="BJ8" s="209"/>
      <c r="BK8" s="209"/>
      <c r="BL8" s="209"/>
      <c r="BM8" s="209"/>
      <c r="BN8" s="209"/>
      <c r="BO8" s="209"/>
      <c r="BP8" s="209"/>
      <c r="BQ8" s="209"/>
      <c r="BR8" s="209"/>
      <c r="BS8" s="209"/>
      <c r="BT8" s="209"/>
      <c r="BU8" s="209"/>
      <c r="BV8" s="209"/>
      <c r="BW8" s="209"/>
      <c r="BX8" s="209"/>
      <c r="BY8" s="209"/>
      <c r="BZ8" s="209"/>
      <c r="CA8" s="209"/>
      <c r="CB8" s="209"/>
      <c r="CC8" s="209"/>
      <c r="CD8" s="209"/>
      <c r="CE8" s="209"/>
      <c r="CF8" s="209"/>
      <c r="CG8" s="209"/>
      <c r="CH8" s="209"/>
      <c r="CI8" s="209"/>
      <c r="CJ8" s="209"/>
      <c r="CK8" s="209"/>
      <c r="CL8" s="209"/>
      <c r="CM8" s="209"/>
      <c r="CN8" s="209"/>
      <c r="CO8" s="209"/>
      <c r="CP8" s="209"/>
      <c r="CQ8" s="209"/>
      <c r="CR8" s="209"/>
      <c r="CS8" s="209"/>
      <c r="CT8" s="209"/>
      <c r="CU8" s="209"/>
      <c r="CV8" s="209"/>
      <c r="CW8" s="209"/>
      <c r="CX8" s="209"/>
      <c r="CY8" s="209"/>
      <c r="CZ8" s="209"/>
      <c r="DA8" s="209"/>
      <c r="DB8" s="209"/>
      <c r="DC8" s="209"/>
      <c r="DD8" s="209"/>
      <c r="DE8" s="209"/>
      <c r="DF8" s="209"/>
      <c r="DG8" s="209"/>
      <c r="DH8" s="209"/>
      <c r="DI8" s="209"/>
      <c r="DJ8" s="209"/>
      <c r="DK8" s="209"/>
      <c r="DL8" s="209"/>
      <c r="DM8" s="209"/>
      <c r="DN8" s="209"/>
      <c r="DO8" s="209"/>
      <c r="DP8" s="209"/>
      <c r="DQ8" s="209"/>
      <c r="DR8" s="209"/>
      <c r="DS8" s="209"/>
      <c r="DT8" s="209"/>
      <c r="DU8" s="209"/>
      <c r="DV8" s="209"/>
      <c r="DW8" s="209"/>
      <c r="DX8" s="209"/>
      <c r="DY8" s="209"/>
      <c r="DZ8" s="209"/>
      <c r="EA8" s="209"/>
      <c r="EB8" s="209"/>
      <c r="EC8" s="209"/>
      <c r="ED8" s="209"/>
      <c r="EE8" s="209"/>
      <c r="EF8" s="209"/>
      <c r="EG8" s="209"/>
      <c r="EH8" s="209"/>
      <c r="EI8" s="209"/>
      <c r="EJ8" s="209"/>
      <c r="EK8" s="209"/>
      <c r="EL8" s="209"/>
      <c r="EM8" s="209"/>
      <c r="EN8" s="209"/>
      <c r="EO8" s="209"/>
      <c r="EP8" s="209"/>
      <c r="EQ8" s="209"/>
      <c r="ER8" s="209"/>
      <c r="ES8" s="209"/>
      <c r="ET8" s="209"/>
      <c r="EU8" s="209"/>
      <c r="EV8" s="209"/>
      <c r="EW8" s="209"/>
      <c r="EX8" s="209"/>
      <c r="EY8" s="209"/>
      <c r="EZ8" s="209"/>
      <c r="FA8" s="209"/>
      <c r="FB8" s="209"/>
      <c r="FC8" s="209"/>
      <c r="FD8" s="209"/>
      <c r="FE8" s="209"/>
      <c r="FF8" s="209"/>
      <c r="FG8" s="209"/>
      <c r="FH8" s="209"/>
      <c r="FI8" s="209"/>
      <c r="FJ8" s="209"/>
      <c r="FK8" s="209"/>
      <c r="FL8" s="209"/>
      <c r="FM8" s="209"/>
      <c r="FN8" s="209"/>
      <c r="FO8" s="209"/>
      <c r="FP8" s="209"/>
      <c r="FQ8" s="209"/>
      <c r="FR8" s="209"/>
      <c r="FS8" s="209"/>
      <c r="FT8" s="209"/>
      <c r="FU8" s="209"/>
      <c r="FV8" s="209"/>
      <c r="FW8" s="209"/>
      <c r="FX8" s="209"/>
      <c r="FY8" s="209"/>
      <c r="FZ8" s="209"/>
      <c r="GA8" s="209"/>
      <c r="GB8" s="209"/>
      <c r="GC8" s="209"/>
      <c r="GD8" s="209"/>
      <c r="GE8" s="209"/>
      <c r="GF8" s="209"/>
      <c r="GG8" s="209"/>
      <c r="GH8" s="209"/>
      <c r="GI8" s="209"/>
      <c r="GJ8" s="209"/>
      <c r="GK8" s="209"/>
      <c r="GL8" s="209"/>
      <c r="GM8" s="209"/>
      <c r="GN8" s="209"/>
      <c r="GO8" s="209"/>
      <c r="GP8" s="209"/>
      <c r="GQ8" s="209"/>
      <c r="GR8" s="209"/>
      <c r="GS8" s="209"/>
      <c r="GT8" s="209"/>
      <c r="GU8" s="209"/>
      <c r="GV8" s="209"/>
      <c r="GW8" s="209"/>
      <c r="GX8" s="209"/>
      <c r="GY8" s="209"/>
      <c r="GZ8" s="209"/>
      <c r="HA8" s="209"/>
      <c r="HB8" s="209"/>
      <c r="HC8" s="209"/>
      <c r="HD8" s="209"/>
      <c r="HE8" s="209"/>
      <c r="HF8" s="209"/>
      <c r="HG8" s="209"/>
      <c r="HH8" s="209"/>
      <c r="HI8" s="209"/>
      <c r="HJ8" s="209"/>
      <c r="HK8" s="209"/>
      <c r="HL8" s="209"/>
      <c r="HM8" s="209"/>
      <c r="HN8" s="209"/>
      <c r="HO8" s="209"/>
      <c r="HP8" s="209"/>
      <c r="HQ8" s="209"/>
      <c r="HR8" s="209"/>
      <c r="HS8" s="209"/>
      <c r="HT8" s="209"/>
      <c r="HU8" s="209"/>
      <c r="HV8" s="209"/>
      <c r="HW8" s="209"/>
      <c r="HX8" s="209"/>
      <c r="HY8" s="209"/>
      <c r="HZ8" s="209"/>
      <c r="IA8" s="209"/>
      <c r="IB8" s="209"/>
      <c r="IC8" s="209"/>
      <c r="ID8" s="209"/>
      <c r="IE8" s="209"/>
      <c r="IF8" s="209"/>
      <c r="IG8" s="209"/>
      <c r="IH8" s="209"/>
      <c r="II8" s="209"/>
      <c r="IJ8" s="209"/>
      <c r="IK8" s="209"/>
      <c r="IL8" s="209"/>
      <c r="IM8" s="209"/>
      <c r="IN8" s="209"/>
      <c r="IO8" s="209"/>
      <c r="IP8" s="209"/>
      <c r="IQ8" s="209"/>
      <c r="IR8" s="209"/>
      <c r="IS8" s="209"/>
      <c r="IT8" s="209"/>
      <c r="IU8" s="209"/>
      <c r="IV8" s="209"/>
      <c r="IW8" s="209"/>
      <c r="IX8" s="209"/>
      <c r="IY8" s="209"/>
      <c r="IZ8" s="209"/>
      <c r="JA8" s="209"/>
      <c r="JB8" s="209"/>
      <c r="JC8" s="209"/>
      <c r="JD8" s="209"/>
      <c r="JE8" s="209"/>
      <c r="JF8" s="209"/>
      <c r="JG8" s="209"/>
      <c r="JH8" s="209"/>
      <c r="JI8" s="209"/>
      <c r="JJ8" s="209"/>
      <c r="JK8" s="209"/>
      <c r="JL8" s="209"/>
      <c r="JM8" s="209"/>
      <c r="JN8" s="209"/>
      <c r="JO8" s="209"/>
      <c r="JP8" s="209"/>
      <c r="JQ8" s="209"/>
      <c r="JR8" s="209"/>
      <c r="JS8" s="209"/>
      <c r="JT8" s="209"/>
      <c r="JU8" s="209"/>
      <c r="JV8" s="209"/>
      <c r="JW8" s="209"/>
      <c r="JX8" s="209"/>
      <c r="JY8" s="209"/>
      <c r="JZ8" s="209"/>
      <c r="KA8" s="209"/>
      <c r="KB8" s="209"/>
      <c r="KC8" s="209"/>
      <c r="KD8" s="209"/>
      <c r="KE8" s="209"/>
      <c r="KF8" s="209"/>
      <c r="KG8" s="209"/>
      <c r="KH8" s="209"/>
      <c r="KI8" s="209"/>
      <c r="KJ8" s="209"/>
      <c r="KK8" s="209"/>
      <c r="KL8" s="209"/>
      <c r="KM8" s="209"/>
      <c r="KN8" s="209"/>
      <c r="KO8" s="209"/>
      <c r="KP8" s="209"/>
      <c r="KQ8" s="209"/>
      <c r="KR8" s="209"/>
      <c r="KS8" s="209"/>
      <c r="KT8" s="209"/>
      <c r="KU8" s="209"/>
      <c r="KV8" s="209"/>
      <c r="KW8" s="209"/>
      <c r="KX8" s="209"/>
      <c r="KY8" s="209"/>
      <c r="KZ8" s="209"/>
      <c r="LA8" s="209"/>
      <c r="LB8" s="209"/>
      <c r="LC8" s="209"/>
      <c r="LD8" s="209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10" t="s">
        <v>389</v>
      </c>
      <c r="C9" s="211">
        <f>'Revenue Tracking'!F4</f>
        <v>1027136</v>
      </c>
      <c r="D9" s="211">
        <f>SUM(F9:LD9)</f>
        <v>1027136</v>
      </c>
      <c r="E9" s="198"/>
      <c r="F9" s="212">
        <f>SUMIFS('Revenue Tracking'!$F$13:$F$19, 'Revenue Tracking'!$P$13:$P$19, "&gt;="&amp;F1,'Revenue Tracking'!$P$13:$P$19, "&lt;"&amp;G1)</f>
        <v>0</v>
      </c>
      <c r="G9" s="212">
        <f>SUMIFS('Revenue Tracking'!$F$13:$F$19, 'Revenue Tracking'!$P$13:$P$19, "&gt;="&amp;G1,'Revenue Tracking'!$P$13:$P$19, "&lt;"&amp;H1)</f>
        <v>0</v>
      </c>
      <c r="H9" s="212">
        <f>SUMIFS('Revenue Tracking'!$F$13:$F$19, 'Revenue Tracking'!$P$13:$P$19, "&gt;="&amp;H1,'Revenue Tracking'!$P$13:$P$19, "&lt;"&amp;I1)</f>
        <v>0</v>
      </c>
      <c r="I9" s="212">
        <f>SUMIFS('Revenue Tracking'!$F$13:$F$19, 'Revenue Tracking'!$P$13:$P$19, "&gt;="&amp;I1,'Revenue Tracking'!$P$13:$P$19, "&lt;"&amp;J1)</f>
        <v>0</v>
      </c>
      <c r="J9" s="212">
        <f>SUMIFS('Revenue Tracking'!$F$13:$F$19, 'Revenue Tracking'!$P$13:$P$19, "&gt;="&amp;J1,'Revenue Tracking'!$P$13:$P$19, "&lt;"&amp;K1)</f>
        <v>0</v>
      </c>
      <c r="K9" s="212">
        <f>SUMIFS('Revenue Tracking'!$F$13:$F$19, 'Revenue Tracking'!$P$13:$P$19, "&gt;="&amp;K1,'Revenue Tracking'!$P$13:$P$19, "&lt;"&amp;L1)</f>
        <v>0</v>
      </c>
      <c r="L9" s="212">
        <f>SUMIFS('Revenue Tracking'!$F$13:$F$19, 'Revenue Tracking'!$P$13:$P$19, "&gt;="&amp;L1,'Revenue Tracking'!$P$13:$P$19, "&lt;"&amp;M1)</f>
        <v>0</v>
      </c>
      <c r="M9" s="212">
        <f>SUMIFS('Revenue Tracking'!$F$13:$F$19, 'Revenue Tracking'!$P$13:$P$19, "&gt;="&amp;M1,'Revenue Tracking'!$P$13:$P$19, "&lt;"&amp;N1)</f>
        <v>0</v>
      </c>
      <c r="N9" s="212">
        <f>SUMIFS('Revenue Tracking'!$F$13:$F$19, 'Revenue Tracking'!$P$13:$P$19, "&gt;="&amp;N1,'Revenue Tracking'!$P$13:$P$19, "&lt;"&amp;O1)</f>
        <v>0</v>
      </c>
      <c r="O9" s="212">
        <f>SUMIFS('Revenue Tracking'!$F$13:$F$19, 'Revenue Tracking'!$P$13:$P$19, "&gt;="&amp;O1,'Revenue Tracking'!$P$13:$P$19, "&lt;"&amp;P1)</f>
        <v>0</v>
      </c>
      <c r="P9" s="212">
        <f>SUMIFS('Revenue Tracking'!$F$13:$F$19, 'Revenue Tracking'!$P$13:$P$19, "&gt;="&amp;P1,'Revenue Tracking'!$P$13:$P$19, "&lt;"&amp;Q1)</f>
        <v>0</v>
      </c>
      <c r="Q9" s="212">
        <f>SUMIFS('Revenue Tracking'!$F$13:$F$19, 'Revenue Tracking'!$P$13:$P$19, "&gt;="&amp;Q1,'Revenue Tracking'!$P$13:$P$19, "&lt;"&amp;R1)</f>
        <v>0</v>
      </c>
      <c r="R9" s="212">
        <f>SUMIFS('Revenue Tracking'!$F$13:$F$19, 'Revenue Tracking'!$P$13:$P$19, "&gt;="&amp;R1,'Revenue Tracking'!$P$13:$P$19, "&lt;"&amp;S1)</f>
        <v>0</v>
      </c>
      <c r="S9" s="212">
        <f>SUMIFS('Revenue Tracking'!$F$13:$F$19, 'Revenue Tracking'!$P$13:$P$19, "&gt;="&amp;S1,'Revenue Tracking'!$P$13:$P$19, "&lt;"&amp;T1)</f>
        <v>0</v>
      </c>
      <c r="T9" s="212">
        <f>SUMIFS('Revenue Tracking'!$F$13:$F$19, 'Revenue Tracking'!$P$13:$P$19, "&gt;="&amp;T1,'Revenue Tracking'!$P$13:$P$19, "&lt;"&amp;U1)</f>
        <v>0</v>
      </c>
      <c r="U9" s="212">
        <f>SUMIFS('Revenue Tracking'!$F$13:$F$19, 'Revenue Tracking'!$P$13:$P$19, "&gt;="&amp;U1,'Revenue Tracking'!$P$13:$P$19, "&lt;"&amp;V1)</f>
        <v>0</v>
      </c>
      <c r="V9" s="212">
        <f>SUMIFS('Revenue Tracking'!$F$13:$F$19, 'Revenue Tracking'!$P$13:$P$19, "&gt;="&amp;V1,'Revenue Tracking'!$P$13:$P$19, "&lt;"&amp;W1)</f>
        <v>0</v>
      </c>
      <c r="W9" s="212">
        <f>SUMIFS('Revenue Tracking'!$F$13:$F$19, 'Revenue Tracking'!$P$13:$P$19, "&gt;="&amp;W1,'Revenue Tracking'!$P$13:$P$19, "&lt;"&amp;X1)</f>
        <v>0</v>
      </c>
      <c r="X9" s="212">
        <f>SUMIFS('Revenue Tracking'!$F$13:$F$19, 'Revenue Tracking'!$P$13:$P$19, "&gt;="&amp;X1,'Revenue Tracking'!$P$13:$P$19, "&lt;"&amp;Y1)</f>
        <v>0</v>
      </c>
      <c r="Y9" s="212">
        <f>SUMIFS('Revenue Tracking'!$F$13:$F$19, 'Revenue Tracking'!$P$13:$P$19, "&gt;="&amp;Y1,'Revenue Tracking'!$P$13:$P$19, "&lt;"&amp;Z1)</f>
        <v>0</v>
      </c>
      <c r="Z9" s="212">
        <f>SUMIFS('Revenue Tracking'!$F$13:$F$19, 'Revenue Tracking'!$P$13:$P$19, "&gt;="&amp;Z1,'Revenue Tracking'!$P$13:$P$19, "&lt;"&amp;AA1)</f>
        <v>0</v>
      </c>
      <c r="AA9" s="212">
        <f>SUMIFS('Revenue Tracking'!$F$13:$F$19, 'Revenue Tracking'!$P$13:$P$19, "&gt;="&amp;AA1,'Revenue Tracking'!$P$13:$P$19, "&lt;"&amp;AB1)</f>
        <v>0</v>
      </c>
      <c r="AB9" s="212">
        <f>SUMIFS('Revenue Tracking'!$F$13:$F$19, 'Revenue Tracking'!$P$13:$P$19, "&gt;="&amp;AB1,'Revenue Tracking'!$P$13:$P$19, "&lt;"&amp;AC1)</f>
        <v>0</v>
      </c>
      <c r="AC9" s="212">
        <f>SUMIFS('Revenue Tracking'!$F$13:$F$19, 'Revenue Tracking'!$P$13:$P$19, "&gt;="&amp;AC1,'Revenue Tracking'!$P$13:$P$19, "&lt;"&amp;AD1)</f>
        <v>0</v>
      </c>
      <c r="AD9" s="212">
        <f>SUMIFS('Revenue Tracking'!$F$13:$F$19, 'Revenue Tracking'!$P$13:$P$19, "&gt;="&amp;AD1,'Revenue Tracking'!$P$13:$P$19, "&lt;"&amp;AE1)</f>
        <v>0</v>
      </c>
      <c r="AE9" s="212">
        <f>SUMIFS('Revenue Tracking'!$F$13:$F$19, 'Revenue Tracking'!$P$13:$P$19, "&gt;="&amp;AE1,'Revenue Tracking'!$P$13:$P$19, "&lt;"&amp;AF1)</f>
        <v>0</v>
      </c>
      <c r="AF9" s="212">
        <f>SUMIFS('Revenue Tracking'!$F$13:$F$19, 'Revenue Tracking'!$P$13:$P$19, "&gt;="&amp;AF1,'Revenue Tracking'!$P$13:$P$19, "&lt;"&amp;AG1)</f>
        <v>0</v>
      </c>
      <c r="AG9" s="212">
        <f>SUMIFS('Revenue Tracking'!$F$13:$F$19, 'Revenue Tracking'!$P$13:$P$19, "&gt;="&amp;AG1,'Revenue Tracking'!$P$13:$P$19, "&lt;"&amp;AH1)</f>
        <v>0</v>
      </c>
      <c r="AH9" s="212">
        <f>SUMIFS('Revenue Tracking'!$F$13:$F$19, 'Revenue Tracking'!$P$13:$P$19, "&gt;="&amp;AH1,'Revenue Tracking'!$P$13:$P$19, "&lt;"&amp;AI1)</f>
        <v>513568</v>
      </c>
      <c r="AI9" s="212">
        <f>SUMIFS('Revenue Tracking'!$F$13:$F$19, 'Revenue Tracking'!$P$13:$P$19, "&gt;="&amp;AI1,'Revenue Tracking'!$P$13:$P$19, "&lt;"&amp;AJ1)</f>
        <v>0</v>
      </c>
      <c r="AJ9" s="212">
        <f>SUMIFS('Revenue Tracking'!$F$13:$F$19, 'Revenue Tracking'!$P$13:$P$19, "&gt;="&amp;AJ1,'Revenue Tracking'!$P$13:$P$19, "&lt;"&amp;AK1)</f>
        <v>0</v>
      </c>
      <c r="AK9" s="212">
        <f>SUMIFS('Revenue Tracking'!$F$13:$F$19, 'Revenue Tracking'!$P$13:$P$19, "&gt;="&amp;AK1,'Revenue Tracking'!$P$13:$P$19, "&lt;"&amp;AL1)</f>
        <v>0</v>
      </c>
      <c r="AL9" s="212">
        <f>SUMIFS('Revenue Tracking'!$F$13:$F$19, 'Revenue Tracking'!$P$13:$P$19, "&gt;="&amp;AL1,'Revenue Tracking'!$P$13:$P$19, "&lt;"&amp;AM1)</f>
        <v>359497.6</v>
      </c>
      <c r="AM9" s="212">
        <f>SUMIFS('Revenue Tracking'!$F$13:$F$19, 'Revenue Tracking'!$P$13:$P$19, "&gt;="&amp;AM1,'Revenue Tracking'!$P$13:$P$19, "&lt;"&amp;AN1)</f>
        <v>0</v>
      </c>
      <c r="AN9" s="212">
        <f>SUMIFS('Revenue Tracking'!$F$13:$F$19, 'Revenue Tracking'!$P$13:$P$19, "&gt;="&amp;AN1,'Revenue Tracking'!$P$13:$P$19, "&lt;"&amp;AO1)</f>
        <v>0</v>
      </c>
      <c r="AO9" s="212">
        <f>SUMIFS('Revenue Tracking'!$F$13:$F$19, 'Revenue Tracking'!$P$13:$P$19, "&gt;="&amp;AO1,'Revenue Tracking'!$P$13:$P$19, "&lt;"&amp;AP1)</f>
        <v>0</v>
      </c>
      <c r="AP9" s="212">
        <f>SUMIFS('Revenue Tracking'!$F$13:$F$19, 'Revenue Tracking'!$P$13:$P$19, "&gt;="&amp;AP1,'Revenue Tracking'!$P$13:$P$19, "&lt;"&amp;AQ1)</f>
        <v>0</v>
      </c>
      <c r="AQ9" s="212">
        <f>SUMIFS('Revenue Tracking'!$F$13:$F$19, 'Revenue Tracking'!$P$13:$P$19, "&gt;="&amp;AQ1,'Revenue Tracking'!$P$13:$P$19, "&lt;"&amp;AR1)</f>
        <v>0</v>
      </c>
      <c r="AR9" s="212">
        <f>SUMIFS('Revenue Tracking'!$F$13:$F$19, 'Revenue Tracking'!$P$13:$P$19, "&gt;="&amp;AR1,'Revenue Tracking'!$P$13:$P$19, "&lt;"&amp;AS1)</f>
        <v>0</v>
      </c>
      <c r="AS9" s="212">
        <f>SUMIFS('Revenue Tracking'!$F$13:$F$19, 'Revenue Tracking'!$P$13:$P$19, "&gt;="&amp;AS1,'Revenue Tracking'!$P$13:$P$19, "&lt;"&amp;AT1)</f>
        <v>0</v>
      </c>
      <c r="AT9" s="212">
        <f>SUMIFS('Revenue Tracking'!$F$13:$F$19, 'Revenue Tracking'!$P$13:$P$19, "&gt;="&amp;AT1,'Revenue Tracking'!$P$13:$P$19, "&lt;"&amp;AU1)</f>
        <v>0</v>
      </c>
      <c r="AU9" s="212">
        <f>SUMIFS('Revenue Tracking'!$F$13:$F$19, 'Revenue Tracking'!$P$13:$P$19, "&gt;="&amp;AU1,'Revenue Tracking'!$P$13:$P$19, "&lt;"&amp;AV1)</f>
        <v>0</v>
      </c>
      <c r="AV9" s="212">
        <f>SUMIFS('Revenue Tracking'!$F$13:$F$19, 'Revenue Tracking'!$P$13:$P$19, "&gt;="&amp;AV1,'Revenue Tracking'!$P$13:$P$19, "&lt;"&amp;AW1)</f>
        <v>0</v>
      </c>
      <c r="AW9" s="212">
        <f>SUMIFS('Revenue Tracking'!$F$13:$F$19, 'Revenue Tracking'!$P$13:$P$19, "&gt;="&amp;AW1,'Revenue Tracking'!$P$13:$P$19, "&lt;"&amp;AX1)</f>
        <v>154070.40000000002</v>
      </c>
      <c r="AX9" s="212">
        <f>SUMIFS('Revenue Tracking'!$F$13:$F$19, 'Revenue Tracking'!$P$13:$P$19, "&gt;="&amp;AX1,'Revenue Tracking'!$P$13:$P$19, "&lt;"&amp;AY1)</f>
        <v>0</v>
      </c>
      <c r="AY9" s="212">
        <f>SUMIFS('Revenue Tracking'!$F$13:$F$19, 'Revenue Tracking'!$P$13:$P$19, "&gt;="&amp;AY1,'Revenue Tracking'!$P$13:$P$19, "&lt;"&amp;AZ1)</f>
        <v>0</v>
      </c>
      <c r="AZ9" s="212">
        <f>SUMIFS('Revenue Tracking'!$F$13:$F$19, 'Revenue Tracking'!$P$13:$P$19, "&gt;="&amp;AZ1,'Revenue Tracking'!$P$13:$P$19, "&lt;"&amp;BA1)</f>
        <v>0</v>
      </c>
      <c r="BA9" s="212">
        <f>SUMIFS('Revenue Tracking'!$F$13:$F$19, 'Revenue Tracking'!$P$13:$P$19, "&gt;="&amp;BA1,'Revenue Tracking'!$P$13:$P$19, "&lt;"&amp;BB1)</f>
        <v>0</v>
      </c>
      <c r="BB9" s="212">
        <f>SUMIFS('Revenue Tracking'!$F$13:$F$19, 'Revenue Tracking'!$P$13:$P$19, "&gt;="&amp;BB1,'Revenue Tracking'!$P$13:$P$19, "&lt;"&amp;BC1)</f>
        <v>0</v>
      </c>
      <c r="BC9" s="212">
        <f>SUMIFS('Revenue Tracking'!$F$13:$F$19, 'Revenue Tracking'!$P$13:$P$19, "&gt;="&amp;BC1,'Revenue Tracking'!$P$13:$P$19, "&lt;"&amp;BD1)</f>
        <v>0</v>
      </c>
      <c r="BD9" s="212">
        <f>SUMIFS('Revenue Tracking'!$F$13:$F$19, 'Revenue Tracking'!$P$13:$P$19, "&gt;="&amp;BD1,'Revenue Tracking'!$P$13:$P$19, "&lt;"&amp;BE1)</f>
        <v>0</v>
      </c>
      <c r="BE9" s="212">
        <f>SUMIFS('Revenue Tracking'!$F$13:$F$19, 'Revenue Tracking'!$P$13:$P$19, "&gt;="&amp;BE1,'Revenue Tracking'!$P$13:$P$19, "&lt;"&amp;BF1)</f>
        <v>0</v>
      </c>
      <c r="BF9" s="212">
        <f>SUMIFS('Revenue Tracking'!$F$13:$F$19, 'Revenue Tracking'!$P$13:$P$19, "&gt;="&amp;BF1,'Revenue Tracking'!$P$13:$P$19, "&lt;"&amp;BG1)</f>
        <v>0</v>
      </c>
      <c r="BG9" s="212">
        <f>SUMIFS('Revenue Tracking'!$F$13:$F$19, 'Revenue Tracking'!$P$13:$P$19, "&gt;="&amp;BG1,'Revenue Tracking'!$P$13:$P$19, "&lt;"&amp;BH1)</f>
        <v>0</v>
      </c>
      <c r="BH9" s="212">
        <f>SUMIFS('Revenue Tracking'!$F$13:$F$19, 'Revenue Tracking'!$P$13:$P$19, "&gt;="&amp;BH1,'Revenue Tracking'!$P$13:$P$19, "&lt;"&amp;BI1)</f>
        <v>0</v>
      </c>
      <c r="BI9" s="212">
        <f>SUMIFS('Revenue Tracking'!$F$13:$F$19, 'Revenue Tracking'!$P$13:$P$19, "&gt;="&amp;BI1,'Revenue Tracking'!$P$13:$P$19, "&lt;"&amp;BJ1)</f>
        <v>0</v>
      </c>
      <c r="BJ9" s="212">
        <f>SUMIFS('Revenue Tracking'!$F$13:$F$19, 'Revenue Tracking'!$P$13:$P$19, "&gt;="&amp;BJ1,'Revenue Tracking'!$P$13:$P$19, "&lt;"&amp;BK1)</f>
        <v>0</v>
      </c>
      <c r="BK9" s="212">
        <f>SUMIFS('Revenue Tracking'!$F$13:$F$19, 'Revenue Tracking'!$P$13:$P$19, "&gt;="&amp;BK1,'Revenue Tracking'!$P$13:$P$19, "&lt;"&amp;BL1)</f>
        <v>0</v>
      </c>
      <c r="BL9" s="212">
        <f>SUMIFS('Revenue Tracking'!$F$13:$F$19, 'Revenue Tracking'!$P$13:$P$19, "&gt;="&amp;BL1,'Revenue Tracking'!$P$13:$P$19, "&lt;"&amp;BM1)</f>
        <v>0</v>
      </c>
      <c r="BM9" s="212">
        <f>SUMIFS('Revenue Tracking'!$F$13:$F$19, 'Revenue Tracking'!$P$13:$P$19, "&gt;="&amp;BM1,'Revenue Tracking'!$P$13:$P$19, "&lt;"&amp;BN1)</f>
        <v>0</v>
      </c>
      <c r="BN9" s="212">
        <f>SUMIFS('Revenue Tracking'!$F$13:$F$19, 'Revenue Tracking'!$P$13:$P$19, "&gt;="&amp;BN1,'Revenue Tracking'!$P$13:$P$19, "&lt;"&amp;BO1)</f>
        <v>0</v>
      </c>
      <c r="BO9" s="212">
        <f>SUMIFS('Revenue Tracking'!$F$13:$F$19, 'Revenue Tracking'!$P$13:$P$19, "&gt;="&amp;BO1,'Revenue Tracking'!$P$13:$P$19, "&lt;"&amp;BP1)</f>
        <v>0</v>
      </c>
      <c r="BP9" s="212">
        <f>SUMIFS('Revenue Tracking'!$F$13:$F$19, 'Revenue Tracking'!$P$13:$P$19, "&gt;="&amp;BP1,'Revenue Tracking'!$P$13:$P$19, "&lt;"&amp;BQ1)</f>
        <v>0</v>
      </c>
      <c r="BQ9" s="212">
        <f>SUMIFS('Revenue Tracking'!$F$13:$F$19, 'Revenue Tracking'!$P$13:$P$19, "&gt;="&amp;BQ1,'Revenue Tracking'!$P$13:$P$19, "&lt;"&amp;BR1)</f>
        <v>0</v>
      </c>
      <c r="BR9" s="212">
        <f>SUMIFS('Revenue Tracking'!$F$13:$F$19, 'Revenue Tracking'!$P$13:$P$19, "&gt;="&amp;BR1,'Revenue Tracking'!$P$13:$P$19, "&lt;"&amp;BS1)</f>
        <v>0</v>
      </c>
      <c r="BS9" s="212">
        <f>SUMIFS('Revenue Tracking'!$F$13:$F$19, 'Revenue Tracking'!$P$13:$P$19, "&gt;="&amp;BS1,'Revenue Tracking'!$P$13:$P$19, "&lt;"&amp;BT1)</f>
        <v>0</v>
      </c>
      <c r="BT9" s="212">
        <f>SUMIFS('Revenue Tracking'!$F$13:$F$19, 'Revenue Tracking'!$P$13:$P$19, "&gt;="&amp;BT1,'Revenue Tracking'!$P$13:$P$19, "&lt;"&amp;BU1)</f>
        <v>0</v>
      </c>
      <c r="BU9" s="212">
        <f>SUMIFS('Revenue Tracking'!$F$13:$F$19, 'Revenue Tracking'!$P$13:$P$19, "&gt;="&amp;BU1,'Revenue Tracking'!$P$13:$P$19, "&lt;"&amp;BV1)</f>
        <v>0</v>
      </c>
      <c r="BV9" s="212">
        <f>SUMIFS('Revenue Tracking'!$F$13:$F$19, 'Revenue Tracking'!$P$13:$P$19, "&gt;="&amp;BV1,'Revenue Tracking'!$P$13:$P$19, "&lt;"&amp;BW1)</f>
        <v>0</v>
      </c>
      <c r="BW9" s="212">
        <f>SUMIFS('Revenue Tracking'!$F$13:$F$19, 'Revenue Tracking'!$P$13:$P$19, "&gt;="&amp;BW1,'Revenue Tracking'!$P$13:$P$19, "&lt;"&amp;BX1)</f>
        <v>0</v>
      </c>
      <c r="BX9" s="212">
        <f>SUMIFS('Revenue Tracking'!$F$13:$F$19, 'Revenue Tracking'!$P$13:$P$19, "&gt;="&amp;BX1,'Revenue Tracking'!$P$13:$P$19, "&lt;"&amp;BY1)</f>
        <v>0</v>
      </c>
      <c r="BY9" s="212">
        <f>SUMIFS('Revenue Tracking'!$F$13:$F$19, 'Revenue Tracking'!$P$13:$P$19, "&gt;="&amp;BY1,'Revenue Tracking'!$P$13:$P$19, "&lt;"&amp;BZ1)</f>
        <v>0</v>
      </c>
      <c r="BZ9" s="212">
        <f>SUMIFS('Revenue Tracking'!$F$13:$F$19, 'Revenue Tracking'!$P$13:$P$19, "&gt;="&amp;BZ1,'Revenue Tracking'!$P$13:$P$19, "&lt;"&amp;CA1)</f>
        <v>0</v>
      </c>
      <c r="CA9" s="212">
        <f>SUMIFS('Revenue Tracking'!$F$13:$F$19, 'Revenue Tracking'!$P$13:$P$19, "&gt;="&amp;CA1,'Revenue Tracking'!$P$13:$P$19, "&lt;"&amp;CB1)</f>
        <v>0</v>
      </c>
      <c r="CB9" s="212">
        <f>SUMIFS('Revenue Tracking'!$F$13:$F$19, 'Revenue Tracking'!$P$13:$P$19, "&gt;="&amp;CB1,'Revenue Tracking'!$P$13:$P$19, "&lt;"&amp;CC1)</f>
        <v>0</v>
      </c>
      <c r="CC9" s="212">
        <f>SUMIFS('Revenue Tracking'!$F$13:$F$19, 'Revenue Tracking'!$P$13:$P$19, "&gt;="&amp;CC1,'Revenue Tracking'!$P$13:$P$19, "&lt;"&amp;CD1)</f>
        <v>0</v>
      </c>
      <c r="CD9" s="212">
        <f>SUMIFS('Revenue Tracking'!$F$13:$F$19, 'Revenue Tracking'!$P$13:$P$19, "&gt;="&amp;CD1,'Revenue Tracking'!$P$13:$P$19, "&lt;"&amp;CE1)</f>
        <v>0</v>
      </c>
      <c r="CE9" s="212">
        <f>SUMIFS('Revenue Tracking'!$F$13:$F$19, 'Revenue Tracking'!$P$13:$P$19, "&gt;="&amp;CE1,'Revenue Tracking'!$P$13:$P$19, "&lt;"&amp;CF1)</f>
        <v>0</v>
      </c>
      <c r="CF9" s="212">
        <f>SUMIFS('Revenue Tracking'!$F$13:$F$19, 'Revenue Tracking'!$P$13:$P$19, "&gt;="&amp;CF1,'Revenue Tracking'!$P$13:$P$19, "&lt;"&amp;CG1)</f>
        <v>0</v>
      </c>
      <c r="CG9" s="212">
        <f>SUMIFS('Revenue Tracking'!$F$13:$F$19, 'Revenue Tracking'!$P$13:$P$19, "&gt;="&amp;CG1,'Revenue Tracking'!$P$13:$P$19, "&lt;"&amp;CH1)</f>
        <v>0</v>
      </c>
      <c r="CH9" s="212">
        <f>SUMIFS('Revenue Tracking'!$F$13:$F$19, 'Revenue Tracking'!$P$13:$P$19, "&gt;="&amp;CH1,'Revenue Tracking'!$P$13:$P$19, "&lt;"&amp;CI1)</f>
        <v>0</v>
      </c>
      <c r="CI9" s="212">
        <f>SUMIFS('Revenue Tracking'!$F$13:$F$19, 'Revenue Tracking'!$P$13:$P$19, "&gt;="&amp;CI1,'Revenue Tracking'!$P$13:$P$19, "&lt;"&amp;CJ1)</f>
        <v>0</v>
      </c>
      <c r="CJ9" s="212">
        <f>SUMIFS('Revenue Tracking'!$F$13:$F$19, 'Revenue Tracking'!$P$13:$P$19, "&gt;="&amp;CJ1,'Revenue Tracking'!$P$13:$P$19, "&lt;"&amp;CK1)</f>
        <v>0</v>
      </c>
      <c r="CK9" s="212">
        <f>SUMIFS('Revenue Tracking'!$F$13:$F$19, 'Revenue Tracking'!$P$13:$P$19, "&gt;="&amp;CK1,'Revenue Tracking'!$P$13:$P$19, "&lt;"&amp;CL1)</f>
        <v>0</v>
      </c>
      <c r="CL9" s="212">
        <f>SUMIFS('Revenue Tracking'!$F$13:$F$19, 'Revenue Tracking'!$P$13:$P$19, "&gt;="&amp;CL1,'Revenue Tracking'!$P$13:$P$19, "&lt;"&amp;CM1)</f>
        <v>0</v>
      </c>
      <c r="CM9" s="212">
        <f>SUMIFS('Revenue Tracking'!$F$13:$F$19, 'Revenue Tracking'!$P$13:$P$19, "&gt;="&amp;CM1,'Revenue Tracking'!$P$13:$P$19, "&lt;"&amp;CN1)</f>
        <v>0</v>
      </c>
      <c r="CN9" s="212">
        <f>SUMIFS('Revenue Tracking'!$F$13:$F$19, 'Revenue Tracking'!$P$13:$P$19, "&gt;="&amp;CN1,'Revenue Tracking'!$P$13:$P$19, "&lt;"&amp;CO1)</f>
        <v>0</v>
      </c>
      <c r="CO9" s="212">
        <f>SUMIFS('Revenue Tracking'!$F$13:$F$19, 'Revenue Tracking'!$P$13:$P$19, "&gt;="&amp;CO1,'Revenue Tracking'!$P$13:$P$19, "&lt;"&amp;CP1)</f>
        <v>0</v>
      </c>
      <c r="CP9" s="212">
        <f>SUMIFS('Revenue Tracking'!$F$13:$F$19, 'Revenue Tracking'!$P$13:$P$19, "&gt;="&amp;CP1,'Revenue Tracking'!$P$13:$P$19, "&lt;"&amp;CQ1)</f>
        <v>0</v>
      </c>
      <c r="CQ9" s="212">
        <f>SUMIFS('Revenue Tracking'!$F$13:$F$19, 'Revenue Tracking'!$P$13:$P$19, "&gt;="&amp;CQ1,'Revenue Tracking'!$P$13:$P$19, "&lt;"&amp;CR1)</f>
        <v>0</v>
      </c>
      <c r="CR9" s="212">
        <f>SUMIFS('Revenue Tracking'!$F$13:$F$19, 'Revenue Tracking'!$P$13:$P$19, "&gt;="&amp;CR1,'Revenue Tracking'!$P$13:$P$19, "&lt;"&amp;CS1)</f>
        <v>0</v>
      </c>
      <c r="CS9" s="212">
        <f>SUMIFS('Revenue Tracking'!$F$13:$F$19, 'Revenue Tracking'!$P$13:$P$19, "&gt;="&amp;CS1,'Revenue Tracking'!$P$13:$P$19, "&lt;"&amp;CT1)</f>
        <v>0</v>
      </c>
      <c r="CT9" s="212">
        <f>SUMIFS('Revenue Tracking'!$F$13:$F$19, 'Revenue Tracking'!$P$13:$P$19, "&gt;="&amp;CT1,'Revenue Tracking'!$P$13:$P$19, "&lt;"&amp;CU1)</f>
        <v>0</v>
      </c>
      <c r="CU9" s="212">
        <f>SUMIFS('Revenue Tracking'!$F$13:$F$19, 'Revenue Tracking'!$P$13:$P$19, "&gt;="&amp;CU1,'Revenue Tracking'!$P$13:$P$19, "&lt;"&amp;CV1)</f>
        <v>0</v>
      </c>
      <c r="CV9" s="212">
        <f>SUMIFS('Revenue Tracking'!$F$13:$F$19, 'Revenue Tracking'!$P$13:$P$19, "&gt;="&amp;CV1,'Revenue Tracking'!$P$13:$P$19, "&lt;"&amp;CW1)</f>
        <v>0</v>
      </c>
      <c r="CW9" s="212">
        <f>SUMIFS('Revenue Tracking'!$F$13:$F$19, 'Revenue Tracking'!$P$13:$P$19, "&gt;="&amp;CW1,'Revenue Tracking'!$P$13:$P$19, "&lt;"&amp;CX1)</f>
        <v>0</v>
      </c>
      <c r="CX9" s="212">
        <f>SUMIFS('Revenue Tracking'!$F$13:$F$19, 'Revenue Tracking'!$P$13:$P$19, "&gt;="&amp;CX1,'Revenue Tracking'!$P$13:$P$19, "&lt;"&amp;CY1)</f>
        <v>0</v>
      </c>
      <c r="CY9" s="212">
        <f>SUMIFS('Revenue Tracking'!$F$13:$F$19, 'Revenue Tracking'!$P$13:$P$19, "&gt;="&amp;CY1,'Revenue Tracking'!$P$13:$P$19, "&lt;"&amp;CZ1)</f>
        <v>0</v>
      </c>
      <c r="CZ9" s="212">
        <f>SUMIFS('Revenue Tracking'!$F$13:$F$19, 'Revenue Tracking'!$P$13:$P$19, "&gt;="&amp;CZ1,'Revenue Tracking'!$P$13:$P$19, "&lt;"&amp;DA1)</f>
        <v>0</v>
      </c>
      <c r="DA9" s="212">
        <f>SUMIFS('Revenue Tracking'!$F$13:$F$19, 'Revenue Tracking'!$P$13:$P$19, "&gt;="&amp;DA1,'Revenue Tracking'!$P$13:$P$19, "&lt;"&amp;DB1)</f>
        <v>0</v>
      </c>
      <c r="DB9" s="212">
        <f>SUMIFS('Revenue Tracking'!$F$13:$F$19, 'Revenue Tracking'!$P$13:$P$19, "&gt;="&amp;DB1,'Revenue Tracking'!$P$13:$P$19, "&lt;"&amp;DC1)</f>
        <v>0</v>
      </c>
      <c r="DC9" s="212">
        <f>SUMIFS('Revenue Tracking'!$F$13:$F$19, 'Revenue Tracking'!$P$13:$P$19, "&gt;="&amp;DC1,'Revenue Tracking'!$P$13:$P$19, "&lt;"&amp;DD1)</f>
        <v>0</v>
      </c>
      <c r="DD9" s="212">
        <f>SUMIFS('Revenue Tracking'!$F$13:$F$19, 'Revenue Tracking'!$P$13:$P$19, "&gt;="&amp;DD1,'Revenue Tracking'!$P$13:$P$19, "&lt;"&amp;DE1)</f>
        <v>0</v>
      </c>
      <c r="DE9" s="212">
        <f>SUMIFS('Revenue Tracking'!$F$13:$F$19, 'Revenue Tracking'!$P$13:$P$19, "&gt;="&amp;DE1,'Revenue Tracking'!$P$13:$P$19, "&lt;"&amp;DF1)</f>
        <v>0</v>
      </c>
      <c r="DF9" s="212">
        <f>SUMIFS('Revenue Tracking'!$F$13:$F$19, 'Revenue Tracking'!$P$13:$P$19, "&gt;="&amp;DF1,'Revenue Tracking'!$P$13:$P$19, "&lt;"&amp;DG1)</f>
        <v>0</v>
      </c>
      <c r="DG9" s="212">
        <f>SUMIFS('Revenue Tracking'!$F$13:$F$19, 'Revenue Tracking'!$P$13:$P$19, "&gt;="&amp;DG1,'Revenue Tracking'!$P$13:$P$19, "&lt;"&amp;DH1)</f>
        <v>0</v>
      </c>
      <c r="DH9" s="212">
        <f>SUMIFS('Revenue Tracking'!$F$13:$F$19, 'Revenue Tracking'!$P$13:$P$19, "&gt;="&amp;DH1,'Revenue Tracking'!$P$13:$P$19, "&lt;"&amp;DI1)</f>
        <v>0</v>
      </c>
      <c r="DI9" s="212">
        <f>SUMIFS('Revenue Tracking'!$F$13:$F$19, 'Revenue Tracking'!$P$13:$P$19, "&gt;="&amp;DI1,'Revenue Tracking'!$P$13:$P$19, "&lt;"&amp;DJ1)</f>
        <v>0</v>
      </c>
      <c r="DJ9" s="212">
        <f>SUMIFS('Revenue Tracking'!$F$13:$F$19, 'Revenue Tracking'!$P$13:$P$19, "&gt;="&amp;DJ1,'Revenue Tracking'!$P$13:$P$19, "&lt;"&amp;DK1)</f>
        <v>0</v>
      </c>
      <c r="DK9" s="212">
        <f>SUMIFS('Revenue Tracking'!$F$13:$F$19, 'Revenue Tracking'!$P$13:$P$19, "&gt;="&amp;DK1,'Revenue Tracking'!$P$13:$P$19, "&lt;"&amp;DL1)</f>
        <v>0</v>
      </c>
      <c r="DL9" s="212">
        <f>SUMIFS('Revenue Tracking'!$F$13:$F$19, 'Revenue Tracking'!$P$13:$P$19, "&gt;="&amp;DL1,'Revenue Tracking'!$P$13:$P$19, "&lt;"&amp;DM1)</f>
        <v>0</v>
      </c>
      <c r="DM9" s="212">
        <f>SUMIFS('Revenue Tracking'!$F$13:$F$19, 'Revenue Tracking'!$P$13:$P$19, "&gt;="&amp;DM1,'Revenue Tracking'!$P$13:$P$19, "&lt;"&amp;DN1)</f>
        <v>0</v>
      </c>
      <c r="DN9" s="212">
        <f>SUMIFS('Revenue Tracking'!$F$13:$F$19, 'Revenue Tracking'!$P$13:$P$19, "&gt;="&amp;DN1,'Revenue Tracking'!$P$13:$P$19, "&lt;"&amp;DO1)</f>
        <v>0</v>
      </c>
      <c r="DO9" s="212">
        <f>SUMIFS('Revenue Tracking'!$F$13:$F$19, 'Revenue Tracking'!$P$13:$P$19, "&gt;="&amp;DO1,'Revenue Tracking'!$P$13:$P$19, "&lt;"&amp;DP1)</f>
        <v>0</v>
      </c>
      <c r="DP9" s="212">
        <f>SUMIFS('Revenue Tracking'!$F$13:$F$19, 'Revenue Tracking'!$P$13:$P$19, "&gt;="&amp;DP1,'Revenue Tracking'!$P$13:$P$19, "&lt;"&amp;DQ1)</f>
        <v>0</v>
      </c>
      <c r="DQ9" s="212">
        <f>SUMIFS('Revenue Tracking'!$F$13:$F$19, 'Revenue Tracking'!$P$13:$P$19, "&gt;="&amp;DQ1,'Revenue Tracking'!$P$13:$P$19, "&lt;"&amp;DR1)</f>
        <v>0</v>
      </c>
      <c r="DR9" s="212">
        <f>SUMIFS('Revenue Tracking'!$F$13:$F$19, 'Revenue Tracking'!$P$13:$P$19, "&gt;="&amp;DR1,'Revenue Tracking'!$P$13:$P$19, "&lt;"&amp;DS1)</f>
        <v>0</v>
      </c>
      <c r="DS9" s="212">
        <f>SUMIFS('Revenue Tracking'!$F$13:$F$19, 'Revenue Tracking'!$P$13:$P$19, "&gt;="&amp;DS1,'Revenue Tracking'!$P$13:$P$19, "&lt;"&amp;DT1)</f>
        <v>0</v>
      </c>
      <c r="DT9" s="212">
        <f>SUMIFS('Revenue Tracking'!$F$13:$F$19, 'Revenue Tracking'!$P$13:$P$19, "&gt;="&amp;DT1,'Revenue Tracking'!$P$13:$P$19, "&lt;"&amp;DU1)</f>
        <v>0</v>
      </c>
      <c r="DU9" s="212">
        <f>SUMIFS('Revenue Tracking'!$F$13:$F$19, 'Revenue Tracking'!$P$13:$P$19, "&gt;="&amp;DU1,'Revenue Tracking'!$P$13:$P$19, "&lt;"&amp;DV1)</f>
        <v>0</v>
      </c>
      <c r="DV9" s="212">
        <f>SUMIFS('Revenue Tracking'!$F$13:$F$19, 'Revenue Tracking'!$P$13:$P$19, "&gt;="&amp;DV1,'Revenue Tracking'!$P$13:$P$19, "&lt;"&amp;DW1)</f>
        <v>0</v>
      </c>
      <c r="DW9" s="212">
        <f>SUMIFS('Revenue Tracking'!$F$13:$F$19, 'Revenue Tracking'!$P$13:$P$19, "&gt;="&amp;DW1,'Revenue Tracking'!$P$13:$P$19, "&lt;"&amp;DX1)</f>
        <v>0</v>
      </c>
      <c r="DX9" s="212">
        <f>SUMIFS('Revenue Tracking'!$F$13:$F$19, 'Revenue Tracking'!$P$13:$P$19, "&gt;="&amp;DX1,'Revenue Tracking'!$P$13:$P$19, "&lt;"&amp;DY1)</f>
        <v>0</v>
      </c>
      <c r="DY9" s="212">
        <f>SUMIFS('Revenue Tracking'!$F$13:$F$19, 'Revenue Tracking'!$P$13:$P$19, "&gt;="&amp;DY1,'Revenue Tracking'!$P$13:$P$19, "&lt;"&amp;DZ1)</f>
        <v>0</v>
      </c>
      <c r="DZ9" s="212">
        <f>SUMIFS('Revenue Tracking'!$F$13:$F$19, 'Revenue Tracking'!$P$13:$P$19, "&gt;="&amp;DZ1,'Revenue Tracking'!$P$13:$P$19, "&lt;"&amp;EA1)</f>
        <v>0</v>
      </c>
      <c r="EA9" s="212">
        <f>SUMIFS('Revenue Tracking'!$F$13:$F$19, 'Revenue Tracking'!$P$13:$P$19, "&gt;="&amp;EA1,'Revenue Tracking'!$P$13:$P$19, "&lt;"&amp;EB1)</f>
        <v>0</v>
      </c>
      <c r="EB9" s="212">
        <f>SUMIFS('Revenue Tracking'!$F$13:$F$19, 'Revenue Tracking'!$P$13:$P$19, "&gt;="&amp;EB1,'Revenue Tracking'!$P$13:$P$19, "&lt;"&amp;EC1)</f>
        <v>0</v>
      </c>
      <c r="EC9" s="212">
        <f>SUMIFS('Revenue Tracking'!$F$13:$F$19, 'Revenue Tracking'!$P$13:$P$19, "&gt;="&amp;EC1,'Revenue Tracking'!$P$13:$P$19, "&lt;"&amp;ED1)</f>
        <v>0</v>
      </c>
      <c r="ED9" s="212">
        <f>SUMIFS('Revenue Tracking'!$F$13:$F$19, 'Revenue Tracking'!$P$13:$P$19, "&gt;="&amp;ED1,'Revenue Tracking'!$P$13:$P$19, "&lt;"&amp;EE1)</f>
        <v>0</v>
      </c>
      <c r="EE9" s="212">
        <f>SUMIFS('Revenue Tracking'!$F$13:$F$19, 'Revenue Tracking'!$P$13:$P$19, "&gt;="&amp;EE1,'Revenue Tracking'!$P$13:$P$19, "&lt;"&amp;EF1)</f>
        <v>0</v>
      </c>
      <c r="EF9" s="212">
        <f>SUMIFS('Revenue Tracking'!$F$13:$F$19, 'Revenue Tracking'!$P$13:$P$19, "&gt;="&amp;EF1,'Revenue Tracking'!$P$13:$P$19, "&lt;"&amp;EG1)</f>
        <v>0</v>
      </c>
      <c r="EG9" s="212">
        <f>SUMIFS('Revenue Tracking'!$F$13:$F$19, 'Revenue Tracking'!$P$13:$P$19, "&gt;="&amp;EG1,'Revenue Tracking'!$P$13:$P$19, "&lt;"&amp;EH1)</f>
        <v>0</v>
      </c>
      <c r="EH9" s="212">
        <f>SUMIFS('Revenue Tracking'!$F$13:$F$19, 'Revenue Tracking'!$P$13:$P$19, "&gt;="&amp;EH1,'Revenue Tracking'!$P$13:$P$19, "&lt;"&amp;EI1)</f>
        <v>0</v>
      </c>
      <c r="EI9" s="212">
        <f>SUMIFS('Revenue Tracking'!$F$13:$F$19, 'Revenue Tracking'!$P$13:$P$19, "&gt;="&amp;EI1,'Revenue Tracking'!$P$13:$P$19, "&lt;"&amp;EJ1)</f>
        <v>0</v>
      </c>
      <c r="EJ9" s="212">
        <f>SUMIFS('Revenue Tracking'!$F$13:$F$19, 'Revenue Tracking'!$P$13:$P$19, "&gt;="&amp;EJ1,'Revenue Tracking'!$P$13:$P$19, "&lt;"&amp;EK1)</f>
        <v>0</v>
      </c>
      <c r="EK9" s="212">
        <f>SUMIFS('Revenue Tracking'!$F$13:$F$19, 'Revenue Tracking'!$P$13:$P$19, "&gt;="&amp;EK1,'Revenue Tracking'!$P$13:$P$19, "&lt;"&amp;EL1)</f>
        <v>0</v>
      </c>
      <c r="EL9" s="212">
        <f>SUMIFS('Revenue Tracking'!$F$13:$F$19, 'Revenue Tracking'!$P$13:$P$19, "&gt;="&amp;EL1,'Revenue Tracking'!$P$13:$P$19, "&lt;"&amp;EM1)</f>
        <v>0</v>
      </c>
      <c r="EM9" s="212">
        <f>SUMIFS('Revenue Tracking'!$F$13:$F$19, 'Revenue Tracking'!$P$13:$P$19, "&gt;="&amp;EM1,'Revenue Tracking'!$P$13:$P$19, "&lt;"&amp;EN1)</f>
        <v>0</v>
      </c>
      <c r="EN9" s="212">
        <f>SUMIFS('Revenue Tracking'!$F$13:$F$19, 'Revenue Tracking'!$P$13:$P$19, "&gt;="&amp;EN1,'Revenue Tracking'!$P$13:$P$19, "&lt;"&amp;EO1)</f>
        <v>0</v>
      </c>
      <c r="EO9" s="212">
        <f>SUMIFS('Revenue Tracking'!$F$13:$F$19, 'Revenue Tracking'!$P$13:$P$19, "&gt;="&amp;EO1,'Revenue Tracking'!$P$13:$P$19, "&lt;"&amp;EP1)</f>
        <v>0</v>
      </c>
      <c r="EP9" s="212">
        <f>SUMIFS('Revenue Tracking'!$F$13:$F$19, 'Revenue Tracking'!$P$13:$P$19, "&gt;="&amp;EP1,'Revenue Tracking'!$P$13:$P$19, "&lt;"&amp;EQ1)</f>
        <v>0</v>
      </c>
      <c r="EQ9" s="212">
        <f>SUMIFS('Revenue Tracking'!$F$13:$F$19, 'Revenue Tracking'!$P$13:$P$19, "&gt;="&amp;EQ1,'Revenue Tracking'!$P$13:$P$19, "&lt;"&amp;ER1)</f>
        <v>0</v>
      </c>
      <c r="ER9" s="212">
        <f>SUMIFS('Revenue Tracking'!$F$13:$F$19, 'Revenue Tracking'!$P$13:$P$19, "&gt;="&amp;ER1,'Revenue Tracking'!$P$13:$P$19, "&lt;"&amp;ES1)</f>
        <v>0</v>
      </c>
      <c r="ES9" s="212">
        <f>SUMIFS('Revenue Tracking'!$F$13:$F$19, 'Revenue Tracking'!$P$13:$P$19, "&gt;="&amp;ES1,'Revenue Tracking'!$P$13:$P$19, "&lt;"&amp;ET1)</f>
        <v>0</v>
      </c>
      <c r="ET9" s="212">
        <f>SUMIFS('Revenue Tracking'!$F$13:$F$19, 'Revenue Tracking'!$P$13:$P$19, "&gt;="&amp;ET1,'Revenue Tracking'!$P$13:$P$19, "&lt;"&amp;EU1)</f>
        <v>0</v>
      </c>
      <c r="EU9" s="212">
        <f>SUMIFS('Revenue Tracking'!$F$13:$F$19, 'Revenue Tracking'!$P$13:$P$19, "&gt;="&amp;EU1,'Revenue Tracking'!$P$13:$P$19, "&lt;"&amp;EV1)</f>
        <v>0</v>
      </c>
      <c r="EV9" s="212">
        <f>SUMIFS('Revenue Tracking'!$F$13:$F$19, 'Revenue Tracking'!$P$13:$P$19, "&gt;="&amp;EV1,'Revenue Tracking'!$P$13:$P$19, "&lt;"&amp;EW1)</f>
        <v>0</v>
      </c>
      <c r="EW9" s="212">
        <f>SUMIFS('Revenue Tracking'!$F$13:$F$19, 'Revenue Tracking'!$P$13:$P$19, "&gt;="&amp;EW1,'Revenue Tracking'!$P$13:$P$19, "&lt;"&amp;EX1)</f>
        <v>0</v>
      </c>
      <c r="EX9" s="212">
        <f>SUMIFS('Revenue Tracking'!$F$13:$F$19, 'Revenue Tracking'!$P$13:$P$19, "&gt;="&amp;EX1,'Revenue Tracking'!$P$13:$P$19, "&lt;"&amp;EY1)</f>
        <v>0</v>
      </c>
      <c r="EY9" s="212">
        <f>SUMIFS('Revenue Tracking'!$F$13:$F$19, 'Revenue Tracking'!$P$13:$P$19, "&gt;="&amp;EY1,'Revenue Tracking'!$P$13:$P$19, "&lt;"&amp;EZ1)</f>
        <v>0</v>
      </c>
      <c r="EZ9" s="212">
        <f>SUMIFS('Revenue Tracking'!$F$13:$F$19, 'Revenue Tracking'!$P$13:$P$19, "&gt;="&amp;EZ1,'Revenue Tracking'!$P$13:$P$19, "&lt;"&amp;FA1)</f>
        <v>0</v>
      </c>
      <c r="FA9" s="212">
        <f>SUMIFS('Revenue Tracking'!$F$13:$F$19, 'Revenue Tracking'!$P$13:$P$19, "&gt;="&amp;FA1,'Revenue Tracking'!$P$13:$P$19, "&lt;"&amp;FB1)</f>
        <v>0</v>
      </c>
      <c r="FB9" s="212">
        <f>SUMIFS('Revenue Tracking'!$F$13:$F$19, 'Revenue Tracking'!$P$13:$P$19, "&gt;="&amp;FB1,'Revenue Tracking'!$P$13:$P$19, "&lt;"&amp;FC1)</f>
        <v>0</v>
      </c>
      <c r="FC9" s="212">
        <f>SUMIFS('Revenue Tracking'!$F$13:$F$19, 'Revenue Tracking'!$P$13:$P$19, "&gt;="&amp;FC1,'Revenue Tracking'!$P$13:$P$19, "&lt;"&amp;FD1)</f>
        <v>0</v>
      </c>
      <c r="FD9" s="212">
        <f>SUMIFS('Revenue Tracking'!$F$13:$F$19, 'Revenue Tracking'!$P$13:$P$19, "&gt;="&amp;FD1,'Revenue Tracking'!$P$13:$P$19, "&lt;"&amp;FE1)</f>
        <v>0</v>
      </c>
      <c r="FE9" s="212">
        <f>SUMIFS('Revenue Tracking'!$F$13:$F$19, 'Revenue Tracking'!$P$13:$P$19, "&gt;="&amp;FE1,'Revenue Tracking'!$P$13:$P$19, "&lt;"&amp;FF1)</f>
        <v>0</v>
      </c>
      <c r="FF9" s="212">
        <f>SUMIFS('Revenue Tracking'!$F$13:$F$19, 'Revenue Tracking'!$P$13:$P$19, "&gt;="&amp;FF1,'Revenue Tracking'!$P$13:$P$19, "&lt;"&amp;FG1)</f>
        <v>0</v>
      </c>
      <c r="FG9" s="212">
        <f>SUMIFS('Revenue Tracking'!$F$13:$F$19, 'Revenue Tracking'!$P$13:$P$19, "&gt;="&amp;FG1,'Revenue Tracking'!$P$13:$P$19, "&lt;"&amp;FH1)</f>
        <v>0</v>
      </c>
      <c r="FH9" s="212">
        <f>SUMIFS('Revenue Tracking'!$F$13:$F$19, 'Revenue Tracking'!$P$13:$P$19, "&gt;="&amp;FH1,'Revenue Tracking'!$P$13:$P$19, "&lt;"&amp;FI1)</f>
        <v>0</v>
      </c>
      <c r="FI9" s="212">
        <f>SUMIFS('Revenue Tracking'!$F$13:$F$19, 'Revenue Tracking'!$P$13:$P$19, "&gt;="&amp;FI1,'Revenue Tracking'!$P$13:$P$19, "&lt;"&amp;FJ1)</f>
        <v>0</v>
      </c>
      <c r="FJ9" s="212">
        <f>SUMIFS('Revenue Tracking'!$F$13:$F$19, 'Revenue Tracking'!$P$13:$P$19, "&gt;="&amp;FJ1,'Revenue Tracking'!$P$13:$P$19, "&lt;"&amp;FK1)</f>
        <v>0</v>
      </c>
      <c r="FK9" s="212">
        <f>SUMIFS('Revenue Tracking'!$F$13:$F$19, 'Revenue Tracking'!$P$13:$P$19, "&gt;="&amp;FK1,'Revenue Tracking'!$P$13:$P$19, "&lt;"&amp;FL1)</f>
        <v>0</v>
      </c>
      <c r="FL9" s="212">
        <f>SUMIFS('Revenue Tracking'!$F$13:$F$19, 'Revenue Tracking'!$P$13:$P$19, "&gt;="&amp;FL1,'Revenue Tracking'!$P$13:$P$19, "&lt;"&amp;FM1)</f>
        <v>0</v>
      </c>
      <c r="FM9" s="212">
        <f>SUMIFS('Revenue Tracking'!$F$13:$F$19, 'Revenue Tracking'!$P$13:$P$19, "&gt;="&amp;FM1,'Revenue Tracking'!$P$13:$P$19, "&lt;"&amp;FN1)</f>
        <v>0</v>
      </c>
      <c r="FN9" s="212">
        <f>SUMIFS('Revenue Tracking'!$F$13:$F$19, 'Revenue Tracking'!$P$13:$P$19, "&gt;="&amp;FN1,'Revenue Tracking'!$P$13:$P$19, "&lt;"&amp;FO1)</f>
        <v>0</v>
      </c>
      <c r="FO9" s="212">
        <f>SUMIFS('Revenue Tracking'!$F$13:$F$19, 'Revenue Tracking'!$P$13:$P$19, "&gt;="&amp;FO1,'Revenue Tracking'!$P$13:$P$19, "&lt;"&amp;FP1)</f>
        <v>0</v>
      </c>
      <c r="FP9" s="212">
        <f>SUMIFS('Revenue Tracking'!$F$13:$F$19, 'Revenue Tracking'!$P$13:$P$19, "&gt;="&amp;FP1,'Revenue Tracking'!$P$13:$P$19, "&lt;"&amp;FQ1)</f>
        <v>0</v>
      </c>
      <c r="FQ9" s="212">
        <f>SUMIFS('Revenue Tracking'!$F$13:$F$19, 'Revenue Tracking'!$P$13:$P$19, "&gt;="&amp;FQ1,'Revenue Tracking'!$P$13:$P$19, "&lt;"&amp;FR1)</f>
        <v>0</v>
      </c>
      <c r="FR9" s="212">
        <f>SUMIFS('Revenue Tracking'!$F$13:$F$19, 'Revenue Tracking'!$P$13:$P$19, "&gt;="&amp;FR1,'Revenue Tracking'!$P$13:$P$19, "&lt;"&amp;FS1)</f>
        <v>0</v>
      </c>
      <c r="FS9" s="212">
        <f>SUMIFS('Revenue Tracking'!$F$13:$F$19, 'Revenue Tracking'!$P$13:$P$19, "&gt;="&amp;FS1,'Revenue Tracking'!$P$13:$P$19, "&lt;"&amp;FT1)</f>
        <v>0</v>
      </c>
      <c r="FT9" s="212">
        <f>SUMIFS('Revenue Tracking'!$F$13:$F$19, 'Revenue Tracking'!$P$13:$P$19, "&gt;="&amp;FT1,'Revenue Tracking'!$P$13:$P$19, "&lt;"&amp;FU1)</f>
        <v>0</v>
      </c>
      <c r="FU9" s="212">
        <f>SUMIFS('Revenue Tracking'!$F$13:$F$19, 'Revenue Tracking'!$P$13:$P$19, "&gt;="&amp;FU1,'Revenue Tracking'!$P$13:$P$19, "&lt;"&amp;FV1)</f>
        <v>0</v>
      </c>
      <c r="FV9" s="212">
        <f>SUMIFS('Revenue Tracking'!$F$13:$F$19, 'Revenue Tracking'!$P$13:$P$19, "&gt;="&amp;FV1,'Revenue Tracking'!$P$13:$P$19, "&lt;"&amp;FW1)</f>
        <v>0</v>
      </c>
      <c r="FW9" s="212">
        <f>SUMIFS('Revenue Tracking'!$F$13:$F$19, 'Revenue Tracking'!$P$13:$P$19, "&gt;="&amp;FW1,'Revenue Tracking'!$P$13:$P$19, "&lt;"&amp;FX1)</f>
        <v>0</v>
      </c>
      <c r="FX9" s="212">
        <f>SUMIFS('Revenue Tracking'!$F$13:$F$19, 'Revenue Tracking'!$P$13:$P$19, "&gt;="&amp;FX1,'Revenue Tracking'!$P$13:$P$19, "&lt;"&amp;FY1)</f>
        <v>0</v>
      </c>
      <c r="FY9" s="212">
        <f>SUMIFS('Revenue Tracking'!$F$13:$F$19, 'Revenue Tracking'!$P$13:$P$19, "&gt;="&amp;FY1,'Revenue Tracking'!$P$13:$P$19, "&lt;"&amp;FZ1)</f>
        <v>0</v>
      </c>
      <c r="FZ9" s="212">
        <f>SUMIFS('Revenue Tracking'!$F$13:$F$19, 'Revenue Tracking'!$P$13:$P$19, "&gt;="&amp;FZ1,'Revenue Tracking'!$P$13:$P$19, "&lt;"&amp;GA1)</f>
        <v>0</v>
      </c>
      <c r="GA9" s="212">
        <f>SUMIFS('Revenue Tracking'!$F$13:$F$19, 'Revenue Tracking'!$P$13:$P$19, "&gt;="&amp;GA1,'Revenue Tracking'!$P$13:$P$19, "&lt;"&amp;GB1)</f>
        <v>0</v>
      </c>
      <c r="GB9" s="212">
        <f>SUMIFS('Revenue Tracking'!$F$13:$F$19, 'Revenue Tracking'!$P$13:$P$19, "&gt;="&amp;GB1,'Revenue Tracking'!$P$13:$P$19, "&lt;"&amp;GC1)</f>
        <v>0</v>
      </c>
      <c r="GC9" s="212">
        <f>SUMIFS('Revenue Tracking'!$F$13:$F$19, 'Revenue Tracking'!$P$13:$P$19, "&gt;="&amp;GC1,'Revenue Tracking'!$P$13:$P$19, "&lt;"&amp;GD1)</f>
        <v>0</v>
      </c>
      <c r="GD9" s="212">
        <f>SUMIFS('Revenue Tracking'!$F$13:$F$19, 'Revenue Tracking'!$P$13:$P$19, "&gt;="&amp;GD1,'Revenue Tracking'!$P$13:$P$19, "&lt;"&amp;GE1)</f>
        <v>0</v>
      </c>
      <c r="GE9" s="212">
        <f>SUMIFS('Revenue Tracking'!$F$13:$F$19, 'Revenue Tracking'!$P$13:$P$19, "&gt;="&amp;GE1,'Revenue Tracking'!$P$13:$P$19, "&lt;"&amp;GF1)</f>
        <v>0</v>
      </c>
      <c r="GF9" s="212">
        <f>SUMIFS('Revenue Tracking'!$F$13:$F$19, 'Revenue Tracking'!$P$13:$P$19, "&gt;="&amp;GF1,'Revenue Tracking'!$P$13:$P$19, "&lt;"&amp;GG1)</f>
        <v>0</v>
      </c>
      <c r="GG9" s="212">
        <f>SUMIFS('Revenue Tracking'!$F$13:$F$19, 'Revenue Tracking'!$P$13:$P$19, "&gt;="&amp;GG1,'Revenue Tracking'!$P$13:$P$19, "&lt;"&amp;GH1)</f>
        <v>0</v>
      </c>
      <c r="GH9" s="212">
        <f>SUMIFS('Revenue Tracking'!$F$13:$F$19, 'Revenue Tracking'!$P$13:$P$19, "&gt;="&amp;GH1,'Revenue Tracking'!$P$13:$P$19, "&lt;"&amp;GI1)</f>
        <v>0</v>
      </c>
      <c r="GI9" s="212">
        <f>SUMIFS('Revenue Tracking'!$F$13:$F$19, 'Revenue Tracking'!$P$13:$P$19, "&gt;="&amp;GI1,'Revenue Tracking'!$P$13:$P$19, "&lt;"&amp;GJ1)</f>
        <v>0</v>
      </c>
      <c r="GJ9" s="212">
        <f>SUMIFS('Revenue Tracking'!$F$13:$F$19, 'Revenue Tracking'!$P$13:$P$19, "&gt;="&amp;GJ1,'Revenue Tracking'!$P$13:$P$19, "&lt;"&amp;GK1)</f>
        <v>0</v>
      </c>
      <c r="GK9" s="212">
        <f>SUMIFS('Revenue Tracking'!$F$13:$F$19, 'Revenue Tracking'!$P$13:$P$19, "&gt;="&amp;GK1,'Revenue Tracking'!$P$13:$P$19, "&lt;"&amp;GL1)</f>
        <v>0</v>
      </c>
      <c r="GL9" s="212">
        <f>SUMIFS('Revenue Tracking'!$F$13:$F$19, 'Revenue Tracking'!$P$13:$P$19, "&gt;="&amp;GL1,'Revenue Tracking'!$P$13:$P$19, "&lt;"&amp;GM1)</f>
        <v>0</v>
      </c>
      <c r="GM9" s="212">
        <f>SUMIFS('Revenue Tracking'!$F$13:$F$19, 'Revenue Tracking'!$P$13:$P$19, "&gt;="&amp;GM1,'Revenue Tracking'!$P$13:$P$19, "&lt;"&amp;GN1)</f>
        <v>0</v>
      </c>
      <c r="GN9" s="212">
        <f>SUMIFS('Revenue Tracking'!$F$13:$F$19, 'Revenue Tracking'!$P$13:$P$19, "&gt;="&amp;GN1,'Revenue Tracking'!$P$13:$P$19, "&lt;"&amp;GO1)</f>
        <v>0</v>
      </c>
      <c r="GO9" s="212">
        <f>SUMIFS('Revenue Tracking'!$F$13:$F$19, 'Revenue Tracking'!$P$13:$P$19, "&gt;="&amp;GO1,'Revenue Tracking'!$P$13:$P$19, "&lt;"&amp;GP1)</f>
        <v>0</v>
      </c>
      <c r="GP9" s="212">
        <f>SUMIFS('Revenue Tracking'!$F$13:$F$19, 'Revenue Tracking'!$P$13:$P$19, "&gt;="&amp;GP1,'Revenue Tracking'!$P$13:$P$19, "&lt;"&amp;GQ1)</f>
        <v>0</v>
      </c>
      <c r="GQ9" s="212">
        <f>SUMIFS('Revenue Tracking'!$F$13:$F$19, 'Revenue Tracking'!$P$13:$P$19, "&gt;="&amp;GQ1,'Revenue Tracking'!$P$13:$P$19, "&lt;"&amp;GR1)</f>
        <v>0</v>
      </c>
      <c r="GR9" s="212">
        <f>SUMIFS('Revenue Tracking'!$F$13:$F$19, 'Revenue Tracking'!$P$13:$P$19, "&gt;="&amp;GR1,'Revenue Tracking'!$P$13:$P$19, "&lt;"&amp;GS1)</f>
        <v>0</v>
      </c>
      <c r="GS9" s="212">
        <f>SUMIFS('Revenue Tracking'!$F$13:$F$19, 'Revenue Tracking'!$P$13:$P$19, "&gt;="&amp;GS1,'Revenue Tracking'!$P$13:$P$19, "&lt;"&amp;GT1)</f>
        <v>0</v>
      </c>
      <c r="GT9" s="212">
        <f>SUMIFS('Revenue Tracking'!$F$13:$F$19, 'Revenue Tracking'!$P$13:$P$19, "&gt;="&amp;GT1,'Revenue Tracking'!$P$13:$P$19, "&lt;"&amp;GU1)</f>
        <v>0</v>
      </c>
      <c r="GU9" s="212">
        <f>SUMIFS('Revenue Tracking'!$F$13:$F$19, 'Revenue Tracking'!$P$13:$P$19, "&gt;="&amp;GU1,'Revenue Tracking'!$P$13:$P$19, "&lt;"&amp;GV1)</f>
        <v>0</v>
      </c>
      <c r="GV9" s="212">
        <f>SUMIFS('Revenue Tracking'!$F$13:$F$19, 'Revenue Tracking'!$P$13:$P$19, "&gt;="&amp;GV1,'Revenue Tracking'!$P$13:$P$19, "&lt;"&amp;GW1)</f>
        <v>0</v>
      </c>
      <c r="GW9" s="212">
        <f>SUMIFS('Revenue Tracking'!$F$13:$F$19, 'Revenue Tracking'!$P$13:$P$19, "&gt;="&amp;GW1,'Revenue Tracking'!$P$13:$P$19, "&lt;"&amp;GX1)</f>
        <v>0</v>
      </c>
      <c r="GX9" s="212">
        <f>SUMIFS('Revenue Tracking'!$F$13:$F$19, 'Revenue Tracking'!$P$13:$P$19, "&gt;="&amp;GX1,'Revenue Tracking'!$P$13:$P$19, "&lt;"&amp;GY1)</f>
        <v>0</v>
      </c>
      <c r="GY9" s="212">
        <f>SUMIFS('Revenue Tracking'!$F$13:$F$19, 'Revenue Tracking'!$P$13:$P$19, "&gt;="&amp;GY1,'Revenue Tracking'!$P$13:$P$19, "&lt;"&amp;GZ1)</f>
        <v>0</v>
      </c>
      <c r="GZ9" s="212">
        <f>SUMIFS('Revenue Tracking'!$F$13:$F$19, 'Revenue Tracking'!$P$13:$P$19, "&gt;="&amp;GZ1,'Revenue Tracking'!$P$13:$P$19, "&lt;"&amp;HA1)</f>
        <v>0</v>
      </c>
      <c r="HA9" s="212">
        <f>SUMIFS('Revenue Tracking'!$F$13:$F$19, 'Revenue Tracking'!$P$13:$P$19, "&gt;="&amp;HA1,'Revenue Tracking'!$P$13:$P$19, "&lt;"&amp;HB1)</f>
        <v>0</v>
      </c>
      <c r="HB9" s="212">
        <f>SUMIFS('Revenue Tracking'!$F$13:$F$19, 'Revenue Tracking'!$P$13:$P$19, "&gt;="&amp;HB1,'Revenue Tracking'!$P$13:$P$19, "&lt;"&amp;HC1)</f>
        <v>0</v>
      </c>
      <c r="HC9" s="212">
        <f>SUMIFS('Revenue Tracking'!$F$13:$F$19, 'Revenue Tracking'!$P$13:$P$19, "&gt;="&amp;HC1,'Revenue Tracking'!$P$13:$P$19, "&lt;"&amp;HD1)</f>
        <v>0</v>
      </c>
      <c r="HD9" s="212">
        <f>SUMIFS('Revenue Tracking'!$F$13:$F$19, 'Revenue Tracking'!$P$13:$P$19, "&gt;="&amp;HD1,'Revenue Tracking'!$P$13:$P$19, "&lt;"&amp;HE1)</f>
        <v>0</v>
      </c>
      <c r="HE9" s="212">
        <f>SUMIFS('Revenue Tracking'!$F$13:$F$19, 'Revenue Tracking'!$P$13:$P$19, "&gt;="&amp;HE1,'Revenue Tracking'!$P$13:$P$19, "&lt;"&amp;HF1)</f>
        <v>0</v>
      </c>
      <c r="HF9" s="212">
        <f>SUMIFS('Revenue Tracking'!$F$13:$F$19, 'Revenue Tracking'!$P$13:$P$19, "&gt;="&amp;HF1,'Revenue Tracking'!$P$13:$P$19, "&lt;"&amp;HG1)</f>
        <v>0</v>
      </c>
      <c r="HG9" s="212">
        <f>SUMIFS('Revenue Tracking'!$F$13:$F$19, 'Revenue Tracking'!$P$13:$P$19, "&gt;="&amp;HG1,'Revenue Tracking'!$P$13:$P$19, "&lt;"&amp;HH1)</f>
        <v>0</v>
      </c>
      <c r="HH9" s="212">
        <f>SUMIFS('Revenue Tracking'!$F$13:$F$19, 'Revenue Tracking'!$P$13:$P$19, "&gt;="&amp;HH1,'Revenue Tracking'!$P$13:$P$19, "&lt;"&amp;HI1)</f>
        <v>0</v>
      </c>
      <c r="HI9" s="212">
        <f>SUMIFS('Revenue Tracking'!$F$13:$F$19, 'Revenue Tracking'!$P$13:$P$19, "&gt;="&amp;HI1,'Revenue Tracking'!$P$13:$P$19, "&lt;"&amp;HJ1)</f>
        <v>0</v>
      </c>
      <c r="HJ9" s="212">
        <f>SUMIFS('Revenue Tracking'!$F$13:$F$19, 'Revenue Tracking'!$P$13:$P$19, "&gt;="&amp;HJ1,'Revenue Tracking'!$P$13:$P$19, "&lt;"&amp;HK1)</f>
        <v>0</v>
      </c>
      <c r="HK9" s="212">
        <f>SUMIFS('Revenue Tracking'!$F$13:$F$19, 'Revenue Tracking'!$P$13:$P$19, "&gt;="&amp;HK1,'Revenue Tracking'!$P$13:$P$19, "&lt;"&amp;HL1)</f>
        <v>0</v>
      </c>
      <c r="HL9" s="212">
        <f>SUMIFS('Revenue Tracking'!$F$13:$F$19, 'Revenue Tracking'!$P$13:$P$19, "&gt;="&amp;HL1,'Revenue Tracking'!$P$13:$P$19, "&lt;"&amp;HM1)</f>
        <v>0</v>
      </c>
      <c r="HM9" s="212">
        <f>SUMIFS('Revenue Tracking'!$F$13:$F$19, 'Revenue Tracking'!$P$13:$P$19, "&gt;="&amp;HM1,'Revenue Tracking'!$P$13:$P$19, "&lt;"&amp;HN1)</f>
        <v>0</v>
      </c>
      <c r="HN9" s="212">
        <f>SUMIFS('Revenue Tracking'!$F$13:$F$19, 'Revenue Tracking'!$P$13:$P$19, "&gt;="&amp;HN1,'Revenue Tracking'!$P$13:$P$19, "&lt;"&amp;HO1)</f>
        <v>0</v>
      </c>
      <c r="HO9" s="212">
        <f>SUMIFS('Revenue Tracking'!$F$13:$F$19, 'Revenue Tracking'!$P$13:$P$19, "&gt;="&amp;HO1,'Revenue Tracking'!$P$13:$P$19, "&lt;"&amp;HP1)</f>
        <v>0</v>
      </c>
      <c r="HP9" s="212">
        <f>SUMIFS('Revenue Tracking'!$F$13:$F$19, 'Revenue Tracking'!$P$13:$P$19, "&gt;="&amp;HP1,'Revenue Tracking'!$P$13:$P$19, "&lt;"&amp;HQ1)</f>
        <v>0</v>
      </c>
      <c r="HQ9" s="212">
        <f>SUMIFS('Revenue Tracking'!$F$13:$F$19, 'Revenue Tracking'!$P$13:$P$19, "&gt;="&amp;HQ1,'Revenue Tracking'!$P$13:$P$19, "&lt;"&amp;HR1)</f>
        <v>0</v>
      </c>
      <c r="HR9" s="212">
        <f>SUMIFS('Revenue Tracking'!$F$13:$F$19, 'Revenue Tracking'!$P$13:$P$19, "&gt;="&amp;HR1,'Revenue Tracking'!$P$13:$P$19, "&lt;"&amp;HS1)</f>
        <v>0</v>
      </c>
      <c r="HS9" s="212">
        <f>SUMIFS('Revenue Tracking'!$F$13:$F$19, 'Revenue Tracking'!$P$13:$P$19, "&gt;="&amp;HS1,'Revenue Tracking'!$P$13:$P$19, "&lt;"&amp;HT1)</f>
        <v>0</v>
      </c>
      <c r="HT9" s="212">
        <f>SUMIFS('Revenue Tracking'!$F$13:$F$19, 'Revenue Tracking'!$P$13:$P$19, "&gt;="&amp;HT1,'Revenue Tracking'!$P$13:$P$19, "&lt;"&amp;HU1)</f>
        <v>0</v>
      </c>
      <c r="HU9" s="212">
        <f>SUMIFS('Revenue Tracking'!$F$13:$F$19, 'Revenue Tracking'!$P$13:$P$19, "&gt;="&amp;HU1,'Revenue Tracking'!$P$13:$P$19, "&lt;"&amp;HV1)</f>
        <v>0</v>
      </c>
      <c r="HV9" s="212">
        <f>SUMIFS('Revenue Tracking'!$F$13:$F$19, 'Revenue Tracking'!$P$13:$P$19, "&gt;="&amp;HV1,'Revenue Tracking'!$P$13:$P$19, "&lt;"&amp;HW1)</f>
        <v>0</v>
      </c>
      <c r="HW9" s="212">
        <f>SUMIFS('Revenue Tracking'!$F$13:$F$19, 'Revenue Tracking'!$P$13:$P$19, "&gt;="&amp;HW1,'Revenue Tracking'!$P$13:$P$19, "&lt;"&amp;HX1)</f>
        <v>0</v>
      </c>
      <c r="HX9" s="212">
        <f>SUMIFS('Revenue Tracking'!$F$13:$F$19, 'Revenue Tracking'!$P$13:$P$19, "&gt;="&amp;HX1,'Revenue Tracking'!$P$13:$P$19, "&lt;"&amp;HY1)</f>
        <v>0</v>
      </c>
      <c r="HY9" s="212">
        <f>SUMIFS('Revenue Tracking'!$F$13:$F$19, 'Revenue Tracking'!$P$13:$P$19, "&gt;="&amp;HY1,'Revenue Tracking'!$P$13:$P$19, "&lt;"&amp;HZ1)</f>
        <v>0</v>
      </c>
      <c r="HZ9" s="212">
        <f>SUMIFS('Revenue Tracking'!$F$13:$F$19, 'Revenue Tracking'!$P$13:$P$19, "&gt;="&amp;HZ1,'Revenue Tracking'!$P$13:$P$19, "&lt;"&amp;IA1)</f>
        <v>0</v>
      </c>
      <c r="IA9" s="212">
        <f>SUMIFS('Revenue Tracking'!$F$13:$F$19, 'Revenue Tracking'!$P$13:$P$19, "&gt;="&amp;IA1,'Revenue Tracking'!$P$13:$P$19, "&lt;"&amp;IB1)</f>
        <v>0</v>
      </c>
      <c r="IB9" s="212">
        <f>SUMIFS('Revenue Tracking'!$F$13:$F$19, 'Revenue Tracking'!$P$13:$P$19, "&gt;="&amp;IB1,'Revenue Tracking'!$P$13:$P$19, "&lt;"&amp;IC1)</f>
        <v>0</v>
      </c>
      <c r="IC9" s="212">
        <f>SUMIFS('Revenue Tracking'!$F$13:$F$19, 'Revenue Tracking'!$P$13:$P$19, "&gt;="&amp;IC1,'Revenue Tracking'!$P$13:$P$19, "&lt;"&amp;ID1)</f>
        <v>0</v>
      </c>
      <c r="ID9" s="212">
        <f>SUMIFS('Revenue Tracking'!$F$13:$F$19, 'Revenue Tracking'!$P$13:$P$19, "&gt;="&amp;ID1,'Revenue Tracking'!$P$13:$P$19, "&lt;"&amp;IE1)</f>
        <v>0</v>
      </c>
      <c r="IE9" s="212">
        <f>SUMIFS('Revenue Tracking'!$F$13:$F$19, 'Revenue Tracking'!$P$13:$P$19, "&gt;="&amp;IE1,'Revenue Tracking'!$P$13:$P$19, "&lt;"&amp;IF1)</f>
        <v>0</v>
      </c>
      <c r="IF9" s="212">
        <f>SUMIFS('Revenue Tracking'!$F$13:$F$19, 'Revenue Tracking'!$P$13:$P$19, "&gt;="&amp;IF1,'Revenue Tracking'!$P$13:$P$19, "&lt;"&amp;IG1)</f>
        <v>0</v>
      </c>
      <c r="IG9" s="212">
        <f>SUMIFS('Revenue Tracking'!$F$13:$F$19, 'Revenue Tracking'!$P$13:$P$19, "&gt;="&amp;IG1,'Revenue Tracking'!$P$13:$P$19, "&lt;"&amp;IH1)</f>
        <v>0</v>
      </c>
      <c r="IH9" s="212">
        <f>SUMIFS('Revenue Tracking'!$F$13:$F$19, 'Revenue Tracking'!$P$13:$P$19, "&gt;="&amp;IH1,'Revenue Tracking'!$P$13:$P$19, "&lt;"&amp;II1)</f>
        <v>0</v>
      </c>
      <c r="II9" s="212">
        <f>SUMIFS('Revenue Tracking'!$F$13:$F$19, 'Revenue Tracking'!$P$13:$P$19, "&gt;="&amp;II1,'Revenue Tracking'!$P$13:$P$19, "&lt;"&amp;IJ1)</f>
        <v>0</v>
      </c>
      <c r="IJ9" s="212">
        <f>SUMIFS('Revenue Tracking'!$F$13:$F$19, 'Revenue Tracking'!$P$13:$P$19, "&gt;="&amp;IJ1,'Revenue Tracking'!$P$13:$P$19, "&lt;"&amp;IK1)</f>
        <v>0</v>
      </c>
      <c r="IK9" s="212">
        <f>SUMIFS('Revenue Tracking'!$F$13:$F$19, 'Revenue Tracking'!$P$13:$P$19, "&gt;="&amp;IK1,'Revenue Tracking'!$P$13:$P$19, "&lt;"&amp;IL1)</f>
        <v>0</v>
      </c>
      <c r="IL9" s="212">
        <f>SUMIFS('Revenue Tracking'!$F$13:$F$19, 'Revenue Tracking'!$P$13:$P$19, "&gt;="&amp;IL1,'Revenue Tracking'!$P$13:$P$19, "&lt;"&amp;IM1)</f>
        <v>0</v>
      </c>
      <c r="IM9" s="212">
        <f>SUMIFS('Revenue Tracking'!$F$13:$F$19, 'Revenue Tracking'!$P$13:$P$19, "&gt;="&amp;IM1,'Revenue Tracking'!$P$13:$P$19, "&lt;"&amp;IN1)</f>
        <v>0</v>
      </c>
      <c r="IN9" s="212">
        <f>SUMIFS('Revenue Tracking'!$F$13:$F$19, 'Revenue Tracking'!$P$13:$P$19, "&gt;="&amp;IN1,'Revenue Tracking'!$P$13:$P$19, "&lt;"&amp;IO1)</f>
        <v>0</v>
      </c>
      <c r="IO9" s="212">
        <f>SUMIFS('Revenue Tracking'!$F$13:$F$19, 'Revenue Tracking'!$P$13:$P$19, "&gt;="&amp;IO1,'Revenue Tracking'!$P$13:$P$19, "&lt;"&amp;IP1)</f>
        <v>0</v>
      </c>
      <c r="IP9" s="212">
        <f>SUMIFS('Revenue Tracking'!$F$13:$F$19, 'Revenue Tracking'!$P$13:$P$19, "&gt;="&amp;IP1,'Revenue Tracking'!$P$13:$P$19, "&lt;"&amp;IQ1)</f>
        <v>0</v>
      </c>
      <c r="IQ9" s="212">
        <f>SUMIFS('Revenue Tracking'!$F$13:$F$19, 'Revenue Tracking'!$P$13:$P$19, "&gt;="&amp;IQ1,'Revenue Tracking'!$P$13:$P$19, "&lt;"&amp;IR1)</f>
        <v>0</v>
      </c>
      <c r="IR9" s="212">
        <f>SUMIFS('Revenue Tracking'!$F$13:$F$19, 'Revenue Tracking'!$P$13:$P$19, "&gt;="&amp;IR1,'Revenue Tracking'!$P$13:$P$19, "&lt;"&amp;IS1)</f>
        <v>0</v>
      </c>
      <c r="IS9" s="212">
        <f>SUMIFS('Revenue Tracking'!$F$13:$F$19, 'Revenue Tracking'!$P$13:$P$19, "&gt;="&amp;IS1,'Revenue Tracking'!$P$13:$P$19, "&lt;"&amp;IT1)</f>
        <v>0</v>
      </c>
      <c r="IT9" s="212">
        <f>SUMIFS('Revenue Tracking'!$F$13:$F$19, 'Revenue Tracking'!$P$13:$P$19, "&gt;="&amp;IT1,'Revenue Tracking'!$P$13:$P$19, "&lt;"&amp;IU1)</f>
        <v>0</v>
      </c>
      <c r="IU9" s="212">
        <f>SUMIFS('Revenue Tracking'!$F$13:$F$19, 'Revenue Tracking'!$P$13:$P$19, "&gt;="&amp;IU1,'Revenue Tracking'!$P$13:$P$19, "&lt;"&amp;IV1)</f>
        <v>0</v>
      </c>
      <c r="IV9" s="212">
        <f>SUMIFS('Revenue Tracking'!$F$13:$F$19, 'Revenue Tracking'!$P$13:$P$19, "&gt;="&amp;IV1,'Revenue Tracking'!$P$13:$P$19, "&lt;"&amp;IW1)</f>
        <v>0</v>
      </c>
      <c r="IW9" s="212">
        <f>SUMIFS('Revenue Tracking'!$F$13:$F$19, 'Revenue Tracking'!$P$13:$P$19, "&gt;="&amp;IW1,'Revenue Tracking'!$P$13:$P$19, "&lt;"&amp;IX1)</f>
        <v>0</v>
      </c>
      <c r="IX9" s="212">
        <f>SUMIFS('Revenue Tracking'!$F$13:$F$19, 'Revenue Tracking'!$P$13:$P$19, "&gt;="&amp;IX1,'Revenue Tracking'!$P$13:$P$19, "&lt;"&amp;IY1)</f>
        <v>0</v>
      </c>
      <c r="IY9" s="212">
        <f>SUMIFS('Revenue Tracking'!$F$13:$F$19, 'Revenue Tracking'!$P$13:$P$19, "&gt;="&amp;IY1,'Revenue Tracking'!$P$13:$P$19, "&lt;"&amp;IZ1)</f>
        <v>0</v>
      </c>
      <c r="IZ9" s="212">
        <f>SUMIFS('Revenue Tracking'!$F$13:$F$19, 'Revenue Tracking'!$P$13:$P$19, "&gt;="&amp;IZ1,'Revenue Tracking'!$P$13:$P$19, "&lt;"&amp;JA1)</f>
        <v>0</v>
      </c>
      <c r="JA9" s="212">
        <f>SUMIFS('Revenue Tracking'!$F$13:$F$19, 'Revenue Tracking'!$P$13:$P$19, "&gt;="&amp;JA1,'Revenue Tracking'!$P$13:$P$19, "&lt;"&amp;JB1)</f>
        <v>0</v>
      </c>
      <c r="JB9" s="212">
        <f>SUMIFS('Revenue Tracking'!$F$13:$F$19, 'Revenue Tracking'!$P$13:$P$19, "&gt;="&amp;JB1,'Revenue Tracking'!$P$13:$P$19, "&lt;"&amp;JC1)</f>
        <v>0</v>
      </c>
      <c r="JC9" s="212">
        <f>SUMIFS('Revenue Tracking'!$F$13:$F$19, 'Revenue Tracking'!$P$13:$P$19, "&gt;="&amp;JC1,'Revenue Tracking'!$P$13:$P$19, "&lt;"&amp;JD1)</f>
        <v>0</v>
      </c>
      <c r="JD9" s="212">
        <f>SUMIFS('Revenue Tracking'!$F$13:$F$19, 'Revenue Tracking'!$P$13:$P$19, "&gt;="&amp;JD1,'Revenue Tracking'!$P$13:$P$19, "&lt;"&amp;JE1)</f>
        <v>0</v>
      </c>
      <c r="JE9" s="212">
        <f>SUMIFS('Revenue Tracking'!$F$13:$F$19, 'Revenue Tracking'!$P$13:$P$19, "&gt;="&amp;JE1,'Revenue Tracking'!$P$13:$P$19, "&lt;"&amp;JF1)</f>
        <v>0</v>
      </c>
      <c r="JF9" s="212">
        <f>SUMIFS('Revenue Tracking'!$F$13:$F$19, 'Revenue Tracking'!$P$13:$P$19, "&gt;="&amp;JF1,'Revenue Tracking'!$P$13:$P$19, "&lt;"&amp;JG1)</f>
        <v>0</v>
      </c>
      <c r="JG9" s="212">
        <f>SUMIFS('Revenue Tracking'!$F$13:$F$19, 'Revenue Tracking'!$P$13:$P$19, "&gt;="&amp;JG1,'Revenue Tracking'!$P$13:$P$19, "&lt;"&amp;JH1)</f>
        <v>0</v>
      </c>
      <c r="JH9" s="212">
        <f>SUMIFS('Revenue Tracking'!$F$13:$F$19, 'Revenue Tracking'!$P$13:$P$19, "&gt;="&amp;JH1,'Revenue Tracking'!$P$13:$P$19, "&lt;"&amp;JI1)</f>
        <v>0</v>
      </c>
      <c r="JI9" s="212">
        <f>SUMIFS('Revenue Tracking'!$F$13:$F$19, 'Revenue Tracking'!$P$13:$P$19, "&gt;="&amp;JI1,'Revenue Tracking'!$P$13:$P$19, "&lt;"&amp;JJ1)</f>
        <v>0</v>
      </c>
      <c r="JJ9" s="212">
        <f>SUMIFS('Revenue Tracking'!$F$13:$F$19, 'Revenue Tracking'!$P$13:$P$19, "&gt;="&amp;JJ1,'Revenue Tracking'!$P$13:$P$19, "&lt;"&amp;JK1)</f>
        <v>0</v>
      </c>
      <c r="JK9" s="212">
        <f>SUMIFS('Revenue Tracking'!$F$13:$F$19, 'Revenue Tracking'!$P$13:$P$19, "&gt;="&amp;JK1,'Revenue Tracking'!$P$13:$P$19, "&lt;"&amp;JL1)</f>
        <v>0</v>
      </c>
      <c r="JL9" s="212">
        <f>SUMIFS('Revenue Tracking'!$F$13:$F$19, 'Revenue Tracking'!$P$13:$P$19, "&gt;="&amp;JL1,'Revenue Tracking'!$P$13:$P$19, "&lt;"&amp;JM1)</f>
        <v>0</v>
      </c>
      <c r="JM9" s="212">
        <f>SUMIFS('Revenue Tracking'!$F$13:$F$19, 'Revenue Tracking'!$P$13:$P$19, "&gt;="&amp;JM1,'Revenue Tracking'!$P$13:$P$19, "&lt;"&amp;JN1)</f>
        <v>0</v>
      </c>
      <c r="JN9" s="212">
        <f>SUMIFS('Revenue Tracking'!$F$13:$F$19, 'Revenue Tracking'!$P$13:$P$19, "&gt;="&amp;JN1,'Revenue Tracking'!$P$13:$P$19, "&lt;"&amp;JO1)</f>
        <v>0</v>
      </c>
      <c r="JO9" s="212">
        <f>SUMIFS('Revenue Tracking'!$F$13:$F$19, 'Revenue Tracking'!$P$13:$P$19, "&gt;="&amp;JO1,'Revenue Tracking'!$P$13:$P$19, "&lt;"&amp;JP1)</f>
        <v>0</v>
      </c>
      <c r="JP9" s="212">
        <f>SUMIFS('Revenue Tracking'!$F$13:$F$19, 'Revenue Tracking'!$P$13:$P$19, "&gt;="&amp;JP1,'Revenue Tracking'!$P$13:$P$19, "&lt;"&amp;JQ1)</f>
        <v>0</v>
      </c>
      <c r="JQ9" s="212">
        <f>SUMIFS('Revenue Tracking'!$F$13:$F$19, 'Revenue Tracking'!$P$13:$P$19, "&gt;="&amp;JQ1,'Revenue Tracking'!$P$13:$P$19, "&lt;"&amp;JR1)</f>
        <v>0</v>
      </c>
      <c r="JR9" s="212">
        <f>SUMIFS('Revenue Tracking'!$F$13:$F$19, 'Revenue Tracking'!$P$13:$P$19, "&gt;="&amp;JR1,'Revenue Tracking'!$P$13:$P$19, "&lt;"&amp;JS1)</f>
        <v>0</v>
      </c>
      <c r="JS9" s="212">
        <f>SUMIFS('Revenue Tracking'!$F$13:$F$19, 'Revenue Tracking'!$P$13:$P$19, "&gt;="&amp;JS1,'Revenue Tracking'!$P$13:$P$19, "&lt;"&amp;JT1)</f>
        <v>0</v>
      </c>
      <c r="JT9" s="212">
        <f>SUMIFS('Revenue Tracking'!$F$13:$F$19, 'Revenue Tracking'!$P$13:$P$19, "&gt;="&amp;JT1,'Revenue Tracking'!$P$13:$P$19, "&lt;"&amp;JU1)</f>
        <v>0</v>
      </c>
      <c r="JU9" s="212">
        <f>SUMIFS('Revenue Tracking'!$F$13:$F$19, 'Revenue Tracking'!$P$13:$P$19, "&gt;="&amp;JU1,'Revenue Tracking'!$P$13:$P$19, "&lt;"&amp;JV1)</f>
        <v>0</v>
      </c>
      <c r="JV9" s="212">
        <f>SUMIFS('Revenue Tracking'!$F$13:$F$19, 'Revenue Tracking'!$P$13:$P$19, "&gt;="&amp;JV1,'Revenue Tracking'!$P$13:$P$19, "&lt;"&amp;JW1)</f>
        <v>0</v>
      </c>
      <c r="JW9" s="212">
        <f>SUMIFS('Revenue Tracking'!$F$13:$F$19, 'Revenue Tracking'!$P$13:$P$19, "&gt;="&amp;JW1,'Revenue Tracking'!$P$13:$P$19, "&lt;"&amp;JX1)</f>
        <v>0</v>
      </c>
      <c r="JX9" s="212">
        <f>SUMIFS('Revenue Tracking'!$F$13:$F$19, 'Revenue Tracking'!$P$13:$P$19, "&gt;="&amp;JX1,'Revenue Tracking'!$P$13:$P$19, "&lt;"&amp;JY1)</f>
        <v>0</v>
      </c>
      <c r="JY9" s="212">
        <f>SUMIFS('Revenue Tracking'!$F$13:$F$19, 'Revenue Tracking'!$P$13:$P$19, "&gt;="&amp;JY1,'Revenue Tracking'!$P$13:$P$19, "&lt;"&amp;JZ1)</f>
        <v>0</v>
      </c>
      <c r="JZ9" s="212">
        <f>SUMIFS('Revenue Tracking'!$F$13:$F$19, 'Revenue Tracking'!$P$13:$P$19, "&gt;="&amp;JZ1,'Revenue Tracking'!$P$13:$P$19, "&lt;"&amp;KA1)</f>
        <v>0</v>
      </c>
      <c r="KA9" s="212">
        <f>SUMIFS('Revenue Tracking'!$F$13:$F$19, 'Revenue Tracking'!$P$13:$P$19, "&gt;="&amp;KA1,'Revenue Tracking'!$P$13:$P$19, "&lt;"&amp;KB1)</f>
        <v>0</v>
      </c>
      <c r="KB9" s="212">
        <f>SUMIFS('Revenue Tracking'!$F$13:$F$19, 'Revenue Tracking'!$P$13:$P$19, "&gt;="&amp;KB1,'Revenue Tracking'!$P$13:$P$19, "&lt;"&amp;KC1)</f>
        <v>0</v>
      </c>
      <c r="KC9" s="212">
        <f>SUMIFS('Revenue Tracking'!$F$13:$F$19, 'Revenue Tracking'!$P$13:$P$19, "&gt;="&amp;KC1,'Revenue Tracking'!$P$13:$P$19, "&lt;"&amp;KD1)</f>
        <v>0</v>
      </c>
      <c r="KD9" s="212">
        <f>SUMIFS('Revenue Tracking'!$F$13:$F$19, 'Revenue Tracking'!$P$13:$P$19, "&gt;="&amp;KD1,'Revenue Tracking'!$P$13:$P$19, "&lt;"&amp;KE1)</f>
        <v>0</v>
      </c>
      <c r="KE9" s="212">
        <f>SUMIFS('Revenue Tracking'!$F$13:$F$19, 'Revenue Tracking'!$P$13:$P$19, "&gt;="&amp;KE1,'Revenue Tracking'!$P$13:$P$19, "&lt;"&amp;KF1)</f>
        <v>0</v>
      </c>
      <c r="KF9" s="212">
        <f>SUMIFS('Revenue Tracking'!$F$13:$F$19, 'Revenue Tracking'!$P$13:$P$19, "&gt;="&amp;KF1,'Revenue Tracking'!$P$13:$P$19, "&lt;"&amp;KG1)</f>
        <v>0</v>
      </c>
      <c r="KG9" s="212">
        <f>SUMIFS('Revenue Tracking'!$F$13:$F$19, 'Revenue Tracking'!$P$13:$P$19, "&gt;="&amp;KG1,'Revenue Tracking'!$P$13:$P$19, "&lt;"&amp;KH1)</f>
        <v>0</v>
      </c>
      <c r="KH9" s="212">
        <f>SUMIFS('Revenue Tracking'!$F$13:$F$19, 'Revenue Tracking'!$P$13:$P$19, "&gt;="&amp;KH1,'Revenue Tracking'!$P$13:$P$19, "&lt;"&amp;KI1)</f>
        <v>0</v>
      </c>
      <c r="KI9" s="212">
        <f>SUMIFS('Revenue Tracking'!$F$13:$F$19, 'Revenue Tracking'!$P$13:$P$19, "&gt;="&amp;KI1,'Revenue Tracking'!$P$13:$P$19, "&lt;"&amp;KJ1)</f>
        <v>0</v>
      </c>
      <c r="KJ9" s="212">
        <f>SUMIFS('Revenue Tracking'!$F$13:$F$19, 'Revenue Tracking'!$P$13:$P$19, "&gt;="&amp;KJ1,'Revenue Tracking'!$P$13:$P$19, "&lt;"&amp;KK1)</f>
        <v>0</v>
      </c>
      <c r="KK9" s="212">
        <f>SUMIFS('Revenue Tracking'!$F$13:$F$19, 'Revenue Tracking'!$P$13:$P$19, "&gt;="&amp;KK1,'Revenue Tracking'!$P$13:$P$19, "&lt;"&amp;KL1)</f>
        <v>0</v>
      </c>
      <c r="KL9" s="212">
        <f>SUMIFS('Revenue Tracking'!$F$13:$F$19, 'Revenue Tracking'!$P$13:$P$19, "&gt;="&amp;KL1,'Revenue Tracking'!$P$13:$P$19, "&lt;"&amp;KM1)</f>
        <v>0</v>
      </c>
      <c r="KM9" s="212">
        <f>SUMIFS('Revenue Tracking'!$F$13:$F$19, 'Revenue Tracking'!$P$13:$P$19, "&gt;="&amp;KM1,'Revenue Tracking'!$P$13:$P$19, "&lt;"&amp;KN1)</f>
        <v>0</v>
      </c>
      <c r="KN9" s="212">
        <f>SUMIFS('Revenue Tracking'!$F$13:$F$19, 'Revenue Tracking'!$P$13:$P$19, "&gt;="&amp;KN1,'Revenue Tracking'!$P$13:$P$19, "&lt;"&amp;KO1)</f>
        <v>0</v>
      </c>
      <c r="KO9" s="212">
        <f>SUMIFS('Revenue Tracking'!$F$13:$F$19, 'Revenue Tracking'!$P$13:$P$19, "&gt;="&amp;KO1,'Revenue Tracking'!$P$13:$P$19, "&lt;"&amp;KP1)</f>
        <v>0</v>
      </c>
      <c r="KP9" s="212">
        <f>SUMIFS('Revenue Tracking'!$F$13:$F$19, 'Revenue Tracking'!$P$13:$P$19, "&gt;="&amp;KP1,'Revenue Tracking'!$P$13:$P$19, "&lt;"&amp;KQ1)</f>
        <v>0</v>
      </c>
      <c r="KQ9" s="212">
        <f>SUMIFS('Revenue Tracking'!$F$13:$F$19, 'Revenue Tracking'!$P$13:$P$19, "&gt;="&amp;KQ1,'Revenue Tracking'!$P$13:$P$19, "&lt;"&amp;KR1)</f>
        <v>0</v>
      </c>
      <c r="KR9" s="212">
        <f>SUMIFS('Revenue Tracking'!$F$13:$F$19, 'Revenue Tracking'!$P$13:$P$19, "&gt;="&amp;KR1,'Revenue Tracking'!$P$13:$P$19, "&lt;"&amp;KS1)</f>
        <v>0</v>
      </c>
      <c r="KS9" s="212">
        <f>SUMIFS('Revenue Tracking'!$F$13:$F$19, 'Revenue Tracking'!$P$13:$P$19, "&gt;="&amp;KS1,'Revenue Tracking'!$P$13:$P$19, "&lt;"&amp;KT1)</f>
        <v>0</v>
      </c>
      <c r="KT9" s="212">
        <f>SUMIFS('Revenue Tracking'!$F$13:$F$19, 'Revenue Tracking'!$P$13:$P$19, "&gt;="&amp;KT1,'Revenue Tracking'!$P$13:$P$19, "&lt;"&amp;KU1)</f>
        <v>0</v>
      </c>
      <c r="KU9" s="212">
        <f>SUMIFS('Revenue Tracking'!$F$13:$F$19, 'Revenue Tracking'!$P$13:$P$19, "&gt;="&amp;KU1,'Revenue Tracking'!$P$13:$P$19, "&lt;"&amp;KV1)</f>
        <v>0</v>
      </c>
      <c r="KV9" s="212">
        <f>SUMIFS('Revenue Tracking'!$F$13:$F$19, 'Revenue Tracking'!$P$13:$P$19, "&gt;="&amp;KV1,'Revenue Tracking'!$P$13:$P$19, "&lt;"&amp;KW1)</f>
        <v>0</v>
      </c>
      <c r="KW9" s="212">
        <f>SUMIFS('Revenue Tracking'!$F$13:$F$19, 'Revenue Tracking'!$P$13:$P$19, "&gt;="&amp;KW1,'Revenue Tracking'!$P$13:$P$19, "&lt;"&amp;KX1)</f>
        <v>0</v>
      </c>
      <c r="KX9" s="212">
        <f>SUMIFS('Revenue Tracking'!$F$13:$F$19, 'Revenue Tracking'!$P$13:$P$19, "&gt;="&amp;KX1,'Revenue Tracking'!$P$13:$P$19, "&lt;"&amp;KY1)</f>
        <v>0</v>
      </c>
      <c r="KY9" s="212">
        <f>SUMIFS('Revenue Tracking'!$F$13:$F$19, 'Revenue Tracking'!$P$13:$P$19, "&gt;="&amp;KY1,'Revenue Tracking'!$P$13:$P$19, "&lt;"&amp;KZ1)</f>
        <v>0</v>
      </c>
      <c r="KZ9" s="212">
        <f>SUMIFS('Revenue Tracking'!$F$13:$F$19, 'Revenue Tracking'!$P$13:$P$19, "&gt;="&amp;KZ1,'Revenue Tracking'!$P$13:$P$19, "&lt;"&amp;LA1)</f>
        <v>0</v>
      </c>
      <c r="LA9" s="212">
        <f>SUMIFS('Revenue Tracking'!$F$13:$F$19, 'Revenue Tracking'!$P$13:$P$19, "&gt;="&amp;LA1,'Revenue Tracking'!$P$13:$P$19, "&lt;"&amp;LB1)</f>
        <v>0</v>
      </c>
      <c r="LB9" s="212">
        <f>SUMIFS('Revenue Tracking'!$F$13:$F$19, 'Revenue Tracking'!$P$13:$P$19, "&gt;="&amp;LB1,'Revenue Tracking'!$P$13:$P$19, "&lt;"&amp;LC1)</f>
        <v>0</v>
      </c>
      <c r="LC9" s="212">
        <f>SUMIFS('Revenue Tracking'!$F$13:$F$19, 'Revenue Tracking'!$P$13:$P$19, "&gt;="&amp;LC1,'Revenue Tracking'!$P$13:$P$19, "&lt;"&amp;LD1)</f>
        <v>0</v>
      </c>
      <c r="LD9" s="212">
        <f>SUMIFS('Revenue Tracking'!$F$13:$F$19, 'Revenue Tracking'!$P$13:$P$19, "&gt;="&amp;LD1,'Revenue Tracking'!$P$13:$P$19, "&lt;"&amp;#REF!)</f>
        <v>0</v>
      </c>
    </row>
    <row r="10" spans="1:794">
      <c r="A10" s="809"/>
      <c r="B10" s="210" t="s">
        <v>390</v>
      </c>
      <c r="C10" s="211"/>
      <c r="D10" s="211"/>
      <c r="E10" s="198"/>
      <c r="F10" s="212">
        <f>F9</f>
        <v>0</v>
      </c>
      <c r="G10" s="212">
        <f>F10+G9</f>
        <v>0</v>
      </c>
      <c r="H10" s="212">
        <f>G10+H9</f>
        <v>0</v>
      </c>
      <c r="I10" s="212">
        <f t="shared" ref="I10:BT10" si="21">H10+I9</f>
        <v>0</v>
      </c>
      <c r="J10" s="212">
        <f t="shared" si="21"/>
        <v>0</v>
      </c>
      <c r="K10" s="212">
        <f t="shared" si="21"/>
        <v>0</v>
      </c>
      <c r="L10" s="212">
        <f t="shared" si="21"/>
        <v>0</v>
      </c>
      <c r="M10" s="212">
        <f t="shared" si="21"/>
        <v>0</v>
      </c>
      <c r="N10" s="212">
        <f t="shared" si="21"/>
        <v>0</v>
      </c>
      <c r="O10" s="212">
        <f t="shared" si="21"/>
        <v>0</v>
      </c>
      <c r="P10" s="212">
        <f t="shared" si="21"/>
        <v>0</v>
      </c>
      <c r="Q10" s="212">
        <f t="shared" si="21"/>
        <v>0</v>
      </c>
      <c r="R10" s="212">
        <f t="shared" si="21"/>
        <v>0</v>
      </c>
      <c r="S10" s="212">
        <f t="shared" si="21"/>
        <v>0</v>
      </c>
      <c r="T10" s="212">
        <f t="shared" si="21"/>
        <v>0</v>
      </c>
      <c r="U10" s="212">
        <f t="shared" si="21"/>
        <v>0</v>
      </c>
      <c r="V10" s="212">
        <f t="shared" si="21"/>
        <v>0</v>
      </c>
      <c r="W10" s="212">
        <f t="shared" si="21"/>
        <v>0</v>
      </c>
      <c r="X10" s="212">
        <f t="shared" si="21"/>
        <v>0</v>
      </c>
      <c r="Y10" s="212">
        <f t="shared" si="21"/>
        <v>0</v>
      </c>
      <c r="Z10" s="212">
        <f t="shared" si="21"/>
        <v>0</v>
      </c>
      <c r="AA10" s="212">
        <f t="shared" si="21"/>
        <v>0</v>
      </c>
      <c r="AB10" s="212">
        <f t="shared" si="21"/>
        <v>0</v>
      </c>
      <c r="AC10" s="212">
        <f t="shared" si="21"/>
        <v>0</v>
      </c>
      <c r="AD10" s="212">
        <f t="shared" si="21"/>
        <v>0</v>
      </c>
      <c r="AE10" s="212">
        <f t="shared" si="21"/>
        <v>0</v>
      </c>
      <c r="AF10" s="212">
        <f t="shared" si="21"/>
        <v>0</v>
      </c>
      <c r="AG10" s="212">
        <f t="shared" si="21"/>
        <v>0</v>
      </c>
      <c r="AH10" s="212">
        <f t="shared" si="21"/>
        <v>513568</v>
      </c>
      <c r="AI10" s="212">
        <f t="shared" si="21"/>
        <v>513568</v>
      </c>
      <c r="AJ10" s="212">
        <f t="shared" si="21"/>
        <v>513568</v>
      </c>
      <c r="AK10" s="212">
        <f t="shared" si="21"/>
        <v>513568</v>
      </c>
      <c r="AL10" s="212">
        <f t="shared" si="21"/>
        <v>873065.6</v>
      </c>
      <c r="AM10" s="212">
        <f t="shared" si="21"/>
        <v>873065.6</v>
      </c>
      <c r="AN10" s="212">
        <f t="shared" si="21"/>
        <v>873065.6</v>
      </c>
      <c r="AO10" s="212">
        <f t="shared" si="21"/>
        <v>873065.6</v>
      </c>
      <c r="AP10" s="212">
        <f t="shared" si="21"/>
        <v>873065.6</v>
      </c>
      <c r="AQ10" s="212">
        <f t="shared" si="21"/>
        <v>873065.6</v>
      </c>
      <c r="AR10" s="212">
        <f t="shared" si="21"/>
        <v>873065.6</v>
      </c>
      <c r="AS10" s="212">
        <f t="shared" si="21"/>
        <v>873065.6</v>
      </c>
      <c r="AT10" s="212">
        <f t="shared" si="21"/>
        <v>873065.6</v>
      </c>
      <c r="AU10" s="212">
        <f t="shared" si="21"/>
        <v>873065.6</v>
      </c>
      <c r="AV10" s="212">
        <f t="shared" si="21"/>
        <v>873065.6</v>
      </c>
      <c r="AW10" s="212">
        <f t="shared" si="21"/>
        <v>1027136</v>
      </c>
      <c r="AX10" s="212">
        <f t="shared" si="21"/>
        <v>1027136</v>
      </c>
      <c r="AY10" s="212">
        <f t="shared" si="21"/>
        <v>1027136</v>
      </c>
      <c r="AZ10" s="212">
        <f t="shared" si="21"/>
        <v>1027136</v>
      </c>
      <c r="BA10" s="212">
        <f t="shared" si="21"/>
        <v>1027136</v>
      </c>
      <c r="BB10" s="212">
        <f t="shared" si="21"/>
        <v>1027136</v>
      </c>
      <c r="BC10" s="212">
        <f t="shared" si="21"/>
        <v>1027136</v>
      </c>
      <c r="BD10" s="212">
        <f t="shared" si="21"/>
        <v>1027136</v>
      </c>
      <c r="BE10" s="212">
        <f t="shared" si="21"/>
        <v>1027136</v>
      </c>
      <c r="BF10" s="212">
        <f t="shared" si="21"/>
        <v>1027136</v>
      </c>
      <c r="BG10" s="212">
        <f t="shared" si="21"/>
        <v>1027136</v>
      </c>
      <c r="BH10" s="212">
        <f t="shared" si="21"/>
        <v>1027136</v>
      </c>
      <c r="BI10" s="212">
        <f t="shared" si="21"/>
        <v>1027136</v>
      </c>
      <c r="BJ10" s="212">
        <f t="shared" si="21"/>
        <v>1027136</v>
      </c>
      <c r="BK10" s="212">
        <f t="shared" si="21"/>
        <v>1027136</v>
      </c>
      <c r="BL10" s="212">
        <f t="shared" si="21"/>
        <v>1027136</v>
      </c>
      <c r="BM10" s="212">
        <f t="shared" si="21"/>
        <v>1027136</v>
      </c>
      <c r="BN10" s="212">
        <f t="shared" si="21"/>
        <v>1027136</v>
      </c>
      <c r="BO10" s="212">
        <f t="shared" si="21"/>
        <v>1027136</v>
      </c>
      <c r="BP10" s="212">
        <f t="shared" si="21"/>
        <v>1027136</v>
      </c>
      <c r="BQ10" s="212">
        <f t="shared" si="21"/>
        <v>1027136</v>
      </c>
      <c r="BR10" s="212">
        <f t="shared" si="21"/>
        <v>1027136</v>
      </c>
      <c r="BS10" s="212">
        <f t="shared" si="21"/>
        <v>1027136</v>
      </c>
      <c r="BT10" s="212">
        <f t="shared" si="21"/>
        <v>1027136</v>
      </c>
      <c r="BU10" s="212">
        <f t="shared" ref="BU10:EF10" si="22">BT10+BU9</f>
        <v>1027136</v>
      </c>
      <c r="BV10" s="212">
        <f t="shared" si="22"/>
        <v>1027136</v>
      </c>
      <c r="BW10" s="212">
        <f t="shared" si="22"/>
        <v>1027136</v>
      </c>
      <c r="BX10" s="212">
        <f t="shared" si="22"/>
        <v>1027136</v>
      </c>
      <c r="BY10" s="212">
        <f t="shared" si="22"/>
        <v>1027136</v>
      </c>
      <c r="BZ10" s="212">
        <f t="shared" si="22"/>
        <v>1027136</v>
      </c>
      <c r="CA10" s="212">
        <f t="shared" si="22"/>
        <v>1027136</v>
      </c>
      <c r="CB10" s="212">
        <f t="shared" si="22"/>
        <v>1027136</v>
      </c>
      <c r="CC10" s="212">
        <f t="shared" si="22"/>
        <v>1027136</v>
      </c>
      <c r="CD10" s="212">
        <f t="shared" si="22"/>
        <v>1027136</v>
      </c>
      <c r="CE10" s="212">
        <f t="shared" si="22"/>
        <v>1027136</v>
      </c>
      <c r="CF10" s="212">
        <f t="shared" si="22"/>
        <v>1027136</v>
      </c>
      <c r="CG10" s="212">
        <f t="shared" si="22"/>
        <v>1027136</v>
      </c>
      <c r="CH10" s="212">
        <f t="shared" si="22"/>
        <v>1027136</v>
      </c>
      <c r="CI10" s="212">
        <f t="shared" si="22"/>
        <v>1027136</v>
      </c>
      <c r="CJ10" s="212">
        <f t="shared" si="22"/>
        <v>1027136</v>
      </c>
      <c r="CK10" s="212">
        <f t="shared" si="22"/>
        <v>1027136</v>
      </c>
      <c r="CL10" s="212">
        <f t="shared" si="22"/>
        <v>1027136</v>
      </c>
      <c r="CM10" s="212">
        <f t="shared" si="22"/>
        <v>1027136</v>
      </c>
      <c r="CN10" s="212">
        <f t="shared" si="22"/>
        <v>1027136</v>
      </c>
      <c r="CO10" s="212">
        <f t="shared" si="22"/>
        <v>1027136</v>
      </c>
      <c r="CP10" s="212">
        <f t="shared" si="22"/>
        <v>1027136</v>
      </c>
      <c r="CQ10" s="212">
        <f t="shared" si="22"/>
        <v>1027136</v>
      </c>
      <c r="CR10" s="212">
        <f t="shared" si="22"/>
        <v>1027136</v>
      </c>
      <c r="CS10" s="212">
        <f t="shared" si="22"/>
        <v>1027136</v>
      </c>
      <c r="CT10" s="212">
        <f t="shared" si="22"/>
        <v>1027136</v>
      </c>
      <c r="CU10" s="212">
        <f t="shared" si="22"/>
        <v>1027136</v>
      </c>
      <c r="CV10" s="212">
        <f t="shared" si="22"/>
        <v>1027136</v>
      </c>
      <c r="CW10" s="212">
        <f t="shared" si="22"/>
        <v>1027136</v>
      </c>
      <c r="CX10" s="212">
        <f t="shared" si="22"/>
        <v>1027136</v>
      </c>
      <c r="CY10" s="212">
        <f t="shared" si="22"/>
        <v>1027136</v>
      </c>
      <c r="CZ10" s="212">
        <f t="shared" si="22"/>
        <v>1027136</v>
      </c>
      <c r="DA10" s="212">
        <f t="shared" si="22"/>
        <v>1027136</v>
      </c>
      <c r="DB10" s="212">
        <f t="shared" si="22"/>
        <v>1027136</v>
      </c>
      <c r="DC10" s="212">
        <f t="shared" si="22"/>
        <v>1027136</v>
      </c>
      <c r="DD10" s="212">
        <f t="shared" si="22"/>
        <v>1027136</v>
      </c>
      <c r="DE10" s="212">
        <f t="shared" si="22"/>
        <v>1027136</v>
      </c>
      <c r="DF10" s="212">
        <f t="shared" si="22"/>
        <v>1027136</v>
      </c>
      <c r="DG10" s="212">
        <f t="shared" si="22"/>
        <v>1027136</v>
      </c>
      <c r="DH10" s="212">
        <f t="shared" si="22"/>
        <v>1027136</v>
      </c>
      <c r="DI10" s="212">
        <f t="shared" si="22"/>
        <v>1027136</v>
      </c>
      <c r="DJ10" s="212">
        <f t="shared" si="22"/>
        <v>1027136</v>
      </c>
      <c r="DK10" s="212">
        <f t="shared" si="22"/>
        <v>1027136</v>
      </c>
      <c r="DL10" s="212">
        <f t="shared" si="22"/>
        <v>1027136</v>
      </c>
      <c r="DM10" s="212">
        <f t="shared" si="22"/>
        <v>1027136</v>
      </c>
      <c r="DN10" s="212">
        <f t="shared" si="22"/>
        <v>1027136</v>
      </c>
      <c r="DO10" s="212">
        <f t="shared" si="22"/>
        <v>1027136</v>
      </c>
      <c r="DP10" s="212">
        <f t="shared" si="22"/>
        <v>1027136</v>
      </c>
      <c r="DQ10" s="212">
        <f t="shared" si="22"/>
        <v>1027136</v>
      </c>
      <c r="DR10" s="212">
        <f t="shared" si="22"/>
        <v>1027136</v>
      </c>
      <c r="DS10" s="212">
        <f t="shared" si="22"/>
        <v>1027136</v>
      </c>
      <c r="DT10" s="212">
        <f t="shared" si="22"/>
        <v>1027136</v>
      </c>
      <c r="DU10" s="212">
        <f t="shared" si="22"/>
        <v>1027136</v>
      </c>
      <c r="DV10" s="212">
        <f t="shared" si="22"/>
        <v>1027136</v>
      </c>
      <c r="DW10" s="212">
        <f t="shared" si="22"/>
        <v>1027136</v>
      </c>
      <c r="DX10" s="212">
        <f t="shared" si="22"/>
        <v>1027136</v>
      </c>
      <c r="DY10" s="212">
        <f t="shared" si="22"/>
        <v>1027136</v>
      </c>
      <c r="DZ10" s="212">
        <f t="shared" si="22"/>
        <v>1027136</v>
      </c>
      <c r="EA10" s="212">
        <f t="shared" si="22"/>
        <v>1027136</v>
      </c>
      <c r="EB10" s="212">
        <f t="shared" si="22"/>
        <v>1027136</v>
      </c>
      <c r="EC10" s="212">
        <f t="shared" si="22"/>
        <v>1027136</v>
      </c>
      <c r="ED10" s="212">
        <f t="shared" si="22"/>
        <v>1027136</v>
      </c>
      <c r="EE10" s="212">
        <f t="shared" si="22"/>
        <v>1027136</v>
      </c>
      <c r="EF10" s="212">
        <f t="shared" si="22"/>
        <v>1027136</v>
      </c>
      <c r="EG10" s="212">
        <f t="shared" ref="EG10:GR10" si="23">EF10+EG9</f>
        <v>1027136</v>
      </c>
      <c r="EH10" s="212">
        <f t="shared" si="23"/>
        <v>1027136</v>
      </c>
      <c r="EI10" s="212">
        <f t="shared" si="23"/>
        <v>1027136</v>
      </c>
      <c r="EJ10" s="212">
        <f t="shared" si="23"/>
        <v>1027136</v>
      </c>
      <c r="EK10" s="212">
        <f t="shared" si="23"/>
        <v>1027136</v>
      </c>
      <c r="EL10" s="212">
        <f t="shared" si="23"/>
        <v>1027136</v>
      </c>
      <c r="EM10" s="212">
        <f t="shared" si="23"/>
        <v>1027136</v>
      </c>
      <c r="EN10" s="212">
        <f t="shared" si="23"/>
        <v>1027136</v>
      </c>
      <c r="EO10" s="212">
        <f t="shared" si="23"/>
        <v>1027136</v>
      </c>
      <c r="EP10" s="212">
        <f t="shared" si="23"/>
        <v>1027136</v>
      </c>
      <c r="EQ10" s="212">
        <f t="shared" si="23"/>
        <v>1027136</v>
      </c>
      <c r="ER10" s="212">
        <f t="shared" si="23"/>
        <v>1027136</v>
      </c>
      <c r="ES10" s="212">
        <f t="shared" si="23"/>
        <v>1027136</v>
      </c>
      <c r="ET10" s="212">
        <f t="shared" si="23"/>
        <v>1027136</v>
      </c>
      <c r="EU10" s="212">
        <f t="shared" si="23"/>
        <v>1027136</v>
      </c>
      <c r="EV10" s="212">
        <f t="shared" si="23"/>
        <v>1027136</v>
      </c>
      <c r="EW10" s="212">
        <f t="shared" si="23"/>
        <v>1027136</v>
      </c>
      <c r="EX10" s="212">
        <f t="shared" si="23"/>
        <v>1027136</v>
      </c>
      <c r="EY10" s="212">
        <f t="shared" si="23"/>
        <v>1027136</v>
      </c>
      <c r="EZ10" s="212">
        <f t="shared" si="23"/>
        <v>1027136</v>
      </c>
      <c r="FA10" s="212">
        <f t="shared" si="23"/>
        <v>1027136</v>
      </c>
      <c r="FB10" s="212">
        <f t="shared" si="23"/>
        <v>1027136</v>
      </c>
      <c r="FC10" s="212">
        <f t="shared" si="23"/>
        <v>1027136</v>
      </c>
      <c r="FD10" s="212">
        <f t="shared" si="23"/>
        <v>1027136</v>
      </c>
      <c r="FE10" s="212">
        <f t="shared" si="23"/>
        <v>1027136</v>
      </c>
      <c r="FF10" s="212">
        <f t="shared" si="23"/>
        <v>1027136</v>
      </c>
      <c r="FG10" s="212">
        <f t="shared" si="23"/>
        <v>1027136</v>
      </c>
      <c r="FH10" s="212">
        <f t="shared" si="23"/>
        <v>1027136</v>
      </c>
      <c r="FI10" s="212">
        <f t="shared" si="23"/>
        <v>1027136</v>
      </c>
      <c r="FJ10" s="212">
        <f t="shared" si="23"/>
        <v>1027136</v>
      </c>
      <c r="FK10" s="212">
        <f t="shared" si="23"/>
        <v>1027136</v>
      </c>
      <c r="FL10" s="212">
        <f t="shared" si="23"/>
        <v>1027136</v>
      </c>
      <c r="FM10" s="212">
        <f t="shared" si="23"/>
        <v>1027136</v>
      </c>
      <c r="FN10" s="212">
        <f t="shared" si="23"/>
        <v>1027136</v>
      </c>
      <c r="FO10" s="212">
        <f t="shared" si="23"/>
        <v>1027136</v>
      </c>
      <c r="FP10" s="212">
        <f t="shared" si="23"/>
        <v>1027136</v>
      </c>
      <c r="FQ10" s="212">
        <f t="shared" si="23"/>
        <v>1027136</v>
      </c>
      <c r="FR10" s="212">
        <f t="shared" si="23"/>
        <v>1027136</v>
      </c>
      <c r="FS10" s="212">
        <f t="shared" si="23"/>
        <v>1027136</v>
      </c>
      <c r="FT10" s="212">
        <f t="shared" si="23"/>
        <v>1027136</v>
      </c>
      <c r="FU10" s="212">
        <f t="shared" si="23"/>
        <v>1027136</v>
      </c>
      <c r="FV10" s="212">
        <f t="shared" si="23"/>
        <v>1027136</v>
      </c>
      <c r="FW10" s="212">
        <f t="shared" si="23"/>
        <v>1027136</v>
      </c>
      <c r="FX10" s="212">
        <f t="shared" si="23"/>
        <v>1027136</v>
      </c>
      <c r="FY10" s="212">
        <f t="shared" si="23"/>
        <v>1027136</v>
      </c>
      <c r="FZ10" s="212">
        <f t="shared" si="23"/>
        <v>1027136</v>
      </c>
      <c r="GA10" s="212">
        <f t="shared" si="23"/>
        <v>1027136</v>
      </c>
      <c r="GB10" s="212">
        <f t="shared" si="23"/>
        <v>1027136</v>
      </c>
      <c r="GC10" s="212">
        <f t="shared" si="23"/>
        <v>1027136</v>
      </c>
      <c r="GD10" s="212">
        <f t="shared" si="23"/>
        <v>1027136</v>
      </c>
      <c r="GE10" s="212">
        <f t="shared" si="23"/>
        <v>1027136</v>
      </c>
      <c r="GF10" s="212">
        <f t="shared" si="23"/>
        <v>1027136</v>
      </c>
      <c r="GG10" s="212">
        <f t="shared" si="23"/>
        <v>1027136</v>
      </c>
      <c r="GH10" s="212">
        <f t="shared" si="23"/>
        <v>1027136</v>
      </c>
      <c r="GI10" s="212">
        <f t="shared" si="23"/>
        <v>1027136</v>
      </c>
      <c r="GJ10" s="212">
        <f t="shared" si="23"/>
        <v>1027136</v>
      </c>
      <c r="GK10" s="212">
        <f t="shared" si="23"/>
        <v>1027136</v>
      </c>
      <c r="GL10" s="212">
        <f t="shared" si="23"/>
        <v>1027136</v>
      </c>
      <c r="GM10" s="212">
        <f t="shared" si="23"/>
        <v>1027136</v>
      </c>
      <c r="GN10" s="212">
        <f t="shared" si="23"/>
        <v>1027136</v>
      </c>
      <c r="GO10" s="212">
        <f t="shared" si="23"/>
        <v>1027136</v>
      </c>
      <c r="GP10" s="212">
        <f t="shared" si="23"/>
        <v>1027136</v>
      </c>
      <c r="GQ10" s="212">
        <f t="shared" si="23"/>
        <v>1027136</v>
      </c>
      <c r="GR10" s="212">
        <f t="shared" si="23"/>
        <v>1027136</v>
      </c>
      <c r="GS10" s="212">
        <f t="shared" ref="GS10:JD10" si="24">GR10+GS9</f>
        <v>1027136</v>
      </c>
      <c r="GT10" s="212">
        <f t="shared" si="24"/>
        <v>1027136</v>
      </c>
      <c r="GU10" s="212">
        <f t="shared" si="24"/>
        <v>1027136</v>
      </c>
      <c r="GV10" s="212">
        <f t="shared" si="24"/>
        <v>1027136</v>
      </c>
      <c r="GW10" s="212">
        <f t="shared" si="24"/>
        <v>1027136</v>
      </c>
      <c r="GX10" s="212">
        <f t="shared" si="24"/>
        <v>1027136</v>
      </c>
      <c r="GY10" s="212">
        <f t="shared" si="24"/>
        <v>1027136</v>
      </c>
      <c r="GZ10" s="212">
        <f t="shared" si="24"/>
        <v>1027136</v>
      </c>
      <c r="HA10" s="212">
        <f t="shared" si="24"/>
        <v>1027136</v>
      </c>
      <c r="HB10" s="212">
        <f t="shared" si="24"/>
        <v>1027136</v>
      </c>
      <c r="HC10" s="212">
        <f t="shared" si="24"/>
        <v>1027136</v>
      </c>
      <c r="HD10" s="212">
        <f t="shared" si="24"/>
        <v>1027136</v>
      </c>
      <c r="HE10" s="212">
        <f t="shared" si="24"/>
        <v>1027136</v>
      </c>
      <c r="HF10" s="212">
        <f t="shared" si="24"/>
        <v>1027136</v>
      </c>
      <c r="HG10" s="212">
        <f t="shared" si="24"/>
        <v>1027136</v>
      </c>
      <c r="HH10" s="212">
        <f t="shared" si="24"/>
        <v>1027136</v>
      </c>
      <c r="HI10" s="212">
        <f t="shared" si="24"/>
        <v>1027136</v>
      </c>
      <c r="HJ10" s="212">
        <f t="shared" si="24"/>
        <v>1027136</v>
      </c>
      <c r="HK10" s="212">
        <f t="shared" si="24"/>
        <v>1027136</v>
      </c>
      <c r="HL10" s="212">
        <f t="shared" si="24"/>
        <v>1027136</v>
      </c>
      <c r="HM10" s="212">
        <f t="shared" si="24"/>
        <v>1027136</v>
      </c>
      <c r="HN10" s="212">
        <f t="shared" si="24"/>
        <v>1027136</v>
      </c>
      <c r="HO10" s="212">
        <f t="shared" si="24"/>
        <v>1027136</v>
      </c>
      <c r="HP10" s="212">
        <f t="shared" si="24"/>
        <v>1027136</v>
      </c>
      <c r="HQ10" s="212">
        <f t="shared" si="24"/>
        <v>1027136</v>
      </c>
      <c r="HR10" s="212">
        <f t="shared" si="24"/>
        <v>1027136</v>
      </c>
      <c r="HS10" s="212">
        <f t="shared" si="24"/>
        <v>1027136</v>
      </c>
      <c r="HT10" s="212">
        <f t="shared" si="24"/>
        <v>1027136</v>
      </c>
      <c r="HU10" s="212">
        <f t="shared" si="24"/>
        <v>1027136</v>
      </c>
      <c r="HV10" s="212">
        <f t="shared" si="24"/>
        <v>1027136</v>
      </c>
      <c r="HW10" s="212">
        <f t="shared" si="24"/>
        <v>1027136</v>
      </c>
      <c r="HX10" s="212">
        <f t="shared" si="24"/>
        <v>1027136</v>
      </c>
      <c r="HY10" s="212">
        <f t="shared" si="24"/>
        <v>1027136</v>
      </c>
      <c r="HZ10" s="212">
        <f t="shared" si="24"/>
        <v>1027136</v>
      </c>
      <c r="IA10" s="212">
        <f t="shared" si="24"/>
        <v>1027136</v>
      </c>
      <c r="IB10" s="212">
        <f t="shared" si="24"/>
        <v>1027136</v>
      </c>
      <c r="IC10" s="212">
        <f t="shared" si="24"/>
        <v>1027136</v>
      </c>
      <c r="ID10" s="212">
        <f t="shared" si="24"/>
        <v>1027136</v>
      </c>
      <c r="IE10" s="212">
        <f t="shared" si="24"/>
        <v>1027136</v>
      </c>
      <c r="IF10" s="212">
        <f t="shared" si="24"/>
        <v>1027136</v>
      </c>
      <c r="IG10" s="212">
        <f t="shared" si="24"/>
        <v>1027136</v>
      </c>
      <c r="IH10" s="212">
        <f t="shared" si="24"/>
        <v>1027136</v>
      </c>
      <c r="II10" s="212">
        <f t="shared" si="24"/>
        <v>1027136</v>
      </c>
      <c r="IJ10" s="212">
        <f t="shared" si="24"/>
        <v>1027136</v>
      </c>
      <c r="IK10" s="212">
        <f t="shared" si="24"/>
        <v>1027136</v>
      </c>
      <c r="IL10" s="212">
        <f t="shared" si="24"/>
        <v>1027136</v>
      </c>
      <c r="IM10" s="212">
        <f t="shared" si="24"/>
        <v>1027136</v>
      </c>
      <c r="IN10" s="212">
        <f t="shared" si="24"/>
        <v>1027136</v>
      </c>
      <c r="IO10" s="212">
        <f t="shared" si="24"/>
        <v>1027136</v>
      </c>
      <c r="IP10" s="212">
        <f t="shared" si="24"/>
        <v>1027136</v>
      </c>
      <c r="IQ10" s="212">
        <f t="shared" si="24"/>
        <v>1027136</v>
      </c>
      <c r="IR10" s="212">
        <f t="shared" si="24"/>
        <v>1027136</v>
      </c>
      <c r="IS10" s="212">
        <f t="shared" si="24"/>
        <v>1027136</v>
      </c>
      <c r="IT10" s="212">
        <f t="shared" si="24"/>
        <v>1027136</v>
      </c>
      <c r="IU10" s="212">
        <f t="shared" si="24"/>
        <v>1027136</v>
      </c>
      <c r="IV10" s="212">
        <f t="shared" si="24"/>
        <v>1027136</v>
      </c>
      <c r="IW10" s="212">
        <f t="shared" si="24"/>
        <v>1027136</v>
      </c>
      <c r="IX10" s="212">
        <f t="shared" si="24"/>
        <v>1027136</v>
      </c>
      <c r="IY10" s="212">
        <f t="shared" si="24"/>
        <v>1027136</v>
      </c>
      <c r="IZ10" s="212">
        <f t="shared" si="24"/>
        <v>1027136</v>
      </c>
      <c r="JA10" s="212">
        <f t="shared" si="24"/>
        <v>1027136</v>
      </c>
      <c r="JB10" s="212">
        <f t="shared" si="24"/>
        <v>1027136</v>
      </c>
      <c r="JC10" s="212">
        <f t="shared" si="24"/>
        <v>1027136</v>
      </c>
      <c r="JD10" s="212">
        <f t="shared" si="24"/>
        <v>1027136</v>
      </c>
      <c r="JE10" s="212">
        <f t="shared" ref="JE10:LD10" si="25">JD10+JE9</f>
        <v>1027136</v>
      </c>
      <c r="JF10" s="212">
        <f t="shared" si="25"/>
        <v>1027136</v>
      </c>
      <c r="JG10" s="212">
        <f t="shared" si="25"/>
        <v>1027136</v>
      </c>
      <c r="JH10" s="212">
        <f t="shared" si="25"/>
        <v>1027136</v>
      </c>
      <c r="JI10" s="212">
        <f t="shared" si="25"/>
        <v>1027136</v>
      </c>
      <c r="JJ10" s="212">
        <f t="shared" si="25"/>
        <v>1027136</v>
      </c>
      <c r="JK10" s="212">
        <f t="shared" si="25"/>
        <v>1027136</v>
      </c>
      <c r="JL10" s="212">
        <f t="shared" si="25"/>
        <v>1027136</v>
      </c>
      <c r="JM10" s="212">
        <f t="shared" si="25"/>
        <v>1027136</v>
      </c>
      <c r="JN10" s="212">
        <f t="shared" si="25"/>
        <v>1027136</v>
      </c>
      <c r="JO10" s="212">
        <f t="shared" si="25"/>
        <v>1027136</v>
      </c>
      <c r="JP10" s="212">
        <f t="shared" si="25"/>
        <v>1027136</v>
      </c>
      <c r="JQ10" s="212">
        <f t="shared" si="25"/>
        <v>1027136</v>
      </c>
      <c r="JR10" s="212">
        <f t="shared" si="25"/>
        <v>1027136</v>
      </c>
      <c r="JS10" s="212">
        <f t="shared" si="25"/>
        <v>1027136</v>
      </c>
      <c r="JT10" s="212">
        <f t="shared" si="25"/>
        <v>1027136</v>
      </c>
      <c r="JU10" s="212">
        <f t="shared" si="25"/>
        <v>1027136</v>
      </c>
      <c r="JV10" s="212">
        <f t="shared" si="25"/>
        <v>1027136</v>
      </c>
      <c r="JW10" s="212">
        <f t="shared" si="25"/>
        <v>1027136</v>
      </c>
      <c r="JX10" s="212">
        <f t="shared" si="25"/>
        <v>1027136</v>
      </c>
      <c r="JY10" s="212">
        <f t="shared" si="25"/>
        <v>1027136</v>
      </c>
      <c r="JZ10" s="212">
        <f t="shared" si="25"/>
        <v>1027136</v>
      </c>
      <c r="KA10" s="212">
        <f t="shared" si="25"/>
        <v>1027136</v>
      </c>
      <c r="KB10" s="212">
        <f t="shared" si="25"/>
        <v>1027136</v>
      </c>
      <c r="KC10" s="212">
        <f t="shared" si="25"/>
        <v>1027136</v>
      </c>
      <c r="KD10" s="212">
        <f t="shared" si="25"/>
        <v>1027136</v>
      </c>
      <c r="KE10" s="212">
        <f t="shared" si="25"/>
        <v>1027136</v>
      </c>
      <c r="KF10" s="212">
        <f t="shared" si="25"/>
        <v>1027136</v>
      </c>
      <c r="KG10" s="212">
        <f t="shared" si="25"/>
        <v>1027136</v>
      </c>
      <c r="KH10" s="212">
        <f t="shared" si="25"/>
        <v>1027136</v>
      </c>
      <c r="KI10" s="212">
        <f t="shared" si="25"/>
        <v>1027136</v>
      </c>
      <c r="KJ10" s="212">
        <f t="shared" si="25"/>
        <v>1027136</v>
      </c>
      <c r="KK10" s="212">
        <f t="shared" si="25"/>
        <v>1027136</v>
      </c>
      <c r="KL10" s="212">
        <f t="shared" si="25"/>
        <v>1027136</v>
      </c>
      <c r="KM10" s="212">
        <f t="shared" si="25"/>
        <v>1027136</v>
      </c>
      <c r="KN10" s="212">
        <f t="shared" si="25"/>
        <v>1027136</v>
      </c>
      <c r="KO10" s="212">
        <f t="shared" si="25"/>
        <v>1027136</v>
      </c>
      <c r="KP10" s="212">
        <f t="shared" si="25"/>
        <v>1027136</v>
      </c>
      <c r="KQ10" s="212">
        <f t="shared" si="25"/>
        <v>1027136</v>
      </c>
      <c r="KR10" s="212">
        <f t="shared" si="25"/>
        <v>1027136</v>
      </c>
      <c r="KS10" s="212">
        <f t="shared" si="25"/>
        <v>1027136</v>
      </c>
      <c r="KT10" s="212">
        <f t="shared" si="25"/>
        <v>1027136</v>
      </c>
      <c r="KU10" s="212">
        <f t="shared" si="25"/>
        <v>1027136</v>
      </c>
      <c r="KV10" s="212">
        <f t="shared" si="25"/>
        <v>1027136</v>
      </c>
      <c r="KW10" s="212">
        <f t="shared" si="25"/>
        <v>1027136</v>
      </c>
      <c r="KX10" s="212">
        <f t="shared" si="25"/>
        <v>1027136</v>
      </c>
      <c r="KY10" s="212">
        <f t="shared" si="25"/>
        <v>1027136</v>
      </c>
      <c r="KZ10" s="212">
        <f t="shared" si="25"/>
        <v>1027136</v>
      </c>
      <c r="LA10" s="212">
        <f t="shared" si="25"/>
        <v>1027136</v>
      </c>
      <c r="LB10" s="212">
        <f t="shared" si="25"/>
        <v>1027136</v>
      </c>
      <c r="LC10" s="212">
        <f t="shared" si="25"/>
        <v>1027136</v>
      </c>
      <c r="LD10" s="212">
        <f t="shared" si="25"/>
        <v>1027136</v>
      </c>
    </row>
    <row r="11" spans="1:794" s="204" customFormat="1">
      <c r="A11" s="809"/>
      <c r="B11" s="213" t="s">
        <v>391</v>
      </c>
      <c r="C11" s="214">
        <f>'Revenue Tracking'!F5</f>
        <v>770507.27</v>
      </c>
      <c r="D11" s="214">
        <f>SUM(F11:LD11)</f>
        <v>770507.27</v>
      </c>
      <c r="E11" s="198"/>
      <c r="F11" s="215">
        <f>SUMIFS('Expenditure Breakdown'!$Q$6:$Q$167, 'Expenditure Breakdown'!$W$6:$W$167, "&gt;="&amp;F1,'Expenditure Breakdown'!$W$6:$W$167, "&lt;"&amp;G1)</f>
        <v>0</v>
      </c>
      <c r="G11" s="215">
        <f>SUMIFS('Expenditure Breakdown'!$Q$6:$Q$167, 'Expenditure Breakdown'!$W$6:$W$167, "&gt;="&amp;G1,'Expenditure Breakdown'!$W$6:$W$167, "&lt;"&amp;H1)</f>
        <v>0</v>
      </c>
      <c r="H11" s="215">
        <f>SUMIFS('Expenditure Breakdown'!$Q$6:$Q$167, 'Expenditure Breakdown'!$W$6:$W$167, "&gt;="&amp;H1,'Expenditure Breakdown'!$W$6:$W$167, "&lt;"&amp;I1)</f>
        <v>0</v>
      </c>
      <c r="I11" s="215">
        <f>SUMIFS('Expenditure Breakdown'!$Q$6:$Q$167, 'Expenditure Breakdown'!$W$6:$W$167, "&gt;="&amp;I1,'Expenditure Breakdown'!$W$6:$W$167, "&lt;"&amp;J1)</f>
        <v>0</v>
      </c>
      <c r="J11" s="215">
        <f>SUMIFS('Expenditure Breakdown'!$Q$6:$Q$167, 'Expenditure Breakdown'!$W$6:$W$167, "&gt;="&amp;J1,'Expenditure Breakdown'!$W$6:$W$167, "&lt;"&amp;K1)</f>
        <v>0</v>
      </c>
      <c r="K11" s="215">
        <f>SUMIFS('Expenditure Breakdown'!$Q$6:$Q$167, 'Expenditure Breakdown'!$W$6:$W$167, "&gt;="&amp;K1,'Expenditure Breakdown'!$W$6:$W$167, "&lt;"&amp;L1)</f>
        <v>0</v>
      </c>
      <c r="L11" s="215">
        <f>SUMIFS('Expenditure Breakdown'!$Q$6:$Q$167, 'Expenditure Breakdown'!$W$6:$W$167, "&gt;="&amp;L1,'Expenditure Breakdown'!$W$6:$W$167, "&lt;"&amp;M1)</f>
        <v>0</v>
      </c>
      <c r="M11" s="215">
        <f>SUMIFS('Expenditure Breakdown'!$Q$6:$Q$167, 'Expenditure Breakdown'!$W$6:$W$167, "&gt;="&amp;M1,'Expenditure Breakdown'!$W$6:$W$167, "&lt;"&amp;N1)</f>
        <v>0</v>
      </c>
      <c r="N11" s="215">
        <f>SUMIFS('Expenditure Breakdown'!$Q$6:$Q$167, 'Expenditure Breakdown'!$W$6:$W$167, "&gt;="&amp;N1,'Expenditure Breakdown'!$W$6:$W$167, "&lt;"&amp;O1)</f>
        <v>0</v>
      </c>
      <c r="O11" s="215">
        <f>SUMIFS('Expenditure Breakdown'!$Q$6:$Q$167, 'Expenditure Breakdown'!$W$6:$W$167, "&gt;="&amp;O1,'Expenditure Breakdown'!$W$6:$W$167, "&lt;"&amp;P1)</f>
        <v>0</v>
      </c>
      <c r="P11" s="215">
        <f>SUMIFS('Expenditure Breakdown'!$Q$6:$Q$167, 'Expenditure Breakdown'!$W$6:$W$167, "&gt;="&amp;P1,'Expenditure Breakdown'!$W$6:$W$167, "&lt;"&amp;Q1)</f>
        <v>0</v>
      </c>
      <c r="Q11" s="215">
        <f>SUMIFS('Expenditure Breakdown'!$Q$6:$Q$167, 'Expenditure Breakdown'!$W$6:$W$167, "&gt;="&amp;Q1,'Expenditure Breakdown'!$W$6:$W$167, "&lt;"&amp;R1)</f>
        <v>0</v>
      </c>
      <c r="R11" s="215">
        <f>SUMIFS('Expenditure Breakdown'!$Q$6:$Q$167, 'Expenditure Breakdown'!$W$6:$W$167, "&gt;="&amp;R1,'Expenditure Breakdown'!$W$6:$W$167, "&lt;"&amp;S1)</f>
        <v>0</v>
      </c>
      <c r="S11" s="215">
        <f>SUMIFS('Expenditure Breakdown'!$Q$6:$Q$167, 'Expenditure Breakdown'!$W$6:$W$167, "&gt;="&amp;S1,'Expenditure Breakdown'!$W$6:$W$167, "&lt;"&amp;T1)</f>
        <v>0</v>
      </c>
      <c r="T11" s="215">
        <f>SUMIFS('Expenditure Breakdown'!$Q$6:$Q$167, 'Expenditure Breakdown'!$W$6:$W$167, "&gt;="&amp;T1,'Expenditure Breakdown'!$W$6:$W$167, "&lt;"&amp;U1)</f>
        <v>0</v>
      </c>
      <c r="U11" s="215">
        <f>SUMIFS('Expenditure Breakdown'!$Q$6:$Q$167, 'Expenditure Breakdown'!$W$6:$W$167, "&gt;="&amp;U1,'Expenditure Breakdown'!$W$6:$W$167, "&lt;"&amp;V1)</f>
        <v>0</v>
      </c>
      <c r="V11" s="215">
        <f>SUMIFS('Expenditure Breakdown'!$Q$6:$Q$167, 'Expenditure Breakdown'!$W$6:$W$167, "&gt;="&amp;V1,'Expenditure Breakdown'!$W$6:$W$167, "&lt;"&amp;W1)</f>
        <v>0</v>
      </c>
      <c r="W11" s="215">
        <f>SUMIFS('Expenditure Breakdown'!$Q$6:$Q$167, 'Expenditure Breakdown'!$W$6:$W$167, "&gt;="&amp;W1,'Expenditure Breakdown'!$W$6:$W$167, "&lt;"&amp;X1)</f>
        <v>0</v>
      </c>
      <c r="X11" s="215">
        <f>SUMIFS('Expenditure Breakdown'!$Q$6:$Q$167, 'Expenditure Breakdown'!$W$6:$W$167, "&gt;="&amp;X1,'Expenditure Breakdown'!$W$6:$W$167, "&lt;"&amp;Y1)</f>
        <v>0</v>
      </c>
      <c r="Y11" s="215">
        <f>SUMIFS('Expenditure Breakdown'!$Q$6:$Q$167, 'Expenditure Breakdown'!$W$6:$W$167, "&gt;="&amp;Y1,'Expenditure Breakdown'!$W$6:$W$167, "&lt;"&amp;Z1)</f>
        <v>0</v>
      </c>
      <c r="Z11" s="215">
        <f>SUMIFS('Expenditure Breakdown'!$Q$6:$Q$167, 'Expenditure Breakdown'!$W$6:$W$167, "&gt;="&amp;Z1,'Expenditure Breakdown'!$W$6:$W$167, "&lt;"&amp;AA1)</f>
        <v>0</v>
      </c>
      <c r="AA11" s="215">
        <f>SUMIFS('Expenditure Breakdown'!$Q$6:$Q$167, 'Expenditure Breakdown'!$W$6:$W$167, "&gt;="&amp;AA1,'Expenditure Breakdown'!$W$6:$W$167, "&lt;"&amp;AB1)</f>
        <v>0</v>
      </c>
      <c r="AB11" s="215">
        <f>SUMIFS('Expenditure Breakdown'!$Q$6:$Q$167, 'Expenditure Breakdown'!$W$6:$W$167, "&gt;="&amp;AB1,'Expenditure Breakdown'!$W$6:$W$167, "&lt;"&amp;AC1)</f>
        <v>0</v>
      </c>
      <c r="AC11" s="215">
        <f>SUMIFS('Expenditure Breakdown'!$Q$6:$Q$167, 'Expenditure Breakdown'!$W$6:$W$167, "&gt;="&amp;AC1,'Expenditure Breakdown'!$W$6:$W$167, "&lt;"&amp;AD1)</f>
        <v>0</v>
      </c>
      <c r="AD11" s="215">
        <f>SUMIFS('Expenditure Breakdown'!$Q$6:$Q$167, 'Expenditure Breakdown'!$W$6:$W$167, "&gt;="&amp;AD1,'Expenditure Breakdown'!$W$6:$W$167, "&lt;"&amp;AE1)</f>
        <v>0</v>
      </c>
      <c r="AE11" s="215">
        <f>SUMIFS('Expenditure Breakdown'!$Q$6:$Q$167, 'Expenditure Breakdown'!$W$6:$W$167, "&gt;="&amp;AE1,'Expenditure Breakdown'!$W$6:$W$167, "&lt;"&amp;AF1)</f>
        <v>0</v>
      </c>
      <c r="AF11" s="215">
        <f>SUMIFS('Expenditure Breakdown'!$Q$6:$Q$167, 'Expenditure Breakdown'!$W$6:$W$167, "&gt;="&amp;AF1,'Expenditure Breakdown'!$W$6:$W$167, "&lt;"&amp;AG1)</f>
        <v>0</v>
      </c>
      <c r="AG11" s="215">
        <f>SUMIFS('Expenditure Breakdown'!$Q$6:$Q$167, 'Expenditure Breakdown'!$W$6:$W$167, "&gt;="&amp;AG1,'Expenditure Breakdown'!$W$6:$W$167, "&lt;"&amp;AH1)</f>
        <v>0</v>
      </c>
      <c r="AH11" s="215">
        <f>SUMIFS('Expenditure Breakdown'!$Q$6:$Q$167, 'Expenditure Breakdown'!$W$6:$W$167, "&gt;="&amp;AH1,'Expenditure Breakdown'!$W$6:$W$167, "&lt;"&amp;AI1)</f>
        <v>0</v>
      </c>
      <c r="AI11" s="215">
        <f>SUMIFS('Expenditure Breakdown'!$Q$6:$Q$167, 'Expenditure Breakdown'!$W$6:$W$167, "&gt;="&amp;AI1,'Expenditure Breakdown'!$W$6:$W$167, "&lt;"&amp;AJ1)</f>
        <v>0</v>
      </c>
      <c r="AJ11" s="215">
        <f>SUMIFS('Expenditure Breakdown'!$Q$6:$Q$167, 'Expenditure Breakdown'!$W$6:$W$167, "&gt;="&amp;AJ1,'Expenditure Breakdown'!$W$6:$W$167, "&lt;"&amp;AK1)</f>
        <v>0</v>
      </c>
      <c r="AK11" s="215">
        <f>SUMIFS('Expenditure Breakdown'!$Q$6:$Q$167, 'Expenditure Breakdown'!$W$6:$W$167, "&gt;="&amp;AK1,'Expenditure Breakdown'!$W$6:$W$167, "&lt;"&amp;AL1)</f>
        <v>33961</v>
      </c>
      <c r="AL11" s="215">
        <f>SUMIFS('Expenditure Breakdown'!$Q$6:$Q$167, 'Expenditure Breakdown'!$W$6:$W$167, "&gt;="&amp;AL1,'Expenditure Breakdown'!$W$6:$W$167, "&lt;"&amp;AM1)</f>
        <v>24448.91</v>
      </c>
      <c r="AM11" s="215">
        <f>SUMIFS('Expenditure Breakdown'!$Q$6:$Q$167, 'Expenditure Breakdown'!$W$6:$W$167, "&gt;="&amp;AM1,'Expenditure Breakdown'!$W$6:$W$167, "&lt;"&amp;AN1)</f>
        <v>54396.869999999995</v>
      </c>
      <c r="AN11" s="215">
        <f>SUMIFS('Expenditure Breakdown'!$Q$6:$Q$167, 'Expenditure Breakdown'!$W$6:$W$167, "&gt;="&amp;AN1,'Expenditure Breakdown'!$W$6:$W$167, "&lt;"&amp;AO1)</f>
        <v>0</v>
      </c>
      <c r="AO11" s="215">
        <f>SUMIFS('Expenditure Breakdown'!$Q$6:$Q$167, 'Expenditure Breakdown'!$W$6:$W$167, "&gt;="&amp;AO1,'Expenditure Breakdown'!$W$6:$W$167, "&lt;"&amp;AP1)</f>
        <v>0</v>
      </c>
      <c r="AP11" s="215">
        <f>SUMIFS('Expenditure Breakdown'!$Q$6:$Q$167, 'Expenditure Breakdown'!$W$6:$W$167, "&gt;="&amp;AP1,'Expenditure Breakdown'!$W$6:$W$167, "&lt;"&amp;AQ1)</f>
        <v>76428</v>
      </c>
      <c r="AQ11" s="215">
        <f>SUMIFS('Expenditure Breakdown'!$Q$6:$Q$167, 'Expenditure Breakdown'!$W$6:$W$167, "&gt;="&amp;AQ1,'Expenditure Breakdown'!$W$6:$W$167, "&lt;"&amp;AR1)</f>
        <v>975</v>
      </c>
      <c r="AR11" s="215">
        <f>SUMIFS('Expenditure Breakdown'!$Q$6:$Q$167, 'Expenditure Breakdown'!$W$6:$W$167, "&gt;="&amp;AR1,'Expenditure Breakdown'!$W$6:$W$167, "&lt;"&amp;AS1)</f>
        <v>110020.1</v>
      </c>
      <c r="AS11" s="215">
        <f>SUMIFS('Expenditure Breakdown'!$Q$6:$Q$167, 'Expenditure Breakdown'!$W$6:$W$167, "&gt;="&amp;AS1,'Expenditure Breakdown'!$W$6:$W$167, "&lt;"&amp;AT1)</f>
        <v>231902.68</v>
      </c>
      <c r="AT11" s="215">
        <f>SUMIFS('Expenditure Breakdown'!$Q$6:$Q$167, 'Expenditure Breakdown'!$W$6:$W$167, "&gt;="&amp;AT1,'Expenditure Breakdown'!$W$6:$W$167, "&lt;"&amp;AU1)</f>
        <v>129229.11</v>
      </c>
      <c r="AU11" s="215">
        <f>SUMIFS('Expenditure Breakdown'!$Q$6:$Q$167, 'Expenditure Breakdown'!$W$6:$W$167, "&gt;="&amp;AU1,'Expenditure Breakdown'!$W$6:$W$167, "&lt;"&amp;AV1)</f>
        <v>0</v>
      </c>
      <c r="AV11" s="215">
        <f>SUMIFS('Expenditure Breakdown'!$Q$6:$Q$167, 'Expenditure Breakdown'!$W$6:$W$167, "&gt;="&amp;AV1,'Expenditure Breakdown'!$W$6:$W$167, "&lt;"&amp;AW1)</f>
        <v>0</v>
      </c>
      <c r="AW11" s="215">
        <f>SUMIFS('Expenditure Breakdown'!$Q$6:$Q$167, 'Expenditure Breakdown'!$W$6:$W$167, "&gt;="&amp;AW1,'Expenditure Breakdown'!$W$6:$W$167, "&lt;"&amp;AX1)</f>
        <v>0</v>
      </c>
      <c r="AX11" s="215">
        <f>SUMIFS('Expenditure Breakdown'!$Q$6:$Q$167, 'Expenditure Breakdown'!$W$6:$W$167, "&gt;="&amp;AX1,'Expenditure Breakdown'!$W$6:$W$167, "&lt;"&amp;AY1)</f>
        <v>19416.57</v>
      </c>
      <c r="AY11" s="215">
        <f>SUMIFS('Expenditure Breakdown'!$Q$6:$Q$167, 'Expenditure Breakdown'!$W$6:$W$167, "&gt;="&amp;AY1,'Expenditure Breakdown'!$W$6:$W$167, "&lt;"&amp;AZ1)</f>
        <v>3159.05</v>
      </c>
      <c r="AZ11" s="215">
        <f>SUMIFS('Expenditure Breakdown'!$Q$6:$Q$167, 'Expenditure Breakdown'!$W$6:$W$167, "&gt;="&amp;AZ1,'Expenditure Breakdown'!$W$6:$W$167, "&lt;"&amp;BA1)</f>
        <v>0</v>
      </c>
      <c r="BA11" s="215">
        <f>SUMIFS('Expenditure Breakdown'!$Q$6:$Q$167, 'Expenditure Breakdown'!$W$6:$W$167, "&gt;="&amp;BA1,'Expenditure Breakdown'!$W$6:$W$167, "&lt;"&amp;BB1)</f>
        <v>0</v>
      </c>
      <c r="BB11" s="215">
        <f>SUMIFS('Expenditure Breakdown'!$Q$6:$Q$167, 'Expenditure Breakdown'!$W$6:$W$167, "&gt;="&amp;BB1,'Expenditure Breakdown'!$W$6:$W$167, "&lt;"&amp;BC1)</f>
        <v>0</v>
      </c>
      <c r="BC11" s="215">
        <f>SUMIFS('Expenditure Breakdown'!$Q$6:$Q$167, 'Expenditure Breakdown'!$W$6:$W$167, "&gt;="&amp;BC1,'Expenditure Breakdown'!$W$6:$W$167, "&lt;"&amp;BD1)</f>
        <v>298.24</v>
      </c>
      <c r="BD11" s="215">
        <f>SUMIFS('Expenditure Breakdown'!$Q$6:$Q$167, 'Expenditure Breakdown'!$W$6:$W$167, "&gt;="&amp;BD1,'Expenditure Breakdown'!$W$6:$W$167, "&lt;"&amp;BE1)</f>
        <v>350</v>
      </c>
      <c r="BE11" s="215">
        <f>SUMIFS('Expenditure Breakdown'!$Q$6:$Q$167, 'Expenditure Breakdown'!$W$6:$W$167, "&gt;="&amp;BE1,'Expenditure Breakdown'!$W$6:$W$167, "&lt;"&amp;BF1)</f>
        <v>17317.919999999998</v>
      </c>
      <c r="BF11" s="215">
        <f>SUMIFS('Expenditure Breakdown'!$Q$6:$Q$167, 'Expenditure Breakdown'!$W$6:$W$167, "&gt;="&amp;BF1,'Expenditure Breakdown'!$W$6:$W$167, "&lt;"&amp;BG1)</f>
        <v>0</v>
      </c>
      <c r="BG11" s="215">
        <f>SUMIFS('Expenditure Breakdown'!$Q$6:$Q$167, 'Expenditure Breakdown'!$W$6:$W$167, "&gt;="&amp;BG1,'Expenditure Breakdown'!$W$6:$W$167, "&lt;"&amp;BH1)</f>
        <v>12575</v>
      </c>
      <c r="BH11" s="215">
        <f>SUMIFS('Expenditure Breakdown'!$Q$6:$Q$167, 'Expenditure Breakdown'!$W$6:$W$167, "&gt;="&amp;BH1,'Expenditure Breakdown'!$W$6:$W$167, "&lt;"&amp;BI1)</f>
        <v>0</v>
      </c>
      <c r="BI11" s="215">
        <f>SUMIFS('Expenditure Breakdown'!$Q$6:$Q$167, 'Expenditure Breakdown'!$W$6:$W$167, "&gt;="&amp;BI1,'Expenditure Breakdown'!$W$6:$W$167, "&lt;"&amp;BJ1)</f>
        <v>0</v>
      </c>
      <c r="BJ11" s="215">
        <f>SUMIFS('Expenditure Breakdown'!$Q$6:$Q$167, 'Expenditure Breakdown'!$W$6:$W$167, "&gt;="&amp;BJ1,'Expenditure Breakdown'!$W$6:$W$167, "&lt;"&amp;BK1)</f>
        <v>56028.82</v>
      </c>
      <c r="BK11" s="215">
        <f>SUMIFS('Expenditure Breakdown'!$Q$6:$Q$167, 'Expenditure Breakdown'!$W$6:$W$167, "&gt;="&amp;BK1,'Expenditure Breakdown'!$W$6:$W$167, "&lt;"&amp;BL1)</f>
        <v>0</v>
      </c>
      <c r="BL11" s="215">
        <f>SUMIFS('Expenditure Breakdown'!$Q$6:$Q$167, 'Expenditure Breakdown'!$W$6:$W$167, "&gt;="&amp;BL1,'Expenditure Breakdown'!$W$6:$W$167, "&lt;"&amp;BM1)</f>
        <v>0</v>
      </c>
      <c r="BM11" s="215">
        <f>SUMIFS('Expenditure Breakdown'!$Q$6:$Q$167, 'Expenditure Breakdown'!$W$6:$W$167, "&gt;="&amp;BM1,'Expenditure Breakdown'!$W$6:$W$167, "&lt;"&amp;BN1)</f>
        <v>0</v>
      </c>
      <c r="BN11" s="215">
        <f>SUMIFS('Expenditure Breakdown'!$Q$6:$Q$167, 'Expenditure Breakdown'!$W$6:$W$167, "&gt;="&amp;BN1,'Expenditure Breakdown'!$W$6:$W$167, "&lt;"&amp;BO1)</f>
        <v>0</v>
      </c>
      <c r="BO11" s="215">
        <f>SUMIFS('Expenditure Breakdown'!$Q$6:$Q$167, 'Expenditure Breakdown'!$W$6:$W$167, "&gt;="&amp;BO1,'Expenditure Breakdown'!$W$6:$W$167, "&lt;"&amp;BP1)</f>
        <v>0</v>
      </c>
      <c r="BP11" s="215">
        <f>SUMIFS('Expenditure Breakdown'!$Q$6:$Q$167, 'Expenditure Breakdown'!$W$6:$W$167, "&gt;="&amp;BP1,'Expenditure Breakdown'!$W$6:$W$167, "&lt;"&amp;BQ1)</f>
        <v>0</v>
      </c>
      <c r="BQ11" s="215">
        <f>SUMIFS('Expenditure Breakdown'!$Q$6:$Q$167, 'Expenditure Breakdown'!$W$6:$W$167, "&gt;="&amp;BQ1,'Expenditure Breakdown'!$W$6:$W$167, "&lt;"&amp;BR1)</f>
        <v>0</v>
      </c>
      <c r="BR11" s="215">
        <f>SUMIFS('Expenditure Breakdown'!$Q$6:$Q$167, 'Expenditure Breakdown'!$W$6:$W$167, "&gt;="&amp;BR1,'Expenditure Breakdown'!$W$6:$W$167, "&lt;"&amp;BS1)</f>
        <v>0</v>
      </c>
      <c r="BS11" s="215">
        <f>SUMIFS('Expenditure Breakdown'!$Q$6:$Q$167, 'Expenditure Breakdown'!$W$6:$W$167, "&gt;="&amp;BS1,'Expenditure Breakdown'!$W$6:$W$167, "&lt;"&amp;BT1)</f>
        <v>0</v>
      </c>
      <c r="BT11" s="215">
        <f>SUMIFS('Expenditure Breakdown'!$Q$6:$Q$167, 'Expenditure Breakdown'!$W$6:$W$167, "&gt;="&amp;BT1,'Expenditure Breakdown'!$W$6:$W$167, "&lt;"&amp;BU1)</f>
        <v>0</v>
      </c>
      <c r="BU11" s="215">
        <f>SUMIFS('Expenditure Breakdown'!$Q$6:$Q$167, 'Expenditure Breakdown'!$W$6:$W$167, "&gt;="&amp;BU1,'Expenditure Breakdown'!$W$6:$W$167, "&lt;"&amp;BV1)</f>
        <v>0</v>
      </c>
      <c r="BV11" s="215">
        <f>SUMIFS('Expenditure Breakdown'!$Q$6:$Q$167, 'Expenditure Breakdown'!$W$6:$W$167, "&gt;="&amp;BV1,'Expenditure Breakdown'!$W$6:$W$167, "&lt;"&amp;BW1)</f>
        <v>0</v>
      </c>
      <c r="BW11" s="215">
        <f>SUMIFS('Expenditure Breakdown'!$Q$6:$Q$167, 'Expenditure Breakdown'!$W$6:$W$167, "&gt;="&amp;BW1,'Expenditure Breakdown'!$W$6:$W$167, "&lt;"&amp;BX1)</f>
        <v>0</v>
      </c>
      <c r="BX11" s="215">
        <f>SUMIFS('Expenditure Breakdown'!$Q$6:$Q$167, 'Expenditure Breakdown'!$W$6:$W$167, "&gt;="&amp;BX1,'Expenditure Breakdown'!$W$6:$W$167, "&lt;"&amp;BY1)</f>
        <v>0</v>
      </c>
      <c r="BY11" s="215">
        <f>SUMIFS('Expenditure Breakdown'!$Q$6:$Q$167, 'Expenditure Breakdown'!$W$6:$W$167, "&gt;="&amp;BY1,'Expenditure Breakdown'!$W$6:$W$167, "&lt;"&amp;BZ1)</f>
        <v>0</v>
      </c>
      <c r="BZ11" s="215">
        <f>SUMIFS('Expenditure Breakdown'!$Q$6:$Q$167, 'Expenditure Breakdown'!$W$6:$W$167, "&gt;="&amp;BZ1,'Expenditure Breakdown'!$W$6:$W$167, "&lt;"&amp;CA1)</f>
        <v>0</v>
      </c>
      <c r="CA11" s="215">
        <f>SUMIFS('Expenditure Breakdown'!$Q$6:$Q$167, 'Expenditure Breakdown'!$W$6:$W$167, "&gt;="&amp;CA1,'Expenditure Breakdown'!$W$6:$W$167, "&lt;"&amp;CB1)</f>
        <v>0</v>
      </c>
      <c r="CB11" s="215">
        <f>SUMIFS('Expenditure Breakdown'!$Q$6:$Q$167, 'Expenditure Breakdown'!$W$6:$W$167, "&gt;="&amp;CB1,'Expenditure Breakdown'!$W$6:$W$167, "&lt;"&amp;CC1)</f>
        <v>0</v>
      </c>
      <c r="CC11" s="215">
        <f>SUMIFS('Expenditure Breakdown'!$Q$6:$Q$167, 'Expenditure Breakdown'!$W$6:$W$167, "&gt;="&amp;CC1,'Expenditure Breakdown'!$W$6:$W$167, "&lt;"&amp;CD1)</f>
        <v>0</v>
      </c>
      <c r="CD11" s="215">
        <f>SUMIFS('Expenditure Breakdown'!$Q$6:$Q$167, 'Expenditure Breakdown'!$W$6:$W$167, "&gt;="&amp;CD1,'Expenditure Breakdown'!$W$6:$W$167, "&lt;"&amp;CE1)</f>
        <v>0</v>
      </c>
      <c r="CE11" s="215">
        <f>SUMIFS('Expenditure Breakdown'!$Q$6:$Q$167, 'Expenditure Breakdown'!$W$6:$W$167, "&gt;="&amp;CE1,'Expenditure Breakdown'!$W$6:$W$167, "&lt;"&amp;CF1)</f>
        <v>0</v>
      </c>
      <c r="CF11" s="215">
        <f>SUMIFS('Expenditure Breakdown'!$Q$6:$Q$167, 'Expenditure Breakdown'!$W$6:$W$167, "&gt;="&amp;CF1,'Expenditure Breakdown'!$W$6:$W$167, "&lt;"&amp;CG1)</f>
        <v>0</v>
      </c>
      <c r="CG11" s="215">
        <f>SUMIFS('Expenditure Breakdown'!$Q$6:$Q$167, 'Expenditure Breakdown'!$W$6:$W$167, "&gt;="&amp;CG1,'Expenditure Breakdown'!$W$6:$W$167, "&lt;"&amp;CH1)</f>
        <v>0</v>
      </c>
      <c r="CH11" s="215">
        <f>SUMIFS('Expenditure Breakdown'!$Q$6:$Q$167, 'Expenditure Breakdown'!$W$6:$W$167, "&gt;="&amp;CH1,'Expenditure Breakdown'!$W$6:$W$167, "&lt;"&amp;CI1)</f>
        <v>0</v>
      </c>
      <c r="CI11" s="215">
        <f>SUMIFS('Expenditure Breakdown'!$Q$6:$Q$167, 'Expenditure Breakdown'!$W$6:$W$167, "&gt;="&amp;CI1,'Expenditure Breakdown'!$W$6:$W$167, "&lt;"&amp;CJ1)</f>
        <v>0</v>
      </c>
      <c r="CJ11" s="215">
        <f>SUMIFS('Expenditure Breakdown'!$Q$6:$Q$167, 'Expenditure Breakdown'!$W$6:$W$167, "&gt;="&amp;CJ1,'Expenditure Breakdown'!$W$6:$W$167, "&lt;"&amp;CK1)</f>
        <v>0</v>
      </c>
      <c r="CK11" s="215">
        <f>SUMIFS('Expenditure Breakdown'!$Q$6:$Q$167, 'Expenditure Breakdown'!$W$6:$W$167, "&gt;="&amp;CK1,'Expenditure Breakdown'!$W$6:$W$167, "&lt;"&amp;CL1)</f>
        <v>0</v>
      </c>
      <c r="CL11" s="215">
        <f>SUMIFS('Expenditure Breakdown'!$Q$6:$Q$167, 'Expenditure Breakdown'!$W$6:$W$167, "&gt;="&amp;CL1,'Expenditure Breakdown'!$W$6:$W$167, "&lt;"&amp;CM1)</f>
        <v>0</v>
      </c>
      <c r="CM11" s="215">
        <f>SUMIFS('Expenditure Breakdown'!$Q$6:$Q$167, 'Expenditure Breakdown'!$W$6:$W$167, "&gt;="&amp;CM1,'Expenditure Breakdown'!$W$6:$W$167, "&lt;"&amp;CN1)</f>
        <v>0</v>
      </c>
      <c r="CN11" s="215">
        <f>SUMIFS('Expenditure Breakdown'!$Q$6:$Q$167, 'Expenditure Breakdown'!$W$6:$W$167, "&gt;="&amp;CN1,'Expenditure Breakdown'!$W$6:$W$167, "&lt;"&amp;CO1)</f>
        <v>0</v>
      </c>
      <c r="CO11" s="215">
        <f>SUMIFS('Expenditure Breakdown'!$Q$6:$Q$167, 'Expenditure Breakdown'!$W$6:$W$167, "&gt;="&amp;CO1,'Expenditure Breakdown'!$W$6:$W$167, "&lt;"&amp;CP1)</f>
        <v>0</v>
      </c>
      <c r="CP11" s="215">
        <f>SUMIFS('Expenditure Breakdown'!$Q$6:$Q$167, 'Expenditure Breakdown'!$W$6:$W$167, "&gt;="&amp;CP1,'Expenditure Breakdown'!$W$6:$W$167, "&lt;"&amp;CQ1)</f>
        <v>0</v>
      </c>
      <c r="CQ11" s="215">
        <f>SUMIFS('Expenditure Breakdown'!$Q$6:$Q$167, 'Expenditure Breakdown'!$W$6:$W$167, "&gt;="&amp;CQ1,'Expenditure Breakdown'!$W$6:$W$167, "&lt;"&amp;CR1)</f>
        <v>0</v>
      </c>
      <c r="CR11" s="215">
        <f>SUMIFS('Expenditure Breakdown'!$Q$6:$Q$167, 'Expenditure Breakdown'!$W$6:$W$167, "&gt;="&amp;CR1,'Expenditure Breakdown'!$W$6:$W$167, "&lt;"&amp;CS1)</f>
        <v>0</v>
      </c>
      <c r="CS11" s="215">
        <f>SUMIFS('Expenditure Breakdown'!$Q$6:$Q$167, 'Expenditure Breakdown'!$W$6:$W$167, "&gt;="&amp;CS1,'Expenditure Breakdown'!$W$6:$W$167, "&lt;"&amp;CT1)</f>
        <v>0</v>
      </c>
      <c r="CT11" s="215">
        <f>SUMIFS('Expenditure Breakdown'!$Q$6:$Q$167, 'Expenditure Breakdown'!$W$6:$W$167, "&gt;="&amp;CT1,'Expenditure Breakdown'!$W$6:$W$167, "&lt;"&amp;CU1)</f>
        <v>0</v>
      </c>
      <c r="CU11" s="215">
        <f>SUMIFS('Expenditure Breakdown'!$Q$6:$Q$167, 'Expenditure Breakdown'!$W$6:$W$167, "&gt;="&amp;CU1,'Expenditure Breakdown'!$W$6:$W$167, "&lt;"&amp;CV1)</f>
        <v>0</v>
      </c>
      <c r="CV11" s="215">
        <f>SUMIFS('Expenditure Breakdown'!$Q$6:$Q$167, 'Expenditure Breakdown'!$W$6:$W$167, "&gt;="&amp;CV1,'Expenditure Breakdown'!$W$6:$W$167, "&lt;"&amp;CW1)</f>
        <v>0</v>
      </c>
      <c r="CW11" s="215">
        <f>SUMIFS('Expenditure Breakdown'!$Q$6:$Q$167, 'Expenditure Breakdown'!$W$6:$W$167, "&gt;="&amp;CW1,'Expenditure Breakdown'!$W$6:$W$167, "&lt;"&amp;CX1)</f>
        <v>0</v>
      </c>
      <c r="CX11" s="215">
        <f>SUMIFS('Expenditure Breakdown'!$Q$6:$Q$167, 'Expenditure Breakdown'!$W$6:$W$167, "&gt;="&amp;CX1,'Expenditure Breakdown'!$W$6:$W$167, "&lt;"&amp;CY1)</f>
        <v>0</v>
      </c>
      <c r="CY11" s="215">
        <f>SUMIFS('Expenditure Breakdown'!$Q$6:$Q$167, 'Expenditure Breakdown'!$W$6:$W$167, "&gt;="&amp;CY1,'Expenditure Breakdown'!$W$6:$W$167, "&lt;"&amp;CZ1)</f>
        <v>0</v>
      </c>
      <c r="CZ11" s="215">
        <f>SUMIFS('Expenditure Breakdown'!$Q$6:$Q$167, 'Expenditure Breakdown'!$W$6:$W$167, "&gt;="&amp;CZ1,'Expenditure Breakdown'!$W$6:$W$167, "&lt;"&amp;DA1)</f>
        <v>0</v>
      </c>
      <c r="DA11" s="215">
        <f>SUMIFS('Expenditure Breakdown'!$Q$6:$Q$167, 'Expenditure Breakdown'!$W$6:$W$167, "&gt;="&amp;DA1,'Expenditure Breakdown'!$W$6:$W$167, "&lt;"&amp;DB1)</f>
        <v>0</v>
      </c>
      <c r="DB11" s="215">
        <f>SUMIFS('Expenditure Breakdown'!$Q$6:$Q$167, 'Expenditure Breakdown'!$W$6:$W$167, "&gt;="&amp;DB1,'Expenditure Breakdown'!$W$6:$W$167, "&lt;"&amp;DC1)</f>
        <v>0</v>
      </c>
      <c r="DC11" s="215">
        <f>SUMIFS('Expenditure Breakdown'!$Q$6:$Q$167, 'Expenditure Breakdown'!$W$6:$W$167, "&gt;="&amp;DC1,'Expenditure Breakdown'!$W$6:$W$167, "&lt;"&amp;DD1)</f>
        <v>0</v>
      </c>
      <c r="DD11" s="215">
        <f>SUMIFS('Expenditure Breakdown'!$Q$6:$Q$167, 'Expenditure Breakdown'!$W$6:$W$167, "&gt;="&amp;DD1,'Expenditure Breakdown'!$W$6:$W$167, "&lt;"&amp;DE1)</f>
        <v>0</v>
      </c>
      <c r="DE11" s="215">
        <f>SUMIFS('Expenditure Breakdown'!$Q$6:$Q$167, 'Expenditure Breakdown'!$W$6:$W$167, "&gt;="&amp;DE1,'Expenditure Breakdown'!$W$6:$W$167, "&lt;"&amp;DF1)</f>
        <v>0</v>
      </c>
      <c r="DF11" s="215">
        <f>SUMIFS('Expenditure Breakdown'!$Q$6:$Q$167, 'Expenditure Breakdown'!$W$6:$W$167, "&gt;="&amp;DF1,'Expenditure Breakdown'!$W$6:$W$167, "&lt;"&amp;DG1)</f>
        <v>0</v>
      </c>
      <c r="DG11" s="215">
        <f>SUMIFS('Expenditure Breakdown'!$Q$6:$Q$167, 'Expenditure Breakdown'!$W$6:$W$167, "&gt;="&amp;DG1,'Expenditure Breakdown'!$W$6:$W$167, "&lt;"&amp;DH1)</f>
        <v>0</v>
      </c>
      <c r="DH11" s="215">
        <f>SUMIFS('Expenditure Breakdown'!$Q$6:$Q$167, 'Expenditure Breakdown'!$W$6:$W$167, "&gt;="&amp;DH1,'Expenditure Breakdown'!$W$6:$W$167, "&lt;"&amp;DI1)</f>
        <v>0</v>
      </c>
      <c r="DI11" s="215">
        <f>SUMIFS('Expenditure Breakdown'!$Q$6:$Q$167, 'Expenditure Breakdown'!$W$6:$W$167, "&gt;="&amp;DI1,'Expenditure Breakdown'!$W$6:$W$167, "&lt;"&amp;DJ1)</f>
        <v>0</v>
      </c>
      <c r="DJ11" s="215">
        <f>SUMIFS('Expenditure Breakdown'!$Q$6:$Q$167, 'Expenditure Breakdown'!$W$6:$W$167, "&gt;="&amp;DJ1,'Expenditure Breakdown'!$W$6:$W$167, "&lt;"&amp;DK1)</f>
        <v>0</v>
      </c>
      <c r="DK11" s="215">
        <f>SUMIFS('Expenditure Breakdown'!$Q$6:$Q$167, 'Expenditure Breakdown'!$W$6:$W$167, "&gt;="&amp;DK1,'Expenditure Breakdown'!$W$6:$W$167, "&lt;"&amp;DL1)</f>
        <v>0</v>
      </c>
      <c r="DL11" s="215">
        <f>SUMIFS('Expenditure Breakdown'!$Q$6:$Q$167, 'Expenditure Breakdown'!$W$6:$W$167, "&gt;="&amp;DL1,'Expenditure Breakdown'!$W$6:$W$167, "&lt;"&amp;DM1)</f>
        <v>0</v>
      </c>
      <c r="DM11" s="215">
        <f>SUMIFS('Expenditure Breakdown'!$Q$6:$Q$167, 'Expenditure Breakdown'!$W$6:$W$167, "&gt;="&amp;DM1,'Expenditure Breakdown'!$W$6:$W$167, "&lt;"&amp;DN1)</f>
        <v>0</v>
      </c>
      <c r="DN11" s="215">
        <f>SUMIFS('Expenditure Breakdown'!$Q$6:$Q$167, 'Expenditure Breakdown'!$W$6:$W$167, "&gt;="&amp;DN1,'Expenditure Breakdown'!$W$6:$W$167, "&lt;"&amp;DO1)</f>
        <v>0</v>
      </c>
      <c r="DO11" s="215">
        <f>SUMIFS('Expenditure Breakdown'!$Q$6:$Q$167, 'Expenditure Breakdown'!$W$6:$W$167, "&gt;="&amp;DO1,'Expenditure Breakdown'!$W$6:$W$167, "&lt;"&amp;DP1)</f>
        <v>0</v>
      </c>
      <c r="DP11" s="215">
        <f>SUMIFS('Expenditure Breakdown'!$Q$6:$Q$167, 'Expenditure Breakdown'!$W$6:$W$167, "&gt;="&amp;DP1,'Expenditure Breakdown'!$W$6:$W$167, "&lt;"&amp;DQ1)</f>
        <v>0</v>
      </c>
      <c r="DQ11" s="215">
        <f>SUMIFS('Expenditure Breakdown'!$Q$6:$Q$167, 'Expenditure Breakdown'!$W$6:$W$167, "&gt;="&amp;DQ1,'Expenditure Breakdown'!$W$6:$W$167, "&lt;"&amp;DR1)</f>
        <v>0</v>
      </c>
      <c r="DR11" s="215">
        <f>SUMIFS('Expenditure Breakdown'!$Q$6:$Q$167, 'Expenditure Breakdown'!$W$6:$W$167, "&gt;="&amp;DR1,'Expenditure Breakdown'!$W$6:$W$167, "&lt;"&amp;DS1)</f>
        <v>0</v>
      </c>
      <c r="DS11" s="215">
        <f>SUMIFS('Expenditure Breakdown'!$Q$6:$Q$167, 'Expenditure Breakdown'!$W$6:$W$167, "&gt;="&amp;DS1,'Expenditure Breakdown'!$W$6:$W$167, "&lt;"&amp;DT1)</f>
        <v>0</v>
      </c>
      <c r="DT11" s="215">
        <f>SUMIFS('Expenditure Breakdown'!$Q$6:$Q$167, 'Expenditure Breakdown'!$W$6:$W$167, "&gt;="&amp;DT1,'Expenditure Breakdown'!$W$6:$W$167, "&lt;"&amp;DU1)</f>
        <v>0</v>
      </c>
      <c r="DU11" s="215">
        <f>SUMIFS('Expenditure Breakdown'!$Q$6:$Q$167, 'Expenditure Breakdown'!$W$6:$W$167, "&gt;="&amp;DU1,'Expenditure Breakdown'!$W$6:$W$167, "&lt;"&amp;DV1)</f>
        <v>0</v>
      </c>
      <c r="DV11" s="215">
        <f>SUMIFS('Expenditure Breakdown'!$Q$6:$Q$167, 'Expenditure Breakdown'!$W$6:$W$167, "&gt;="&amp;DV1,'Expenditure Breakdown'!$W$6:$W$167, "&lt;"&amp;DW1)</f>
        <v>0</v>
      </c>
      <c r="DW11" s="215">
        <f>SUMIFS('Expenditure Breakdown'!$Q$6:$Q$167, 'Expenditure Breakdown'!$W$6:$W$167, "&gt;="&amp;DW1,'Expenditure Breakdown'!$W$6:$W$167, "&lt;"&amp;DX1)</f>
        <v>0</v>
      </c>
      <c r="DX11" s="215">
        <f>SUMIFS('Expenditure Breakdown'!$Q$6:$Q$167, 'Expenditure Breakdown'!$W$6:$W$167, "&gt;="&amp;DX1,'Expenditure Breakdown'!$W$6:$W$167, "&lt;"&amp;DY1)</f>
        <v>0</v>
      </c>
      <c r="DY11" s="215">
        <f>SUMIFS('Expenditure Breakdown'!$Q$6:$Q$167, 'Expenditure Breakdown'!$W$6:$W$167, "&gt;="&amp;DY1,'Expenditure Breakdown'!$W$6:$W$167, "&lt;"&amp;DZ1)</f>
        <v>0</v>
      </c>
      <c r="DZ11" s="215">
        <f>SUMIFS('Expenditure Breakdown'!$Q$6:$Q$167, 'Expenditure Breakdown'!$W$6:$W$167, "&gt;="&amp;DZ1,'Expenditure Breakdown'!$W$6:$W$167, "&lt;"&amp;EA1)</f>
        <v>0</v>
      </c>
      <c r="EA11" s="215">
        <f>SUMIFS('Expenditure Breakdown'!$Q$6:$Q$167, 'Expenditure Breakdown'!$W$6:$W$167, "&gt;="&amp;EA1,'Expenditure Breakdown'!$W$6:$W$167, "&lt;"&amp;EB1)</f>
        <v>0</v>
      </c>
      <c r="EB11" s="215">
        <f>SUMIFS('Expenditure Breakdown'!$Q$6:$Q$167, 'Expenditure Breakdown'!$W$6:$W$167, "&gt;="&amp;EB1,'Expenditure Breakdown'!$W$6:$W$167, "&lt;"&amp;EC1)</f>
        <v>0</v>
      </c>
      <c r="EC11" s="215">
        <f>SUMIFS('Expenditure Breakdown'!$Q$6:$Q$167, 'Expenditure Breakdown'!$W$6:$W$167, "&gt;="&amp;EC1,'Expenditure Breakdown'!$W$6:$W$167, "&lt;"&amp;ED1)</f>
        <v>0</v>
      </c>
      <c r="ED11" s="215">
        <f>SUMIFS('Expenditure Breakdown'!$Q$6:$Q$167, 'Expenditure Breakdown'!$W$6:$W$167, "&gt;="&amp;ED1,'Expenditure Breakdown'!$W$6:$W$167, "&lt;"&amp;EE1)</f>
        <v>0</v>
      </c>
      <c r="EE11" s="215">
        <f>SUMIFS('Expenditure Breakdown'!$Q$6:$Q$167, 'Expenditure Breakdown'!$W$6:$W$167, "&gt;="&amp;EE1,'Expenditure Breakdown'!$W$6:$W$167, "&lt;"&amp;EF1)</f>
        <v>0</v>
      </c>
      <c r="EF11" s="215">
        <f>SUMIFS('Expenditure Breakdown'!$Q$6:$Q$167, 'Expenditure Breakdown'!$W$6:$W$167, "&gt;="&amp;EF1,'Expenditure Breakdown'!$W$6:$W$167, "&lt;"&amp;EG1)</f>
        <v>0</v>
      </c>
      <c r="EG11" s="215">
        <f>SUMIFS('Expenditure Breakdown'!$Q$6:$Q$167, 'Expenditure Breakdown'!$W$6:$W$167, "&gt;="&amp;EG1,'Expenditure Breakdown'!$W$6:$W$167, "&lt;"&amp;EH1)</f>
        <v>0</v>
      </c>
      <c r="EH11" s="215">
        <f>SUMIFS('Expenditure Breakdown'!$Q$6:$Q$167, 'Expenditure Breakdown'!$W$6:$W$167, "&gt;="&amp;EH1,'Expenditure Breakdown'!$W$6:$W$167, "&lt;"&amp;EI1)</f>
        <v>0</v>
      </c>
      <c r="EI11" s="215">
        <f>SUMIFS('Expenditure Breakdown'!$Q$6:$Q$167, 'Expenditure Breakdown'!$W$6:$W$167, "&gt;="&amp;EI1,'Expenditure Breakdown'!$W$6:$W$167, "&lt;"&amp;EJ1)</f>
        <v>0</v>
      </c>
      <c r="EJ11" s="215">
        <f>SUMIFS('Expenditure Breakdown'!$Q$6:$Q$167, 'Expenditure Breakdown'!$W$6:$W$167, "&gt;="&amp;EJ1,'Expenditure Breakdown'!$W$6:$W$167, "&lt;"&amp;EK1)</f>
        <v>0</v>
      </c>
      <c r="EK11" s="215">
        <f>SUMIFS('Expenditure Breakdown'!$Q$6:$Q$167, 'Expenditure Breakdown'!$W$6:$W$167, "&gt;="&amp;EK1,'Expenditure Breakdown'!$W$6:$W$167, "&lt;"&amp;EL1)</f>
        <v>0</v>
      </c>
      <c r="EL11" s="215">
        <f>SUMIFS('Expenditure Breakdown'!$Q$6:$Q$167, 'Expenditure Breakdown'!$W$6:$W$167, "&gt;="&amp;EL1,'Expenditure Breakdown'!$W$6:$W$167, "&lt;"&amp;EM1)</f>
        <v>0</v>
      </c>
      <c r="EM11" s="215">
        <f>SUMIFS('Expenditure Breakdown'!$Q$6:$Q$167, 'Expenditure Breakdown'!$W$6:$W$167, "&gt;="&amp;EM1,'Expenditure Breakdown'!$W$6:$W$167, "&lt;"&amp;EN1)</f>
        <v>0</v>
      </c>
      <c r="EN11" s="215">
        <f>SUMIFS('Expenditure Breakdown'!$Q$6:$Q$167, 'Expenditure Breakdown'!$W$6:$W$167, "&gt;="&amp;EN1,'Expenditure Breakdown'!$W$6:$W$167, "&lt;"&amp;EO1)</f>
        <v>0</v>
      </c>
      <c r="EO11" s="215">
        <f>SUMIFS('Expenditure Breakdown'!$Q$6:$Q$167, 'Expenditure Breakdown'!$W$6:$W$167, "&gt;="&amp;EO1,'Expenditure Breakdown'!$W$6:$W$167, "&lt;"&amp;EP1)</f>
        <v>0</v>
      </c>
      <c r="EP11" s="215">
        <f>SUMIFS('Expenditure Breakdown'!$Q$6:$Q$167, 'Expenditure Breakdown'!$W$6:$W$167, "&gt;="&amp;EP1,'Expenditure Breakdown'!$W$6:$W$167, "&lt;"&amp;EQ1)</f>
        <v>0</v>
      </c>
      <c r="EQ11" s="215">
        <f>SUMIFS('Expenditure Breakdown'!$Q$6:$Q$167, 'Expenditure Breakdown'!$W$6:$W$167, "&gt;="&amp;EQ1,'Expenditure Breakdown'!$W$6:$W$167, "&lt;"&amp;ER1)</f>
        <v>0</v>
      </c>
      <c r="ER11" s="215">
        <f>SUMIFS('Expenditure Breakdown'!$Q$6:$Q$167, 'Expenditure Breakdown'!$W$6:$W$167, "&gt;="&amp;ER1,'Expenditure Breakdown'!$W$6:$W$167, "&lt;"&amp;ES1)</f>
        <v>0</v>
      </c>
      <c r="ES11" s="215">
        <f>SUMIFS('Expenditure Breakdown'!$Q$6:$Q$167, 'Expenditure Breakdown'!$W$6:$W$167, "&gt;="&amp;ES1,'Expenditure Breakdown'!$W$6:$W$167, "&lt;"&amp;ET1)</f>
        <v>0</v>
      </c>
      <c r="ET11" s="215">
        <f>SUMIFS('Expenditure Breakdown'!$Q$6:$Q$167, 'Expenditure Breakdown'!$W$6:$W$167, "&gt;="&amp;ET1,'Expenditure Breakdown'!$W$6:$W$167, "&lt;"&amp;EU1)</f>
        <v>0</v>
      </c>
      <c r="EU11" s="215">
        <f>SUMIFS('Expenditure Breakdown'!$Q$6:$Q$167, 'Expenditure Breakdown'!$W$6:$W$167, "&gt;="&amp;EU1,'Expenditure Breakdown'!$W$6:$W$167, "&lt;"&amp;EV1)</f>
        <v>0</v>
      </c>
      <c r="EV11" s="215">
        <f>SUMIFS('Expenditure Breakdown'!$Q$6:$Q$167, 'Expenditure Breakdown'!$W$6:$W$167, "&gt;="&amp;EV1,'Expenditure Breakdown'!$W$6:$W$167, "&lt;"&amp;EW1)</f>
        <v>0</v>
      </c>
      <c r="EW11" s="215">
        <f>SUMIFS('Expenditure Breakdown'!$Q$6:$Q$167, 'Expenditure Breakdown'!$W$6:$W$167, "&gt;="&amp;EW1,'Expenditure Breakdown'!$W$6:$W$167, "&lt;"&amp;EX1)</f>
        <v>0</v>
      </c>
      <c r="EX11" s="215">
        <f>SUMIFS('Expenditure Breakdown'!$Q$6:$Q$167, 'Expenditure Breakdown'!$W$6:$W$167, "&gt;="&amp;EX1,'Expenditure Breakdown'!$W$6:$W$167, "&lt;"&amp;EY1)</f>
        <v>0</v>
      </c>
      <c r="EY11" s="215">
        <f>SUMIFS('Expenditure Breakdown'!$Q$6:$Q$167, 'Expenditure Breakdown'!$W$6:$W$167, "&gt;="&amp;EY1,'Expenditure Breakdown'!$W$6:$W$167, "&lt;"&amp;EZ1)</f>
        <v>0</v>
      </c>
      <c r="EZ11" s="215">
        <f>SUMIFS('Expenditure Breakdown'!$Q$6:$Q$167, 'Expenditure Breakdown'!$W$6:$W$167, "&gt;="&amp;EZ1,'Expenditure Breakdown'!$W$6:$W$167, "&lt;"&amp;FA1)</f>
        <v>0</v>
      </c>
      <c r="FA11" s="215">
        <f>SUMIFS('Expenditure Breakdown'!$Q$6:$Q$167, 'Expenditure Breakdown'!$W$6:$W$167, "&gt;="&amp;FA1,'Expenditure Breakdown'!$W$6:$W$167, "&lt;"&amp;FB1)</f>
        <v>0</v>
      </c>
      <c r="FB11" s="215">
        <f>SUMIFS('Expenditure Breakdown'!$Q$6:$Q$167, 'Expenditure Breakdown'!$W$6:$W$167, "&gt;="&amp;FB1,'Expenditure Breakdown'!$W$6:$W$167, "&lt;"&amp;FC1)</f>
        <v>0</v>
      </c>
      <c r="FC11" s="215">
        <f>SUMIFS('Expenditure Breakdown'!$Q$6:$Q$167, 'Expenditure Breakdown'!$W$6:$W$167, "&gt;="&amp;FC1,'Expenditure Breakdown'!$W$6:$W$167, "&lt;"&amp;FD1)</f>
        <v>0</v>
      </c>
      <c r="FD11" s="215">
        <f>SUMIFS('Expenditure Breakdown'!$Q$6:$Q$167, 'Expenditure Breakdown'!$W$6:$W$167, "&gt;="&amp;FD1,'Expenditure Breakdown'!$W$6:$W$167, "&lt;"&amp;FE1)</f>
        <v>0</v>
      </c>
      <c r="FE11" s="215">
        <f>SUMIFS('Expenditure Breakdown'!$Q$6:$Q$167, 'Expenditure Breakdown'!$W$6:$W$167, "&gt;="&amp;FE1,'Expenditure Breakdown'!$W$6:$W$167, "&lt;"&amp;FF1)</f>
        <v>0</v>
      </c>
      <c r="FF11" s="215">
        <f>SUMIFS('Expenditure Breakdown'!$Q$6:$Q$167, 'Expenditure Breakdown'!$W$6:$W$167, "&gt;="&amp;FF1,'Expenditure Breakdown'!$W$6:$W$167, "&lt;"&amp;FG1)</f>
        <v>0</v>
      </c>
      <c r="FG11" s="215">
        <f>SUMIFS('Expenditure Breakdown'!$Q$6:$Q$167, 'Expenditure Breakdown'!$W$6:$W$167, "&gt;="&amp;FG1,'Expenditure Breakdown'!$W$6:$W$167, "&lt;"&amp;FH1)</f>
        <v>0</v>
      </c>
      <c r="FH11" s="215">
        <f>SUMIFS('Expenditure Breakdown'!$Q$6:$Q$167, 'Expenditure Breakdown'!$W$6:$W$167, "&gt;="&amp;FH1,'Expenditure Breakdown'!$W$6:$W$167, "&lt;"&amp;FI1)</f>
        <v>0</v>
      </c>
      <c r="FI11" s="215">
        <f>SUMIFS('Expenditure Breakdown'!$Q$6:$Q$167, 'Expenditure Breakdown'!$W$6:$W$167, "&gt;="&amp;FI1,'Expenditure Breakdown'!$W$6:$W$167, "&lt;"&amp;FJ1)</f>
        <v>0</v>
      </c>
      <c r="FJ11" s="215">
        <f>SUMIFS('Expenditure Breakdown'!$Q$6:$Q$167, 'Expenditure Breakdown'!$W$6:$W$167, "&gt;="&amp;FJ1,'Expenditure Breakdown'!$W$6:$W$167, "&lt;"&amp;FK1)</f>
        <v>0</v>
      </c>
      <c r="FK11" s="215">
        <f>SUMIFS('Expenditure Breakdown'!$Q$6:$Q$167, 'Expenditure Breakdown'!$W$6:$W$167, "&gt;="&amp;FK1,'Expenditure Breakdown'!$W$6:$W$167, "&lt;"&amp;FL1)</f>
        <v>0</v>
      </c>
      <c r="FL11" s="215">
        <f>SUMIFS('Expenditure Breakdown'!$Q$6:$Q$167, 'Expenditure Breakdown'!$W$6:$W$167, "&gt;="&amp;FL1,'Expenditure Breakdown'!$W$6:$W$167, "&lt;"&amp;FM1)</f>
        <v>0</v>
      </c>
      <c r="FM11" s="215">
        <f>SUMIFS('Expenditure Breakdown'!$Q$6:$Q$167, 'Expenditure Breakdown'!$W$6:$W$167, "&gt;="&amp;FM1,'Expenditure Breakdown'!$W$6:$W$167, "&lt;"&amp;FN1)</f>
        <v>0</v>
      </c>
      <c r="FN11" s="215">
        <f>SUMIFS('Expenditure Breakdown'!$Q$6:$Q$167, 'Expenditure Breakdown'!$W$6:$W$167, "&gt;="&amp;FN1,'Expenditure Breakdown'!$W$6:$W$167, "&lt;"&amp;FO1)</f>
        <v>0</v>
      </c>
      <c r="FO11" s="215">
        <f>SUMIFS('Expenditure Breakdown'!$Q$6:$Q$167, 'Expenditure Breakdown'!$W$6:$W$167, "&gt;="&amp;FO1,'Expenditure Breakdown'!$W$6:$W$167, "&lt;"&amp;FP1)</f>
        <v>0</v>
      </c>
      <c r="FP11" s="215">
        <f>SUMIFS('Expenditure Breakdown'!$Q$6:$Q$167, 'Expenditure Breakdown'!$W$6:$W$167, "&gt;="&amp;FP1,'Expenditure Breakdown'!$W$6:$W$167, "&lt;"&amp;FQ1)</f>
        <v>0</v>
      </c>
      <c r="FQ11" s="215">
        <f>SUMIFS('Expenditure Breakdown'!$Q$6:$Q$167, 'Expenditure Breakdown'!$W$6:$W$167, "&gt;="&amp;FQ1,'Expenditure Breakdown'!$W$6:$W$167, "&lt;"&amp;FR1)</f>
        <v>0</v>
      </c>
      <c r="FR11" s="215">
        <f>SUMIFS('Expenditure Breakdown'!$Q$6:$Q$167, 'Expenditure Breakdown'!$W$6:$W$167, "&gt;="&amp;FR1,'Expenditure Breakdown'!$W$6:$W$167, "&lt;"&amp;FS1)</f>
        <v>0</v>
      </c>
      <c r="FS11" s="215">
        <f>SUMIFS('Expenditure Breakdown'!$Q$6:$Q$167, 'Expenditure Breakdown'!$W$6:$W$167, "&gt;="&amp;FS1,'Expenditure Breakdown'!$W$6:$W$167, "&lt;"&amp;FT1)</f>
        <v>0</v>
      </c>
      <c r="FT11" s="215">
        <f>SUMIFS('Expenditure Breakdown'!$Q$6:$Q$167, 'Expenditure Breakdown'!$W$6:$W$167, "&gt;="&amp;FT1,'Expenditure Breakdown'!$W$6:$W$167, "&lt;"&amp;FU1)</f>
        <v>0</v>
      </c>
      <c r="FU11" s="215">
        <f>SUMIFS('Expenditure Breakdown'!$Q$6:$Q$167, 'Expenditure Breakdown'!$W$6:$W$167, "&gt;="&amp;FU1,'Expenditure Breakdown'!$W$6:$W$167, "&lt;"&amp;FV1)</f>
        <v>0</v>
      </c>
      <c r="FV11" s="215">
        <f>SUMIFS('Expenditure Breakdown'!$Q$6:$Q$167, 'Expenditure Breakdown'!$W$6:$W$167, "&gt;="&amp;FV1,'Expenditure Breakdown'!$W$6:$W$167, "&lt;"&amp;FW1)</f>
        <v>0</v>
      </c>
      <c r="FW11" s="215">
        <f>SUMIFS('Expenditure Breakdown'!$Q$6:$Q$167, 'Expenditure Breakdown'!$W$6:$W$167, "&gt;="&amp;FW1,'Expenditure Breakdown'!$W$6:$W$167, "&lt;"&amp;FX1)</f>
        <v>0</v>
      </c>
      <c r="FX11" s="215">
        <f>SUMIFS('Expenditure Breakdown'!$Q$6:$Q$167, 'Expenditure Breakdown'!$W$6:$W$167, "&gt;="&amp;FX1,'Expenditure Breakdown'!$W$6:$W$167, "&lt;"&amp;FY1)</f>
        <v>0</v>
      </c>
      <c r="FY11" s="215">
        <f>SUMIFS('Expenditure Breakdown'!$Q$6:$Q$167, 'Expenditure Breakdown'!$W$6:$W$167, "&gt;="&amp;FY1,'Expenditure Breakdown'!$W$6:$W$167, "&lt;"&amp;FZ1)</f>
        <v>0</v>
      </c>
      <c r="FZ11" s="215">
        <f>SUMIFS('Expenditure Breakdown'!$Q$6:$Q$167, 'Expenditure Breakdown'!$W$6:$W$167, "&gt;="&amp;FZ1,'Expenditure Breakdown'!$W$6:$W$167, "&lt;"&amp;GA1)</f>
        <v>0</v>
      </c>
      <c r="GA11" s="215">
        <f>SUMIFS('Expenditure Breakdown'!$Q$6:$Q$167, 'Expenditure Breakdown'!$W$6:$W$167, "&gt;="&amp;GA1,'Expenditure Breakdown'!$W$6:$W$167, "&lt;"&amp;GB1)</f>
        <v>0</v>
      </c>
      <c r="GB11" s="215">
        <f>SUMIFS('Expenditure Breakdown'!$Q$6:$Q$167, 'Expenditure Breakdown'!$W$6:$W$167, "&gt;="&amp;GB1,'Expenditure Breakdown'!$W$6:$W$167, "&lt;"&amp;GC1)</f>
        <v>0</v>
      </c>
      <c r="GC11" s="215">
        <f>SUMIFS('Expenditure Breakdown'!$Q$6:$Q$167, 'Expenditure Breakdown'!$W$6:$W$167, "&gt;="&amp;GC1,'Expenditure Breakdown'!$W$6:$W$167, "&lt;"&amp;GD1)</f>
        <v>0</v>
      </c>
      <c r="GD11" s="215">
        <f>SUMIFS('Expenditure Breakdown'!$Q$6:$Q$167, 'Expenditure Breakdown'!$W$6:$W$167, "&gt;="&amp;GD1,'Expenditure Breakdown'!$W$6:$W$167, "&lt;"&amp;GE1)</f>
        <v>0</v>
      </c>
      <c r="GE11" s="215">
        <f>SUMIFS('Expenditure Breakdown'!$Q$6:$Q$167, 'Expenditure Breakdown'!$W$6:$W$167, "&gt;="&amp;GE1,'Expenditure Breakdown'!$W$6:$W$167, "&lt;"&amp;GF1)</f>
        <v>0</v>
      </c>
      <c r="GF11" s="215">
        <f>SUMIFS('Expenditure Breakdown'!$Q$6:$Q$167, 'Expenditure Breakdown'!$W$6:$W$167, "&gt;="&amp;GF1,'Expenditure Breakdown'!$W$6:$W$167, "&lt;"&amp;GG1)</f>
        <v>0</v>
      </c>
      <c r="GG11" s="215">
        <f>SUMIFS('Expenditure Breakdown'!$Q$6:$Q$167, 'Expenditure Breakdown'!$W$6:$W$167, "&gt;="&amp;GG1,'Expenditure Breakdown'!$W$6:$W$167, "&lt;"&amp;GH1)</f>
        <v>0</v>
      </c>
      <c r="GH11" s="215">
        <f>SUMIFS('Expenditure Breakdown'!$Q$6:$Q$167, 'Expenditure Breakdown'!$W$6:$W$167, "&gt;="&amp;GH1,'Expenditure Breakdown'!$W$6:$W$167, "&lt;"&amp;GI1)</f>
        <v>0</v>
      </c>
      <c r="GI11" s="215">
        <f>SUMIFS('Expenditure Breakdown'!$Q$6:$Q$167, 'Expenditure Breakdown'!$W$6:$W$167, "&gt;="&amp;GI1,'Expenditure Breakdown'!$W$6:$W$167, "&lt;"&amp;GJ1)</f>
        <v>0</v>
      </c>
      <c r="GJ11" s="215">
        <f>SUMIFS('Expenditure Breakdown'!$Q$6:$Q$167, 'Expenditure Breakdown'!$W$6:$W$167, "&gt;="&amp;GJ1,'Expenditure Breakdown'!$W$6:$W$167, "&lt;"&amp;GK1)</f>
        <v>0</v>
      </c>
      <c r="GK11" s="215">
        <f>SUMIFS('Expenditure Breakdown'!$Q$6:$Q$167, 'Expenditure Breakdown'!$W$6:$W$167, "&gt;="&amp;GK1,'Expenditure Breakdown'!$W$6:$W$167, "&lt;"&amp;GL1)</f>
        <v>0</v>
      </c>
      <c r="GL11" s="215">
        <f>SUMIFS('Expenditure Breakdown'!$Q$6:$Q$167, 'Expenditure Breakdown'!$W$6:$W$167, "&gt;="&amp;GL1,'Expenditure Breakdown'!$W$6:$W$167, "&lt;"&amp;GM1)</f>
        <v>0</v>
      </c>
      <c r="GM11" s="215">
        <f>SUMIFS('Expenditure Breakdown'!$Q$6:$Q$167, 'Expenditure Breakdown'!$W$6:$W$167, "&gt;="&amp;GM1,'Expenditure Breakdown'!$W$6:$W$167, "&lt;"&amp;GN1)</f>
        <v>0</v>
      </c>
      <c r="GN11" s="215">
        <f>SUMIFS('Expenditure Breakdown'!$Q$6:$Q$167, 'Expenditure Breakdown'!$W$6:$W$167, "&gt;="&amp;GN1,'Expenditure Breakdown'!$W$6:$W$167, "&lt;"&amp;GO1)</f>
        <v>0</v>
      </c>
      <c r="GO11" s="215">
        <f>SUMIFS('Expenditure Breakdown'!$Q$6:$Q$167, 'Expenditure Breakdown'!$W$6:$W$167, "&gt;="&amp;GO1,'Expenditure Breakdown'!$W$6:$W$167, "&lt;"&amp;GP1)</f>
        <v>0</v>
      </c>
      <c r="GP11" s="215">
        <f>SUMIFS('Expenditure Breakdown'!$Q$6:$Q$167, 'Expenditure Breakdown'!$W$6:$W$167, "&gt;="&amp;GP1,'Expenditure Breakdown'!$W$6:$W$167, "&lt;"&amp;GQ1)</f>
        <v>0</v>
      </c>
      <c r="GQ11" s="215">
        <f>SUMIFS('Expenditure Breakdown'!$Q$6:$Q$167, 'Expenditure Breakdown'!$W$6:$W$167, "&gt;="&amp;GQ1,'Expenditure Breakdown'!$W$6:$W$167, "&lt;"&amp;GR1)</f>
        <v>0</v>
      </c>
      <c r="GR11" s="215">
        <f>SUMIFS('Expenditure Breakdown'!$Q$6:$Q$167, 'Expenditure Breakdown'!$W$6:$W$167, "&gt;="&amp;GR1,'Expenditure Breakdown'!$W$6:$W$167, "&lt;"&amp;GS1)</f>
        <v>0</v>
      </c>
      <c r="GS11" s="215">
        <f>SUMIFS('Expenditure Breakdown'!$Q$6:$Q$167, 'Expenditure Breakdown'!$W$6:$W$167, "&gt;="&amp;GS1,'Expenditure Breakdown'!$W$6:$W$167, "&lt;"&amp;GT1)</f>
        <v>0</v>
      </c>
      <c r="GT11" s="215">
        <f>SUMIFS('Expenditure Breakdown'!$Q$6:$Q$167, 'Expenditure Breakdown'!$W$6:$W$167, "&gt;="&amp;GT1,'Expenditure Breakdown'!$W$6:$W$167, "&lt;"&amp;GU1)</f>
        <v>0</v>
      </c>
      <c r="GU11" s="215">
        <f>SUMIFS('Expenditure Breakdown'!$Q$6:$Q$167, 'Expenditure Breakdown'!$W$6:$W$167, "&gt;="&amp;GU1,'Expenditure Breakdown'!$W$6:$W$167, "&lt;"&amp;GV1)</f>
        <v>0</v>
      </c>
      <c r="GV11" s="215">
        <f>SUMIFS('Expenditure Breakdown'!$Q$6:$Q$167, 'Expenditure Breakdown'!$W$6:$W$167, "&gt;="&amp;GV1,'Expenditure Breakdown'!$W$6:$W$167, "&lt;"&amp;GW1)</f>
        <v>0</v>
      </c>
      <c r="GW11" s="215">
        <f>SUMIFS('Expenditure Breakdown'!$Q$6:$Q$167, 'Expenditure Breakdown'!$W$6:$W$167, "&gt;="&amp;GW1,'Expenditure Breakdown'!$W$6:$W$167, "&lt;"&amp;GX1)</f>
        <v>0</v>
      </c>
      <c r="GX11" s="215">
        <f>SUMIFS('Expenditure Breakdown'!$Q$6:$Q$167, 'Expenditure Breakdown'!$W$6:$W$167, "&gt;="&amp;GX1,'Expenditure Breakdown'!$W$6:$W$167, "&lt;"&amp;GY1)</f>
        <v>0</v>
      </c>
      <c r="GY11" s="215">
        <f>SUMIFS('Expenditure Breakdown'!$Q$6:$Q$167, 'Expenditure Breakdown'!$W$6:$W$167, "&gt;="&amp;GY1,'Expenditure Breakdown'!$W$6:$W$167, "&lt;"&amp;GZ1)</f>
        <v>0</v>
      </c>
      <c r="GZ11" s="215">
        <f>SUMIFS('Expenditure Breakdown'!$Q$6:$Q$167, 'Expenditure Breakdown'!$W$6:$W$167, "&gt;="&amp;GZ1,'Expenditure Breakdown'!$W$6:$W$167, "&lt;"&amp;HA1)</f>
        <v>0</v>
      </c>
      <c r="HA11" s="215">
        <f>SUMIFS('Expenditure Breakdown'!$Q$6:$Q$167, 'Expenditure Breakdown'!$W$6:$W$167, "&gt;="&amp;HA1,'Expenditure Breakdown'!$W$6:$W$167, "&lt;"&amp;HB1)</f>
        <v>0</v>
      </c>
      <c r="HB11" s="215">
        <f>SUMIFS('Expenditure Breakdown'!$Q$6:$Q$167, 'Expenditure Breakdown'!$W$6:$W$167, "&gt;="&amp;HB1,'Expenditure Breakdown'!$W$6:$W$167, "&lt;"&amp;HC1)</f>
        <v>0</v>
      </c>
      <c r="HC11" s="215">
        <f>SUMIFS('Expenditure Breakdown'!$Q$6:$Q$167, 'Expenditure Breakdown'!$W$6:$W$167, "&gt;="&amp;HC1,'Expenditure Breakdown'!$W$6:$W$167, "&lt;"&amp;HD1)</f>
        <v>0</v>
      </c>
      <c r="HD11" s="215">
        <f>SUMIFS('Expenditure Breakdown'!$Q$6:$Q$167, 'Expenditure Breakdown'!$W$6:$W$167, "&gt;="&amp;HD1,'Expenditure Breakdown'!$W$6:$W$167, "&lt;"&amp;HE1)</f>
        <v>0</v>
      </c>
      <c r="HE11" s="215">
        <f>SUMIFS('Expenditure Breakdown'!$Q$6:$Q$167, 'Expenditure Breakdown'!$W$6:$W$167, "&gt;="&amp;HE1,'Expenditure Breakdown'!$W$6:$W$167, "&lt;"&amp;HF1)</f>
        <v>0</v>
      </c>
      <c r="HF11" s="215">
        <f>SUMIFS('Expenditure Breakdown'!$Q$6:$Q$167, 'Expenditure Breakdown'!$W$6:$W$167, "&gt;="&amp;HF1,'Expenditure Breakdown'!$W$6:$W$167, "&lt;"&amp;HG1)</f>
        <v>0</v>
      </c>
      <c r="HG11" s="215">
        <f>SUMIFS('Expenditure Breakdown'!$Q$6:$Q$167, 'Expenditure Breakdown'!$W$6:$W$167, "&gt;="&amp;HG1,'Expenditure Breakdown'!$W$6:$W$167, "&lt;"&amp;HH1)</f>
        <v>0</v>
      </c>
      <c r="HH11" s="215">
        <f>SUMIFS('Expenditure Breakdown'!$Q$6:$Q$167, 'Expenditure Breakdown'!$W$6:$W$167, "&gt;="&amp;HH1,'Expenditure Breakdown'!$W$6:$W$167, "&lt;"&amp;HI1)</f>
        <v>0</v>
      </c>
      <c r="HI11" s="215">
        <f>SUMIFS('Expenditure Breakdown'!$Q$6:$Q$167, 'Expenditure Breakdown'!$W$6:$W$167, "&gt;="&amp;HI1,'Expenditure Breakdown'!$W$6:$W$167, "&lt;"&amp;HJ1)</f>
        <v>0</v>
      </c>
      <c r="HJ11" s="215">
        <f>SUMIFS('Expenditure Breakdown'!$Q$6:$Q$167, 'Expenditure Breakdown'!$W$6:$W$167, "&gt;="&amp;HJ1,'Expenditure Breakdown'!$W$6:$W$167, "&lt;"&amp;HK1)</f>
        <v>0</v>
      </c>
      <c r="HK11" s="215">
        <f>SUMIFS('Expenditure Breakdown'!$Q$6:$Q$167, 'Expenditure Breakdown'!$W$6:$W$167, "&gt;="&amp;HK1,'Expenditure Breakdown'!$W$6:$W$167, "&lt;"&amp;HL1)</f>
        <v>0</v>
      </c>
      <c r="HL11" s="215">
        <f>SUMIFS('Expenditure Breakdown'!$Q$6:$Q$167, 'Expenditure Breakdown'!$W$6:$W$167, "&gt;="&amp;HL1,'Expenditure Breakdown'!$W$6:$W$167, "&lt;"&amp;HM1)</f>
        <v>0</v>
      </c>
      <c r="HM11" s="215">
        <f>SUMIFS('Expenditure Breakdown'!$Q$6:$Q$167, 'Expenditure Breakdown'!$W$6:$W$167, "&gt;="&amp;HM1,'Expenditure Breakdown'!$W$6:$W$167, "&lt;"&amp;HN1)</f>
        <v>0</v>
      </c>
      <c r="HN11" s="215">
        <f>SUMIFS('Expenditure Breakdown'!$Q$6:$Q$167, 'Expenditure Breakdown'!$W$6:$W$167, "&gt;="&amp;HN1,'Expenditure Breakdown'!$W$6:$W$167, "&lt;"&amp;HO1)</f>
        <v>0</v>
      </c>
      <c r="HO11" s="215">
        <f>SUMIFS('Expenditure Breakdown'!$Q$6:$Q$167, 'Expenditure Breakdown'!$W$6:$W$167, "&gt;="&amp;HO1,'Expenditure Breakdown'!$W$6:$W$167, "&lt;"&amp;HP1)</f>
        <v>0</v>
      </c>
      <c r="HP11" s="215">
        <f>SUMIFS('Expenditure Breakdown'!$Q$6:$Q$167, 'Expenditure Breakdown'!$W$6:$W$167, "&gt;="&amp;HP1,'Expenditure Breakdown'!$W$6:$W$167, "&lt;"&amp;HQ1)</f>
        <v>0</v>
      </c>
      <c r="HQ11" s="215">
        <f>SUMIFS('Expenditure Breakdown'!$Q$6:$Q$167, 'Expenditure Breakdown'!$W$6:$W$167, "&gt;="&amp;HQ1,'Expenditure Breakdown'!$W$6:$W$167, "&lt;"&amp;HR1)</f>
        <v>0</v>
      </c>
      <c r="HR11" s="215">
        <f>SUMIFS('Expenditure Breakdown'!$Q$6:$Q$167, 'Expenditure Breakdown'!$W$6:$W$167, "&gt;="&amp;HR1,'Expenditure Breakdown'!$W$6:$W$167, "&lt;"&amp;HS1)</f>
        <v>0</v>
      </c>
      <c r="HS11" s="215">
        <f>SUMIFS('Expenditure Breakdown'!$Q$6:$Q$167, 'Expenditure Breakdown'!$W$6:$W$167, "&gt;="&amp;HS1,'Expenditure Breakdown'!$W$6:$W$167, "&lt;"&amp;HT1)</f>
        <v>0</v>
      </c>
      <c r="HT11" s="215">
        <f>SUMIFS('Expenditure Breakdown'!$Q$6:$Q$167, 'Expenditure Breakdown'!$W$6:$W$167, "&gt;="&amp;HT1,'Expenditure Breakdown'!$W$6:$W$167, "&lt;"&amp;HU1)</f>
        <v>0</v>
      </c>
      <c r="HU11" s="215">
        <f>SUMIFS('Expenditure Breakdown'!$Q$6:$Q$167, 'Expenditure Breakdown'!$W$6:$W$167, "&gt;="&amp;HU1,'Expenditure Breakdown'!$W$6:$W$167, "&lt;"&amp;HV1)</f>
        <v>0</v>
      </c>
      <c r="HV11" s="215">
        <f>SUMIFS('Expenditure Breakdown'!$Q$6:$Q$167, 'Expenditure Breakdown'!$W$6:$W$167, "&gt;="&amp;HV1,'Expenditure Breakdown'!$W$6:$W$167, "&lt;"&amp;HW1)</f>
        <v>0</v>
      </c>
      <c r="HW11" s="215">
        <f>SUMIFS('Expenditure Breakdown'!$Q$6:$Q$167, 'Expenditure Breakdown'!$W$6:$W$167, "&gt;="&amp;HW1,'Expenditure Breakdown'!$W$6:$W$167, "&lt;"&amp;HX1)</f>
        <v>0</v>
      </c>
      <c r="HX11" s="215">
        <f>SUMIFS('Expenditure Breakdown'!$Q$6:$Q$167, 'Expenditure Breakdown'!$W$6:$W$167, "&gt;="&amp;HX1,'Expenditure Breakdown'!$W$6:$W$167, "&lt;"&amp;HY1)</f>
        <v>0</v>
      </c>
      <c r="HY11" s="215">
        <f>SUMIFS('Expenditure Breakdown'!$Q$6:$Q$167, 'Expenditure Breakdown'!$W$6:$W$167, "&gt;="&amp;HY1,'Expenditure Breakdown'!$W$6:$W$167, "&lt;"&amp;HZ1)</f>
        <v>0</v>
      </c>
      <c r="HZ11" s="215">
        <f>SUMIFS('Expenditure Breakdown'!$Q$6:$Q$167, 'Expenditure Breakdown'!$W$6:$W$167, "&gt;="&amp;HZ1,'Expenditure Breakdown'!$W$6:$W$167, "&lt;"&amp;IA1)</f>
        <v>0</v>
      </c>
      <c r="IA11" s="215">
        <f>SUMIFS('Expenditure Breakdown'!$Q$6:$Q$167, 'Expenditure Breakdown'!$W$6:$W$167, "&gt;="&amp;IA1,'Expenditure Breakdown'!$W$6:$W$167, "&lt;"&amp;IB1)</f>
        <v>0</v>
      </c>
      <c r="IB11" s="215">
        <f>SUMIFS('Expenditure Breakdown'!$Q$6:$Q$167, 'Expenditure Breakdown'!$W$6:$W$167, "&gt;="&amp;IB1,'Expenditure Breakdown'!$W$6:$W$167, "&lt;"&amp;IC1)</f>
        <v>0</v>
      </c>
      <c r="IC11" s="215">
        <f>SUMIFS('Expenditure Breakdown'!$Q$6:$Q$167, 'Expenditure Breakdown'!$W$6:$W$167, "&gt;="&amp;IC1,'Expenditure Breakdown'!$W$6:$W$167, "&lt;"&amp;ID1)</f>
        <v>0</v>
      </c>
      <c r="ID11" s="215">
        <f>SUMIFS('Expenditure Breakdown'!$Q$6:$Q$167, 'Expenditure Breakdown'!$W$6:$W$167, "&gt;="&amp;ID1,'Expenditure Breakdown'!$W$6:$W$167, "&lt;"&amp;IE1)</f>
        <v>0</v>
      </c>
      <c r="IE11" s="215">
        <f>SUMIFS('Expenditure Breakdown'!$Q$6:$Q$167, 'Expenditure Breakdown'!$W$6:$W$167, "&gt;="&amp;IE1,'Expenditure Breakdown'!$W$6:$W$167, "&lt;"&amp;IF1)</f>
        <v>0</v>
      </c>
      <c r="IF11" s="215">
        <f>SUMIFS('Expenditure Breakdown'!$Q$6:$Q$167, 'Expenditure Breakdown'!$W$6:$W$167, "&gt;="&amp;IF1,'Expenditure Breakdown'!$W$6:$W$167, "&lt;"&amp;IG1)</f>
        <v>0</v>
      </c>
      <c r="IG11" s="215">
        <f>SUMIFS('Expenditure Breakdown'!$Q$6:$Q$167, 'Expenditure Breakdown'!$W$6:$W$167, "&gt;="&amp;IG1,'Expenditure Breakdown'!$W$6:$W$167, "&lt;"&amp;IH1)</f>
        <v>0</v>
      </c>
      <c r="IH11" s="215">
        <f>SUMIFS('Expenditure Breakdown'!$Q$6:$Q$167, 'Expenditure Breakdown'!$W$6:$W$167, "&gt;="&amp;IH1,'Expenditure Breakdown'!$W$6:$W$167, "&lt;"&amp;II1)</f>
        <v>0</v>
      </c>
      <c r="II11" s="215">
        <f>SUMIFS('Expenditure Breakdown'!$Q$6:$Q$167, 'Expenditure Breakdown'!$W$6:$W$167, "&gt;="&amp;II1,'Expenditure Breakdown'!$W$6:$W$167, "&lt;"&amp;IJ1)</f>
        <v>0</v>
      </c>
      <c r="IJ11" s="215">
        <f>SUMIFS('Expenditure Breakdown'!$Q$6:$Q$167, 'Expenditure Breakdown'!$W$6:$W$167, "&gt;="&amp;IJ1,'Expenditure Breakdown'!$W$6:$W$167, "&lt;"&amp;IK1)</f>
        <v>0</v>
      </c>
      <c r="IK11" s="215">
        <f>SUMIFS('Expenditure Breakdown'!$Q$6:$Q$167, 'Expenditure Breakdown'!$W$6:$W$167, "&gt;="&amp;IK1,'Expenditure Breakdown'!$W$6:$W$167, "&lt;"&amp;IL1)</f>
        <v>0</v>
      </c>
      <c r="IL11" s="215">
        <f>SUMIFS('Expenditure Breakdown'!$Q$6:$Q$167, 'Expenditure Breakdown'!$W$6:$W$167, "&gt;="&amp;IL1,'Expenditure Breakdown'!$W$6:$W$167, "&lt;"&amp;IM1)</f>
        <v>0</v>
      </c>
      <c r="IM11" s="215">
        <f>SUMIFS('Expenditure Breakdown'!$Q$6:$Q$167, 'Expenditure Breakdown'!$W$6:$W$167, "&gt;="&amp;IM1,'Expenditure Breakdown'!$W$6:$W$167, "&lt;"&amp;IN1)</f>
        <v>0</v>
      </c>
      <c r="IN11" s="215">
        <f>SUMIFS('Expenditure Breakdown'!$Q$6:$Q$167, 'Expenditure Breakdown'!$W$6:$W$167, "&gt;="&amp;IN1,'Expenditure Breakdown'!$W$6:$W$167, "&lt;"&amp;IO1)</f>
        <v>0</v>
      </c>
      <c r="IO11" s="215">
        <f>SUMIFS('Expenditure Breakdown'!$Q$6:$Q$167, 'Expenditure Breakdown'!$W$6:$W$167, "&gt;="&amp;IO1,'Expenditure Breakdown'!$W$6:$W$167, "&lt;"&amp;IP1)</f>
        <v>0</v>
      </c>
      <c r="IP11" s="215">
        <f>SUMIFS('Expenditure Breakdown'!$Q$6:$Q$167, 'Expenditure Breakdown'!$W$6:$W$167, "&gt;="&amp;IP1,'Expenditure Breakdown'!$W$6:$W$167, "&lt;"&amp;IQ1)</f>
        <v>0</v>
      </c>
      <c r="IQ11" s="215">
        <f>SUMIFS('Expenditure Breakdown'!$Q$6:$Q$167, 'Expenditure Breakdown'!$W$6:$W$167, "&gt;="&amp;IQ1,'Expenditure Breakdown'!$W$6:$W$167, "&lt;"&amp;IR1)</f>
        <v>0</v>
      </c>
      <c r="IR11" s="215">
        <f>SUMIFS('Expenditure Breakdown'!$Q$6:$Q$167, 'Expenditure Breakdown'!$W$6:$W$167, "&gt;="&amp;IR1,'Expenditure Breakdown'!$W$6:$W$167, "&lt;"&amp;IS1)</f>
        <v>0</v>
      </c>
      <c r="IS11" s="215">
        <f>SUMIFS('Expenditure Breakdown'!$Q$6:$Q$167, 'Expenditure Breakdown'!$W$6:$W$167, "&gt;="&amp;IS1,'Expenditure Breakdown'!$W$6:$W$167, "&lt;"&amp;IT1)</f>
        <v>0</v>
      </c>
      <c r="IT11" s="215">
        <f>SUMIFS('Expenditure Breakdown'!$Q$6:$Q$167, 'Expenditure Breakdown'!$W$6:$W$167, "&gt;="&amp;IT1,'Expenditure Breakdown'!$W$6:$W$167, "&lt;"&amp;IU1)</f>
        <v>0</v>
      </c>
      <c r="IU11" s="215">
        <f>SUMIFS('Expenditure Breakdown'!$Q$6:$Q$167, 'Expenditure Breakdown'!$W$6:$W$167, "&gt;="&amp;IU1,'Expenditure Breakdown'!$W$6:$W$167, "&lt;"&amp;IV1)</f>
        <v>0</v>
      </c>
      <c r="IV11" s="215">
        <f>SUMIFS('Expenditure Breakdown'!$Q$6:$Q$167, 'Expenditure Breakdown'!$W$6:$W$167, "&gt;="&amp;IV1,'Expenditure Breakdown'!$W$6:$W$167, "&lt;"&amp;IW1)</f>
        <v>0</v>
      </c>
      <c r="IW11" s="215">
        <f>SUMIFS('Expenditure Breakdown'!$Q$6:$Q$167, 'Expenditure Breakdown'!$W$6:$W$167, "&gt;="&amp;IW1,'Expenditure Breakdown'!$W$6:$W$167, "&lt;"&amp;IX1)</f>
        <v>0</v>
      </c>
      <c r="IX11" s="215">
        <f>SUMIFS('Expenditure Breakdown'!$Q$6:$Q$167, 'Expenditure Breakdown'!$W$6:$W$167, "&gt;="&amp;IX1,'Expenditure Breakdown'!$W$6:$W$167, "&lt;"&amp;IY1)</f>
        <v>0</v>
      </c>
      <c r="IY11" s="215">
        <f>SUMIFS('Expenditure Breakdown'!$Q$6:$Q$167, 'Expenditure Breakdown'!$W$6:$W$167, "&gt;="&amp;IY1,'Expenditure Breakdown'!$W$6:$W$167, "&lt;"&amp;IZ1)</f>
        <v>0</v>
      </c>
      <c r="IZ11" s="215">
        <f>SUMIFS('Expenditure Breakdown'!$Q$6:$Q$167, 'Expenditure Breakdown'!$W$6:$W$167, "&gt;="&amp;IZ1,'Expenditure Breakdown'!$W$6:$W$167, "&lt;"&amp;JA1)</f>
        <v>0</v>
      </c>
      <c r="JA11" s="215">
        <f>SUMIFS('Expenditure Breakdown'!$Q$6:$Q$167, 'Expenditure Breakdown'!$W$6:$W$167, "&gt;="&amp;JA1,'Expenditure Breakdown'!$W$6:$W$167, "&lt;"&amp;JB1)</f>
        <v>0</v>
      </c>
      <c r="JB11" s="215">
        <f>SUMIFS('Expenditure Breakdown'!$Q$6:$Q$167, 'Expenditure Breakdown'!$W$6:$W$167, "&gt;="&amp;JB1,'Expenditure Breakdown'!$W$6:$W$167, "&lt;"&amp;JC1)</f>
        <v>0</v>
      </c>
      <c r="JC11" s="215">
        <f>SUMIFS('Expenditure Breakdown'!$Q$6:$Q$167, 'Expenditure Breakdown'!$W$6:$W$167, "&gt;="&amp;JC1,'Expenditure Breakdown'!$W$6:$W$167, "&lt;"&amp;JD1)</f>
        <v>0</v>
      </c>
      <c r="JD11" s="215">
        <f>SUMIFS('Expenditure Breakdown'!$Q$6:$Q$167, 'Expenditure Breakdown'!$W$6:$W$167, "&gt;="&amp;JD1,'Expenditure Breakdown'!$W$6:$W$167, "&lt;"&amp;JE1)</f>
        <v>0</v>
      </c>
      <c r="JE11" s="215">
        <f>SUMIFS('Expenditure Breakdown'!$Q$6:$Q$167, 'Expenditure Breakdown'!$W$6:$W$167, "&gt;="&amp;JE1,'Expenditure Breakdown'!$W$6:$W$167, "&lt;"&amp;JF1)</f>
        <v>0</v>
      </c>
      <c r="JF11" s="215">
        <f>SUMIFS('Expenditure Breakdown'!$Q$6:$Q$167, 'Expenditure Breakdown'!$W$6:$W$167, "&gt;="&amp;JF1,'Expenditure Breakdown'!$W$6:$W$167, "&lt;"&amp;JG1)</f>
        <v>0</v>
      </c>
      <c r="JG11" s="215">
        <f>SUMIFS('Expenditure Breakdown'!$Q$6:$Q$167, 'Expenditure Breakdown'!$W$6:$W$167, "&gt;="&amp;JG1,'Expenditure Breakdown'!$W$6:$W$167, "&lt;"&amp;JH1)</f>
        <v>0</v>
      </c>
      <c r="JH11" s="215">
        <f>SUMIFS('Expenditure Breakdown'!$Q$6:$Q$167, 'Expenditure Breakdown'!$W$6:$W$167, "&gt;="&amp;JH1,'Expenditure Breakdown'!$W$6:$W$167, "&lt;"&amp;JI1)</f>
        <v>0</v>
      </c>
      <c r="JI11" s="215">
        <f>SUMIFS('Expenditure Breakdown'!$Q$6:$Q$167, 'Expenditure Breakdown'!$W$6:$W$167, "&gt;="&amp;JI1,'Expenditure Breakdown'!$W$6:$W$167, "&lt;"&amp;JJ1)</f>
        <v>0</v>
      </c>
      <c r="JJ11" s="215">
        <f>SUMIFS('Expenditure Breakdown'!$Q$6:$Q$167, 'Expenditure Breakdown'!$W$6:$W$167, "&gt;="&amp;JJ1,'Expenditure Breakdown'!$W$6:$W$167, "&lt;"&amp;JK1)</f>
        <v>0</v>
      </c>
      <c r="JK11" s="215">
        <f>SUMIFS('Expenditure Breakdown'!$Q$6:$Q$167, 'Expenditure Breakdown'!$W$6:$W$167, "&gt;="&amp;JK1,'Expenditure Breakdown'!$W$6:$W$167, "&lt;"&amp;JL1)</f>
        <v>0</v>
      </c>
      <c r="JL11" s="215">
        <f>SUMIFS('Expenditure Breakdown'!$Q$6:$Q$167, 'Expenditure Breakdown'!$W$6:$W$167, "&gt;="&amp;JL1,'Expenditure Breakdown'!$W$6:$W$167, "&lt;"&amp;JM1)</f>
        <v>0</v>
      </c>
      <c r="JM11" s="215">
        <f>SUMIFS('Expenditure Breakdown'!$Q$6:$Q$167, 'Expenditure Breakdown'!$W$6:$W$167, "&gt;="&amp;JM1,'Expenditure Breakdown'!$W$6:$W$167, "&lt;"&amp;JN1)</f>
        <v>0</v>
      </c>
      <c r="JN11" s="215">
        <f>SUMIFS('Expenditure Breakdown'!$Q$6:$Q$167, 'Expenditure Breakdown'!$W$6:$W$167, "&gt;="&amp;JN1,'Expenditure Breakdown'!$W$6:$W$167, "&lt;"&amp;JO1)</f>
        <v>0</v>
      </c>
      <c r="JO11" s="215">
        <f>SUMIFS('Expenditure Breakdown'!$Q$6:$Q$167, 'Expenditure Breakdown'!$W$6:$W$167, "&gt;="&amp;JO1,'Expenditure Breakdown'!$W$6:$W$167, "&lt;"&amp;JP1)</f>
        <v>0</v>
      </c>
      <c r="JP11" s="215">
        <f>SUMIFS('Expenditure Breakdown'!$Q$6:$Q$167, 'Expenditure Breakdown'!$W$6:$W$167, "&gt;="&amp;JP1,'Expenditure Breakdown'!$W$6:$W$167, "&lt;"&amp;JQ1)</f>
        <v>0</v>
      </c>
      <c r="JQ11" s="215">
        <f>SUMIFS('Expenditure Breakdown'!$Q$6:$Q$167, 'Expenditure Breakdown'!$W$6:$W$167, "&gt;="&amp;JQ1,'Expenditure Breakdown'!$W$6:$W$167, "&lt;"&amp;JR1)</f>
        <v>0</v>
      </c>
      <c r="JR11" s="215">
        <f>SUMIFS('Expenditure Breakdown'!$Q$6:$Q$167, 'Expenditure Breakdown'!$W$6:$W$167, "&gt;="&amp;JR1,'Expenditure Breakdown'!$W$6:$W$167, "&lt;"&amp;JS1)</f>
        <v>0</v>
      </c>
      <c r="JS11" s="215">
        <f>SUMIFS('Expenditure Breakdown'!$Q$6:$Q$167, 'Expenditure Breakdown'!$W$6:$W$167, "&gt;="&amp;JS1,'Expenditure Breakdown'!$W$6:$W$167, "&lt;"&amp;JT1)</f>
        <v>0</v>
      </c>
      <c r="JT11" s="215">
        <f>SUMIFS('Expenditure Breakdown'!$Q$6:$Q$167, 'Expenditure Breakdown'!$W$6:$W$167, "&gt;="&amp;JT1,'Expenditure Breakdown'!$W$6:$W$167, "&lt;"&amp;JU1)</f>
        <v>0</v>
      </c>
      <c r="JU11" s="215">
        <f>SUMIFS('Expenditure Breakdown'!$Q$6:$Q$167, 'Expenditure Breakdown'!$W$6:$W$167, "&gt;="&amp;JU1,'Expenditure Breakdown'!$W$6:$W$167, "&lt;"&amp;JV1)</f>
        <v>0</v>
      </c>
      <c r="JV11" s="215">
        <f>SUMIFS('Expenditure Breakdown'!$Q$6:$Q$167, 'Expenditure Breakdown'!$W$6:$W$167, "&gt;="&amp;JV1,'Expenditure Breakdown'!$W$6:$W$167, "&lt;"&amp;JW1)</f>
        <v>0</v>
      </c>
      <c r="JW11" s="215">
        <f>SUMIFS('Expenditure Breakdown'!$Q$6:$Q$167, 'Expenditure Breakdown'!$W$6:$W$167, "&gt;="&amp;JW1,'Expenditure Breakdown'!$W$6:$W$167, "&lt;"&amp;JX1)</f>
        <v>0</v>
      </c>
      <c r="JX11" s="215">
        <f>SUMIFS('Expenditure Breakdown'!$Q$6:$Q$167, 'Expenditure Breakdown'!$W$6:$W$167, "&gt;="&amp;JX1,'Expenditure Breakdown'!$W$6:$W$167, "&lt;"&amp;JY1)</f>
        <v>0</v>
      </c>
      <c r="JY11" s="215">
        <f>SUMIFS('Expenditure Breakdown'!$Q$6:$Q$167, 'Expenditure Breakdown'!$W$6:$W$167, "&gt;="&amp;JY1,'Expenditure Breakdown'!$W$6:$W$167, "&lt;"&amp;JZ1)</f>
        <v>0</v>
      </c>
      <c r="JZ11" s="215">
        <f>SUMIFS('Expenditure Breakdown'!$Q$6:$Q$167, 'Expenditure Breakdown'!$W$6:$W$167, "&gt;="&amp;JZ1,'Expenditure Breakdown'!$W$6:$W$167, "&lt;"&amp;KA1)</f>
        <v>0</v>
      </c>
      <c r="KA11" s="215">
        <f>SUMIFS('Expenditure Breakdown'!$Q$6:$Q$167, 'Expenditure Breakdown'!$W$6:$W$167, "&gt;="&amp;KA1,'Expenditure Breakdown'!$W$6:$W$167, "&lt;"&amp;KB1)</f>
        <v>0</v>
      </c>
      <c r="KB11" s="215">
        <f>SUMIFS('Expenditure Breakdown'!$Q$6:$Q$167, 'Expenditure Breakdown'!$W$6:$W$167, "&gt;="&amp;KB1,'Expenditure Breakdown'!$W$6:$W$167, "&lt;"&amp;KC1)</f>
        <v>0</v>
      </c>
      <c r="KC11" s="215">
        <f>SUMIFS('Expenditure Breakdown'!$Q$6:$Q$167, 'Expenditure Breakdown'!$W$6:$W$167, "&gt;="&amp;KC1,'Expenditure Breakdown'!$W$6:$W$167, "&lt;"&amp;KD1)</f>
        <v>0</v>
      </c>
      <c r="KD11" s="215">
        <f>SUMIFS('Expenditure Breakdown'!$Q$6:$Q$167, 'Expenditure Breakdown'!$W$6:$W$167, "&gt;="&amp;KD1,'Expenditure Breakdown'!$W$6:$W$167, "&lt;"&amp;KE1)</f>
        <v>0</v>
      </c>
      <c r="KE11" s="215">
        <f>SUMIFS('Expenditure Breakdown'!$Q$6:$Q$167, 'Expenditure Breakdown'!$W$6:$W$167, "&gt;="&amp;KE1,'Expenditure Breakdown'!$W$6:$W$167, "&lt;"&amp;KF1)</f>
        <v>0</v>
      </c>
      <c r="KF11" s="215">
        <f>SUMIFS('Expenditure Breakdown'!$Q$6:$Q$167, 'Expenditure Breakdown'!$W$6:$W$167, "&gt;="&amp;KF1,'Expenditure Breakdown'!$W$6:$W$167, "&lt;"&amp;KG1)</f>
        <v>0</v>
      </c>
      <c r="KG11" s="215">
        <f>SUMIFS('Expenditure Breakdown'!$Q$6:$Q$167, 'Expenditure Breakdown'!$W$6:$W$167, "&gt;="&amp;KG1,'Expenditure Breakdown'!$W$6:$W$167, "&lt;"&amp;KH1)</f>
        <v>0</v>
      </c>
      <c r="KH11" s="215">
        <f>SUMIFS('Expenditure Breakdown'!$Q$6:$Q$167, 'Expenditure Breakdown'!$W$6:$W$167, "&gt;="&amp;KH1,'Expenditure Breakdown'!$W$6:$W$167, "&lt;"&amp;KI1)</f>
        <v>0</v>
      </c>
      <c r="KI11" s="215">
        <f>SUMIFS('Expenditure Breakdown'!$Q$6:$Q$167, 'Expenditure Breakdown'!$W$6:$W$167, "&gt;="&amp;KI1,'Expenditure Breakdown'!$W$6:$W$167, "&lt;"&amp;KJ1)</f>
        <v>0</v>
      </c>
      <c r="KJ11" s="215">
        <f>SUMIFS('Expenditure Breakdown'!$Q$6:$Q$167, 'Expenditure Breakdown'!$W$6:$W$167, "&gt;="&amp;KJ1,'Expenditure Breakdown'!$W$6:$W$167, "&lt;"&amp;KK1)</f>
        <v>0</v>
      </c>
      <c r="KK11" s="215">
        <f>SUMIFS('Expenditure Breakdown'!$Q$6:$Q$167, 'Expenditure Breakdown'!$W$6:$W$167, "&gt;="&amp;KK1,'Expenditure Breakdown'!$W$6:$W$167, "&lt;"&amp;KL1)</f>
        <v>0</v>
      </c>
      <c r="KL11" s="215">
        <f>SUMIFS('Expenditure Breakdown'!$Q$6:$Q$167, 'Expenditure Breakdown'!$W$6:$W$167, "&gt;="&amp;KL1,'Expenditure Breakdown'!$W$6:$W$167, "&lt;"&amp;KM1)</f>
        <v>0</v>
      </c>
      <c r="KM11" s="215">
        <f>SUMIFS('Expenditure Breakdown'!$Q$6:$Q$167, 'Expenditure Breakdown'!$W$6:$W$167, "&gt;="&amp;KM1,'Expenditure Breakdown'!$W$6:$W$167, "&lt;"&amp;KN1)</f>
        <v>0</v>
      </c>
      <c r="KN11" s="215">
        <f>SUMIFS('Expenditure Breakdown'!$Q$6:$Q$167, 'Expenditure Breakdown'!$W$6:$W$167, "&gt;="&amp;KN1,'Expenditure Breakdown'!$W$6:$W$167, "&lt;"&amp;KO1)</f>
        <v>0</v>
      </c>
      <c r="KO11" s="215">
        <f>SUMIFS('Expenditure Breakdown'!$Q$6:$Q$167, 'Expenditure Breakdown'!$W$6:$W$167, "&gt;="&amp;KO1,'Expenditure Breakdown'!$W$6:$W$167, "&lt;"&amp;KP1)</f>
        <v>0</v>
      </c>
      <c r="KP11" s="215">
        <f>SUMIFS('Expenditure Breakdown'!$Q$6:$Q$167, 'Expenditure Breakdown'!$W$6:$W$167, "&gt;="&amp;KP1,'Expenditure Breakdown'!$W$6:$W$167, "&lt;"&amp;KQ1)</f>
        <v>0</v>
      </c>
      <c r="KQ11" s="215">
        <f>SUMIFS('Expenditure Breakdown'!$Q$6:$Q$167, 'Expenditure Breakdown'!$W$6:$W$167, "&gt;="&amp;KQ1,'Expenditure Breakdown'!$W$6:$W$167, "&lt;"&amp;KR1)</f>
        <v>0</v>
      </c>
      <c r="KR11" s="215">
        <f>SUMIFS('Expenditure Breakdown'!$Q$6:$Q$167, 'Expenditure Breakdown'!$W$6:$W$167, "&gt;="&amp;KR1,'Expenditure Breakdown'!$W$6:$W$167, "&lt;"&amp;KS1)</f>
        <v>0</v>
      </c>
      <c r="KS11" s="215">
        <f>SUMIFS('Expenditure Breakdown'!$Q$6:$Q$167, 'Expenditure Breakdown'!$W$6:$W$167, "&gt;="&amp;KS1,'Expenditure Breakdown'!$W$6:$W$167, "&lt;"&amp;KT1)</f>
        <v>0</v>
      </c>
      <c r="KT11" s="215">
        <f>SUMIFS('Expenditure Breakdown'!$Q$6:$Q$167, 'Expenditure Breakdown'!$W$6:$W$167, "&gt;="&amp;KT1,'Expenditure Breakdown'!$W$6:$W$167, "&lt;"&amp;KU1)</f>
        <v>0</v>
      </c>
      <c r="KU11" s="215">
        <f>SUMIFS('Expenditure Breakdown'!$Q$6:$Q$167, 'Expenditure Breakdown'!$W$6:$W$167, "&gt;="&amp;KU1,'Expenditure Breakdown'!$W$6:$W$167, "&lt;"&amp;KV1)</f>
        <v>0</v>
      </c>
      <c r="KV11" s="215">
        <f>SUMIFS('Expenditure Breakdown'!$Q$6:$Q$167, 'Expenditure Breakdown'!$W$6:$W$167, "&gt;="&amp;KV1,'Expenditure Breakdown'!$W$6:$W$167, "&lt;"&amp;KW1)</f>
        <v>0</v>
      </c>
      <c r="KW11" s="215">
        <f>SUMIFS('Expenditure Breakdown'!$Q$6:$Q$167, 'Expenditure Breakdown'!$W$6:$W$167, "&gt;="&amp;KW1,'Expenditure Breakdown'!$W$6:$W$167, "&lt;"&amp;KX1)</f>
        <v>0</v>
      </c>
      <c r="KX11" s="215">
        <f>SUMIFS('Expenditure Breakdown'!$Q$6:$Q$167, 'Expenditure Breakdown'!$W$6:$W$167, "&gt;="&amp;KX1,'Expenditure Breakdown'!$W$6:$W$167, "&lt;"&amp;KY1)</f>
        <v>0</v>
      </c>
      <c r="KY11" s="215">
        <f>SUMIFS('Expenditure Breakdown'!$Q$6:$Q$167, 'Expenditure Breakdown'!$W$6:$W$167, "&gt;="&amp;KY1,'Expenditure Breakdown'!$W$6:$W$167, "&lt;"&amp;KZ1)</f>
        <v>0</v>
      </c>
      <c r="KZ11" s="215">
        <f>SUMIFS('Expenditure Breakdown'!$Q$6:$Q$167, 'Expenditure Breakdown'!$W$6:$W$167, "&gt;="&amp;KZ1,'Expenditure Breakdown'!$W$6:$W$167, "&lt;"&amp;LA1)</f>
        <v>0</v>
      </c>
      <c r="LA11" s="215">
        <f>SUMIFS('Expenditure Breakdown'!$Q$6:$Q$167, 'Expenditure Breakdown'!$W$6:$W$167, "&gt;="&amp;LA1,'Expenditure Breakdown'!$W$6:$W$167, "&lt;"&amp;LB1)</f>
        <v>0</v>
      </c>
      <c r="LB11" s="215">
        <f>SUMIFS('Expenditure Breakdown'!$Q$6:$Q$167, 'Expenditure Breakdown'!$W$6:$W$167, "&gt;="&amp;LB1,'Expenditure Breakdown'!$W$6:$W$167, "&lt;"&amp;LC1)</f>
        <v>0</v>
      </c>
      <c r="LC11" s="215">
        <f>SUMIFS('Expenditure Breakdown'!$Q$6:$Q$167, 'Expenditure Breakdown'!$W$6:$W$167, "&gt;="&amp;LC1,'Expenditure Breakdown'!$W$6:$W$167, "&lt;"&amp;LD1)</f>
        <v>0</v>
      </c>
      <c r="LD11" s="215">
        <f>SUMIFS('Expenditure Breakdown'!$Q$6:$Q$167, 'Expenditure Breakdown'!$W$6:$W$167, "&gt;="&amp;LD1,'Expenditure Breakdown'!$W$6:$W$167, "&lt;"&amp;#REF!)</f>
        <v>0</v>
      </c>
      <c r="LE11" s="192"/>
      <c r="LF11" s="203"/>
      <c r="LG11" s="203"/>
    </row>
    <row r="12" spans="1:794" s="204" customFormat="1">
      <c r="A12" s="809"/>
      <c r="B12" s="213" t="s">
        <v>392</v>
      </c>
      <c r="C12" s="214"/>
      <c r="D12" s="214"/>
      <c r="E12" s="198"/>
      <c r="F12" s="215">
        <f>F11</f>
        <v>0</v>
      </c>
      <c r="G12" s="215">
        <f>F12+G11</f>
        <v>0</v>
      </c>
      <c r="H12" s="215">
        <f>G12+H11</f>
        <v>0</v>
      </c>
      <c r="I12" s="215">
        <f t="shared" ref="I12:BT12" si="26">H12+I11</f>
        <v>0</v>
      </c>
      <c r="J12" s="215">
        <f t="shared" si="26"/>
        <v>0</v>
      </c>
      <c r="K12" s="215">
        <f t="shared" si="26"/>
        <v>0</v>
      </c>
      <c r="L12" s="215">
        <f t="shared" si="26"/>
        <v>0</v>
      </c>
      <c r="M12" s="215">
        <f t="shared" si="26"/>
        <v>0</v>
      </c>
      <c r="N12" s="215">
        <f t="shared" si="26"/>
        <v>0</v>
      </c>
      <c r="O12" s="215">
        <f t="shared" si="26"/>
        <v>0</v>
      </c>
      <c r="P12" s="215">
        <f t="shared" si="26"/>
        <v>0</v>
      </c>
      <c r="Q12" s="215">
        <f t="shared" si="26"/>
        <v>0</v>
      </c>
      <c r="R12" s="215">
        <f t="shared" si="26"/>
        <v>0</v>
      </c>
      <c r="S12" s="215">
        <f t="shared" si="26"/>
        <v>0</v>
      </c>
      <c r="T12" s="215">
        <f t="shared" si="26"/>
        <v>0</v>
      </c>
      <c r="U12" s="215">
        <f t="shared" si="26"/>
        <v>0</v>
      </c>
      <c r="V12" s="215">
        <f t="shared" si="26"/>
        <v>0</v>
      </c>
      <c r="W12" s="215">
        <f t="shared" si="26"/>
        <v>0</v>
      </c>
      <c r="X12" s="215">
        <f t="shared" si="26"/>
        <v>0</v>
      </c>
      <c r="Y12" s="215">
        <f t="shared" si="26"/>
        <v>0</v>
      </c>
      <c r="Z12" s="215">
        <f t="shared" si="26"/>
        <v>0</v>
      </c>
      <c r="AA12" s="215">
        <f t="shared" si="26"/>
        <v>0</v>
      </c>
      <c r="AB12" s="215">
        <f t="shared" si="26"/>
        <v>0</v>
      </c>
      <c r="AC12" s="215">
        <f t="shared" si="26"/>
        <v>0</v>
      </c>
      <c r="AD12" s="215">
        <f t="shared" si="26"/>
        <v>0</v>
      </c>
      <c r="AE12" s="215">
        <f t="shared" si="26"/>
        <v>0</v>
      </c>
      <c r="AF12" s="215">
        <f t="shared" si="26"/>
        <v>0</v>
      </c>
      <c r="AG12" s="215">
        <f t="shared" si="26"/>
        <v>0</v>
      </c>
      <c r="AH12" s="215">
        <f t="shared" si="26"/>
        <v>0</v>
      </c>
      <c r="AI12" s="215">
        <f t="shared" si="26"/>
        <v>0</v>
      </c>
      <c r="AJ12" s="215">
        <f t="shared" si="26"/>
        <v>0</v>
      </c>
      <c r="AK12" s="215">
        <f t="shared" si="26"/>
        <v>33961</v>
      </c>
      <c r="AL12" s="215">
        <f t="shared" si="26"/>
        <v>58409.91</v>
      </c>
      <c r="AM12" s="215">
        <f t="shared" si="26"/>
        <v>112806.78</v>
      </c>
      <c r="AN12" s="215">
        <f t="shared" si="26"/>
        <v>112806.78</v>
      </c>
      <c r="AO12" s="215">
        <f t="shared" si="26"/>
        <v>112806.78</v>
      </c>
      <c r="AP12" s="215">
        <f t="shared" si="26"/>
        <v>189234.78</v>
      </c>
      <c r="AQ12" s="215">
        <f t="shared" si="26"/>
        <v>190209.78</v>
      </c>
      <c r="AR12" s="215">
        <f t="shared" si="26"/>
        <v>300229.88</v>
      </c>
      <c r="AS12" s="215">
        <f t="shared" si="26"/>
        <v>532132.56000000006</v>
      </c>
      <c r="AT12" s="215">
        <f t="shared" si="26"/>
        <v>661361.67000000004</v>
      </c>
      <c r="AU12" s="215">
        <f t="shared" si="26"/>
        <v>661361.67000000004</v>
      </c>
      <c r="AV12" s="215">
        <f t="shared" si="26"/>
        <v>661361.67000000004</v>
      </c>
      <c r="AW12" s="215">
        <f t="shared" si="26"/>
        <v>661361.67000000004</v>
      </c>
      <c r="AX12" s="215">
        <f t="shared" si="26"/>
        <v>680778.23999999999</v>
      </c>
      <c r="AY12" s="215">
        <f t="shared" si="26"/>
        <v>683937.29</v>
      </c>
      <c r="AZ12" s="215">
        <f t="shared" si="26"/>
        <v>683937.29</v>
      </c>
      <c r="BA12" s="215">
        <f t="shared" si="26"/>
        <v>683937.29</v>
      </c>
      <c r="BB12" s="215">
        <f t="shared" si="26"/>
        <v>683937.29</v>
      </c>
      <c r="BC12" s="215">
        <f t="shared" si="26"/>
        <v>684235.53</v>
      </c>
      <c r="BD12" s="215">
        <f t="shared" si="26"/>
        <v>684585.53</v>
      </c>
      <c r="BE12" s="215">
        <f t="shared" si="26"/>
        <v>701903.45000000007</v>
      </c>
      <c r="BF12" s="215">
        <f t="shared" si="26"/>
        <v>701903.45000000007</v>
      </c>
      <c r="BG12" s="215">
        <f t="shared" si="26"/>
        <v>714478.45000000007</v>
      </c>
      <c r="BH12" s="215">
        <f t="shared" si="26"/>
        <v>714478.45000000007</v>
      </c>
      <c r="BI12" s="215">
        <f t="shared" si="26"/>
        <v>714478.45000000007</v>
      </c>
      <c r="BJ12" s="215">
        <f t="shared" si="26"/>
        <v>770507.27</v>
      </c>
      <c r="BK12" s="215">
        <f t="shared" si="26"/>
        <v>770507.27</v>
      </c>
      <c r="BL12" s="215">
        <f t="shared" si="26"/>
        <v>770507.27</v>
      </c>
      <c r="BM12" s="215">
        <f t="shared" si="26"/>
        <v>770507.27</v>
      </c>
      <c r="BN12" s="215">
        <f t="shared" si="26"/>
        <v>770507.27</v>
      </c>
      <c r="BO12" s="215">
        <f t="shared" si="26"/>
        <v>770507.27</v>
      </c>
      <c r="BP12" s="215">
        <f t="shared" si="26"/>
        <v>770507.27</v>
      </c>
      <c r="BQ12" s="215">
        <f t="shared" si="26"/>
        <v>770507.27</v>
      </c>
      <c r="BR12" s="215">
        <f t="shared" si="26"/>
        <v>770507.27</v>
      </c>
      <c r="BS12" s="215">
        <f t="shared" si="26"/>
        <v>770507.27</v>
      </c>
      <c r="BT12" s="215">
        <f t="shared" si="26"/>
        <v>770507.27</v>
      </c>
      <c r="BU12" s="215">
        <f t="shared" ref="BU12:EF12" si="27">BT12+BU11</f>
        <v>770507.27</v>
      </c>
      <c r="BV12" s="215">
        <f t="shared" si="27"/>
        <v>770507.27</v>
      </c>
      <c r="BW12" s="215">
        <f t="shared" si="27"/>
        <v>770507.27</v>
      </c>
      <c r="BX12" s="215">
        <f t="shared" si="27"/>
        <v>770507.27</v>
      </c>
      <c r="BY12" s="215">
        <f t="shared" si="27"/>
        <v>770507.27</v>
      </c>
      <c r="BZ12" s="215">
        <f t="shared" si="27"/>
        <v>770507.27</v>
      </c>
      <c r="CA12" s="215">
        <f t="shared" si="27"/>
        <v>770507.27</v>
      </c>
      <c r="CB12" s="215">
        <f t="shared" si="27"/>
        <v>770507.27</v>
      </c>
      <c r="CC12" s="215">
        <f t="shared" si="27"/>
        <v>770507.27</v>
      </c>
      <c r="CD12" s="215">
        <f t="shared" si="27"/>
        <v>770507.27</v>
      </c>
      <c r="CE12" s="215">
        <f t="shared" si="27"/>
        <v>770507.27</v>
      </c>
      <c r="CF12" s="215">
        <f t="shared" si="27"/>
        <v>770507.27</v>
      </c>
      <c r="CG12" s="215">
        <f t="shared" si="27"/>
        <v>770507.27</v>
      </c>
      <c r="CH12" s="215">
        <f t="shared" si="27"/>
        <v>770507.27</v>
      </c>
      <c r="CI12" s="215">
        <f t="shared" si="27"/>
        <v>770507.27</v>
      </c>
      <c r="CJ12" s="215">
        <f t="shared" si="27"/>
        <v>770507.27</v>
      </c>
      <c r="CK12" s="215">
        <f t="shared" si="27"/>
        <v>770507.27</v>
      </c>
      <c r="CL12" s="215">
        <f t="shared" si="27"/>
        <v>770507.27</v>
      </c>
      <c r="CM12" s="215">
        <f t="shared" si="27"/>
        <v>770507.27</v>
      </c>
      <c r="CN12" s="215">
        <f t="shared" si="27"/>
        <v>770507.27</v>
      </c>
      <c r="CO12" s="215">
        <f t="shared" si="27"/>
        <v>770507.27</v>
      </c>
      <c r="CP12" s="215">
        <f t="shared" si="27"/>
        <v>770507.27</v>
      </c>
      <c r="CQ12" s="215">
        <f t="shared" si="27"/>
        <v>770507.27</v>
      </c>
      <c r="CR12" s="215">
        <f t="shared" si="27"/>
        <v>770507.27</v>
      </c>
      <c r="CS12" s="215">
        <f t="shared" si="27"/>
        <v>770507.27</v>
      </c>
      <c r="CT12" s="215">
        <f t="shared" si="27"/>
        <v>770507.27</v>
      </c>
      <c r="CU12" s="215">
        <f t="shared" si="27"/>
        <v>770507.27</v>
      </c>
      <c r="CV12" s="215">
        <f t="shared" si="27"/>
        <v>770507.27</v>
      </c>
      <c r="CW12" s="215">
        <f t="shared" si="27"/>
        <v>770507.27</v>
      </c>
      <c r="CX12" s="215">
        <f t="shared" si="27"/>
        <v>770507.27</v>
      </c>
      <c r="CY12" s="215">
        <f t="shared" si="27"/>
        <v>770507.27</v>
      </c>
      <c r="CZ12" s="215">
        <f t="shared" si="27"/>
        <v>770507.27</v>
      </c>
      <c r="DA12" s="215">
        <f t="shared" si="27"/>
        <v>770507.27</v>
      </c>
      <c r="DB12" s="215">
        <f t="shared" si="27"/>
        <v>770507.27</v>
      </c>
      <c r="DC12" s="215">
        <f t="shared" si="27"/>
        <v>770507.27</v>
      </c>
      <c r="DD12" s="215">
        <f t="shared" si="27"/>
        <v>770507.27</v>
      </c>
      <c r="DE12" s="215">
        <f t="shared" si="27"/>
        <v>770507.27</v>
      </c>
      <c r="DF12" s="215">
        <f t="shared" si="27"/>
        <v>770507.27</v>
      </c>
      <c r="DG12" s="215">
        <f t="shared" si="27"/>
        <v>770507.27</v>
      </c>
      <c r="DH12" s="215">
        <f t="shared" si="27"/>
        <v>770507.27</v>
      </c>
      <c r="DI12" s="215">
        <f t="shared" si="27"/>
        <v>770507.27</v>
      </c>
      <c r="DJ12" s="215">
        <f t="shared" si="27"/>
        <v>770507.27</v>
      </c>
      <c r="DK12" s="215">
        <f t="shared" si="27"/>
        <v>770507.27</v>
      </c>
      <c r="DL12" s="215">
        <f t="shared" si="27"/>
        <v>770507.27</v>
      </c>
      <c r="DM12" s="215">
        <f t="shared" si="27"/>
        <v>770507.27</v>
      </c>
      <c r="DN12" s="215">
        <f t="shared" si="27"/>
        <v>770507.27</v>
      </c>
      <c r="DO12" s="215">
        <f t="shared" si="27"/>
        <v>770507.27</v>
      </c>
      <c r="DP12" s="215">
        <f t="shared" si="27"/>
        <v>770507.27</v>
      </c>
      <c r="DQ12" s="215">
        <f t="shared" si="27"/>
        <v>770507.27</v>
      </c>
      <c r="DR12" s="215">
        <f t="shared" si="27"/>
        <v>770507.27</v>
      </c>
      <c r="DS12" s="215">
        <f t="shared" si="27"/>
        <v>770507.27</v>
      </c>
      <c r="DT12" s="215">
        <f t="shared" si="27"/>
        <v>770507.27</v>
      </c>
      <c r="DU12" s="215">
        <f t="shared" si="27"/>
        <v>770507.27</v>
      </c>
      <c r="DV12" s="215">
        <f t="shared" si="27"/>
        <v>770507.27</v>
      </c>
      <c r="DW12" s="215">
        <f t="shared" si="27"/>
        <v>770507.27</v>
      </c>
      <c r="DX12" s="215">
        <f t="shared" si="27"/>
        <v>770507.27</v>
      </c>
      <c r="DY12" s="215">
        <f t="shared" si="27"/>
        <v>770507.27</v>
      </c>
      <c r="DZ12" s="215">
        <f t="shared" si="27"/>
        <v>770507.27</v>
      </c>
      <c r="EA12" s="215">
        <f t="shared" si="27"/>
        <v>770507.27</v>
      </c>
      <c r="EB12" s="215">
        <f t="shared" si="27"/>
        <v>770507.27</v>
      </c>
      <c r="EC12" s="215">
        <f t="shared" si="27"/>
        <v>770507.27</v>
      </c>
      <c r="ED12" s="215">
        <f t="shared" si="27"/>
        <v>770507.27</v>
      </c>
      <c r="EE12" s="215">
        <f t="shared" si="27"/>
        <v>770507.27</v>
      </c>
      <c r="EF12" s="215">
        <f t="shared" si="27"/>
        <v>770507.27</v>
      </c>
      <c r="EG12" s="215">
        <f t="shared" ref="EG12:GR12" si="28">EF12+EG11</f>
        <v>770507.27</v>
      </c>
      <c r="EH12" s="215">
        <f t="shared" si="28"/>
        <v>770507.27</v>
      </c>
      <c r="EI12" s="215">
        <f t="shared" si="28"/>
        <v>770507.27</v>
      </c>
      <c r="EJ12" s="215">
        <f t="shared" si="28"/>
        <v>770507.27</v>
      </c>
      <c r="EK12" s="215">
        <f t="shared" si="28"/>
        <v>770507.27</v>
      </c>
      <c r="EL12" s="215">
        <f t="shared" si="28"/>
        <v>770507.27</v>
      </c>
      <c r="EM12" s="215">
        <f t="shared" si="28"/>
        <v>770507.27</v>
      </c>
      <c r="EN12" s="215">
        <f t="shared" si="28"/>
        <v>770507.27</v>
      </c>
      <c r="EO12" s="215">
        <f t="shared" si="28"/>
        <v>770507.27</v>
      </c>
      <c r="EP12" s="215">
        <f t="shared" si="28"/>
        <v>770507.27</v>
      </c>
      <c r="EQ12" s="215">
        <f t="shared" si="28"/>
        <v>770507.27</v>
      </c>
      <c r="ER12" s="215">
        <f t="shared" si="28"/>
        <v>770507.27</v>
      </c>
      <c r="ES12" s="215">
        <f t="shared" si="28"/>
        <v>770507.27</v>
      </c>
      <c r="ET12" s="215">
        <f t="shared" si="28"/>
        <v>770507.27</v>
      </c>
      <c r="EU12" s="215">
        <f t="shared" si="28"/>
        <v>770507.27</v>
      </c>
      <c r="EV12" s="215">
        <f t="shared" si="28"/>
        <v>770507.27</v>
      </c>
      <c r="EW12" s="215">
        <f t="shared" si="28"/>
        <v>770507.27</v>
      </c>
      <c r="EX12" s="215">
        <f t="shared" si="28"/>
        <v>770507.27</v>
      </c>
      <c r="EY12" s="215">
        <f t="shared" si="28"/>
        <v>770507.27</v>
      </c>
      <c r="EZ12" s="215">
        <f t="shared" si="28"/>
        <v>770507.27</v>
      </c>
      <c r="FA12" s="215">
        <f t="shared" si="28"/>
        <v>770507.27</v>
      </c>
      <c r="FB12" s="215">
        <f t="shared" si="28"/>
        <v>770507.27</v>
      </c>
      <c r="FC12" s="215">
        <f t="shared" si="28"/>
        <v>770507.27</v>
      </c>
      <c r="FD12" s="215">
        <f t="shared" si="28"/>
        <v>770507.27</v>
      </c>
      <c r="FE12" s="215">
        <f t="shared" si="28"/>
        <v>770507.27</v>
      </c>
      <c r="FF12" s="215">
        <f t="shared" si="28"/>
        <v>770507.27</v>
      </c>
      <c r="FG12" s="215">
        <f t="shared" si="28"/>
        <v>770507.27</v>
      </c>
      <c r="FH12" s="215">
        <f t="shared" si="28"/>
        <v>770507.27</v>
      </c>
      <c r="FI12" s="215">
        <f t="shared" si="28"/>
        <v>770507.27</v>
      </c>
      <c r="FJ12" s="215">
        <f t="shared" si="28"/>
        <v>770507.27</v>
      </c>
      <c r="FK12" s="215">
        <f t="shared" si="28"/>
        <v>770507.27</v>
      </c>
      <c r="FL12" s="215">
        <f t="shared" si="28"/>
        <v>770507.27</v>
      </c>
      <c r="FM12" s="215">
        <f t="shared" si="28"/>
        <v>770507.27</v>
      </c>
      <c r="FN12" s="215">
        <f t="shared" si="28"/>
        <v>770507.27</v>
      </c>
      <c r="FO12" s="215">
        <f t="shared" si="28"/>
        <v>770507.27</v>
      </c>
      <c r="FP12" s="215">
        <f t="shared" si="28"/>
        <v>770507.27</v>
      </c>
      <c r="FQ12" s="215">
        <f t="shared" si="28"/>
        <v>770507.27</v>
      </c>
      <c r="FR12" s="215">
        <f t="shared" si="28"/>
        <v>770507.27</v>
      </c>
      <c r="FS12" s="215">
        <f t="shared" si="28"/>
        <v>770507.27</v>
      </c>
      <c r="FT12" s="215">
        <f t="shared" si="28"/>
        <v>770507.27</v>
      </c>
      <c r="FU12" s="215">
        <f t="shared" si="28"/>
        <v>770507.27</v>
      </c>
      <c r="FV12" s="215">
        <f t="shared" si="28"/>
        <v>770507.27</v>
      </c>
      <c r="FW12" s="215">
        <f t="shared" si="28"/>
        <v>770507.27</v>
      </c>
      <c r="FX12" s="215">
        <f t="shared" si="28"/>
        <v>770507.27</v>
      </c>
      <c r="FY12" s="215">
        <f t="shared" si="28"/>
        <v>770507.27</v>
      </c>
      <c r="FZ12" s="215">
        <f t="shared" si="28"/>
        <v>770507.27</v>
      </c>
      <c r="GA12" s="215">
        <f t="shared" si="28"/>
        <v>770507.27</v>
      </c>
      <c r="GB12" s="215">
        <f t="shared" si="28"/>
        <v>770507.27</v>
      </c>
      <c r="GC12" s="215">
        <f t="shared" si="28"/>
        <v>770507.27</v>
      </c>
      <c r="GD12" s="215">
        <f t="shared" si="28"/>
        <v>770507.27</v>
      </c>
      <c r="GE12" s="215">
        <f t="shared" si="28"/>
        <v>770507.27</v>
      </c>
      <c r="GF12" s="215">
        <f t="shared" si="28"/>
        <v>770507.27</v>
      </c>
      <c r="GG12" s="215">
        <f t="shared" si="28"/>
        <v>770507.27</v>
      </c>
      <c r="GH12" s="215">
        <f t="shared" si="28"/>
        <v>770507.27</v>
      </c>
      <c r="GI12" s="215">
        <f t="shared" si="28"/>
        <v>770507.27</v>
      </c>
      <c r="GJ12" s="215">
        <f t="shared" si="28"/>
        <v>770507.27</v>
      </c>
      <c r="GK12" s="215">
        <f t="shared" si="28"/>
        <v>770507.27</v>
      </c>
      <c r="GL12" s="215">
        <f t="shared" si="28"/>
        <v>770507.27</v>
      </c>
      <c r="GM12" s="215">
        <f t="shared" si="28"/>
        <v>770507.27</v>
      </c>
      <c r="GN12" s="215">
        <f t="shared" si="28"/>
        <v>770507.27</v>
      </c>
      <c r="GO12" s="215">
        <f t="shared" si="28"/>
        <v>770507.27</v>
      </c>
      <c r="GP12" s="215">
        <f t="shared" si="28"/>
        <v>770507.27</v>
      </c>
      <c r="GQ12" s="215">
        <f t="shared" si="28"/>
        <v>770507.27</v>
      </c>
      <c r="GR12" s="215">
        <f t="shared" si="28"/>
        <v>770507.27</v>
      </c>
      <c r="GS12" s="215">
        <f t="shared" ref="GS12:JD12" si="29">GR12+GS11</f>
        <v>770507.27</v>
      </c>
      <c r="GT12" s="215">
        <f t="shared" si="29"/>
        <v>770507.27</v>
      </c>
      <c r="GU12" s="215">
        <f t="shared" si="29"/>
        <v>770507.27</v>
      </c>
      <c r="GV12" s="215">
        <f t="shared" si="29"/>
        <v>770507.27</v>
      </c>
      <c r="GW12" s="215">
        <f t="shared" si="29"/>
        <v>770507.27</v>
      </c>
      <c r="GX12" s="215">
        <f t="shared" si="29"/>
        <v>770507.27</v>
      </c>
      <c r="GY12" s="215">
        <f t="shared" si="29"/>
        <v>770507.27</v>
      </c>
      <c r="GZ12" s="215">
        <f t="shared" si="29"/>
        <v>770507.27</v>
      </c>
      <c r="HA12" s="215">
        <f t="shared" si="29"/>
        <v>770507.27</v>
      </c>
      <c r="HB12" s="215">
        <f t="shared" si="29"/>
        <v>770507.27</v>
      </c>
      <c r="HC12" s="215">
        <f t="shared" si="29"/>
        <v>770507.27</v>
      </c>
      <c r="HD12" s="215">
        <f t="shared" si="29"/>
        <v>770507.27</v>
      </c>
      <c r="HE12" s="215">
        <f t="shared" si="29"/>
        <v>770507.27</v>
      </c>
      <c r="HF12" s="215">
        <f t="shared" si="29"/>
        <v>770507.27</v>
      </c>
      <c r="HG12" s="215">
        <f t="shared" si="29"/>
        <v>770507.27</v>
      </c>
      <c r="HH12" s="215">
        <f t="shared" si="29"/>
        <v>770507.27</v>
      </c>
      <c r="HI12" s="215">
        <f t="shared" si="29"/>
        <v>770507.27</v>
      </c>
      <c r="HJ12" s="215">
        <f t="shared" si="29"/>
        <v>770507.27</v>
      </c>
      <c r="HK12" s="215">
        <f t="shared" si="29"/>
        <v>770507.27</v>
      </c>
      <c r="HL12" s="215">
        <f t="shared" si="29"/>
        <v>770507.27</v>
      </c>
      <c r="HM12" s="215">
        <f t="shared" si="29"/>
        <v>770507.27</v>
      </c>
      <c r="HN12" s="215">
        <f t="shared" si="29"/>
        <v>770507.27</v>
      </c>
      <c r="HO12" s="215">
        <f t="shared" si="29"/>
        <v>770507.27</v>
      </c>
      <c r="HP12" s="215">
        <f t="shared" si="29"/>
        <v>770507.27</v>
      </c>
      <c r="HQ12" s="215">
        <f t="shared" si="29"/>
        <v>770507.27</v>
      </c>
      <c r="HR12" s="215">
        <f t="shared" si="29"/>
        <v>770507.27</v>
      </c>
      <c r="HS12" s="215">
        <f t="shared" si="29"/>
        <v>770507.27</v>
      </c>
      <c r="HT12" s="215">
        <f t="shared" si="29"/>
        <v>770507.27</v>
      </c>
      <c r="HU12" s="215">
        <f t="shared" si="29"/>
        <v>770507.27</v>
      </c>
      <c r="HV12" s="215">
        <f t="shared" si="29"/>
        <v>770507.27</v>
      </c>
      <c r="HW12" s="215">
        <f t="shared" si="29"/>
        <v>770507.27</v>
      </c>
      <c r="HX12" s="215">
        <f t="shared" si="29"/>
        <v>770507.27</v>
      </c>
      <c r="HY12" s="215">
        <f t="shared" si="29"/>
        <v>770507.27</v>
      </c>
      <c r="HZ12" s="215">
        <f t="shared" si="29"/>
        <v>770507.27</v>
      </c>
      <c r="IA12" s="215">
        <f t="shared" si="29"/>
        <v>770507.27</v>
      </c>
      <c r="IB12" s="215">
        <f t="shared" si="29"/>
        <v>770507.27</v>
      </c>
      <c r="IC12" s="215">
        <f t="shared" si="29"/>
        <v>770507.27</v>
      </c>
      <c r="ID12" s="215">
        <f t="shared" si="29"/>
        <v>770507.27</v>
      </c>
      <c r="IE12" s="215">
        <f t="shared" si="29"/>
        <v>770507.27</v>
      </c>
      <c r="IF12" s="215">
        <f t="shared" si="29"/>
        <v>770507.27</v>
      </c>
      <c r="IG12" s="215">
        <f t="shared" si="29"/>
        <v>770507.27</v>
      </c>
      <c r="IH12" s="215">
        <f t="shared" si="29"/>
        <v>770507.27</v>
      </c>
      <c r="II12" s="215">
        <f t="shared" si="29"/>
        <v>770507.27</v>
      </c>
      <c r="IJ12" s="215">
        <f t="shared" si="29"/>
        <v>770507.27</v>
      </c>
      <c r="IK12" s="215">
        <f t="shared" si="29"/>
        <v>770507.27</v>
      </c>
      <c r="IL12" s="215">
        <f t="shared" si="29"/>
        <v>770507.27</v>
      </c>
      <c r="IM12" s="215">
        <f t="shared" si="29"/>
        <v>770507.27</v>
      </c>
      <c r="IN12" s="215">
        <f t="shared" si="29"/>
        <v>770507.27</v>
      </c>
      <c r="IO12" s="215">
        <f t="shared" si="29"/>
        <v>770507.27</v>
      </c>
      <c r="IP12" s="215">
        <f t="shared" si="29"/>
        <v>770507.27</v>
      </c>
      <c r="IQ12" s="215">
        <f t="shared" si="29"/>
        <v>770507.27</v>
      </c>
      <c r="IR12" s="215">
        <f t="shared" si="29"/>
        <v>770507.27</v>
      </c>
      <c r="IS12" s="215">
        <f t="shared" si="29"/>
        <v>770507.27</v>
      </c>
      <c r="IT12" s="215">
        <f t="shared" si="29"/>
        <v>770507.27</v>
      </c>
      <c r="IU12" s="215">
        <f t="shared" si="29"/>
        <v>770507.27</v>
      </c>
      <c r="IV12" s="215">
        <f t="shared" si="29"/>
        <v>770507.27</v>
      </c>
      <c r="IW12" s="215">
        <f t="shared" si="29"/>
        <v>770507.27</v>
      </c>
      <c r="IX12" s="215">
        <f t="shared" si="29"/>
        <v>770507.27</v>
      </c>
      <c r="IY12" s="215">
        <f t="shared" si="29"/>
        <v>770507.27</v>
      </c>
      <c r="IZ12" s="215">
        <f t="shared" si="29"/>
        <v>770507.27</v>
      </c>
      <c r="JA12" s="215">
        <f t="shared" si="29"/>
        <v>770507.27</v>
      </c>
      <c r="JB12" s="215">
        <f t="shared" si="29"/>
        <v>770507.27</v>
      </c>
      <c r="JC12" s="215">
        <f t="shared" si="29"/>
        <v>770507.27</v>
      </c>
      <c r="JD12" s="215">
        <f t="shared" si="29"/>
        <v>770507.27</v>
      </c>
      <c r="JE12" s="215">
        <f t="shared" ref="JE12:LD12" si="30">JD12+JE11</f>
        <v>770507.27</v>
      </c>
      <c r="JF12" s="215">
        <f t="shared" si="30"/>
        <v>770507.27</v>
      </c>
      <c r="JG12" s="215">
        <f t="shared" si="30"/>
        <v>770507.27</v>
      </c>
      <c r="JH12" s="215">
        <f t="shared" si="30"/>
        <v>770507.27</v>
      </c>
      <c r="JI12" s="215">
        <f t="shared" si="30"/>
        <v>770507.27</v>
      </c>
      <c r="JJ12" s="215">
        <f t="shared" si="30"/>
        <v>770507.27</v>
      </c>
      <c r="JK12" s="215">
        <f t="shared" si="30"/>
        <v>770507.27</v>
      </c>
      <c r="JL12" s="215">
        <f t="shared" si="30"/>
        <v>770507.27</v>
      </c>
      <c r="JM12" s="215">
        <f t="shared" si="30"/>
        <v>770507.27</v>
      </c>
      <c r="JN12" s="215">
        <f t="shared" si="30"/>
        <v>770507.27</v>
      </c>
      <c r="JO12" s="215">
        <f t="shared" si="30"/>
        <v>770507.27</v>
      </c>
      <c r="JP12" s="215">
        <f t="shared" si="30"/>
        <v>770507.27</v>
      </c>
      <c r="JQ12" s="215">
        <f t="shared" si="30"/>
        <v>770507.27</v>
      </c>
      <c r="JR12" s="215">
        <f t="shared" si="30"/>
        <v>770507.27</v>
      </c>
      <c r="JS12" s="215">
        <f t="shared" si="30"/>
        <v>770507.27</v>
      </c>
      <c r="JT12" s="215">
        <f t="shared" si="30"/>
        <v>770507.27</v>
      </c>
      <c r="JU12" s="215">
        <f t="shared" si="30"/>
        <v>770507.27</v>
      </c>
      <c r="JV12" s="215">
        <f t="shared" si="30"/>
        <v>770507.27</v>
      </c>
      <c r="JW12" s="215">
        <f t="shared" si="30"/>
        <v>770507.27</v>
      </c>
      <c r="JX12" s="215">
        <f t="shared" si="30"/>
        <v>770507.27</v>
      </c>
      <c r="JY12" s="215">
        <f t="shared" si="30"/>
        <v>770507.27</v>
      </c>
      <c r="JZ12" s="215">
        <f t="shared" si="30"/>
        <v>770507.27</v>
      </c>
      <c r="KA12" s="215">
        <f t="shared" si="30"/>
        <v>770507.27</v>
      </c>
      <c r="KB12" s="215">
        <f t="shared" si="30"/>
        <v>770507.27</v>
      </c>
      <c r="KC12" s="215">
        <f t="shared" si="30"/>
        <v>770507.27</v>
      </c>
      <c r="KD12" s="215">
        <f t="shared" si="30"/>
        <v>770507.27</v>
      </c>
      <c r="KE12" s="215">
        <f t="shared" si="30"/>
        <v>770507.27</v>
      </c>
      <c r="KF12" s="215">
        <f t="shared" si="30"/>
        <v>770507.27</v>
      </c>
      <c r="KG12" s="215">
        <f t="shared" si="30"/>
        <v>770507.27</v>
      </c>
      <c r="KH12" s="215">
        <f t="shared" si="30"/>
        <v>770507.27</v>
      </c>
      <c r="KI12" s="215">
        <f t="shared" si="30"/>
        <v>770507.27</v>
      </c>
      <c r="KJ12" s="215">
        <f t="shared" si="30"/>
        <v>770507.27</v>
      </c>
      <c r="KK12" s="215">
        <f t="shared" si="30"/>
        <v>770507.27</v>
      </c>
      <c r="KL12" s="215">
        <f t="shared" si="30"/>
        <v>770507.27</v>
      </c>
      <c r="KM12" s="215">
        <f t="shared" si="30"/>
        <v>770507.27</v>
      </c>
      <c r="KN12" s="215">
        <f t="shared" si="30"/>
        <v>770507.27</v>
      </c>
      <c r="KO12" s="215">
        <f t="shared" si="30"/>
        <v>770507.27</v>
      </c>
      <c r="KP12" s="215">
        <f t="shared" si="30"/>
        <v>770507.27</v>
      </c>
      <c r="KQ12" s="215">
        <f t="shared" si="30"/>
        <v>770507.27</v>
      </c>
      <c r="KR12" s="215">
        <f t="shared" si="30"/>
        <v>770507.27</v>
      </c>
      <c r="KS12" s="215">
        <f t="shared" si="30"/>
        <v>770507.27</v>
      </c>
      <c r="KT12" s="215">
        <f t="shared" si="30"/>
        <v>770507.27</v>
      </c>
      <c r="KU12" s="215">
        <f t="shared" si="30"/>
        <v>770507.27</v>
      </c>
      <c r="KV12" s="215">
        <f t="shared" si="30"/>
        <v>770507.27</v>
      </c>
      <c r="KW12" s="215">
        <f t="shared" si="30"/>
        <v>770507.27</v>
      </c>
      <c r="KX12" s="215">
        <f t="shared" si="30"/>
        <v>770507.27</v>
      </c>
      <c r="KY12" s="215">
        <f t="shared" si="30"/>
        <v>770507.27</v>
      </c>
      <c r="KZ12" s="215">
        <f t="shared" si="30"/>
        <v>770507.27</v>
      </c>
      <c r="LA12" s="215">
        <f t="shared" si="30"/>
        <v>770507.27</v>
      </c>
      <c r="LB12" s="215">
        <f t="shared" si="30"/>
        <v>770507.27</v>
      </c>
      <c r="LC12" s="215">
        <f t="shared" si="30"/>
        <v>770507.27</v>
      </c>
      <c r="LD12" s="215">
        <f t="shared" si="30"/>
        <v>770507.27</v>
      </c>
      <c r="LE12" s="192"/>
      <c r="LF12" s="203"/>
    </row>
    <row r="13" spans="1:794" s="192" customFormat="1">
      <c r="A13" s="809"/>
      <c r="E13" s="198"/>
      <c r="F13" s="209"/>
      <c r="G13" s="209"/>
      <c r="H13" s="209"/>
      <c r="I13" s="209"/>
      <c r="J13" s="209"/>
      <c r="K13" s="209"/>
      <c r="L13" s="209"/>
      <c r="M13" s="209"/>
      <c r="N13" s="209"/>
      <c r="O13" s="209"/>
      <c r="P13" s="209"/>
      <c r="Q13" s="209"/>
      <c r="R13" s="209"/>
      <c r="S13" s="209"/>
      <c r="T13" s="209"/>
      <c r="U13" s="209"/>
      <c r="V13" s="209"/>
      <c r="W13" s="209"/>
      <c r="X13" s="209"/>
      <c r="Y13" s="209"/>
      <c r="Z13" s="209"/>
      <c r="AA13" s="209"/>
      <c r="AB13" s="209"/>
      <c r="AC13" s="209"/>
      <c r="AD13" s="209"/>
      <c r="AE13" s="209"/>
      <c r="AF13" s="209"/>
      <c r="AG13" s="209"/>
      <c r="AH13" s="209"/>
      <c r="AI13" s="209"/>
      <c r="AJ13" s="209"/>
      <c r="AK13" s="209"/>
      <c r="AL13" s="209"/>
      <c r="AM13" s="209"/>
      <c r="AN13" s="209"/>
      <c r="AO13" s="209"/>
      <c r="AP13" s="209"/>
      <c r="AQ13" s="209"/>
      <c r="AR13" s="209"/>
      <c r="AS13" s="209"/>
      <c r="AT13" s="209"/>
      <c r="AU13" s="209"/>
      <c r="AV13" s="209"/>
      <c r="AW13" s="209"/>
      <c r="AX13" s="209"/>
      <c r="AY13" s="209"/>
      <c r="AZ13" s="209"/>
      <c r="BA13" s="209"/>
      <c r="BB13" s="209"/>
      <c r="BC13" s="209"/>
      <c r="BD13" s="209"/>
      <c r="BE13" s="209"/>
      <c r="BF13" s="209"/>
      <c r="BG13" s="209"/>
      <c r="BH13" s="209"/>
      <c r="BI13" s="209"/>
      <c r="BJ13" s="209"/>
      <c r="BK13" s="209"/>
      <c r="BL13" s="209"/>
      <c r="BM13" s="209"/>
      <c r="BN13" s="209"/>
      <c r="BO13" s="209"/>
      <c r="BP13" s="209"/>
      <c r="BQ13" s="209"/>
      <c r="BR13" s="209"/>
      <c r="BS13" s="209"/>
      <c r="BT13" s="209"/>
      <c r="BU13" s="209"/>
      <c r="BV13" s="209"/>
      <c r="BW13" s="209"/>
      <c r="BX13" s="209"/>
      <c r="BY13" s="209"/>
      <c r="BZ13" s="209"/>
      <c r="CA13" s="209"/>
      <c r="CB13" s="209"/>
      <c r="CC13" s="209"/>
      <c r="CD13" s="209"/>
      <c r="CE13" s="209"/>
      <c r="CF13" s="209"/>
      <c r="CG13" s="209"/>
      <c r="CH13" s="209"/>
      <c r="CI13" s="209"/>
      <c r="CJ13" s="209"/>
      <c r="CK13" s="209"/>
      <c r="CL13" s="209"/>
      <c r="CM13" s="209"/>
      <c r="CN13" s="209"/>
      <c r="CO13" s="209"/>
      <c r="CP13" s="209"/>
      <c r="CQ13" s="209"/>
      <c r="CR13" s="209"/>
      <c r="CS13" s="209"/>
      <c r="CT13" s="209"/>
      <c r="CU13" s="209"/>
      <c r="CV13" s="209"/>
      <c r="CW13" s="209"/>
      <c r="CX13" s="209"/>
      <c r="CY13" s="209"/>
      <c r="CZ13" s="209"/>
      <c r="DA13" s="209"/>
      <c r="DB13" s="209"/>
      <c r="DC13" s="209"/>
      <c r="DD13" s="209"/>
      <c r="DE13" s="209"/>
      <c r="DF13" s="209"/>
      <c r="DG13" s="209"/>
      <c r="DH13" s="209"/>
      <c r="DI13" s="209"/>
      <c r="DJ13" s="209"/>
      <c r="DK13" s="209"/>
      <c r="DL13" s="209"/>
      <c r="DM13" s="209"/>
      <c r="DN13" s="209"/>
      <c r="DO13" s="209"/>
      <c r="DP13" s="209"/>
      <c r="DQ13" s="209"/>
      <c r="DR13" s="209"/>
      <c r="DS13" s="209"/>
      <c r="DT13" s="209"/>
      <c r="DU13" s="209"/>
      <c r="DV13" s="209"/>
      <c r="DW13" s="209"/>
      <c r="DX13" s="209"/>
      <c r="DY13" s="209"/>
      <c r="DZ13" s="209"/>
      <c r="EA13" s="209"/>
      <c r="EB13" s="209"/>
      <c r="EC13" s="209"/>
      <c r="ED13" s="209"/>
      <c r="EE13" s="209"/>
      <c r="EF13" s="209"/>
      <c r="EG13" s="209"/>
      <c r="EH13" s="209"/>
      <c r="EI13" s="209"/>
      <c r="EJ13" s="209"/>
      <c r="EK13" s="209"/>
      <c r="EL13" s="209"/>
      <c r="EM13" s="209"/>
      <c r="EN13" s="209"/>
      <c r="EO13" s="209"/>
      <c r="EP13" s="209"/>
      <c r="EQ13" s="209"/>
      <c r="ER13" s="209"/>
      <c r="ES13" s="209"/>
      <c r="ET13" s="209"/>
      <c r="EU13" s="209"/>
      <c r="EV13" s="209"/>
      <c r="EW13" s="209"/>
      <c r="EX13" s="209"/>
      <c r="EY13" s="209"/>
      <c r="EZ13" s="209"/>
      <c r="FA13" s="209"/>
      <c r="FB13" s="209"/>
      <c r="FC13" s="209"/>
      <c r="FD13" s="209"/>
      <c r="FE13" s="209"/>
      <c r="FF13" s="209"/>
      <c r="FG13" s="209"/>
      <c r="FH13" s="209"/>
      <c r="FI13" s="209"/>
      <c r="FJ13" s="209"/>
      <c r="FK13" s="209"/>
      <c r="FL13" s="209"/>
      <c r="FM13" s="209"/>
      <c r="FN13" s="209"/>
      <c r="FO13" s="209"/>
      <c r="FP13" s="209"/>
      <c r="FQ13" s="209"/>
      <c r="FR13" s="209"/>
      <c r="FS13" s="209"/>
      <c r="FT13" s="209"/>
      <c r="FU13" s="209"/>
      <c r="FV13" s="209"/>
      <c r="FW13" s="209"/>
      <c r="FX13" s="209"/>
      <c r="FY13" s="209"/>
      <c r="FZ13" s="209"/>
      <c r="GA13" s="209"/>
      <c r="GB13" s="209"/>
      <c r="GC13" s="209"/>
      <c r="GD13" s="209"/>
      <c r="GE13" s="209"/>
      <c r="GF13" s="209"/>
      <c r="GG13" s="209"/>
      <c r="GH13" s="209"/>
      <c r="GI13" s="209"/>
      <c r="GJ13" s="209"/>
      <c r="GK13" s="209"/>
      <c r="GL13" s="209"/>
      <c r="GM13" s="209"/>
      <c r="GN13" s="209"/>
      <c r="GO13" s="209"/>
      <c r="GP13" s="209"/>
      <c r="GQ13" s="209"/>
      <c r="GR13" s="209"/>
      <c r="GS13" s="209"/>
      <c r="GT13" s="209"/>
      <c r="GU13" s="209"/>
      <c r="GV13" s="209"/>
      <c r="GW13" s="209"/>
      <c r="GX13" s="209"/>
      <c r="GY13" s="209"/>
      <c r="GZ13" s="209"/>
      <c r="HA13" s="209"/>
      <c r="HB13" s="209"/>
      <c r="HC13" s="209"/>
      <c r="HD13" s="209"/>
      <c r="HE13" s="209"/>
      <c r="HF13" s="209"/>
      <c r="HG13" s="209"/>
      <c r="HH13" s="209"/>
      <c r="HI13" s="209"/>
      <c r="HJ13" s="209"/>
      <c r="HK13" s="209"/>
      <c r="HL13" s="209"/>
      <c r="HM13" s="209"/>
      <c r="HN13" s="209"/>
      <c r="HO13" s="209"/>
      <c r="HP13" s="209"/>
      <c r="HQ13" s="209"/>
      <c r="HR13" s="209"/>
      <c r="HS13" s="209"/>
      <c r="HT13" s="209"/>
      <c r="HU13" s="209"/>
      <c r="HV13" s="209"/>
      <c r="HW13" s="209"/>
      <c r="HX13" s="209"/>
      <c r="HY13" s="209"/>
      <c r="HZ13" s="209"/>
      <c r="IA13" s="209"/>
      <c r="IB13" s="209"/>
      <c r="IC13" s="209"/>
      <c r="ID13" s="209"/>
      <c r="IE13" s="209"/>
      <c r="IF13" s="209"/>
      <c r="IG13" s="209"/>
      <c r="IH13" s="209"/>
      <c r="II13" s="209"/>
      <c r="IJ13" s="209"/>
      <c r="IK13" s="209"/>
      <c r="IL13" s="209"/>
      <c r="IM13" s="209"/>
      <c r="IN13" s="209"/>
      <c r="IO13" s="209"/>
      <c r="IP13" s="209"/>
      <c r="IQ13" s="209"/>
      <c r="IR13" s="209"/>
      <c r="IS13" s="209"/>
      <c r="IT13" s="209"/>
      <c r="IU13" s="209"/>
      <c r="IV13" s="209"/>
      <c r="IW13" s="209"/>
      <c r="IX13" s="209"/>
      <c r="IY13" s="209"/>
      <c r="IZ13" s="209"/>
      <c r="JA13" s="209"/>
      <c r="JB13" s="209"/>
      <c r="JC13" s="209"/>
      <c r="JD13" s="209"/>
      <c r="JE13" s="209"/>
      <c r="JF13" s="209"/>
      <c r="JG13" s="209"/>
      <c r="JH13" s="209"/>
      <c r="JI13" s="209"/>
      <c r="JJ13" s="209"/>
      <c r="JK13" s="209"/>
      <c r="JL13" s="209"/>
      <c r="JM13" s="209"/>
      <c r="JN13" s="209"/>
      <c r="JO13" s="209"/>
      <c r="JP13" s="209"/>
      <c r="JQ13" s="209"/>
      <c r="JR13" s="209"/>
      <c r="JS13" s="209"/>
      <c r="JT13" s="209"/>
      <c r="JU13" s="209"/>
      <c r="JV13" s="209"/>
      <c r="JW13" s="209"/>
      <c r="JX13" s="209"/>
      <c r="JY13" s="209"/>
      <c r="JZ13" s="209"/>
      <c r="KA13" s="209"/>
      <c r="KB13" s="209"/>
      <c r="KC13" s="209"/>
      <c r="KD13" s="209"/>
      <c r="KE13" s="209"/>
      <c r="KF13" s="209"/>
      <c r="KG13" s="209"/>
      <c r="KH13" s="209"/>
      <c r="KI13" s="209"/>
      <c r="KJ13" s="209"/>
      <c r="KK13" s="209"/>
      <c r="KL13" s="209"/>
      <c r="KM13" s="209"/>
      <c r="KN13" s="209"/>
      <c r="KO13" s="209"/>
      <c r="KP13" s="209"/>
      <c r="KQ13" s="209"/>
      <c r="KR13" s="209"/>
      <c r="KS13" s="209"/>
      <c r="KT13" s="209"/>
      <c r="KU13" s="209"/>
      <c r="KV13" s="209"/>
      <c r="KW13" s="209"/>
      <c r="KX13" s="209"/>
      <c r="KY13" s="209"/>
      <c r="KZ13" s="209"/>
      <c r="LA13" s="209"/>
      <c r="LB13" s="209"/>
      <c r="LC13" s="209"/>
      <c r="LD13" s="209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5" t="s">
        <v>393</v>
      </c>
      <c r="C14" s="206"/>
      <c r="D14" s="206"/>
      <c r="E14" s="207"/>
      <c r="F14" s="208">
        <f t="shared" ref="F14:H14" si="31">F10-F12</f>
        <v>0</v>
      </c>
      <c r="G14" s="208">
        <f t="shared" si="31"/>
        <v>0</v>
      </c>
      <c r="H14" s="208">
        <f t="shared" si="31"/>
        <v>0</v>
      </c>
      <c r="I14" s="208">
        <f t="shared" ref="I14:BT14" si="32">I10-I12</f>
        <v>0</v>
      </c>
      <c r="J14" s="208">
        <f t="shared" si="32"/>
        <v>0</v>
      </c>
      <c r="K14" s="208">
        <f t="shared" si="32"/>
        <v>0</v>
      </c>
      <c r="L14" s="208">
        <f t="shared" si="32"/>
        <v>0</v>
      </c>
      <c r="M14" s="208">
        <f t="shared" si="32"/>
        <v>0</v>
      </c>
      <c r="N14" s="208">
        <f t="shared" si="32"/>
        <v>0</v>
      </c>
      <c r="O14" s="208">
        <f t="shared" si="32"/>
        <v>0</v>
      </c>
      <c r="P14" s="208">
        <f t="shared" si="32"/>
        <v>0</v>
      </c>
      <c r="Q14" s="208">
        <f t="shared" si="32"/>
        <v>0</v>
      </c>
      <c r="R14" s="208">
        <f t="shared" si="32"/>
        <v>0</v>
      </c>
      <c r="S14" s="208">
        <f t="shared" si="32"/>
        <v>0</v>
      </c>
      <c r="T14" s="208">
        <f t="shared" si="32"/>
        <v>0</v>
      </c>
      <c r="U14" s="208">
        <f t="shared" si="32"/>
        <v>0</v>
      </c>
      <c r="V14" s="208">
        <f t="shared" si="32"/>
        <v>0</v>
      </c>
      <c r="W14" s="208">
        <f t="shared" si="32"/>
        <v>0</v>
      </c>
      <c r="X14" s="208">
        <f t="shared" si="32"/>
        <v>0</v>
      </c>
      <c r="Y14" s="208">
        <f t="shared" si="32"/>
        <v>0</v>
      </c>
      <c r="Z14" s="208">
        <f t="shared" si="32"/>
        <v>0</v>
      </c>
      <c r="AA14" s="208">
        <f t="shared" si="32"/>
        <v>0</v>
      </c>
      <c r="AB14" s="208">
        <f t="shared" si="32"/>
        <v>0</v>
      </c>
      <c r="AC14" s="208">
        <f t="shared" si="32"/>
        <v>0</v>
      </c>
      <c r="AD14" s="208">
        <f t="shared" si="32"/>
        <v>0</v>
      </c>
      <c r="AE14" s="208">
        <f t="shared" si="32"/>
        <v>0</v>
      </c>
      <c r="AF14" s="208">
        <f t="shared" si="32"/>
        <v>0</v>
      </c>
      <c r="AG14" s="208">
        <f t="shared" si="32"/>
        <v>0</v>
      </c>
      <c r="AH14" s="208">
        <f t="shared" si="32"/>
        <v>513568</v>
      </c>
      <c r="AI14" s="208">
        <f t="shared" si="32"/>
        <v>513568</v>
      </c>
      <c r="AJ14" s="208">
        <f t="shared" si="32"/>
        <v>513568</v>
      </c>
      <c r="AK14" s="208">
        <f t="shared" si="32"/>
        <v>479607</v>
      </c>
      <c r="AL14" s="208">
        <f t="shared" si="32"/>
        <v>814655.69</v>
      </c>
      <c r="AM14" s="208">
        <f t="shared" si="32"/>
        <v>760258.82</v>
      </c>
      <c r="AN14" s="208">
        <f t="shared" si="32"/>
        <v>760258.82</v>
      </c>
      <c r="AO14" s="208">
        <f t="shared" si="32"/>
        <v>760258.82</v>
      </c>
      <c r="AP14" s="208">
        <f t="shared" si="32"/>
        <v>683830.82</v>
      </c>
      <c r="AQ14" s="208">
        <f t="shared" si="32"/>
        <v>682855.82</v>
      </c>
      <c r="AR14" s="208">
        <f t="shared" si="32"/>
        <v>572835.72</v>
      </c>
      <c r="AS14" s="208">
        <f t="shared" si="32"/>
        <v>340933.03999999992</v>
      </c>
      <c r="AT14" s="208">
        <f t="shared" si="32"/>
        <v>211703.92999999993</v>
      </c>
      <c r="AU14" s="208">
        <f t="shared" si="32"/>
        <v>211703.92999999993</v>
      </c>
      <c r="AV14" s="208">
        <f t="shared" si="32"/>
        <v>211703.92999999993</v>
      </c>
      <c r="AW14" s="208">
        <f t="shared" si="32"/>
        <v>365774.32999999996</v>
      </c>
      <c r="AX14" s="208">
        <f t="shared" si="32"/>
        <v>346357.76000000001</v>
      </c>
      <c r="AY14" s="208">
        <f t="shared" si="32"/>
        <v>343198.70999999996</v>
      </c>
      <c r="AZ14" s="208">
        <f t="shared" si="32"/>
        <v>343198.70999999996</v>
      </c>
      <c r="BA14" s="208">
        <f t="shared" si="32"/>
        <v>343198.70999999996</v>
      </c>
      <c r="BB14" s="208">
        <f t="shared" si="32"/>
        <v>343198.70999999996</v>
      </c>
      <c r="BC14" s="208">
        <f t="shared" si="32"/>
        <v>342900.47</v>
      </c>
      <c r="BD14" s="208">
        <f t="shared" si="32"/>
        <v>342550.47</v>
      </c>
      <c r="BE14" s="208">
        <f t="shared" si="32"/>
        <v>325232.54999999993</v>
      </c>
      <c r="BF14" s="208">
        <f t="shared" si="32"/>
        <v>325232.54999999993</v>
      </c>
      <c r="BG14" s="208">
        <f t="shared" si="32"/>
        <v>312657.54999999993</v>
      </c>
      <c r="BH14" s="208">
        <f t="shared" si="32"/>
        <v>312657.54999999993</v>
      </c>
      <c r="BI14" s="208">
        <f t="shared" si="32"/>
        <v>312657.54999999993</v>
      </c>
      <c r="BJ14" s="208">
        <f t="shared" si="32"/>
        <v>256628.72999999998</v>
      </c>
      <c r="BK14" s="208">
        <f t="shared" si="32"/>
        <v>256628.72999999998</v>
      </c>
      <c r="BL14" s="208">
        <f t="shared" si="32"/>
        <v>256628.72999999998</v>
      </c>
      <c r="BM14" s="208">
        <f t="shared" si="32"/>
        <v>256628.72999999998</v>
      </c>
      <c r="BN14" s="208">
        <f t="shared" si="32"/>
        <v>256628.72999999998</v>
      </c>
      <c r="BO14" s="208">
        <f t="shared" si="32"/>
        <v>256628.72999999998</v>
      </c>
      <c r="BP14" s="208">
        <f t="shared" si="32"/>
        <v>256628.72999999998</v>
      </c>
      <c r="BQ14" s="208">
        <f t="shared" si="32"/>
        <v>256628.72999999998</v>
      </c>
      <c r="BR14" s="208">
        <f t="shared" si="32"/>
        <v>256628.72999999998</v>
      </c>
      <c r="BS14" s="208">
        <f t="shared" si="32"/>
        <v>256628.72999999998</v>
      </c>
      <c r="BT14" s="208">
        <f t="shared" si="32"/>
        <v>256628.72999999998</v>
      </c>
      <c r="BU14" s="208">
        <f t="shared" ref="BU14:EF14" si="33">BU10-BU12</f>
        <v>256628.72999999998</v>
      </c>
      <c r="BV14" s="208">
        <f t="shared" si="33"/>
        <v>256628.72999999998</v>
      </c>
      <c r="BW14" s="208">
        <f t="shared" si="33"/>
        <v>256628.72999999998</v>
      </c>
      <c r="BX14" s="208">
        <f t="shared" si="33"/>
        <v>256628.72999999998</v>
      </c>
      <c r="BY14" s="208">
        <f t="shared" si="33"/>
        <v>256628.72999999998</v>
      </c>
      <c r="BZ14" s="208">
        <f t="shared" si="33"/>
        <v>256628.72999999998</v>
      </c>
      <c r="CA14" s="208">
        <f t="shared" si="33"/>
        <v>256628.72999999998</v>
      </c>
      <c r="CB14" s="208">
        <f t="shared" si="33"/>
        <v>256628.72999999998</v>
      </c>
      <c r="CC14" s="208">
        <f t="shared" si="33"/>
        <v>256628.72999999998</v>
      </c>
      <c r="CD14" s="208">
        <f t="shared" si="33"/>
        <v>256628.72999999998</v>
      </c>
      <c r="CE14" s="208">
        <f t="shared" si="33"/>
        <v>256628.72999999998</v>
      </c>
      <c r="CF14" s="208">
        <f t="shared" si="33"/>
        <v>256628.72999999998</v>
      </c>
      <c r="CG14" s="208">
        <f t="shared" si="33"/>
        <v>256628.72999999998</v>
      </c>
      <c r="CH14" s="208">
        <f t="shared" si="33"/>
        <v>256628.72999999998</v>
      </c>
      <c r="CI14" s="208">
        <f t="shared" si="33"/>
        <v>256628.72999999998</v>
      </c>
      <c r="CJ14" s="208">
        <f t="shared" si="33"/>
        <v>256628.72999999998</v>
      </c>
      <c r="CK14" s="208">
        <f t="shared" si="33"/>
        <v>256628.72999999998</v>
      </c>
      <c r="CL14" s="208">
        <f t="shared" si="33"/>
        <v>256628.72999999998</v>
      </c>
      <c r="CM14" s="208">
        <f t="shared" si="33"/>
        <v>256628.72999999998</v>
      </c>
      <c r="CN14" s="208">
        <f t="shared" si="33"/>
        <v>256628.72999999998</v>
      </c>
      <c r="CO14" s="208">
        <f t="shared" si="33"/>
        <v>256628.72999999998</v>
      </c>
      <c r="CP14" s="208">
        <f t="shared" si="33"/>
        <v>256628.72999999998</v>
      </c>
      <c r="CQ14" s="208">
        <f t="shared" si="33"/>
        <v>256628.72999999998</v>
      </c>
      <c r="CR14" s="208">
        <f t="shared" si="33"/>
        <v>256628.72999999998</v>
      </c>
      <c r="CS14" s="208">
        <f t="shared" si="33"/>
        <v>256628.72999999998</v>
      </c>
      <c r="CT14" s="208">
        <f t="shared" si="33"/>
        <v>256628.72999999998</v>
      </c>
      <c r="CU14" s="208">
        <f t="shared" si="33"/>
        <v>256628.72999999998</v>
      </c>
      <c r="CV14" s="208">
        <f t="shared" si="33"/>
        <v>256628.72999999998</v>
      </c>
      <c r="CW14" s="208">
        <f t="shared" si="33"/>
        <v>256628.72999999998</v>
      </c>
      <c r="CX14" s="208">
        <f t="shared" si="33"/>
        <v>256628.72999999998</v>
      </c>
      <c r="CY14" s="208">
        <f t="shared" si="33"/>
        <v>256628.72999999998</v>
      </c>
      <c r="CZ14" s="208">
        <f t="shared" si="33"/>
        <v>256628.72999999998</v>
      </c>
      <c r="DA14" s="208">
        <f t="shared" si="33"/>
        <v>256628.72999999998</v>
      </c>
      <c r="DB14" s="208">
        <f t="shared" si="33"/>
        <v>256628.72999999998</v>
      </c>
      <c r="DC14" s="208">
        <f t="shared" si="33"/>
        <v>256628.72999999998</v>
      </c>
      <c r="DD14" s="208">
        <f t="shared" si="33"/>
        <v>256628.72999999998</v>
      </c>
      <c r="DE14" s="208">
        <f t="shared" si="33"/>
        <v>256628.72999999998</v>
      </c>
      <c r="DF14" s="208">
        <f t="shared" si="33"/>
        <v>256628.72999999998</v>
      </c>
      <c r="DG14" s="208">
        <f t="shared" si="33"/>
        <v>256628.72999999998</v>
      </c>
      <c r="DH14" s="208">
        <f t="shared" si="33"/>
        <v>256628.72999999998</v>
      </c>
      <c r="DI14" s="208">
        <f t="shared" si="33"/>
        <v>256628.72999999998</v>
      </c>
      <c r="DJ14" s="208">
        <f t="shared" si="33"/>
        <v>256628.72999999998</v>
      </c>
      <c r="DK14" s="208">
        <f t="shared" si="33"/>
        <v>256628.72999999998</v>
      </c>
      <c r="DL14" s="208">
        <f t="shared" si="33"/>
        <v>256628.72999999998</v>
      </c>
      <c r="DM14" s="208">
        <f t="shared" si="33"/>
        <v>256628.72999999998</v>
      </c>
      <c r="DN14" s="208">
        <f t="shared" si="33"/>
        <v>256628.72999999998</v>
      </c>
      <c r="DO14" s="208">
        <f t="shared" si="33"/>
        <v>256628.72999999998</v>
      </c>
      <c r="DP14" s="208">
        <f t="shared" si="33"/>
        <v>256628.72999999998</v>
      </c>
      <c r="DQ14" s="208">
        <f t="shared" si="33"/>
        <v>256628.72999999998</v>
      </c>
      <c r="DR14" s="208">
        <f t="shared" si="33"/>
        <v>256628.72999999998</v>
      </c>
      <c r="DS14" s="208">
        <f t="shared" si="33"/>
        <v>256628.72999999998</v>
      </c>
      <c r="DT14" s="208">
        <f t="shared" si="33"/>
        <v>256628.72999999998</v>
      </c>
      <c r="DU14" s="208">
        <f t="shared" si="33"/>
        <v>256628.72999999998</v>
      </c>
      <c r="DV14" s="208">
        <f t="shared" si="33"/>
        <v>256628.72999999998</v>
      </c>
      <c r="DW14" s="208">
        <f t="shared" si="33"/>
        <v>256628.72999999998</v>
      </c>
      <c r="DX14" s="208">
        <f t="shared" si="33"/>
        <v>256628.72999999998</v>
      </c>
      <c r="DY14" s="208">
        <f t="shared" si="33"/>
        <v>256628.72999999998</v>
      </c>
      <c r="DZ14" s="208">
        <f t="shared" si="33"/>
        <v>256628.72999999998</v>
      </c>
      <c r="EA14" s="208">
        <f t="shared" si="33"/>
        <v>256628.72999999998</v>
      </c>
      <c r="EB14" s="208">
        <f t="shared" si="33"/>
        <v>256628.72999999998</v>
      </c>
      <c r="EC14" s="208">
        <f t="shared" si="33"/>
        <v>256628.72999999998</v>
      </c>
      <c r="ED14" s="208">
        <f t="shared" si="33"/>
        <v>256628.72999999998</v>
      </c>
      <c r="EE14" s="208">
        <f t="shared" si="33"/>
        <v>256628.72999999998</v>
      </c>
      <c r="EF14" s="208">
        <f t="shared" si="33"/>
        <v>256628.72999999998</v>
      </c>
      <c r="EG14" s="208">
        <f t="shared" ref="EG14:GR14" si="34">EG10-EG12</f>
        <v>256628.72999999998</v>
      </c>
      <c r="EH14" s="208">
        <f t="shared" si="34"/>
        <v>256628.72999999998</v>
      </c>
      <c r="EI14" s="208">
        <f t="shared" si="34"/>
        <v>256628.72999999998</v>
      </c>
      <c r="EJ14" s="208">
        <f t="shared" si="34"/>
        <v>256628.72999999998</v>
      </c>
      <c r="EK14" s="208">
        <f t="shared" si="34"/>
        <v>256628.72999999998</v>
      </c>
      <c r="EL14" s="208">
        <f t="shared" si="34"/>
        <v>256628.72999999998</v>
      </c>
      <c r="EM14" s="208">
        <f t="shared" si="34"/>
        <v>256628.72999999998</v>
      </c>
      <c r="EN14" s="208">
        <f t="shared" si="34"/>
        <v>256628.72999999998</v>
      </c>
      <c r="EO14" s="208">
        <f t="shared" si="34"/>
        <v>256628.72999999998</v>
      </c>
      <c r="EP14" s="208">
        <f t="shared" si="34"/>
        <v>256628.72999999998</v>
      </c>
      <c r="EQ14" s="208">
        <f t="shared" si="34"/>
        <v>256628.72999999998</v>
      </c>
      <c r="ER14" s="208">
        <f t="shared" si="34"/>
        <v>256628.72999999998</v>
      </c>
      <c r="ES14" s="208">
        <f t="shared" si="34"/>
        <v>256628.72999999998</v>
      </c>
      <c r="ET14" s="208">
        <f t="shared" si="34"/>
        <v>256628.72999999998</v>
      </c>
      <c r="EU14" s="208">
        <f t="shared" si="34"/>
        <v>256628.72999999998</v>
      </c>
      <c r="EV14" s="208">
        <f t="shared" si="34"/>
        <v>256628.72999999998</v>
      </c>
      <c r="EW14" s="208">
        <f t="shared" si="34"/>
        <v>256628.72999999998</v>
      </c>
      <c r="EX14" s="208">
        <f t="shared" si="34"/>
        <v>256628.72999999998</v>
      </c>
      <c r="EY14" s="208">
        <f t="shared" si="34"/>
        <v>256628.72999999998</v>
      </c>
      <c r="EZ14" s="208">
        <f t="shared" si="34"/>
        <v>256628.72999999998</v>
      </c>
      <c r="FA14" s="208">
        <f t="shared" si="34"/>
        <v>256628.72999999998</v>
      </c>
      <c r="FB14" s="208">
        <f t="shared" si="34"/>
        <v>256628.72999999998</v>
      </c>
      <c r="FC14" s="208">
        <f t="shared" si="34"/>
        <v>256628.72999999998</v>
      </c>
      <c r="FD14" s="208">
        <f t="shared" si="34"/>
        <v>256628.72999999998</v>
      </c>
      <c r="FE14" s="208">
        <f t="shared" si="34"/>
        <v>256628.72999999998</v>
      </c>
      <c r="FF14" s="208">
        <f t="shared" si="34"/>
        <v>256628.72999999998</v>
      </c>
      <c r="FG14" s="208">
        <f t="shared" si="34"/>
        <v>256628.72999999998</v>
      </c>
      <c r="FH14" s="208">
        <f t="shared" si="34"/>
        <v>256628.72999999998</v>
      </c>
      <c r="FI14" s="208">
        <f t="shared" si="34"/>
        <v>256628.72999999998</v>
      </c>
      <c r="FJ14" s="208">
        <f t="shared" si="34"/>
        <v>256628.72999999998</v>
      </c>
      <c r="FK14" s="208">
        <f t="shared" si="34"/>
        <v>256628.72999999998</v>
      </c>
      <c r="FL14" s="208">
        <f t="shared" si="34"/>
        <v>256628.72999999998</v>
      </c>
      <c r="FM14" s="208">
        <f t="shared" si="34"/>
        <v>256628.72999999998</v>
      </c>
      <c r="FN14" s="208">
        <f t="shared" si="34"/>
        <v>256628.72999999998</v>
      </c>
      <c r="FO14" s="208">
        <f t="shared" si="34"/>
        <v>256628.72999999998</v>
      </c>
      <c r="FP14" s="208">
        <f t="shared" si="34"/>
        <v>256628.72999999998</v>
      </c>
      <c r="FQ14" s="208">
        <f t="shared" si="34"/>
        <v>256628.72999999998</v>
      </c>
      <c r="FR14" s="208">
        <f t="shared" si="34"/>
        <v>256628.72999999998</v>
      </c>
      <c r="FS14" s="208">
        <f t="shared" si="34"/>
        <v>256628.72999999998</v>
      </c>
      <c r="FT14" s="208">
        <f t="shared" si="34"/>
        <v>256628.72999999998</v>
      </c>
      <c r="FU14" s="208">
        <f t="shared" si="34"/>
        <v>256628.72999999998</v>
      </c>
      <c r="FV14" s="208">
        <f t="shared" si="34"/>
        <v>256628.72999999998</v>
      </c>
      <c r="FW14" s="208">
        <f t="shared" si="34"/>
        <v>256628.72999999998</v>
      </c>
      <c r="FX14" s="208">
        <f t="shared" si="34"/>
        <v>256628.72999999998</v>
      </c>
      <c r="FY14" s="208">
        <f t="shared" si="34"/>
        <v>256628.72999999998</v>
      </c>
      <c r="FZ14" s="208">
        <f t="shared" si="34"/>
        <v>256628.72999999998</v>
      </c>
      <c r="GA14" s="208">
        <f t="shared" si="34"/>
        <v>256628.72999999998</v>
      </c>
      <c r="GB14" s="208">
        <f t="shared" si="34"/>
        <v>256628.72999999998</v>
      </c>
      <c r="GC14" s="208">
        <f t="shared" si="34"/>
        <v>256628.72999999998</v>
      </c>
      <c r="GD14" s="208">
        <f t="shared" si="34"/>
        <v>256628.72999999998</v>
      </c>
      <c r="GE14" s="208">
        <f t="shared" si="34"/>
        <v>256628.72999999998</v>
      </c>
      <c r="GF14" s="208">
        <f t="shared" si="34"/>
        <v>256628.72999999998</v>
      </c>
      <c r="GG14" s="208">
        <f t="shared" si="34"/>
        <v>256628.72999999998</v>
      </c>
      <c r="GH14" s="208">
        <f t="shared" si="34"/>
        <v>256628.72999999998</v>
      </c>
      <c r="GI14" s="208">
        <f t="shared" si="34"/>
        <v>256628.72999999998</v>
      </c>
      <c r="GJ14" s="208">
        <f t="shared" si="34"/>
        <v>256628.72999999998</v>
      </c>
      <c r="GK14" s="208">
        <f t="shared" si="34"/>
        <v>256628.72999999998</v>
      </c>
      <c r="GL14" s="208">
        <f t="shared" si="34"/>
        <v>256628.72999999998</v>
      </c>
      <c r="GM14" s="208">
        <f t="shared" si="34"/>
        <v>256628.72999999998</v>
      </c>
      <c r="GN14" s="208">
        <f t="shared" si="34"/>
        <v>256628.72999999998</v>
      </c>
      <c r="GO14" s="208">
        <f t="shared" si="34"/>
        <v>256628.72999999998</v>
      </c>
      <c r="GP14" s="208">
        <f t="shared" si="34"/>
        <v>256628.72999999998</v>
      </c>
      <c r="GQ14" s="208">
        <f t="shared" si="34"/>
        <v>256628.72999999998</v>
      </c>
      <c r="GR14" s="208">
        <f t="shared" si="34"/>
        <v>256628.72999999998</v>
      </c>
      <c r="GS14" s="208">
        <f t="shared" ref="GS14:JD14" si="35">GS10-GS12</f>
        <v>256628.72999999998</v>
      </c>
      <c r="GT14" s="208">
        <f t="shared" si="35"/>
        <v>256628.72999999998</v>
      </c>
      <c r="GU14" s="208">
        <f t="shared" si="35"/>
        <v>256628.72999999998</v>
      </c>
      <c r="GV14" s="208">
        <f t="shared" si="35"/>
        <v>256628.72999999998</v>
      </c>
      <c r="GW14" s="208">
        <f t="shared" si="35"/>
        <v>256628.72999999998</v>
      </c>
      <c r="GX14" s="208">
        <f t="shared" si="35"/>
        <v>256628.72999999998</v>
      </c>
      <c r="GY14" s="208">
        <f t="shared" si="35"/>
        <v>256628.72999999998</v>
      </c>
      <c r="GZ14" s="208">
        <f t="shared" si="35"/>
        <v>256628.72999999998</v>
      </c>
      <c r="HA14" s="208">
        <f t="shared" si="35"/>
        <v>256628.72999999998</v>
      </c>
      <c r="HB14" s="208">
        <f t="shared" si="35"/>
        <v>256628.72999999998</v>
      </c>
      <c r="HC14" s="208">
        <f t="shared" si="35"/>
        <v>256628.72999999998</v>
      </c>
      <c r="HD14" s="208">
        <f t="shared" si="35"/>
        <v>256628.72999999998</v>
      </c>
      <c r="HE14" s="208">
        <f t="shared" si="35"/>
        <v>256628.72999999998</v>
      </c>
      <c r="HF14" s="208">
        <f t="shared" si="35"/>
        <v>256628.72999999998</v>
      </c>
      <c r="HG14" s="208">
        <f t="shared" si="35"/>
        <v>256628.72999999998</v>
      </c>
      <c r="HH14" s="208">
        <f t="shared" si="35"/>
        <v>256628.72999999998</v>
      </c>
      <c r="HI14" s="208">
        <f t="shared" si="35"/>
        <v>256628.72999999998</v>
      </c>
      <c r="HJ14" s="208">
        <f t="shared" si="35"/>
        <v>256628.72999999998</v>
      </c>
      <c r="HK14" s="208">
        <f t="shared" si="35"/>
        <v>256628.72999999998</v>
      </c>
      <c r="HL14" s="208">
        <f t="shared" si="35"/>
        <v>256628.72999999998</v>
      </c>
      <c r="HM14" s="208">
        <f t="shared" si="35"/>
        <v>256628.72999999998</v>
      </c>
      <c r="HN14" s="208">
        <f t="shared" si="35"/>
        <v>256628.72999999998</v>
      </c>
      <c r="HO14" s="208">
        <f t="shared" si="35"/>
        <v>256628.72999999998</v>
      </c>
      <c r="HP14" s="208">
        <f t="shared" si="35"/>
        <v>256628.72999999998</v>
      </c>
      <c r="HQ14" s="208">
        <f t="shared" si="35"/>
        <v>256628.72999999998</v>
      </c>
      <c r="HR14" s="208">
        <f t="shared" si="35"/>
        <v>256628.72999999998</v>
      </c>
      <c r="HS14" s="208">
        <f t="shared" si="35"/>
        <v>256628.72999999998</v>
      </c>
      <c r="HT14" s="208">
        <f t="shared" si="35"/>
        <v>256628.72999999998</v>
      </c>
      <c r="HU14" s="208">
        <f t="shared" si="35"/>
        <v>256628.72999999998</v>
      </c>
      <c r="HV14" s="208">
        <f t="shared" si="35"/>
        <v>256628.72999999998</v>
      </c>
      <c r="HW14" s="208">
        <f t="shared" si="35"/>
        <v>256628.72999999998</v>
      </c>
      <c r="HX14" s="208">
        <f t="shared" si="35"/>
        <v>256628.72999999998</v>
      </c>
      <c r="HY14" s="208">
        <f t="shared" si="35"/>
        <v>256628.72999999998</v>
      </c>
      <c r="HZ14" s="208">
        <f t="shared" si="35"/>
        <v>256628.72999999998</v>
      </c>
      <c r="IA14" s="208">
        <f t="shared" si="35"/>
        <v>256628.72999999998</v>
      </c>
      <c r="IB14" s="208">
        <f t="shared" si="35"/>
        <v>256628.72999999998</v>
      </c>
      <c r="IC14" s="208">
        <f t="shared" si="35"/>
        <v>256628.72999999998</v>
      </c>
      <c r="ID14" s="208">
        <f t="shared" si="35"/>
        <v>256628.72999999998</v>
      </c>
      <c r="IE14" s="208">
        <f t="shared" si="35"/>
        <v>256628.72999999998</v>
      </c>
      <c r="IF14" s="208">
        <f t="shared" si="35"/>
        <v>256628.72999999998</v>
      </c>
      <c r="IG14" s="208">
        <f t="shared" si="35"/>
        <v>256628.72999999998</v>
      </c>
      <c r="IH14" s="208">
        <f t="shared" si="35"/>
        <v>256628.72999999998</v>
      </c>
      <c r="II14" s="208">
        <f t="shared" si="35"/>
        <v>256628.72999999998</v>
      </c>
      <c r="IJ14" s="208">
        <f t="shared" si="35"/>
        <v>256628.72999999998</v>
      </c>
      <c r="IK14" s="208">
        <f t="shared" si="35"/>
        <v>256628.72999999998</v>
      </c>
      <c r="IL14" s="208">
        <f t="shared" si="35"/>
        <v>256628.72999999998</v>
      </c>
      <c r="IM14" s="208">
        <f t="shared" si="35"/>
        <v>256628.72999999998</v>
      </c>
      <c r="IN14" s="208">
        <f t="shared" si="35"/>
        <v>256628.72999999998</v>
      </c>
      <c r="IO14" s="208">
        <f t="shared" si="35"/>
        <v>256628.72999999998</v>
      </c>
      <c r="IP14" s="208">
        <f t="shared" si="35"/>
        <v>256628.72999999998</v>
      </c>
      <c r="IQ14" s="208">
        <f t="shared" si="35"/>
        <v>256628.72999999998</v>
      </c>
      <c r="IR14" s="208">
        <f t="shared" si="35"/>
        <v>256628.72999999998</v>
      </c>
      <c r="IS14" s="208">
        <f t="shared" si="35"/>
        <v>256628.72999999998</v>
      </c>
      <c r="IT14" s="208">
        <f t="shared" si="35"/>
        <v>256628.72999999998</v>
      </c>
      <c r="IU14" s="208">
        <f t="shared" si="35"/>
        <v>256628.72999999998</v>
      </c>
      <c r="IV14" s="208">
        <f t="shared" si="35"/>
        <v>256628.72999999998</v>
      </c>
      <c r="IW14" s="208">
        <f t="shared" si="35"/>
        <v>256628.72999999998</v>
      </c>
      <c r="IX14" s="208">
        <f t="shared" si="35"/>
        <v>256628.72999999998</v>
      </c>
      <c r="IY14" s="208">
        <f t="shared" si="35"/>
        <v>256628.72999999998</v>
      </c>
      <c r="IZ14" s="208">
        <f t="shared" si="35"/>
        <v>256628.72999999998</v>
      </c>
      <c r="JA14" s="208">
        <f t="shared" si="35"/>
        <v>256628.72999999998</v>
      </c>
      <c r="JB14" s="208">
        <f t="shared" si="35"/>
        <v>256628.72999999998</v>
      </c>
      <c r="JC14" s="208">
        <f t="shared" si="35"/>
        <v>256628.72999999998</v>
      </c>
      <c r="JD14" s="208">
        <f t="shared" si="35"/>
        <v>256628.72999999998</v>
      </c>
      <c r="JE14" s="208">
        <f t="shared" ref="JE14:LD14" si="36">JE10-JE12</f>
        <v>256628.72999999998</v>
      </c>
      <c r="JF14" s="208">
        <f t="shared" si="36"/>
        <v>256628.72999999998</v>
      </c>
      <c r="JG14" s="208">
        <f t="shared" si="36"/>
        <v>256628.72999999998</v>
      </c>
      <c r="JH14" s="208">
        <f t="shared" si="36"/>
        <v>256628.72999999998</v>
      </c>
      <c r="JI14" s="208">
        <f t="shared" si="36"/>
        <v>256628.72999999998</v>
      </c>
      <c r="JJ14" s="208">
        <f t="shared" si="36"/>
        <v>256628.72999999998</v>
      </c>
      <c r="JK14" s="208">
        <f t="shared" si="36"/>
        <v>256628.72999999998</v>
      </c>
      <c r="JL14" s="208">
        <f t="shared" si="36"/>
        <v>256628.72999999998</v>
      </c>
      <c r="JM14" s="208">
        <f t="shared" si="36"/>
        <v>256628.72999999998</v>
      </c>
      <c r="JN14" s="208">
        <f t="shared" si="36"/>
        <v>256628.72999999998</v>
      </c>
      <c r="JO14" s="208">
        <f t="shared" si="36"/>
        <v>256628.72999999998</v>
      </c>
      <c r="JP14" s="208">
        <f t="shared" si="36"/>
        <v>256628.72999999998</v>
      </c>
      <c r="JQ14" s="208">
        <f t="shared" si="36"/>
        <v>256628.72999999998</v>
      </c>
      <c r="JR14" s="208">
        <f t="shared" si="36"/>
        <v>256628.72999999998</v>
      </c>
      <c r="JS14" s="208">
        <f t="shared" si="36"/>
        <v>256628.72999999998</v>
      </c>
      <c r="JT14" s="208">
        <f t="shared" si="36"/>
        <v>256628.72999999998</v>
      </c>
      <c r="JU14" s="208">
        <f t="shared" si="36"/>
        <v>256628.72999999998</v>
      </c>
      <c r="JV14" s="208">
        <f t="shared" si="36"/>
        <v>256628.72999999998</v>
      </c>
      <c r="JW14" s="208">
        <f t="shared" si="36"/>
        <v>256628.72999999998</v>
      </c>
      <c r="JX14" s="208">
        <f t="shared" si="36"/>
        <v>256628.72999999998</v>
      </c>
      <c r="JY14" s="208">
        <f t="shared" si="36"/>
        <v>256628.72999999998</v>
      </c>
      <c r="JZ14" s="208">
        <f t="shared" si="36"/>
        <v>256628.72999999998</v>
      </c>
      <c r="KA14" s="208">
        <f t="shared" si="36"/>
        <v>256628.72999999998</v>
      </c>
      <c r="KB14" s="208">
        <f t="shared" si="36"/>
        <v>256628.72999999998</v>
      </c>
      <c r="KC14" s="208">
        <f t="shared" si="36"/>
        <v>256628.72999999998</v>
      </c>
      <c r="KD14" s="208">
        <f t="shared" si="36"/>
        <v>256628.72999999998</v>
      </c>
      <c r="KE14" s="208">
        <f t="shared" si="36"/>
        <v>256628.72999999998</v>
      </c>
      <c r="KF14" s="208">
        <f t="shared" si="36"/>
        <v>256628.72999999998</v>
      </c>
      <c r="KG14" s="208">
        <f t="shared" si="36"/>
        <v>256628.72999999998</v>
      </c>
      <c r="KH14" s="208">
        <f t="shared" si="36"/>
        <v>256628.72999999998</v>
      </c>
      <c r="KI14" s="208">
        <f t="shared" si="36"/>
        <v>256628.72999999998</v>
      </c>
      <c r="KJ14" s="208">
        <f t="shared" si="36"/>
        <v>256628.72999999998</v>
      </c>
      <c r="KK14" s="208">
        <f t="shared" si="36"/>
        <v>256628.72999999998</v>
      </c>
      <c r="KL14" s="208">
        <f t="shared" si="36"/>
        <v>256628.72999999998</v>
      </c>
      <c r="KM14" s="208">
        <f t="shared" si="36"/>
        <v>256628.72999999998</v>
      </c>
      <c r="KN14" s="208">
        <f t="shared" si="36"/>
        <v>256628.72999999998</v>
      </c>
      <c r="KO14" s="208">
        <f t="shared" si="36"/>
        <v>256628.72999999998</v>
      </c>
      <c r="KP14" s="208">
        <f t="shared" si="36"/>
        <v>256628.72999999998</v>
      </c>
      <c r="KQ14" s="208">
        <f t="shared" si="36"/>
        <v>256628.72999999998</v>
      </c>
      <c r="KR14" s="208">
        <f t="shared" si="36"/>
        <v>256628.72999999998</v>
      </c>
      <c r="KS14" s="208">
        <f t="shared" si="36"/>
        <v>256628.72999999998</v>
      </c>
      <c r="KT14" s="208">
        <f t="shared" si="36"/>
        <v>256628.72999999998</v>
      </c>
      <c r="KU14" s="208">
        <f t="shared" si="36"/>
        <v>256628.72999999998</v>
      </c>
      <c r="KV14" s="208">
        <f t="shared" si="36"/>
        <v>256628.72999999998</v>
      </c>
      <c r="KW14" s="208">
        <f t="shared" si="36"/>
        <v>256628.72999999998</v>
      </c>
      <c r="KX14" s="208">
        <f t="shared" si="36"/>
        <v>256628.72999999998</v>
      </c>
      <c r="KY14" s="208">
        <f t="shared" si="36"/>
        <v>256628.72999999998</v>
      </c>
      <c r="KZ14" s="208">
        <f t="shared" si="36"/>
        <v>256628.72999999998</v>
      </c>
      <c r="LA14" s="208">
        <f t="shared" si="36"/>
        <v>256628.72999999998</v>
      </c>
      <c r="LB14" s="208">
        <f t="shared" si="36"/>
        <v>256628.72999999998</v>
      </c>
      <c r="LC14" s="208">
        <f t="shared" si="36"/>
        <v>256628.72999999998</v>
      </c>
      <c r="LD14" s="208">
        <f t="shared" si="36"/>
        <v>256628.72999999998</v>
      </c>
    </row>
    <row r="15" spans="1:794" s="192" customFormat="1"/>
    <row r="16" spans="1:794" s="192" customFormat="1">
      <c r="C16" s="194" t="s">
        <v>234</v>
      </c>
      <c r="D16" s="194" t="s">
        <v>234</v>
      </c>
    </row>
    <row r="17" spans="1:316">
      <c r="A17" s="810"/>
      <c r="B17" s="196" t="s">
        <v>394</v>
      </c>
      <c r="C17" s="374">
        <f>C3-D17</f>
        <v>13.164848057087511</v>
      </c>
      <c r="D17" s="197">
        <f>SUM(F17:LD17)</f>
        <v>1027122.8351519429</v>
      </c>
      <c r="E17" s="207"/>
      <c r="F17" s="215">
        <f>SUMIFS('Expenditure Breakdown'!$U$6:$U$167, 'Expenditure Breakdown'!$T$6:$T$167, "&gt;="&amp;F1,'Expenditure Breakdown'!$T$6:$T$167, "&lt;"&amp;G1)</f>
        <v>0</v>
      </c>
      <c r="G17" s="215">
        <f>SUMIFS('Expenditure Breakdown'!$U$6:$U$167, 'Expenditure Breakdown'!$T$6:$T$167, "&gt;="&amp;G1,'Expenditure Breakdown'!$T$6:$T$167, "&lt;"&amp;H1)</f>
        <v>0</v>
      </c>
      <c r="H17" s="215">
        <f>SUMIFS('Expenditure Breakdown'!$U$6:$U$167, 'Expenditure Breakdown'!$T$6:$T$167, "&gt;="&amp;H1,'Expenditure Breakdown'!$T$6:$T$167, "&lt;"&amp;I1)</f>
        <v>0</v>
      </c>
      <c r="I17" s="215">
        <f>SUMIFS('Expenditure Breakdown'!$U$6:$U$167, 'Expenditure Breakdown'!$T$6:$T$167, "&gt;="&amp;I1,'Expenditure Breakdown'!$T$6:$T$167, "&lt;"&amp;J1)</f>
        <v>0</v>
      </c>
      <c r="J17" s="215">
        <f>SUMIFS('Expenditure Breakdown'!$U$6:$U$167, 'Expenditure Breakdown'!$T$6:$T$167, "&gt;="&amp;J1,'Expenditure Breakdown'!$T$6:$T$167, "&lt;"&amp;K1)</f>
        <v>0</v>
      </c>
      <c r="K17" s="215">
        <f>SUMIFS('Expenditure Breakdown'!$U$6:$U$167, 'Expenditure Breakdown'!$T$6:$T$167, "&gt;="&amp;K1,'Expenditure Breakdown'!$T$6:$T$167, "&lt;"&amp;L1)</f>
        <v>0</v>
      </c>
      <c r="L17" s="215">
        <f>SUMIFS('Expenditure Breakdown'!$U$6:$U$167, 'Expenditure Breakdown'!$T$6:$T$167, "&gt;="&amp;L1,'Expenditure Breakdown'!$T$6:$T$167, "&lt;"&amp;M1)</f>
        <v>0</v>
      </c>
      <c r="M17" s="215">
        <f>SUMIFS('Expenditure Breakdown'!$U$6:$U$167, 'Expenditure Breakdown'!$T$6:$T$167, "&gt;="&amp;M1,'Expenditure Breakdown'!$T$6:$T$167, "&lt;"&amp;N1)</f>
        <v>0</v>
      </c>
      <c r="N17" s="215">
        <f>SUMIFS('Expenditure Breakdown'!$U$6:$U$167, 'Expenditure Breakdown'!$T$6:$T$167, "&gt;="&amp;N1,'Expenditure Breakdown'!$T$6:$T$167, "&lt;"&amp;O1)</f>
        <v>0</v>
      </c>
      <c r="O17" s="215">
        <f>SUMIFS('Expenditure Breakdown'!$U$6:$U$167, 'Expenditure Breakdown'!$T$6:$T$167, "&gt;="&amp;O1,'Expenditure Breakdown'!$T$6:$T$167, "&lt;"&amp;P1)</f>
        <v>0</v>
      </c>
      <c r="P17" s="215">
        <f>SUMIFS('Expenditure Breakdown'!$U$6:$U$167, 'Expenditure Breakdown'!$T$6:$T$167, "&gt;="&amp;P1,'Expenditure Breakdown'!$T$6:$T$167, "&lt;"&amp;Q1)</f>
        <v>0</v>
      </c>
      <c r="Q17" s="215">
        <f>SUMIFS('Expenditure Breakdown'!$U$6:$U$167, 'Expenditure Breakdown'!$T$6:$T$167, "&gt;="&amp;Q1,'Expenditure Breakdown'!$T$6:$T$167, "&lt;"&amp;R1)</f>
        <v>0</v>
      </c>
      <c r="R17" s="215">
        <f>SUMIFS('Expenditure Breakdown'!$U$6:$U$167, 'Expenditure Breakdown'!$T$6:$T$167, "&gt;="&amp;R1,'Expenditure Breakdown'!$T$6:$T$167, "&lt;"&amp;S1)</f>
        <v>0</v>
      </c>
      <c r="S17" s="215">
        <f>SUMIFS('Expenditure Breakdown'!$U$6:$U$167, 'Expenditure Breakdown'!$T$6:$T$167, "&gt;="&amp;S1,'Expenditure Breakdown'!$T$6:$T$167, "&lt;"&amp;T1)</f>
        <v>0</v>
      </c>
      <c r="T17" s="215">
        <f>SUMIFS('Expenditure Breakdown'!$U$6:$U$167, 'Expenditure Breakdown'!$T$6:$T$167, "&gt;="&amp;T1,'Expenditure Breakdown'!$T$6:$T$167, "&lt;"&amp;U1)</f>
        <v>0</v>
      </c>
      <c r="U17" s="215">
        <f>SUMIFS('Expenditure Breakdown'!$U$6:$U$167, 'Expenditure Breakdown'!$T$6:$T$167, "&gt;="&amp;U1,'Expenditure Breakdown'!$T$6:$T$167, "&lt;"&amp;V1)</f>
        <v>0</v>
      </c>
      <c r="V17" s="215">
        <f>SUMIFS('Expenditure Breakdown'!$U$6:$U$167, 'Expenditure Breakdown'!$T$6:$T$167, "&gt;="&amp;V1,'Expenditure Breakdown'!$T$6:$T$167, "&lt;"&amp;W1)</f>
        <v>0</v>
      </c>
      <c r="W17" s="215">
        <f>SUMIFS('Expenditure Breakdown'!$U$6:$U$167, 'Expenditure Breakdown'!$T$6:$T$167, "&gt;="&amp;W1,'Expenditure Breakdown'!$T$6:$T$167, "&lt;"&amp;X1)</f>
        <v>0</v>
      </c>
      <c r="X17" s="215">
        <f>SUMIFS('Expenditure Breakdown'!$U$6:$U$167, 'Expenditure Breakdown'!$T$6:$T$167, "&gt;="&amp;X1,'Expenditure Breakdown'!$T$6:$T$167, "&lt;"&amp;Y1)</f>
        <v>0</v>
      </c>
      <c r="Y17" s="215">
        <f>SUMIFS('Expenditure Breakdown'!$U$6:$U$167, 'Expenditure Breakdown'!$T$6:$T$167, "&gt;="&amp;Y1,'Expenditure Breakdown'!$T$6:$T$167, "&lt;"&amp;Z1)</f>
        <v>0</v>
      </c>
      <c r="Z17" s="215">
        <f>SUMIFS('Expenditure Breakdown'!$U$6:$U$167, 'Expenditure Breakdown'!$T$6:$T$167, "&gt;="&amp;Z1,'Expenditure Breakdown'!$T$6:$T$167, "&lt;"&amp;AA1)</f>
        <v>0</v>
      </c>
      <c r="AA17" s="215">
        <f>SUMIFS('Expenditure Breakdown'!$U$6:$U$167, 'Expenditure Breakdown'!$T$6:$T$167, "&gt;="&amp;AA1,'Expenditure Breakdown'!$T$6:$T$167, "&lt;"&amp;AB1)</f>
        <v>0</v>
      </c>
      <c r="AB17" s="215">
        <f>SUMIFS('Expenditure Breakdown'!$U$6:$U$167, 'Expenditure Breakdown'!$T$6:$T$167, "&gt;="&amp;AB1,'Expenditure Breakdown'!$T$6:$T$167, "&lt;"&amp;AC1)</f>
        <v>0</v>
      </c>
      <c r="AC17" s="215">
        <f>SUMIFS('Expenditure Breakdown'!$U$6:$U$167, 'Expenditure Breakdown'!$T$6:$T$167, "&gt;="&amp;AC1,'Expenditure Breakdown'!$T$6:$T$167, "&lt;"&amp;AD1)</f>
        <v>0</v>
      </c>
      <c r="AD17" s="215">
        <f>SUMIFS('Expenditure Breakdown'!$U$6:$U$167, 'Expenditure Breakdown'!$T$6:$T$167, "&gt;="&amp;AD1,'Expenditure Breakdown'!$T$6:$T$167, "&lt;"&amp;AE1)</f>
        <v>0</v>
      </c>
      <c r="AE17" s="215">
        <f>SUMIFS('Expenditure Breakdown'!$U$6:$U$167, 'Expenditure Breakdown'!$T$6:$T$167, "&gt;="&amp;AE1,'Expenditure Breakdown'!$T$6:$T$167, "&lt;"&amp;AF1)</f>
        <v>0</v>
      </c>
      <c r="AF17" s="215">
        <f>SUMIFS('Expenditure Breakdown'!$U$6:$U$167, 'Expenditure Breakdown'!$T$6:$T$167, "&gt;="&amp;AF1,'Expenditure Breakdown'!$T$6:$T$167, "&lt;"&amp;AG1)</f>
        <v>0</v>
      </c>
      <c r="AG17" s="215">
        <f>SUMIFS('Expenditure Breakdown'!$U$6:$U$167, 'Expenditure Breakdown'!$T$6:$T$167, "&gt;="&amp;AG1,'Expenditure Breakdown'!$T$6:$T$167, "&lt;"&amp;AH1)</f>
        <v>0</v>
      </c>
      <c r="AH17" s="215">
        <f>SUMIFS('Expenditure Breakdown'!$U$6:$U$167, 'Expenditure Breakdown'!$T$6:$T$167, "&gt;="&amp;AH1,'Expenditure Breakdown'!$T$6:$T$167, "&lt;"&amp;AI1)</f>
        <v>0</v>
      </c>
      <c r="AI17" s="215">
        <f>SUMIFS('Expenditure Breakdown'!$U$6:$U$167, 'Expenditure Breakdown'!$T$6:$T$167, "&gt;="&amp;AI1,'Expenditure Breakdown'!$T$6:$T$167, "&lt;"&amp;AJ1)</f>
        <v>0</v>
      </c>
      <c r="AJ17" s="215">
        <f>SUMIFS('Expenditure Breakdown'!$U$6:$U$167, 'Expenditure Breakdown'!$T$6:$T$167, "&gt;="&amp;AJ1,'Expenditure Breakdown'!$T$6:$T$167, "&lt;"&amp;AK1)</f>
        <v>0</v>
      </c>
      <c r="AK17" s="215">
        <f>SUMIFS('Expenditure Breakdown'!$U$6:$U$167, 'Expenditure Breakdown'!$T$6:$T$167, "&gt;="&amp;AK1,'Expenditure Breakdown'!$T$6:$T$167, "&lt;"&amp;AL1)</f>
        <v>665572.37738261756</v>
      </c>
      <c r="AL17" s="215">
        <f>SUMIFS('Expenditure Breakdown'!$U$6:$U$167, 'Expenditure Breakdown'!$T$6:$T$167, "&gt;="&amp;AL1,'Expenditure Breakdown'!$T$6:$T$167, "&lt;"&amp;AM1)</f>
        <v>0</v>
      </c>
      <c r="AM17" s="215">
        <f>SUMIFS('Expenditure Breakdown'!$U$6:$U$167, 'Expenditure Breakdown'!$T$6:$T$167, "&gt;="&amp;AM1,'Expenditure Breakdown'!$T$6:$T$167, "&lt;"&amp;AN1)</f>
        <v>0</v>
      </c>
      <c r="AN17" s="215">
        <f>SUMIFS('Expenditure Breakdown'!$U$6:$U$167, 'Expenditure Breakdown'!$T$6:$T$167, "&gt;="&amp;AN1,'Expenditure Breakdown'!$T$6:$T$167, "&lt;"&amp;AO1)</f>
        <v>0</v>
      </c>
      <c r="AO17" s="215">
        <f>SUMIFS('Expenditure Breakdown'!$U$6:$U$167, 'Expenditure Breakdown'!$T$6:$T$167, "&gt;="&amp;AO1,'Expenditure Breakdown'!$T$6:$T$167, "&lt;"&amp;AP1)</f>
        <v>0</v>
      </c>
      <c r="AP17" s="215">
        <f>SUMIFS('Expenditure Breakdown'!$U$6:$U$167, 'Expenditure Breakdown'!$T$6:$T$167, "&gt;="&amp;AP1,'Expenditure Breakdown'!$T$6:$T$167, "&lt;"&amp;AQ1)</f>
        <v>127536.42418396946</v>
      </c>
      <c r="AQ17" s="215">
        <f>SUMIFS('Expenditure Breakdown'!$U$6:$U$167, 'Expenditure Breakdown'!$T$6:$T$167, "&gt;="&amp;AQ1,'Expenditure Breakdown'!$T$6:$T$167, "&lt;"&amp;AR1)</f>
        <v>0</v>
      </c>
      <c r="AR17" s="215">
        <f>SUMIFS('Expenditure Breakdown'!$U$6:$U$167, 'Expenditure Breakdown'!$T$6:$T$167, "&gt;="&amp;AR1,'Expenditure Breakdown'!$T$6:$T$167, "&lt;"&amp;AS1)</f>
        <v>0</v>
      </c>
      <c r="AS17" s="215">
        <f>SUMIFS('Expenditure Breakdown'!$U$6:$U$167, 'Expenditure Breakdown'!$T$6:$T$167, "&gt;="&amp;AS1,'Expenditure Breakdown'!$T$6:$T$167, "&lt;"&amp;AT1)</f>
        <v>0</v>
      </c>
      <c r="AT17" s="215">
        <f>SUMIFS('Expenditure Breakdown'!$U$6:$U$167, 'Expenditure Breakdown'!$T$6:$T$167, "&gt;="&amp;AT1,'Expenditure Breakdown'!$T$6:$T$167, "&lt;"&amp;AU1)</f>
        <v>213880.4966270786</v>
      </c>
      <c r="AU17" s="215">
        <f>SUMIFS('Expenditure Breakdown'!$U$6:$U$167, 'Expenditure Breakdown'!$T$6:$T$167, "&gt;="&amp;AU1,'Expenditure Breakdown'!$T$6:$T$167, "&lt;"&amp;AV1)</f>
        <v>0</v>
      </c>
      <c r="AV17" s="215">
        <f>SUMIFS('Expenditure Breakdown'!$U$6:$U$167, 'Expenditure Breakdown'!$T$6:$T$167, "&gt;="&amp;AV1,'Expenditure Breakdown'!$T$6:$T$167, "&lt;"&amp;AW1)</f>
        <v>0</v>
      </c>
      <c r="AW17" s="215">
        <f>SUMIFS('Expenditure Breakdown'!$U$6:$U$167, 'Expenditure Breakdown'!$T$6:$T$167, "&gt;="&amp;AW1,'Expenditure Breakdown'!$T$6:$T$167, "&lt;"&amp;AX1)</f>
        <v>0</v>
      </c>
      <c r="AX17" s="215">
        <f>SUMIFS('Expenditure Breakdown'!$U$6:$U$167, 'Expenditure Breakdown'!$T$6:$T$167, "&gt;="&amp;AX1,'Expenditure Breakdown'!$T$6:$T$167, "&lt;"&amp;AY1)</f>
        <v>1361</v>
      </c>
      <c r="AY17" s="215">
        <f>SUMIFS('Expenditure Breakdown'!$U$6:$U$167, 'Expenditure Breakdown'!$T$6:$T$167, "&gt;="&amp;AY1,'Expenditure Breakdown'!$T$6:$T$167, "&lt;"&amp;AZ1)</f>
        <v>0</v>
      </c>
      <c r="AZ17" s="215">
        <f>SUMIFS('Expenditure Breakdown'!$U$6:$U$167, 'Expenditure Breakdown'!$T$6:$T$167, "&gt;="&amp;AZ1,'Expenditure Breakdown'!$T$6:$T$167, "&lt;"&amp;BA1)</f>
        <v>0</v>
      </c>
      <c r="BA17" s="215">
        <f>SUMIFS('Expenditure Breakdown'!$U$6:$U$167, 'Expenditure Breakdown'!$T$6:$T$167, "&gt;="&amp;BA1,'Expenditure Breakdown'!$T$6:$T$167, "&lt;"&amp;BB1)</f>
        <v>0</v>
      </c>
      <c r="BB17" s="215">
        <f>SUMIFS('Expenditure Breakdown'!$U$6:$U$167, 'Expenditure Breakdown'!$T$6:$T$167, "&gt;="&amp;BB1,'Expenditure Breakdown'!$T$6:$T$167, "&lt;"&amp;BC1)</f>
        <v>0</v>
      </c>
      <c r="BC17" s="215">
        <f>SUMIFS('Expenditure Breakdown'!$U$6:$U$167, 'Expenditure Breakdown'!$T$6:$T$167, "&gt;="&amp;BC1,'Expenditure Breakdown'!$T$6:$T$167, "&lt;"&amp;BD1)</f>
        <v>0</v>
      </c>
      <c r="BD17" s="215">
        <f>SUMIFS('Expenditure Breakdown'!$U$6:$U$167, 'Expenditure Breakdown'!$T$6:$T$167, "&gt;="&amp;BD1,'Expenditure Breakdown'!$T$6:$T$167, "&lt;"&amp;BE1)</f>
        <v>0</v>
      </c>
      <c r="BE17" s="215">
        <f>SUMIFS('Expenditure Breakdown'!$U$6:$U$167, 'Expenditure Breakdown'!$T$6:$T$167, "&gt;="&amp;BE1,'Expenditure Breakdown'!$T$6:$T$167, "&lt;"&amp;BF1)</f>
        <v>0</v>
      </c>
      <c r="BF17" s="215">
        <f>SUMIFS('Expenditure Breakdown'!$U$6:$U$167, 'Expenditure Breakdown'!$T$6:$T$167, "&gt;="&amp;BF1,'Expenditure Breakdown'!$T$6:$T$167, "&lt;"&amp;BG1)</f>
        <v>0</v>
      </c>
      <c r="BG17" s="215">
        <f>SUMIFS('Expenditure Breakdown'!$U$6:$U$167, 'Expenditure Breakdown'!$T$6:$T$167, "&gt;="&amp;BG1,'Expenditure Breakdown'!$T$6:$T$167, "&lt;"&amp;BH1)</f>
        <v>18772.536958277255</v>
      </c>
      <c r="BH17" s="215">
        <f>SUMIFS('Expenditure Breakdown'!$U$6:$U$167, 'Expenditure Breakdown'!$T$6:$T$167, "&gt;="&amp;BH1,'Expenditure Breakdown'!$T$6:$T$167, "&lt;"&amp;BI1)</f>
        <v>0</v>
      </c>
      <c r="BI17" s="215">
        <f>SUMIFS('Expenditure Breakdown'!$U$6:$U$167, 'Expenditure Breakdown'!$T$6:$T$167, "&gt;="&amp;BI1,'Expenditure Breakdown'!$T$6:$T$167, "&lt;"&amp;BJ1)</f>
        <v>0</v>
      </c>
      <c r="BJ17" s="215">
        <f>SUMIFS('Expenditure Breakdown'!$U$6:$U$167, 'Expenditure Breakdown'!$T$6:$T$167, "&gt;="&amp;BJ1,'Expenditure Breakdown'!$T$6:$T$167, "&lt;"&amp;BK1)</f>
        <v>0</v>
      </c>
      <c r="BK17" s="215">
        <f>SUMIFS('Expenditure Breakdown'!$U$6:$U$167, 'Expenditure Breakdown'!$T$6:$T$167, "&gt;="&amp;BK1,'Expenditure Breakdown'!$T$6:$T$167, "&lt;"&amp;BL1)</f>
        <v>0</v>
      </c>
      <c r="BL17" s="215">
        <f>SUMIFS('Expenditure Breakdown'!$U$6:$U$167, 'Expenditure Breakdown'!$T$6:$T$167, "&gt;="&amp;BL1,'Expenditure Breakdown'!$T$6:$T$167, "&lt;"&amp;BM1)</f>
        <v>0</v>
      </c>
      <c r="BM17" s="215">
        <f>SUMIFS('Expenditure Breakdown'!$U$6:$U$167, 'Expenditure Breakdown'!$T$6:$T$167, "&gt;="&amp;BM1,'Expenditure Breakdown'!$T$6:$T$167, "&lt;"&amp;BN1)</f>
        <v>0</v>
      </c>
      <c r="BN17" s="215">
        <f>SUMIFS('Expenditure Breakdown'!$U$6:$U$167, 'Expenditure Breakdown'!$T$6:$T$167, "&gt;="&amp;BN1,'Expenditure Breakdown'!$T$6:$T$167, "&lt;"&amp;BO1)</f>
        <v>0</v>
      </c>
      <c r="BO17" s="215">
        <f>SUMIFS('Expenditure Breakdown'!$U$6:$U$167, 'Expenditure Breakdown'!$T$6:$T$167, "&gt;="&amp;BO1,'Expenditure Breakdown'!$T$6:$T$167, "&lt;"&amp;BP1)</f>
        <v>0</v>
      </c>
      <c r="BP17" s="215">
        <f>SUMIFS('Expenditure Breakdown'!$U$6:$U$167, 'Expenditure Breakdown'!$T$6:$T$167, "&gt;="&amp;BP1,'Expenditure Breakdown'!$T$6:$T$167, "&lt;"&amp;BQ1)</f>
        <v>0</v>
      </c>
      <c r="BQ17" s="215">
        <f>SUMIFS('Expenditure Breakdown'!$U$6:$U$167, 'Expenditure Breakdown'!$T$6:$T$167, "&gt;="&amp;BQ1,'Expenditure Breakdown'!$T$6:$T$167, "&lt;"&amp;BR1)</f>
        <v>0</v>
      </c>
      <c r="BR17" s="215">
        <f>SUMIFS('Expenditure Breakdown'!$U$6:$U$167, 'Expenditure Breakdown'!$T$6:$T$167, "&gt;="&amp;BR1,'Expenditure Breakdown'!$T$6:$T$167, "&lt;"&amp;BS1)</f>
        <v>0</v>
      </c>
      <c r="BS17" s="215">
        <f>SUMIFS('Expenditure Breakdown'!$U$6:$U$167, 'Expenditure Breakdown'!$T$6:$T$167, "&gt;="&amp;BS1,'Expenditure Breakdown'!$T$6:$T$167, "&lt;"&amp;BT1)</f>
        <v>0</v>
      </c>
      <c r="BT17" s="215">
        <f>SUMIFS('Expenditure Breakdown'!$U$6:$U$167, 'Expenditure Breakdown'!$T$6:$T$167, "&gt;="&amp;BT1,'Expenditure Breakdown'!$T$6:$T$167, "&lt;"&amp;BU1)</f>
        <v>0</v>
      </c>
      <c r="BU17" s="215">
        <f>SUMIFS('Expenditure Breakdown'!$U$6:$U$167, 'Expenditure Breakdown'!$T$6:$T$167, "&gt;="&amp;BU1,'Expenditure Breakdown'!$T$6:$T$167, "&lt;"&amp;BV1)</f>
        <v>0</v>
      </c>
      <c r="BV17" s="215">
        <f>SUMIFS('Expenditure Breakdown'!$U$6:$U$167, 'Expenditure Breakdown'!$T$6:$T$167, "&gt;="&amp;BV1,'Expenditure Breakdown'!$T$6:$T$167, "&lt;"&amp;BW1)</f>
        <v>0</v>
      </c>
      <c r="BW17" s="215">
        <f>SUMIFS('Expenditure Breakdown'!$U$6:$U$167, 'Expenditure Breakdown'!$T$6:$T$167, "&gt;="&amp;BW1,'Expenditure Breakdown'!$T$6:$T$167, "&lt;"&amp;BX1)</f>
        <v>0</v>
      </c>
      <c r="BX17" s="215">
        <f>SUMIFS('Expenditure Breakdown'!$U$6:$U$167, 'Expenditure Breakdown'!$T$6:$T$167, "&gt;="&amp;BX1,'Expenditure Breakdown'!$T$6:$T$167, "&lt;"&amp;BY1)</f>
        <v>0</v>
      </c>
      <c r="BY17" s="215">
        <f>SUMIFS('Expenditure Breakdown'!$U$6:$U$167, 'Expenditure Breakdown'!$T$6:$T$167, "&gt;="&amp;BY1,'Expenditure Breakdown'!$T$6:$T$167, "&lt;"&amp;BZ1)</f>
        <v>0</v>
      </c>
      <c r="BZ17" s="215">
        <f>SUMIFS('Expenditure Breakdown'!$U$6:$U$167, 'Expenditure Breakdown'!$T$6:$T$167, "&gt;="&amp;BZ1,'Expenditure Breakdown'!$T$6:$T$167, "&lt;"&amp;CA1)</f>
        <v>0</v>
      </c>
      <c r="CA17" s="215">
        <f>SUMIFS('Expenditure Breakdown'!$U$6:$U$167, 'Expenditure Breakdown'!$T$6:$T$167, "&gt;="&amp;CA1,'Expenditure Breakdown'!$T$6:$T$167, "&lt;"&amp;CB1)</f>
        <v>0</v>
      </c>
      <c r="CB17" s="215">
        <f>SUMIFS('Expenditure Breakdown'!$U$6:$U$167, 'Expenditure Breakdown'!$T$6:$T$167, "&gt;="&amp;CB1,'Expenditure Breakdown'!$T$6:$T$167, "&lt;"&amp;CC1)</f>
        <v>0</v>
      </c>
      <c r="CC17" s="215">
        <f>SUMIFS('Expenditure Breakdown'!$U$6:$U$167, 'Expenditure Breakdown'!$T$6:$T$167, "&gt;="&amp;CC1,'Expenditure Breakdown'!$T$6:$T$167, "&lt;"&amp;CD1)</f>
        <v>0</v>
      </c>
      <c r="CD17" s="215">
        <f>SUMIFS('Expenditure Breakdown'!$U$6:$U$167, 'Expenditure Breakdown'!$T$6:$T$167, "&gt;="&amp;CD1,'Expenditure Breakdown'!$T$6:$T$167, "&lt;"&amp;CE1)</f>
        <v>0</v>
      </c>
      <c r="CE17" s="215">
        <f>SUMIFS('Expenditure Breakdown'!$U$6:$U$167, 'Expenditure Breakdown'!$T$6:$T$167, "&gt;="&amp;CE1,'Expenditure Breakdown'!$T$6:$T$167, "&lt;"&amp;CF1)</f>
        <v>0</v>
      </c>
      <c r="CF17" s="215">
        <f>SUMIFS('Expenditure Breakdown'!$U$6:$U$167, 'Expenditure Breakdown'!$T$6:$T$167, "&gt;="&amp;CF1,'Expenditure Breakdown'!$T$6:$T$167, "&lt;"&amp;CG1)</f>
        <v>0</v>
      </c>
      <c r="CG17" s="215">
        <f>SUMIFS('Expenditure Breakdown'!$U$6:$U$167, 'Expenditure Breakdown'!$T$6:$T$167, "&gt;="&amp;CG1,'Expenditure Breakdown'!$T$6:$T$167, "&lt;"&amp;CH1)</f>
        <v>0</v>
      </c>
      <c r="CH17" s="215">
        <f>SUMIFS('Expenditure Breakdown'!$U$6:$U$167, 'Expenditure Breakdown'!$T$6:$T$167, "&gt;="&amp;CH1,'Expenditure Breakdown'!$T$6:$T$167, "&lt;"&amp;CI1)</f>
        <v>0</v>
      </c>
      <c r="CI17" s="215">
        <f>SUMIFS('Expenditure Breakdown'!$U$6:$U$167, 'Expenditure Breakdown'!$T$6:$T$167, "&gt;="&amp;CI1,'Expenditure Breakdown'!$T$6:$T$167, "&lt;"&amp;CJ1)</f>
        <v>0</v>
      </c>
      <c r="CJ17" s="215">
        <f>SUMIFS('Expenditure Breakdown'!$U$6:$U$167, 'Expenditure Breakdown'!$T$6:$T$167, "&gt;="&amp;CJ1,'Expenditure Breakdown'!$T$6:$T$167, "&lt;"&amp;CK1)</f>
        <v>0</v>
      </c>
      <c r="CK17" s="215">
        <f>SUMIFS('Expenditure Breakdown'!$U$6:$U$167, 'Expenditure Breakdown'!$T$6:$T$167, "&gt;="&amp;CK1,'Expenditure Breakdown'!$T$6:$T$167, "&lt;"&amp;CL1)</f>
        <v>0</v>
      </c>
      <c r="CL17" s="215">
        <f>SUMIFS('Expenditure Breakdown'!$U$6:$U$167, 'Expenditure Breakdown'!$T$6:$T$167, "&gt;="&amp;CL1,'Expenditure Breakdown'!$T$6:$T$167, "&lt;"&amp;CM1)</f>
        <v>0</v>
      </c>
      <c r="CM17" s="215">
        <f>SUMIFS('Expenditure Breakdown'!$U$6:$U$167, 'Expenditure Breakdown'!$T$6:$T$167, "&gt;="&amp;CM1,'Expenditure Breakdown'!$T$6:$T$167, "&lt;"&amp;CN1)</f>
        <v>0</v>
      </c>
      <c r="CN17" s="215">
        <f>SUMIFS('Expenditure Breakdown'!$U$6:$U$167, 'Expenditure Breakdown'!$T$6:$T$167, "&gt;="&amp;CN1,'Expenditure Breakdown'!$T$6:$T$167, "&lt;"&amp;CO1)</f>
        <v>0</v>
      </c>
      <c r="CO17" s="215">
        <f>SUMIFS('Expenditure Breakdown'!$U$6:$U$167, 'Expenditure Breakdown'!$T$6:$T$167, "&gt;="&amp;CO1,'Expenditure Breakdown'!$T$6:$T$167, "&lt;"&amp;CP1)</f>
        <v>0</v>
      </c>
      <c r="CP17" s="215">
        <f>SUMIFS('Expenditure Breakdown'!$U$6:$U$167, 'Expenditure Breakdown'!$T$6:$T$167, "&gt;="&amp;CP1,'Expenditure Breakdown'!$T$6:$T$167, "&lt;"&amp;CQ1)</f>
        <v>0</v>
      </c>
      <c r="CQ17" s="215">
        <f>SUMIFS('Expenditure Breakdown'!$U$6:$U$167, 'Expenditure Breakdown'!$T$6:$T$167, "&gt;="&amp;CQ1,'Expenditure Breakdown'!$T$6:$T$167, "&lt;"&amp;CR1)</f>
        <v>0</v>
      </c>
      <c r="CR17" s="215">
        <f>SUMIFS('Expenditure Breakdown'!$U$6:$U$167, 'Expenditure Breakdown'!$T$6:$T$167, "&gt;="&amp;CR1,'Expenditure Breakdown'!$T$6:$T$167, "&lt;"&amp;CS1)</f>
        <v>0</v>
      </c>
      <c r="CS17" s="215">
        <f>SUMIFS('Expenditure Breakdown'!$U$6:$U$167, 'Expenditure Breakdown'!$T$6:$T$167, "&gt;="&amp;CS1,'Expenditure Breakdown'!$T$6:$T$167, "&lt;"&amp;CT1)</f>
        <v>0</v>
      </c>
      <c r="CT17" s="215">
        <f>SUMIFS('Expenditure Breakdown'!$U$6:$U$167, 'Expenditure Breakdown'!$T$6:$T$167, "&gt;="&amp;CT1,'Expenditure Breakdown'!$T$6:$T$167, "&lt;"&amp;CU1)</f>
        <v>0</v>
      </c>
      <c r="CU17" s="215">
        <f>SUMIFS('Expenditure Breakdown'!$U$6:$U$167, 'Expenditure Breakdown'!$T$6:$T$167, "&gt;="&amp;CU1,'Expenditure Breakdown'!$T$6:$T$167, "&lt;"&amp;CV1)</f>
        <v>0</v>
      </c>
      <c r="CV17" s="215">
        <f>SUMIFS('Expenditure Breakdown'!$U$6:$U$167, 'Expenditure Breakdown'!$T$6:$T$167, "&gt;="&amp;CV1,'Expenditure Breakdown'!$T$6:$T$167, "&lt;"&amp;CW1)</f>
        <v>0</v>
      </c>
      <c r="CW17" s="215">
        <f>SUMIFS('Expenditure Breakdown'!$U$6:$U$167, 'Expenditure Breakdown'!$T$6:$T$167, "&gt;="&amp;CW1,'Expenditure Breakdown'!$T$6:$T$167, "&lt;"&amp;CX1)</f>
        <v>0</v>
      </c>
      <c r="CX17" s="215">
        <f>SUMIFS('Expenditure Breakdown'!$U$6:$U$167, 'Expenditure Breakdown'!$T$6:$T$167, "&gt;="&amp;CX1,'Expenditure Breakdown'!$T$6:$T$167, "&lt;"&amp;CY1)</f>
        <v>0</v>
      </c>
      <c r="CY17" s="215">
        <f>SUMIFS('Expenditure Breakdown'!$U$6:$U$167, 'Expenditure Breakdown'!$T$6:$T$167, "&gt;="&amp;CY1,'Expenditure Breakdown'!$T$6:$T$167, "&lt;"&amp;CZ1)</f>
        <v>0</v>
      </c>
      <c r="CZ17" s="215">
        <f>SUMIFS('Expenditure Breakdown'!$U$6:$U$167, 'Expenditure Breakdown'!$T$6:$T$167, "&gt;="&amp;CZ1,'Expenditure Breakdown'!$T$6:$T$167, "&lt;"&amp;DA1)</f>
        <v>0</v>
      </c>
      <c r="DA17" s="215">
        <f>SUMIFS('Expenditure Breakdown'!$U$6:$U$167, 'Expenditure Breakdown'!$T$6:$T$167, "&gt;="&amp;DA1,'Expenditure Breakdown'!$T$6:$T$167, "&lt;"&amp;DB1)</f>
        <v>0</v>
      </c>
      <c r="DB17" s="215">
        <f>SUMIFS('Expenditure Breakdown'!$U$6:$U$167, 'Expenditure Breakdown'!$T$6:$T$167, "&gt;="&amp;DB1,'Expenditure Breakdown'!$T$6:$T$167, "&lt;"&amp;DC1)</f>
        <v>0</v>
      </c>
      <c r="DC17" s="215">
        <f>SUMIFS('Expenditure Breakdown'!$U$6:$U$167, 'Expenditure Breakdown'!$T$6:$T$167, "&gt;="&amp;DC1,'Expenditure Breakdown'!$T$6:$T$167, "&lt;"&amp;DD1)</f>
        <v>0</v>
      </c>
      <c r="DD17" s="215">
        <f>SUMIFS('Expenditure Breakdown'!$U$6:$U$167, 'Expenditure Breakdown'!$T$6:$T$167, "&gt;="&amp;DD1,'Expenditure Breakdown'!$T$6:$T$167, "&lt;"&amp;DE1)</f>
        <v>0</v>
      </c>
      <c r="DE17" s="215">
        <f>SUMIFS('Expenditure Breakdown'!$U$6:$U$167, 'Expenditure Breakdown'!$T$6:$T$167, "&gt;="&amp;DE1,'Expenditure Breakdown'!$T$6:$T$167, "&lt;"&amp;DF1)</f>
        <v>0</v>
      </c>
      <c r="DF17" s="215">
        <f>SUMIFS('Expenditure Breakdown'!$U$6:$U$167, 'Expenditure Breakdown'!$T$6:$T$167, "&gt;="&amp;DF1,'Expenditure Breakdown'!$T$6:$T$167, "&lt;"&amp;DG1)</f>
        <v>0</v>
      </c>
      <c r="DG17" s="215">
        <f>SUMIFS('Expenditure Breakdown'!$U$6:$U$167, 'Expenditure Breakdown'!$T$6:$T$167, "&gt;="&amp;DG1,'Expenditure Breakdown'!$T$6:$T$167, "&lt;"&amp;DH1)</f>
        <v>0</v>
      </c>
      <c r="DH17" s="215">
        <f>SUMIFS('Expenditure Breakdown'!$U$6:$U$167, 'Expenditure Breakdown'!$T$6:$T$167, "&gt;="&amp;DH1,'Expenditure Breakdown'!$T$6:$T$167, "&lt;"&amp;DI1)</f>
        <v>0</v>
      </c>
      <c r="DI17" s="215">
        <f>SUMIFS('Expenditure Breakdown'!$U$6:$U$167, 'Expenditure Breakdown'!$T$6:$T$167, "&gt;="&amp;DI1,'Expenditure Breakdown'!$T$6:$T$167, "&lt;"&amp;DJ1)</f>
        <v>0</v>
      </c>
      <c r="DJ17" s="215">
        <f>SUMIFS('Expenditure Breakdown'!$U$6:$U$167, 'Expenditure Breakdown'!$T$6:$T$167, "&gt;="&amp;DJ1,'Expenditure Breakdown'!$T$6:$T$167, "&lt;"&amp;DK1)</f>
        <v>0</v>
      </c>
      <c r="DK17" s="215">
        <f>SUMIFS('Expenditure Breakdown'!$U$6:$U$167, 'Expenditure Breakdown'!$T$6:$T$167, "&gt;="&amp;DK1,'Expenditure Breakdown'!$T$6:$T$167, "&lt;"&amp;DL1)</f>
        <v>0</v>
      </c>
      <c r="DL17" s="215">
        <f>SUMIFS('Expenditure Breakdown'!$U$6:$U$167, 'Expenditure Breakdown'!$T$6:$T$167, "&gt;="&amp;DL1,'Expenditure Breakdown'!$T$6:$T$167, "&lt;"&amp;DM1)</f>
        <v>0</v>
      </c>
      <c r="DM17" s="215">
        <f>SUMIFS('Expenditure Breakdown'!$U$6:$U$167, 'Expenditure Breakdown'!$T$6:$T$167, "&gt;="&amp;DM1,'Expenditure Breakdown'!$T$6:$T$167, "&lt;"&amp;DN1)</f>
        <v>0</v>
      </c>
      <c r="DN17" s="215">
        <f>SUMIFS('Expenditure Breakdown'!$U$6:$U$167, 'Expenditure Breakdown'!$T$6:$T$167, "&gt;="&amp;DN1,'Expenditure Breakdown'!$T$6:$T$167, "&lt;"&amp;DO1)</f>
        <v>0</v>
      </c>
      <c r="DO17" s="215">
        <f>SUMIFS('Expenditure Breakdown'!$U$6:$U$167, 'Expenditure Breakdown'!$T$6:$T$167, "&gt;="&amp;DO1,'Expenditure Breakdown'!$T$6:$T$167, "&lt;"&amp;DP1)</f>
        <v>0</v>
      </c>
      <c r="DP17" s="215">
        <f>SUMIFS('Expenditure Breakdown'!$U$6:$U$167, 'Expenditure Breakdown'!$T$6:$T$167, "&gt;="&amp;DP1,'Expenditure Breakdown'!$T$6:$T$167, "&lt;"&amp;DQ1)</f>
        <v>0</v>
      </c>
      <c r="DQ17" s="215">
        <f>SUMIFS('Expenditure Breakdown'!$U$6:$U$167, 'Expenditure Breakdown'!$T$6:$T$167, "&gt;="&amp;DQ1,'Expenditure Breakdown'!$T$6:$T$167, "&lt;"&amp;DR1)</f>
        <v>0</v>
      </c>
      <c r="DR17" s="215">
        <f>SUMIFS('Expenditure Breakdown'!$U$6:$U$167, 'Expenditure Breakdown'!$T$6:$T$167, "&gt;="&amp;DR1,'Expenditure Breakdown'!$T$6:$T$167, "&lt;"&amp;DS1)</f>
        <v>0</v>
      </c>
      <c r="DS17" s="215">
        <f>SUMIFS('Expenditure Breakdown'!$U$6:$U$167, 'Expenditure Breakdown'!$T$6:$T$167, "&gt;="&amp;DS1,'Expenditure Breakdown'!$T$6:$T$167, "&lt;"&amp;DT1)</f>
        <v>0</v>
      </c>
      <c r="DT17" s="215">
        <f>SUMIFS('Expenditure Breakdown'!$U$6:$U$167, 'Expenditure Breakdown'!$T$6:$T$167, "&gt;="&amp;DT1,'Expenditure Breakdown'!$T$6:$T$167, "&lt;"&amp;DU1)</f>
        <v>0</v>
      </c>
      <c r="DU17" s="215">
        <f>SUMIFS('Expenditure Breakdown'!$U$6:$U$167, 'Expenditure Breakdown'!$T$6:$T$167, "&gt;="&amp;DU1,'Expenditure Breakdown'!$T$6:$T$167, "&lt;"&amp;DV1)</f>
        <v>0</v>
      </c>
      <c r="DV17" s="215">
        <f>SUMIFS('Expenditure Breakdown'!$U$6:$U$167, 'Expenditure Breakdown'!$T$6:$T$167, "&gt;="&amp;DV1,'Expenditure Breakdown'!$T$6:$T$167, "&lt;"&amp;DW1)</f>
        <v>0</v>
      </c>
      <c r="DW17" s="215">
        <f>SUMIFS('Expenditure Breakdown'!$U$6:$U$167, 'Expenditure Breakdown'!$T$6:$T$167, "&gt;="&amp;DW1,'Expenditure Breakdown'!$T$6:$T$167, "&lt;"&amp;DX1)</f>
        <v>0</v>
      </c>
      <c r="DX17" s="215">
        <f>SUMIFS('Expenditure Breakdown'!$U$6:$U$167, 'Expenditure Breakdown'!$T$6:$T$167, "&gt;="&amp;DX1,'Expenditure Breakdown'!$T$6:$T$167, "&lt;"&amp;DY1)</f>
        <v>0</v>
      </c>
      <c r="DY17" s="215">
        <f>SUMIFS('Expenditure Breakdown'!$U$6:$U$167, 'Expenditure Breakdown'!$T$6:$T$167, "&gt;="&amp;DY1,'Expenditure Breakdown'!$T$6:$T$167, "&lt;"&amp;DZ1)</f>
        <v>0</v>
      </c>
      <c r="DZ17" s="215">
        <f>SUMIFS('Expenditure Breakdown'!$U$6:$U$167, 'Expenditure Breakdown'!$T$6:$T$167, "&gt;="&amp;DZ1,'Expenditure Breakdown'!$T$6:$T$167, "&lt;"&amp;EA1)</f>
        <v>0</v>
      </c>
      <c r="EA17" s="215">
        <f>SUMIFS('Expenditure Breakdown'!$U$6:$U$167, 'Expenditure Breakdown'!$T$6:$T$167, "&gt;="&amp;EA1,'Expenditure Breakdown'!$T$6:$T$167, "&lt;"&amp;EB1)</f>
        <v>0</v>
      </c>
      <c r="EB17" s="215">
        <f>SUMIFS('Expenditure Breakdown'!$U$6:$U$167, 'Expenditure Breakdown'!$T$6:$T$167, "&gt;="&amp;EB1,'Expenditure Breakdown'!$T$6:$T$167, "&lt;"&amp;EC1)</f>
        <v>0</v>
      </c>
      <c r="EC17" s="215">
        <f>SUMIFS('Expenditure Breakdown'!$U$6:$U$167, 'Expenditure Breakdown'!$T$6:$T$167, "&gt;="&amp;EC1,'Expenditure Breakdown'!$T$6:$T$167, "&lt;"&amp;ED1)</f>
        <v>0</v>
      </c>
      <c r="ED17" s="215">
        <f>SUMIFS('Expenditure Breakdown'!$U$6:$U$167, 'Expenditure Breakdown'!$T$6:$T$167, "&gt;="&amp;ED1,'Expenditure Breakdown'!$T$6:$T$167, "&lt;"&amp;EE1)</f>
        <v>0</v>
      </c>
      <c r="EE17" s="215">
        <f>SUMIFS('Expenditure Breakdown'!$U$6:$U$167, 'Expenditure Breakdown'!$T$6:$T$167, "&gt;="&amp;EE1,'Expenditure Breakdown'!$T$6:$T$167, "&lt;"&amp;EF1)</f>
        <v>0</v>
      </c>
      <c r="EF17" s="215">
        <f>SUMIFS('Expenditure Breakdown'!$U$6:$U$167, 'Expenditure Breakdown'!$T$6:$T$167, "&gt;="&amp;EF1,'Expenditure Breakdown'!$T$6:$T$167, "&lt;"&amp;EG1)</f>
        <v>0</v>
      </c>
      <c r="EG17" s="215">
        <f>SUMIFS('Expenditure Breakdown'!$U$6:$U$167, 'Expenditure Breakdown'!$T$6:$T$167, "&gt;="&amp;EG1,'Expenditure Breakdown'!$T$6:$T$167, "&lt;"&amp;EH1)</f>
        <v>0</v>
      </c>
      <c r="EH17" s="215">
        <f>SUMIFS('Expenditure Breakdown'!$U$6:$U$167, 'Expenditure Breakdown'!$T$6:$T$167, "&gt;="&amp;EH1,'Expenditure Breakdown'!$T$6:$T$167, "&lt;"&amp;EI1)</f>
        <v>0</v>
      </c>
      <c r="EI17" s="215">
        <f>SUMIFS('Expenditure Breakdown'!$U$6:$U$167, 'Expenditure Breakdown'!$T$6:$T$167, "&gt;="&amp;EI1,'Expenditure Breakdown'!$T$6:$T$167, "&lt;"&amp;EJ1)</f>
        <v>0</v>
      </c>
      <c r="EJ17" s="215">
        <f>SUMIFS('Expenditure Breakdown'!$U$6:$U$167, 'Expenditure Breakdown'!$T$6:$T$167, "&gt;="&amp;EJ1,'Expenditure Breakdown'!$T$6:$T$167, "&lt;"&amp;EK1)</f>
        <v>0</v>
      </c>
      <c r="EK17" s="215">
        <f>SUMIFS('Expenditure Breakdown'!$U$6:$U$167, 'Expenditure Breakdown'!$T$6:$T$167, "&gt;="&amp;EK1,'Expenditure Breakdown'!$T$6:$T$167, "&lt;"&amp;EL1)</f>
        <v>0</v>
      </c>
      <c r="EL17" s="215">
        <f>SUMIFS('Expenditure Breakdown'!$U$6:$U$167, 'Expenditure Breakdown'!$T$6:$T$167, "&gt;="&amp;EL1,'Expenditure Breakdown'!$T$6:$T$167, "&lt;"&amp;EM1)</f>
        <v>0</v>
      </c>
      <c r="EM17" s="215">
        <f>SUMIFS('Expenditure Breakdown'!$U$6:$U$167, 'Expenditure Breakdown'!$T$6:$T$167, "&gt;="&amp;EM1,'Expenditure Breakdown'!$T$6:$T$167, "&lt;"&amp;EN1)</f>
        <v>0</v>
      </c>
      <c r="EN17" s="215">
        <f>SUMIFS('Expenditure Breakdown'!$U$6:$U$167, 'Expenditure Breakdown'!$T$6:$T$167, "&gt;="&amp;EN1,'Expenditure Breakdown'!$T$6:$T$167, "&lt;"&amp;EO1)</f>
        <v>0</v>
      </c>
      <c r="EO17" s="215">
        <f>SUMIFS('Expenditure Breakdown'!$U$6:$U$167, 'Expenditure Breakdown'!$T$6:$T$167, "&gt;="&amp;EO1,'Expenditure Breakdown'!$T$6:$T$167, "&lt;"&amp;EP1)</f>
        <v>0</v>
      </c>
      <c r="EP17" s="215">
        <f>SUMIFS('Expenditure Breakdown'!$U$6:$U$167, 'Expenditure Breakdown'!$T$6:$T$167, "&gt;="&amp;EP1,'Expenditure Breakdown'!$T$6:$T$167, "&lt;"&amp;EQ1)</f>
        <v>0</v>
      </c>
      <c r="EQ17" s="215">
        <f>SUMIFS('Expenditure Breakdown'!$U$6:$U$167, 'Expenditure Breakdown'!$T$6:$T$167, "&gt;="&amp;EQ1,'Expenditure Breakdown'!$T$6:$T$167, "&lt;"&amp;ER1)</f>
        <v>0</v>
      </c>
      <c r="ER17" s="215">
        <f>SUMIFS('Expenditure Breakdown'!$U$6:$U$167, 'Expenditure Breakdown'!$T$6:$T$167, "&gt;="&amp;ER1,'Expenditure Breakdown'!$T$6:$T$167, "&lt;"&amp;ES1)</f>
        <v>0</v>
      </c>
      <c r="ES17" s="215">
        <f>SUMIFS('Expenditure Breakdown'!$U$6:$U$167, 'Expenditure Breakdown'!$T$6:$T$167, "&gt;="&amp;ES1,'Expenditure Breakdown'!$T$6:$T$167, "&lt;"&amp;ET1)</f>
        <v>0</v>
      </c>
      <c r="ET17" s="215">
        <f>SUMIFS('Expenditure Breakdown'!$U$6:$U$167, 'Expenditure Breakdown'!$T$6:$T$167, "&gt;="&amp;ET1,'Expenditure Breakdown'!$T$6:$T$167, "&lt;"&amp;EU1)</f>
        <v>0</v>
      </c>
      <c r="EU17" s="215">
        <f>SUMIFS('Expenditure Breakdown'!$U$6:$U$167, 'Expenditure Breakdown'!$T$6:$T$167, "&gt;="&amp;EU1,'Expenditure Breakdown'!$T$6:$T$167, "&lt;"&amp;EV1)</f>
        <v>0</v>
      </c>
      <c r="EV17" s="215">
        <f>SUMIFS('Expenditure Breakdown'!$U$6:$U$167, 'Expenditure Breakdown'!$T$6:$T$167, "&gt;="&amp;EV1,'Expenditure Breakdown'!$T$6:$T$167, "&lt;"&amp;EW1)</f>
        <v>0</v>
      </c>
      <c r="EW17" s="215">
        <f>SUMIFS('Expenditure Breakdown'!$U$6:$U$167, 'Expenditure Breakdown'!$T$6:$T$167, "&gt;="&amp;EW1,'Expenditure Breakdown'!$T$6:$T$167, "&lt;"&amp;EX1)</f>
        <v>0</v>
      </c>
      <c r="EX17" s="215">
        <f>SUMIFS('Expenditure Breakdown'!$U$6:$U$167, 'Expenditure Breakdown'!$T$6:$T$167, "&gt;="&amp;EX1,'Expenditure Breakdown'!$T$6:$T$167, "&lt;"&amp;EY1)</f>
        <v>0</v>
      </c>
      <c r="EY17" s="215">
        <f>SUMIFS('Expenditure Breakdown'!$U$6:$U$167, 'Expenditure Breakdown'!$T$6:$T$167, "&gt;="&amp;EY1,'Expenditure Breakdown'!$T$6:$T$167, "&lt;"&amp;EZ1)</f>
        <v>0</v>
      </c>
      <c r="EZ17" s="215">
        <f>SUMIFS('Expenditure Breakdown'!$U$6:$U$167, 'Expenditure Breakdown'!$T$6:$T$167, "&gt;="&amp;EZ1,'Expenditure Breakdown'!$T$6:$T$167, "&lt;"&amp;FA1)</f>
        <v>0</v>
      </c>
      <c r="FA17" s="215">
        <f>SUMIFS('Expenditure Breakdown'!$U$6:$U$167, 'Expenditure Breakdown'!$T$6:$T$167, "&gt;="&amp;FA1,'Expenditure Breakdown'!$T$6:$T$167, "&lt;"&amp;FB1)</f>
        <v>0</v>
      </c>
      <c r="FB17" s="215">
        <f>SUMIFS('Expenditure Breakdown'!$U$6:$U$167, 'Expenditure Breakdown'!$T$6:$T$167, "&gt;="&amp;FB1,'Expenditure Breakdown'!$T$6:$T$167, "&lt;"&amp;FC1)</f>
        <v>0</v>
      </c>
      <c r="FC17" s="215">
        <f>SUMIFS('Expenditure Breakdown'!$U$6:$U$167, 'Expenditure Breakdown'!$T$6:$T$167, "&gt;="&amp;FC1,'Expenditure Breakdown'!$T$6:$T$167, "&lt;"&amp;FD1)</f>
        <v>0</v>
      </c>
      <c r="FD17" s="215">
        <f>SUMIFS('Expenditure Breakdown'!$U$6:$U$167, 'Expenditure Breakdown'!$T$6:$T$167, "&gt;="&amp;FD1,'Expenditure Breakdown'!$T$6:$T$167, "&lt;"&amp;FE1)</f>
        <v>0</v>
      </c>
      <c r="FE17" s="215">
        <f>SUMIFS('Expenditure Breakdown'!$U$6:$U$167, 'Expenditure Breakdown'!$T$6:$T$167, "&gt;="&amp;FE1,'Expenditure Breakdown'!$T$6:$T$167, "&lt;"&amp;FF1)</f>
        <v>0</v>
      </c>
      <c r="FF17" s="215">
        <f>SUMIFS('Expenditure Breakdown'!$U$6:$U$167, 'Expenditure Breakdown'!$T$6:$T$167, "&gt;="&amp;FF1,'Expenditure Breakdown'!$T$6:$T$167, "&lt;"&amp;FG1)</f>
        <v>0</v>
      </c>
      <c r="FG17" s="215">
        <f>SUMIFS('Expenditure Breakdown'!$U$6:$U$167, 'Expenditure Breakdown'!$T$6:$T$167, "&gt;="&amp;FG1,'Expenditure Breakdown'!$T$6:$T$167, "&lt;"&amp;FH1)</f>
        <v>0</v>
      </c>
      <c r="FH17" s="215">
        <f>SUMIFS('Expenditure Breakdown'!$U$6:$U$167, 'Expenditure Breakdown'!$T$6:$T$167, "&gt;="&amp;FH1,'Expenditure Breakdown'!$T$6:$T$167, "&lt;"&amp;FI1)</f>
        <v>0</v>
      </c>
      <c r="FI17" s="215">
        <f>SUMIFS('Expenditure Breakdown'!$U$6:$U$167, 'Expenditure Breakdown'!$T$6:$T$167, "&gt;="&amp;FI1,'Expenditure Breakdown'!$T$6:$T$167, "&lt;"&amp;FJ1)</f>
        <v>0</v>
      </c>
      <c r="FJ17" s="215">
        <f>SUMIFS('Expenditure Breakdown'!$U$6:$U$167, 'Expenditure Breakdown'!$T$6:$T$167, "&gt;="&amp;FJ1,'Expenditure Breakdown'!$T$6:$T$167, "&lt;"&amp;FK1)</f>
        <v>0</v>
      </c>
      <c r="FK17" s="215">
        <f>SUMIFS('Expenditure Breakdown'!$U$6:$U$167, 'Expenditure Breakdown'!$T$6:$T$167, "&gt;="&amp;FK1,'Expenditure Breakdown'!$T$6:$T$167, "&lt;"&amp;FL1)</f>
        <v>0</v>
      </c>
      <c r="FL17" s="215">
        <f>SUMIFS('Expenditure Breakdown'!$U$6:$U$167, 'Expenditure Breakdown'!$T$6:$T$167, "&gt;="&amp;FL1,'Expenditure Breakdown'!$T$6:$T$167, "&lt;"&amp;FM1)</f>
        <v>0</v>
      </c>
      <c r="FM17" s="215">
        <f>SUMIFS('Expenditure Breakdown'!$U$6:$U$167, 'Expenditure Breakdown'!$T$6:$T$167, "&gt;="&amp;FM1,'Expenditure Breakdown'!$T$6:$T$167, "&lt;"&amp;FN1)</f>
        <v>0</v>
      </c>
      <c r="FN17" s="215">
        <f>SUMIFS('Expenditure Breakdown'!$U$6:$U$167, 'Expenditure Breakdown'!$T$6:$T$167, "&gt;="&amp;FN1,'Expenditure Breakdown'!$T$6:$T$167, "&lt;"&amp;FO1)</f>
        <v>0</v>
      </c>
      <c r="FO17" s="215">
        <f>SUMIFS('Expenditure Breakdown'!$U$6:$U$167, 'Expenditure Breakdown'!$T$6:$T$167, "&gt;="&amp;FO1,'Expenditure Breakdown'!$T$6:$T$167, "&lt;"&amp;FP1)</f>
        <v>0</v>
      </c>
      <c r="FP17" s="215">
        <f>SUMIFS('Expenditure Breakdown'!$U$6:$U$167, 'Expenditure Breakdown'!$T$6:$T$167, "&gt;="&amp;FP1,'Expenditure Breakdown'!$T$6:$T$167, "&lt;"&amp;FQ1)</f>
        <v>0</v>
      </c>
      <c r="FQ17" s="215">
        <f>SUMIFS('Expenditure Breakdown'!$U$6:$U$167, 'Expenditure Breakdown'!$T$6:$T$167, "&gt;="&amp;FQ1,'Expenditure Breakdown'!$T$6:$T$167, "&lt;"&amp;FR1)</f>
        <v>0</v>
      </c>
      <c r="FR17" s="215">
        <f>SUMIFS('Expenditure Breakdown'!$U$6:$U$167, 'Expenditure Breakdown'!$T$6:$T$167, "&gt;="&amp;FR1,'Expenditure Breakdown'!$T$6:$T$167, "&lt;"&amp;FS1)</f>
        <v>0</v>
      </c>
      <c r="FS17" s="215">
        <f>SUMIFS('Expenditure Breakdown'!$U$6:$U$167, 'Expenditure Breakdown'!$T$6:$T$167, "&gt;="&amp;FS1,'Expenditure Breakdown'!$T$6:$T$167, "&lt;"&amp;FT1)</f>
        <v>0</v>
      </c>
      <c r="FT17" s="215">
        <f>SUMIFS('Expenditure Breakdown'!$U$6:$U$167, 'Expenditure Breakdown'!$T$6:$T$167, "&gt;="&amp;FT1,'Expenditure Breakdown'!$T$6:$T$167, "&lt;"&amp;FU1)</f>
        <v>0</v>
      </c>
      <c r="FU17" s="215">
        <f>SUMIFS('Expenditure Breakdown'!$U$6:$U$167, 'Expenditure Breakdown'!$T$6:$T$167, "&gt;="&amp;FU1,'Expenditure Breakdown'!$T$6:$T$167, "&lt;"&amp;FV1)</f>
        <v>0</v>
      </c>
      <c r="FV17" s="215">
        <f>SUMIFS('Expenditure Breakdown'!$U$6:$U$167, 'Expenditure Breakdown'!$T$6:$T$167, "&gt;="&amp;FV1,'Expenditure Breakdown'!$T$6:$T$167, "&lt;"&amp;FW1)</f>
        <v>0</v>
      </c>
      <c r="FW17" s="215">
        <f>SUMIFS('Expenditure Breakdown'!$U$6:$U$167, 'Expenditure Breakdown'!$T$6:$T$167, "&gt;="&amp;FW1,'Expenditure Breakdown'!$T$6:$T$167, "&lt;"&amp;FX1)</f>
        <v>0</v>
      </c>
      <c r="FX17" s="215">
        <f>SUMIFS('Expenditure Breakdown'!$U$6:$U$167, 'Expenditure Breakdown'!$T$6:$T$167, "&gt;="&amp;FX1,'Expenditure Breakdown'!$T$6:$T$167, "&lt;"&amp;FY1)</f>
        <v>0</v>
      </c>
      <c r="FY17" s="215">
        <f>SUMIFS('Expenditure Breakdown'!$U$6:$U$167, 'Expenditure Breakdown'!$T$6:$T$167, "&gt;="&amp;FY1,'Expenditure Breakdown'!$T$6:$T$167, "&lt;"&amp;FZ1)</f>
        <v>0</v>
      </c>
      <c r="FZ17" s="215">
        <f>SUMIFS('Expenditure Breakdown'!$U$6:$U$167, 'Expenditure Breakdown'!$T$6:$T$167, "&gt;="&amp;FZ1,'Expenditure Breakdown'!$T$6:$T$167, "&lt;"&amp;GA1)</f>
        <v>0</v>
      </c>
      <c r="GA17" s="215">
        <f>SUMIFS('Expenditure Breakdown'!$U$6:$U$167, 'Expenditure Breakdown'!$T$6:$T$167, "&gt;="&amp;GA1,'Expenditure Breakdown'!$T$6:$T$167, "&lt;"&amp;GB1)</f>
        <v>0</v>
      </c>
      <c r="GB17" s="215">
        <f>SUMIFS('Expenditure Breakdown'!$U$6:$U$167, 'Expenditure Breakdown'!$T$6:$T$167, "&gt;="&amp;GB1,'Expenditure Breakdown'!$T$6:$T$167, "&lt;"&amp;GC1)</f>
        <v>0</v>
      </c>
      <c r="GC17" s="215">
        <f>SUMIFS('Expenditure Breakdown'!$U$6:$U$167, 'Expenditure Breakdown'!$T$6:$T$167, "&gt;="&amp;GC1,'Expenditure Breakdown'!$T$6:$T$167, "&lt;"&amp;GD1)</f>
        <v>0</v>
      </c>
      <c r="GD17" s="215">
        <f>SUMIFS('Expenditure Breakdown'!$U$6:$U$167, 'Expenditure Breakdown'!$T$6:$T$167, "&gt;="&amp;GD1,'Expenditure Breakdown'!$T$6:$T$167, "&lt;"&amp;GE1)</f>
        <v>0</v>
      </c>
      <c r="GE17" s="215">
        <f>SUMIFS('Expenditure Breakdown'!$U$6:$U$167, 'Expenditure Breakdown'!$T$6:$T$167, "&gt;="&amp;GE1,'Expenditure Breakdown'!$T$6:$T$167, "&lt;"&amp;GF1)</f>
        <v>0</v>
      </c>
      <c r="GF17" s="215">
        <f>SUMIFS('Expenditure Breakdown'!$U$6:$U$167, 'Expenditure Breakdown'!$T$6:$T$167, "&gt;="&amp;GF1,'Expenditure Breakdown'!$T$6:$T$167, "&lt;"&amp;GG1)</f>
        <v>0</v>
      </c>
      <c r="GG17" s="215">
        <f>SUMIFS('Expenditure Breakdown'!$U$6:$U$167, 'Expenditure Breakdown'!$T$6:$T$167, "&gt;="&amp;GG1,'Expenditure Breakdown'!$T$6:$T$167, "&lt;"&amp;GH1)</f>
        <v>0</v>
      </c>
      <c r="GH17" s="215">
        <f>SUMIFS('Expenditure Breakdown'!$U$6:$U$167, 'Expenditure Breakdown'!$T$6:$T$167, "&gt;="&amp;GH1,'Expenditure Breakdown'!$T$6:$T$167, "&lt;"&amp;GI1)</f>
        <v>0</v>
      </c>
      <c r="GI17" s="215">
        <f>SUMIFS('Expenditure Breakdown'!$U$6:$U$167, 'Expenditure Breakdown'!$T$6:$T$167, "&gt;="&amp;GI1,'Expenditure Breakdown'!$T$6:$T$167, "&lt;"&amp;GJ1)</f>
        <v>0</v>
      </c>
      <c r="GJ17" s="215">
        <f>SUMIFS('Expenditure Breakdown'!$U$6:$U$167, 'Expenditure Breakdown'!$T$6:$T$167, "&gt;="&amp;GJ1,'Expenditure Breakdown'!$T$6:$T$167, "&lt;"&amp;GK1)</f>
        <v>0</v>
      </c>
      <c r="GK17" s="215">
        <f>SUMIFS('Expenditure Breakdown'!$U$6:$U$167, 'Expenditure Breakdown'!$T$6:$T$167, "&gt;="&amp;GK1,'Expenditure Breakdown'!$T$6:$T$167, "&lt;"&amp;GL1)</f>
        <v>0</v>
      </c>
      <c r="GL17" s="215">
        <f>SUMIFS('Expenditure Breakdown'!$U$6:$U$167, 'Expenditure Breakdown'!$T$6:$T$167, "&gt;="&amp;GL1,'Expenditure Breakdown'!$T$6:$T$167, "&lt;"&amp;GM1)</f>
        <v>0</v>
      </c>
      <c r="GM17" s="215">
        <f>SUMIFS('Expenditure Breakdown'!$U$6:$U$167, 'Expenditure Breakdown'!$T$6:$T$167, "&gt;="&amp;GM1,'Expenditure Breakdown'!$T$6:$T$167, "&lt;"&amp;GN1)</f>
        <v>0</v>
      </c>
      <c r="GN17" s="215">
        <f>SUMIFS('Expenditure Breakdown'!$U$6:$U$167, 'Expenditure Breakdown'!$T$6:$T$167, "&gt;="&amp;GN1,'Expenditure Breakdown'!$T$6:$T$167, "&lt;"&amp;GO1)</f>
        <v>0</v>
      </c>
      <c r="GO17" s="215">
        <f>SUMIFS('Expenditure Breakdown'!$U$6:$U$167, 'Expenditure Breakdown'!$T$6:$T$167, "&gt;="&amp;GO1,'Expenditure Breakdown'!$T$6:$T$167, "&lt;"&amp;GP1)</f>
        <v>0</v>
      </c>
      <c r="GP17" s="215">
        <f>SUMIFS('Expenditure Breakdown'!$U$6:$U$167, 'Expenditure Breakdown'!$T$6:$T$167, "&gt;="&amp;GP1,'Expenditure Breakdown'!$T$6:$T$167, "&lt;"&amp;GQ1)</f>
        <v>0</v>
      </c>
      <c r="GQ17" s="215">
        <f>SUMIFS('Expenditure Breakdown'!$U$6:$U$167, 'Expenditure Breakdown'!$T$6:$T$167, "&gt;="&amp;GQ1,'Expenditure Breakdown'!$T$6:$T$167, "&lt;"&amp;GR1)</f>
        <v>0</v>
      </c>
      <c r="GR17" s="215">
        <f>SUMIFS('Expenditure Breakdown'!$U$6:$U$167, 'Expenditure Breakdown'!$T$6:$T$167, "&gt;="&amp;GR1,'Expenditure Breakdown'!$T$6:$T$167, "&lt;"&amp;GS1)</f>
        <v>0</v>
      </c>
      <c r="GS17" s="215">
        <f>SUMIFS('Expenditure Breakdown'!$U$6:$U$167, 'Expenditure Breakdown'!$T$6:$T$167, "&gt;="&amp;GS1,'Expenditure Breakdown'!$T$6:$T$167, "&lt;"&amp;GT1)</f>
        <v>0</v>
      </c>
      <c r="GT17" s="215">
        <f>SUMIFS('Expenditure Breakdown'!$U$6:$U$167, 'Expenditure Breakdown'!$T$6:$T$167, "&gt;="&amp;GT1,'Expenditure Breakdown'!$T$6:$T$167, "&lt;"&amp;GU1)</f>
        <v>0</v>
      </c>
      <c r="GU17" s="215">
        <f>SUMIFS('Expenditure Breakdown'!$U$6:$U$167, 'Expenditure Breakdown'!$T$6:$T$167, "&gt;="&amp;GU1,'Expenditure Breakdown'!$T$6:$T$167, "&lt;"&amp;GV1)</f>
        <v>0</v>
      </c>
      <c r="GV17" s="215">
        <f>SUMIFS('Expenditure Breakdown'!$U$6:$U$167, 'Expenditure Breakdown'!$T$6:$T$167, "&gt;="&amp;GV1,'Expenditure Breakdown'!$T$6:$T$167, "&lt;"&amp;GW1)</f>
        <v>0</v>
      </c>
      <c r="GW17" s="215">
        <f>SUMIFS('Expenditure Breakdown'!$U$6:$U$167, 'Expenditure Breakdown'!$T$6:$T$167, "&gt;="&amp;GW1,'Expenditure Breakdown'!$T$6:$T$167, "&lt;"&amp;GX1)</f>
        <v>0</v>
      </c>
      <c r="GX17" s="215">
        <f>SUMIFS('Expenditure Breakdown'!$U$6:$U$167, 'Expenditure Breakdown'!$T$6:$T$167, "&gt;="&amp;GX1,'Expenditure Breakdown'!$T$6:$T$167, "&lt;"&amp;GY1)</f>
        <v>0</v>
      </c>
      <c r="GY17" s="215">
        <f>SUMIFS('Expenditure Breakdown'!$U$6:$U$167, 'Expenditure Breakdown'!$T$6:$T$167, "&gt;="&amp;GY1,'Expenditure Breakdown'!$T$6:$T$167, "&lt;"&amp;GZ1)</f>
        <v>0</v>
      </c>
      <c r="GZ17" s="215">
        <f>SUMIFS('Expenditure Breakdown'!$U$6:$U$167, 'Expenditure Breakdown'!$T$6:$T$167, "&gt;="&amp;GZ1,'Expenditure Breakdown'!$T$6:$T$167, "&lt;"&amp;HA1)</f>
        <v>0</v>
      </c>
      <c r="HA17" s="215">
        <f>SUMIFS('Expenditure Breakdown'!$U$6:$U$167, 'Expenditure Breakdown'!$T$6:$T$167, "&gt;="&amp;HA1,'Expenditure Breakdown'!$T$6:$T$167, "&lt;"&amp;HB1)</f>
        <v>0</v>
      </c>
      <c r="HB17" s="215">
        <f>SUMIFS('Expenditure Breakdown'!$U$6:$U$167, 'Expenditure Breakdown'!$T$6:$T$167, "&gt;="&amp;HB1,'Expenditure Breakdown'!$T$6:$T$167, "&lt;"&amp;HC1)</f>
        <v>0</v>
      </c>
      <c r="HC17" s="215">
        <f>SUMIFS('Expenditure Breakdown'!$U$6:$U$167, 'Expenditure Breakdown'!$T$6:$T$167, "&gt;="&amp;HC1,'Expenditure Breakdown'!$T$6:$T$167, "&lt;"&amp;HD1)</f>
        <v>0</v>
      </c>
      <c r="HD17" s="215">
        <f>SUMIFS('Expenditure Breakdown'!$U$6:$U$167, 'Expenditure Breakdown'!$T$6:$T$167, "&gt;="&amp;HD1,'Expenditure Breakdown'!$T$6:$T$167, "&lt;"&amp;HE1)</f>
        <v>0</v>
      </c>
      <c r="HE17" s="215">
        <f>SUMIFS('Expenditure Breakdown'!$U$6:$U$167, 'Expenditure Breakdown'!$T$6:$T$167, "&gt;="&amp;HE1,'Expenditure Breakdown'!$T$6:$T$167, "&lt;"&amp;HF1)</f>
        <v>0</v>
      </c>
      <c r="HF17" s="215">
        <f>SUMIFS('Expenditure Breakdown'!$U$6:$U$167, 'Expenditure Breakdown'!$T$6:$T$167, "&gt;="&amp;HF1,'Expenditure Breakdown'!$T$6:$T$167, "&lt;"&amp;HG1)</f>
        <v>0</v>
      </c>
      <c r="HG17" s="215">
        <f>SUMIFS('Expenditure Breakdown'!$U$6:$U$167, 'Expenditure Breakdown'!$T$6:$T$167, "&gt;="&amp;HG1,'Expenditure Breakdown'!$T$6:$T$167, "&lt;"&amp;HH1)</f>
        <v>0</v>
      </c>
      <c r="HH17" s="215">
        <f>SUMIFS('Expenditure Breakdown'!$U$6:$U$167, 'Expenditure Breakdown'!$T$6:$T$167, "&gt;="&amp;HH1,'Expenditure Breakdown'!$T$6:$T$167, "&lt;"&amp;HI1)</f>
        <v>0</v>
      </c>
      <c r="HI17" s="215">
        <f>SUMIFS('Expenditure Breakdown'!$U$6:$U$167, 'Expenditure Breakdown'!$T$6:$T$167, "&gt;="&amp;HI1,'Expenditure Breakdown'!$T$6:$T$167, "&lt;"&amp;HJ1)</f>
        <v>0</v>
      </c>
      <c r="HJ17" s="215">
        <f>SUMIFS('Expenditure Breakdown'!$U$6:$U$167, 'Expenditure Breakdown'!$T$6:$T$167, "&gt;="&amp;HJ1,'Expenditure Breakdown'!$T$6:$T$167, "&lt;"&amp;HK1)</f>
        <v>0</v>
      </c>
      <c r="HK17" s="215">
        <f>SUMIFS('Expenditure Breakdown'!$U$6:$U$167, 'Expenditure Breakdown'!$T$6:$T$167, "&gt;="&amp;HK1,'Expenditure Breakdown'!$T$6:$T$167, "&lt;"&amp;HL1)</f>
        <v>0</v>
      </c>
      <c r="HL17" s="215">
        <f>SUMIFS('Expenditure Breakdown'!$U$6:$U$167, 'Expenditure Breakdown'!$T$6:$T$167, "&gt;="&amp;HL1,'Expenditure Breakdown'!$T$6:$T$167, "&lt;"&amp;HM1)</f>
        <v>0</v>
      </c>
      <c r="HM17" s="215">
        <f>SUMIFS('Expenditure Breakdown'!$U$6:$U$167, 'Expenditure Breakdown'!$T$6:$T$167, "&gt;="&amp;HM1,'Expenditure Breakdown'!$T$6:$T$167, "&lt;"&amp;HN1)</f>
        <v>0</v>
      </c>
      <c r="HN17" s="215">
        <f>SUMIFS('Expenditure Breakdown'!$U$6:$U$167, 'Expenditure Breakdown'!$T$6:$T$167, "&gt;="&amp;HN1,'Expenditure Breakdown'!$T$6:$T$167, "&lt;"&amp;HO1)</f>
        <v>0</v>
      </c>
      <c r="HO17" s="215">
        <f>SUMIFS('Expenditure Breakdown'!$U$6:$U$167, 'Expenditure Breakdown'!$T$6:$T$167, "&gt;="&amp;HO1,'Expenditure Breakdown'!$T$6:$T$167, "&lt;"&amp;HP1)</f>
        <v>0</v>
      </c>
      <c r="HP17" s="215">
        <f>SUMIFS('Expenditure Breakdown'!$U$6:$U$167, 'Expenditure Breakdown'!$T$6:$T$167, "&gt;="&amp;HP1,'Expenditure Breakdown'!$T$6:$T$167, "&lt;"&amp;HQ1)</f>
        <v>0</v>
      </c>
      <c r="HQ17" s="215">
        <f>SUMIFS('Expenditure Breakdown'!$U$6:$U$167, 'Expenditure Breakdown'!$T$6:$T$167, "&gt;="&amp;HQ1,'Expenditure Breakdown'!$T$6:$T$167, "&lt;"&amp;HR1)</f>
        <v>0</v>
      </c>
      <c r="HR17" s="215">
        <f>SUMIFS('Expenditure Breakdown'!$U$6:$U$167, 'Expenditure Breakdown'!$T$6:$T$167, "&gt;="&amp;HR1,'Expenditure Breakdown'!$T$6:$T$167, "&lt;"&amp;HS1)</f>
        <v>0</v>
      </c>
      <c r="HS17" s="215">
        <f>SUMIFS('Expenditure Breakdown'!$U$6:$U$167, 'Expenditure Breakdown'!$T$6:$T$167, "&gt;="&amp;HS1,'Expenditure Breakdown'!$T$6:$T$167, "&lt;"&amp;HT1)</f>
        <v>0</v>
      </c>
      <c r="HT17" s="215">
        <f>SUMIFS('Expenditure Breakdown'!$U$6:$U$167, 'Expenditure Breakdown'!$T$6:$T$167, "&gt;="&amp;HT1,'Expenditure Breakdown'!$T$6:$T$167, "&lt;"&amp;HU1)</f>
        <v>0</v>
      </c>
      <c r="HU17" s="215">
        <f>SUMIFS('Expenditure Breakdown'!$U$6:$U$167, 'Expenditure Breakdown'!$T$6:$T$167, "&gt;="&amp;HU1,'Expenditure Breakdown'!$T$6:$T$167, "&lt;"&amp;HV1)</f>
        <v>0</v>
      </c>
      <c r="HV17" s="215">
        <f>SUMIFS('Expenditure Breakdown'!$U$6:$U$167, 'Expenditure Breakdown'!$T$6:$T$167, "&gt;="&amp;HV1,'Expenditure Breakdown'!$T$6:$T$167, "&lt;"&amp;HW1)</f>
        <v>0</v>
      </c>
      <c r="HW17" s="215">
        <f>SUMIFS('Expenditure Breakdown'!$U$6:$U$167, 'Expenditure Breakdown'!$T$6:$T$167, "&gt;="&amp;HW1,'Expenditure Breakdown'!$T$6:$T$167, "&lt;"&amp;HX1)</f>
        <v>0</v>
      </c>
      <c r="HX17" s="215">
        <f>SUMIFS('Expenditure Breakdown'!$U$6:$U$167, 'Expenditure Breakdown'!$T$6:$T$167, "&gt;="&amp;HX1,'Expenditure Breakdown'!$T$6:$T$167, "&lt;"&amp;HY1)</f>
        <v>0</v>
      </c>
      <c r="HY17" s="215">
        <f>SUMIFS('Expenditure Breakdown'!$U$6:$U$167, 'Expenditure Breakdown'!$T$6:$T$167, "&gt;="&amp;HY1,'Expenditure Breakdown'!$T$6:$T$167, "&lt;"&amp;HZ1)</f>
        <v>0</v>
      </c>
      <c r="HZ17" s="215">
        <f>SUMIFS('Expenditure Breakdown'!$U$6:$U$167, 'Expenditure Breakdown'!$T$6:$T$167, "&gt;="&amp;HZ1,'Expenditure Breakdown'!$T$6:$T$167, "&lt;"&amp;IA1)</f>
        <v>0</v>
      </c>
      <c r="IA17" s="215">
        <f>SUMIFS('Expenditure Breakdown'!$U$6:$U$167, 'Expenditure Breakdown'!$T$6:$T$167, "&gt;="&amp;IA1,'Expenditure Breakdown'!$T$6:$T$167, "&lt;"&amp;IB1)</f>
        <v>0</v>
      </c>
      <c r="IB17" s="215">
        <f>SUMIFS('Expenditure Breakdown'!$U$6:$U$167, 'Expenditure Breakdown'!$T$6:$T$167, "&gt;="&amp;IB1,'Expenditure Breakdown'!$T$6:$T$167, "&lt;"&amp;IC1)</f>
        <v>0</v>
      </c>
      <c r="IC17" s="215">
        <f>SUMIFS('Expenditure Breakdown'!$U$6:$U$167, 'Expenditure Breakdown'!$T$6:$T$167, "&gt;="&amp;IC1,'Expenditure Breakdown'!$T$6:$T$167, "&lt;"&amp;ID1)</f>
        <v>0</v>
      </c>
      <c r="ID17" s="215">
        <f>SUMIFS('Expenditure Breakdown'!$U$6:$U$167, 'Expenditure Breakdown'!$T$6:$T$167, "&gt;="&amp;ID1,'Expenditure Breakdown'!$T$6:$T$167, "&lt;"&amp;IE1)</f>
        <v>0</v>
      </c>
      <c r="IE17" s="215">
        <f>SUMIFS('Expenditure Breakdown'!$U$6:$U$167, 'Expenditure Breakdown'!$T$6:$T$167, "&gt;="&amp;IE1,'Expenditure Breakdown'!$T$6:$T$167, "&lt;"&amp;IF1)</f>
        <v>0</v>
      </c>
      <c r="IF17" s="215">
        <f>SUMIFS('Expenditure Breakdown'!$U$6:$U$167, 'Expenditure Breakdown'!$T$6:$T$167, "&gt;="&amp;IF1,'Expenditure Breakdown'!$T$6:$T$167, "&lt;"&amp;IG1)</f>
        <v>0</v>
      </c>
      <c r="IG17" s="215">
        <f>SUMIFS('Expenditure Breakdown'!$U$6:$U$167, 'Expenditure Breakdown'!$T$6:$T$167, "&gt;="&amp;IG1,'Expenditure Breakdown'!$T$6:$T$167, "&lt;"&amp;IH1)</f>
        <v>0</v>
      </c>
      <c r="IH17" s="215">
        <f>SUMIFS('Expenditure Breakdown'!$U$6:$U$167, 'Expenditure Breakdown'!$T$6:$T$167, "&gt;="&amp;IH1,'Expenditure Breakdown'!$T$6:$T$167, "&lt;"&amp;II1)</f>
        <v>0</v>
      </c>
      <c r="II17" s="215">
        <f>SUMIFS('Expenditure Breakdown'!$U$6:$U$167, 'Expenditure Breakdown'!$T$6:$T$167, "&gt;="&amp;II1,'Expenditure Breakdown'!$T$6:$T$167, "&lt;"&amp;IJ1)</f>
        <v>0</v>
      </c>
      <c r="IJ17" s="215">
        <f>SUMIFS('Expenditure Breakdown'!$U$6:$U$167, 'Expenditure Breakdown'!$T$6:$T$167, "&gt;="&amp;IJ1,'Expenditure Breakdown'!$T$6:$T$167, "&lt;"&amp;IK1)</f>
        <v>0</v>
      </c>
      <c r="IK17" s="215">
        <f>SUMIFS('Expenditure Breakdown'!$U$6:$U$167, 'Expenditure Breakdown'!$T$6:$T$167, "&gt;="&amp;IK1,'Expenditure Breakdown'!$T$6:$T$167, "&lt;"&amp;IL1)</f>
        <v>0</v>
      </c>
      <c r="IL17" s="215">
        <f>SUMIFS('Expenditure Breakdown'!$U$6:$U$167, 'Expenditure Breakdown'!$T$6:$T$167, "&gt;="&amp;IL1,'Expenditure Breakdown'!$T$6:$T$167, "&lt;"&amp;IM1)</f>
        <v>0</v>
      </c>
      <c r="IM17" s="215">
        <f>SUMIFS('Expenditure Breakdown'!$U$6:$U$167, 'Expenditure Breakdown'!$T$6:$T$167, "&gt;="&amp;IM1,'Expenditure Breakdown'!$T$6:$T$167, "&lt;"&amp;IN1)</f>
        <v>0</v>
      </c>
      <c r="IN17" s="215">
        <f>SUMIFS('Expenditure Breakdown'!$U$6:$U$167, 'Expenditure Breakdown'!$T$6:$T$167, "&gt;="&amp;IN1,'Expenditure Breakdown'!$T$6:$T$167, "&lt;"&amp;IO1)</f>
        <v>0</v>
      </c>
      <c r="IO17" s="215">
        <f>SUMIFS('Expenditure Breakdown'!$U$6:$U$167, 'Expenditure Breakdown'!$T$6:$T$167, "&gt;="&amp;IO1,'Expenditure Breakdown'!$T$6:$T$167, "&lt;"&amp;IP1)</f>
        <v>0</v>
      </c>
      <c r="IP17" s="215">
        <f>SUMIFS('Expenditure Breakdown'!$U$6:$U$167, 'Expenditure Breakdown'!$T$6:$T$167, "&gt;="&amp;IP1,'Expenditure Breakdown'!$T$6:$T$167, "&lt;"&amp;IQ1)</f>
        <v>0</v>
      </c>
      <c r="IQ17" s="215">
        <f>SUMIFS('Expenditure Breakdown'!$U$6:$U$167, 'Expenditure Breakdown'!$T$6:$T$167, "&gt;="&amp;IQ1,'Expenditure Breakdown'!$T$6:$T$167, "&lt;"&amp;IR1)</f>
        <v>0</v>
      </c>
      <c r="IR17" s="215">
        <f>SUMIFS('Expenditure Breakdown'!$U$6:$U$167, 'Expenditure Breakdown'!$T$6:$T$167, "&gt;="&amp;IR1,'Expenditure Breakdown'!$T$6:$T$167, "&lt;"&amp;IS1)</f>
        <v>0</v>
      </c>
      <c r="IS17" s="215">
        <f>SUMIFS('Expenditure Breakdown'!$U$6:$U$167, 'Expenditure Breakdown'!$T$6:$T$167, "&gt;="&amp;IS1,'Expenditure Breakdown'!$T$6:$T$167, "&lt;"&amp;IT1)</f>
        <v>0</v>
      </c>
      <c r="IT17" s="215">
        <f>SUMIFS('Expenditure Breakdown'!$U$6:$U$167, 'Expenditure Breakdown'!$T$6:$T$167, "&gt;="&amp;IT1,'Expenditure Breakdown'!$T$6:$T$167, "&lt;"&amp;IU1)</f>
        <v>0</v>
      </c>
      <c r="IU17" s="215">
        <f>SUMIFS('Expenditure Breakdown'!$U$6:$U$167, 'Expenditure Breakdown'!$T$6:$T$167, "&gt;="&amp;IU1,'Expenditure Breakdown'!$T$6:$T$167, "&lt;"&amp;IV1)</f>
        <v>0</v>
      </c>
      <c r="IV17" s="215">
        <f>SUMIFS('Expenditure Breakdown'!$U$6:$U$167, 'Expenditure Breakdown'!$T$6:$T$167, "&gt;="&amp;IV1,'Expenditure Breakdown'!$T$6:$T$167, "&lt;"&amp;IW1)</f>
        <v>0</v>
      </c>
      <c r="IW17" s="215">
        <f>SUMIFS('Expenditure Breakdown'!$U$6:$U$167, 'Expenditure Breakdown'!$T$6:$T$167, "&gt;="&amp;IW1,'Expenditure Breakdown'!$T$6:$T$167, "&lt;"&amp;IX1)</f>
        <v>0</v>
      </c>
      <c r="IX17" s="215">
        <f>SUMIFS('Expenditure Breakdown'!$U$6:$U$167, 'Expenditure Breakdown'!$T$6:$T$167, "&gt;="&amp;IX1,'Expenditure Breakdown'!$T$6:$T$167, "&lt;"&amp;IY1)</f>
        <v>0</v>
      </c>
      <c r="IY17" s="215">
        <f>SUMIFS('Expenditure Breakdown'!$U$6:$U$167, 'Expenditure Breakdown'!$T$6:$T$167, "&gt;="&amp;IY1,'Expenditure Breakdown'!$T$6:$T$167, "&lt;"&amp;IZ1)</f>
        <v>0</v>
      </c>
      <c r="IZ17" s="215">
        <f>SUMIFS('Expenditure Breakdown'!$U$6:$U$167, 'Expenditure Breakdown'!$T$6:$T$167, "&gt;="&amp;IZ1,'Expenditure Breakdown'!$T$6:$T$167, "&lt;"&amp;JA1)</f>
        <v>0</v>
      </c>
      <c r="JA17" s="215">
        <f>SUMIFS('Expenditure Breakdown'!$U$6:$U$167, 'Expenditure Breakdown'!$T$6:$T$167, "&gt;="&amp;JA1,'Expenditure Breakdown'!$T$6:$T$167, "&lt;"&amp;JB1)</f>
        <v>0</v>
      </c>
      <c r="JB17" s="215">
        <f>SUMIFS('Expenditure Breakdown'!$U$6:$U$167, 'Expenditure Breakdown'!$T$6:$T$167, "&gt;="&amp;JB1,'Expenditure Breakdown'!$T$6:$T$167, "&lt;"&amp;JC1)</f>
        <v>0</v>
      </c>
      <c r="JC17" s="215">
        <f>SUMIFS('Expenditure Breakdown'!$U$6:$U$167, 'Expenditure Breakdown'!$T$6:$T$167, "&gt;="&amp;JC1,'Expenditure Breakdown'!$T$6:$T$167, "&lt;"&amp;JD1)</f>
        <v>0</v>
      </c>
      <c r="JD17" s="215">
        <f>SUMIFS('Expenditure Breakdown'!$U$6:$U$167, 'Expenditure Breakdown'!$T$6:$T$167, "&gt;="&amp;JD1,'Expenditure Breakdown'!$T$6:$T$167, "&lt;"&amp;JE1)</f>
        <v>0</v>
      </c>
      <c r="JE17" s="215">
        <f>SUMIFS('Expenditure Breakdown'!$U$6:$U$167, 'Expenditure Breakdown'!$T$6:$T$167, "&gt;="&amp;JE1,'Expenditure Breakdown'!$T$6:$T$167, "&lt;"&amp;JF1)</f>
        <v>0</v>
      </c>
      <c r="JF17" s="215">
        <f>SUMIFS('Expenditure Breakdown'!$U$6:$U$167, 'Expenditure Breakdown'!$T$6:$T$167, "&gt;="&amp;JF1,'Expenditure Breakdown'!$T$6:$T$167, "&lt;"&amp;JG1)</f>
        <v>0</v>
      </c>
      <c r="JG17" s="215">
        <f>SUMIFS('Expenditure Breakdown'!$U$6:$U$167, 'Expenditure Breakdown'!$T$6:$T$167, "&gt;="&amp;JG1,'Expenditure Breakdown'!$T$6:$T$167, "&lt;"&amp;JH1)</f>
        <v>0</v>
      </c>
      <c r="JH17" s="215">
        <f>SUMIFS('Expenditure Breakdown'!$U$6:$U$167, 'Expenditure Breakdown'!$T$6:$T$167, "&gt;="&amp;JH1,'Expenditure Breakdown'!$T$6:$T$167, "&lt;"&amp;JI1)</f>
        <v>0</v>
      </c>
      <c r="JI17" s="215">
        <f>SUMIFS('Expenditure Breakdown'!$U$6:$U$167, 'Expenditure Breakdown'!$T$6:$T$167, "&gt;="&amp;JI1,'Expenditure Breakdown'!$T$6:$T$167, "&lt;"&amp;JJ1)</f>
        <v>0</v>
      </c>
      <c r="JJ17" s="215">
        <f>SUMIFS('Expenditure Breakdown'!$U$6:$U$167, 'Expenditure Breakdown'!$T$6:$T$167, "&gt;="&amp;JJ1,'Expenditure Breakdown'!$T$6:$T$167, "&lt;"&amp;JK1)</f>
        <v>0</v>
      </c>
      <c r="JK17" s="215">
        <f>SUMIFS('Expenditure Breakdown'!$U$6:$U$167, 'Expenditure Breakdown'!$T$6:$T$167, "&gt;="&amp;JK1,'Expenditure Breakdown'!$T$6:$T$167, "&lt;"&amp;JL1)</f>
        <v>0</v>
      </c>
      <c r="JL17" s="215">
        <f>SUMIFS('Expenditure Breakdown'!$U$6:$U$167, 'Expenditure Breakdown'!$T$6:$T$167, "&gt;="&amp;JL1,'Expenditure Breakdown'!$T$6:$T$167, "&lt;"&amp;JM1)</f>
        <v>0</v>
      </c>
      <c r="JM17" s="215">
        <f>SUMIFS('Expenditure Breakdown'!$U$6:$U$167, 'Expenditure Breakdown'!$T$6:$T$167, "&gt;="&amp;JM1,'Expenditure Breakdown'!$T$6:$T$167, "&lt;"&amp;JN1)</f>
        <v>0</v>
      </c>
      <c r="JN17" s="215">
        <f>SUMIFS('Expenditure Breakdown'!$U$6:$U$167, 'Expenditure Breakdown'!$T$6:$T$167, "&gt;="&amp;JN1,'Expenditure Breakdown'!$T$6:$T$167, "&lt;"&amp;JO1)</f>
        <v>0</v>
      </c>
      <c r="JO17" s="215">
        <f>SUMIFS('Expenditure Breakdown'!$U$6:$U$167, 'Expenditure Breakdown'!$T$6:$T$167, "&gt;="&amp;JO1,'Expenditure Breakdown'!$T$6:$T$167, "&lt;"&amp;JP1)</f>
        <v>0</v>
      </c>
      <c r="JP17" s="215">
        <f>SUMIFS('Expenditure Breakdown'!$U$6:$U$167, 'Expenditure Breakdown'!$T$6:$T$167, "&gt;="&amp;JP1,'Expenditure Breakdown'!$T$6:$T$167, "&lt;"&amp;JQ1)</f>
        <v>0</v>
      </c>
      <c r="JQ17" s="215">
        <f>SUMIFS('Expenditure Breakdown'!$U$6:$U$167, 'Expenditure Breakdown'!$T$6:$T$167, "&gt;="&amp;JQ1,'Expenditure Breakdown'!$T$6:$T$167, "&lt;"&amp;JR1)</f>
        <v>0</v>
      </c>
      <c r="JR17" s="215">
        <f>SUMIFS('Expenditure Breakdown'!$U$6:$U$167, 'Expenditure Breakdown'!$T$6:$T$167, "&gt;="&amp;JR1,'Expenditure Breakdown'!$T$6:$T$167, "&lt;"&amp;JS1)</f>
        <v>0</v>
      </c>
      <c r="JS17" s="215">
        <f>SUMIFS('Expenditure Breakdown'!$U$6:$U$167, 'Expenditure Breakdown'!$T$6:$T$167, "&gt;="&amp;JS1,'Expenditure Breakdown'!$T$6:$T$167, "&lt;"&amp;JT1)</f>
        <v>0</v>
      </c>
      <c r="JT17" s="215">
        <f>SUMIFS('Expenditure Breakdown'!$U$6:$U$167, 'Expenditure Breakdown'!$T$6:$T$167, "&gt;="&amp;JT1,'Expenditure Breakdown'!$T$6:$T$167, "&lt;"&amp;JU1)</f>
        <v>0</v>
      </c>
      <c r="JU17" s="215">
        <f>SUMIFS('Expenditure Breakdown'!$U$6:$U$167, 'Expenditure Breakdown'!$T$6:$T$167, "&gt;="&amp;JU1,'Expenditure Breakdown'!$T$6:$T$167, "&lt;"&amp;JV1)</f>
        <v>0</v>
      </c>
      <c r="JV17" s="215">
        <f>SUMIFS('Expenditure Breakdown'!$U$6:$U$167, 'Expenditure Breakdown'!$T$6:$T$167, "&gt;="&amp;JV1,'Expenditure Breakdown'!$T$6:$T$167, "&lt;"&amp;JW1)</f>
        <v>0</v>
      </c>
      <c r="JW17" s="215">
        <f>SUMIFS('Expenditure Breakdown'!$U$6:$U$167, 'Expenditure Breakdown'!$T$6:$T$167, "&gt;="&amp;JW1,'Expenditure Breakdown'!$T$6:$T$167, "&lt;"&amp;JX1)</f>
        <v>0</v>
      </c>
      <c r="JX17" s="215">
        <f>SUMIFS('Expenditure Breakdown'!$U$6:$U$167, 'Expenditure Breakdown'!$T$6:$T$167, "&gt;="&amp;JX1,'Expenditure Breakdown'!$T$6:$T$167, "&lt;"&amp;JY1)</f>
        <v>0</v>
      </c>
      <c r="JY17" s="215">
        <f>SUMIFS('Expenditure Breakdown'!$U$6:$U$167, 'Expenditure Breakdown'!$T$6:$T$167, "&gt;="&amp;JY1,'Expenditure Breakdown'!$T$6:$T$167, "&lt;"&amp;JZ1)</f>
        <v>0</v>
      </c>
      <c r="JZ17" s="215">
        <f>SUMIFS('Expenditure Breakdown'!$U$6:$U$167, 'Expenditure Breakdown'!$T$6:$T$167, "&gt;="&amp;JZ1,'Expenditure Breakdown'!$T$6:$T$167, "&lt;"&amp;KA1)</f>
        <v>0</v>
      </c>
      <c r="KA17" s="215">
        <f>SUMIFS('Expenditure Breakdown'!$U$6:$U$167, 'Expenditure Breakdown'!$T$6:$T$167, "&gt;="&amp;KA1,'Expenditure Breakdown'!$T$6:$T$167, "&lt;"&amp;KB1)</f>
        <v>0</v>
      </c>
      <c r="KB17" s="215">
        <f>SUMIFS('Expenditure Breakdown'!$U$6:$U$167, 'Expenditure Breakdown'!$T$6:$T$167, "&gt;="&amp;KB1,'Expenditure Breakdown'!$T$6:$T$167, "&lt;"&amp;KC1)</f>
        <v>0</v>
      </c>
      <c r="KC17" s="215">
        <f>SUMIFS('Expenditure Breakdown'!$U$6:$U$167, 'Expenditure Breakdown'!$T$6:$T$167, "&gt;="&amp;KC1,'Expenditure Breakdown'!$T$6:$T$167, "&lt;"&amp;KD1)</f>
        <v>0</v>
      </c>
      <c r="KD17" s="215">
        <f>SUMIFS('Expenditure Breakdown'!$U$6:$U$167, 'Expenditure Breakdown'!$T$6:$T$167, "&gt;="&amp;KD1,'Expenditure Breakdown'!$T$6:$T$167, "&lt;"&amp;KE1)</f>
        <v>0</v>
      </c>
      <c r="KE17" s="215">
        <f>SUMIFS('Expenditure Breakdown'!$U$6:$U$167, 'Expenditure Breakdown'!$T$6:$T$167, "&gt;="&amp;KE1,'Expenditure Breakdown'!$T$6:$T$167, "&lt;"&amp;KF1)</f>
        <v>0</v>
      </c>
      <c r="KF17" s="215">
        <f>SUMIFS('Expenditure Breakdown'!$U$6:$U$167, 'Expenditure Breakdown'!$T$6:$T$167, "&gt;="&amp;KF1,'Expenditure Breakdown'!$T$6:$T$167, "&lt;"&amp;KG1)</f>
        <v>0</v>
      </c>
      <c r="KG17" s="215">
        <f>SUMIFS('Expenditure Breakdown'!$U$6:$U$167, 'Expenditure Breakdown'!$T$6:$T$167, "&gt;="&amp;KG1,'Expenditure Breakdown'!$T$6:$T$167, "&lt;"&amp;KH1)</f>
        <v>0</v>
      </c>
      <c r="KH17" s="215">
        <f>SUMIFS('Expenditure Breakdown'!$U$6:$U$167, 'Expenditure Breakdown'!$T$6:$T$167, "&gt;="&amp;KH1,'Expenditure Breakdown'!$T$6:$T$167, "&lt;"&amp;KI1)</f>
        <v>0</v>
      </c>
      <c r="KI17" s="215">
        <f>SUMIFS('Expenditure Breakdown'!$U$6:$U$167, 'Expenditure Breakdown'!$T$6:$T$167, "&gt;="&amp;KI1,'Expenditure Breakdown'!$T$6:$T$167, "&lt;"&amp;KJ1)</f>
        <v>0</v>
      </c>
      <c r="KJ17" s="215">
        <f>SUMIFS('Expenditure Breakdown'!$U$6:$U$167, 'Expenditure Breakdown'!$T$6:$T$167, "&gt;="&amp;KJ1,'Expenditure Breakdown'!$T$6:$T$167, "&lt;"&amp;KK1)</f>
        <v>0</v>
      </c>
      <c r="KK17" s="215">
        <f>SUMIFS('Expenditure Breakdown'!$U$6:$U$167, 'Expenditure Breakdown'!$T$6:$T$167, "&gt;="&amp;KK1,'Expenditure Breakdown'!$T$6:$T$167, "&lt;"&amp;KL1)</f>
        <v>0</v>
      </c>
      <c r="KL17" s="215">
        <f>SUMIFS('Expenditure Breakdown'!$U$6:$U$167, 'Expenditure Breakdown'!$T$6:$T$167, "&gt;="&amp;KL1,'Expenditure Breakdown'!$T$6:$T$167, "&lt;"&amp;KM1)</f>
        <v>0</v>
      </c>
      <c r="KM17" s="215">
        <f>SUMIFS('Expenditure Breakdown'!$U$6:$U$167, 'Expenditure Breakdown'!$T$6:$T$167, "&gt;="&amp;KM1,'Expenditure Breakdown'!$T$6:$T$167, "&lt;"&amp;KN1)</f>
        <v>0</v>
      </c>
      <c r="KN17" s="215">
        <f>SUMIFS('Expenditure Breakdown'!$U$6:$U$167, 'Expenditure Breakdown'!$T$6:$T$167, "&gt;="&amp;KN1,'Expenditure Breakdown'!$T$6:$T$167, "&lt;"&amp;KO1)</f>
        <v>0</v>
      </c>
      <c r="KO17" s="215">
        <f>SUMIFS('Expenditure Breakdown'!$U$6:$U$167, 'Expenditure Breakdown'!$T$6:$T$167, "&gt;="&amp;KO1,'Expenditure Breakdown'!$T$6:$T$167, "&lt;"&amp;KP1)</f>
        <v>0</v>
      </c>
      <c r="KP17" s="215">
        <f>SUMIFS('Expenditure Breakdown'!$U$6:$U$167, 'Expenditure Breakdown'!$T$6:$T$167, "&gt;="&amp;KP1,'Expenditure Breakdown'!$T$6:$T$167, "&lt;"&amp;KQ1)</f>
        <v>0</v>
      </c>
      <c r="KQ17" s="215">
        <f>SUMIFS('Expenditure Breakdown'!$U$6:$U$167, 'Expenditure Breakdown'!$T$6:$T$167, "&gt;="&amp;KQ1,'Expenditure Breakdown'!$T$6:$T$167, "&lt;"&amp;KR1)</f>
        <v>0</v>
      </c>
      <c r="KR17" s="215">
        <f>SUMIFS('Expenditure Breakdown'!$U$6:$U$167, 'Expenditure Breakdown'!$T$6:$T$167, "&gt;="&amp;KR1,'Expenditure Breakdown'!$T$6:$T$167, "&lt;"&amp;KS1)</f>
        <v>0</v>
      </c>
      <c r="KS17" s="215">
        <f>SUMIFS('Expenditure Breakdown'!$U$6:$U$167, 'Expenditure Breakdown'!$T$6:$T$167, "&gt;="&amp;KS1,'Expenditure Breakdown'!$T$6:$T$167, "&lt;"&amp;KT1)</f>
        <v>0</v>
      </c>
      <c r="KT17" s="215">
        <f>SUMIFS('Expenditure Breakdown'!$U$6:$U$167, 'Expenditure Breakdown'!$T$6:$T$167, "&gt;="&amp;KT1,'Expenditure Breakdown'!$T$6:$T$167, "&lt;"&amp;KU1)</f>
        <v>0</v>
      </c>
      <c r="KU17" s="215">
        <f>SUMIFS('Expenditure Breakdown'!$U$6:$U$167, 'Expenditure Breakdown'!$T$6:$T$167, "&gt;="&amp;KU1,'Expenditure Breakdown'!$T$6:$T$167, "&lt;"&amp;KV1)</f>
        <v>0</v>
      </c>
      <c r="KV17" s="215">
        <f>SUMIFS('Expenditure Breakdown'!$U$6:$U$167, 'Expenditure Breakdown'!$T$6:$T$167, "&gt;="&amp;KV1,'Expenditure Breakdown'!$T$6:$T$167, "&lt;"&amp;KW1)</f>
        <v>0</v>
      </c>
      <c r="KW17" s="215">
        <f>SUMIFS('Expenditure Breakdown'!$U$6:$U$167, 'Expenditure Breakdown'!$T$6:$T$167, "&gt;="&amp;KW1,'Expenditure Breakdown'!$T$6:$T$167, "&lt;"&amp;KX1)</f>
        <v>0</v>
      </c>
      <c r="KX17" s="215">
        <f>SUMIFS('Expenditure Breakdown'!$U$6:$U$167, 'Expenditure Breakdown'!$T$6:$T$167, "&gt;="&amp;KX1,'Expenditure Breakdown'!$T$6:$T$167, "&lt;"&amp;KY1)</f>
        <v>0</v>
      </c>
      <c r="KY17" s="215">
        <f>SUMIFS('Expenditure Breakdown'!$U$6:$U$167, 'Expenditure Breakdown'!$T$6:$T$167, "&gt;="&amp;KY1,'Expenditure Breakdown'!$T$6:$T$167, "&lt;"&amp;KZ1)</f>
        <v>0</v>
      </c>
      <c r="KZ17" s="215">
        <f>SUMIFS('Expenditure Breakdown'!$U$6:$U$167, 'Expenditure Breakdown'!$T$6:$T$167, "&gt;="&amp;KZ1,'Expenditure Breakdown'!$T$6:$T$167, "&lt;"&amp;LA1)</f>
        <v>0</v>
      </c>
      <c r="LA17" s="215">
        <f>SUMIFS('Expenditure Breakdown'!$U$6:$U$167, 'Expenditure Breakdown'!$T$6:$T$167, "&gt;="&amp;LA1,'Expenditure Breakdown'!$T$6:$T$167, "&lt;"&amp;LB1)</f>
        <v>0</v>
      </c>
      <c r="LB17" s="215">
        <f>SUMIFS('Expenditure Breakdown'!$U$6:$U$167, 'Expenditure Breakdown'!$T$6:$T$167, "&gt;="&amp;LB1,'Expenditure Breakdown'!$T$6:$T$167, "&lt;"&amp;LC1)</f>
        <v>0</v>
      </c>
      <c r="LC17" s="215">
        <f>SUMIFS('Expenditure Breakdown'!$U$6:$U$167, 'Expenditure Breakdown'!$T$6:$T$167, "&gt;="&amp;LC1,'Expenditure Breakdown'!$T$6:$T$167, "&lt;"&amp;LD1)</f>
        <v>0</v>
      </c>
      <c r="LD17" s="215">
        <f>SUMIFS('Expenditure Breakdown'!$U$6:$U$167, 'Expenditure Breakdown'!$T$6:$T$167, "&gt;="&amp;LD1,'Expenditure Breakdown'!$T$6:$T$167, "&lt;"&amp;#REF!)</f>
        <v>0</v>
      </c>
    </row>
    <row r="18" spans="1:316">
      <c r="A18" s="810"/>
      <c r="B18" s="196" t="s">
        <v>395</v>
      </c>
      <c r="C18" s="374">
        <f>D17-D18</f>
        <v>0</v>
      </c>
      <c r="D18" s="197">
        <f>MAX(F18:LD18)</f>
        <v>1027122.8351519429</v>
      </c>
      <c r="E18" s="207"/>
      <c r="F18" s="215">
        <f>F17</f>
        <v>0</v>
      </c>
      <c r="G18" s="215">
        <f>F18+G17</f>
        <v>0</v>
      </c>
      <c r="H18" s="215">
        <f>G18+H17</f>
        <v>0</v>
      </c>
      <c r="I18" s="215">
        <f t="shared" ref="I18:BT18" si="37">H18+I17</f>
        <v>0</v>
      </c>
      <c r="J18" s="215">
        <f t="shared" si="37"/>
        <v>0</v>
      </c>
      <c r="K18" s="215">
        <f t="shared" si="37"/>
        <v>0</v>
      </c>
      <c r="L18" s="215">
        <f t="shared" si="37"/>
        <v>0</v>
      </c>
      <c r="M18" s="215">
        <f t="shared" si="37"/>
        <v>0</v>
      </c>
      <c r="N18" s="215">
        <f t="shared" si="37"/>
        <v>0</v>
      </c>
      <c r="O18" s="215">
        <f t="shared" si="37"/>
        <v>0</v>
      </c>
      <c r="P18" s="215">
        <f t="shared" si="37"/>
        <v>0</v>
      </c>
      <c r="Q18" s="215">
        <f t="shared" si="37"/>
        <v>0</v>
      </c>
      <c r="R18" s="215">
        <f t="shared" si="37"/>
        <v>0</v>
      </c>
      <c r="S18" s="215">
        <f t="shared" si="37"/>
        <v>0</v>
      </c>
      <c r="T18" s="215">
        <f t="shared" si="37"/>
        <v>0</v>
      </c>
      <c r="U18" s="215">
        <f t="shared" si="37"/>
        <v>0</v>
      </c>
      <c r="V18" s="215">
        <f t="shared" si="37"/>
        <v>0</v>
      </c>
      <c r="W18" s="215">
        <f t="shared" si="37"/>
        <v>0</v>
      </c>
      <c r="X18" s="215">
        <f t="shared" si="37"/>
        <v>0</v>
      </c>
      <c r="Y18" s="215">
        <f t="shared" si="37"/>
        <v>0</v>
      </c>
      <c r="Z18" s="215">
        <f t="shared" si="37"/>
        <v>0</v>
      </c>
      <c r="AA18" s="215">
        <f t="shared" si="37"/>
        <v>0</v>
      </c>
      <c r="AB18" s="215">
        <f t="shared" si="37"/>
        <v>0</v>
      </c>
      <c r="AC18" s="215">
        <f t="shared" si="37"/>
        <v>0</v>
      </c>
      <c r="AD18" s="215">
        <f t="shared" si="37"/>
        <v>0</v>
      </c>
      <c r="AE18" s="215">
        <f t="shared" si="37"/>
        <v>0</v>
      </c>
      <c r="AF18" s="215">
        <f t="shared" si="37"/>
        <v>0</v>
      </c>
      <c r="AG18" s="215">
        <f t="shared" si="37"/>
        <v>0</v>
      </c>
      <c r="AH18" s="215">
        <f t="shared" si="37"/>
        <v>0</v>
      </c>
      <c r="AI18" s="215">
        <f t="shared" si="37"/>
        <v>0</v>
      </c>
      <c r="AJ18" s="215">
        <f t="shared" si="37"/>
        <v>0</v>
      </c>
      <c r="AK18" s="215">
        <f t="shared" si="37"/>
        <v>665572.37738261756</v>
      </c>
      <c r="AL18" s="215">
        <f t="shared" si="37"/>
        <v>665572.37738261756</v>
      </c>
      <c r="AM18" s="215">
        <f t="shared" si="37"/>
        <v>665572.37738261756</v>
      </c>
      <c r="AN18" s="215">
        <f t="shared" si="37"/>
        <v>665572.37738261756</v>
      </c>
      <c r="AO18" s="215">
        <f t="shared" si="37"/>
        <v>665572.37738261756</v>
      </c>
      <c r="AP18" s="215">
        <f t="shared" si="37"/>
        <v>793108.80156658706</v>
      </c>
      <c r="AQ18" s="215">
        <f t="shared" si="37"/>
        <v>793108.80156658706</v>
      </c>
      <c r="AR18" s="215">
        <f t="shared" si="37"/>
        <v>793108.80156658706</v>
      </c>
      <c r="AS18" s="215">
        <f t="shared" si="37"/>
        <v>793108.80156658706</v>
      </c>
      <c r="AT18" s="215">
        <f t="shared" si="37"/>
        <v>1006989.2981936657</v>
      </c>
      <c r="AU18" s="215">
        <f t="shared" si="37"/>
        <v>1006989.2981936657</v>
      </c>
      <c r="AV18" s="215">
        <f t="shared" si="37"/>
        <v>1006989.2981936657</v>
      </c>
      <c r="AW18" s="215">
        <f t="shared" si="37"/>
        <v>1006989.2981936657</v>
      </c>
      <c r="AX18" s="215">
        <f t="shared" si="37"/>
        <v>1008350.2981936657</v>
      </c>
      <c r="AY18" s="215">
        <f t="shared" si="37"/>
        <v>1008350.2981936657</v>
      </c>
      <c r="AZ18" s="215">
        <f t="shared" si="37"/>
        <v>1008350.2981936657</v>
      </c>
      <c r="BA18" s="215">
        <f t="shared" si="37"/>
        <v>1008350.2981936657</v>
      </c>
      <c r="BB18" s="215">
        <f t="shared" si="37"/>
        <v>1008350.2981936657</v>
      </c>
      <c r="BC18" s="215">
        <f t="shared" si="37"/>
        <v>1008350.2981936657</v>
      </c>
      <c r="BD18" s="215">
        <f t="shared" si="37"/>
        <v>1008350.2981936657</v>
      </c>
      <c r="BE18" s="215">
        <f t="shared" si="37"/>
        <v>1008350.2981936657</v>
      </c>
      <c r="BF18" s="215">
        <f t="shared" si="37"/>
        <v>1008350.2981936657</v>
      </c>
      <c r="BG18" s="215">
        <f t="shared" si="37"/>
        <v>1027122.8351519429</v>
      </c>
      <c r="BH18" s="215">
        <f t="shared" si="37"/>
        <v>1027122.8351519429</v>
      </c>
      <c r="BI18" s="215">
        <f t="shared" si="37"/>
        <v>1027122.8351519429</v>
      </c>
      <c r="BJ18" s="215">
        <f t="shared" si="37"/>
        <v>1027122.8351519429</v>
      </c>
      <c r="BK18" s="215">
        <f t="shared" si="37"/>
        <v>1027122.8351519429</v>
      </c>
      <c r="BL18" s="215">
        <f t="shared" si="37"/>
        <v>1027122.8351519429</v>
      </c>
      <c r="BM18" s="215">
        <f t="shared" si="37"/>
        <v>1027122.8351519429</v>
      </c>
      <c r="BN18" s="215">
        <f t="shared" si="37"/>
        <v>1027122.8351519429</v>
      </c>
      <c r="BO18" s="215">
        <f t="shared" si="37"/>
        <v>1027122.8351519429</v>
      </c>
      <c r="BP18" s="215">
        <f t="shared" si="37"/>
        <v>1027122.8351519429</v>
      </c>
      <c r="BQ18" s="215">
        <f t="shared" si="37"/>
        <v>1027122.8351519429</v>
      </c>
      <c r="BR18" s="215">
        <f t="shared" si="37"/>
        <v>1027122.8351519429</v>
      </c>
      <c r="BS18" s="215">
        <f t="shared" si="37"/>
        <v>1027122.8351519429</v>
      </c>
      <c r="BT18" s="215">
        <f t="shared" si="37"/>
        <v>1027122.8351519429</v>
      </c>
      <c r="BU18" s="215">
        <f t="shared" ref="BU18:EF18" si="38">BT18+BU17</f>
        <v>1027122.8351519429</v>
      </c>
      <c r="BV18" s="215">
        <f t="shared" si="38"/>
        <v>1027122.8351519429</v>
      </c>
      <c r="BW18" s="215">
        <f t="shared" si="38"/>
        <v>1027122.8351519429</v>
      </c>
      <c r="BX18" s="215">
        <f t="shared" si="38"/>
        <v>1027122.8351519429</v>
      </c>
      <c r="BY18" s="215">
        <f t="shared" si="38"/>
        <v>1027122.8351519429</v>
      </c>
      <c r="BZ18" s="215">
        <f t="shared" si="38"/>
        <v>1027122.8351519429</v>
      </c>
      <c r="CA18" s="215">
        <f t="shared" si="38"/>
        <v>1027122.8351519429</v>
      </c>
      <c r="CB18" s="215">
        <f t="shared" si="38"/>
        <v>1027122.8351519429</v>
      </c>
      <c r="CC18" s="215">
        <f t="shared" si="38"/>
        <v>1027122.8351519429</v>
      </c>
      <c r="CD18" s="215">
        <f t="shared" si="38"/>
        <v>1027122.8351519429</v>
      </c>
      <c r="CE18" s="215">
        <f t="shared" si="38"/>
        <v>1027122.8351519429</v>
      </c>
      <c r="CF18" s="215">
        <f t="shared" si="38"/>
        <v>1027122.8351519429</v>
      </c>
      <c r="CG18" s="215">
        <f t="shared" si="38"/>
        <v>1027122.8351519429</v>
      </c>
      <c r="CH18" s="215">
        <f t="shared" si="38"/>
        <v>1027122.8351519429</v>
      </c>
      <c r="CI18" s="215">
        <f t="shared" si="38"/>
        <v>1027122.8351519429</v>
      </c>
      <c r="CJ18" s="215">
        <f t="shared" si="38"/>
        <v>1027122.8351519429</v>
      </c>
      <c r="CK18" s="215">
        <f t="shared" si="38"/>
        <v>1027122.8351519429</v>
      </c>
      <c r="CL18" s="215">
        <f t="shared" si="38"/>
        <v>1027122.8351519429</v>
      </c>
      <c r="CM18" s="215">
        <f t="shared" si="38"/>
        <v>1027122.8351519429</v>
      </c>
      <c r="CN18" s="215">
        <f t="shared" si="38"/>
        <v>1027122.8351519429</v>
      </c>
      <c r="CO18" s="215">
        <f t="shared" si="38"/>
        <v>1027122.8351519429</v>
      </c>
      <c r="CP18" s="215">
        <f t="shared" si="38"/>
        <v>1027122.8351519429</v>
      </c>
      <c r="CQ18" s="215">
        <f t="shared" si="38"/>
        <v>1027122.8351519429</v>
      </c>
      <c r="CR18" s="215">
        <f t="shared" si="38"/>
        <v>1027122.8351519429</v>
      </c>
      <c r="CS18" s="215">
        <f t="shared" si="38"/>
        <v>1027122.8351519429</v>
      </c>
      <c r="CT18" s="215">
        <f t="shared" si="38"/>
        <v>1027122.8351519429</v>
      </c>
      <c r="CU18" s="215">
        <f t="shared" si="38"/>
        <v>1027122.8351519429</v>
      </c>
      <c r="CV18" s="215">
        <f t="shared" si="38"/>
        <v>1027122.8351519429</v>
      </c>
      <c r="CW18" s="215">
        <f t="shared" si="38"/>
        <v>1027122.8351519429</v>
      </c>
      <c r="CX18" s="215">
        <f t="shared" si="38"/>
        <v>1027122.8351519429</v>
      </c>
      <c r="CY18" s="215">
        <f t="shared" si="38"/>
        <v>1027122.8351519429</v>
      </c>
      <c r="CZ18" s="215">
        <f t="shared" si="38"/>
        <v>1027122.8351519429</v>
      </c>
      <c r="DA18" s="215">
        <f t="shared" si="38"/>
        <v>1027122.8351519429</v>
      </c>
      <c r="DB18" s="215">
        <f t="shared" si="38"/>
        <v>1027122.8351519429</v>
      </c>
      <c r="DC18" s="215">
        <f t="shared" si="38"/>
        <v>1027122.8351519429</v>
      </c>
      <c r="DD18" s="215">
        <f t="shared" si="38"/>
        <v>1027122.8351519429</v>
      </c>
      <c r="DE18" s="215">
        <f t="shared" si="38"/>
        <v>1027122.8351519429</v>
      </c>
      <c r="DF18" s="215">
        <f t="shared" si="38"/>
        <v>1027122.8351519429</v>
      </c>
      <c r="DG18" s="215">
        <f t="shared" si="38"/>
        <v>1027122.8351519429</v>
      </c>
      <c r="DH18" s="215">
        <f t="shared" si="38"/>
        <v>1027122.8351519429</v>
      </c>
      <c r="DI18" s="215">
        <f t="shared" si="38"/>
        <v>1027122.8351519429</v>
      </c>
      <c r="DJ18" s="215">
        <f t="shared" si="38"/>
        <v>1027122.8351519429</v>
      </c>
      <c r="DK18" s="215">
        <f t="shared" si="38"/>
        <v>1027122.8351519429</v>
      </c>
      <c r="DL18" s="215">
        <f t="shared" si="38"/>
        <v>1027122.8351519429</v>
      </c>
      <c r="DM18" s="215">
        <f t="shared" si="38"/>
        <v>1027122.8351519429</v>
      </c>
      <c r="DN18" s="215">
        <f t="shared" si="38"/>
        <v>1027122.8351519429</v>
      </c>
      <c r="DO18" s="215">
        <f t="shared" si="38"/>
        <v>1027122.8351519429</v>
      </c>
      <c r="DP18" s="215">
        <f t="shared" si="38"/>
        <v>1027122.8351519429</v>
      </c>
      <c r="DQ18" s="215">
        <f t="shared" si="38"/>
        <v>1027122.8351519429</v>
      </c>
      <c r="DR18" s="215">
        <f t="shared" si="38"/>
        <v>1027122.8351519429</v>
      </c>
      <c r="DS18" s="215">
        <f t="shared" si="38"/>
        <v>1027122.8351519429</v>
      </c>
      <c r="DT18" s="215">
        <f t="shared" si="38"/>
        <v>1027122.8351519429</v>
      </c>
      <c r="DU18" s="215">
        <f t="shared" si="38"/>
        <v>1027122.8351519429</v>
      </c>
      <c r="DV18" s="215">
        <f t="shared" si="38"/>
        <v>1027122.8351519429</v>
      </c>
      <c r="DW18" s="215">
        <f t="shared" si="38"/>
        <v>1027122.8351519429</v>
      </c>
      <c r="DX18" s="215">
        <f t="shared" si="38"/>
        <v>1027122.8351519429</v>
      </c>
      <c r="DY18" s="215">
        <f t="shared" si="38"/>
        <v>1027122.8351519429</v>
      </c>
      <c r="DZ18" s="215">
        <f t="shared" si="38"/>
        <v>1027122.8351519429</v>
      </c>
      <c r="EA18" s="215">
        <f t="shared" si="38"/>
        <v>1027122.8351519429</v>
      </c>
      <c r="EB18" s="215">
        <f t="shared" si="38"/>
        <v>1027122.8351519429</v>
      </c>
      <c r="EC18" s="215">
        <f t="shared" si="38"/>
        <v>1027122.8351519429</v>
      </c>
      <c r="ED18" s="215">
        <f t="shared" si="38"/>
        <v>1027122.8351519429</v>
      </c>
      <c r="EE18" s="215">
        <f t="shared" si="38"/>
        <v>1027122.8351519429</v>
      </c>
      <c r="EF18" s="215">
        <f t="shared" si="38"/>
        <v>1027122.8351519429</v>
      </c>
      <c r="EG18" s="215">
        <f t="shared" ref="EG18:GR18" si="39">EF18+EG17</f>
        <v>1027122.8351519429</v>
      </c>
      <c r="EH18" s="215">
        <f t="shared" si="39"/>
        <v>1027122.8351519429</v>
      </c>
      <c r="EI18" s="215">
        <f t="shared" si="39"/>
        <v>1027122.8351519429</v>
      </c>
      <c r="EJ18" s="215">
        <f t="shared" si="39"/>
        <v>1027122.8351519429</v>
      </c>
      <c r="EK18" s="215">
        <f t="shared" si="39"/>
        <v>1027122.8351519429</v>
      </c>
      <c r="EL18" s="215">
        <f t="shared" si="39"/>
        <v>1027122.8351519429</v>
      </c>
      <c r="EM18" s="215">
        <f t="shared" si="39"/>
        <v>1027122.8351519429</v>
      </c>
      <c r="EN18" s="215">
        <f t="shared" si="39"/>
        <v>1027122.8351519429</v>
      </c>
      <c r="EO18" s="215">
        <f t="shared" si="39"/>
        <v>1027122.8351519429</v>
      </c>
      <c r="EP18" s="215">
        <f t="shared" si="39"/>
        <v>1027122.8351519429</v>
      </c>
      <c r="EQ18" s="215">
        <f t="shared" si="39"/>
        <v>1027122.8351519429</v>
      </c>
      <c r="ER18" s="215">
        <f t="shared" si="39"/>
        <v>1027122.8351519429</v>
      </c>
      <c r="ES18" s="215">
        <f t="shared" si="39"/>
        <v>1027122.8351519429</v>
      </c>
      <c r="ET18" s="215">
        <f t="shared" si="39"/>
        <v>1027122.8351519429</v>
      </c>
      <c r="EU18" s="215">
        <f t="shared" si="39"/>
        <v>1027122.8351519429</v>
      </c>
      <c r="EV18" s="215">
        <f t="shared" si="39"/>
        <v>1027122.8351519429</v>
      </c>
      <c r="EW18" s="215">
        <f t="shared" si="39"/>
        <v>1027122.8351519429</v>
      </c>
      <c r="EX18" s="215">
        <f t="shared" si="39"/>
        <v>1027122.8351519429</v>
      </c>
      <c r="EY18" s="215">
        <f t="shared" si="39"/>
        <v>1027122.8351519429</v>
      </c>
      <c r="EZ18" s="215">
        <f t="shared" si="39"/>
        <v>1027122.8351519429</v>
      </c>
      <c r="FA18" s="215">
        <f t="shared" si="39"/>
        <v>1027122.8351519429</v>
      </c>
      <c r="FB18" s="215">
        <f t="shared" si="39"/>
        <v>1027122.8351519429</v>
      </c>
      <c r="FC18" s="215">
        <f t="shared" si="39"/>
        <v>1027122.8351519429</v>
      </c>
      <c r="FD18" s="215">
        <f t="shared" si="39"/>
        <v>1027122.8351519429</v>
      </c>
      <c r="FE18" s="215">
        <f t="shared" si="39"/>
        <v>1027122.8351519429</v>
      </c>
      <c r="FF18" s="215">
        <f t="shared" si="39"/>
        <v>1027122.8351519429</v>
      </c>
      <c r="FG18" s="215">
        <f t="shared" si="39"/>
        <v>1027122.8351519429</v>
      </c>
      <c r="FH18" s="215">
        <f t="shared" si="39"/>
        <v>1027122.8351519429</v>
      </c>
      <c r="FI18" s="215">
        <f t="shared" si="39"/>
        <v>1027122.8351519429</v>
      </c>
      <c r="FJ18" s="215">
        <f t="shared" si="39"/>
        <v>1027122.8351519429</v>
      </c>
      <c r="FK18" s="215">
        <f t="shared" si="39"/>
        <v>1027122.8351519429</v>
      </c>
      <c r="FL18" s="215">
        <f t="shared" si="39"/>
        <v>1027122.8351519429</v>
      </c>
      <c r="FM18" s="215">
        <f t="shared" si="39"/>
        <v>1027122.8351519429</v>
      </c>
      <c r="FN18" s="215">
        <f t="shared" si="39"/>
        <v>1027122.8351519429</v>
      </c>
      <c r="FO18" s="215">
        <f t="shared" si="39"/>
        <v>1027122.8351519429</v>
      </c>
      <c r="FP18" s="215">
        <f t="shared" si="39"/>
        <v>1027122.8351519429</v>
      </c>
      <c r="FQ18" s="215">
        <f t="shared" si="39"/>
        <v>1027122.8351519429</v>
      </c>
      <c r="FR18" s="215">
        <f t="shared" si="39"/>
        <v>1027122.8351519429</v>
      </c>
      <c r="FS18" s="215">
        <f t="shared" si="39"/>
        <v>1027122.8351519429</v>
      </c>
      <c r="FT18" s="215">
        <f t="shared" si="39"/>
        <v>1027122.8351519429</v>
      </c>
      <c r="FU18" s="215">
        <f t="shared" si="39"/>
        <v>1027122.8351519429</v>
      </c>
      <c r="FV18" s="215">
        <f t="shared" si="39"/>
        <v>1027122.8351519429</v>
      </c>
      <c r="FW18" s="215">
        <f t="shared" si="39"/>
        <v>1027122.8351519429</v>
      </c>
      <c r="FX18" s="215">
        <f t="shared" si="39"/>
        <v>1027122.8351519429</v>
      </c>
      <c r="FY18" s="215">
        <f t="shared" si="39"/>
        <v>1027122.8351519429</v>
      </c>
      <c r="FZ18" s="215">
        <f t="shared" si="39"/>
        <v>1027122.8351519429</v>
      </c>
      <c r="GA18" s="215">
        <f t="shared" si="39"/>
        <v>1027122.8351519429</v>
      </c>
      <c r="GB18" s="215">
        <f t="shared" si="39"/>
        <v>1027122.8351519429</v>
      </c>
      <c r="GC18" s="215">
        <f t="shared" si="39"/>
        <v>1027122.8351519429</v>
      </c>
      <c r="GD18" s="215">
        <f t="shared" si="39"/>
        <v>1027122.8351519429</v>
      </c>
      <c r="GE18" s="215">
        <f t="shared" si="39"/>
        <v>1027122.8351519429</v>
      </c>
      <c r="GF18" s="215">
        <f t="shared" si="39"/>
        <v>1027122.8351519429</v>
      </c>
      <c r="GG18" s="215">
        <f t="shared" si="39"/>
        <v>1027122.8351519429</v>
      </c>
      <c r="GH18" s="215">
        <f t="shared" si="39"/>
        <v>1027122.8351519429</v>
      </c>
      <c r="GI18" s="215">
        <f t="shared" si="39"/>
        <v>1027122.8351519429</v>
      </c>
      <c r="GJ18" s="215">
        <f t="shared" si="39"/>
        <v>1027122.8351519429</v>
      </c>
      <c r="GK18" s="215">
        <f t="shared" si="39"/>
        <v>1027122.8351519429</v>
      </c>
      <c r="GL18" s="215">
        <f t="shared" si="39"/>
        <v>1027122.8351519429</v>
      </c>
      <c r="GM18" s="215">
        <f t="shared" si="39"/>
        <v>1027122.8351519429</v>
      </c>
      <c r="GN18" s="215">
        <f t="shared" si="39"/>
        <v>1027122.8351519429</v>
      </c>
      <c r="GO18" s="215">
        <f t="shared" si="39"/>
        <v>1027122.8351519429</v>
      </c>
      <c r="GP18" s="215">
        <f t="shared" si="39"/>
        <v>1027122.8351519429</v>
      </c>
      <c r="GQ18" s="215">
        <f t="shared" si="39"/>
        <v>1027122.8351519429</v>
      </c>
      <c r="GR18" s="215">
        <f t="shared" si="39"/>
        <v>1027122.8351519429</v>
      </c>
      <c r="GS18" s="215">
        <f t="shared" ref="GS18:JD18" si="40">GR18+GS17</f>
        <v>1027122.8351519429</v>
      </c>
      <c r="GT18" s="215">
        <f t="shared" si="40"/>
        <v>1027122.8351519429</v>
      </c>
      <c r="GU18" s="215">
        <f t="shared" si="40"/>
        <v>1027122.8351519429</v>
      </c>
      <c r="GV18" s="215">
        <f t="shared" si="40"/>
        <v>1027122.8351519429</v>
      </c>
      <c r="GW18" s="215">
        <f t="shared" si="40"/>
        <v>1027122.8351519429</v>
      </c>
      <c r="GX18" s="215">
        <f t="shared" si="40"/>
        <v>1027122.8351519429</v>
      </c>
      <c r="GY18" s="215">
        <f t="shared" si="40"/>
        <v>1027122.8351519429</v>
      </c>
      <c r="GZ18" s="215">
        <f t="shared" si="40"/>
        <v>1027122.8351519429</v>
      </c>
      <c r="HA18" s="215">
        <f t="shared" si="40"/>
        <v>1027122.8351519429</v>
      </c>
      <c r="HB18" s="215">
        <f t="shared" si="40"/>
        <v>1027122.8351519429</v>
      </c>
      <c r="HC18" s="215">
        <f t="shared" si="40"/>
        <v>1027122.8351519429</v>
      </c>
      <c r="HD18" s="215">
        <f t="shared" si="40"/>
        <v>1027122.8351519429</v>
      </c>
      <c r="HE18" s="215">
        <f t="shared" si="40"/>
        <v>1027122.8351519429</v>
      </c>
      <c r="HF18" s="215">
        <f t="shared" si="40"/>
        <v>1027122.8351519429</v>
      </c>
      <c r="HG18" s="215">
        <f t="shared" si="40"/>
        <v>1027122.8351519429</v>
      </c>
      <c r="HH18" s="215">
        <f t="shared" si="40"/>
        <v>1027122.8351519429</v>
      </c>
      <c r="HI18" s="215">
        <f t="shared" si="40"/>
        <v>1027122.8351519429</v>
      </c>
      <c r="HJ18" s="215">
        <f t="shared" si="40"/>
        <v>1027122.8351519429</v>
      </c>
      <c r="HK18" s="215">
        <f t="shared" si="40"/>
        <v>1027122.8351519429</v>
      </c>
      <c r="HL18" s="215">
        <f t="shared" si="40"/>
        <v>1027122.8351519429</v>
      </c>
      <c r="HM18" s="215">
        <f t="shared" si="40"/>
        <v>1027122.8351519429</v>
      </c>
      <c r="HN18" s="215">
        <f t="shared" si="40"/>
        <v>1027122.8351519429</v>
      </c>
      <c r="HO18" s="215">
        <f t="shared" si="40"/>
        <v>1027122.8351519429</v>
      </c>
      <c r="HP18" s="215">
        <f t="shared" si="40"/>
        <v>1027122.8351519429</v>
      </c>
      <c r="HQ18" s="215">
        <f t="shared" si="40"/>
        <v>1027122.8351519429</v>
      </c>
      <c r="HR18" s="215">
        <f t="shared" si="40"/>
        <v>1027122.8351519429</v>
      </c>
      <c r="HS18" s="215">
        <f t="shared" si="40"/>
        <v>1027122.8351519429</v>
      </c>
      <c r="HT18" s="215">
        <f t="shared" si="40"/>
        <v>1027122.8351519429</v>
      </c>
      <c r="HU18" s="215">
        <f t="shared" si="40"/>
        <v>1027122.8351519429</v>
      </c>
      <c r="HV18" s="215">
        <f t="shared" si="40"/>
        <v>1027122.8351519429</v>
      </c>
      <c r="HW18" s="215">
        <f t="shared" si="40"/>
        <v>1027122.8351519429</v>
      </c>
      <c r="HX18" s="215">
        <f t="shared" si="40"/>
        <v>1027122.8351519429</v>
      </c>
      <c r="HY18" s="215">
        <f t="shared" si="40"/>
        <v>1027122.8351519429</v>
      </c>
      <c r="HZ18" s="215">
        <f t="shared" si="40"/>
        <v>1027122.8351519429</v>
      </c>
      <c r="IA18" s="215">
        <f t="shared" si="40"/>
        <v>1027122.8351519429</v>
      </c>
      <c r="IB18" s="215">
        <f t="shared" si="40"/>
        <v>1027122.8351519429</v>
      </c>
      <c r="IC18" s="215">
        <f t="shared" si="40"/>
        <v>1027122.8351519429</v>
      </c>
      <c r="ID18" s="215">
        <f t="shared" si="40"/>
        <v>1027122.8351519429</v>
      </c>
      <c r="IE18" s="215">
        <f t="shared" si="40"/>
        <v>1027122.8351519429</v>
      </c>
      <c r="IF18" s="215">
        <f t="shared" si="40"/>
        <v>1027122.8351519429</v>
      </c>
      <c r="IG18" s="215">
        <f t="shared" si="40"/>
        <v>1027122.8351519429</v>
      </c>
      <c r="IH18" s="215">
        <f t="shared" si="40"/>
        <v>1027122.8351519429</v>
      </c>
      <c r="II18" s="215">
        <f t="shared" si="40"/>
        <v>1027122.8351519429</v>
      </c>
      <c r="IJ18" s="215">
        <f t="shared" si="40"/>
        <v>1027122.8351519429</v>
      </c>
      <c r="IK18" s="215">
        <f t="shared" si="40"/>
        <v>1027122.8351519429</v>
      </c>
      <c r="IL18" s="215">
        <f t="shared" si="40"/>
        <v>1027122.8351519429</v>
      </c>
      <c r="IM18" s="215">
        <f t="shared" si="40"/>
        <v>1027122.8351519429</v>
      </c>
      <c r="IN18" s="215">
        <f t="shared" si="40"/>
        <v>1027122.8351519429</v>
      </c>
      <c r="IO18" s="215">
        <f t="shared" si="40"/>
        <v>1027122.8351519429</v>
      </c>
      <c r="IP18" s="215">
        <f t="shared" si="40"/>
        <v>1027122.8351519429</v>
      </c>
      <c r="IQ18" s="215">
        <f t="shared" si="40"/>
        <v>1027122.8351519429</v>
      </c>
      <c r="IR18" s="215">
        <f t="shared" si="40"/>
        <v>1027122.8351519429</v>
      </c>
      <c r="IS18" s="215">
        <f t="shared" si="40"/>
        <v>1027122.8351519429</v>
      </c>
      <c r="IT18" s="215">
        <f t="shared" si="40"/>
        <v>1027122.8351519429</v>
      </c>
      <c r="IU18" s="215">
        <f t="shared" si="40"/>
        <v>1027122.8351519429</v>
      </c>
      <c r="IV18" s="215">
        <f t="shared" si="40"/>
        <v>1027122.8351519429</v>
      </c>
      <c r="IW18" s="215">
        <f t="shared" si="40"/>
        <v>1027122.8351519429</v>
      </c>
      <c r="IX18" s="215">
        <f t="shared" si="40"/>
        <v>1027122.8351519429</v>
      </c>
      <c r="IY18" s="215">
        <f t="shared" si="40"/>
        <v>1027122.8351519429</v>
      </c>
      <c r="IZ18" s="215">
        <f t="shared" si="40"/>
        <v>1027122.8351519429</v>
      </c>
      <c r="JA18" s="215">
        <f t="shared" si="40"/>
        <v>1027122.8351519429</v>
      </c>
      <c r="JB18" s="215">
        <f t="shared" si="40"/>
        <v>1027122.8351519429</v>
      </c>
      <c r="JC18" s="215">
        <f t="shared" si="40"/>
        <v>1027122.8351519429</v>
      </c>
      <c r="JD18" s="215">
        <f t="shared" si="40"/>
        <v>1027122.8351519429</v>
      </c>
      <c r="JE18" s="215">
        <f t="shared" ref="JE18:LD18" si="41">JD18+JE17</f>
        <v>1027122.8351519429</v>
      </c>
      <c r="JF18" s="215">
        <f t="shared" si="41"/>
        <v>1027122.8351519429</v>
      </c>
      <c r="JG18" s="215">
        <f t="shared" si="41"/>
        <v>1027122.8351519429</v>
      </c>
      <c r="JH18" s="215">
        <f t="shared" si="41"/>
        <v>1027122.8351519429</v>
      </c>
      <c r="JI18" s="215">
        <f t="shared" si="41"/>
        <v>1027122.8351519429</v>
      </c>
      <c r="JJ18" s="215">
        <f t="shared" si="41"/>
        <v>1027122.8351519429</v>
      </c>
      <c r="JK18" s="215">
        <f t="shared" si="41"/>
        <v>1027122.8351519429</v>
      </c>
      <c r="JL18" s="215">
        <f t="shared" si="41"/>
        <v>1027122.8351519429</v>
      </c>
      <c r="JM18" s="215">
        <f t="shared" si="41"/>
        <v>1027122.8351519429</v>
      </c>
      <c r="JN18" s="215">
        <f t="shared" si="41"/>
        <v>1027122.8351519429</v>
      </c>
      <c r="JO18" s="215">
        <f t="shared" si="41"/>
        <v>1027122.8351519429</v>
      </c>
      <c r="JP18" s="215">
        <f t="shared" si="41"/>
        <v>1027122.8351519429</v>
      </c>
      <c r="JQ18" s="215">
        <f t="shared" si="41"/>
        <v>1027122.8351519429</v>
      </c>
      <c r="JR18" s="215">
        <f t="shared" si="41"/>
        <v>1027122.8351519429</v>
      </c>
      <c r="JS18" s="215">
        <f t="shared" si="41"/>
        <v>1027122.8351519429</v>
      </c>
      <c r="JT18" s="215">
        <f t="shared" si="41"/>
        <v>1027122.8351519429</v>
      </c>
      <c r="JU18" s="215">
        <f t="shared" si="41"/>
        <v>1027122.8351519429</v>
      </c>
      <c r="JV18" s="215">
        <f t="shared" si="41"/>
        <v>1027122.8351519429</v>
      </c>
      <c r="JW18" s="215">
        <f t="shared" si="41"/>
        <v>1027122.8351519429</v>
      </c>
      <c r="JX18" s="215">
        <f t="shared" si="41"/>
        <v>1027122.8351519429</v>
      </c>
      <c r="JY18" s="215">
        <f t="shared" si="41"/>
        <v>1027122.8351519429</v>
      </c>
      <c r="JZ18" s="215">
        <f t="shared" si="41"/>
        <v>1027122.8351519429</v>
      </c>
      <c r="KA18" s="215">
        <f t="shared" si="41"/>
        <v>1027122.8351519429</v>
      </c>
      <c r="KB18" s="215">
        <f t="shared" si="41"/>
        <v>1027122.8351519429</v>
      </c>
      <c r="KC18" s="215">
        <f t="shared" si="41"/>
        <v>1027122.8351519429</v>
      </c>
      <c r="KD18" s="215">
        <f t="shared" si="41"/>
        <v>1027122.8351519429</v>
      </c>
      <c r="KE18" s="215">
        <f t="shared" si="41"/>
        <v>1027122.8351519429</v>
      </c>
      <c r="KF18" s="215">
        <f t="shared" si="41"/>
        <v>1027122.8351519429</v>
      </c>
      <c r="KG18" s="215">
        <f t="shared" si="41"/>
        <v>1027122.8351519429</v>
      </c>
      <c r="KH18" s="215">
        <f t="shared" si="41"/>
        <v>1027122.8351519429</v>
      </c>
      <c r="KI18" s="215">
        <f t="shared" si="41"/>
        <v>1027122.8351519429</v>
      </c>
      <c r="KJ18" s="215">
        <f t="shared" si="41"/>
        <v>1027122.8351519429</v>
      </c>
      <c r="KK18" s="215">
        <f t="shared" si="41"/>
        <v>1027122.8351519429</v>
      </c>
      <c r="KL18" s="215">
        <f t="shared" si="41"/>
        <v>1027122.8351519429</v>
      </c>
      <c r="KM18" s="215">
        <f t="shared" si="41"/>
        <v>1027122.8351519429</v>
      </c>
      <c r="KN18" s="215">
        <f t="shared" si="41"/>
        <v>1027122.8351519429</v>
      </c>
      <c r="KO18" s="215">
        <f t="shared" si="41"/>
        <v>1027122.8351519429</v>
      </c>
      <c r="KP18" s="215">
        <f t="shared" si="41"/>
        <v>1027122.8351519429</v>
      </c>
      <c r="KQ18" s="215">
        <f t="shared" si="41"/>
        <v>1027122.8351519429</v>
      </c>
      <c r="KR18" s="215">
        <f t="shared" si="41"/>
        <v>1027122.8351519429</v>
      </c>
      <c r="KS18" s="215">
        <f t="shared" si="41"/>
        <v>1027122.8351519429</v>
      </c>
      <c r="KT18" s="215">
        <f t="shared" si="41"/>
        <v>1027122.8351519429</v>
      </c>
      <c r="KU18" s="215">
        <f t="shared" si="41"/>
        <v>1027122.8351519429</v>
      </c>
      <c r="KV18" s="215">
        <f t="shared" si="41"/>
        <v>1027122.8351519429</v>
      </c>
      <c r="KW18" s="215">
        <f t="shared" si="41"/>
        <v>1027122.8351519429</v>
      </c>
      <c r="KX18" s="215">
        <f t="shared" si="41"/>
        <v>1027122.8351519429</v>
      </c>
      <c r="KY18" s="215">
        <f t="shared" si="41"/>
        <v>1027122.8351519429</v>
      </c>
      <c r="KZ18" s="215">
        <f t="shared" si="41"/>
        <v>1027122.8351519429</v>
      </c>
      <c r="LA18" s="215">
        <f t="shared" si="41"/>
        <v>1027122.8351519429</v>
      </c>
      <c r="LB18" s="215">
        <f t="shared" si="41"/>
        <v>1027122.8351519429</v>
      </c>
      <c r="LC18" s="215">
        <f t="shared" si="41"/>
        <v>1027122.8351519429</v>
      </c>
      <c r="LD18" s="215">
        <f t="shared" si="41"/>
        <v>1027122.8351519429</v>
      </c>
    </row>
    <row r="19" spans="1:316" s="192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E8" sqref="E8"/>
    </sheetView>
  </sheetViews>
  <sheetFormatPr defaultColWidth="12.1796875" defaultRowHeight="14.5"/>
  <cols>
    <col min="1" max="1" width="39.453125" style="367" bestFit="1" customWidth="1"/>
    <col min="2" max="2" width="17.1796875" style="368" bestFit="1" customWidth="1"/>
    <col min="3" max="5" width="13.26953125" style="367" bestFit="1" customWidth="1"/>
    <col min="6" max="6" width="11.7265625" style="367" bestFit="1" customWidth="1"/>
    <col min="7" max="7" width="4.81640625" style="367" bestFit="1" customWidth="1"/>
    <col min="8" max="8" width="12" style="367" bestFit="1" customWidth="1"/>
    <col min="9" max="9" width="14.81640625" style="367" bestFit="1" customWidth="1"/>
    <col min="10" max="12" width="10.81640625" style="367" bestFit="1" customWidth="1"/>
    <col min="13" max="13" width="14.81640625" style="367" bestFit="1" customWidth="1"/>
    <col min="14" max="14" width="13.54296875" style="367" bestFit="1" customWidth="1"/>
    <col min="15" max="18" width="11.453125" style="367" bestFit="1" customWidth="1"/>
    <col min="19" max="19" width="13.54296875" style="367" bestFit="1" customWidth="1"/>
    <col min="20" max="16384" width="12.1796875" style="367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396</v>
      </c>
      <c r="B3" s="446" t="s">
        <v>397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  <c r="J4"/>
      <c r="K4"/>
      <c r="L4"/>
      <c r="M4"/>
      <c r="N4"/>
      <c r="O4"/>
      <c r="P4"/>
      <c r="Q4"/>
      <c r="R4"/>
      <c r="S4"/>
      <c r="T4"/>
    </row>
    <row r="5" spans="1:20">
      <c r="A5" s="447" t="s">
        <v>399</v>
      </c>
      <c r="B5" s="372"/>
      <c r="C5" s="372"/>
      <c r="D5" s="372"/>
      <c r="E5" s="372"/>
      <c r="F5" s="372"/>
      <c r="G5" s="372"/>
      <c r="H5" s="372"/>
      <c r="I5" s="372"/>
      <c r="J5"/>
      <c r="K5"/>
      <c r="L5"/>
      <c r="M5"/>
      <c r="N5"/>
      <c r="O5"/>
      <c r="P5"/>
      <c r="Q5"/>
      <c r="R5"/>
      <c r="S5"/>
      <c r="T5"/>
    </row>
    <row r="6" spans="1:20">
      <c r="A6" s="447" t="s">
        <v>237</v>
      </c>
      <c r="B6" s="372"/>
      <c r="C6" s="372">
        <v>206260.00000000003</v>
      </c>
      <c r="D6" s="372"/>
      <c r="E6" s="372"/>
      <c r="F6" s="372"/>
      <c r="G6" s="372">
        <v>0</v>
      </c>
      <c r="H6" s="372"/>
      <c r="I6" s="372">
        <v>206260.00000000003</v>
      </c>
      <c r="J6"/>
      <c r="K6"/>
      <c r="L6"/>
      <c r="M6"/>
      <c r="N6"/>
      <c r="O6"/>
      <c r="P6"/>
      <c r="Q6"/>
      <c r="R6"/>
      <c r="S6"/>
      <c r="T6"/>
    </row>
    <row r="7" spans="1:20">
      <c r="A7" s="447" t="s">
        <v>248</v>
      </c>
      <c r="B7" s="372">
        <v>0</v>
      </c>
      <c r="C7" s="372">
        <v>95038</v>
      </c>
      <c r="D7" s="372"/>
      <c r="E7" s="372"/>
      <c r="F7" s="372"/>
      <c r="G7" s="372">
        <v>0</v>
      </c>
      <c r="H7" s="372"/>
      <c r="I7" s="372">
        <v>95038</v>
      </c>
      <c r="J7"/>
      <c r="K7"/>
      <c r="L7"/>
      <c r="M7"/>
      <c r="N7"/>
      <c r="O7"/>
      <c r="P7"/>
      <c r="Q7"/>
      <c r="R7"/>
      <c r="S7"/>
      <c r="T7"/>
    </row>
    <row r="8" spans="1:20">
      <c r="A8" s="447" t="s">
        <v>260</v>
      </c>
      <c r="B8" s="372"/>
      <c r="C8" s="372"/>
      <c r="D8" s="372">
        <v>125191</v>
      </c>
      <c r="E8" s="372"/>
      <c r="F8" s="372"/>
      <c r="G8" s="372">
        <v>0</v>
      </c>
      <c r="H8" s="372"/>
      <c r="I8" s="372">
        <v>125191</v>
      </c>
      <c r="J8"/>
      <c r="K8"/>
      <c r="L8"/>
      <c r="M8"/>
      <c r="N8"/>
      <c r="O8"/>
      <c r="P8"/>
      <c r="Q8"/>
      <c r="R8"/>
      <c r="S8"/>
      <c r="T8"/>
    </row>
    <row r="9" spans="1:20">
      <c r="A9" s="447" t="s">
        <v>273</v>
      </c>
      <c r="B9" s="372">
        <v>0</v>
      </c>
      <c r="C9" s="372">
        <v>79232.000000000015</v>
      </c>
      <c r="D9" s="372"/>
      <c r="E9" s="372"/>
      <c r="F9" s="372"/>
      <c r="G9" s="372">
        <v>0</v>
      </c>
      <c r="H9" s="372"/>
      <c r="I9" s="372">
        <v>79232.000000000015</v>
      </c>
      <c r="J9"/>
      <c r="K9"/>
      <c r="L9"/>
      <c r="M9"/>
      <c r="N9"/>
      <c r="O9"/>
      <c r="P9"/>
      <c r="Q9"/>
      <c r="R9"/>
      <c r="S9"/>
      <c r="T9"/>
    </row>
    <row r="10" spans="1:20">
      <c r="A10" s="447" t="s">
        <v>299</v>
      </c>
      <c r="B10" s="372"/>
      <c r="C10" s="372">
        <v>66669.377382617691</v>
      </c>
      <c r="D10" s="372">
        <v>2345.4241839694523</v>
      </c>
      <c r="E10" s="372">
        <v>143794.03333393161</v>
      </c>
      <c r="F10" s="372"/>
      <c r="G10" s="372"/>
      <c r="H10" s="372"/>
      <c r="I10" s="372">
        <v>212808.83490051876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447" t="s">
        <v>319</v>
      </c>
      <c r="B11" s="372">
        <v>0</v>
      </c>
      <c r="C11" s="372">
        <v>174296.00000000003</v>
      </c>
      <c r="D11" s="372"/>
      <c r="E11" s="372"/>
      <c r="F11" s="372"/>
      <c r="G11" s="372">
        <v>0</v>
      </c>
      <c r="H11" s="372"/>
      <c r="I11" s="372">
        <v>174296.00000000003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447" t="s">
        <v>323</v>
      </c>
      <c r="B12" s="372"/>
      <c r="C12" s="372"/>
      <c r="D12" s="372"/>
      <c r="E12" s="372"/>
      <c r="F12" s="372"/>
      <c r="G12" s="372"/>
      <c r="H12" s="372"/>
      <c r="I12" s="372"/>
      <c r="J12"/>
      <c r="K12"/>
      <c r="L12"/>
      <c r="M12"/>
      <c r="N12"/>
      <c r="O12"/>
      <c r="P12"/>
      <c r="Q12"/>
      <c r="R12"/>
      <c r="S12"/>
      <c r="T12"/>
    </row>
    <row r="13" spans="1:20">
      <c r="A13" s="447" t="s">
        <v>327</v>
      </c>
      <c r="B13" s="372">
        <v>0</v>
      </c>
      <c r="C13" s="372">
        <v>15064</v>
      </c>
      <c r="D13" s="372"/>
      <c r="E13" s="372">
        <v>45192.000000000007</v>
      </c>
      <c r="F13" s="372"/>
      <c r="G13" s="372">
        <v>0</v>
      </c>
      <c r="H13" s="372"/>
      <c r="I13" s="372">
        <v>60256.000000000007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447" t="s">
        <v>331</v>
      </c>
      <c r="B14" s="372">
        <v>0</v>
      </c>
      <c r="C14" s="372">
        <v>29013.000000000004</v>
      </c>
      <c r="D14" s="372"/>
      <c r="E14" s="372"/>
      <c r="F14" s="372"/>
      <c r="G14" s="372">
        <v>0</v>
      </c>
      <c r="H14" s="372"/>
      <c r="I14" s="372">
        <v>29013.000000000004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447" t="s">
        <v>337</v>
      </c>
      <c r="B15" s="372">
        <v>0</v>
      </c>
      <c r="C15" s="372"/>
      <c r="D15" s="372"/>
      <c r="E15" s="372">
        <v>13449.463293146986</v>
      </c>
      <c r="F15" s="372"/>
      <c r="G15" s="372">
        <v>0</v>
      </c>
      <c r="H15" s="372">
        <v>21813.816958277253</v>
      </c>
      <c r="I15" s="372">
        <v>35263.280251424236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447" t="s">
        <v>347</v>
      </c>
      <c r="B16" s="372">
        <v>0</v>
      </c>
      <c r="C16" s="372"/>
      <c r="D16" s="372"/>
      <c r="E16" s="372">
        <v>11445</v>
      </c>
      <c r="F16" s="372"/>
      <c r="G16" s="372">
        <v>0</v>
      </c>
      <c r="H16" s="372"/>
      <c r="I16" s="372">
        <v>11445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447" t="s">
        <v>356</v>
      </c>
      <c r="B17" s="372"/>
      <c r="C17" s="372">
        <v>0</v>
      </c>
      <c r="D17" s="372">
        <v>0</v>
      </c>
      <c r="E17" s="372">
        <v>0</v>
      </c>
      <c r="F17" s="372">
        <v>1361</v>
      </c>
      <c r="G17" s="372">
        <v>0</v>
      </c>
      <c r="H17" s="372"/>
      <c r="I17" s="372">
        <v>1361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447" t="s">
        <v>360</v>
      </c>
      <c r="B18" s="372"/>
      <c r="C18" s="372"/>
      <c r="D18" s="372"/>
      <c r="E18" s="372"/>
      <c r="F18" s="372"/>
      <c r="G18" s="372"/>
      <c r="H18" s="372"/>
      <c r="I18" s="372"/>
      <c r="J18"/>
      <c r="K18"/>
      <c r="L18"/>
      <c r="M18"/>
      <c r="N18"/>
      <c r="O18"/>
      <c r="P18"/>
      <c r="Q18"/>
      <c r="R18"/>
      <c r="S18"/>
      <c r="T18"/>
    </row>
    <row r="19" spans="1:20">
      <c r="A19" s="447" t="s">
        <v>344</v>
      </c>
      <c r="B19" s="372"/>
      <c r="C19" s="372"/>
      <c r="D19" s="372"/>
      <c r="E19" s="372"/>
      <c r="F19" s="372"/>
      <c r="G19" s="372"/>
      <c r="H19" s="372"/>
      <c r="I19" s="372"/>
      <c r="J19"/>
      <c r="K19"/>
      <c r="L19"/>
      <c r="M19"/>
      <c r="N19"/>
      <c r="O19"/>
      <c r="P19"/>
      <c r="Q19"/>
      <c r="R19"/>
      <c r="S19"/>
      <c r="T19"/>
    </row>
    <row r="20" spans="1:20">
      <c r="A20" s="447" t="s">
        <v>321</v>
      </c>
      <c r="B20" s="372"/>
      <c r="C20" s="372"/>
      <c r="D20" s="372"/>
      <c r="E20" s="372"/>
      <c r="F20" s="372"/>
      <c r="G20" s="372"/>
      <c r="H20" s="372"/>
      <c r="I20" s="372"/>
      <c r="J20"/>
      <c r="K20"/>
      <c r="L20"/>
      <c r="M20"/>
      <c r="N20"/>
      <c r="O20"/>
      <c r="P20"/>
      <c r="Q20"/>
      <c r="R20"/>
      <c r="S20"/>
      <c r="T20"/>
    </row>
    <row r="21" spans="1:20">
      <c r="A21" s="447" t="s">
        <v>400</v>
      </c>
      <c r="B21" s="372">
        <v>0</v>
      </c>
      <c r="C21" s="372">
        <v>665572.37738261768</v>
      </c>
      <c r="D21" s="372">
        <v>127536.42418396946</v>
      </c>
      <c r="E21" s="372">
        <v>213880.4966270786</v>
      </c>
      <c r="F21" s="372">
        <v>1361</v>
      </c>
      <c r="G21" s="372">
        <v>0</v>
      </c>
      <c r="H21" s="372">
        <v>21813.816958277253</v>
      </c>
      <c r="I21" s="372">
        <v>1030164.1151519429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H21" sqref="H21"/>
    </sheetView>
  </sheetViews>
  <sheetFormatPr defaultColWidth="8.453125" defaultRowHeight="14.5"/>
  <cols>
    <col min="1" max="1" width="21.54296875" bestFit="1" customWidth="1"/>
    <col min="2" max="2" width="17.1796875" style="407" bestFit="1" customWidth="1"/>
    <col min="3" max="5" width="13.26953125" style="407" bestFit="1" customWidth="1"/>
    <col min="6" max="6" width="11.7265625" style="407" bestFit="1" customWidth="1"/>
    <col min="7" max="7" width="10.453125" style="407" bestFit="1" customWidth="1"/>
    <col min="8" max="8" width="12" style="407" bestFit="1" customWidth="1"/>
    <col min="9" max="9" width="13.26953125" style="407" bestFit="1" customWidth="1"/>
    <col min="10" max="12" width="10.81640625" bestFit="1" customWidth="1"/>
    <col min="13" max="13" width="13.1796875" bestFit="1" customWidth="1"/>
    <col min="14" max="14" width="13.54296875" bestFit="1" customWidth="1"/>
    <col min="15" max="15" width="11.54296875" bestFit="1" customWidth="1"/>
    <col min="16" max="16" width="10.453125" bestFit="1" customWidth="1"/>
    <col min="17" max="18" width="11.54296875" bestFit="1" customWidth="1"/>
    <col min="19" max="19" width="13.453125" bestFit="1" customWidth="1"/>
  </cols>
  <sheetData>
    <row r="3" spans="1:9">
      <c r="A3" s="446" t="s">
        <v>401</v>
      </c>
      <c r="B3" s="446" t="s">
        <v>397</v>
      </c>
      <c r="C3"/>
      <c r="D3"/>
      <c r="E3"/>
      <c r="F3"/>
      <c r="G3"/>
      <c r="H3"/>
      <c r="I3"/>
    </row>
    <row r="4" spans="1:9">
      <c r="A4" s="446" t="s">
        <v>398</v>
      </c>
      <c r="B4" t="s">
        <v>399</v>
      </c>
      <c r="C4" s="448">
        <v>45900</v>
      </c>
      <c r="D4" s="448">
        <v>45930</v>
      </c>
      <c r="E4" s="448">
        <v>45961</v>
      </c>
      <c r="F4" s="448">
        <v>45991</v>
      </c>
      <c r="G4"/>
      <c r="H4" s="448">
        <v>46053</v>
      </c>
      <c r="I4" t="s">
        <v>400</v>
      </c>
    </row>
    <row r="5" spans="1:9">
      <c r="A5" s="447" t="s">
        <v>399</v>
      </c>
      <c r="B5" s="449"/>
      <c r="C5" s="449"/>
      <c r="D5" s="449"/>
      <c r="E5" s="449"/>
      <c r="F5" s="449"/>
      <c r="G5" s="449"/>
      <c r="H5" s="449"/>
      <c r="I5" s="449"/>
    </row>
    <row r="6" spans="1:9">
      <c r="A6" s="447" t="s">
        <v>237</v>
      </c>
      <c r="B6" s="449"/>
      <c r="C6" s="449">
        <v>149174</v>
      </c>
      <c r="D6" s="449"/>
      <c r="E6" s="449"/>
      <c r="F6" s="449"/>
      <c r="G6" s="449"/>
      <c r="H6" s="449"/>
      <c r="I6" s="449">
        <v>149174</v>
      </c>
    </row>
    <row r="7" spans="1:9">
      <c r="A7" s="447" t="s">
        <v>248</v>
      </c>
      <c r="B7" s="449"/>
      <c r="C7" s="449">
        <v>74130.34</v>
      </c>
      <c r="D7" s="449"/>
      <c r="E7" s="449"/>
      <c r="F7" s="449"/>
      <c r="G7" s="449"/>
      <c r="H7" s="449"/>
      <c r="I7" s="449">
        <v>74130.34</v>
      </c>
    </row>
    <row r="8" spans="1:9">
      <c r="A8" s="447" t="s">
        <v>260</v>
      </c>
      <c r="B8" s="449"/>
      <c r="C8" s="449"/>
      <c r="D8" s="449">
        <v>101652.61</v>
      </c>
      <c r="E8" s="449"/>
      <c r="F8" s="449"/>
      <c r="G8" s="449"/>
      <c r="H8" s="449"/>
      <c r="I8" s="449">
        <v>101652.61</v>
      </c>
    </row>
    <row r="9" spans="1:9">
      <c r="A9" s="447" t="s">
        <v>273</v>
      </c>
      <c r="B9" s="449"/>
      <c r="C9" s="449">
        <v>100367</v>
      </c>
      <c r="D9" s="449"/>
      <c r="E9" s="449"/>
      <c r="F9" s="449"/>
      <c r="G9" s="449"/>
      <c r="H9" s="449"/>
      <c r="I9" s="449">
        <v>100367</v>
      </c>
    </row>
    <row r="10" spans="1:9">
      <c r="A10" s="447" t="s">
        <v>299</v>
      </c>
      <c r="B10" s="449"/>
      <c r="C10" s="449">
        <v>42195.34</v>
      </c>
      <c r="D10" s="449">
        <v>975</v>
      </c>
      <c r="E10" s="449">
        <v>45877.37</v>
      </c>
      <c r="F10" s="449">
        <v>350</v>
      </c>
      <c r="G10" s="449"/>
      <c r="H10" s="449"/>
      <c r="I10" s="449">
        <v>89397.709999999992</v>
      </c>
    </row>
    <row r="11" spans="1:9">
      <c r="A11" s="447" t="s">
        <v>319</v>
      </c>
      <c r="B11" s="449"/>
      <c r="C11" s="449">
        <v>126812.12</v>
      </c>
      <c r="D11" s="449"/>
      <c r="E11" s="449"/>
      <c r="F11" s="449"/>
      <c r="G11" s="449"/>
      <c r="H11" s="449"/>
      <c r="I11" s="449">
        <v>126812.12</v>
      </c>
    </row>
    <row r="12" spans="1:9">
      <c r="A12" s="447" t="s">
        <v>323</v>
      </c>
      <c r="B12" s="449"/>
      <c r="C12" s="449"/>
      <c r="D12" s="449"/>
      <c r="E12" s="449"/>
      <c r="F12" s="449"/>
      <c r="G12" s="449"/>
      <c r="H12" s="449"/>
      <c r="I12" s="449"/>
    </row>
    <row r="13" spans="1:9">
      <c r="A13" s="447" t="s">
        <v>327</v>
      </c>
      <c r="B13" s="449"/>
      <c r="C13" s="449">
        <v>14827.5</v>
      </c>
      <c r="D13" s="449"/>
      <c r="E13" s="449">
        <v>44482.5</v>
      </c>
      <c r="F13" s="449"/>
      <c r="G13" s="449"/>
      <c r="H13" s="449"/>
      <c r="I13" s="449">
        <v>59310</v>
      </c>
    </row>
    <row r="14" spans="1:9">
      <c r="A14" s="447" t="s">
        <v>331</v>
      </c>
      <c r="B14" s="449"/>
      <c r="C14" s="449">
        <v>34792</v>
      </c>
      <c r="D14" s="449"/>
      <c r="E14" s="449"/>
      <c r="F14" s="449"/>
      <c r="G14" s="449"/>
      <c r="H14" s="449"/>
      <c r="I14" s="449">
        <v>34792</v>
      </c>
    </row>
    <row r="15" spans="1:9">
      <c r="A15" s="447" t="s">
        <v>337</v>
      </c>
      <c r="B15" s="449">
        <v>0</v>
      </c>
      <c r="C15" s="449"/>
      <c r="D15" s="449"/>
      <c r="E15" s="449">
        <v>6000</v>
      </c>
      <c r="F15" s="449"/>
      <c r="G15" s="449"/>
      <c r="H15" s="449">
        <v>12575</v>
      </c>
      <c r="I15" s="449">
        <v>18575</v>
      </c>
    </row>
    <row r="16" spans="1:9">
      <c r="A16" s="447" t="s">
        <v>347</v>
      </c>
      <c r="B16" s="449">
        <v>0</v>
      </c>
      <c r="C16" s="449"/>
      <c r="D16" s="449"/>
      <c r="E16" s="449">
        <v>12839.2</v>
      </c>
      <c r="F16" s="449"/>
      <c r="G16" s="449"/>
      <c r="H16" s="449"/>
      <c r="I16" s="449">
        <v>12839.2</v>
      </c>
    </row>
    <row r="17" spans="1:9">
      <c r="A17" s="447" t="s">
        <v>356</v>
      </c>
      <c r="B17" s="449"/>
      <c r="C17" s="449">
        <v>0</v>
      </c>
      <c r="D17" s="449">
        <v>0</v>
      </c>
      <c r="E17" s="449">
        <v>0</v>
      </c>
      <c r="F17" s="449">
        <v>3159.05</v>
      </c>
      <c r="G17" s="449"/>
      <c r="H17" s="449"/>
      <c r="I17" s="449">
        <v>3159.05</v>
      </c>
    </row>
    <row r="18" spans="1:9">
      <c r="A18" s="447" t="s">
        <v>360</v>
      </c>
      <c r="B18" s="449"/>
      <c r="C18" s="449"/>
      <c r="D18" s="449"/>
      <c r="E18" s="449"/>
      <c r="F18" s="449">
        <v>298.24</v>
      </c>
      <c r="G18" s="449"/>
      <c r="H18" s="449"/>
      <c r="I18" s="449">
        <v>298.24</v>
      </c>
    </row>
    <row r="19" spans="1:9">
      <c r="A19" s="447" t="s">
        <v>344</v>
      </c>
      <c r="B19" s="449"/>
      <c r="C19" s="449"/>
      <c r="D19" s="449"/>
      <c r="E19" s="449"/>
      <c r="F19" s="449"/>
      <c r="G19" s="449"/>
      <c r="H19" s="449"/>
      <c r="I19" s="449"/>
    </row>
    <row r="20" spans="1:9">
      <c r="A20" s="447" t="s">
        <v>321</v>
      </c>
      <c r="B20" s="449"/>
      <c r="C20" s="449"/>
      <c r="D20" s="449"/>
      <c r="E20" s="449"/>
      <c r="F20" s="449"/>
      <c r="G20" s="449"/>
      <c r="H20" s="449"/>
      <c r="I20" s="449"/>
    </row>
    <row r="21" spans="1:9">
      <c r="A21" s="447" t="s">
        <v>400</v>
      </c>
      <c r="B21" s="449">
        <v>0</v>
      </c>
      <c r="C21" s="449">
        <v>542298.29999999993</v>
      </c>
      <c r="D21" s="449">
        <v>102627.61</v>
      </c>
      <c r="E21" s="449">
        <v>109199.06999999999</v>
      </c>
      <c r="F21" s="449">
        <v>3807.29</v>
      </c>
      <c r="G21" s="449"/>
      <c r="H21" s="449">
        <v>12575</v>
      </c>
      <c r="I21" s="449">
        <v>770507.27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 s="449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5901F-9073-48C4-8779-DE2F3FDA6884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.1796875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813" t="s">
        <v>402</v>
      </c>
      <c r="C2" s="813"/>
      <c r="D2" s="813"/>
      <c r="E2" s="813"/>
      <c r="H2" s="814" t="s">
        <v>403</v>
      </c>
      <c r="I2" s="815"/>
      <c r="J2" s="815"/>
      <c r="K2" s="815"/>
      <c r="L2" s="815"/>
      <c r="M2" s="815"/>
      <c r="N2" s="815"/>
      <c r="O2" s="816"/>
    </row>
    <row r="3" spans="2:15">
      <c r="B3" s="691"/>
      <c r="H3" s="817"/>
      <c r="I3" s="818"/>
      <c r="J3" s="818"/>
      <c r="K3" s="818"/>
      <c r="L3" s="818"/>
      <c r="M3" s="818"/>
      <c r="N3" s="818"/>
      <c r="O3" s="819"/>
    </row>
    <row r="4" spans="2:15">
      <c r="B4" s="692" t="s">
        <v>404</v>
      </c>
      <c r="C4" s="693" t="str">
        <f>'Project Plan'!E2</f>
        <v>IconSA_KZN</v>
      </c>
      <c r="H4" s="817"/>
      <c r="I4" s="818"/>
      <c r="J4" s="818"/>
      <c r="K4" s="818"/>
      <c r="L4" s="818"/>
      <c r="M4" s="818"/>
      <c r="N4" s="818"/>
      <c r="O4" s="819"/>
    </row>
    <row r="5" spans="2:15">
      <c r="B5" s="692" t="s">
        <v>405</v>
      </c>
      <c r="C5" s="693" t="s">
        <v>406</v>
      </c>
      <c r="H5" s="817"/>
      <c r="I5" s="818"/>
      <c r="J5" s="818"/>
      <c r="K5" s="818"/>
      <c r="L5" s="818"/>
      <c r="M5" s="818"/>
      <c r="N5" s="818"/>
      <c r="O5" s="819"/>
    </row>
    <row r="6" spans="2:15">
      <c r="B6" s="692" t="s">
        <v>407</v>
      </c>
      <c r="C6" s="693" t="s">
        <v>408</v>
      </c>
      <c r="H6" s="817"/>
      <c r="I6" s="818"/>
      <c r="J6" s="818"/>
      <c r="K6" s="818"/>
      <c r="L6" s="818"/>
      <c r="M6" s="818"/>
      <c r="N6" s="818"/>
      <c r="O6" s="819"/>
    </row>
    <row r="7" spans="2:15">
      <c r="B7" s="692" t="s">
        <v>409</v>
      </c>
      <c r="C7" s="693" t="s">
        <v>410</v>
      </c>
      <c r="H7" s="817"/>
      <c r="I7" s="818"/>
      <c r="J7" s="818"/>
      <c r="K7" s="818"/>
      <c r="L7" s="818"/>
      <c r="M7" s="818"/>
      <c r="N7" s="818"/>
      <c r="O7" s="819"/>
    </row>
    <row r="8" spans="2:15">
      <c r="B8" s="691"/>
      <c r="H8" s="817"/>
      <c r="I8" s="818"/>
      <c r="J8" s="818"/>
      <c r="K8" s="818"/>
      <c r="L8" s="818"/>
      <c r="M8" s="818"/>
      <c r="N8" s="818"/>
      <c r="O8" s="819"/>
    </row>
    <row r="9" spans="2:15">
      <c r="B9" s="823" t="s">
        <v>411</v>
      </c>
      <c r="C9" s="823"/>
      <c r="D9" s="823"/>
      <c r="E9" s="82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17"/>
      <c r="I9" s="818"/>
      <c r="J9" s="818"/>
      <c r="K9" s="818"/>
      <c r="L9" s="818"/>
      <c r="M9" s="818"/>
      <c r="N9" s="818"/>
      <c r="O9" s="819"/>
    </row>
    <row r="10" spans="2:15" ht="15" thickBot="1">
      <c r="B10" s="823" t="s">
        <v>412</v>
      </c>
      <c r="C10" s="823"/>
      <c r="D10" s="823"/>
      <c r="E10" s="823"/>
      <c r="H10" s="820"/>
      <c r="I10" s="821"/>
      <c r="J10" s="821"/>
      <c r="K10" s="821"/>
      <c r="L10" s="821"/>
      <c r="M10" s="821"/>
      <c r="N10" s="821"/>
      <c r="O10" s="822"/>
    </row>
    <row r="11" spans="2:15">
      <c r="B11" s="694" t="s">
        <v>413</v>
      </c>
      <c r="C11" s="811" t="s">
        <v>414</v>
      </c>
      <c r="D11" s="811"/>
      <c r="E11" s="811"/>
    </row>
    <row r="12" spans="2:15">
      <c r="B12" s="694" t="s">
        <v>415</v>
      </c>
      <c r="C12" s="811" t="s">
        <v>414</v>
      </c>
      <c r="D12" s="811"/>
      <c r="E12" s="811"/>
    </row>
    <row r="13" spans="2:15">
      <c r="B13" s="694" t="s">
        <v>416</v>
      </c>
      <c r="C13" s="811" t="s">
        <v>414</v>
      </c>
      <c r="D13" s="811"/>
      <c r="E13" s="811"/>
    </row>
    <row r="14" spans="2:15">
      <c r="B14" s="694" t="s">
        <v>417</v>
      </c>
      <c r="C14" s="811" t="s">
        <v>418</v>
      </c>
      <c r="D14" s="811"/>
      <c r="E14" s="811"/>
    </row>
    <row r="15" spans="2:15">
      <c r="B15" s="694" t="s">
        <v>419</v>
      </c>
      <c r="C15" s="811" t="s">
        <v>420</v>
      </c>
      <c r="D15" s="811"/>
      <c r="E15" s="811"/>
    </row>
    <row r="16" spans="2:15" ht="15" customHeight="1">
      <c r="B16" s="694" t="s">
        <v>421</v>
      </c>
      <c r="C16" s="811" t="s">
        <v>422</v>
      </c>
      <c r="D16" s="811"/>
      <c r="E16" s="811"/>
    </row>
    <row r="17" spans="2:5">
      <c r="B17" s="691"/>
    </row>
    <row r="18" spans="2:5">
      <c r="B18" s="812" t="s">
        <v>423</v>
      </c>
      <c r="C18" s="812"/>
      <c r="D18" s="812"/>
      <c r="E18" s="812"/>
    </row>
    <row r="19" spans="2:5">
      <c r="B19" s="694" t="s">
        <v>424</v>
      </c>
      <c r="C19" s="694" t="s">
        <v>425</v>
      </c>
      <c r="D19" s="694" t="s">
        <v>426</v>
      </c>
      <c r="E19" s="694" t="s">
        <v>62</v>
      </c>
    </row>
    <row r="20" spans="2:5" ht="15" customHeight="1">
      <c r="B20" s="694" t="s">
        <v>427</v>
      </c>
      <c r="C20" s="694" t="s">
        <v>428</v>
      </c>
      <c r="D20" s="695" t="s">
        <v>429</v>
      </c>
      <c r="E20" s="696">
        <v>45953</v>
      </c>
    </row>
    <row r="21" spans="2:5">
      <c r="B21" s="694"/>
      <c r="C21" s="694"/>
      <c r="D21" s="694"/>
      <c r="E21" s="694"/>
    </row>
    <row r="22" spans="2:5">
      <c r="B22" s="694"/>
      <c r="C22" s="694"/>
      <c r="D22" s="694"/>
      <c r="E22" s="694"/>
    </row>
    <row r="23" spans="2:5">
      <c r="B23" s="694"/>
      <c r="C23" s="694"/>
      <c r="D23" s="694"/>
      <c r="E23" s="694"/>
    </row>
    <row r="24" spans="2:5">
      <c r="B24" s="694"/>
      <c r="C24" s="694"/>
      <c r="D24" s="694"/>
      <c r="E24" s="694"/>
    </row>
    <row r="25" spans="2:5">
      <c r="B25" s="694"/>
      <c r="C25" s="694"/>
      <c r="D25" s="694"/>
      <c r="E25" s="694"/>
    </row>
    <row r="26" spans="2:5">
      <c r="B26" s="691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430</v>
      </c>
    </row>
    <row r="2" spans="1:4">
      <c r="A2" s="825"/>
      <c r="B2" s="825"/>
      <c r="C2" s="825"/>
      <c r="D2" s="71"/>
    </row>
    <row r="3" spans="1:4">
      <c r="A3" s="824" t="s">
        <v>431</v>
      </c>
      <c r="B3" s="824"/>
      <c r="C3" s="824"/>
      <c r="D3" s="111">
        <v>0.32</v>
      </c>
    </row>
    <row r="4" spans="1:4">
      <c r="A4" s="824" t="s">
        <v>371</v>
      </c>
      <c r="B4" s="824"/>
      <c r="C4" s="824"/>
      <c r="D4" s="111">
        <v>0.5</v>
      </c>
    </row>
    <row r="5" spans="1:4">
      <c r="A5" s="824" t="s">
        <v>382</v>
      </c>
      <c r="B5" s="824"/>
      <c r="C5" s="824"/>
      <c r="D5" s="111">
        <v>0.15</v>
      </c>
    </row>
    <row r="6" spans="1:4">
      <c r="A6" s="824" t="s">
        <v>432</v>
      </c>
      <c r="B6" s="824"/>
      <c r="C6" s="824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26" t="s">
        <v>433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</row>
    <row r="4" spans="2:14" ht="13">
      <c r="B4" s="92" t="s">
        <v>434</v>
      </c>
      <c r="C4" s="86"/>
      <c r="D4" s="90" t="s">
        <v>435</v>
      </c>
      <c r="E4" s="95"/>
      <c r="F4" s="90" t="s">
        <v>436</v>
      </c>
      <c r="H4" s="90" t="s">
        <v>437</v>
      </c>
      <c r="I4" s="95"/>
      <c r="J4" s="90" t="s">
        <v>438</v>
      </c>
      <c r="L4" s="90" t="s">
        <v>437</v>
      </c>
      <c r="M4" s="90"/>
      <c r="N4" s="90" t="s">
        <v>439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440</v>
      </c>
      <c r="H7" s="99"/>
      <c r="I7" s="95"/>
      <c r="J7" s="107" t="s">
        <v>440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246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246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441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442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443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440</v>
      </c>
      <c r="H15" s="99"/>
      <c r="I15" s="95"/>
      <c r="J15" s="107" t="s">
        <v>440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443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440</v>
      </c>
      <c r="H21" s="99"/>
      <c r="I21" s="95"/>
      <c r="J21" s="107" t="s">
        <v>440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445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445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443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440</v>
      </c>
      <c r="H27" s="99"/>
      <c r="I27" s="95"/>
      <c r="J27" s="107" t="s">
        <v>440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446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443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440</v>
      </c>
      <c r="H34" s="99"/>
      <c r="I34" s="95"/>
      <c r="J34" s="107" t="s">
        <v>440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447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448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449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450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451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452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453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454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26" t="s">
        <v>455</v>
      </c>
      <c r="C2" s="826"/>
      <c r="D2" s="826"/>
      <c r="E2" s="826"/>
      <c r="F2" s="826"/>
      <c r="G2" s="826"/>
      <c r="H2" s="826"/>
      <c r="I2" s="826"/>
      <c r="J2" s="826"/>
      <c r="K2" s="826"/>
      <c r="L2" s="826"/>
      <c r="M2" s="826"/>
      <c r="N2" s="826"/>
      <c r="O2" s="826"/>
    </row>
    <row r="4" spans="2:15" ht="13">
      <c r="B4" s="92" t="s">
        <v>434</v>
      </c>
      <c r="C4" s="86"/>
      <c r="D4" s="90" t="s">
        <v>435</v>
      </c>
      <c r="E4" s="95"/>
      <c r="F4" s="95"/>
      <c r="G4" s="90" t="s">
        <v>456</v>
      </c>
      <c r="H4" s="96"/>
      <c r="J4" s="90" t="s">
        <v>437</v>
      </c>
      <c r="L4" s="90" t="s">
        <v>457</v>
      </c>
      <c r="M4" s="96"/>
      <c r="O4" s="90" t="s">
        <v>437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245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3.9139846478873235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251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2.0022288732394364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252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1.3545633802816901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253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3.2416901408450705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254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458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256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257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453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434</v>
      </c>
      <c r="C18" s="86"/>
      <c r="D18" s="90" t="s">
        <v>435</v>
      </c>
      <c r="E18" s="95"/>
      <c r="F18" s="95"/>
      <c r="G18" s="90" t="s">
        <v>459</v>
      </c>
      <c r="H18" s="96"/>
      <c r="J18" s="90" t="s">
        <v>437</v>
      </c>
      <c r="L18" s="90" t="s">
        <v>460</v>
      </c>
      <c r="M18" s="96"/>
      <c r="O18" s="90" t="s">
        <v>437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461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462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463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464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256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465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254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453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466</v>
      </c>
      <c r="C32" s="103"/>
      <c r="D32" s="103"/>
    </row>
    <row r="33" spans="2:4" ht="13" thickTop="1"/>
    <row r="34" spans="2:4">
      <c r="B34" s="88" t="s">
        <v>435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467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1796875" bestFit="1" customWidth="1"/>
    <col min="9" max="9" width="10.453125" customWidth="1"/>
    <col min="10" max="10" width="19.54296875" bestFit="1" customWidth="1"/>
  </cols>
  <sheetData>
    <row r="1" spans="2:14">
      <c r="B1" s="828" t="str">
        <f>D15</f>
        <v>IconSA_KZN</v>
      </c>
      <c r="C1" s="828"/>
      <c r="D1" s="828"/>
      <c r="E1" s="827" t="s">
        <v>468</v>
      </c>
      <c r="F1" s="827"/>
      <c r="G1" s="827"/>
      <c r="H1" s="827"/>
      <c r="I1" s="827"/>
      <c r="J1" s="827"/>
      <c r="K1" s="77"/>
      <c r="L1" s="77"/>
      <c r="M1" s="77"/>
      <c r="N1" s="77"/>
    </row>
    <row r="2" spans="2:14" ht="6.75" customHeight="1"/>
    <row r="3" spans="2:14">
      <c r="B3" s="72" t="s">
        <v>469</v>
      </c>
      <c r="C3" s="72" t="s">
        <v>470</v>
      </c>
      <c r="D3" s="72" t="s">
        <v>471</v>
      </c>
      <c r="E3" s="78" t="s">
        <v>472</v>
      </c>
      <c r="F3" s="78" t="s">
        <v>473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474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475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476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477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478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479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480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481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482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483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IconSA_KZN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2FB38B-1A79-4F30-A992-9DBEF0E42E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2026-02-17T19:58:42Z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