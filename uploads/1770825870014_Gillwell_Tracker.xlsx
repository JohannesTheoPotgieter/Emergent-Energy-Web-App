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4" documentId="13_ncr:1_{24534C5D-F6FC-4E30-9D4B-2140EB874733}" xr6:coauthVersionLast="47" xr6:coauthVersionMax="47" xr10:uidLastSave="{5C1DFB83-B035-431E-86A1-FB6D9DAAD341}"/>
  <bookViews>
    <workbookView minimized="1" xWindow="1060" yWindow="1150" windowWidth="14400" windowHeight="818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N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<sst xmlns="http://schemas.openxmlformats.org/spreadsheetml/2006/main" count="890" uniqueCount="511">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</sst>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649797.31503231265</c:v>
                </c:pt>
                <c:pt idx="47">
                  <c:v>649797.31503231265</c:v>
                </c:pt>
                <c:pt idx="48">
                  <c:v>649797.31503231265</c:v>
                </c:pt>
                <c:pt idx="49">
                  <c:v>649797.31503231265</c:v>
                </c:pt>
                <c:pt idx="50">
                  <c:v>649797.31503231265</c:v>
                </c:pt>
                <c:pt idx="51">
                  <c:v>649797.31503231265</c:v>
                </c:pt>
                <c:pt idx="52">
                  <c:v>649797.31503231265</c:v>
                </c:pt>
                <c:pt idx="53">
                  <c:v>649797.31503231265</c:v>
                </c:pt>
                <c:pt idx="54">
                  <c:v>649797.31503231265</c:v>
                </c:pt>
                <c:pt idx="55">
                  <c:v>649797.31503231265</c:v>
                </c:pt>
                <c:pt idx="56">
                  <c:v>649797.31503231265</c:v>
                </c:pt>
                <c:pt idx="57">
                  <c:v>649797.31503231265</c:v>
                </c:pt>
                <c:pt idx="58">
                  <c:v>649797.31503231265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7712531.4215723816</c:v>
                </c:pt>
                <c:pt idx="58">
                  <c:v>7712531.4215723816</c:v>
                </c:pt>
                <c:pt idx="59">
                  <c:v>7712531.4215723816</c:v>
                </c:pt>
                <c:pt idx="60">
                  <c:v>7712531.4215723816</c:v>
                </c:pt>
                <c:pt idx="61">
                  <c:v>7712531.4215723816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1854157.5042180084</c:v>
                </c:pt>
                <c:pt idx="58">
                  <c:v>1854157.5042180084</c:v>
                </c:pt>
                <c:pt idx="59">
                  <c:v>1854157.5042180084</c:v>
                </c:pt>
                <c:pt idx="60">
                  <c:v>1854157.5042180084</c:v>
                </c:pt>
                <c:pt idx="61">
                  <c:v>1854157.5042180084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269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53125" defaultRowHeight="14.5"/>
  <cols>
    <col min="1" max="1" width="7.26953125" customWidth="1"/>
    <col min="2" max="2" width="37.5429687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Normal="100" workbookViewId="0">
      <selection activeCell="T48" sqref="T48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2695312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542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46064</v>
      </c>
      <c r="P1" s="408">
        <f ca="1">TODAY()</f>
        <v>46064</v>
      </c>
      <c r="R1" s="3"/>
    </row>
    <row r="2" spans="2:29">
      <c r="B2" s="176"/>
      <c r="C2" s="177" t="s">
        <v>0</v>
      </c>
      <c r="D2" s="178"/>
      <c r="E2" s="726" t="s">
        <v>73</v>
      </c>
      <c r="F2" s="727"/>
      <c r="G2" s="727"/>
      <c r="H2" s="728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9" t="s">
        <v>76</v>
      </c>
      <c r="F4" s="730"/>
      <c r="G4" s="730"/>
      <c r="H4" s="731"/>
      <c r="J4" s="113"/>
      <c r="R4" s="3"/>
    </row>
    <row r="5" spans="2:29" s="112" customFormat="1">
      <c r="B5" s="179"/>
      <c r="C5" s="180" t="s">
        <v>77</v>
      </c>
      <c r="D5" s="178"/>
      <c r="E5" s="729" t="s">
        <v>78</v>
      </c>
      <c r="F5" s="730"/>
      <c r="G5" s="730"/>
      <c r="H5" s="731"/>
      <c r="J5" s="113"/>
      <c r="R5" s="3"/>
    </row>
    <row r="6" spans="2:29">
      <c r="B6" s="184"/>
      <c r="C6" s="185" t="s">
        <v>79</v>
      </c>
      <c r="D6" s="178"/>
      <c r="E6" s="732">
        <v>9566688.92579039</v>
      </c>
      <c r="F6" s="733"/>
      <c r="G6" s="733"/>
      <c r="H6" s="734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23" t="s">
        <v>81</v>
      </c>
      <c r="C8" s="724" t="s">
        <v>82</v>
      </c>
      <c r="D8" s="214"/>
      <c r="E8" s="725" t="s">
        <v>83</v>
      </c>
      <c r="F8" s="236" t="s">
        <v>84</v>
      </c>
      <c r="G8" s="725" t="s">
        <v>85</v>
      </c>
      <c r="H8" s="237"/>
      <c r="I8" s="725" t="s">
        <v>86</v>
      </c>
      <c r="J8" s="236" t="s">
        <v>84</v>
      </c>
      <c r="K8" s="725" t="s">
        <v>87</v>
      </c>
      <c r="M8" s="415" t="s">
        <v>60</v>
      </c>
      <c r="N8" s="689" t="s">
        <v>88</v>
      </c>
      <c r="P8" s="735" t="s">
        <v>89</v>
      </c>
      <c r="AA8" s="112"/>
      <c r="AB8" s="112"/>
      <c r="AC8" s="112"/>
    </row>
    <row r="9" spans="2:29">
      <c r="B9" s="723"/>
      <c r="C9" s="724"/>
      <c r="D9" s="214"/>
      <c r="E9" s="725"/>
      <c r="F9" s="126">
        <f>G41-E19</f>
        <v>78</v>
      </c>
      <c r="G9" s="725"/>
      <c r="H9" s="237"/>
      <c r="I9" s="725"/>
      <c r="J9" s="127">
        <f>K41-I19</f>
        <v>138</v>
      </c>
      <c r="K9" s="725"/>
      <c r="M9" s="361">
        <f>AVERAGE(M11,M18,M21,M28,M35,M39,M46,M43)</f>
        <v>0.97983870967741937</v>
      </c>
      <c r="N9" s="361">
        <f ca="1">AVERAGE(N11,N18,N21,N28,N35,N39,N46,N43)</f>
        <v>1</v>
      </c>
      <c r="O9" s="374"/>
      <c r="P9" s="736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0.83870967741935487</v>
      </c>
      <c r="N46" s="360">
        <f ca="1">AVERAGE(N47:N52)</f>
        <v>1</v>
      </c>
      <c r="O46" s="377">
        <f>J46*M46</f>
        <v>40.258064516129032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4"/>
        <v>1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26953125" style="129" customWidth="1"/>
    <col min="5" max="5" width="6.54296875" style="129" customWidth="1"/>
    <col min="6" max="6" width="16.26953125" style="129" customWidth="1"/>
    <col min="7" max="7" width="11.726562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18.54296875" style="129" bestFit="1" customWidth="1"/>
    <col min="18" max="18" width="22.26953125" style="129" customWidth="1"/>
    <col min="19" max="19" width="16.7265625" style="93" bestFit="1" customWidth="1"/>
    <col min="20" max="20" width="20.453125" style="129" bestFit="1" customWidth="1"/>
    <col min="21" max="21" width="15.7265625" style="93" bestFit="1" customWidth="1"/>
    <col min="22" max="23" width="8.453125" style="93"/>
    <col min="24" max="24" width="5.54296875" style="93" bestFit="1" customWidth="1"/>
    <col min="25" max="25" width="14.26953125" style="93" bestFit="1" customWidth="1"/>
    <col min="26" max="26" width="8.453125" style="93"/>
    <col min="27" max="27" width="14.269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">
      <c r="B13" s="351">
        <v>1</v>
      </c>
      <c r="C13" s="739" t="s">
        <v>193</v>
      </c>
      <c r="D13" s="740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9" t="s">
        <v>195</v>
      </c>
      <c r="D14" s="740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2.5">
      <c r="B15" s="351">
        <v>3</v>
      </c>
      <c r="C15" s="739" t="s">
        <v>196</v>
      </c>
      <c r="D15" s="740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2.5">
      <c r="B16" s="351">
        <v>4</v>
      </c>
      <c r="C16" s="737" t="s">
        <v>197</v>
      </c>
      <c r="D16" s="738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2.5">
      <c r="B17" s="351">
        <v>5</v>
      </c>
      <c r="C17" s="737" t="s">
        <v>198</v>
      </c>
      <c r="D17" s="738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2.5">
      <c r="B18" s="351">
        <v>6</v>
      </c>
      <c r="C18" s="737" t="s">
        <v>54</v>
      </c>
      <c r="D18" s="738"/>
      <c r="E18" s="135">
        <v>0.05</v>
      </c>
      <c r="F18" s="136">
        <f t="shared" si="0"/>
        <v>478334.44628951955</v>
      </c>
      <c r="G18" s="354"/>
      <c r="H18" s="138">
        <f>'Project Plan'!K51+7</f>
        <v>45999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2.5">
      <c r="B19" s="351">
        <v>7</v>
      </c>
      <c r="C19" s="739" t="s">
        <v>199</v>
      </c>
      <c r="D19" s="740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2.5">
      <c r="C24" s="147" t="s">
        <v>202</v>
      </c>
      <c r="D24" s="148"/>
      <c r="F24" s="149"/>
    </row>
    <row r="25" spans="2:18" s="93" customFormat="1" ht="12.5">
      <c r="C25" s="147" t="s">
        <v>203</v>
      </c>
      <c r="D25" s="148"/>
    </row>
    <row r="26" spans="2:18" s="93" customFormat="1" ht="12.5">
      <c r="C26" s="150" t="s">
        <v>204</v>
      </c>
      <c r="D26" s="151"/>
    </row>
    <row r="27" spans="2:18" s="93" customFormat="1" ht="12.5">
      <c r="C27" s="152" t="s">
        <v>205</v>
      </c>
      <c r="D27" s="148"/>
    </row>
    <row r="28" spans="2:18" s="93" customFormat="1" ht="12.5">
      <c r="B28" s="117"/>
      <c r="C28" s="152" t="s">
        <v>206</v>
      </c>
      <c r="D28" s="148"/>
    </row>
    <row r="29" spans="2:18" s="93" customFormat="1" ht="12.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2.5">
      <c r="B31" s="117"/>
      <c r="F31" s="146"/>
      <c r="L31" s="11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2695312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41"/>
      <c r="C4" s="741"/>
      <c r="D4" s="741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5" thickBot="1">
      <c r="A5" s="214"/>
      <c r="B5" s="742" t="s">
        <v>214</v>
      </c>
      <c r="C5" s="742"/>
      <c r="D5" s="742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I1" zoomScale="85" zoomScaleNormal="85" workbookViewId="0">
      <pane ySplit="4" topLeftCell="A5" activePane="bottomLeft" state="frozen"/>
      <selection activeCell="X33" sqref="X33"/>
      <selection pane="bottomLeft" activeCell="W87" sqref="W87"/>
    </sheetView>
  </sheetViews>
  <sheetFormatPr defaultColWidth="9.453125" defaultRowHeight="14"/>
  <cols>
    <col min="1" max="1" width="2.453125" style="112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8" hidden="1" customWidth="1"/>
    <col min="7" max="7" width="17.453125" style="24" hidden="1" customWidth="1"/>
    <col min="8" max="8" width="17.453125" style="112" hidden="1" customWidth="1"/>
    <col min="9" max="10" width="22.453125" style="349" customWidth="1"/>
    <col min="11" max="12" width="5.54296875" style="112" customWidth="1"/>
    <col min="13" max="13" width="25.54296875" style="112" customWidth="1"/>
    <col min="14" max="14" width="52.26953125" style="112" bestFit="1" customWidth="1"/>
    <col min="15" max="15" width="15.7265625" style="112" customWidth="1"/>
    <col min="16" max="17" width="17.453125" style="112" customWidth="1"/>
    <col min="18" max="18" width="46.54296875" style="112" bestFit="1" customWidth="1"/>
    <col min="19" max="19" width="36.453125" style="112" bestFit="1" customWidth="1"/>
    <col min="20" max="23" width="17.453125" style="112" customWidth="1"/>
    <col min="24" max="24" width="21.26953125" style="112" customWidth="1"/>
    <col min="25" max="25" width="29.453125" style="112" bestFit="1" customWidth="1"/>
    <col min="26" max="26" width="24.453125" style="112" bestFit="1" customWidth="1"/>
    <col min="27" max="27" width="4.54296875" style="112" customWidth="1"/>
    <col min="28" max="28" width="27.453125" style="112" customWidth="1"/>
    <col min="29" max="29" width="24.453125" style="112" customWidth="1"/>
    <col min="30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43" t="s">
        <v>221</v>
      </c>
      <c r="C2" s="744"/>
      <c r="D2" s="744"/>
      <c r="E2" s="744"/>
      <c r="F2" s="744"/>
      <c r="G2" s="744"/>
      <c r="H2" s="688"/>
      <c r="I2" s="257">
        <f>SUM(I6:I159)</f>
        <v>8916891.6107580774</v>
      </c>
      <c r="J2" s="257">
        <f>SUM(J6:J159)</f>
        <v>9566688.9257903844</v>
      </c>
      <c r="L2" s="745" t="s">
        <v>222</v>
      </c>
      <c r="M2" s="746"/>
      <c r="N2" s="746"/>
      <c r="O2" s="746"/>
      <c r="P2" s="746"/>
      <c r="Q2" s="746"/>
      <c r="R2" s="750" t="s">
        <v>223</v>
      </c>
      <c r="S2" s="751"/>
      <c r="T2" s="751"/>
      <c r="U2" s="751"/>
      <c r="V2" s="751"/>
      <c r="W2" s="752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.5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47">
        <f>SUM(G6:G11)</f>
        <v>2190166.44</v>
      </c>
      <c r="J6" s="747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56" t="s">
        <v>241</v>
      </c>
      <c r="S6" s="628" t="s">
        <v>242</v>
      </c>
      <c r="T6" s="663">
        <v>45808</v>
      </c>
      <c r="U6" s="664">
        <v>2277667.0782100316</v>
      </c>
      <c r="V6" s="753">
        <f>J6-SUM(U6:U11)</f>
        <v>3.8953833281993866E-3</v>
      </c>
      <c r="W6" s="680">
        <v>45867</v>
      </c>
      <c r="X6" s="768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48"/>
      <c r="J7" s="748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57"/>
      <c r="S7" s="628" t="s">
        <v>242</v>
      </c>
      <c r="T7" s="649">
        <f>T6</f>
        <v>45808</v>
      </c>
      <c r="U7" s="665">
        <v>38640.486817480407</v>
      </c>
      <c r="V7" s="754"/>
      <c r="W7" s="681">
        <f>W6</f>
        <v>45867</v>
      </c>
      <c r="X7" s="769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48"/>
      <c r="J8" s="748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58"/>
      <c r="S8" s="628" t="s">
        <v>242</v>
      </c>
      <c r="T8" s="649">
        <f>T7</f>
        <v>45808</v>
      </c>
      <c r="U8" s="665">
        <v>6208.308769411834</v>
      </c>
      <c r="V8" s="754"/>
      <c r="W8" s="681">
        <f>W7</f>
        <v>45867</v>
      </c>
      <c r="X8" s="769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48"/>
      <c r="J9" s="748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4"/>
      <c r="W9" s="578"/>
      <c r="X9" s="769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48"/>
      <c r="J10" s="748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54"/>
      <c r="W10" s="578"/>
      <c r="X10" s="769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49"/>
      <c r="J11" s="749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5"/>
      <c r="W11" s="579"/>
      <c r="X11" s="770"/>
      <c r="Y11" s="609" t="s">
        <v>247</v>
      </c>
      <c r="Z11" s="610" t="s">
        <v>248</v>
      </c>
    </row>
    <row r="12" spans="1:76" ht="14.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59">
        <f>SUM(G13:G19)</f>
        <v>560000</v>
      </c>
      <c r="J13" s="759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65">
        <f>J13-SUM(U13:U19)</f>
        <v>0</v>
      </c>
      <c r="W13" s="543">
        <v>45862</v>
      </c>
      <c r="X13" s="762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60"/>
      <c r="J14" s="760"/>
      <c r="K14" s="300"/>
      <c r="L14" s="297">
        <v>2</v>
      </c>
      <c r="M14" s="430" t="s">
        <v>252</v>
      </c>
      <c r="N14" s="412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66"/>
      <c r="W14" s="544">
        <v>45862</v>
      </c>
      <c r="X14" s="763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60"/>
      <c r="J15" s="760"/>
      <c r="K15" s="300"/>
      <c r="L15" s="297">
        <v>2</v>
      </c>
      <c r="M15" s="430" t="s">
        <v>252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66"/>
      <c r="W15" s="582"/>
      <c r="X15" s="763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60"/>
      <c r="J16" s="760"/>
      <c r="K16" s="300"/>
      <c r="L16" s="297">
        <v>2</v>
      </c>
      <c r="M16" s="430" t="s">
        <v>252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66"/>
      <c r="W16" s="582"/>
      <c r="X16" s="763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60"/>
      <c r="J17" s="760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66"/>
      <c r="W17" s="582"/>
      <c r="X17" s="763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60"/>
      <c r="J18" s="760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66"/>
      <c r="W18" s="582"/>
      <c r="X18" s="763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1"/>
      <c r="J19" s="761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67"/>
      <c r="W19" s="583"/>
      <c r="X19" s="764"/>
      <c r="Y19" s="611" t="s">
        <v>262</v>
      </c>
      <c r="Z19" s="612">
        <v>0</v>
      </c>
    </row>
    <row r="20" spans="1:29" ht="14.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47">
        <f>SUM(G21:G26)</f>
        <v>847503.72</v>
      </c>
      <c r="J21" s="747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53">
        <f>J21-SUM(U21:U26)</f>
        <v>4.5349643332883716E-3</v>
      </c>
      <c r="W21" s="545">
        <v>45835</v>
      </c>
      <c r="X21" s="768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48"/>
      <c r="J22" s="748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54"/>
      <c r="W22" s="541">
        <f>T22</f>
        <v>45808</v>
      </c>
      <c r="X22" s="769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48"/>
      <c r="J23" s="748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4"/>
      <c r="W23" s="577"/>
      <c r="X23" s="769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48"/>
      <c r="J24" s="748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4"/>
      <c r="W24" s="578"/>
      <c r="X24" s="769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48"/>
      <c r="J25" s="748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4"/>
      <c r="W25" s="578"/>
      <c r="X25" s="769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49"/>
      <c r="J26" s="749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5"/>
      <c r="W26" s="579"/>
      <c r="X26" s="770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59">
        <f>SUM(G28:G42)</f>
        <v>805143.2</v>
      </c>
      <c r="J28" s="759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65">
        <f>J28-SUM(U28:U42)</f>
        <v>9.3273259699344635E-4</v>
      </c>
      <c r="W28" s="678">
        <v>45855</v>
      </c>
      <c r="X28" s="762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60"/>
      <c r="J29" s="760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66"/>
      <c r="W29" s="679">
        <v>45855</v>
      </c>
      <c r="X29" s="763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60"/>
      <c r="J30" s="760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66"/>
      <c r="W30" s="679">
        <v>45867</v>
      </c>
      <c r="X30" s="763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60"/>
      <c r="J31" s="760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66"/>
      <c r="W31" s="582"/>
      <c r="X31" s="763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60"/>
      <c r="J32" s="760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71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66"/>
      <c r="W32" s="544">
        <f>W90</f>
        <v>45792</v>
      </c>
      <c r="X32" s="763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60"/>
      <c r="J33" s="760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72"/>
      <c r="S33" s="634" t="s">
        <v>289</v>
      </c>
      <c r="T33" s="658">
        <f t="shared" si="0"/>
        <v>45808</v>
      </c>
      <c r="U33" s="667">
        <v>53370.978355221247</v>
      </c>
      <c r="V33" s="766"/>
      <c r="W33" s="544">
        <f t="shared" ref="W33:W39" si="4">W91</f>
        <v>45806</v>
      </c>
      <c r="X33" s="763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60"/>
      <c r="J34" s="760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72"/>
      <c r="S34" s="634" t="s">
        <v>291</v>
      </c>
      <c r="T34" s="658">
        <f>T108</f>
        <v>45838</v>
      </c>
      <c r="U34" s="675">
        <v>41581.617778492589</v>
      </c>
      <c r="V34" s="766"/>
      <c r="W34" s="544">
        <f t="shared" si="4"/>
        <v>45876</v>
      </c>
      <c r="X34" s="763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60"/>
      <c r="J35" s="760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72"/>
      <c r="S35" s="634" t="s">
        <v>293</v>
      </c>
      <c r="T35" s="658">
        <f>T109</f>
        <v>45838</v>
      </c>
      <c r="U35" s="675">
        <v>51977.022223115731</v>
      </c>
      <c r="V35" s="766"/>
      <c r="W35" s="544">
        <f>W93</f>
        <v>45939</v>
      </c>
      <c r="X35" s="763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60"/>
      <c r="J36" s="760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72"/>
      <c r="S36" s="634" t="s">
        <v>294</v>
      </c>
      <c r="T36" s="658">
        <v>45900</v>
      </c>
      <c r="U36" s="667">
        <v>20790.808889246295</v>
      </c>
      <c r="V36" s="766"/>
      <c r="W36" s="544">
        <f t="shared" si="4"/>
        <v>45946</v>
      </c>
      <c r="X36" s="763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60"/>
      <c r="J37" s="760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72"/>
      <c r="S37" s="634" t="s">
        <v>296</v>
      </c>
      <c r="T37" s="658">
        <v>45900</v>
      </c>
      <c r="U37" s="667">
        <v>20790.808889246295</v>
      </c>
      <c r="V37" s="766"/>
      <c r="W37" s="544">
        <f t="shared" si="4"/>
        <v>45954</v>
      </c>
      <c r="X37" s="763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60"/>
      <c r="J38" s="760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72"/>
      <c r="S38" s="634" t="s">
        <v>298</v>
      </c>
      <c r="T38" s="658">
        <v>45900</v>
      </c>
      <c r="U38" s="667">
        <v>10395.404444623147</v>
      </c>
      <c r="V38" s="766"/>
      <c r="W38" s="544">
        <f t="shared" si="4"/>
        <v>45954</v>
      </c>
      <c r="X38" s="763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60"/>
      <c r="J39" s="760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73"/>
      <c r="S39" s="634" t="s">
        <v>300</v>
      </c>
      <c r="T39" s="658">
        <v>45900</v>
      </c>
      <c r="U39" s="667">
        <v>10395.404444623147</v>
      </c>
      <c r="V39" s="766"/>
      <c r="W39" s="707">
        <f t="shared" si="4"/>
        <v>46009</v>
      </c>
      <c r="X39" s="763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60"/>
      <c r="J40" s="760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66"/>
      <c r="W40" s="582"/>
      <c r="X40" s="763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60"/>
      <c r="J41" s="760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66"/>
      <c r="W41" s="582"/>
      <c r="X41" s="763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1"/>
      <c r="J42" s="761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67"/>
      <c r="W42" s="583"/>
      <c r="X42" s="764"/>
      <c r="Y42" s="489"/>
    </row>
    <row r="43" spans="1:29" ht="14.5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47">
        <f>SUM(G44:G51)</f>
        <v>49000</v>
      </c>
      <c r="J44" s="747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53">
        <f>J44-SUM(U44:U51)</f>
        <v>4.625596702680923E-3</v>
      </c>
      <c r="W44" s="545">
        <v>45862</v>
      </c>
      <c r="X44" s="768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48"/>
      <c r="J45" s="748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54"/>
      <c r="W45" s="541">
        <v>45806</v>
      </c>
      <c r="X45" s="769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48"/>
      <c r="J46" s="748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54"/>
      <c r="W46" s="541">
        <v>45867</v>
      </c>
      <c r="X46" s="769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48"/>
      <c r="J47" s="748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54"/>
      <c r="W47" s="541">
        <v>45838</v>
      </c>
      <c r="X47" s="769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48"/>
      <c r="J48" s="748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54"/>
      <c r="W48" s="681">
        <v>45867</v>
      </c>
      <c r="X48" s="769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48"/>
      <c r="J49" s="748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54"/>
      <c r="W49" s="541">
        <v>45799</v>
      </c>
      <c r="X49" s="769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48"/>
      <c r="J50" s="748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54"/>
      <c r="W50" s="683">
        <v>45867</v>
      </c>
      <c r="X50" s="769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49"/>
      <c r="J51" s="749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5"/>
      <c r="W51" s="682"/>
      <c r="X51" s="770"/>
      <c r="Y51" s="489"/>
    </row>
    <row r="52" spans="1:25" ht="14.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59">
        <f>SUM(G53:G69)</f>
        <v>1197554.3999999999</v>
      </c>
      <c r="J53" s="759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65">
        <f>J53-SUM(U53:U69)</f>
        <v>-2.9361243359744549E-3</v>
      </c>
      <c r="W53" s="581"/>
      <c r="X53" s="762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60"/>
      <c r="J54" s="760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66"/>
      <c r="W54" s="544">
        <v>45899</v>
      </c>
      <c r="X54" s="763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60"/>
      <c r="J55" s="760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66"/>
      <c r="W55" s="582"/>
      <c r="X55" s="763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60"/>
      <c r="J56" s="760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66"/>
      <c r="W56" s="582"/>
      <c r="X56" s="763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60"/>
      <c r="J57" s="760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66"/>
      <c r="W57" s="582"/>
      <c r="X57" s="763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60"/>
      <c r="J58" s="760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66"/>
      <c r="W58" s="582"/>
      <c r="X58" s="763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60"/>
      <c r="J59" s="760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71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66"/>
      <c r="W59" s="544">
        <f>W90</f>
        <v>45792</v>
      </c>
      <c r="X59" s="763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60"/>
      <c r="J60" s="760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72"/>
      <c r="S60" s="634" t="s">
        <v>289</v>
      </c>
      <c r="T60" s="658">
        <f t="shared" si="0"/>
        <v>45808</v>
      </c>
      <c r="U60" s="667">
        <v>78869.236713838996</v>
      </c>
      <c r="V60" s="766"/>
      <c r="W60" s="544">
        <f t="shared" ref="W60:W66" si="8">W91</f>
        <v>45806</v>
      </c>
      <c r="X60" s="763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60"/>
      <c r="J61" s="760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72"/>
      <c r="S61" s="634" t="s">
        <v>291</v>
      </c>
      <c r="T61" s="658">
        <f>T92</f>
        <v>45838</v>
      </c>
      <c r="U61" s="675">
        <v>101571.32793621944</v>
      </c>
      <c r="V61" s="766"/>
      <c r="W61" s="544">
        <f t="shared" si="8"/>
        <v>45876</v>
      </c>
      <c r="X61" s="763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60"/>
      <c r="J62" s="760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72"/>
      <c r="S62" s="634" t="s">
        <v>293</v>
      </c>
      <c r="T62" s="658">
        <f>T93</f>
        <v>45838</v>
      </c>
      <c r="U62" s="675">
        <v>129455.5849202743</v>
      </c>
      <c r="V62" s="766"/>
      <c r="W62" s="544">
        <f t="shared" si="8"/>
        <v>45939</v>
      </c>
      <c r="X62" s="763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60"/>
      <c r="J63" s="760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72"/>
      <c r="S63" s="634" t="s">
        <v>294</v>
      </c>
      <c r="T63" s="658">
        <v>45900</v>
      </c>
      <c r="U63" s="667">
        <v>51782.233968109722</v>
      </c>
      <c r="V63" s="766"/>
      <c r="W63" s="544">
        <f t="shared" si="8"/>
        <v>45946</v>
      </c>
      <c r="X63" s="763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60"/>
      <c r="J64" s="760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72"/>
      <c r="S64" s="638" t="s">
        <v>296</v>
      </c>
      <c r="T64" s="684">
        <v>45900</v>
      </c>
      <c r="U64" s="686">
        <v>51782.233968109722</v>
      </c>
      <c r="V64" s="766"/>
      <c r="W64" s="544">
        <f t="shared" si="8"/>
        <v>45954</v>
      </c>
      <c r="X64" s="763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60"/>
      <c r="J65" s="760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72"/>
      <c r="S65" s="638" t="s">
        <v>298</v>
      </c>
      <c r="T65" s="684">
        <v>45900</v>
      </c>
      <c r="U65" s="686">
        <v>25891.116984054861</v>
      </c>
      <c r="V65" s="766"/>
      <c r="W65" s="544">
        <f t="shared" si="8"/>
        <v>45954</v>
      </c>
      <c r="X65" s="763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60"/>
      <c r="J66" s="760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73"/>
      <c r="S66" s="638" t="s">
        <v>300</v>
      </c>
      <c r="T66" s="684">
        <v>45900</v>
      </c>
      <c r="U66" s="686">
        <v>25891.116984054861</v>
      </c>
      <c r="V66" s="766"/>
      <c r="W66" s="707">
        <f t="shared" si="8"/>
        <v>46009</v>
      </c>
      <c r="X66" s="763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60"/>
      <c r="J67" s="760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66"/>
      <c r="W67" s="585"/>
      <c r="X67" s="763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60"/>
      <c r="J68" s="760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66"/>
      <c r="W68" s="585"/>
      <c r="X68" s="763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1"/>
      <c r="J69" s="761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67"/>
      <c r="W69" s="583"/>
      <c r="X69" s="764"/>
      <c r="Y69" s="489"/>
    </row>
    <row r="70" spans="1:25" ht="14.5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47">
        <f>SUM(G71:G78)</f>
        <v>0</v>
      </c>
      <c r="J71" s="747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74">
        <f>J71-SUM(U71:U78)</f>
        <v>0</v>
      </c>
      <c r="W71" s="587"/>
      <c r="X71" s="768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48"/>
      <c r="J72" s="748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75"/>
      <c r="W72" s="578"/>
      <c r="X72" s="769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48"/>
      <c r="J73" s="748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75"/>
      <c r="W73" s="578"/>
      <c r="X73" s="769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48"/>
      <c r="J74" s="748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75"/>
      <c r="W74" s="578"/>
      <c r="X74" s="769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48"/>
      <c r="J75" s="748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75"/>
      <c r="W75" s="578"/>
      <c r="X75" s="769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48"/>
      <c r="J76" s="748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75"/>
      <c r="W76" s="578"/>
      <c r="X76" s="769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48"/>
      <c r="J77" s="748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75"/>
      <c r="W77" s="578"/>
      <c r="X77" s="769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49"/>
      <c r="J78" s="749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76"/>
      <c r="W78" s="579"/>
      <c r="X78" s="770"/>
      <c r="Y78" s="489"/>
    </row>
    <row r="79" spans="1:25" ht="14.5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59">
        <f>D167</f>
        <v>0</v>
      </c>
      <c r="J80" s="759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83">
        <f>J80-SUM(U80:U87)</f>
        <v>0</v>
      </c>
      <c r="W80" s="543">
        <v>45988</v>
      </c>
      <c r="X80" s="762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60"/>
      <c r="J81" s="760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84"/>
      <c r="W81" s="582"/>
      <c r="X81" s="763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60"/>
      <c r="J82" s="760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84"/>
      <c r="W82" s="544">
        <f>T82</f>
        <v>45930</v>
      </c>
      <c r="X82" s="763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60"/>
      <c r="J83" s="760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84"/>
      <c r="W83" s="582"/>
      <c r="X83" s="763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60"/>
      <c r="J84" s="760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84"/>
      <c r="W84" s="582">
        <v>46081</v>
      </c>
      <c r="X84" s="763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60"/>
      <c r="J85" s="760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84"/>
      <c r="W85" s="544">
        <v>45869</v>
      </c>
      <c r="X85" s="763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60"/>
      <c r="J86" s="760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84"/>
      <c r="W86" s="544">
        <v>45989</v>
      </c>
      <c r="X86" s="763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61"/>
      <c r="J87" s="761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85"/>
      <c r="W87" s="715">
        <v>46051</v>
      </c>
      <c r="X87" s="764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77">
        <f>SUM(G89:G100)</f>
        <v>812490</v>
      </c>
      <c r="J89" s="747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3">
        <f>J89-SUM(U89:U100)</f>
        <v>0</v>
      </c>
      <c r="W89" s="584"/>
      <c r="X89" s="780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78"/>
      <c r="J90" s="748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86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54"/>
      <c r="W90" s="541">
        <v>45792</v>
      </c>
      <c r="X90" s="781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78"/>
      <c r="J91" s="748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57"/>
      <c r="S91" s="630" t="s">
        <v>289</v>
      </c>
      <c r="T91" s="662">
        <f t="shared" si="9"/>
        <v>45808</v>
      </c>
      <c r="U91" s="670">
        <v>143380.5882352941</v>
      </c>
      <c r="V91" s="754"/>
      <c r="W91" s="542">
        <f>'Project Plan'!I19+7</f>
        <v>45806</v>
      </c>
      <c r="X91" s="781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78"/>
      <c r="J92" s="748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57"/>
      <c r="S92" s="630" t="s">
        <v>291</v>
      </c>
      <c r="T92" s="662">
        <v>45838</v>
      </c>
      <c r="U92" s="674">
        <v>191174.11764705883</v>
      </c>
      <c r="V92" s="754"/>
      <c r="W92" s="542">
        <v>45876</v>
      </c>
      <c r="X92" s="781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78"/>
      <c r="J93" s="748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57"/>
      <c r="S93" s="630" t="s">
        <v>293</v>
      </c>
      <c r="T93" s="662">
        <v>45838</v>
      </c>
      <c r="U93" s="674">
        <v>238967.64705882352</v>
      </c>
      <c r="V93" s="754"/>
      <c r="W93" s="542">
        <v>45939</v>
      </c>
      <c r="X93" s="781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78"/>
      <c r="J94" s="748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57"/>
      <c r="S94" s="630" t="s">
        <v>294</v>
      </c>
      <c r="T94" s="662">
        <v>45900</v>
      </c>
      <c r="U94" s="670">
        <v>95587.058823529413</v>
      </c>
      <c r="V94" s="754"/>
      <c r="W94" s="542">
        <v>45946</v>
      </c>
      <c r="X94" s="781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78"/>
      <c r="J95" s="748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57"/>
      <c r="S95" s="630" t="s">
        <v>296</v>
      </c>
      <c r="T95" s="662">
        <v>45900</v>
      </c>
      <c r="U95" s="670">
        <v>95587.058823529413</v>
      </c>
      <c r="V95" s="754"/>
      <c r="W95" s="542">
        <v>45954</v>
      </c>
      <c r="X95" s="781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78"/>
      <c r="J96" s="748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57"/>
      <c r="S96" s="630" t="s">
        <v>298</v>
      </c>
      <c r="T96" s="662">
        <v>45900</v>
      </c>
      <c r="U96" s="670">
        <v>47793.529411764706</v>
      </c>
      <c r="V96" s="754"/>
      <c r="W96" s="542">
        <v>45954</v>
      </c>
      <c r="X96" s="781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78"/>
      <c r="J97" s="748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58"/>
      <c r="S97" s="630" t="s">
        <v>300</v>
      </c>
      <c r="T97" s="662">
        <v>45900</v>
      </c>
      <c r="U97" s="670">
        <v>47793.529411764706</v>
      </c>
      <c r="V97" s="754"/>
      <c r="W97" s="706">
        <v>46009</v>
      </c>
      <c r="X97" s="781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78"/>
      <c r="J98" s="748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4"/>
      <c r="W98" s="578"/>
      <c r="X98" s="781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78"/>
      <c r="J99" s="748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4"/>
      <c r="W99" s="578"/>
      <c r="X99" s="781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79"/>
      <c r="J100" s="749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5"/>
      <c r="W100" s="579"/>
      <c r="X100" s="782"/>
      <c r="Y100" s="489"/>
    </row>
    <row r="101" spans="1:25" ht="14.5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87">
        <f>SUM(G102:G116)</f>
        <v>214921.53333333335</v>
      </c>
      <c r="J102" s="787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93">
        <f>J102-SUM(U102:U116)</f>
        <v>3.1062951311469078E-3</v>
      </c>
      <c r="W102" s="588"/>
      <c r="X102" s="789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91"/>
      <c r="J103" s="791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94"/>
      <c r="W103" s="589"/>
      <c r="X103" s="792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91"/>
      <c r="J104" s="791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94"/>
      <c r="W104" s="589"/>
      <c r="X104" s="792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91"/>
      <c r="J105" s="791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94"/>
      <c r="W105" s="589"/>
      <c r="X105" s="792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91"/>
      <c r="J106" s="791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96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94"/>
      <c r="W106" s="547">
        <f>W90</f>
        <v>45792</v>
      </c>
      <c r="X106" s="792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91"/>
      <c r="J107" s="791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97"/>
      <c r="S107" s="643" t="s">
        <v>289</v>
      </c>
      <c r="T107" s="659">
        <f t="shared" si="9"/>
        <v>45808</v>
      </c>
      <c r="U107" s="671">
        <v>4710.9735479876163</v>
      </c>
      <c r="V107" s="794"/>
      <c r="W107" s="547">
        <f t="shared" ref="W107:W113" si="13">W91</f>
        <v>45806</v>
      </c>
      <c r="X107" s="792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91"/>
      <c r="J108" s="791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97"/>
      <c r="S108" s="643" t="s">
        <v>291</v>
      </c>
      <c r="T108" s="659">
        <f t="shared" ref="T108:T109" si="14">T92</f>
        <v>45838</v>
      </c>
      <c r="U108" s="677">
        <v>50569.77254901961</v>
      </c>
      <c r="V108" s="794"/>
      <c r="W108" s="547">
        <f t="shared" si="13"/>
        <v>45876</v>
      </c>
      <c r="X108" s="792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91"/>
      <c r="J109" s="791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97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94"/>
      <c r="W109" s="547">
        <f t="shared" si="13"/>
        <v>45939</v>
      </c>
      <c r="X109" s="792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91"/>
      <c r="J110" s="791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97"/>
      <c r="S110" s="643" t="s">
        <v>294</v>
      </c>
      <c r="T110" s="659">
        <v>45900</v>
      </c>
      <c r="U110" s="671">
        <v>25284.886274509805</v>
      </c>
      <c r="V110" s="794"/>
      <c r="W110" s="547">
        <f t="shared" si="13"/>
        <v>45946</v>
      </c>
      <c r="X110" s="792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91"/>
      <c r="J111" s="791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97"/>
      <c r="S111" s="643" t="s">
        <v>296</v>
      </c>
      <c r="T111" s="659">
        <v>45900</v>
      </c>
      <c r="U111" s="671">
        <v>25284.886274509805</v>
      </c>
      <c r="V111" s="794"/>
      <c r="W111" s="547">
        <f t="shared" si="13"/>
        <v>45954</v>
      </c>
      <c r="X111" s="792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91"/>
      <c r="J112" s="791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97"/>
      <c r="S112" s="643" t="s">
        <v>298</v>
      </c>
      <c r="T112" s="659">
        <v>45900</v>
      </c>
      <c r="U112" s="671">
        <v>12642.443137254902</v>
      </c>
      <c r="V112" s="794"/>
      <c r="W112" s="547">
        <f t="shared" si="13"/>
        <v>45954</v>
      </c>
      <c r="X112" s="792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91"/>
      <c r="J113" s="791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98"/>
      <c r="S113" s="643" t="s">
        <v>300</v>
      </c>
      <c r="T113" s="659">
        <v>45900</v>
      </c>
      <c r="U113" s="671">
        <v>12642.443137254902</v>
      </c>
      <c r="V113" s="794"/>
      <c r="W113" s="656">
        <f t="shared" si="13"/>
        <v>46009</v>
      </c>
      <c r="X113" s="792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91"/>
      <c r="J114" s="791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94"/>
      <c r="W114" s="590"/>
      <c r="X114" s="792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91"/>
      <c r="J115" s="791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94"/>
      <c r="W115" s="590"/>
      <c r="X115" s="792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88"/>
      <c r="J116" s="788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95"/>
      <c r="W116" s="591"/>
      <c r="X116" s="790"/>
      <c r="Y116" s="489"/>
    </row>
    <row r="117" spans="1:25" ht="14.5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47">
        <f>SUM(G118:G122)</f>
        <v>158183</v>
      </c>
      <c r="J118" s="747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53">
        <f>J118-SUM(U118:U122)</f>
        <v>2.9164322186261415E-3</v>
      </c>
      <c r="W118" s="545">
        <v>45989</v>
      </c>
      <c r="X118" s="768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48"/>
      <c r="J119" s="748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54"/>
      <c r="W119" s="651">
        <v>45757</v>
      </c>
      <c r="X119" s="769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48"/>
      <c r="J120" s="748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54"/>
      <c r="W120" s="577">
        <v>46081</v>
      </c>
      <c r="X120" s="769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48"/>
      <c r="J121" s="748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54"/>
      <c r="W121" s="542">
        <v>45900</v>
      </c>
      <c r="X121" s="769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49"/>
      <c r="J122" s="749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5"/>
      <c r="W122" s="579"/>
      <c r="X122" s="770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87">
        <f>SUM(G124:G125)</f>
        <v>162449.32875807735</v>
      </c>
      <c r="J124" s="787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89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88"/>
      <c r="J125" s="788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90"/>
      <c r="Y125" s="489"/>
    </row>
    <row r="126" spans="1:25" ht="14.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47">
        <f>SUM(G127:G131)</f>
        <v>301279.98866666667</v>
      </c>
      <c r="J127" s="747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53">
        <f>J127-SUM(U127:U132)</f>
        <v>0</v>
      </c>
      <c r="W127" s="545">
        <v>45900</v>
      </c>
      <c r="X127" s="768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48"/>
      <c r="J128" s="748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4"/>
      <c r="W128" s="577"/>
      <c r="X128" s="769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48"/>
      <c r="J129" s="748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4"/>
      <c r="W129" s="577"/>
      <c r="X129" s="769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48"/>
      <c r="J130" s="748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4"/>
      <c r="W130" s="577"/>
      <c r="X130" s="769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48"/>
      <c r="J131" s="748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4"/>
      <c r="W131" s="577"/>
      <c r="X131" s="769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49"/>
      <c r="J132" s="749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5"/>
      <c r="W132" s="579"/>
      <c r="X132" s="770"/>
      <c r="Y132" s="489"/>
    </row>
    <row r="133" spans="1:25" ht="14.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87">
        <f>SUM(G134:G145)</f>
        <v>18200</v>
      </c>
      <c r="J134" s="787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93">
        <f>J134-SUM(U134:U145)</f>
        <v>1.695305691100657E-4</v>
      </c>
      <c r="W134" s="655">
        <v>45747</v>
      </c>
      <c r="X134" s="789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91"/>
      <c r="J135" s="791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94"/>
      <c r="W135" s="656">
        <v>45777</v>
      </c>
      <c r="X135" s="792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91"/>
      <c r="J136" s="791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94"/>
      <c r="W136" s="547">
        <v>45817</v>
      </c>
      <c r="X136" s="792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91"/>
      <c r="J137" s="791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94"/>
      <c r="W137" s="547">
        <v>45842</v>
      </c>
      <c r="X137" s="792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91"/>
      <c r="J138" s="791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94"/>
      <c r="W138" s="547">
        <v>45869</v>
      </c>
      <c r="X138" s="792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91"/>
      <c r="J139" s="791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94"/>
      <c r="W139" s="547">
        <v>45905</v>
      </c>
      <c r="X139" s="792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91"/>
      <c r="J140" s="791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94"/>
      <c r="W140" s="656">
        <v>45940</v>
      </c>
      <c r="X140" s="792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91"/>
      <c r="J141" s="791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94"/>
      <c r="W141" s="656">
        <v>45961</v>
      </c>
      <c r="X141" s="792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91"/>
      <c r="J142" s="791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94"/>
      <c r="W142" s="656">
        <v>45991</v>
      </c>
      <c r="X142" s="792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91"/>
      <c r="J143" s="791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94"/>
      <c r="W143" s="590"/>
      <c r="X143" s="792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91"/>
      <c r="J144" s="791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94"/>
      <c r="W144" s="590"/>
      <c r="X144" s="792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88"/>
      <c r="J145" s="788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95"/>
      <c r="W145" s="591"/>
      <c r="X145" s="790"/>
      <c r="Y145" s="489"/>
    </row>
    <row r="146" spans="1:25" ht="14.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47">
        <f>SUM(G147:G158)</f>
        <v>1600000</v>
      </c>
      <c r="J147" s="747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53">
        <f>J147-SUM(U147:U158)</f>
        <v>0</v>
      </c>
      <c r="W147" s="545">
        <v>45834</v>
      </c>
      <c r="X147" s="768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48"/>
      <c r="J148" s="748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54"/>
      <c r="W148" s="681">
        <v>45960</v>
      </c>
      <c r="X148" s="769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48"/>
      <c r="J149" s="748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4"/>
      <c r="W149" s="577"/>
      <c r="X149" s="769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48"/>
      <c r="J150" s="748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4"/>
      <c r="W150" s="577"/>
      <c r="X150" s="769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48"/>
      <c r="J151" s="748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54"/>
      <c r="W151" s="651">
        <v>45932</v>
      </c>
      <c r="X151" s="769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48"/>
      <c r="J152" s="748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4"/>
      <c r="W152" s="577"/>
      <c r="X152" s="769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48"/>
      <c r="J153" s="748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4"/>
      <c r="W153" s="577"/>
      <c r="X153" s="769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48"/>
      <c r="J154" s="748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4"/>
      <c r="W154" s="577"/>
      <c r="X154" s="769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48"/>
      <c r="J155" s="748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4"/>
      <c r="W155" s="577"/>
      <c r="X155" s="769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48"/>
      <c r="J156" s="748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4"/>
      <c r="W156" s="577"/>
      <c r="X156" s="769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48"/>
      <c r="J157" s="748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4"/>
      <c r="W157" s="577"/>
      <c r="X157" s="769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49"/>
      <c r="J158" s="749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5"/>
      <c r="W158" s="579"/>
      <c r="X158" s="770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26953125" bestFit="1" customWidth="1"/>
    <col min="7" max="7" width="20.453125" customWidth="1"/>
    <col min="8" max="316" width="15.453125" bestFit="1" customWidth="1"/>
    <col min="317" max="317" width="9.4531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9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478334.44628951955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0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9566688.92579039</v>
      </c>
      <c r="BA4" s="197">
        <f t="shared" si="5"/>
        <v>9566688.92579039</v>
      </c>
      <c r="BB4" s="197">
        <f t="shared" si="5"/>
        <v>9566688.92579039</v>
      </c>
      <c r="BC4" s="197">
        <f t="shared" si="5"/>
        <v>9566688.92579039</v>
      </c>
      <c r="BD4" s="197">
        <f t="shared" si="5"/>
        <v>9566688.92579039</v>
      </c>
      <c r="BE4" s="197">
        <f t="shared" si="5"/>
        <v>9566688.92579039</v>
      </c>
      <c r="BF4" s="197">
        <f t="shared" si="5"/>
        <v>9566688.92579039</v>
      </c>
      <c r="BG4" s="197">
        <f t="shared" si="5"/>
        <v>9566688.92579039</v>
      </c>
      <c r="BH4" s="197">
        <f t="shared" si="5"/>
        <v>9566688.92579039</v>
      </c>
      <c r="BI4" s="197">
        <f t="shared" si="5"/>
        <v>9566688.92579039</v>
      </c>
      <c r="BJ4" s="197">
        <f t="shared" si="5"/>
        <v>9566688.92579039</v>
      </c>
      <c r="BK4" s="197">
        <f t="shared" si="5"/>
        <v>9566688.92579039</v>
      </c>
      <c r="BL4" s="197">
        <f t="shared" si="5"/>
        <v>9566688.92579039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0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0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0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649797.31503231265</v>
      </c>
      <c r="BA7" s="206">
        <f t="shared" si="16"/>
        <v>649797.31503231265</v>
      </c>
      <c r="BB7" s="206">
        <f t="shared" si="16"/>
        <v>649797.31503231265</v>
      </c>
      <c r="BC7" s="206">
        <f t="shared" si="16"/>
        <v>649797.31503231265</v>
      </c>
      <c r="BD7" s="206">
        <f t="shared" si="16"/>
        <v>649797.31503231265</v>
      </c>
      <c r="BE7" s="206">
        <f t="shared" si="16"/>
        <v>649797.31503231265</v>
      </c>
      <c r="BF7" s="206">
        <f t="shared" si="16"/>
        <v>649797.31503231265</v>
      </c>
      <c r="BG7" s="206">
        <f t="shared" si="16"/>
        <v>649797.31503231265</v>
      </c>
      <c r="BH7" s="206">
        <f t="shared" si="16"/>
        <v>649797.31503231265</v>
      </c>
      <c r="BI7" s="206">
        <f t="shared" si="16"/>
        <v>649797.31503231265</v>
      </c>
      <c r="BJ7" s="206">
        <f t="shared" si="16"/>
        <v>649797.31503231265</v>
      </c>
      <c r="BK7" s="206">
        <f t="shared" si="16"/>
        <v>649797.31503231265</v>
      </c>
      <c r="BL7" s="206">
        <f t="shared" si="16"/>
        <v>649797.31503231265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9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0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0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99663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0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7712531.4215723816</v>
      </c>
      <c r="BL12" s="213">
        <f t="shared" si="26"/>
        <v>7712531.4215723816</v>
      </c>
      <c r="BM12" s="213">
        <f t="shared" si="26"/>
        <v>7712531.4215723816</v>
      </c>
      <c r="BN12" s="213">
        <f t="shared" si="26"/>
        <v>7712531.4215723816</v>
      </c>
      <c r="BO12" s="213">
        <f t="shared" si="26"/>
        <v>7712531.4215723816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1854157.5042180084</v>
      </c>
      <c r="BL14" s="206">
        <f t="shared" si="32"/>
        <v>1854157.5042180084</v>
      </c>
      <c r="BM14" s="206">
        <f t="shared" si="32"/>
        <v>1854157.5042180084</v>
      </c>
      <c r="BN14" s="206">
        <f t="shared" si="32"/>
        <v>1854157.5042180084</v>
      </c>
      <c r="BO14" s="206">
        <f t="shared" si="32"/>
        <v>1854157.5042180084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1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1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4296875" defaultRowHeight="14.5"/>
  <cols>
    <col min="1" max="1" width="39.453125" style="364" bestFit="1" customWidth="1"/>
    <col min="2" max="2" width="17.26953125" style="365" bestFit="1" customWidth="1"/>
    <col min="3" max="3" width="13.26953125" style="364" bestFit="1" customWidth="1"/>
    <col min="4" max="5" width="14.81640625" style="364" bestFit="1" customWidth="1"/>
    <col min="6" max="6" width="12" style="364" bestFit="1" customWidth="1"/>
    <col min="7" max="7" width="14.81640625" style="364" bestFit="1" customWidth="1"/>
    <col min="8" max="8" width="10.81640625" style="364" bestFit="1" customWidth="1"/>
    <col min="9" max="10" width="11.7265625" style="364" bestFit="1" customWidth="1"/>
    <col min="11" max="11" width="4.81640625" style="364" bestFit="1" customWidth="1"/>
    <col min="12" max="12" width="10.54296875" style="364" bestFit="1" customWidth="1"/>
    <col min="13" max="13" width="14.81640625" style="364" bestFit="1" customWidth="1"/>
    <col min="14" max="14" width="14.54296875" style="364" bestFit="1" customWidth="1"/>
    <col min="15" max="15" width="14.26953125" style="364" bestFit="1" customWidth="1"/>
    <col min="16" max="18" width="11.453125" style="364" bestFit="1" customWidth="1"/>
    <col min="19" max="19" width="13.54296875" style="364" bestFit="1" customWidth="1"/>
    <col min="20" max="16384" width="12.5429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453125" defaultRowHeight="14.5"/>
  <cols>
    <col min="1" max="1" width="21.7265625" bestFit="1" customWidth="1"/>
    <col min="2" max="2" width="17.26953125" style="411" bestFit="1" customWidth="1"/>
    <col min="3" max="3" width="13.26953125" style="411" bestFit="1" customWidth="1"/>
    <col min="4" max="5" width="14.81640625" style="411" bestFit="1" customWidth="1"/>
    <col min="6" max="6" width="12" style="411" bestFit="1" customWidth="1"/>
    <col min="7" max="8" width="13.26953125" style="411" bestFit="1" customWidth="1"/>
    <col min="9" max="9" width="11.7265625" style="411" bestFit="1" customWidth="1"/>
    <col min="10" max="10" width="12" bestFit="1" customWidth="1"/>
    <col min="11" max="11" width="11.7265625" bestFit="1" customWidth="1"/>
    <col min="12" max="12" width="12.1796875" bestFit="1" customWidth="1"/>
    <col min="13" max="13" width="14.81640625" bestFit="1" customWidth="1"/>
    <col min="14" max="14" width="13.7265625" bestFit="1" customWidth="1"/>
    <col min="15" max="15" width="17.4531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04" t="s">
        <v>430</v>
      </c>
      <c r="C2" s="804"/>
      <c r="D2" s="804"/>
      <c r="E2" s="804"/>
      <c r="H2" s="805" t="s">
        <v>431</v>
      </c>
      <c r="I2" s="806"/>
      <c r="J2" s="806"/>
      <c r="K2" s="806"/>
      <c r="L2" s="806"/>
      <c r="M2" s="806"/>
      <c r="N2" s="806"/>
      <c r="O2" s="807"/>
    </row>
    <row r="3" spans="2:15">
      <c r="B3" s="697"/>
      <c r="H3" s="808"/>
      <c r="I3" s="809"/>
      <c r="J3" s="809"/>
      <c r="K3" s="809"/>
      <c r="L3" s="809"/>
      <c r="M3" s="809"/>
      <c r="N3" s="809"/>
      <c r="O3" s="810"/>
    </row>
    <row r="4" spans="2:15">
      <c r="B4" s="698" t="s">
        <v>432</v>
      </c>
      <c r="C4" s="699" t="str">
        <f>'Project Plan'!E2</f>
        <v>Gillwell Mall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8" t="s">
        <v>433</v>
      </c>
      <c r="C5" s="699" t="s">
        <v>434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8" t="s">
        <v>435</v>
      </c>
      <c r="C6" s="699" t="s">
        <v>436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8" t="s">
        <v>437</v>
      </c>
      <c r="C7" s="699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7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438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439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700" t="s">
        <v>440</v>
      </c>
      <c r="C11" s="802" t="s">
        <v>441</v>
      </c>
      <c r="D11" s="802"/>
      <c r="E11" s="802"/>
    </row>
    <row r="12" spans="2:15">
      <c r="B12" s="700" t="s">
        <v>442</v>
      </c>
      <c r="C12" s="802" t="s">
        <v>441</v>
      </c>
      <c r="D12" s="802"/>
      <c r="E12" s="802"/>
    </row>
    <row r="13" spans="2:15">
      <c r="B13" s="700" t="s">
        <v>443</v>
      </c>
      <c r="C13" s="802" t="s">
        <v>441</v>
      </c>
      <c r="D13" s="802"/>
      <c r="E13" s="802"/>
    </row>
    <row r="14" spans="2:15">
      <c r="B14" s="700" t="s">
        <v>444</v>
      </c>
      <c r="C14" s="802" t="s">
        <v>445</v>
      </c>
      <c r="D14" s="802"/>
      <c r="E14" s="802"/>
    </row>
    <row r="15" spans="2:15">
      <c r="B15" s="700" t="s">
        <v>446</v>
      </c>
      <c r="C15" s="802" t="s">
        <v>447</v>
      </c>
      <c r="D15" s="802"/>
      <c r="E15" s="802"/>
    </row>
    <row r="16" spans="2:15" ht="15" customHeight="1">
      <c r="B16" s="700" t="s">
        <v>448</v>
      </c>
      <c r="C16" s="802" t="s">
        <v>449</v>
      </c>
      <c r="D16" s="802"/>
      <c r="E16" s="802"/>
    </row>
    <row r="17" spans="2:5">
      <c r="B17" s="697"/>
    </row>
    <row r="18" spans="2:5">
      <c r="B18" s="803" t="s">
        <v>450</v>
      </c>
      <c r="C18" s="803"/>
      <c r="D18" s="803"/>
      <c r="E18" s="803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457</v>
      </c>
    </row>
    <row r="2" spans="1:4">
      <c r="A2" s="816"/>
      <c r="B2" s="816"/>
      <c r="C2" s="816"/>
      <c r="D2" s="71"/>
    </row>
    <row r="3" spans="1:4">
      <c r="A3" s="815" t="s">
        <v>458</v>
      </c>
      <c r="B3" s="815"/>
      <c r="C3" s="815"/>
      <c r="D3" s="111">
        <v>0.32</v>
      </c>
    </row>
    <row r="4" spans="1:4">
      <c r="A4" s="815" t="s">
        <v>399</v>
      </c>
      <c r="B4" s="815"/>
      <c r="C4" s="815"/>
      <c r="D4" s="111">
        <v>0.5</v>
      </c>
    </row>
    <row r="5" spans="1:4">
      <c r="A5" s="815" t="s">
        <v>410</v>
      </c>
      <c r="B5" s="815"/>
      <c r="C5" s="815"/>
      <c r="D5" s="111">
        <v>0.15</v>
      </c>
    </row>
    <row r="6" spans="1:4">
      <c r="A6" s="815" t="s">
        <v>459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269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269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269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7" t="s">
        <v>460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269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269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26953125" style="88" bestFit="1" customWidth="1"/>
    <col min="16" max="16384" width="9.453125" style="88"/>
  </cols>
  <sheetData>
    <row r="2" spans="2:15" s="94" customFormat="1" ht="18">
      <c r="B2" s="817" t="s">
        <v>482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19" t="str">
        <f>D15</f>
        <v>Gillwell Mall</v>
      </c>
      <c r="C1" s="819"/>
      <c r="D1" s="819"/>
      <c r="E1" s="818" t="s">
        <v>495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2026-02-11T10:38:02Z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