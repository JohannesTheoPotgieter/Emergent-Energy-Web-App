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40" documentId="13_ncr:1_{584C75F5-E5AB-4758-B090-7236C5FD83D9}" xr6:coauthVersionLast="47" xr6:coauthVersionMax="47" xr10:uidLastSave="{C1EE4AB9-102C-4324-B2D3-EA46A0B5CD22}"/>
  <bookViews>
    <workbookView xWindow="-27570" yWindow="570" windowWidth="13155" windowHeight="11310" tabRatio="779" firstSheet="6" activeTab="10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Plan'!$B$54:$G$59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024" r:id="rId16"/>
    <pivotCache cacheId="103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3" l="1"/>
  <c r="Q10" i="13"/>
  <c r="Q11" i="13"/>
  <c r="Q12" i="13"/>
  <c r="Q13" i="13"/>
  <c r="Q14" i="13"/>
  <c r="Q15" i="13"/>
  <c r="Q16" i="13"/>
  <c r="Q17" i="13"/>
  <c r="Q18" i="13"/>
  <c r="Q19" i="13"/>
  <c r="Q20" i="13"/>
  <c r="Q8" i="13"/>
  <c r="Q21" i="13" l="1"/>
  <c r="X128" i="4" l="1"/>
  <c r="W80" i="4"/>
  <c r="S34" i="4"/>
  <c r="S56" i="4"/>
  <c r="S94" i="4"/>
  <c r="V68" i="4"/>
  <c r="S35" i="4"/>
  <c r="S95" i="4"/>
  <c r="S57" i="4"/>
  <c r="W94" i="4"/>
  <c r="T35" i="4"/>
  <c r="W69" i="4"/>
  <c r="P16" i="5"/>
  <c r="P15" i="5"/>
  <c r="T42" i="4"/>
  <c r="T70" i="4"/>
  <c r="R69" i="4"/>
  <c r="X68" i="4" s="1"/>
  <c r="J16" i="3" s="1"/>
  <c r="F18" i="5"/>
  <c r="R41" i="4"/>
  <c r="D23" i="13"/>
  <c r="S6" i="5"/>
  <c r="W121" i="4"/>
  <c r="W122" i="4"/>
  <c r="P14" i="5"/>
  <c r="T10" i="4"/>
  <c r="W21" i="4"/>
  <c r="R46" i="4"/>
  <c r="W13" i="4"/>
  <c r="H28" i="4"/>
  <c r="H27" i="4" s="1"/>
  <c r="H80" i="4"/>
  <c r="H53" i="4" s="1"/>
  <c r="H79" i="4"/>
  <c r="H52" i="4" s="1"/>
  <c r="P88" i="4"/>
  <c r="R91" i="4"/>
  <c r="T87" i="4"/>
  <c r="P77" i="4"/>
  <c r="R78" i="4"/>
  <c r="R45" i="4"/>
  <c r="P28" i="4"/>
  <c r="R34" i="4"/>
  <c r="AJ28" i="4"/>
  <c r="AC28" i="4"/>
  <c r="AG28" i="4"/>
  <c r="AI29" i="4"/>
  <c r="AI25" i="4"/>
  <c r="AI36" i="4" s="1"/>
  <c r="AI37" i="4" s="1"/>
  <c r="P50" i="4"/>
  <c r="R50" i="4" s="1"/>
  <c r="R54" i="4"/>
  <c r="W38" i="4"/>
  <c r="W37" i="4"/>
  <c r="AF36" i="4"/>
  <c r="AF37" i="4"/>
  <c r="K86" i="4"/>
  <c r="K77" i="4"/>
  <c r="J107" i="4"/>
  <c r="R18" i="4"/>
  <c r="X18" i="4" s="1"/>
  <c r="J11" i="3" s="1"/>
  <c r="N11" i="3" s="1"/>
  <c r="R7" i="4"/>
  <c r="G27" i="4"/>
  <c r="G6" i="4"/>
  <c r="J6" i="4"/>
  <c r="T128" i="4"/>
  <c r="T127" i="4"/>
  <c r="T126" i="4"/>
  <c r="T118" i="4"/>
  <c r="T117" i="4"/>
  <c r="T116" i="4"/>
  <c r="T110" i="4"/>
  <c r="T109" i="4"/>
  <c r="T106" i="4"/>
  <c r="T104" i="4"/>
  <c r="T103" i="4"/>
  <c r="T100" i="4"/>
  <c r="T99" i="4"/>
  <c r="T98" i="4"/>
  <c r="T97" i="4"/>
  <c r="T96" i="4"/>
  <c r="T85" i="4"/>
  <c r="T76" i="4"/>
  <c r="T49" i="4"/>
  <c r="T67" i="4"/>
  <c r="T66" i="4"/>
  <c r="T65" i="4"/>
  <c r="T64" i="4"/>
  <c r="T63" i="4"/>
  <c r="T62" i="4"/>
  <c r="T61" i="4"/>
  <c r="T60" i="4"/>
  <c r="T59" i="4"/>
  <c r="T58" i="4"/>
  <c r="T44" i="4"/>
  <c r="T43" i="4"/>
  <c r="T36" i="4"/>
  <c r="T25" i="4"/>
  <c r="AB36" i="4"/>
  <c r="AB37" i="4"/>
  <c r="AB15" i="4"/>
  <c r="D13" i="7" s="1"/>
  <c r="AA15" i="4"/>
  <c r="R111" i="4"/>
  <c r="R113" i="4" s="1"/>
  <c r="J111" i="4"/>
  <c r="F21" i="3"/>
  <c r="G50" i="4"/>
  <c r="E29" i="4"/>
  <c r="G29" i="4" s="1"/>
  <c r="J26" i="4" s="1"/>
  <c r="G30" i="4"/>
  <c r="E18" i="4"/>
  <c r="AB10" i="4"/>
  <c r="D8" i="7" s="1"/>
  <c r="D17" i="3"/>
  <c r="G84" i="4"/>
  <c r="G83" i="4"/>
  <c r="G82" i="4"/>
  <c r="G81" i="4"/>
  <c r="G80" i="4"/>
  <c r="G79" i="4"/>
  <c r="G78" i="4"/>
  <c r="G77" i="4"/>
  <c r="B17" i="3"/>
  <c r="R6" i="4"/>
  <c r="X6" i="4"/>
  <c r="J9" i="3" s="1"/>
  <c r="N9" i="3" s="1"/>
  <c r="V6" i="4"/>
  <c r="AB11" i="4"/>
  <c r="G57" i="4"/>
  <c r="G56" i="4"/>
  <c r="G55" i="4"/>
  <c r="G54" i="4"/>
  <c r="G53" i="4"/>
  <c r="G52" i="4"/>
  <c r="G51" i="4"/>
  <c r="J44" i="4" s="1"/>
  <c r="F14" i="3" s="1"/>
  <c r="R39" i="4"/>
  <c r="R37" i="4"/>
  <c r="X37" i="4"/>
  <c r="J13" i="3" s="1"/>
  <c r="N13" i="3" s="1"/>
  <c r="R26" i="4"/>
  <c r="X26" i="4" s="1"/>
  <c r="R13" i="4"/>
  <c r="X13" i="4" s="1"/>
  <c r="G39" i="4"/>
  <c r="G37" i="4"/>
  <c r="G28" i="4"/>
  <c r="AB13" i="4"/>
  <c r="D11" i="7" s="1"/>
  <c r="J11" i="7" s="1"/>
  <c r="AB12" i="4"/>
  <c r="AB8" i="4"/>
  <c r="R31" i="4"/>
  <c r="G13" i="4"/>
  <c r="J13" i="4"/>
  <c r="F10" i="3" s="1"/>
  <c r="F20" i="3"/>
  <c r="D20" i="3"/>
  <c r="B20" i="3"/>
  <c r="X107" i="4"/>
  <c r="J20" i="3" s="1"/>
  <c r="AB14" i="4"/>
  <c r="D12" i="7" s="1"/>
  <c r="O26" i="7" s="1"/>
  <c r="B15" i="3"/>
  <c r="D15" i="3"/>
  <c r="D10" i="3"/>
  <c r="X59" i="4"/>
  <c r="J59" i="4"/>
  <c r="F15" i="3" s="1"/>
  <c r="L15" i="3" s="1"/>
  <c r="J15" i="3"/>
  <c r="N15" i="3"/>
  <c r="G25" i="3"/>
  <c r="K2" i="4"/>
  <c r="V18" i="4"/>
  <c r="U16" i="4"/>
  <c r="D9" i="7"/>
  <c r="D10" i="7"/>
  <c r="J10" i="7" s="1"/>
  <c r="I25" i="3"/>
  <c r="X101" i="4"/>
  <c r="J128" i="4"/>
  <c r="J119" i="4"/>
  <c r="F22" i="3" s="1"/>
  <c r="J101" i="4"/>
  <c r="F19" i="3"/>
  <c r="J68" i="4"/>
  <c r="F16" i="3"/>
  <c r="J37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8" i="4"/>
  <c r="J23" i="3"/>
  <c r="L23" i="3" s="1"/>
  <c r="V59" i="4"/>
  <c r="J86" i="4"/>
  <c r="F18" i="3" s="1"/>
  <c r="G1" i="6"/>
  <c r="J29" i="9"/>
  <c r="J36" i="9"/>
  <c r="D31" i="9"/>
  <c r="D29" i="9" s="1"/>
  <c r="D30" i="9"/>
  <c r="D18" i="9"/>
  <c r="D17" i="9" s="1"/>
  <c r="J23" i="9"/>
  <c r="J17" i="9"/>
  <c r="F17" i="9"/>
  <c r="F23" i="9"/>
  <c r="J9" i="9"/>
  <c r="D11" i="9"/>
  <c r="D10" i="9"/>
  <c r="D9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D21" i="7"/>
  <c r="D20" i="7"/>
  <c r="F36" i="9"/>
  <c r="D37" i="9"/>
  <c r="D36" i="9"/>
  <c r="D43" i="9" s="1"/>
  <c r="B31" i="9"/>
  <c r="B30" i="9"/>
  <c r="H7" i="7"/>
  <c r="H8" i="7"/>
  <c r="H9" i="7"/>
  <c r="M9" i="7"/>
  <c r="M7" i="7"/>
  <c r="M8" i="7"/>
  <c r="X119" i="4"/>
  <c r="G26" i="4"/>
  <c r="D24" i="9"/>
  <c r="D23" i="9"/>
  <c r="V119" i="4"/>
  <c r="J22" i="3"/>
  <c r="N22" i="3"/>
  <c r="O10" i="7"/>
  <c r="O24" i="7"/>
  <c r="D23" i="7"/>
  <c r="H22" i="7"/>
  <c r="M20" i="7"/>
  <c r="H20" i="7"/>
  <c r="M6" i="7"/>
  <c r="H6" i="7"/>
  <c r="L29" i="7"/>
  <c r="D38" i="7"/>
  <c r="G29" i="7"/>
  <c r="D37" i="7"/>
  <c r="E23" i="7"/>
  <c r="J23" i="7"/>
  <c r="D15" i="10" a="1"/>
  <c r="D15" i="10" s="1"/>
  <c r="B1" i="10" s="1"/>
  <c r="L15" i="7"/>
  <c r="D36" i="7" s="1"/>
  <c r="G15" i="7"/>
  <c r="D35" i="7"/>
  <c r="D4" i="5"/>
  <c r="F23" i="3"/>
  <c r="E46" i="5"/>
  <c r="E47" i="5"/>
  <c r="E21" i="5"/>
  <c r="L2" i="1"/>
  <c r="L14" i="1"/>
  <c r="L26" i="1"/>
  <c r="L7" i="1"/>
  <c r="L39" i="1"/>
  <c r="L37" i="1"/>
  <c r="L35" i="1"/>
  <c r="L31" i="1"/>
  <c r="L45" i="1"/>
  <c r="L36" i="1"/>
  <c r="L33" i="1"/>
  <c r="L32" i="1"/>
  <c r="L6" i="1"/>
  <c r="L8" i="1"/>
  <c r="L10" i="1"/>
  <c r="L13" i="1"/>
  <c r="L16" i="1"/>
  <c r="L28" i="1"/>
  <c r="F29" i="9"/>
  <c r="H5" i="3"/>
  <c r="T89" i="4"/>
  <c r="W89" i="4"/>
  <c r="W28" i="4"/>
  <c r="W29" i="4"/>
  <c r="W51" i="4"/>
  <c r="T28" i="4"/>
  <c r="T51" i="4"/>
  <c r="T29" i="4"/>
  <c r="W90" i="4"/>
  <c r="W30" i="4"/>
  <c r="T90" i="4"/>
  <c r="W52" i="4"/>
  <c r="T30" i="4"/>
  <c r="T52" i="4"/>
  <c r="W91" i="4"/>
  <c r="W31" i="4"/>
  <c r="W53" i="4"/>
  <c r="T31" i="4"/>
  <c r="W92" i="4"/>
  <c r="W32" i="4"/>
  <c r="W54" i="4"/>
  <c r="W93" i="4"/>
  <c r="W33" i="4"/>
  <c r="W55" i="4"/>
  <c r="W95" i="4"/>
  <c r="W56" i="4"/>
  <c r="T94" i="4"/>
  <c r="W34" i="4"/>
  <c r="T56" i="4"/>
  <c r="T34" i="4"/>
  <c r="W35" i="4"/>
  <c r="W57" i="4"/>
  <c r="T57" i="4"/>
  <c r="T95" i="4"/>
  <c r="E20" i="7"/>
  <c r="D29" i="7"/>
  <c r="J20" i="7"/>
  <c r="J29" i="7" s="1"/>
  <c r="O25" i="7"/>
  <c r="J12" i="7"/>
  <c r="O12" i="7"/>
  <c r="R32" i="4"/>
  <c r="R28" i="4"/>
  <c r="R30" i="4"/>
  <c r="R35" i="4"/>
  <c r="R33" i="4"/>
  <c r="R29" i="4"/>
  <c r="O11" i="7"/>
  <c r="U42" i="4"/>
  <c r="V37" i="4"/>
  <c r="L23" i="9"/>
  <c r="H23" i="9"/>
  <c r="F12" i="3"/>
  <c r="J8" i="7"/>
  <c r="W15" i="4"/>
  <c r="R4" i="5"/>
  <c r="R5" i="5"/>
  <c r="L12" i="3" l="1"/>
  <c r="R81" i="4"/>
  <c r="R82" i="4"/>
  <c r="R77" i="4"/>
  <c r="R83" i="4"/>
  <c r="R84" i="4"/>
  <c r="U27" i="4"/>
  <c r="V26" i="4" s="1"/>
  <c r="J12" i="3"/>
  <c r="N12" i="3" s="1"/>
  <c r="L19" i="3"/>
  <c r="H9" i="9"/>
  <c r="L9" i="9"/>
  <c r="L43" i="9" s="1"/>
  <c r="L20" i="3"/>
  <c r="N20" i="3"/>
  <c r="F9" i="3"/>
  <c r="R56" i="4"/>
  <c r="R52" i="4"/>
  <c r="X44" i="4" s="1"/>
  <c r="R55" i="4"/>
  <c r="R53" i="4"/>
  <c r="R57" i="4"/>
  <c r="R80" i="4"/>
  <c r="H29" i="9"/>
  <c r="H36" i="9"/>
  <c r="L36" i="9"/>
  <c r="L29" i="9"/>
  <c r="L13" i="3"/>
  <c r="E22" i="7"/>
  <c r="J22" i="7"/>
  <c r="R79" i="4"/>
  <c r="F14" i="5"/>
  <c r="F17" i="5"/>
  <c r="U105" i="4"/>
  <c r="U103" i="4"/>
  <c r="U104" i="4"/>
  <c r="L11" i="3"/>
  <c r="J19" i="3"/>
  <c r="N19" i="3" s="1"/>
  <c r="L16" i="3"/>
  <c r="N16" i="3"/>
  <c r="L17" i="9"/>
  <c r="H17" i="9"/>
  <c r="O23" i="7"/>
  <c r="O9" i="7"/>
  <c r="J9" i="7"/>
  <c r="E9" i="7"/>
  <c r="E8" i="7"/>
  <c r="O8" i="7"/>
  <c r="O22" i="7"/>
  <c r="R95" i="4"/>
  <c r="R94" i="4"/>
  <c r="R93" i="4"/>
  <c r="R88" i="4"/>
  <c r="R90" i="4"/>
  <c r="R92" i="4"/>
  <c r="D6" i="7"/>
  <c r="R89" i="4"/>
  <c r="J21" i="7"/>
  <c r="E21" i="7"/>
  <c r="L44" i="1"/>
  <c r="L4" i="1"/>
  <c r="L42" i="1"/>
  <c r="L19" i="1"/>
  <c r="L5" i="1"/>
  <c r="L38" i="1"/>
  <c r="L22" i="1"/>
  <c r="L9" i="1"/>
  <c r="L27" i="1"/>
  <c r="L11" i="1"/>
  <c r="L25" i="1"/>
  <c r="L24" i="1"/>
  <c r="L43" i="1"/>
  <c r="L23" i="1"/>
  <c r="L29" i="1"/>
  <c r="L20" i="1"/>
  <c r="L3" i="1"/>
  <c r="M2" i="1"/>
  <c r="L22" i="3"/>
  <c r="J77" i="4"/>
  <c r="F17" i="3" s="1"/>
  <c r="AB9" i="4"/>
  <c r="D7" i="7" s="1"/>
  <c r="J10" i="3"/>
  <c r="N10" i="3" s="1"/>
  <c r="U14" i="4"/>
  <c r="V13" i="4" s="1"/>
  <c r="F15" i="5"/>
  <c r="F16" i="5"/>
  <c r="X111" i="4"/>
  <c r="C3" i="6"/>
  <c r="K4" i="4"/>
  <c r="F13" i="5"/>
  <c r="V111" i="4"/>
  <c r="J21" i="3"/>
  <c r="R6" i="5"/>
  <c r="H1" i="6"/>
  <c r="G17" i="6" s="1"/>
  <c r="F20" i="6"/>
  <c r="F9" i="6"/>
  <c r="F11" i="6"/>
  <c r="F17" i="6"/>
  <c r="F18" i="6" s="1"/>
  <c r="N23" i="3"/>
  <c r="H18" i="4"/>
  <c r="H29" i="4" s="1"/>
  <c r="H77" i="4"/>
  <c r="H102" i="4"/>
  <c r="H103" i="4" s="1"/>
  <c r="H15" i="5"/>
  <c r="H81" i="4"/>
  <c r="H78" i="4"/>
  <c r="H51" i="4" s="1"/>
  <c r="U46" i="4" l="1"/>
  <c r="U44" i="4"/>
  <c r="J14" i="3"/>
  <c r="U49" i="4"/>
  <c r="J7" i="7"/>
  <c r="E7" i="7"/>
  <c r="O21" i="7"/>
  <c r="O7" i="7"/>
  <c r="L17" i="3"/>
  <c r="O6" i="7"/>
  <c r="O15" i="7" s="1"/>
  <c r="O20" i="7"/>
  <c r="O29" i="7" s="1"/>
  <c r="E6" i="7"/>
  <c r="D15" i="7"/>
  <c r="D34" i="7" s="1"/>
  <c r="D40" i="7" s="1"/>
  <c r="B40" i="7" s="1"/>
  <c r="J6" i="7"/>
  <c r="AB17" i="4"/>
  <c r="AB18" i="4" s="1"/>
  <c r="AB19" i="4" s="1"/>
  <c r="F21" i="5"/>
  <c r="F47" i="5" s="1"/>
  <c r="M38" i="1"/>
  <c r="M24" i="1"/>
  <c r="N2" i="1"/>
  <c r="M37" i="1"/>
  <c r="M23" i="1"/>
  <c r="M19" i="1"/>
  <c r="M36" i="1"/>
  <c r="M22" i="1"/>
  <c r="M45" i="1"/>
  <c r="M26" i="1"/>
  <c r="M44" i="1"/>
  <c r="M25" i="1"/>
  <c r="M43" i="1"/>
  <c r="M20" i="1"/>
  <c r="M35" i="1"/>
  <c r="M13" i="1"/>
  <c r="M32" i="1"/>
  <c r="M8" i="1"/>
  <c r="M33" i="1"/>
  <c r="M10" i="1"/>
  <c r="M16" i="1"/>
  <c r="M14" i="1"/>
  <c r="M11" i="1"/>
  <c r="M5" i="1"/>
  <c r="M42" i="1"/>
  <c r="M9" i="1"/>
  <c r="M4" i="1"/>
  <c r="M7" i="1"/>
  <c r="M6" i="1"/>
  <c r="M3" i="1"/>
  <c r="M31" i="1"/>
  <c r="M27" i="1"/>
  <c r="M39" i="1"/>
  <c r="M29" i="1"/>
  <c r="M28" i="1"/>
  <c r="X86" i="4"/>
  <c r="X77" i="4"/>
  <c r="J17" i="3" s="1"/>
  <c r="N17" i="3" s="1"/>
  <c r="U93" i="4"/>
  <c r="J2" i="4"/>
  <c r="G11" i="6"/>
  <c r="L10" i="3"/>
  <c r="L9" i="3"/>
  <c r="F5" i="3"/>
  <c r="D5" i="5" s="1"/>
  <c r="V101" i="4"/>
  <c r="H43" i="9"/>
  <c r="F4" i="5"/>
  <c r="N21" i="3"/>
  <c r="L21" i="3"/>
  <c r="G18" i="6"/>
  <c r="F12" i="6"/>
  <c r="G12" i="6" s="1"/>
  <c r="F21" i="6"/>
  <c r="I1" i="6"/>
  <c r="H17" i="6" s="1"/>
  <c r="G20" i="6"/>
  <c r="F10" i="6"/>
  <c r="G9" i="6"/>
  <c r="G10" i="6" s="1"/>
  <c r="H26" i="4"/>
  <c r="H30" i="4"/>
  <c r="H13" i="4"/>
  <c r="H37" i="4" s="1"/>
  <c r="H38" i="4" s="1"/>
  <c r="H14" i="5"/>
  <c r="H6" i="4"/>
  <c r="H54" i="4"/>
  <c r="H96" i="4"/>
  <c r="H99" i="4" s="1"/>
  <c r="H16" i="5"/>
  <c r="C5" i="6" l="1"/>
  <c r="D6" i="5"/>
  <c r="D7" i="5" s="1"/>
  <c r="N14" i="3"/>
  <c r="L14" i="3"/>
  <c r="F25" i="3"/>
  <c r="N44" i="1"/>
  <c r="N43" i="1"/>
  <c r="N19" i="1"/>
  <c r="N42" i="1"/>
  <c r="N35" i="1"/>
  <c r="N3" i="1"/>
  <c r="N38" i="1"/>
  <c r="N39" i="1"/>
  <c r="N22" i="1"/>
  <c r="N25" i="1"/>
  <c r="N11" i="1"/>
  <c r="N45" i="1"/>
  <c r="N16" i="1"/>
  <c r="N4" i="1"/>
  <c r="N36" i="1"/>
  <c r="N13" i="1"/>
  <c r="N14" i="1"/>
  <c r="N29" i="1"/>
  <c r="N9" i="1"/>
  <c r="N37" i="1"/>
  <c r="N5" i="1"/>
  <c r="N26" i="1"/>
  <c r="N24" i="1"/>
  <c r="O2" i="1"/>
  <c r="N31" i="1"/>
  <c r="N8" i="1"/>
  <c r="N28" i="1"/>
  <c r="N27" i="1"/>
  <c r="N10" i="1"/>
  <c r="N6" i="1"/>
  <c r="N20" i="1"/>
  <c r="N23" i="1"/>
  <c r="N7" i="1"/>
  <c r="N33" i="1"/>
  <c r="N32" i="1"/>
  <c r="J18" i="3"/>
  <c r="U86" i="4"/>
  <c r="U87" i="4"/>
  <c r="U96" i="4"/>
  <c r="U97" i="4"/>
  <c r="U98" i="4"/>
  <c r="U99" i="4"/>
  <c r="U133" i="4" s="1"/>
  <c r="X2" i="4"/>
  <c r="J15" i="7"/>
  <c r="V44" i="4"/>
  <c r="C9" i="6"/>
  <c r="T4" i="5"/>
  <c r="F44" i="5"/>
  <c r="F45" i="5"/>
  <c r="F41" i="5"/>
  <c r="F42" i="5"/>
  <c r="F43" i="5"/>
  <c r="F14" i="6"/>
  <c r="H9" i="4"/>
  <c r="H9" i="6"/>
  <c r="H10" i="6" s="1"/>
  <c r="H18" i="6"/>
  <c r="H11" i="6"/>
  <c r="H12" i="6" s="1"/>
  <c r="H20" i="6"/>
  <c r="J1" i="6"/>
  <c r="I20" i="6" s="1"/>
  <c r="G21" i="6"/>
  <c r="G14" i="6"/>
  <c r="N18" i="3" l="1"/>
  <c r="L18" i="3"/>
  <c r="L5" i="3" s="1"/>
  <c r="J5" i="3"/>
  <c r="O43" i="1"/>
  <c r="O27" i="1"/>
  <c r="O10" i="1"/>
  <c r="O42" i="1"/>
  <c r="O26" i="1"/>
  <c r="O8" i="1"/>
  <c r="O39" i="1"/>
  <c r="O25" i="1"/>
  <c r="O6" i="1"/>
  <c r="O29" i="1"/>
  <c r="O5" i="1"/>
  <c r="O28" i="1"/>
  <c r="O11" i="1"/>
  <c r="O24" i="1"/>
  <c r="O14" i="1"/>
  <c r="O31" i="1"/>
  <c r="O22" i="1"/>
  <c r="O23" i="1"/>
  <c r="O37" i="1"/>
  <c r="P2" i="1"/>
  <c r="O36" i="1"/>
  <c r="O7" i="1"/>
  <c r="O32" i="1"/>
  <c r="O19" i="1"/>
  <c r="O35" i="1"/>
  <c r="O33" i="1"/>
  <c r="O20" i="1"/>
  <c r="O13" i="1"/>
  <c r="O9" i="1"/>
  <c r="O44" i="1"/>
  <c r="O38" i="1"/>
  <c r="O45" i="1"/>
  <c r="O4" i="1"/>
  <c r="O3" i="1"/>
  <c r="O16" i="1"/>
  <c r="V86" i="4"/>
  <c r="N5" i="3"/>
  <c r="F46" i="5"/>
  <c r="K1" i="6"/>
  <c r="J9" i="6"/>
  <c r="J17" i="6"/>
  <c r="J20" i="6"/>
  <c r="J11" i="6"/>
  <c r="I11" i="6"/>
  <c r="I12" i="6" s="1"/>
  <c r="I9" i="6"/>
  <c r="I17" i="6"/>
  <c r="H21" i="6"/>
  <c r="I21" i="6" s="1"/>
  <c r="H14" i="6"/>
  <c r="H82" i="4"/>
  <c r="H55" i="4" s="1"/>
  <c r="H101" i="4"/>
  <c r="P42" i="1" l="1"/>
  <c r="P26" i="1"/>
  <c r="P16" i="1"/>
  <c r="P39" i="1"/>
  <c r="P25" i="1"/>
  <c r="P13" i="1"/>
  <c r="P38" i="1"/>
  <c r="P24" i="1"/>
  <c r="P10" i="1"/>
  <c r="P32" i="1"/>
  <c r="P7" i="1"/>
  <c r="P31" i="1"/>
  <c r="P5" i="1"/>
  <c r="P29" i="1"/>
  <c r="P8" i="1"/>
  <c r="P45" i="1"/>
  <c r="P19" i="1"/>
  <c r="P44" i="1"/>
  <c r="P14" i="1"/>
  <c r="P11" i="1"/>
  <c r="P43" i="1"/>
  <c r="P6" i="1"/>
  <c r="Q2" i="1"/>
  <c r="P35" i="1"/>
  <c r="P28" i="1"/>
  <c r="P37" i="1"/>
  <c r="P4" i="1"/>
  <c r="P36" i="1"/>
  <c r="P3" i="1"/>
  <c r="P33" i="1"/>
  <c r="P23" i="1"/>
  <c r="P22" i="1"/>
  <c r="P20" i="1"/>
  <c r="P27" i="1"/>
  <c r="P9" i="1"/>
  <c r="J25" i="3"/>
  <c r="F5" i="5"/>
  <c r="H25" i="3"/>
  <c r="J12" i="6"/>
  <c r="J21" i="6"/>
  <c r="I10" i="6"/>
  <c r="I14" i="6" s="1"/>
  <c r="I18" i="6"/>
  <c r="L1" i="6"/>
  <c r="K9" i="6"/>
  <c r="K11" i="6"/>
  <c r="K17" i="6"/>
  <c r="K20" i="6"/>
  <c r="H111" i="4"/>
  <c r="H39" i="4"/>
  <c r="H83" i="4"/>
  <c r="Q39" i="1" l="1"/>
  <c r="Q24" i="1"/>
  <c r="Q11" i="1"/>
  <c r="Q38" i="1"/>
  <c r="Q22" i="1"/>
  <c r="Q23" i="1"/>
  <c r="Q37" i="1"/>
  <c r="Q13" i="1"/>
  <c r="Q4" i="1"/>
  <c r="Q35" i="1"/>
  <c r="Q27" i="1"/>
  <c r="Q33" i="1"/>
  <c r="R2" i="1"/>
  <c r="Q32" i="1"/>
  <c r="Q9" i="1"/>
  <c r="Q36" i="1"/>
  <c r="Q3" i="1"/>
  <c r="Q16" i="1"/>
  <c r="Q19" i="1"/>
  <c r="Q20" i="1"/>
  <c r="Q7" i="1"/>
  <c r="Q8" i="1"/>
  <c r="Q6" i="1"/>
  <c r="Q45" i="1"/>
  <c r="Q14" i="1"/>
  <c r="Q5" i="1"/>
  <c r="Q29" i="1"/>
  <c r="Q25" i="1"/>
  <c r="Q44" i="1"/>
  <c r="Q10" i="1"/>
  <c r="Q31" i="1"/>
  <c r="Q26" i="1"/>
  <c r="Q43" i="1"/>
  <c r="Q42" i="1"/>
  <c r="Q28" i="1"/>
  <c r="C11" i="6"/>
  <c r="F6" i="5"/>
  <c r="F7" i="5" s="1"/>
  <c r="T5" i="5"/>
  <c r="T6" i="5" s="1"/>
  <c r="K12" i="6"/>
  <c r="K21" i="6"/>
  <c r="M1" i="6"/>
  <c r="L11" i="6" s="1"/>
  <c r="L12" i="6" s="1"/>
  <c r="L17" i="6"/>
  <c r="L20" i="6"/>
  <c r="L21" i="6" s="1"/>
  <c r="L9" i="6"/>
  <c r="J18" i="6"/>
  <c r="K18" i="6" s="1"/>
  <c r="J10" i="6"/>
  <c r="J14" i="6" s="1"/>
  <c r="H107" i="4"/>
  <c r="H17" i="5"/>
  <c r="H84" i="4"/>
  <c r="H57" i="4" s="1"/>
  <c r="H56" i="4"/>
  <c r="H50" i="4"/>
  <c r="H113" i="4"/>
  <c r="H119" i="4"/>
  <c r="H112" i="4"/>
  <c r="H115" i="4"/>
  <c r="H114" i="4"/>
  <c r="R38" i="1" l="1"/>
  <c r="R10" i="1"/>
  <c r="R25" i="1"/>
  <c r="R37" i="1"/>
  <c r="R9" i="1"/>
  <c r="S2" i="1"/>
  <c r="R36" i="1"/>
  <c r="R8" i="1"/>
  <c r="R4" i="1"/>
  <c r="R42" i="1"/>
  <c r="R6" i="1"/>
  <c r="R39" i="1"/>
  <c r="R5" i="1"/>
  <c r="R35" i="1"/>
  <c r="R31" i="1"/>
  <c r="R14" i="1"/>
  <c r="R11" i="1"/>
  <c r="R13" i="1"/>
  <c r="R19" i="1"/>
  <c r="R16" i="1"/>
  <c r="R26" i="1"/>
  <c r="R7" i="1"/>
  <c r="R28" i="1"/>
  <c r="R24" i="1"/>
  <c r="R45" i="1"/>
  <c r="R43" i="1"/>
  <c r="R33" i="1"/>
  <c r="R32" i="1"/>
  <c r="R22" i="1"/>
  <c r="R27" i="1"/>
  <c r="R3" i="1"/>
  <c r="R20" i="1"/>
  <c r="R44" i="1"/>
  <c r="R29" i="1"/>
  <c r="R23" i="1"/>
  <c r="L18" i="6"/>
  <c r="N1" i="6"/>
  <c r="M9" i="6" s="1"/>
  <c r="K10" i="6"/>
  <c r="L10" i="6" s="1"/>
  <c r="K5" i="6"/>
  <c r="J5" i="6"/>
  <c r="I5" i="6"/>
  <c r="F5" i="6"/>
  <c r="G5" i="6"/>
  <c r="H5" i="6"/>
  <c r="H18" i="5"/>
  <c r="L5" i="6"/>
  <c r="M20" i="6" l="1"/>
  <c r="M21" i="6" s="1"/>
  <c r="M5" i="6"/>
  <c r="S36" i="1"/>
  <c r="S25" i="1"/>
  <c r="S19" i="1"/>
  <c r="S33" i="1"/>
  <c r="S16" i="1"/>
  <c r="S8" i="1"/>
  <c r="S31" i="1"/>
  <c r="T2" i="1"/>
  <c r="S10" i="1"/>
  <c r="S32" i="1"/>
  <c r="S35" i="1"/>
  <c r="S6" i="1"/>
  <c r="S29" i="1"/>
  <c r="S27" i="1"/>
  <c r="S44" i="1"/>
  <c r="S23" i="1"/>
  <c r="S45" i="1"/>
  <c r="S20" i="1"/>
  <c r="S42" i="1"/>
  <c r="S14" i="1"/>
  <c r="S11" i="1"/>
  <c r="S38" i="1"/>
  <c r="S26" i="1"/>
  <c r="S24" i="1"/>
  <c r="S39" i="1"/>
  <c r="S37" i="1"/>
  <c r="S22" i="1"/>
  <c r="S43" i="1"/>
  <c r="S28" i="1"/>
  <c r="S4" i="1"/>
  <c r="S9" i="1"/>
  <c r="S7" i="1"/>
  <c r="S5" i="1"/>
  <c r="S3" i="1"/>
  <c r="S13" i="1"/>
  <c r="M11" i="6"/>
  <c r="M12" i="6" s="1"/>
  <c r="K14" i="6"/>
  <c r="O1" i="6"/>
  <c r="N20" i="6" s="1"/>
  <c r="N11" i="6"/>
  <c r="N12" i="6" s="1"/>
  <c r="M17" i="6"/>
  <c r="M18" i="6" s="1"/>
  <c r="N3" i="6"/>
  <c r="L3" i="6"/>
  <c r="G3" i="6"/>
  <c r="M10" i="6"/>
  <c r="L14" i="6"/>
  <c r="H3" i="6"/>
  <c r="J3" i="6"/>
  <c r="M3" i="6"/>
  <c r="I3" i="6"/>
  <c r="K3" i="6"/>
  <c r="F3" i="6"/>
  <c r="F6" i="6"/>
  <c r="G6" i="6" s="1"/>
  <c r="H6" i="6" s="1"/>
  <c r="I6" i="6" s="1"/>
  <c r="J6" i="6" s="1"/>
  <c r="K6" i="6" s="1"/>
  <c r="L6" i="6" s="1"/>
  <c r="M6" i="6" s="1"/>
  <c r="T43" i="1" l="1"/>
  <c r="T14" i="1"/>
  <c r="T13" i="1"/>
  <c r="T39" i="1"/>
  <c r="T11" i="1"/>
  <c r="T8" i="1"/>
  <c r="T37" i="1"/>
  <c r="T9" i="1"/>
  <c r="T6" i="1"/>
  <c r="T29" i="1"/>
  <c r="T10" i="1"/>
  <c r="T44" i="1"/>
  <c r="T23" i="1"/>
  <c r="U2" i="1"/>
  <c r="T42" i="1"/>
  <c r="T4" i="1"/>
  <c r="T16" i="1"/>
  <c r="T35" i="1"/>
  <c r="T22" i="1"/>
  <c r="T27" i="1"/>
  <c r="T24" i="1"/>
  <c r="T38" i="1"/>
  <c r="T19" i="1"/>
  <c r="T36" i="1"/>
  <c r="T26" i="1"/>
  <c r="T33" i="1"/>
  <c r="T45" i="1"/>
  <c r="T31" i="1"/>
  <c r="T25" i="1"/>
  <c r="T28" i="1"/>
  <c r="T20" i="1"/>
  <c r="T3" i="1"/>
  <c r="T7" i="1"/>
  <c r="T5" i="1"/>
  <c r="T32" i="1"/>
  <c r="N21" i="6"/>
  <c r="F4" i="6"/>
  <c r="F7" i="6" s="1"/>
  <c r="N9" i="6"/>
  <c r="N10" i="6" s="1"/>
  <c r="P1" i="6"/>
  <c r="O17" i="6" s="1"/>
  <c r="O9" i="6"/>
  <c r="O20" i="6"/>
  <c r="O11" i="6"/>
  <c r="O12" i="6" s="1"/>
  <c r="O5" i="6"/>
  <c r="N5" i="6"/>
  <c r="N17" i="6"/>
  <c r="N18" i="6" s="1"/>
  <c r="M14" i="6"/>
  <c r="O21" i="6" l="1"/>
  <c r="U35" i="1"/>
  <c r="U20" i="1"/>
  <c r="U16" i="1"/>
  <c r="U33" i="1"/>
  <c r="U13" i="1"/>
  <c r="U3" i="1"/>
  <c r="U32" i="1"/>
  <c r="U10" i="1"/>
  <c r="V2" i="1"/>
  <c r="U29" i="1"/>
  <c r="U9" i="1"/>
  <c r="U28" i="1"/>
  <c r="U7" i="1"/>
  <c r="U27" i="1"/>
  <c r="U5" i="1"/>
  <c r="U24" i="1"/>
  <c r="U22" i="1"/>
  <c r="U45" i="1"/>
  <c r="U23" i="1"/>
  <c r="U44" i="1"/>
  <c r="U6" i="1"/>
  <c r="U14" i="1"/>
  <c r="U39" i="1"/>
  <c r="U4" i="1"/>
  <c r="U38" i="1"/>
  <c r="U43" i="1"/>
  <c r="U11" i="1"/>
  <c r="U42" i="1"/>
  <c r="U19" i="1"/>
  <c r="U37" i="1"/>
  <c r="U31" i="1"/>
  <c r="U26" i="1"/>
  <c r="U25" i="1"/>
  <c r="U36" i="1"/>
  <c r="U8" i="1"/>
  <c r="G4" i="6"/>
  <c r="H4" i="6" s="1"/>
  <c r="O18" i="6"/>
  <c r="N6" i="6"/>
  <c r="O6" i="6" s="1"/>
  <c r="Q1" i="6"/>
  <c r="P9" i="6" s="1"/>
  <c r="P11" i="6"/>
  <c r="P12" i="6" s="1"/>
  <c r="P20" i="6"/>
  <c r="P21" i="6" s="1"/>
  <c r="P5" i="6"/>
  <c r="P3" i="6"/>
  <c r="O3" i="6"/>
  <c r="N14" i="6"/>
  <c r="O10" i="6"/>
  <c r="V37" i="1" l="1"/>
  <c r="V11" i="1"/>
  <c r="V6" i="1"/>
  <c r="V35" i="1"/>
  <c r="V9" i="1"/>
  <c r="V3" i="1"/>
  <c r="V32" i="1"/>
  <c r="V7" i="1"/>
  <c r="V43" i="1"/>
  <c r="V13" i="1"/>
  <c r="V39" i="1"/>
  <c r="V8" i="1"/>
  <c r="V29" i="1"/>
  <c r="V19" i="1"/>
  <c r="V38" i="1"/>
  <c r="V5" i="1"/>
  <c r="V36" i="1"/>
  <c r="V10" i="1"/>
  <c r="V33" i="1"/>
  <c r="V28" i="1"/>
  <c r="V20" i="1"/>
  <c r="V22" i="1"/>
  <c r="V14" i="1"/>
  <c r="V26" i="1"/>
  <c r="V16" i="1"/>
  <c r="W2" i="1"/>
  <c r="V45" i="1"/>
  <c r="V23" i="1"/>
  <c r="V24" i="1"/>
  <c r="V44" i="1"/>
  <c r="V31" i="1"/>
  <c r="V4" i="1"/>
  <c r="V42" i="1"/>
  <c r="V25" i="1"/>
  <c r="V27" i="1"/>
  <c r="G7" i="6"/>
  <c r="P17" i="6"/>
  <c r="P18" i="6" s="1"/>
  <c r="P6" i="6"/>
  <c r="R1" i="6"/>
  <c r="Q17" i="6" s="1"/>
  <c r="Q11" i="6"/>
  <c r="Q12" i="6" s="1"/>
  <c r="Q20" i="6"/>
  <c r="Q21" i="6" s="1"/>
  <c r="Q5" i="6"/>
  <c r="Q3" i="6"/>
  <c r="O14" i="6"/>
  <c r="P10" i="6"/>
  <c r="I4" i="6"/>
  <c r="H7" i="6"/>
  <c r="W32" i="1" l="1"/>
  <c r="W3" i="1"/>
  <c r="W9" i="1"/>
  <c r="W31" i="1"/>
  <c r="W19" i="1"/>
  <c r="W45" i="1"/>
  <c r="W29" i="1"/>
  <c r="W13" i="1"/>
  <c r="W38" i="1"/>
  <c r="W20" i="1"/>
  <c r="W37" i="1"/>
  <c r="W4" i="1"/>
  <c r="W36" i="1"/>
  <c r="W10" i="1"/>
  <c r="W28" i="1"/>
  <c r="W5" i="1"/>
  <c r="W26" i="1"/>
  <c r="W27" i="1"/>
  <c r="W14" i="1"/>
  <c r="X2" i="1"/>
  <c r="W35" i="1"/>
  <c r="W33" i="1"/>
  <c r="W25" i="1"/>
  <c r="W24" i="1"/>
  <c r="W23" i="1"/>
  <c r="W22" i="1"/>
  <c r="W44" i="1"/>
  <c r="W43" i="1"/>
  <c r="W42" i="1"/>
  <c r="W6" i="1"/>
  <c r="W11" i="1"/>
  <c r="W7" i="1"/>
  <c r="W39" i="1"/>
  <c r="W8" i="1"/>
  <c r="W16" i="1"/>
  <c r="Q18" i="6"/>
  <c r="S1" i="6"/>
  <c r="R17" i="6"/>
  <c r="R20" i="6"/>
  <c r="R21" i="6" s="1"/>
  <c r="R9" i="6"/>
  <c r="R11" i="6"/>
  <c r="R12" i="6" s="1"/>
  <c r="R5" i="6"/>
  <c r="R3" i="6"/>
  <c r="Q9" i="6"/>
  <c r="Q10" i="6" s="1"/>
  <c r="Q6" i="6"/>
  <c r="P14" i="6"/>
  <c r="J4" i="6"/>
  <c r="I7" i="6"/>
  <c r="X31" i="1" l="1"/>
  <c r="X13" i="1"/>
  <c r="X45" i="1"/>
  <c r="X29" i="1"/>
  <c r="X10" i="1"/>
  <c r="X44" i="1"/>
  <c r="X28" i="1"/>
  <c r="X8" i="1"/>
  <c r="X42" i="1"/>
  <c r="X23" i="1"/>
  <c r="X9" i="1"/>
  <c r="X39" i="1"/>
  <c r="X22" i="1"/>
  <c r="X5" i="1"/>
  <c r="X38" i="1"/>
  <c r="X20" i="1"/>
  <c r="X24" i="1"/>
  <c r="X16" i="1"/>
  <c r="X19" i="1"/>
  <c r="X37" i="1"/>
  <c r="X4" i="1"/>
  <c r="X36" i="1"/>
  <c r="X14" i="1"/>
  <c r="X32" i="1"/>
  <c r="X27" i="1"/>
  <c r="X35" i="1"/>
  <c r="X3" i="1"/>
  <c r="X33" i="1"/>
  <c r="X43" i="1"/>
  <c r="X26" i="1"/>
  <c r="X6" i="1"/>
  <c r="Y2" i="1"/>
  <c r="X11" i="1"/>
  <c r="X25" i="1"/>
  <c r="X7" i="1"/>
  <c r="R18" i="6"/>
  <c r="T1" i="6"/>
  <c r="S3" i="6" s="1"/>
  <c r="S9" i="6"/>
  <c r="S5" i="6"/>
  <c r="R6" i="6"/>
  <c r="Q14" i="6"/>
  <c r="R10" i="6"/>
  <c r="K4" i="6"/>
  <c r="J7" i="6"/>
  <c r="Y45" i="1" l="1"/>
  <c r="Y29" i="1"/>
  <c r="Y28" i="1"/>
  <c r="Y44" i="1"/>
  <c r="Y27" i="1"/>
  <c r="Y13" i="1"/>
  <c r="Y43" i="1"/>
  <c r="Y25" i="1"/>
  <c r="Y10" i="1"/>
  <c r="Y20" i="1"/>
  <c r="Y24" i="1"/>
  <c r="Y19" i="1"/>
  <c r="Y4" i="1"/>
  <c r="Y42" i="1"/>
  <c r="Y16" i="1"/>
  <c r="Y3" i="1"/>
  <c r="Y37" i="1"/>
  <c r="Y8" i="1"/>
  <c r="Y26" i="1"/>
  <c r="Y36" i="1"/>
  <c r="Y6" i="1"/>
  <c r="Y35" i="1"/>
  <c r="Y7" i="1"/>
  <c r="Y5" i="1"/>
  <c r="Z2" i="1"/>
  <c r="Y39" i="1"/>
  <c r="Y22" i="1"/>
  <c r="Y38" i="1"/>
  <c r="Y33" i="1"/>
  <c r="Y9" i="1"/>
  <c r="Y31" i="1"/>
  <c r="Y23" i="1"/>
  <c r="Y32" i="1"/>
  <c r="Y14" i="1"/>
  <c r="Y11" i="1"/>
  <c r="S6" i="6"/>
  <c r="U1" i="6"/>
  <c r="T5" i="6" s="1"/>
  <c r="T17" i="6"/>
  <c r="T3" i="6"/>
  <c r="S11" i="6"/>
  <c r="S12" i="6" s="1"/>
  <c r="S20" i="6"/>
  <c r="S21" i="6" s="1"/>
  <c r="S17" i="6"/>
  <c r="S18" i="6" s="1"/>
  <c r="R14" i="6"/>
  <c r="S10" i="6"/>
  <c r="L4" i="6"/>
  <c r="K7" i="6"/>
  <c r="Z44" i="1" l="1"/>
  <c r="Z27" i="1"/>
  <c r="Z7" i="1"/>
  <c r="Z43" i="1"/>
  <c r="Z25" i="1"/>
  <c r="Z6" i="1"/>
  <c r="Z42" i="1"/>
  <c r="Z32" i="1"/>
  <c r="Z5" i="1"/>
  <c r="Z29" i="1"/>
  <c r="Z28" i="1"/>
  <c r="Z23" i="1"/>
  <c r="Z26" i="1"/>
  <c r="Z31" i="1"/>
  <c r="Z24" i="1"/>
  <c r="Z22" i="1"/>
  <c r="Z20" i="1"/>
  <c r="Z4" i="1"/>
  <c r="Z19" i="1"/>
  <c r="Z14" i="1"/>
  <c r="Z13" i="1"/>
  <c r="Z45" i="1"/>
  <c r="Z39" i="1"/>
  <c r="Z11" i="1"/>
  <c r="Z10" i="1"/>
  <c r="Z9" i="1"/>
  <c r="Z8" i="1"/>
  <c r="Z38" i="1"/>
  <c r="Z36" i="1"/>
  <c r="Z35" i="1"/>
  <c r="Z33" i="1"/>
  <c r="Z3" i="1"/>
  <c r="Z37" i="1"/>
  <c r="Z16" i="1"/>
  <c r="AA2" i="1"/>
  <c r="T18" i="6"/>
  <c r="V1" i="6"/>
  <c r="U5" i="6" s="1"/>
  <c r="T20" i="6"/>
  <c r="T21" i="6" s="1"/>
  <c r="T9" i="6"/>
  <c r="T10" i="6" s="1"/>
  <c r="T11" i="6"/>
  <c r="T12" i="6" s="1"/>
  <c r="T6" i="6"/>
  <c r="S14" i="6"/>
  <c r="M4" i="6"/>
  <c r="L7" i="6"/>
  <c r="AA39" i="1" l="1"/>
  <c r="AA20" i="1"/>
  <c r="AA38" i="1"/>
  <c r="AA37" i="1"/>
  <c r="AA13" i="1"/>
  <c r="AA16" i="1"/>
  <c r="AA29" i="1"/>
  <c r="AA9" i="1"/>
  <c r="AA7" i="1"/>
  <c r="AA44" i="1"/>
  <c r="AA33" i="1"/>
  <c r="AA31" i="1"/>
  <c r="AA24" i="1"/>
  <c r="AA10" i="1"/>
  <c r="AA23" i="1"/>
  <c r="AA8" i="1"/>
  <c r="AA6" i="1"/>
  <c r="AA27" i="1"/>
  <c r="AA5" i="1"/>
  <c r="AA36" i="1"/>
  <c r="AA19" i="1"/>
  <c r="AA26" i="1"/>
  <c r="AB2" i="1"/>
  <c r="AA28" i="1"/>
  <c r="AA42" i="1"/>
  <c r="AA32" i="1"/>
  <c r="AA4" i="1"/>
  <c r="AA22" i="1"/>
  <c r="AA14" i="1"/>
  <c r="AA11" i="1"/>
  <c r="AA45" i="1"/>
  <c r="AA43" i="1"/>
  <c r="AA3" i="1"/>
  <c r="AA25" i="1"/>
  <c r="AA35" i="1"/>
  <c r="U3" i="6"/>
  <c r="U11" i="6"/>
  <c r="U12" i="6"/>
  <c r="W1" i="6"/>
  <c r="V20" i="6" s="1"/>
  <c r="V9" i="6"/>
  <c r="V17" i="6"/>
  <c r="V11" i="6"/>
  <c r="V12" i="6" s="1"/>
  <c r="V5" i="6"/>
  <c r="V3" i="6"/>
  <c r="U20" i="6"/>
  <c r="U21" i="6" s="1"/>
  <c r="U17" i="6"/>
  <c r="U18" i="6" s="1"/>
  <c r="U9" i="6"/>
  <c r="U10" i="6" s="1"/>
  <c r="U6" i="6"/>
  <c r="T14" i="6"/>
  <c r="N4" i="6"/>
  <c r="M7" i="6"/>
  <c r="AB37" i="1" l="1"/>
  <c r="AB24" i="1"/>
  <c r="AB13" i="1"/>
  <c r="AB35" i="1"/>
  <c r="AB22" i="1"/>
  <c r="AB6" i="1"/>
  <c r="AB28" i="1"/>
  <c r="AB23" i="1"/>
  <c r="AB45" i="1"/>
  <c r="AB26" i="1"/>
  <c r="AB10" i="1"/>
  <c r="AB43" i="1"/>
  <c r="AB25" i="1"/>
  <c r="AB20" i="1"/>
  <c r="AB16" i="1"/>
  <c r="AB11" i="1"/>
  <c r="AB39" i="1"/>
  <c r="AB14" i="1"/>
  <c r="AB32" i="1"/>
  <c r="AB7" i="1"/>
  <c r="AB5" i="1"/>
  <c r="AB42" i="1"/>
  <c r="AB8" i="1"/>
  <c r="AB29" i="1"/>
  <c r="AB27" i="1"/>
  <c r="AB44" i="1"/>
  <c r="AC2" i="1"/>
  <c r="AB19" i="1"/>
  <c r="AB38" i="1"/>
  <c r="AB9" i="1"/>
  <c r="AB36" i="1"/>
  <c r="AB3" i="1"/>
  <c r="AB33" i="1"/>
  <c r="AB31" i="1"/>
  <c r="AB4" i="1"/>
  <c r="V18" i="6"/>
  <c r="V6" i="6"/>
  <c r="V21" i="6"/>
  <c r="X1" i="6"/>
  <c r="W9" i="6" s="1"/>
  <c r="W17" i="6"/>
  <c r="W11" i="6"/>
  <c r="W12" i="6" s="1"/>
  <c r="W20" i="6"/>
  <c r="W5" i="6"/>
  <c r="W3" i="6"/>
  <c r="U14" i="6"/>
  <c r="V10" i="6"/>
  <c r="N7" i="6"/>
  <c r="O4" i="6"/>
  <c r="W21" i="6" l="1"/>
  <c r="W18" i="6"/>
  <c r="AC39" i="1"/>
  <c r="AC25" i="1"/>
  <c r="AC13" i="1"/>
  <c r="AC38" i="1"/>
  <c r="AC24" i="1"/>
  <c r="AC6" i="1"/>
  <c r="AC35" i="1"/>
  <c r="AC16" i="1"/>
  <c r="AC33" i="1"/>
  <c r="AC5" i="1"/>
  <c r="AC32" i="1"/>
  <c r="AC14" i="1"/>
  <c r="AC43" i="1"/>
  <c r="AC19" i="1"/>
  <c r="AC9" i="1"/>
  <c r="AC42" i="1"/>
  <c r="AC11" i="1"/>
  <c r="AC37" i="1"/>
  <c r="AC27" i="1"/>
  <c r="AC26" i="1"/>
  <c r="AC20" i="1"/>
  <c r="AC23" i="1"/>
  <c r="AC22" i="1"/>
  <c r="AC7" i="1"/>
  <c r="AC45" i="1"/>
  <c r="AC36" i="1"/>
  <c r="AC31" i="1"/>
  <c r="AC29" i="1"/>
  <c r="AC3" i="1"/>
  <c r="AC10" i="1"/>
  <c r="AC8" i="1"/>
  <c r="AC44" i="1"/>
  <c r="AC28" i="1"/>
  <c r="AD2" i="1"/>
  <c r="AC4" i="1"/>
  <c r="Y1" i="6"/>
  <c r="X5" i="6" s="1"/>
  <c r="X11" i="6"/>
  <c r="X12" i="6" s="1"/>
  <c r="X9" i="6"/>
  <c r="X17" i="6"/>
  <c r="X18" i="6" s="1"/>
  <c r="X3" i="6"/>
  <c r="W6" i="6"/>
  <c r="V14" i="6"/>
  <c r="W10" i="6"/>
  <c r="P4" i="6"/>
  <c r="O7" i="6"/>
  <c r="AD32" i="1" l="1"/>
  <c r="AD23" i="1"/>
  <c r="AD19" i="1"/>
  <c r="AD29" i="1"/>
  <c r="AD13" i="1"/>
  <c r="AD27" i="1"/>
  <c r="AD43" i="1"/>
  <c r="AD24" i="1"/>
  <c r="AD25" i="1"/>
  <c r="AD39" i="1"/>
  <c r="AD22" i="1"/>
  <c r="AD20" i="1"/>
  <c r="AD37" i="1"/>
  <c r="AD10" i="1"/>
  <c r="AD3" i="1"/>
  <c r="AD42" i="1"/>
  <c r="AD11" i="1"/>
  <c r="AD7" i="1"/>
  <c r="AD38" i="1"/>
  <c r="AD9" i="1"/>
  <c r="AD36" i="1"/>
  <c r="AD35" i="1"/>
  <c r="AD4" i="1"/>
  <c r="AD44" i="1"/>
  <c r="AD26" i="1"/>
  <c r="AD33" i="1"/>
  <c r="AD31" i="1"/>
  <c r="AD28" i="1"/>
  <c r="AD45" i="1"/>
  <c r="AD8" i="1"/>
  <c r="AE2" i="1"/>
  <c r="AD16" i="1"/>
  <c r="AD14" i="1"/>
  <c r="AD5" i="1"/>
  <c r="AD6" i="1"/>
  <c r="X6" i="6"/>
  <c r="Z1" i="6"/>
  <c r="Y11" i="6" s="1"/>
  <c r="Y12" i="6" s="1"/>
  <c r="X20" i="6"/>
  <c r="X21" i="6" s="1"/>
  <c r="W14" i="6"/>
  <c r="X10" i="6"/>
  <c r="Q4" i="6"/>
  <c r="P7" i="6"/>
  <c r="Y17" i="6" l="1"/>
  <c r="Y18" i="6" s="1"/>
  <c r="AE37" i="1"/>
  <c r="AE23" i="1"/>
  <c r="AE13" i="1"/>
  <c r="AE36" i="1"/>
  <c r="AE22" i="1"/>
  <c r="AE6" i="1"/>
  <c r="AE32" i="1"/>
  <c r="AE11" i="1"/>
  <c r="AE31" i="1"/>
  <c r="AE9" i="1"/>
  <c r="AE29" i="1"/>
  <c r="AE7" i="1"/>
  <c r="AE33" i="1"/>
  <c r="AE19" i="1"/>
  <c r="AF2" i="1"/>
  <c r="AE28" i="1"/>
  <c r="AE16" i="1"/>
  <c r="AE27" i="1"/>
  <c r="AE4" i="1"/>
  <c r="AE45" i="1"/>
  <c r="AE3" i="1"/>
  <c r="AE42" i="1"/>
  <c r="AE8" i="1"/>
  <c r="AE44" i="1"/>
  <c r="AE14" i="1"/>
  <c r="AE43" i="1"/>
  <c r="AE5" i="1"/>
  <c r="AE10" i="1"/>
  <c r="AE39" i="1"/>
  <c r="AE20" i="1"/>
  <c r="AE38" i="1"/>
  <c r="AE24" i="1"/>
  <c r="AE35" i="1"/>
  <c r="AE26" i="1"/>
  <c r="AE25" i="1"/>
  <c r="Y3" i="6"/>
  <c r="Y5" i="6"/>
  <c r="AA1" i="6"/>
  <c r="Z20" i="6"/>
  <c r="Z9" i="6"/>
  <c r="Z5" i="6"/>
  <c r="Z3" i="6"/>
  <c r="Y20" i="6"/>
  <c r="Y21" i="6" s="1"/>
  <c r="Y9" i="6"/>
  <c r="Y10" i="6" s="1"/>
  <c r="Y6" i="6"/>
  <c r="X14" i="6"/>
  <c r="R4" i="6"/>
  <c r="Q7" i="6"/>
  <c r="AF36" i="1" l="1"/>
  <c r="AF22" i="1"/>
  <c r="AF7" i="1"/>
  <c r="AF35" i="1"/>
  <c r="AF20" i="1"/>
  <c r="AF9" i="1"/>
  <c r="AF42" i="1"/>
  <c r="AF24" i="1"/>
  <c r="AF4" i="1"/>
  <c r="AF39" i="1"/>
  <c r="AF23" i="1"/>
  <c r="AF11" i="1"/>
  <c r="AF38" i="1"/>
  <c r="AF19" i="1"/>
  <c r="AF28" i="1"/>
  <c r="AF5" i="1"/>
  <c r="AF27" i="1"/>
  <c r="AF26" i="1"/>
  <c r="AF31" i="1"/>
  <c r="AF29" i="1"/>
  <c r="AF25" i="1"/>
  <c r="AF16" i="1"/>
  <c r="AF10" i="1"/>
  <c r="AF13" i="1"/>
  <c r="AF43" i="1"/>
  <c r="AF37" i="1"/>
  <c r="AF33" i="1"/>
  <c r="AG2" i="1"/>
  <c r="AF14" i="1"/>
  <c r="AF45" i="1"/>
  <c r="AF44" i="1"/>
  <c r="AF32" i="1"/>
  <c r="AF8" i="1"/>
  <c r="AF6" i="1"/>
  <c r="AF3" i="1"/>
  <c r="Z6" i="6"/>
  <c r="Z21" i="6"/>
  <c r="AB1" i="6"/>
  <c r="AA9" i="6" s="1"/>
  <c r="AA17" i="6"/>
  <c r="AA20" i="6"/>
  <c r="AA21" i="6" s="1"/>
  <c r="AA11" i="6"/>
  <c r="AA5" i="6"/>
  <c r="AA3" i="6"/>
  <c r="Z17" i="6"/>
  <c r="Z18" i="6" s="1"/>
  <c r="Z11" i="6"/>
  <c r="Y14" i="6"/>
  <c r="Z10" i="6"/>
  <c r="S4" i="6"/>
  <c r="R7" i="6"/>
  <c r="AG35" i="1" l="1"/>
  <c r="AG6" i="1"/>
  <c r="AG9" i="1"/>
  <c r="AG33" i="1"/>
  <c r="AH2" i="1"/>
  <c r="AG11" i="1"/>
  <c r="AG31" i="1"/>
  <c r="AG25" i="1"/>
  <c r="AG28" i="1"/>
  <c r="AG4" i="1"/>
  <c r="AG45" i="1"/>
  <c r="AG26" i="1"/>
  <c r="AG3" i="1"/>
  <c r="AG19" i="1"/>
  <c r="AG44" i="1"/>
  <c r="AG16" i="1"/>
  <c r="AG42" i="1"/>
  <c r="AG10" i="1"/>
  <c r="AG39" i="1"/>
  <c r="AG8" i="1"/>
  <c r="AG36" i="1"/>
  <c r="AG32" i="1"/>
  <c r="AG38" i="1"/>
  <c r="AG23" i="1"/>
  <c r="AG37" i="1"/>
  <c r="AG14" i="1"/>
  <c r="AG5" i="1"/>
  <c r="AG7" i="1"/>
  <c r="AG43" i="1"/>
  <c r="AG29" i="1"/>
  <c r="AG22" i="1"/>
  <c r="AG20" i="1"/>
  <c r="AG27" i="1"/>
  <c r="AG24" i="1"/>
  <c r="AG13" i="1"/>
  <c r="AA18" i="6"/>
  <c r="Z12" i="6"/>
  <c r="AA12" i="6" s="1"/>
  <c r="AC1" i="6"/>
  <c r="AB5" i="6" s="1"/>
  <c r="AB9" i="6"/>
  <c r="AB11" i="6"/>
  <c r="AB17" i="6"/>
  <c r="AB18" i="6" s="1"/>
  <c r="AA6" i="6"/>
  <c r="AA10" i="6"/>
  <c r="S7" i="6"/>
  <c r="T4" i="6"/>
  <c r="AH33" i="1" l="1"/>
  <c r="AH6" i="1"/>
  <c r="AH25" i="1"/>
  <c r="AH32" i="1"/>
  <c r="AH5" i="1"/>
  <c r="AH23" i="1"/>
  <c r="AH38" i="1"/>
  <c r="AH8" i="1"/>
  <c r="AH37" i="1"/>
  <c r="AH7" i="1"/>
  <c r="AH36" i="1"/>
  <c r="AH28" i="1"/>
  <c r="AH44" i="1"/>
  <c r="AH9" i="1"/>
  <c r="AH43" i="1"/>
  <c r="AH29" i="1"/>
  <c r="AH16" i="1"/>
  <c r="AH3" i="1"/>
  <c r="AH14" i="1"/>
  <c r="AH26" i="1"/>
  <c r="AH13" i="1"/>
  <c r="AH11" i="1"/>
  <c r="AH10" i="1"/>
  <c r="AH19" i="1"/>
  <c r="AH24" i="1"/>
  <c r="AH27" i="1"/>
  <c r="AH22" i="1"/>
  <c r="AI2" i="1"/>
  <c r="AH45" i="1"/>
  <c r="AH42" i="1"/>
  <c r="AH20" i="1"/>
  <c r="AH4" i="1"/>
  <c r="AH35" i="1"/>
  <c r="AH31" i="1"/>
  <c r="AH39" i="1"/>
  <c r="AB3" i="6"/>
  <c r="Z14" i="6"/>
  <c r="AB6" i="6"/>
  <c r="AD1" i="6"/>
  <c r="AC9" i="6" s="1"/>
  <c r="AC3" i="6"/>
  <c r="AB20" i="6"/>
  <c r="AB21" i="6" s="1"/>
  <c r="AB12" i="6"/>
  <c r="AA14" i="6"/>
  <c r="AB10" i="6"/>
  <c r="U4" i="6"/>
  <c r="T7" i="6"/>
  <c r="AI36" i="1" l="1"/>
  <c r="AI5" i="1"/>
  <c r="AI16" i="1"/>
  <c r="AI33" i="1"/>
  <c r="AI26" i="1"/>
  <c r="AI45" i="1"/>
  <c r="AI25" i="1"/>
  <c r="AI10" i="1"/>
  <c r="AI44" i="1"/>
  <c r="AI23" i="1"/>
  <c r="AI8" i="1"/>
  <c r="AI43" i="1"/>
  <c r="AI20" i="1"/>
  <c r="AI6" i="1"/>
  <c r="AI35" i="1"/>
  <c r="AI24" i="1"/>
  <c r="AI32" i="1"/>
  <c r="AI22" i="1"/>
  <c r="AI7" i="1"/>
  <c r="AI39" i="1"/>
  <c r="AJ2" i="1"/>
  <c r="AI42" i="1"/>
  <c r="AI19" i="1"/>
  <c r="AI37" i="1"/>
  <c r="AI13" i="1"/>
  <c r="AI31" i="1"/>
  <c r="AI4" i="1"/>
  <c r="AI3" i="1"/>
  <c r="AI38" i="1"/>
  <c r="AI9" i="1"/>
  <c r="AI11" i="1"/>
  <c r="AI29" i="1"/>
  <c r="AI27" i="1"/>
  <c r="AI28" i="1"/>
  <c r="AI14" i="1"/>
  <c r="AC20" i="6"/>
  <c r="AC21" i="6" s="1"/>
  <c r="AC5" i="6"/>
  <c r="AC6" i="6" s="1"/>
  <c r="AC17" i="6"/>
  <c r="AC18" i="6" s="1"/>
  <c r="AE1" i="6"/>
  <c r="AD20" i="6" s="1"/>
  <c r="AD5" i="6"/>
  <c r="AD3" i="6"/>
  <c r="AC11" i="6"/>
  <c r="AC10" i="6"/>
  <c r="AB14" i="6"/>
  <c r="V4" i="6"/>
  <c r="U7" i="6"/>
  <c r="AJ20" i="1" l="1"/>
  <c r="AJ19" i="1"/>
  <c r="AJ44" i="1"/>
  <c r="AJ6" i="1"/>
  <c r="AK2" i="1"/>
  <c r="AJ29" i="1"/>
  <c r="AJ4" i="1"/>
  <c r="AJ7" i="1"/>
  <c r="AJ27" i="1"/>
  <c r="AJ3" i="1"/>
  <c r="AJ22" i="1"/>
  <c r="AJ33" i="1"/>
  <c r="AJ32" i="1"/>
  <c r="AJ25" i="1"/>
  <c r="AJ28" i="1"/>
  <c r="AJ26" i="1"/>
  <c r="AJ24" i="1"/>
  <c r="AJ16" i="1"/>
  <c r="AJ5" i="1"/>
  <c r="AJ13" i="1"/>
  <c r="AJ43" i="1"/>
  <c r="AJ35" i="1"/>
  <c r="AJ10" i="1"/>
  <c r="AJ9" i="1"/>
  <c r="AJ38" i="1"/>
  <c r="AJ36" i="1"/>
  <c r="AJ8" i="1"/>
  <c r="AJ39" i="1"/>
  <c r="AJ11" i="1"/>
  <c r="AJ14" i="1"/>
  <c r="AJ45" i="1"/>
  <c r="AJ31" i="1"/>
  <c r="AJ42" i="1"/>
  <c r="AJ23" i="1"/>
  <c r="AJ37" i="1"/>
  <c r="AD21" i="6"/>
  <c r="AD9" i="6"/>
  <c r="AD10" i="6" s="1"/>
  <c r="AD6" i="6"/>
  <c r="AF1" i="6"/>
  <c r="AE5" i="6" s="1"/>
  <c r="AD11" i="6"/>
  <c r="AD17" i="6"/>
  <c r="AD18" i="6" s="1"/>
  <c r="AC12" i="6"/>
  <c r="AC14" i="6" s="1"/>
  <c r="W4" i="6"/>
  <c r="V7" i="6"/>
  <c r="AE3" i="6" l="1"/>
  <c r="AK45" i="1"/>
  <c r="AK32" i="1"/>
  <c r="AK16" i="1"/>
  <c r="AK10" i="1"/>
  <c r="AK31" i="1"/>
  <c r="AK14" i="1"/>
  <c r="AK29" i="1"/>
  <c r="AK11" i="1"/>
  <c r="AK37" i="1"/>
  <c r="AK19" i="1"/>
  <c r="AK36" i="1"/>
  <c r="AK9" i="1"/>
  <c r="AK25" i="1"/>
  <c r="AK8" i="1"/>
  <c r="AK24" i="1"/>
  <c r="AK20" i="1"/>
  <c r="AK39" i="1"/>
  <c r="AK44" i="1"/>
  <c r="AK23" i="1"/>
  <c r="AK43" i="1"/>
  <c r="AK22" i="1"/>
  <c r="AK42" i="1"/>
  <c r="AK7" i="1"/>
  <c r="AK6" i="1"/>
  <c r="AK38" i="1"/>
  <c r="AK33" i="1"/>
  <c r="AK28" i="1"/>
  <c r="AK27" i="1"/>
  <c r="AK13" i="1"/>
  <c r="AK35" i="1"/>
  <c r="AK26" i="1"/>
  <c r="AK5" i="1"/>
  <c r="AK3" i="1"/>
  <c r="AL2" i="1"/>
  <c r="AK4" i="1"/>
  <c r="AG1" i="6"/>
  <c r="AF11" i="6" s="1"/>
  <c r="AF5" i="6"/>
  <c r="AE11" i="6"/>
  <c r="AE20" i="6"/>
  <c r="AE21" i="6" s="1"/>
  <c r="AE17" i="6"/>
  <c r="AE18" i="6" s="1"/>
  <c r="AE9" i="6"/>
  <c r="AE10" i="6" s="1"/>
  <c r="AD12" i="6"/>
  <c r="AD14" i="6" s="1"/>
  <c r="AE6" i="6"/>
  <c r="W7" i="6"/>
  <c r="X4" i="6"/>
  <c r="AL20" i="1" l="1"/>
  <c r="AL7" i="1"/>
  <c r="AL45" i="1"/>
  <c r="AL43" i="1"/>
  <c r="AL5" i="1"/>
  <c r="AL44" i="1"/>
  <c r="AL39" i="1"/>
  <c r="AL28" i="1"/>
  <c r="AL38" i="1"/>
  <c r="AL19" i="1"/>
  <c r="AL6" i="1"/>
  <c r="AL36" i="1"/>
  <c r="AL14" i="1"/>
  <c r="AM2" i="1"/>
  <c r="AL31" i="1"/>
  <c r="AL11" i="1"/>
  <c r="AL26" i="1"/>
  <c r="AL27" i="1"/>
  <c r="AL42" i="1"/>
  <c r="AL9" i="1"/>
  <c r="AL33" i="1"/>
  <c r="AL16" i="1"/>
  <c r="AL29" i="1"/>
  <c r="AL8" i="1"/>
  <c r="AL37" i="1"/>
  <c r="AL35" i="1"/>
  <c r="AL32" i="1"/>
  <c r="AL10" i="1"/>
  <c r="AL3" i="1"/>
  <c r="AL4" i="1"/>
  <c r="AL22" i="1"/>
  <c r="AL25" i="1"/>
  <c r="AL23" i="1"/>
  <c r="AL24" i="1"/>
  <c r="AL13" i="1"/>
  <c r="AF3" i="6"/>
  <c r="AF6" i="6"/>
  <c r="AH1" i="6"/>
  <c r="AG9" i="6" s="1"/>
  <c r="AG20" i="6"/>
  <c r="AG17" i="6"/>
  <c r="AG11" i="6"/>
  <c r="AG5" i="6"/>
  <c r="AF20" i="6"/>
  <c r="AF21" i="6" s="1"/>
  <c r="AE12" i="6"/>
  <c r="AF12" i="6" s="1"/>
  <c r="AF17" i="6"/>
  <c r="AF18" i="6" s="1"/>
  <c r="AF9" i="6"/>
  <c r="AF10" i="6" s="1"/>
  <c r="Y4" i="6"/>
  <c r="X7" i="6"/>
  <c r="AM45" i="1" l="1"/>
  <c r="AM29" i="1"/>
  <c r="AM6" i="1"/>
  <c r="AM44" i="1"/>
  <c r="AM28" i="1"/>
  <c r="AM4" i="1"/>
  <c r="AM43" i="1"/>
  <c r="AM27" i="1"/>
  <c r="AM3" i="1"/>
  <c r="AM24" i="1"/>
  <c r="AM16" i="1"/>
  <c r="AM42" i="1"/>
  <c r="AM23" i="1"/>
  <c r="AN2" i="1"/>
  <c r="AM38" i="1"/>
  <c r="AM10" i="1"/>
  <c r="AM37" i="1"/>
  <c r="AM8" i="1"/>
  <c r="AM9" i="1"/>
  <c r="AM32" i="1"/>
  <c r="AM36" i="1"/>
  <c r="AM14" i="1"/>
  <c r="AM35" i="1"/>
  <c r="AM11" i="1"/>
  <c r="AM33" i="1"/>
  <c r="AM7" i="1"/>
  <c r="AM39" i="1"/>
  <c r="AM31" i="1"/>
  <c r="AM25" i="1"/>
  <c r="AM22" i="1"/>
  <c r="AM20" i="1"/>
  <c r="AM26" i="1"/>
  <c r="AM13" i="1"/>
  <c r="AM5" i="1"/>
  <c r="AM19" i="1"/>
  <c r="AG3" i="6"/>
  <c r="AG18" i="6"/>
  <c r="AG12" i="6"/>
  <c r="AG21" i="6"/>
  <c r="AE14" i="6"/>
  <c r="AI1" i="6"/>
  <c r="AH9" i="6"/>
  <c r="AH11" i="6"/>
  <c r="AH17" i="6"/>
  <c r="AH5" i="6"/>
  <c r="AH3" i="6"/>
  <c r="AG6" i="6"/>
  <c r="AG10" i="6"/>
  <c r="AF14" i="6"/>
  <c r="Y7" i="6"/>
  <c r="Z4" i="6"/>
  <c r="AH18" i="6" l="1"/>
  <c r="AN44" i="1"/>
  <c r="AN28" i="1"/>
  <c r="AN9" i="1"/>
  <c r="AN43" i="1"/>
  <c r="AN27" i="1"/>
  <c r="AN7" i="1"/>
  <c r="AN31" i="1"/>
  <c r="AN5" i="1"/>
  <c r="AN29" i="1"/>
  <c r="AN13" i="1"/>
  <c r="AN37" i="1"/>
  <c r="AN16" i="1"/>
  <c r="AN36" i="1"/>
  <c r="AN14" i="1"/>
  <c r="AO2" i="1"/>
  <c r="AN26" i="1"/>
  <c r="AN35" i="1"/>
  <c r="AN11" i="1"/>
  <c r="AN33" i="1"/>
  <c r="AN8" i="1"/>
  <c r="AN32" i="1"/>
  <c r="AN10" i="1"/>
  <c r="AN38" i="1"/>
  <c r="AN22" i="1"/>
  <c r="AN20" i="1"/>
  <c r="AN19" i="1"/>
  <c r="AN4" i="1"/>
  <c r="AN3" i="1"/>
  <c r="AN6" i="1"/>
  <c r="AN25" i="1"/>
  <c r="AN24" i="1"/>
  <c r="AN23" i="1"/>
  <c r="AN45" i="1"/>
  <c r="AN42" i="1"/>
  <c r="AN39" i="1"/>
  <c r="AJ1" i="6"/>
  <c r="AI17" i="6" s="1"/>
  <c r="AI18" i="6" s="1"/>
  <c r="AI11" i="6"/>
  <c r="AH20" i="6"/>
  <c r="AH21" i="6" s="1"/>
  <c r="AH12" i="6"/>
  <c r="AH6" i="6"/>
  <c r="AG14" i="6"/>
  <c r="AH10" i="6"/>
  <c r="AA4" i="6"/>
  <c r="Z7" i="6"/>
  <c r="AO43" i="1" l="1"/>
  <c r="AO27" i="1"/>
  <c r="AO4" i="1"/>
  <c r="AO42" i="1"/>
  <c r="AO25" i="1"/>
  <c r="AO3" i="1"/>
  <c r="AO37" i="1"/>
  <c r="AO26" i="1"/>
  <c r="AO14" i="1"/>
  <c r="AO36" i="1"/>
  <c r="AO20" i="1"/>
  <c r="AO38" i="1"/>
  <c r="AO10" i="1"/>
  <c r="AO35" i="1"/>
  <c r="AO8" i="1"/>
  <c r="AO5" i="1"/>
  <c r="AO16" i="1"/>
  <c r="AO33" i="1"/>
  <c r="AO6" i="1"/>
  <c r="AO32" i="1"/>
  <c r="AO24" i="1"/>
  <c r="AO29" i="1"/>
  <c r="AO9" i="1"/>
  <c r="AO39" i="1"/>
  <c r="AO22" i="1"/>
  <c r="AO31" i="1"/>
  <c r="AO28" i="1"/>
  <c r="AO23" i="1"/>
  <c r="AO45" i="1"/>
  <c r="AO44" i="1"/>
  <c r="AP2" i="1"/>
  <c r="AO13" i="1"/>
  <c r="AO7" i="1"/>
  <c r="AO19" i="1"/>
  <c r="AO11" i="1"/>
  <c r="AI3" i="6"/>
  <c r="AI5" i="6"/>
  <c r="AI6" i="6" s="1"/>
  <c r="AI9" i="6"/>
  <c r="AI10" i="6" s="1"/>
  <c r="AI20" i="6"/>
  <c r="AI12" i="6"/>
  <c r="AI21" i="6"/>
  <c r="AK1" i="6"/>
  <c r="AJ9" i="6"/>
  <c r="AJ5" i="6"/>
  <c r="AJ3" i="6"/>
  <c r="AH14" i="6"/>
  <c r="AA7" i="6"/>
  <c r="AB4" i="6"/>
  <c r="AP42" i="1" l="1"/>
  <c r="AP11" i="1"/>
  <c r="AP22" i="1"/>
  <c r="AP39" i="1"/>
  <c r="AP10" i="1"/>
  <c r="AP19" i="1"/>
  <c r="AP14" i="1"/>
  <c r="AP27" i="1"/>
  <c r="AP45" i="1"/>
  <c r="AP13" i="1"/>
  <c r="AP25" i="1"/>
  <c r="AP37" i="1"/>
  <c r="AP4" i="1"/>
  <c r="AP36" i="1"/>
  <c r="AP31" i="1"/>
  <c r="AP24" i="1"/>
  <c r="AP29" i="1"/>
  <c r="AP35" i="1"/>
  <c r="AP28" i="1"/>
  <c r="AP33" i="1"/>
  <c r="AP26" i="1"/>
  <c r="AP32" i="1"/>
  <c r="AP23" i="1"/>
  <c r="AP38" i="1"/>
  <c r="AP8" i="1"/>
  <c r="AP7" i="1"/>
  <c r="AP6" i="1"/>
  <c r="AQ2" i="1"/>
  <c r="AP20" i="1"/>
  <c r="AP43" i="1"/>
  <c r="AP16" i="1"/>
  <c r="AP9" i="1"/>
  <c r="AP5" i="1"/>
  <c r="AP3" i="1"/>
  <c r="AP44" i="1"/>
  <c r="AJ6" i="6"/>
  <c r="AL1" i="6"/>
  <c r="AK5" i="6" s="1"/>
  <c r="AK17" i="6"/>
  <c r="AK3" i="6"/>
  <c r="AJ17" i="6"/>
  <c r="AJ18" i="6" s="1"/>
  <c r="AJ11" i="6"/>
  <c r="AJ20" i="6"/>
  <c r="AJ21" i="6" s="1"/>
  <c r="AI14" i="6"/>
  <c r="AJ10" i="6"/>
  <c r="AC4" i="6"/>
  <c r="AB7" i="6"/>
  <c r="AQ36" i="1" l="1"/>
  <c r="AQ22" i="1"/>
  <c r="AQ13" i="1"/>
  <c r="AQ33" i="1"/>
  <c r="AQ19" i="1"/>
  <c r="AQ10" i="1"/>
  <c r="AQ39" i="1"/>
  <c r="AQ37" i="1"/>
  <c r="AQ20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" i="1"/>
  <c r="AQ29" i="1"/>
  <c r="AQ8" i="1"/>
  <c r="AQ31" i="1"/>
  <c r="AQ7" i="1"/>
  <c r="AQ43" i="1"/>
  <c r="AQ6" i="1"/>
  <c r="AQ35" i="1"/>
  <c r="AQ4" i="1"/>
  <c r="AQ32" i="1"/>
  <c r="AQ9" i="1"/>
  <c r="AQ42" i="1"/>
  <c r="AQ16" i="1"/>
  <c r="AQ28" i="1"/>
  <c r="AQ5" i="1"/>
  <c r="AQ27" i="1"/>
  <c r="AQ25" i="1"/>
  <c r="AQ23" i="1"/>
  <c r="AQ45" i="1"/>
  <c r="AQ11" i="1"/>
  <c r="AQ26" i="1"/>
  <c r="AQ14" i="1"/>
  <c r="AQ24" i="1"/>
  <c r="AQ44" i="1"/>
  <c r="AK6" i="6"/>
  <c r="AK18" i="6"/>
  <c r="AJ12" i="6"/>
  <c r="AJ14" i="6" s="1"/>
  <c r="AM1" i="6"/>
  <c r="AL17" i="6" s="1"/>
  <c r="AL18" i="6" s="1"/>
  <c r="AL5" i="6"/>
  <c r="AL3" i="6"/>
  <c r="AK11" i="6"/>
  <c r="AK20" i="6"/>
  <c r="AK21" i="6" s="1"/>
  <c r="AK9" i="6"/>
  <c r="AC7" i="6"/>
  <c r="AD4" i="6"/>
  <c r="AK10" i="6" l="1"/>
  <c r="AL6" i="6"/>
  <c r="AN1" i="6"/>
  <c r="AM9" i="6" s="1"/>
  <c r="AM20" i="6"/>
  <c r="AL11" i="6"/>
  <c r="AL20" i="6"/>
  <c r="AL21" i="6" s="1"/>
  <c r="AL9" i="6"/>
  <c r="AL10" i="6" s="1"/>
  <c r="AK12" i="6"/>
  <c r="AE4" i="6"/>
  <c r="AD7" i="6"/>
  <c r="AM3" i="6" l="1"/>
  <c r="AM5" i="6"/>
  <c r="AM6" i="6" s="1"/>
  <c r="AM11" i="6"/>
  <c r="AM17" i="6"/>
  <c r="AM18" i="6" s="1"/>
  <c r="AK14" i="6"/>
  <c r="AM21" i="6"/>
  <c r="AO1" i="6"/>
  <c r="AN17" i="6" s="1"/>
  <c r="AN9" i="6"/>
  <c r="AN20" i="6"/>
  <c r="AN5" i="6"/>
  <c r="AN3" i="6"/>
  <c r="AL12" i="6"/>
  <c r="AM10" i="6"/>
  <c r="AE7" i="6"/>
  <c r="AF4" i="6"/>
  <c r="AM12" i="6" l="1"/>
  <c r="AN6" i="6"/>
  <c r="AN21" i="6"/>
  <c r="AN18" i="6"/>
  <c r="AL14" i="6"/>
  <c r="AP1" i="6"/>
  <c r="AO9" i="6"/>
  <c r="AO5" i="6"/>
  <c r="AO6" i="6" s="1"/>
  <c r="AO3" i="6"/>
  <c r="AN11" i="6"/>
  <c r="AM14" i="6"/>
  <c r="AN10" i="6"/>
  <c r="AG4" i="6"/>
  <c r="AF7" i="6"/>
  <c r="AQ1" i="6" l="1"/>
  <c r="AP5" i="6"/>
  <c r="AP6" i="6" s="1"/>
  <c r="AP3" i="6"/>
  <c r="AO20" i="6"/>
  <c r="AO21" i="6" s="1"/>
  <c r="AO11" i="6"/>
  <c r="AO17" i="6"/>
  <c r="AO18" i="6" s="1"/>
  <c r="AN12" i="6"/>
  <c r="AO10" i="6"/>
  <c r="AH4" i="6"/>
  <c r="AG7" i="6"/>
  <c r="AO12" i="6" l="1"/>
  <c r="AO14" i="6" s="1"/>
  <c r="AR1" i="6"/>
  <c r="AQ9" i="6" s="1"/>
  <c r="AQ17" i="6"/>
  <c r="AP9" i="6"/>
  <c r="AP10" i="6" s="1"/>
  <c r="AP11" i="6"/>
  <c r="AP20" i="6"/>
  <c r="AP21" i="6" s="1"/>
  <c r="AN14" i="6"/>
  <c r="AP17" i="6"/>
  <c r="AP18" i="6" s="1"/>
  <c r="AI4" i="6"/>
  <c r="AH7" i="6"/>
  <c r="AQ3" i="6" l="1"/>
  <c r="AQ5" i="6"/>
  <c r="AQ6" i="6" s="1"/>
  <c r="AQ18" i="6"/>
  <c r="AQ11" i="6"/>
  <c r="AQ20" i="6"/>
  <c r="AQ21" i="6" s="1"/>
  <c r="AR20" i="6"/>
  <c r="AR21" i="6" s="1"/>
  <c r="AS1" i="6"/>
  <c r="AR17" i="6"/>
  <c r="AR18" i="6" s="1"/>
  <c r="AR11" i="6"/>
  <c r="AR5" i="6"/>
  <c r="AR3" i="6"/>
  <c r="AP12" i="6"/>
  <c r="AQ10" i="6"/>
  <c r="AI7" i="6"/>
  <c r="AJ4" i="6"/>
  <c r="AR6" i="6" l="1"/>
  <c r="AQ12" i="6"/>
  <c r="AP14" i="6"/>
  <c r="AR12" i="6"/>
  <c r="AT1" i="6"/>
  <c r="AS17" i="6" s="1"/>
  <c r="AS18" i="6" s="1"/>
  <c r="AS9" i="6"/>
  <c r="AS20" i="6"/>
  <c r="AS21" i="6" s="1"/>
  <c r="AS11" i="6"/>
  <c r="AS5" i="6"/>
  <c r="AS6" i="6" s="1"/>
  <c r="AS3" i="6"/>
  <c r="AR9" i="6"/>
  <c r="AR10" i="6" s="1"/>
  <c r="AQ14" i="6"/>
  <c r="AK4" i="6"/>
  <c r="AJ7" i="6"/>
  <c r="AU1" i="6" l="1"/>
  <c r="AT9" i="6"/>
  <c r="AT20" i="6"/>
  <c r="AT21" i="6" s="1"/>
  <c r="AT11" i="6"/>
  <c r="AT5" i="6"/>
  <c r="AT6" i="6" s="1"/>
  <c r="AT3" i="6"/>
  <c r="AS12" i="6"/>
  <c r="AS10" i="6"/>
  <c r="AR14" i="6"/>
  <c r="AL4" i="6"/>
  <c r="AK7" i="6"/>
  <c r="AT12" i="6" l="1"/>
  <c r="AV1" i="6"/>
  <c r="AU9" i="6" s="1"/>
  <c r="AT17" i="6"/>
  <c r="AT18" i="6" s="1"/>
  <c r="AS14" i="6"/>
  <c r="AT10" i="6"/>
  <c r="AL7" i="6"/>
  <c r="AM4" i="6"/>
  <c r="AU3" i="6" l="1"/>
  <c r="AU5" i="6"/>
  <c r="AU6" i="6" s="1"/>
  <c r="AU17" i="6"/>
  <c r="AU18" i="6"/>
  <c r="AW1" i="6"/>
  <c r="AV9" i="6"/>
  <c r="AV5" i="6"/>
  <c r="AV6" i="6" s="1"/>
  <c r="AV3" i="6"/>
  <c r="AU11" i="6"/>
  <c r="AU20" i="6"/>
  <c r="AU21" i="6" s="1"/>
  <c r="AT14" i="6"/>
  <c r="AU10" i="6"/>
  <c r="AM7" i="6"/>
  <c r="AN4" i="6"/>
  <c r="AU12" i="6" l="1"/>
  <c r="AU14" i="6" s="1"/>
  <c r="AX1" i="6"/>
  <c r="AW17" i="6" s="1"/>
  <c r="AV11" i="6"/>
  <c r="AV20" i="6"/>
  <c r="AV21" i="6" s="1"/>
  <c r="AV17" i="6"/>
  <c r="AV18" i="6" s="1"/>
  <c r="AV10" i="6"/>
  <c r="AN7" i="6"/>
  <c r="AO4" i="6"/>
  <c r="AW3" i="6" l="1"/>
  <c r="AW5" i="6"/>
  <c r="AW6" i="6" s="1"/>
  <c r="AW11" i="6"/>
  <c r="AW20" i="6"/>
  <c r="AW21" i="6" s="1"/>
  <c r="AW18" i="6"/>
  <c r="AY1" i="6"/>
  <c r="AX20" i="6" s="1"/>
  <c r="AX21" i="6" s="1"/>
  <c r="AW9" i="6"/>
  <c r="AW10" i="6" s="1"/>
  <c r="AV12" i="6"/>
  <c r="AO7" i="6"/>
  <c r="AP4" i="6"/>
  <c r="AX5" i="6" l="1"/>
  <c r="AX6" i="6" s="1"/>
  <c r="AX17" i="6"/>
  <c r="AX3" i="6"/>
  <c r="AX11" i="6"/>
  <c r="AW12" i="6"/>
  <c r="AZ1" i="6"/>
  <c r="AY9" i="6" s="1"/>
  <c r="AX9" i="6"/>
  <c r="AX10" i="6" s="1"/>
  <c r="AV14" i="6"/>
  <c r="AX18" i="6"/>
  <c r="AW14" i="6"/>
  <c r="AQ4" i="6"/>
  <c r="AP7" i="6"/>
  <c r="AX12" i="6" l="1"/>
  <c r="AY3" i="6"/>
  <c r="AY5" i="6"/>
  <c r="AY6" i="6" s="1"/>
  <c r="AY17" i="6"/>
  <c r="AY18" i="6" s="1"/>
  <c r="AY20" i="6"/>
  <c r="AY21" i="6" s="1"/>
  <c r="BA1" i="6"/>
  <c r="AZ17" i="6"/>
  <c r="AZ9" i="6"/>
  <c r="AZ5" i="6"/>
  <c r="AZ3" i="6"/>
  <c r="AY11" i="6"/>
  <c r="AX14" i="6"/>
  <c r="AY10" i="6"/>
  <c r="AQ7" i="6"/>
  <c r="AR4" i="6"/>
  <c r="AZ6" i="6" l="1"/>
  <c r="AZ18" i="6"/>
  <c r="AY12" i="6"/>
  <c r="BB1" i="6"/>
  <c r="BA5" i="6" s="1"/>
  <c r="BA3" i="6"/>
  <c r="AZ11" i="6"/>
  <c r="AZ20" i="6"/>
  <c r="AZ21" i="6" s="1"/>
  <c r="AZ10" i="6"/>
  <c r="AS4" i="6"/>
  <c r="AR7" i="6"/>
  <c r="BA6" i="6" l="1"/>
  <c r="BC1" i="6"/>
  <c r="BB5" i="6"/>
  <c r="BB3" i="6"/>
  <c r="BA20" i="6"/>
  <c r="BA21" i="6" s="1"/>
  <c r="BA17" i="6"/>
  <c r="BA18" i="6" s="1"/>
  <c r="BA11" i="6"/>
  <c r="BA9" i="6"/>
  <c r="BA10" i="6" s="1"/>
  <c r="AZ12" i="6"/>
  <c r="AZ14" i="6" s="1"/>
  <c r="AY14" i="6"/>
  <c r="AS7" i="6"/>
  <c r="AT4" i="6"/>
  <c r="BB6" i="6" l="1"/>
  <c r="BD1" i="6"/>
  <c r="BC11" i="6"/>
  <c r="BC9" i="6"/>
  <c r="BC17" i="6"/>
  <c r="BC20" i="6"/>
  <c r="BC5" i="6"/>
  <c r="BC3" i="6"/>
  <c r="BB17" i="6"/>
  <c r="BB18" i="6" s="1"/>
  <c r="BB11" i="6"/>
  <c r="BB20" i="6"/>
  <c r="BB21" i="6" s="1"/>
  <c r="BB9" i="6"/>
  <c r="BB10" i="6" s="1"/>
  <c r="BA12" i="6"/>
  <c r="BA14" i="6" s="1"/>
  <c r="AT7" i="6"/>
  <c r="AU4" i="6"/>
  <c r="BC6" i="6" l="1"/>
  <c r="BC18" i="6"/>
  <c r="BC21" i="6"/>
  <c r="BE1" i="6"/>
  <c r="BD5" i="6" s="1"/>
  <c r="BB12" i="6"/>
  <c r="BC12" i="6" s="1"/>
  <c r="BB14" i="6"/>
  <c r="BC10" i="6"/>
  <c r="AU7" i="6"/>
  <c r="AV4" i="6"/>
  <c r="BD6" i="6" l="1"/>
  <c r="BD3" i="6"/>
  <c r="BD17" i="6"/>
  <c r="BD18" i="6" s="1"/>
  <c r="BD9" i="6"/>
  <c r="BD10" i="6" s="1"/>
  <c r="BF1" i="6"/>
  <c r="BE11" i="6"/>
  <c r="BE17" i="6"/>
  <c r="BE5" i="6"/>
  <c r="BE3" i="6"/>
  <c r="BD11" i="6"/>
  <c r="BD20" i="6"/>
  <c r="BD21" i="6" s="1"/>
  <c r="BC14" i="6"/>
  <c r="AV7" i="6"/>
  <c r="AW4" i="6"/>
  <c r="D17" i="6" l="1"/>
  <c r="C17" i="6" s="1"/>
  <c r="BG1" i="6"/>
  <c r="BF9" i="6"/>
  <c r="BF17" i="6"/>
  <c r="BF5" i="6"/>
  <c r="BF3" i="6"/>
  <c r="BE9" i="6"/>
  <c r="BE10" i="6" s="1"/>
  <c r="BE20" i="6"/>
  <c r="BD12" i="6"/>
  <c r="BE12" i="6" s="1"/>
  <c r="BE18" i="6"/>
  <c r="BE6" i="6"/>
  <c r="AW7" i="6"/>
  <c r="AX4" i="6"/>
  <c r="BE21" i="6" l="1"/>
  <c r="D20" i="6"/>
  <c r="BH1" i="6"/>
  <c r="BG20" i="6" s="1"/>
  <c r="BG11" i="6"/>
  <c r="BG17" i="6"/>
  <c r="BG5" i="6"/>
  <c r="BG3" i="6"/>
  <c r="BD14" i="6"/>
  <c r="BF11" i="6"/>
  <c r="BF20" i="6"/>
  <c r="BF6" i="6"/>
  <c r="BF18" i="6"/>
  <c r="D18" i="6"/>
  <c r="C18" i="6" s="1"/>
  <c r="BE14" i="6"/>
  <c r="BF10" i="6"/>
  <c r="AY4" i="6"/>
  <c r="AX7" i="6"/>
  <c r="BG9" i="6" l="1"/>
  <c r="BG10" i="6" s="1"/>
  <c r="BG18" i="6"/>
  <c r="BI1" i="6"/>
  <c r="BH20" i="6" s="1"/>
  <c r="BH5" i="6"/>
  <c r="BH3" i="6"/>
  <c r="BG6" i="6"/>
  <c r="BF21" i="6"/>
  <c r="BG21" i="6" s="1"/>
  <c r="BF12" i="6"/>
  <c r="BG12" i="6" s="1"/>
  <c r="AY7" i="6"/>
  <c r="AZ4" i="6"/>
  <c r="BH6" i="6" l="1"/>
  <c r="BH21" i="6"/>
  <c r="BJ1" i="6"/>
  <c r="BI11" i="6" s="1"/>
  <c r="BI17" i="6"/>
  <c r="BI5" i="6"/>
  <c r="BI3" i="6"/>
  <c r="BH11" i="6"/>
  <c r="BH9" i="6"/>
  <c r="BH10" i="6" s="1"/>
  <c r="BH17" i="6"/>
  <c r="BH18" i="6" s="1"/>
  <c r="BF14" i="6"/>
  <c r="BG14" i="6"/>
  <c r="BA4" i="6"/>
  <c r="AZ7" i="6"/>
  <c r="BK1" i="6" l="1"/>
  <c r="BJ5" i="6" s="1"/>
  <c r="BI9" i="6"/>
  <c r="BI10" i="6" s="1"/>
  <c r="BI20" i="6"/>
  <c r="BI21" i="6" s="1"/>
  <c r="BI6" i="6"/>
  <c r="BI18" i="6"/>
  <c r="BH12" i="6"/>
  <c r="BI12" i="6" s="1"/>
  <c r="BA7" i="6"/>
  <c r="BB4" i="6"/>
  <c r="BJ3" i="6" l="1"/>
  <c r="BJ6" i="6"/>
  <c r="BL1" i="6"/>
  <c r="BK9" i="6" s="1"/>
  <c r="BK5" i="6"/>
  <c r="BJ17" i="6"/>
  <c r="BJ18" i="6" s="1"/>
  <c r="BJ9" i="6"/>
  <c r="BJ10" i="6" s="1"/>
  <c r="BH14" i="6"/>
  <c r="BJ11" i="6"/>
  <c r="BJ20" i="6"/>
  <c r="BJ21" i="6" s="1"/>
  <c r="BI14" i="6"/>
  <c r="BB7" i="6"/>
  <c r="BC4" i="6"/>
  <c r="BK6" i="6" l="1"/>
  <c r="BK3" i="6"/>
  <c r="BK20" i="6"/>
  <c r="BK21" i="6" s="1"/>
  <c r="BK17" i="6"/>
  <c r="BK18" i="6" s="1"/>
  <c r="BK11" i="6"/>
  <c r="BM1" i="6"/>
  <c r="BL17" i="6"/>
  <c r="BL5" i="6"/>
  <c r="BL3" i="6"/>
  <c r="BJ12" i="6"/>
  <c r="BJ14" i="6" s="1"/>
  <c r="BK10" i="6"/>
  <c r="BD4" i="6"/>
  <c r="BC7" i="6"/>
  <c r="BL6" i="6" l="1"/>
  <c r="BL18" i="6"/>
  <c r="BN1" i="6"/>
  <c r="BM9" i="6" s="1"/>
  <c r="BM17" i="6"/>
  <c r="BM18" i="6" s="1"/>
  <c r="BM20" i="6"/>
  <c r="BM11" i="6"/>
  <c r="BM5" i="6"/>
  <c r="BM3" i="6"/>
  <c r="BL9" i="6"/>
  <c r="BL20" i="6"/>
  <c r="BL21" i="6" s="1"/>
  <c r="BL11" i="6"/>
  <c r="BK12" i="6"/>
  <c r="BK14" i="6" s="1"/>
  <c r="BD7" i="6"/>
  <c r="BE4" i="6"/>
  <c r="BM6" i="6" l="1"/>
  <c r="BL10" i="6"/>
  <c r="BM21" i="6"/>
  <c r="BO1" i="6"/>
  <c r="BN9" i="6"/>
  <c r="BN5" i="6"/>
  <c r="BN6" i="6" s="1"/>
  <c r="BN3" i="6"/>
  <c r="BL12" i="6"/>
  <c r="BM12" i="6" s="1"/>
  <c r="BM10" i="6"/>
  <c r="BF4" i="6"/>
  <c r="BE7" i="6"/>
  <c r="BP1" i="6" l="1"/>
  <c r="BO11" i="6" s="1"/>
  <c r="BN11" i="6"/>
  <c r="BN12" i="6" s="1"/>
  <c r="BN20" i="6"/>
  <c r="BN21" i="6" s="1"/>
  <c r="BN17" i="6"/>
  <c r="BN18" i="6" s="1"/>
  <c r="BL14" i="6"/>
  <c r="BM14" i="6"/>
  <c r="BN10" i="6"/>
  <c r="BF7" i="6"/>
  <c r="BG4" i="6"/>
  <c r="BO12" i="6" l="1"/>
  <c r="BO3" i="6"/>
  <c r="BO5" i="6"/>
  <c r="BO6" i="6" s="1"/>
  <c r="BO9" i="6"/>
  <c r="BO17" i="6"/>
  <c r="BO18" i="6" s="1"/>
  <c r="BQ1" i="6"/>
  <c r="BR1" i="6" s="1"/>
  <c r="BO20" i="6"/>
  <c r="BO21" i="6" s="1"/>
  <c r="BN14" i="6"/>
  <c r="BG7" i="6"/>
  <c r="BH4" i="6"/>
  <c r="BP3" i="6" l="1"/>
  <c r="BP5" i="6"/>
  <c r="BP20" i="6"/>
  <c r="BP9" i="6"/>
  <c r="BO10" i="6"/>
  <c r="BP10" i="6" s="1"/>
  <c r="BP6" i="6"/>
  <c r="BP21" i="6"/>
  <c r="BS1" i="6"/>
  <c r="BR5" i="6"/>
  <c r="BR9" i="6"/>
  <c r="BR17" i="6"/>
  <c r="BR3" i="6"/>
  <c r="BQ5" i="6"/>
  <c r="BQ3" i="6"/>
  <c r="BP17" i="6"/>
  <c r="BP18" i="6" s="1"/>
  <c r="BP11" i="6"/>
  <c r="BP12" i="6" s="1"/>
  <c r="BI4" i="6"/>
  <c r="BH7" i="6"/>
  <c r="BO14" i="6" l="1"/>
  <c r="BQ6" i="6"/>
  <c r="BR6" i="6" s="1"/>
  <c r="BT1" i="6"/>
  <c r="BS20" i="6" s="1"/>
  <c r="BS3" i="6"/>
  <c r="BS17" i="6"/>
  <c r="BS11" i="6"/>
  <c r="BS9" i="6"/>
  <c r="BR20" i="6"/>
  <c r="BR11" i="6"/>
  <c r="BQ11" i="6"/>
  <c r="BQ12" i="6" s="1"/>
  <c r="BQ17" i="6"/>
  <c r="BQ18" i="6" s="1"/>
  <c r="BR18" i="6" s="1"/>
  <c r="BQ20" i="6"/>
  <c r="BQ21" i="6" s="1"/>
  <c r="BQ9" i="6"/>
  <c r="BP14" i="6"/>
  <c r="BJ4" i="6"/>
  <c r="BI7" i="6"/>
  <c r="D9" i="6" l="1"/>
  <c r="BR12" i="6"/>
  <c r="BS12" i="6" s="1"/>
  <c r="BQ10" i="6"/>
  <c r="BR10" i="6" s="1"/>
  <c r="BS10" i="6" s="1"/>
  <c r="BT20" i="6"/>
  <c r="BU1" i="6"/>
  <c r="BT9" i="6"/>
  <c r="BT11" i="6"/>
  <c r="BT12" i="6" s="1"/>
  <c r="BT3" i="6"/>
  <c r="BT5" i="6"/>
  <c r="BT17" i="6"/>
  <c r="BR21" i="6"/>
  <c r="BS21" i="6" s="1"/>
  <c r="BS5" i="6"/>
  <c r="BS6" i="6" s="1"/>
  <c r="BS18" i="6"/>
  <c r="D11" i="6"/>
  <c r="BK4" i="6"/>
  <c r="BJ7" i="6"/>
  <c r="BT21" i="6" l="1"/>
  <c r="BR14" i="6"/>
  <c r="BQ14" i="6"/>
  <c r="BT6" i="6"/>
  <c r="BV1" i="6"/>
  <c r="BU5" i="6" s="1"/>
  <c r="BU6" i="6" s="1"/>
  <c r="BU11" i="6"/>
  <c r="BU12" i="6" s="1"/>
  <c r="BU9" i="6"/>
  <c r="BU17" i="6"/>
  <c r="BU20" i="6"/>
  <c r="BT18" i="6"/>
  <c r="BU21" i="6"/>
  <c r="BS14" i="6"/>
  <c r="BT10" i="6"/>
  <c r="BK7" i="6"/>
  <c r="BL4" i="6"/>
  <c r="BU3" i="6" l="1"/>
  <c r="BU18" i="6"/>
  <c r="BW1" i="6"/>
  <c r="BV3" i="6" s="1"/>
  <c r="BV20" i="6"/>
  <c r="BV21" i="6" s="1"/>
  <c r="BV5" i="6"/>
  <c r="BV6" i="6" s="1"/>
  <c r="BV11" i="6"/>
  <c r="BV12" i="6" s="1"/>
  <c r="BU10" i="6"/>
  <c r="BT14" i="6"/>
  <c r="BL7" i="6"/>
  <c r="BM4" i="6"/>
  <c r="BV17" i="6" l="1"/>
  <c r="BV18" i="6" s="1"/>
  <c r="BV9" i="6"/>
  <c r="BX1" i="6"/>
  <c r="BW20" i="6" s="1"/>
  <c r="BW21" i="6" s="1"/>
  <c r="BW5" i="6"/>
  <c r="BW6" i="6" s="1"/>
  <c r="BW17" i="6"/>
  <c r="BW9" i="6"/>
  <c r="BW11" i="6"/>
  <c r="BW12" i="6" s="1"/>
  <c r="BW3" i="6"/>
  <c r="BU14" i="6"/>
  <c r="BN4" i="6"/>
  <c r="BM7" i="6"/>
  <c r="BV10" i="6" l="1"/>
  <c r="BW10" i="6" s="1"/>
  <c r="BY1" i="6"/>
  <c r="BX17" i="6"/>
  <c r="BW18" i="6"/>
  <c r="BN7" i="6"/>
  <c r="BO4" i="6"/>
  <c r="BV14" i="6" l="1"/>
  <c r="BX18" i="6"/>
  <c r="BZ1" i="6"/>
  <c r="BY11" i="6"/>
  <c r="BY20" i="6"/>
  <c r="BY5" i="6"/>
  <c r="BY17" i="6"/>
  <c r="BY9" i="6"/>
  <c r="BX11" i="6"/>
  <c r="BX12" i="6" s="1"/>
  <c r="BY12" i="6" s="1"/>
  <c r="BX9" i="6"/>
  <c r="BX3" i="6"/>
  <c r="BX5" i="6"/>
  <c r="BX6" i="6" s="1"/>
  <c r="BX20" i="6"/>
  <c r="BX21" i="6" s="1"/>
  <c r="BW14" i="6"/>
  <c r="BP4" i="6"/>
  <c r="BO7" i="6"/>
  <c r="BX10" i="6" l="1"/>
  <c r="BX14" i="6" s="1"/>
  <c r="BY6" i="6"/>
  <c r="CA1" i="6"/>
  <c r="BZ5" i="6"/>
  <c r="BZ17" i="6"/>
  <c r="BY3" i="6"/>
  <c r="BY21" i="6"/>
  <c r="BY18" i="6"/>
  <c r="BQ4" i="6"/>
  <c r="BR4" i="6" s="1"/>
  <c r="BP7" i="6"/>
  <c r="BY10" i="6" l="1"/>
  <c r="BY14" i="6" s="1"/>
  <c r="BZ6" i="6"/>
  <c r="BZ18" i="6"/>
  <c r="CB1" i="6"/>
  <c r="CA5" i="6"/>
  <c r="CA20" i="6"/>
  <c r="CA17" i="6"/>
  <c r="CA9" i="6"/>
  <c r="CA11" i="6"/>
  <c r="BZ11" i="6"/>
  <c r="BZ12" i="6" s="1"/>
  <c r="BZ20" i="6"/>
  <c r="BZ21" i="6" s="1"/>
  <c r="CA21" i="6" s="1"/>
  <c r="BZ9" i="6"/>
  <c r="BZ3" i="6"/>
  <c r="BS4" i="6"/>
  <c r="BR7" i="6"/>
  <c r="BQ7" i="6"/>
  <c r="CA3" i="6" l="1"/>
  <c r="CC1" i="6"/>
  <c r="BZ10" i="6"/>
  <c r="CA10" i="6" s="1"/>
  <c r="CA12" i="6"/>
  <c r="CA6" i="6"/>
  <c r="CB17" i="6"/>
  <c r="CB20" i="6"/>
  <c r="CB21" i="6" s="1"/>
  <c r="CB5" i="6"/>
  <c r="CB11" i="6"/>
  <c r="CB12" i="6" s="1"/>
  <c r="CB9" i="6"/>
  <c r="CB3" i="6"/>
  <c r="CA18" i="6"/>
  <c r="BS7" i="6"/>
  <c r="BT4" i="6"/>
  <c r="CC20" i="6" l="1"/>
  <c r="CC21" i="6" s="1"/>
  <c r="CC17" i="6"/>
  <c r="CC11" i="6"/>
  <c r="CC12" i="6" s="1"/>
  <c r="CC9" i="6"/>
  <c r="CC5" i="6"/>
  <c r="D5" i="6" s="1"/>
  <c r="CC3" i="6"/>
  <c r="D3" i="6" s="1"/>
  <c r="BZ14" i="6"/>
  <c r="CB18" i="6"/>
  <c r="CC18" i="6" s="1"/>
  <c r="CB6" i="6"/>
  <c r="BU4" i="6"/>
  <c r="BT7" i="6"/>
  <c r="CA14" i="6"/>
  <c r="CB10" i="6"/>
  <c r="CC6" i="6" l="1"/>
  <c r="CB14" i="6"/>
  <c r="CC10" i="6"/>
  <c r="CC14" i="6" s="1"/>
  <c r="BU7" i="6"/>
  <c r="BV4" i="6"/>
  <c r="BW4" i="6" l="1"/>
  <c r="BV7" i="6"/>
  <c r="BW7" i="6" l="1"/>
  <c r="BX4" i="6"/>
  <c r="BX7" i="6" l="1"/>
  <c r="BY4" i="6"/>
  <c r="BY7" i="6" l="1"/>
  <c r="BZ4" i="6"/>
  <c r="CA4" i="6" l="1"/>
  <c r="BZ7" i="6"/>
  <c r="CB4" i="6" l="1"/>
  <c r="CA7" i="6"/>
  <c r="CB7" i="6" l="1"/>
  <c r="CC4" i="6"/>
  <c r="CC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tc={2A5DCC7B-F7A1-434A-A72C-E65FA24965DC}</author>
    <author>tc={21B6828D-D6B4-4DF5-9722-DEDCD4C82BF7}</author>
    <author>tc={29559EAB-E9B7-420B-B5C1-29B95BBAAA22}</author>
    <author>tc={387946EA-35E9-4251-A325-57E70D5F426D}</author>
  </authors>
  <commentList>
    <comment ref="W32" authorId="0" shapeId="0" xr:uid="{2A5DCC7B-F7A1-434A-A72C-E65FA24965D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and @Thami Cambalele please take a look as this is marked off as paid but the invoice is showing as outstanding on QB
Reply:
    @Tasneema van Harte,this was paid on 14 Nov, however it seems it was paid from Matriach?</t>
      </text>
    </comment>
    <comment ref="W33" authorId="1" shapeId="0" xr:uid="{21B6828D-D6B4-4DF5-9722-DEDCD4C82B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@Mizelda Isaacs and @Thami Cambalele please take a look at my comment for DC complte, same situation
</t>
      </text>
    </comment>
    <comment ref="R129" authorId="2" shapeId="0" xr:uid="{29559EAB-E9B7-420B-B5C1-29B95BBAAA2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and @Roedolph Venter they need to provide us with a creditnote please</t>
      </text>
    </comment>
    <comment ref="R130" authorId="3" shapeId="0" xr:uid="{387946EA-35E9-4251-A325-57E70D5F42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and @Mizelda Isaacs can we please finalize what is due to them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<sst xmlns="http://schemas.openxmlformats.org/spreadsheetml/2006/main" count="837" uniqueCount="482">
  <si>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</si>
  <si>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</si>
  <si>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</si>
  <si>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</si>
  <si>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</si>
  <si>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</si>
  <si>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</si>
  <si>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</si>
  <si>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</si>
  <si>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</si>
  <si>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</si>
  <si>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</si>
  <si>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</si>
  <si>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</si>
  <si>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</si>
  <si>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</si>
  <si>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</si>
  <si>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</si>
  <si>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</si>
  <si>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</si>
  <si>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</si>
  <si>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</si>
  <si>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</si>
  <si>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</si>
  <si>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</si>
  <si>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</si>
  <si>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</si>
  <si>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</si>
  <si>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</si>
  <si>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</si>
  <si>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</si>
  <si>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</si>
  <si>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</si>
  <si>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</si>
  <si>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</si>
  <si>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</si>
  <si>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</si>
  <si>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</si>
  <si>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</si>
  <si>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</si>
  <si>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</si>
  <si>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</si>
  <si>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</si>
  <si>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</si>
  <si>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</si>
  <si>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</si>
  <si>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</si>
  <si>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</si>
  <si>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</si>
  <si>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</si>
  <si>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</si>
  <si>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</si>
  <si>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</si>
  <si>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</si>
  <si>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</si>
  <si>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</si>
  <si>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</si>
  <si>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</si>
  <si>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</si>
  <si>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</si>
  <si>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</si>
  <si>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</si>
  <si>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</si>
  <si>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</si>
  <si>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</si>
  <si>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</si>
  <si>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</si>
  <si>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</si>
  <si>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</si>
  <si>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</si>
  <si>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</si>
  <si>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</si>
  <si>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</si>
  <si>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</si>
  <si>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</si>
  <si>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</si>
  <si>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</si>
  <si>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</si>
  <si>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</si>
  <si>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</si>
  <si>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</si>
  <si>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</si>
  <si>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</si>
  <si>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</si>
  <si>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</si>
  <si>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</si>
  <si>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</si>
  <si>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</si>
  <si>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</si>
  <si>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</si>
  <si>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</si>
  <si>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</si>
  <si>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</si>
  <si>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</si>
  <si>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</si>
  <si>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</si>
  <si>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</si>
  <si>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</si>
  <si>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</si>
  <si>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</si>
  <si>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</si>
  <si>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004471</t>
  </si>
  <si>
    <t>Delivery of Inverters</t>
  </si>
  <si>
    <t>004555</t>
  </si>
  <si>
    <t>Delivery of Panels</t>
  </si>
  <si>
    <t>004576</t>
  </si>
  <si>
    <t>Practical Completion</t>
  </si>
  <si>
    <t>004608</t>
  </si>
  <si>
    <t>004693</t>
  </si>
  <si>
    <t>VO - Walkways</t>
  </si>
  <si>
    <t>Credit Note - Walkways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</si>
  <si>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</si>
  <si>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</si>
  <si>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</si>
  <si>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</si>
  <si>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</si>
  <si>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</si>
  <si>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</si>
  <si>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</si>
  <si>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</si>
  <si>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</si>
  <si>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</si>
  <si>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</si>
  <si>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</si>
  <si>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- 22 Christiaan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</si>
  <si>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</si>
  <si>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</si>
  <si>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</si>
  <si>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</si>
  <si>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</si>
  <si>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</si>
  <si>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</si>
  <si>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</si>
  <si>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</si>
  <si>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</si>
  <si>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</si>
  <si>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</si>
  <si>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</si>
  <si>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</si>
  <si>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</si>
  <si>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</si>
  <si>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</si>
  <si>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</si>
  <si>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</si>
  <si>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</si>
  <si>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</si>
  <si>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</si>
  <si>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</si>
  <si>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</si>
  <si>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</si>
  <si>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</si>
  <si>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</si>
  <si>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</si>
  <si>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</si>
  <si>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</si>
  <si>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</si>
  <si>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</si>
  <si>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</si>
  <si>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</si>
  <si>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</si>
  <si>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</si>
  <si>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</si>
  <si>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</si>
  <si>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</si>
  <si>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</si>
  <si>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</si>
  <si>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</si>
  <si>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</si>
  <si>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</si>
  <si>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</si>
  <si>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</si>
  <si>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</si>
  <si>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</si>
  <si>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</si>
  <si>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</si>
  <si>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</si>
  <si>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</si>
  <si>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</si>
  <si>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</si>
  <si>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</si>
  <si>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</si>
  <si>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</si>
  <si>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</si>
  <si>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</si>
  <si>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</si>
  <si>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</si>
  <si>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</si>
  <si>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</si>
  <si>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</si>
  <si>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</si>
  <si>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</si>
  <si>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</si>
  <si>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</si>
  <si>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</si>
  <si>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</si>
  <si>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</si>
  <si>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</si>
  <si>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</si>
  <si>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</si>
  <si>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</si>
  <si>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</si>
  <si>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</si>
  <si>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</si>
  <si>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</si>
  <si>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</si>
  <si>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</si>
  <si>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</si>
  <si>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</si>
  <si>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</si>
  <si>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</si>
  <si>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</si>
  <si>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</si>
  <si>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</si>
  <si>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</si>
  <si>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</si>
  <si>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</si>
  <si>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</si>
  <si>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</si>
  <si>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</si>
  <si>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</si>
  <si>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</si>
  <si>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</si>
  <si>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</si>
  <si>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</si>
  <si>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</si>
  <si>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</si>
  <si>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</si>
  <si>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</si>
  <si>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</si>
  <si>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</si>
  <si>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</si>
  <si>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</si>
  <si>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</si>
  <si>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</si>
  <si>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</si>
  <si>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</si>
  <si>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</si>
  <si>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</si>
  <si>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</si>
  <si>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</si>
  <si>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</si>
  <si>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</si>
  <si>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</si>
  <si>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</si>
  <si>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</si>
  <si>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</si>
  <si>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</si>
  <si>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</si>
  <si>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</si>
  <si>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Storage handling Fee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</si>
  <si>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</si>
  <si>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</si>
  <si>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</si>
  <si>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</si>
  <si>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</si>
  <si>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</si>
  <si>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</si>
  <si>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Delivery and storage budget</t>
  </si>
  <si>
    <t>DC Labour</t>
  </si>
  <si>
    <t/>
  </si>
  <si>
    <t>Offloading</t>
  </si>
  <si>
    <t>Inverters</t>
  </si>
  <si>
    <t>Huawei 100KTL</t>
  </si>
  <si>
    <t>2. Inverters</t>
  </si>
  <si>
    <t>Kathea Inv518635</t>
  </si>
  <si>
    <t>MI: Kathea quote</t>
  </si>
  <si>
    <t>Telehandler</t>
  </si>
  <si>
    <t>Other</t>
  </si>
  <si>
    <t>Mounting Structures</t>
  </si>
  <si>
    <t>KlipLok Roof</t>
  </si>
  <si>
    <t>3. Mounting Structures</t>
  </si>
  <si>
    <t>MS</t>
  </si>
  <si>
    <t>Schletter Inv0891</t>
  </si>
  <si>
    <t>PO3364-SAM22-20240918 - RV Approved</t>
  </si>
  <si>
    <t>Less 15%</t>
  </si>
  <si>
    <t>R/Wp</t>
  </si>
  <si>
    <t>Schletter Inv0893</t>
  </si>
  <si>
    <t>Seam Clamps</t>
  </si>
  <si>
    <t>Schletter Inv: INV1051</t>
  </si>
  <si>
    <t>Seam Clamp Returned</t>
  </si>
  <si>
    <t>Schletter Credit: CRN0160</t>
  </si>
  <si>
    <t>DSV Inv: 180099596</t>
  </si>
  <si>
    <t>ACTUAL - Cosmic Sun</t>
  </si>
  <si>
    <t>Installer Price</t>
  </si>
  <si>
    <t>ACTUAL - Thula Moya</t>
  </si>
  <si>
    <t>ACTUAL - CornerStone</t>
  </si>
  <si>
    <t>*Removed 6 Comms Metering R25976,34</t>
  </si>
  <si>
    <t xml:space="preserve">DC Cable </t>
  </si>
  <si>
    <t>4. DC Equipment</t>
  </si>
  <si>
    <t>Herholdts Inv: INV922149</t>
  </si>
  <si>
    <t>PO3315-MUL-20240823 - RV Approved</t>
  </si>
  <si>
    <t>MI: Herholdts quote</t>
  </si>
  <si>
    <t>DC Surge Arrestor</t>
  </si>
  <si>
    <t>DC Cable Tray</t>
  </si>
  <si>
    <t>Project Kick Off</t>
  </si>
  <si>
    <t>Thula Moya Inv04436</t>
  </si>
  <si>
    <t>PO3367-SAM22-20240924 - RV Approved</t>
  </si>
  <si>
    <t>Earth Cable</t>
  </si>
  <si>
    <t>Thula Moya Inv04439</t>
  </si>
  <si>
    <t>Site Logistics</t>
  </si>
  <si>
    <t>Earth clamp</t>
  </si>
  <si>
    <t>AC Installation Complete</t>
  </si>
  <si>
    <t>Thula Moya IN04473</t>
  </si>
  <si>
    <t>Roof Access</t>
  </si>
  <si>
    <t>Sundries</t>
  </si>
  <si>
    <t>DC Installation Complete</t>
  </si>
  <si>
    <t>Thula Moya IN04474</t>
  </si>
  <si>
    <t>Container</t>
  </si>
  <si>
    <t>Accomodation</t>
  </si>
  <si>
    <t>COC</t>
  </si>
  <si>
    <t>Commissioning Complete</t>
  </si>
  <si>
    <t>Thula Moya IN04475</t>
  </si>
  <si>
    <t>Scaffolding</t>
  </si>
  <si>
    <t>Travel</t>
  </si>
  <si>
    <t>Site De-establisment</t>
  </si>
  <si>
    <t>Thula Moya IN04476</t>
  </si>
  <si>
    <t>Handover Document Complete</t>
  </si>
  <si>
    <t>End of Defects Period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</si>
  <si>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</si>
  <si>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</si>
  <si>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</si>
  <si>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</si>
  <si>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</si>
  <si>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</si>
  <si>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</si>
  <si>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</si>
  <si>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</si>
  <si>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SCADA</t>
  </si>
  <si>
    <t>Rubicon INVWCRE-0060133</t>
  </si>
  <si>
    <t>Frontline Comms Equipment</t>
  </si>
  <si>
    <t>Frontline Electrical: INV697940</t>
  </si>
  <si>
    <t>PO3387-SAM-20241007 - RV Approved</t>
  </si>
  <si>
    <t>PO split across the portfolio</t>
  </si>
  <si>
    <t>6. AC Equipment</t>
  </si>
  <si>
    <t>AC &amp; Comms Board - Deposit</t>
  </si>
  <si>
    <t>Cosmic Sun CS_SAMPVDB_001</t>
  </si>
  <si>
    <t>PO3375-SAMPort-20240930 - RV Approved</t>
  </si>
  <si>
    <t>AC &amp; Comms Board - Balance</t>
  </si>
  <si>
    <t>Cosmic Sun CS_SAMPVDB_002</t>
  </si>
  <si>
    <t>Copper Stub Fabrication</t>
  </si>
  <si>
    <t>PO3845-SAM14B-20250430 - RV Approved</t>
  </si>
  <si>
    <t>AC Cable</t>
  </si>
  <si>
    <t>Gerhard Exp Claim</t>
  </si>
  <si>
    <t>Battery Systems</t>
  </si>
  <si>
    <t xml:space="preserve">Product Add On </t>
  </si>
  <si>
    <t xml:space="preserve">8. Product Add On </t>
  </si>
  <si>
    <t>Walkways transport</t>
  </si>
  <si>
    <t>Onvlee Engineering:Inv 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</si>
  <si>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</si>
  <si>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</si>
  <si>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</si>
  <si>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</si>
  <si>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</si>
  <si>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Installation of walkways</t>
  </si>
  <si>
    <t>Thula Moya IN04600</t>
  </si>
  <si>
    <t>Manufacture Cages Housing Inverters &amp; DB</t>
  </si>
  <si>
    <t>Thula Moya Inv IN04471</t>
  </si>
  <si>
    <t>Additional walkways</t>
  </si>
  <si>
    <t>Onvlee Engineering ONV1485</t>
  </si>
  <si>
    <t>Supply and install Tie in Breaker - Thula Moya</t>
  </si>
  <si>
    <t>Thula Moya IN04486</t>
  </si>
  <si>
    <t>PO3434-SAM-20241029 - RV Approved</t>
  </si>
  <si>
    <t>Only services to be capture below, products above</t>
  </si>
  <si>
    <t>AC &amp; DC Installation</t>
  </si>
  <si>
    <t>9. AC &amp; DC installation</t>
  </si>
  <si>
    <t>Thula Moya IN04598</t>
  </si>
  <si>
    <t>Thula Moya IN04599</t>
  </si>
  <si>
    <t>10. Site Logistics</t>
  </si>
  <si>
    <t>Security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</si>
  <si>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</si>
  <si>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</si>
  <si>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</si>
  <si>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</si>
  <si>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</si>
  <si>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</si>
  <si>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</si>
  <si>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</si>
  <si>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INV-3413</t>
  </si>
  <si>
    <t>BDP Commission</t>
  </si>
  <si>
    <t>Referral Fee</t>
  </si>
  <si>
    <t>Green Co Inv: 0000518</t>
  </si>
  <si>
    <t>Green Co Inv: INV0000527</t>
  </si>
  <si>
    <t>Engineering</t>
  </si>
  <si>
    <t>Matriarch Defects Period</t>
  </si>
  <si>
    <t>13. Engineering</t>
  </si>
  <si>
    <t>MATRIARCH - INV-3414</t>
  </si>
  <si>
    <t>Management</t>
  </si>
  <si>
    <t>Performance Guarantee</t>
  </si>
  <si>
    <t>Matriarch - INV-5021</t>
  </si>
  <si>
    <t xml:space="preserve">Project manager </t>
  </si>
  <si>
    <t>Matriarch - CN-5022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</si>
  <si>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</si>
  <si>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</si>
  <si>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</si>
  <si>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</si>
  <si>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</si>
  <si>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</si>
  <si>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</si>
  <si>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</si>
  <si>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Defect Correction</t>
  </si>
  <si>
    <t>Cosmic Sun Inv: CS_SAM22_001</t>
  </si>
  <si>
    <t>PO3870-SAM22-202505 - RV Approved</t>
  </si>
  <si>
    <t>We will recover the cost from Thula Moya</t>
  </si>
  <si>
    <t xml:space="preserve">Roof remedial work </t>
  </si>
  <si>
    <t>Thula Moya - IN04750</t>
  </si>
  <si>
    <t>TM to provide CN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</si>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</sst>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8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44" fillId="9" borderId="25" xfId="3" applyFont="1" applyFill="1" applyBorder="1" applyAlignment="1" applyProtection="1">
      <alignment vertical="center"/>
      <protection locked="0"/>
    </xf>
    <xf numFmtId="167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7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6" fontId="5" fillId="11" borderId="38" xfId="3" applyNumberFormat="1" applyFont="1" applyFill="1" applyBorder="1" applyAlignment="1" applyProtection="1">
      <alignment horizontal="center"/>
      <protection locked="0"/>
    </xf>
    <xf numFmtId="166" fontId="44" fillId="9" borderId="24" xfId="3" applyNumberFormat="1" applyFont="1" applyFill="1" applyBorder="1" applyAlignment="1" applyProtection="1">
      <alignment horizontal="left" vertical="center"/>
      <protection locked="0"/>
    </xf>
    <xf numFmtId="167" fontId="5" fillId="11" borderId="2" xfId="3" applyFont="1" applyFill="1" applyBorder="1" applyAlignment="1" applyProtection="1">
      <alignment horizontal="left" vertical="center"/>
      <protection locked="0"/>
    </xf>
    <xf numFmtId="166" fontId="13" fillId="13" borderId="2" xfId="3" applyNumberFormat="1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8" fontId="53" fillId="11" borderId="78" xfId="3" applyNumberFormat="1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6" fillId="0" borderId="0" xfId="0" applyNumberFormat="1" applyFont="1" applyProtection="1"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Protection="1"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8" xfId="0" applyNumberFormat="1" applyFont="1" applyFill="1" applyBorder="1" applyAlignment="1" applyProtection="1">
      <alignment horizontal="center"/>
      <protection locked="0"/>
    </xf>
    <xf numFmtId="14" fontId="53" fillId="11" borderId="93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7" fillId="0" borderId="0" xfId="0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14" fontId="53" fillId="11" borderId="76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9" fontId="53" fillId="11" borderId="38" xfId="0" applyNumberFormat="1" applyFont="1" applyFill="1" applyBorder="1" applyProtection="1"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0" fontId="54" fillId="0" borderId="0" xfId="0" applyFont="1" applyProtection="1"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0" fontId="25" fillId="13" borderId="40" xfId="0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Protection="1"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/>
      <protection locked="0"/>
    </xf>
    <xf numFmtId="0" fontId="5" fillId="13" borderId="0" xfId="0" applyFont="1" applyFill="1" applyProtection="1">
      <protection locked="0"/>
    </xf>
    <xf numFmtId="14" fontId="11" fillId="13" borderId="41" xfId="0" applyNumberFormat="1" applyFont="1" applyFill="1" applyBorder="1" applyProtection="1"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3" fillId="11" borderId="96" xfId="3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67" fontId="53" fillId="11" borderId="90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0" fontId="7" fillId="17" borderId="0" xfId="0" applyFont="1" applyFill="1" applyProtection="1">
      <protection locked="0"/>
    </xf>
    <xf numFmtId="167" fontId="7" fillId="17" borderId="0" xfId="0" applyNumberFormat="1" applyFont="1" applyFill="1" applyProtection="1"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167" fontId="53" fillId="11" borderId="91" xfId="3" applyFont="1" applyFill="1" applyBorder="1" applyAlignment="1" applyProtection="1">
      <alignment horizontal="center"/>
      <protection locked="0"/>
    </xf>
    <xf numFmtId="167" fontId="53" fillId="11" borderId="92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7" fontId="53" fillId="10" borderId="96" xfId="3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7" fontId="13" fillId="13" borderId="96" xfId="3" applyFont="1" applyFill="1" applyBorder="1" applyAlignment="1" applyProtection="1">
      <alignment horizontal="center"/>
      <protection locked="0"/>
    </xf>
    <xf numFmtId="14" fontId="5" fillId="13" borderId="20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64" fontId="13" fillId="7" borderId="0" xfId="0" applyNumberFormat="1" applyFont="1" applyFill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7" xfId="0" applyFont="1" applyFill="1" applyBorder="1" applyAlignment="1">
      <alignment horizontal="center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5" fillId="10" borderId="18" xfId="0" applyNumberFormat="1" applyFont="1" applyFill="1" applyBorder="1" applyAlignment="1" applyProtection="1">
      <alignment horizontal="center"/>
      <protection locked="0"/>
    </xf>
    <xf numFmtId="168" fontId="5" fillId="10" borderId="14" xfId="0" applyNumberFormat="1" applyFont="1" applyFill="1" applyBorder="1" applyAlignment="1" applyProtection="1">
      <alignment horizont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49" fontId="54" fillId="0" borderId="2" xfId="0" applyNumberFormat="1" applyFont="1" applyBorder="1" applyAlignment="1" applyProtection="1">
      <alignment horizontal="center"/>
      <protection locked="0"/>
    </xf>
    <xf numFmtId="0" fontId="54" fillId="7" borderId="0" xfId="0" applyFont="1" applyFill="1" applyProtection="1"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- 22 Christiaan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45562</c:v>
                </c:pt>
                <c:pt idx="3">
                  <c:v>45560</c:v>
                </c:pt>
                <c:pt idx="4">
                  <c:v>45576</c:v>
                </c:pt>
                <c:pt idx="5">
                  <c:v>45604</c:v>
                </c:pt>
                <c:pt idx="6">
                  <c:v>45609</c:v>
                </c:pt>
                <c:pt idx="7">
                  <c:v>45634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C66902C-A1F7-4BE2-9978-FB4E4289ED1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B09388-A812-453D-80A4-5A2D8F8AAE0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7CC8776-40BC-4A46-8B66-1328837CCA7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F930E09-E589-4501-9F35-D03336F4C0A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A97267-B671-41E0-BE80-139D23C8AF0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F026FC7-3C41-45BE-9E99-718EEBFF8A1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2740F3A-E810-4A1F-951D-7D8353C2643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7E8730E-904B-450A-BAC2-B9E5E28ECEF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35</c:v>
                </c:pt>
                <c:pt idx="3">
                  <c:v>37</c:v>
                </c:pt>
                <c:pt idx="4">
                  <c:v>33</c:v>
                </c:pt>
                <c:pt idx="5">
                  <c:v>5</c:v>
                </c:pt>
                <c:pt idx="6">
                  <c:v>28</c:v>
                </c:pt>
                <c:pt idx="7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Cashflow!$F$4:$BE$4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861790.65118575096</c:v>
                </c:pt>
                <c:pt idx="10">
                  <c:v>861790.65118575096</c:v>
                </c:pt>
                <c:pt idx="11">
                  <c:v>1477355.402032716</c:v>
                </c:pt>
                <c:pt idx="12">
                  <c:v>1477355.402032716</c:v>
                </c:pt>
                <c:pt idx="13">
                  <c:v>2092920.152879681</c:v>
                </c:pt>
                <c:pt idx="14">
                  <c:v>2092920.152879681</c:v>
                </c:pt>
                <c:pt idx="15">
                  <c:v>2092920.152879681</c:v>
                </c:pt>
                <c:pt idx="16">
                  <c:v>2092920.152879681</c:v>
                </c:pt>
                <c:pt idx="17">
                  <c:v>2092920.152879681</c:v>
                </c:pt>
                <c:pt idx="18">
                  <c:v>2339146.0532184672</c:v>
                </c:pt>
                <c:pt idx="19">
                  <c:v>2339146.0532184672</c:v>
                </c:pt>
                <c:pt idx="20">
                  <c:v>2339146.0532184672</c:v>
                </c:pt>
                <c:pt idx="21">
                  <c:v>2339146.0532184672</c:v>
                </c:pt>
                <c:pt idx="22">
                  <c:v>2514540.1233878601</c:v>
                </c:pt>
                <c:pt idx="23">
                  <c:v>2514540.1233878601</c:v>
                </c:pt>
                <c:pt idx="24">
                  <c:v>2514540.1233878601</c:v>
                </c:pt>
                <c:pt idx="25">
                  <c:v>2514540.1233878601</c:v>
                </c:pt>
                <c:pt idx="26">
                  <c:v>2514540.1233878601</c:v>
                </c:pt>
                <c:pt idx="27">
                  <c:v>2514540.1233878601</c:v>
                </c:pt>
                <c:pt idx="28">
                  <c:v>2514540.1233878601</c:v>
                </c:pt>
                <c:pt idx="29">
                  <c:v>2514540.1233878601</c:v>
                </c:pt>
                <c:pt idx="30">
                  <c:v>2514540.1233878601</c:v>
                </c:pt>
                <c:pt idx="31">
                  <c:v>2514540.1233878601</c:v>
                </c:pt>
                <c:pt idx="32">
                  <c:v>2514540.1233878601</c:v>
                </c:pt>
                <c:pt idx="33">
                  <c:v>2514540.1233878601</c:v>
                </c:pt>
                <c:pt idx="34">
                  <c:v>2514540.1233878601</c:v>
                </c:pt>
                <c:pt idx="35">
                  <c:v>2514540.1233878601</c:v>
                </c:pt>
                <c:pt idx="36">
                  <c:v>2514540.1233878601</c:v>
                </c:pt>
                <c:pt idx="37">
                  <c:v>2514540.1233878601</c:v>
                </c:pt>
                <c:pt idx="38">
                  <c:v>2514540.1233878601</c:v>
                </c:pt>
                <c:pt idx="39">
                  <c:v>2514540.1233878601</c:v>
                </c:pt>
                <c:pt idx="40">
                  <c:v>2514540.1233878601</c:v>
                </c:pt>
                <c:pt idx="41">
                  <c:v>2514540.1233878601</c:v>
                </c:pt>
                <c:pt idx="42">
                  <c:v>2514540.1233878601</c:v>
                </c:pt>
                <c:pt idx="43">
                  <c:v>2514540.1233878601</c:v>
                </c:pt>
                <c:pt idx="44">
                  <c:v>2514540.1233878601</c:v>
                </c:pt>
                <c:pt idx="45">
                  <c:v>2514540.1233878601</c:v>
                </c:pt>
                <c:pt idx="46">
                  <c:v>2514540.1233878601</c:v>
                </c:pt>
                <c:pt idx="47">
                  <c:v>2514540.1233878601</c:v>
                </c:pt>
                <c:pt idx="48">
                  <c:v>2514540.1233878601</c:v>
                </c:pt>
                <c:pt idx="49">
                  <c:v>2514540.1233878601</c:v>
                </c:pt>
                <c:pt idx="50">
                  <c:v>2514540.1233878601</c:v>
                </c:pt>
                <c:pt idx="51">
                  <c:v>2514540.1233878601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Cashflow!$F$6:$BE$6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20805</c:v>
                </c:pt>
                <c:pt idx="10">
                  <c:v>115676.973</c:v>
                </c:pt>
                <c:pt idx="11">
                  <c:v>115676.973</c:v>
                </c:pt>
                <c:pt idx="12">
                  <c:v>116377.773</c:v>
                </c:pt>
                <c:pt idx="13">
                  <c:v>116377.773</c:v>
                </c:pt>
                <c:pt idx="14">
                  <c:v>648961.27300000004</c:v>
                </c:pt>
                <c:pt idx="15">
                  <c:v>879577.19200000004</c:v>
                </c:pt>
                <c:pt idx="16">
                  <c:v>935017.19200000004</c:v>
                </c:pt>
                <c:pt idx="17">
                  <c:v>1024621.474</c:v>
                </c:pt>
                <c:pt idx="18">
                  <c:v>1050621.4739999999</c:v>
                </c:pt>
                <c:pt idx="19">
                  <c:v>1050621.4739999999</c:v>
                </c:pt>
                <c:pt idx="20">
                  <c:v>1101869.456</c:v>
                </c:pt>
                <c:pt idx="21">
                  <c:v>1911921.602</c:v>
                </c:pt>
                <c:pt idx="22">
                  <c:v>1911921.602</c:v>
                </c:pt>
                <c:pt idx="23">
                  <c:v>2079570.162</c:v>
                </c:pt>
                <c:pt idx="24">
                  <c:v>2079570.162</c:v>
                </c:pt>
                <c:pt idx="25">
                  <c:v>2105194.1529999999</c:v>
                </c:pt>
                <c:pt idx="26">
                  <c:v>2105194.1529999999</c:v>
                </c:pt>
                <c:pt idx="27">
                  <c:v>2105194.1529999999</c:v>
                </c:pt>
                <c:pt idx="28">
                  <c:v>2105194.1529999999</c:v>
                </c:pt>
                <c:pt idx="29">
                  <c:v>2105194.1529999999</c:v>
                </c:pt>
                <c:pt idx="30">
                  <c:v>2105194.1529999999</c:v>
                </c:pt>
                <c:pt idx="31">
                  <c:v>2105194.1529999999</c:v>
                </c:pt>
                <c:pt idx="32">
                  <c:v>2105194.1529999999</c:v>
                </c:pt>
                <c:pt idx="33">
                  <c:v>2105194.1529999999</c:v>
                </c:pt>
                <c:pt idx="34">
                  <c:v>2105194.1529999999</c:v>
                </c:pt>
                <c:pt idx="35">
                  <c:v>2105194.1529999999</c:v>
                </c:pt>
                <c:pt idx="36">
                  <c:v>2105194.1529999999</c:v>
                </c:pt>
                <c:pt idx="37">
                  <c:v>2105194.1529999999</c:v>
                </c:pt>
                <c:pt idx="38">
                  <c:v>2105194.1529999999</c:v>
                </c:pt>
                <c:pt idx="39">
                  <c:v>2105194.1529999999</c:v>
                </c:pt>
                <c:pt idx="40">
                  <c:v>2105194.1529999999</c:v>
                </c:pt>
                <c:pt idx="41">
                  <c:v>2105194.1529999999</c:v>
                </c:pt>
                <c:pt idx="42">
                  <c:v>2105194.1529999999</c:v>
                </c:pt>
                <c:pt idx="43">
                  <c:v>2105194.1529999999</c:v>
                </c:pt>
                <c:pt idx="44">
                  <c:v>2105194.1529999999</c:v>
                </c:pt>
                <c:pt idx="45">
                  <c:v>2105194.1529999999</c:v>
                </c:pt>
                <c:pt idx="46">
                  <c:v>2105194.1529999999</c:v>
                </c:pt>
                <c:pt idx="47">
                  <c:v>2105194.1529999999</c:v>
                </c:pt>
                <c:pt idx="48">
                  <c:v>2105194.1529999999</c:v>
                </c:pt>
                <c:pt idx="49">
                  <c:v>2105194.1529999999</c:v>
                </c:pt>
                <c:pt idx="50">
                  <c:v>2105194.1529999999</c:v>
                </c:pt>
                <c:pt idx="51">
                  <c:v>2105194.1529999999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Cashflow!$F$7:$BE$7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840985.65118575096</c:v>
                </c:pt>
                <c:pt idx="10">
                  <c:v>746113.67818575096</c:v>
                </c:pt>
                <c:pt idx="11">
                  <c:v>1361678.429032716</c:v>
                </c:pt>
                <c:pt idx="12">
                  <c:v>1360977.6290327159</c:v>
                </c:pt>
                <c:pt idx="13">
                  <c:v>1976542.3798796809</c:v>
                </c:pt>
                <c:pt idx="14">
                  <c:v>1443958.8798796809</c:v>
                </c:pt>
                <c:pt idx="15">
                  <c:v>1213342.9608796809</c:v>
                </c:pt>
                <c:pt idx="16">
                  <c:v>1157902.9608796809</c:v>
                </c:pt>
                <c:pt idx="17">
                  <c:v>1068298.678879681</c:v>
                </c:pt>
                <c:pt idx="18">
                  <c:v>1288524.5792184672</c:v>
                </c:pt>
                <c:pt idx="19">
                  <c:v>1288524.5792184672</c:v>
                </c:pt>
                <c:pt idx="20">
                  <c:v>1237276.5972184672</c:v>
                </c:pt>
                <c:pt idx="21">
                  <c:v>427224.45121846721</c:v>
                </c:pt>
                <c:pt idx="22">
                  <c:v>602618.52138786018</c:v>
                </c:pt>
                <c:pt idx="23">
                  <c:v>434969.96138786012</c:v>
                </c:pt>
                <c:pt idx="24">
                  <c:v>434969.96138786012</c:v>
                </c:pt>
                <c:pt idx="25">
                  <c:v>409345.9703878602</c:v>
                </c:pt>
                <c:pt idx="26">
                  <c:v>409345.9703878602</c:v>
                </c:pt>
                <c:pt idx="27">
                  <c:v>409345.9703878602</c:v>
                </c:pt>
                <c:pt idx="28">
                  <c:v>409345.9703878602</c:v>
                </c:pt>
                <c:pt idx="29">
                  <c:v>409345.9703878602</c:v>
                </c:pt>
                <c:pt idx="30">
                  <c:v>409345.9703878602</c:v>
                </c:pt>
                <c:pt idx="31">
                  <c:v>409345.9703878602</c:v>
                </c:pt>
                <c:pt idx="32">
                  <c:v>409345.9703878602</c:v>
                </c:pt>
                <c:pt idx="33">
                  <c:v>409345.9703878602</c:v>
                </c:pt>
                <c:pt idx="34">
                  <c:v>409345.9703878602</c:v>
                </c:pt>
                <c:pt idx="35">
                  <c:v>409345.9703878602</c:v>
                </c:pt>
                <c:pt idx="36">
                  <c:v>409345.9703878602</c:v>
                </c:pt>
                <c:pt idx="37">
                  <c:v>409345.9703878602</c:v>
                </c:pt>
                <c:pt idx="38">
                  <c:v>409345.9703878602</c:v>
                </c:pt>
                <c:pt idx="39">
                  <c:v>409345.9703878602</c:v>
                </c:pt>
                <c:pt idx="40">
                  <c:v>409345.9703878602</c:v>
                </c:pt>
                <c:pt idx="41">
                  <c:v>409345.9703878602</c:v>
                </c:pt>
                <c:pt idx="42">
                  <c:v>409345.9703878602</c:v>
                </c:pt>
                <c:pt idx="43">
                  <c:v>409345.9703878602</c:v>
                </c:pt>
                <c:pt idx="44">
                  <c:v>409345.9703878602</c:v>
                </c:pt>
                <c:pt idx="45">
                  <c:v>409345.9703878602</c:v>
                </c:pt>
                <c:pt idx="46">
                  <c:v>409345.9703878602</c:v>
                </c:pt>
                <c:pt idx="47">
                  <c:v>409345.9703878602</c:v>
                </c:pt>
                <c:pt idx="48">
                  <c:v>409345.9703878602</c:v>
                </c:pt>
                <c:pt idx="49">
                  <c:v>409345.9703878602</c:v>
                </c:pt>
                <c:pt idx="50">
                  <c:v>409345.9703878602</c:v>
                </c:pt>
                <c:pt idx="51">
                  <c:v>409345.9703878602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Cashflow!$F$10:$BE$10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861790.65118575096</c:v>
                </c:pt>
                <c:pt idx="10">
                  <c:v>861790.65118575096</c:v>
                </c:pt>
                <c:pt idx="11">
                  <c:v>861790.65118575096</c:v>
                </c:pt>
                <c:pt idx="12">
                  <c:v>1477355.402032716</c:v>
                </c:pt>
                <c:pt idx="13">
                  <c:v>1477355.402032716</c:v>
                </c:pt>
                <c:pt idx="14">
                  <c:v>1477355.402032716</c:v>
                </c:pt>
                <c:pt idx="15">
                  <c:v>1477355.402032716</c:v>
                </c:pt>
                <c:pt idx="16">
                  <c:v>1477355.402032716</c:v>
                </c:pt>
                <c:pt idx="17">
                  <c:v>1477355.402032716</c:v>
                </c:pt>
                <c:pt idx="18">
                  <c:v>1477355.402032716</c:v>
                </c:pt>
                <c:pt idx="19">
                  <c:v>2339146.0532184672</c:v>
                </c:pt>
                <c:pt idx="20">
                  <c:v>2339146.0532184672</c:v>
                </c:pt>
                <c:pt idx="21">
                  <c:v>2339146.0532184672</c:v>
                </c:pt>
                <c:pt idx="22">
                  <c:v>2339146.0532184672</c:v>
                </c:pt>
                <c:pt idx="23">
                  <c:v>2339146.0532184672</c:v>
                </c:pt>
                <c:pt idx="24">
                  <c:v>2339146.0532184672</c:v>
                </c:pt>
                <c:pt idx="25">
                  <c:v>2339146.0532184672</c:v>
                </c:pt>
                <c:pt idx="26">
                  <c:v>2339146.0532184672</c:v>
                </c:pt>
                <c:pt idx="27">
                  <c:v>2339146.0532184672</c:v>
                </c:pt>
                <c:pt idx="28">
                  <c:v>2339146.0532184672</c:v>
                </c:pt>
                <c:pt idx="29">
                  <c:v>2339146.0532184672</c:v>
                </c:pt>
                <c:pt idx="30">
                  <c:v>2339146.0532184672</c:v>
                </c:pt>
                <c:pt idx="31">
                  <c:v>2339146.0532184672</c:v>
                </c:pt>
                <c:pt idx="32">
                  <c:v>2339146.0532184672</c:v>
                </c:pt>
                <c:pt idx="33">
                  <c:v>2339146.0532184672</c:v>
                </c:pt>
                <c:pt idx="34">
                  <c:v>2339146.0532184672</c:v>
                </c:pt>
                <c:pt idx="35">
                  <c:v>2339146.0532184672</c:v>
                </c:pt>
                <c:pt idx="36">
                  <c:v>2339146.0532184672</c:v>
                </c:pt>
                <c:pt idx="37">
                  <c:v>2339146.0532184672</c:v>
                </c:pt>
                <c:pt idx="38">
                  <c:v>2339146.0532184672</c:v>
                </c:pt>
                <c:pt idx="39">
                  <c:v>2339146.0532184672</c:v>
                </c:pt>
                <c:pt idx="40">
                  <c:v>2339146.0532184672</c:v>
                </c:pt>
                <c:pt idx="41">
                  <c:v>2339146.0532184672</c:v>
                </c:pt>
                <c:pt idx="42">
                  <c:v>2339146.0532184672</c:v>
                </c:pt>
                <c:pt idx="43">
                  <c:v>2339146.0532184672</c:v>
                </c:pt>
                <c:pt idx="44">
                  <c:v>2339146.0532184672</c:v>
                </c:pt>
                <c:pt idx="45">
                  <c:v>2339146.0532184672</c:v>
                </c:pt>
                <c:pt idx="46">
                  <c:v>2339146.0532184672</c:v>
                </c:pt>
                <c:pt idx="47">
                  <c:v>2339146.0532184672</c:v>
                </c:pt>
                <c:pt idx="48">
                  <c:v>2339146.0532184672</c:v>
                </c:pt>
                <c:pt idx="49">
                  <c:v>2339146.0532184672</c:v>
                </c:pt>
                <c:pt idx="50">
                  <c:v>2339146.0532184672</c:v>
                </c:pt>
                <c:pt idx="51">
                  <c:v>2339146.0532184672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Cashflow!$F$12:$BE$12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35564.42</c:v>
                </c:pt>
                <c:pt idx="8">
                  <c:v>35564.42</c:v>
                </c:pt>
                <c:pt idx="9">
                  <c:v>35564.42</c:v>
                </c:pt>
                <c:pt idx="10">
                  <c:v>530751.35000000009</c:v>
                </c:pt>
                <c:pt idx="11">
                  <c:v>554292.82000000007</c:v>
                </c:pt>
                <c:pt idx="12">
                  <c:v>681140.05</c:v>
                </c:pt>
                <c:pt idx="13">
                  <c:v>681140.05</c:v>
                </c:pt>
                <c:pt idx="14">
                  <c:v>681140.05</c:v>
                </c:pt>
                <c:pt idx="15">
                  <c:v>1636439.45</c:v>
                </c:pt>
                <c:pt idx="16">
                  <c:v>1638110.45</c:v>
                </c:pt>
                <c:pt idx="17">
                  <c:v>1694486.73</c:v>
                </c:pt>
                <c:pt idx="18">
                  <c:v>1694486.73</c:v>
                </c:pt>
                <c:pt idx="19">
                  <c:v>1758009.1475423481</c:v>
                </c:pt>
                <c:pt idx="20">
                  <c:v>1814385.4275423482</c:v>
                </c:pt>
                <c:pt idx="21">
                  <c:v>1845907.0975423481</c:v>
                </c:pt>
                <c:pt idx="22">
                  <c:v>1969324.4175423482</c:v>
                </c:pt>
                <c:pt idx="23">
                  <c:v>1969324.4175423482</c:v>
                </c:pt>
                <c:pt idx="24">
                  <c:v>1957054.057542348</c:v>
                </c:pt>
                <c:pt idx="25">
                  <c:v>1957054.057542348</c:v>
                </c:pt>
                <c:pt idx="26">
                  <c:v>1962708.8175423481</c:v>
                </c:pt>
                <c:pt idx="27">
                  <c:v>1962708.8175423481</c:v>
                </c:pt>
                <c:pt idx="28">
                  <c:v>1962708.8175423481</c:v>
                </c:pt>
                <c:pt idx="29">
                  <c:v>1963818.537542348</c:v>
                </c:pt>
                <c:pt idx="30">
                  <c:v>1992006.6775423479</c:v>
                </c:pt>
                <c:pt idx="31">
                  <c:v>1992006.6775423479</c:v>
                </c:pt>
                <c:pt idx="32">
                  <c:v>1992006.6775423479</c:v>
                </c:pt>
                <c:pt idx="33">
                  <c:v>2020618.037542348</c:v>
                </c:pt>
                <c:pt idx="34">
                  <c:v>2020618.037542348</c:v>
                </c:pt>
                <c:pt idx="35">
                  <c:v>2020618.037542348</c:v>
                </c:pt>
                <c:pt idx="36">
                  <c:v>2020618.037542348</c:v>
                </c:pt>
                <c:pt idx="37">
                  <c:v>2020618.037542348</c:v>
                </c:pt>
                <c:pt idx="38">
                  <c:v>2020618.037542348</c:v>
                </c:pt>
                <c:pt idx="39">
                  <c:v>2020618.037542348</c:v>
                </c:pt>
                <c:pt idx="40">
                  <c:v>2020618.037542348</c:v>
                </c:pt>
                <c:pt idx="41">
                  <c:v>2020618.037542348</c:v>
                </c:pt>
                <c:pt idx="42">
                  <c:v>2021706.017542348</c:v>
                </c:pt>
                <c:pt idx="43">
                  <c:v>2053953.507542348</c:v>
                </c:pt>
                <c:pt idx="44">
                  <c:v>2053953.507542348</c:v>
                </c:pt>
                <c:pt idx="45">
                  <c:v>2053953.507542348</c:v>
                </c:pt>
                <c:pt idx="46">
                  <c:v>2053953.507542348</c:v>
                </c:pt>
                <c:pt idx="47">
                  <c:v>2054385.6075423481</c:v>
                </c:pt>
                <c:pt idx="48">
                  <c:v>2054385.6075423481</c:v>
                </c:pt>
                <c:pt idx="49">
                  <c:v>2054385.6075423481</c:v>
                </c:pt>
                <c:pt idx="50">
                  <c:v>2054385.6075423481</c:v>
                </c:pt>
                <c:pt idx="51">
                  <c:v>2054385.6075423481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</c:numRef>
          </c:cat>
          <c:val>
            <c:numRef>
              <c:f>Cashflow!$F$14:$BE$14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826226.23118575092</c:v>
                </c:pt>
                <c:pt idx="8">
                  <c:v>826226.23118575092</c:v>
                </c:pt>
                <c:pt idx="9">
                  <c:v>826226.23118575092</c:v>
                </c:pt>
                <c:pt idx="10">
                  <c:v>331039.30118575087</c:v>
                </c:pt>
                <c:pt idx="11">
                  <c:v>307497.8311857509</c:v>
                </c:pt>
                <c:pt idx="12">
                  <c:v>796215.35203271592</c:v>
                </c:pt>
                <c:pt idx="13">
                  <c:v>796215.35203271592</c:v>
                </c:pt>
                <c:pt idx="14">
                  <c:v>796215.35203271592</c:v>
                </c:pt>
                <c:pt idx="15">
                  <c:v>-159084.04796728399</c:v>
                </c:pt>
                <c:pt idx="16">
                  <c:v>-160755.04796728399</c:v>
                </c:pt>
                <c:pt idx="17">
                  <c:v>-217131.32796728401</c:v>
                </c:pt>
                <c:pt idx="18">
                  <c:v>-217131.32796728401</c:v>
                </c:pt>
                <c:pt idx="19">
                  <c:v>581136.90567611903</c:v>
                </c:pt>
                <c:pt idx="20">
                  <c:v>524760.625676119</c:v>
                </c:pt>
                <c:pt idx="21">
                  <c:v>493238.95567611908</c:v>
                </c:pt>
                <c:pt idx="22">
                  <c:v>369821.63567611901</c:v>
                </c:pt>
                <c:pt idx="23">
                  <c:v>369821.63567611901</c:v>
                </c:pt>
                <c:pt idx="24">
                  <c:v>382091.99567611911</c:v>
                </c:pt>
                <c:pt idx="25">
                  <c:v>382091.99567611911</c:v>
                </c:pt>
                <c:pt idx="26">
                  <c:v>376437.2356761191</c:v>
                </c:pt>
                <c:pt idx="27">
                  <c:v>376437.2356761191</c:v>
                </c:pt>
                <c:pt idx="28">
                  <c:v>376437.2356761191</c:v>
                </c:pt>
                <c:pt idx="29">
                  <c:v>375327.51567611913</c:v>
                </c:pt>
                <c:pt idx="30">
                  <c:v>347139.37567611923</c:v>
                </c:pt>
                <c:pt idx="31">
                  <c:v>347139.37567611923</c:v>
                </c:pt>
                <c:pt idx="32">
                  <c:v>347139.37567611923</c:v>
                </c:pt>
                <c:pt idx="33">
                  <c:v>318528.01567611913</c:v>
                </c:pt>
                <c:pt idx="34">
                  <c:v>318528.01567611913</c:v>
                </c:pt>
                <c:pt idx="35">
                  <c:v>318528.01567611913</c:v>
                </c:pt>
                <c:pt idx="36">
                  <c:v>318528.01567611913</c:v>
                </c:pt>
                <c:pt idx="37">
                  <c:v>318528.01567611913</c:v>
                </c:pt>
                <c:pt idx="38">
                  <c:v>318528.01567611913</c:v>
                </c:pt>
                <c:pt idx="39">
                  <c:v>318528.01567611913</c:v>
                </c:pt>
                <c:pt idx="40">
                  <c:v>318528.01567611913</c:v>
                </c:pt>
                <c:pt idx="41">
                  <c:v>318528.01567611913</c:v>
                </c:pt>
                <c:pt idx="42">
                  <c:v>317440.03567611915</c:v>
                </c:pt>
                <c:pt idx="43">
                  <c:v>285192.54567611916</c:v>
                </c:pt>
                <c:pt idx="44">
                  <c:v>285192.54567611916</c:v>
                </c:pt>
                <c:pt idx="45">
                  <c:v>285192.54567611916</c:v>
                </c:pt>
                <c:pt idx="46">
                  <c:v>285192.54567611916</c:v>
                </c:pt>
                <c:pt idx="47">
                  <c:v>284760.44567611907</c:v>
                </c:pt>
                <c:pt idx="48">
                  <c:v>284760.44567611907</c:v>
                </c:pt>
                <c:pt idx="49">
                  <c:v>284760.44567611907</c:v>
                </c:pt>
                <c:pt idx="50">
                  <c:v>284760.44567611907</c:v>
                </c:pt>
                <c:pt idx="51">
                  <c:v>284760.44567611907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Cashflow!$F$18:$BE$18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792853.43022606324</c:v>
                </c:pt>
                <c:pt idx="3">
                  <c:v>792853.43022606324</c:v>
                </c:pt>
                <c:pt idx="4">
                  <c:v>792853.43022606324</c:v>
                </c:pt>
                <c:pt idx="5">
                  <c:v>792853.43022606324</c:v>
                </c:pt>
                <c:pt idx="6">
                  <c:v>848045.34024531883</c:v>
                </c:pt>
                <c:pt idx="7">
                  <c:v>848045.34024531883</c:v>
                </c:pt>
                <c:pt idx="8">
                  <c:v>848045.34024531883</c:v>
                </c:pt>
                <c:pt idx="9">
                  <c:v>848045.34024531883</c:v>
                </c:pt>
                <c:pt idx="10">
                  <c:v>848045.34024531883</c:v>
                </c:pt>
                <c:pt idx="11">
                  <c:v>1383717.2792765521</c:v>
                </c:pt>
                <c:pt idx="12">
                  <c:v>1383717.2792765521</c:v>
                </c:pt>
                <c:pt idx="13">
                  <c:v>1383717.2792765521</c:v>
                </c:pt>
                <c:pt idx="14">
                  <c:v>1383717.2792765521</c:v>
                </c:pt>
                <c:pt idx="15">
                  <c:v>2063679.7974350192</c:v>
                </c:pt>
                <c:pt idx="16">
                  <c:v>2063679.7974350192</c:v>
                </c:pt>
                <c:pt idx="17">
                  <c:v>2063679.7974350192</c:v>
                </c:pt>
                <c:pt idx="18">
                  <c:v>2063679.7974350192</c:v>
                </c:pt>
                <c:pt idx="19">
                  <c:v>2434037.0889473651</c:v>
                </c:pt>
                <c:pt idx="20">
                  <c:v>2434037.0889473651</c:v>
                </c:pt>
                <c:pt idx="21">
                  <c:v>2434037.0889473651</c:v>
                </c:pt>
                <c:pt idx="22">
                  <c:v>2434037.0889473651</c:v>
                </c:pt>
                <c:pt idx="23">
                  <c:v>2434037.0889473651</c:v>
                </c:pt>
                <c:pt idx="24">
                  <c:v>2434037.0889473651</c:v>
                </c:pt>
                <c:pt idx="25">
                  <c:v>2434037.0889473651</c:v>
                </c:pt>
                <c:pt idx="26">
                  <c:v>2434037.0889473651</c:v>
                </c:pt>
                <c:pt idx="27">
                  <c:v>2434037.0889473651</c:v>
                </c:pt>
                <c:pt idx="28">
                  <c:v>2505345.9364534272</c:v>
                </c:pt>
                <c:pt idx="29">
                  <c:v>2505345.9364534272</c:v>
                </c:pt>
                <c:pt idx="30">
                  <c:v>2505345.9364534272</c:v>
                </c:pt>
                <c:pt idx="31">
                  <c:v>2505345.9364534272</c:v>
                </c:pt>
                <c:pt idx="32">
                  <c:v>2506043.3970451481</c:v>
                </c:pt>
                <c:pt idx="33">
                  <c:v>2506043.3970451481</c:v>
                </c:pt>
                <c:pt idx="34">
                  <c:v>2506043.3970451481</c:v>
                </c:pt>
                <c:pt idx="35">
                  <c:v>2506043.3970451481</c:v>
                </c:pt>
                <c:pt idx="36">
                  <c:v>2506043.3970451481</c:v>
                </c:pt>
                <c:pt idx="37">
                  <c:v>2506043.3970451481</c:v>
                </c:pt>
                <c:pt idx="38">
                  <c:v>2506043.3970451481</c:v>
                </c:pt>
                <c:pt idx="39">
                  <c:v>2506043.3970451481</c:v>
                </c:pt>
                <c:pt idx="40">
                  <c:v>2506043.3970451481</c:v>
                </c:pt>
                <c:pt idx="41">
                  <c:v>2506043.3970451481</c:v>
                </c:pt>
                <c:pt idx="42">
                  <c:v>2506043.3970451481</c:v>
                </c:pt>
                <c:pt idx="43">
                  <c:v>2506043.3970451481</c:v>
                </c:pt>
                <c:pt idx="44">
                  <c:v>2506043.3970451481</c:v>
                </c:pt>
                <c:pt idx="45">
                  <c:v>2506183.2470451482</c:v>
                </c:pt>
                <c:pt idx="46">
                  <c:v>2506183.2470451482</c:v>
                </c:pt>
                <c:pt idx="47">
                  <c:v>2506183.2470451482</c:v>
                </c:pt>
                <c:pt idx="48">
                  <c:v>2506183.2470451482</c:v>
                </c:pt>
                <c:pt idx="49">
                  <c:v>2506183.2470451482</c:v>
                </c:pt>
                <c:pt idx="50">
                  <c:v>2506183.2470451482</c:v>
                </c:pt>
                <c:pt idx="51">
                  <c:v>2506183.2470451482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05D62883-9AA8-49F2-A1E8-649D72BE57D5}">
    <Anchor>
      <Comment id="{2A5DCC7B-F7A1-434A-A72C-E65FA24965DC}"/>
    </Anchor>
    <History>
      <Event time="2025-03-07T09:19:09.80" id="{3B6AF5AF-880E-44F1-BE2F-59BD349A5B51}">
        <Attribution userId="S::tasneema@emergy.co.za::9a0cc615-e4de-4e2f-ae82-9f40753a7d8a" userName="Tasneema van Harte" userProvider="AD"/>
        <Anchor>
          <Comment id="{2A5DCC7B-F7A1-434A-A72C-E65FA24965DC}"/>
        </Anchor>
        <Create/>
      </Event>
      <Event time="2025-03-07T09:19:09.80" id="{842140A4-B0F9-4B5A-9756-B61C156E60F4}">
        <Attribution userId="S::tasneema@emergy.co.za::9a0cc615-e4de-4e2f-ae82-9f40753a7d8a" userName="Tasneema van Harte" userProvider="AD"/>
        <Anchor>
          <Comment id="{2A5DCC7B-F7A1-434A-A72C-E65FA24965DC}"/>
        </Anchor>
        <Assign userId="S::mizelda@emergentenergy.co.za::3a5c2ad2-993e-4fe1-a333-48e19c6adda8" userName="Mizelda Isaacs" userProvider="AD"/>
      </Event>
      <Event time="2025-03-07T09:19:09.80" id="{A688135E-5EB9-4C5A-B553-7D39F735BE4D}">
        <Attribution userId="S::tasneema@emergy.co.za::9a0cc615-e4de-4e2f-ae82-9f40753a7d8a" userName="Tasneema van Harte" userProvider="AD"/>
        <Anchor>
          <Comment id="{2A5DCC7B-F7A1-434A-A72C-E65FA24965DC}"/>
        </Anchor>
        <SetTitle title="@Mizelda Isaacs and @Thami Cambalele please take a look as this is marked off as paid but the invoice is showing as outstanding on QB"/>
      </Event>
      <Event time="2025-03-10T08:09:17.38" id="{3347D0ED-9448-4DEE-AD16-11F6FBD523DA}">
        <Attribution userId="S::mizelda@emergentenergy.co.za::3a5c2ad2-993e-4fe1-a333-48e19c6adda8" userName="Mizelda Isaacs" userProvider="AD"/>
        <Anchor>
          <Comment id="{4EB58B9A-F2BC-4815-86FC-EB6EE7BE492C}"/>
        </Anchor>
        <UnassignAll/>
      </Event>
      <Event time="2025-03-10T08:09:17.38" id="{40D4B036-FA3E-42E9-85B8-ED85E0AD13F7}">
        <Attribution userId="S::mizelda@emergentenergy.co.za::3a5c2ad2-993e-4fe1-a333-48e19c6adda8" userName="Mizelda Isaacs" userProvider="AD"/>
        <Anchor>
          <Comment id="{4EB58B9A-F2BC-4815-86FC-EB6EE7BE492C}"/>
        </Anchor>
        <Assign userId="S::tasneema@emergy.co.za::9a0cc615-e4de-4e2f-ae82-9f40753a7d8a" userName="Tasneema van Harte" userProvider="AD"/>
      </Event>
    </History>
  </Task>
  <Task id="{6925B7C7-02A0-441B-9D1C-5ACCE8BE170E}">
    <Anchor>
      <Comment id="{387946EA-35E9-4251-A325-57E70D5F426D}"/>
    </Anchor>
    <History>
      <Event time="2025-11-08T13:42:47.66" id="{6B4806FE-B3B1-4140-A148-E16EC438D037}">
        <Attribution userId="S::tasneema@emergy.co.za::9a0cc615-e4de-4e2f-ae82-9f40753a7d8a" userName="Tasneema van Harte" userProvider="AD"/>
        <Anchor>
          <Comment id="{387946EA-35E9-4251-A325-57E70D5F426D}"/>
        </Anchor>
        <Create/>
      </Event>
      <Event time="2025-11-08T13:42:47.66" id="{3819A5B3-390A-4CCC-BF56-33CD5C9DA193}">
        <Attribution userId="S::tasneema@emergy.co.za::9a0cc615-e4de-4e2f-ae82-9f40753a7d8a" userName="Tasneema van Harte" userProvider="AD"/>
        <Anchor>
          <Comment id="{387946EA-35E9-4251-A325-57E70D5F426D}"/>
        </Anchor>
        <Assign userId="S::mizelda@emergentenergy.co.za::3a5c2ad2-993e-4fe1-a333-48e19c6adda8" userName="Mizelda Isaacs" userProvider="AD"/>
      </Event>
      <Event time="2025-11-08T13:42:47.66" id="{899B0661-1A83-4919-BC91-8800125DDE5B}">
        <Attribution userId="S::tasneema@emergy.co.za::9a0cc615-e4de-4e2f-ae82-9f40753a7d8a" userName="Tasneema van Harte" userProvider="AD"/>
        <Anchor>
          <Comment id="{387946EA-35E9-4251-A325-57E70D5F426D}"/>
        </Anchor>
        <SetTitle title="@Roedolph Venter and @Mizelda Isaacs can we please finalize what is due to them"/>
      </Event>
    </History>
  </Task>
  <Task id="{A5E568E3-4675-459A-AE04-8A171CA03815}">
    <Anchor>
      <Comment id="{29559EAB-E9B7-420B-B5C1-29B95BBAAA22}"/>
    </Anchor>
    <History>
      <Event time="2025-11-08T13:43:25.09" id="{61941D8E-2608-4932-BB34-457595ED6ED9}">
        <Attribution userId="S::tasneema@emergy.co.za::9a0cc615-e4de-4e2f-ae82-9f40753a7d8a" userName="Tasneema van Harte" userProvider="AD"/>
        <Anchor>
          <Comment id="{29559EAB-E9B7-420B-B5C1-29B95BBAAA22}"/>
        </Anchor>
        <Create/>
      </Event>
      <Event time="2025-11-08T13:43:25.09" id="{AF384382-92F9-4892-B9BC-FDEB4800A24A}">
        <Attribution userId="S::tasneema@emergy.co.za::9a0cc615-e4de-4e2f-ae82-9f40753a7d8a" userName="Tasneema van Harte" userProvider="AD"/>
        <Anchor>
          <Comment id="{29559EAB-E9B7-420B-B5C1-29B95BBAAA22}"/>
        </Anchor>
        <Assign userId="S::mizelda@emergentenergy.co.za::3a5c2ad2-993e-4fe1-a333-48e19c6adda8" userName="Mizelda Isaacs" userProvider="AD"/>
      </Event>
      <Event time="2025-11-08T13:43:25.09" id="{E7333089-353F-49BE-AC84-FB771FE7749A}">
        <Attribution userId="S::tasneema@emergy.co.za::9a0cc615-e4de-4e2f-ae82-9f40753a7d8a" userName="Tasneema van Harte" userProvider="AD"/>
        <Anchor>
          <Comment id="{29559EAB-E9B7-420B-B5C1-29B95BBAAA22}"/>
        </Anchor>
        <SetTitle title="@Mizelda Isaacs and @Roedolph Venter they need to provide us with a creditnote please"/>
      </Event>
      <Event time="2025-11-26T07:31:09.33" id="{08CB40A0-7D97-4AC1-8358-0F1D4AB12909}">
        <Attribution userId="S::johannes@emergentenergy.co.za::ebfc203a-7452-4ef3-9e97-736da20b03b9" userName="Johannes Potgie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697404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761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00630941-69CC-465A-A1E6-803926FF0EF1}" userId="tasneema@emergy.co.za" providerId="PeoplePicker"/>
  <person displayName="Thami Cambalele" id="{46881A2C-E68E-4797-AA43-7AE8B681CBF8}" userId="thami@emergentenergy.co.za" providerId="PeoplePicker"/>
  <person displayName="Mizelda Isaacs" id="{2D4C56FC-DD0B-4567-9C2C-0CBE446DC245}" userId="mizelda@emergentenergy.co.za" providerId="PeoplePicker"/>
  <person displayName="Roedolph Venter" id="{FC92B4AC-615A-4EA3-93C4-DBC61E55C191}" userId="roedolph@emergentenergy.co.za" providerId="PeoplePicker"/>
  <person displayName="Tasneema van Harte" id="{D52D2863-E4BE-448C-8B96-9480C9255E68}" userId="S::tasneema@emergy.co.za::9a0cc615-e4de-4e2f-ae82-9f40753a7d8a" providerId="AD"/>
  <person displayName="Mizelda Isaacs" id="{96CD1247-3684-4933-AFCC-BE8EC6A2662B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6006365742" createdVersion="8" refreshedVersion="8" minRefreshableVersion="3" recordCount="127" xr:uid="{CFE685BB-DDF2-42BA-9528-D7F36DD72BD0}">
  <cacheSource type="worksheet">
    <worksheetSource ref="M4:X131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75013.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56499.4" maxValue="318431.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3">
        <m/>
        <d v="2024-07-31T00:00:00"/>
        <d v="2024-10-31T00:00:00"/>
        <d v="2024-11-30T00:00:00"/>
        <s v=""/>
        <d v="2024-09-30T00:00:00"/>
        <d v="2024-12-31T00:00:00"/>
        <d v="2025-01-31T00:00:00"/>
        <d v="2024-08-31T00:00:00"/>
        <d v="2025-05-31T00:00:00"/>
        <d v="2025-08-31T00:00:00"/>
        <d v="2025-02-28T00:00:00"/>
        <d v="2025-04-30T00:00:00"/>
        <d v="2025-07-31T00:00:00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73">
        <m/>
        <n v="396426.71511303162"/>
        <n v="1691.115321933632"/>
        <n v="11122.335386563502"/>
        <n v="1369.8034107662418"/>
        <n v="35614.21"/>
        <n v="190902.34004698609"/>
        <n v="0"/>
        <n v="1531.80625301387"/>
        <n v="117065.68326135754"/>
        <n v="3833.164848361424"/>
        <n v="886.51779028103726"/>
        <n v="128887.93778823529"/>
        <n v="16021.486711176471"/>
        <n v="24032.230066764703"/>
        <n v="32042.973422352941"/>
        <n v="40053.716777941168"/>
        <n v="8010.7433555882353"/>
        <n v="5922.2722911775818"/>
        <n v="10342.138130487052"/>
        <n v="11797.236875105962"/>
        <n v="26465.154301199822"/>
        <n v="5229.2951437038028"/>
        <n v="45928.237537144909"/>
        <n v="68752.509064762577"/>
        <n v="139.85"/>
        <n v="25643.61548820528"/>
        <n v="38464.54940739282"/>
        <n v="51287.230976410559"/>
        <n v="64109.038720513192"/>
        <n v="12821.80774410264"/>
        <n v="43965.120000000003"/>
        <n v="24476.470585999999"/>
        <n v="36714.705878999994"/>
        <n v="48952.941171999999"/>
        <n v="61191.176464999997"/>
        <n v="12238.235293"/>
        <n v="3961.1558593554782"/>
        <n v="5941.7337890332165"/>
        <n v="10403.391764"/>
        <n v="11281.264705"/>
        <n v="4512.5058820000004"/>
        <n v="2256.2529410000002"/>
        <n v="48923.027511620938"/>
        <n v="11462.155675412685"/>
        <n v="44320.700625619058"/>
        <n v="185736.99650000001"/>
        <n v="1000.1896209783999"/>
        <n v="1154.7592974415215"/>
        <n v="1393.1129142396371"/>
        <n v="654.7688386803319"/>
        <n v="697.46059172083278"/>
        <n v="1000.1896209783989" u="1"/>
        <n v="68892.35630571736" u="1"/>
        <n v="66739.442484999599" u="1"/>
        <n v="697.45668303791024" u="1"/>
        <n v="1352.226516574226" u="1"/>
        <n v="41770.487511620937" u="1"/>
        <n v="5973.9457291482759" u="1"/>
        <n v="4394.2966180754138" u="1"/>
        <n v="36073.124643219853" u="1"/>
        <n v="11906.291517833839" u="1"/>
        <n v="2033.9994051576259" u="1"/>
        <n v="5513.5002264452178" u="1"/>
        <n v="7922.3117187109565" u="1"/>
        <n v="9902.8896483886947" u="1"/>
        <n v="1980.5779296777391" u="1"/>
        <n v="56855.930929626418" u="1"/>
        <n v="36387.795794960904" u="1"/>
        <n v="33470.847884523828" u="1"/>
        <n v="20879.697172349097" u="1"/>
        <n v="70990.970385986933" u="1"/>
        <n v="27143.606324053824" u="1"/>
        <n v="33251.874733086333" u="1"/>
        <n v="1094.2692974415215" u="1"/>
        <n v="45928.129436111318" u="1"/>
        <n v="68892.194154166966" u="1"/>
        <n v="25643.55513097217" u="1"/>
        <n v="38465.332696458245" u="1"/>
        <n v="51287.110261944341" u="1"/>
        <n v="64108.887827430422" u="1"/>
        <n v="12821.777565486085" u="1"/>
        <n v="1313.6622833405336" u="1"/>
        <n v="9811.7961894681848" u="1"/>
        <n v="4374.1399096405366" u="1"/>
        <n v="35611.522845741914" u="1"/>
        <n v="117924.09351476554" u="1"/>
        <n v="3861.2723852344666" u="1"/>
        <n v="11104.260545957966" u="1"/>
        <n v="100170.66284574191" u="1"/>
        <n v="49797.463673936727" u="1"/>
        <n v="174940.133" u="1"/>
        <n v="17494.013299999999" u="1"/>
        <n v="105900.31817391304" u="1"/>
        <n v="15885.047726086954" u="1"/>
        <n v="136566.62942234162" u="1"/>
        <n v="27313.325884468326" u="1"/>
        <n v="12522.284959319006" u="1"/>
        <n v="18783.427438978506" u="1"/>
        <n v="25044.569918638012" u="1"/>
        <n v="31305.71239829751" u="1"/>
        <n v="6261.1424796595029" u="1"/>
        <n v="4681.3532650691241" u="1"/>
        <n v="13768.686073732719" u="1"/>
        <n v="8261.2116442396327" u="1"/>
        <n v="33044.846576958531" u="1"/>
        <n v="37125.587489999998" u="1"/>
        <n v="55688.381234999986" u="1"/>
        <n v="74251.174979999996" u="1"/>
        <n v="92813.968724999984" u="1"/>
        <n v="18562.793744999999" u="1"/>
        <n v="45125.058819999998" u="1"/>
        <n v="47593.58290909091" u="1"/>
        <n v="31729.055272727273" u="1"/>
        <n v="25383.244218181819" u="1"/>
        <n v="4941.1764709999998" u="1"/>
        <n v="394749.85509376321" u="1"/>
        <n v="53151.183712473627" u="1"/>
        <n v="258832.55670623601" u="1"/>
        <n v="58777.824087527981" u="1"/>
        <n v="89881.218274111685" u="1"/>
        <n v="48685.659898477155" u="1"/>
        <n v="8988.121827411167" u="1"/>
        <n v="72489.130434782608" u="1"/>
        <n v="10873.36956521739" u="1"/>
        <n v="55755.942907967175" u="1"/>
        <n v="11151.188581593435" u="1"/>
        <n v="7033.4743510439403" u="1"/>
        <n v="10550.211526565909" u="1"/>
        <n v="14066.948702087881" u="1"/>
        <n v="17583.685877609849" u="1"/>
        <n v="3516.7371755219701" u="1"/>
        <n v="4798.3870967741932" u="1"/>
        <n v="14112.903225806453" u="1"/>
        <n v="8467.7419354838712" u="1"/>
        <n v="33870.967741935485" u="1"/>
        <n v="32190.172830000003" u="1"/>
        <n v="48285.259245000001" u="1"/>
        <n v="64380.345660000006" u="1"/>
        <n v="80475.432075000004" u="1"/>
        <n v="16095.086415000002" u="1"/>
        <n v="14529.411768999997" u="1"/>
        <n v="21794.117653499994" u="1"/>
        <n v="29058.823537999993" u="1"/>
        <n v="36323.529422499989" u="1"/>
        <n v="7264.7058844999983" u="1"/>
        <n v="37169.764710000003" u="1"/>
        <n v="23444.345837400248" u="1"/>
        <n v="12101.608735855614" u="1"/>
        <n v="41145.469701909089" u="1"/>
        <n v="15732.0913566123" u="1"/>
        <n v="25583.665268222758" u="1"/>
        <n v="2882.3529410000001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9433886888436973E-3" maxValue="8.1832578143803403E-4"/>
    </cacheField>
    <cacheField name="FINANCE PAYMENT DATE" numFmtId="0">
      <sharedItems containsNonDate="0" containsDate="1" containsString="0" containsBlank="1" minDate="2024-09-02T00:00:00" maxDate="2025-12-31T00:00:00"/>
    </cacheField>
    <cacheField name="Total COS" numFmtId="0">
      <sharedItems containsString="0" containsBlank="1" containsNumber="1" minValue="0" maxValue="647765.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6541898145" createdVersion="8" refreshedVersion="8" minRefreshableVersion="3" recordCount="127" xr:uid="{5501410B-D70C-4B2D-91F7-76BD0FC02E9D}">
  <cacheSource type="worksheet">
    <worksheetSource ref="N4:T131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75013.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56499.4" maxValue="318431.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4">
        <m/>
        <d v="2024-07-31T00:00:00"/>
        <d v="2024-10-31T00:00:00"/>
        <d v="2024-11-30T00:00:00"/>
        <s v=""/>
        <d v="2024-09-30T00:00:00"/>
        <d v="2024-12-31T00:00:00"/>
        <d v="2025-01-31T00:00:00"/>
        <d v="2024-08-31T00:00:00"/>
        <d v="2025-05-31T00:00:00"/>
        <d v="2025-08-31T00:00:00"/>
        <d v="2025-02-28T00:00:00"/>
        <d v="2025-04-30T00:00:00"/>
        <d v="2025-07-31T00:00:00"/>
        <d v="2026-01-31T00:00:00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x v="0"/>
    <m/>
    <m/>
    <m/>
    <m/>
    <m/>
    <x v="0"/>
    <x v="0"/>
    <m/>
    <m/>
    <m/>
  </r>
  <r>
    <n v="1"/>
    <x v="1"/>
    <s v="Canadian Solar 555W - Deposit - Herholdts"/>
    <n v="450"/>
    <n v="1415.25"/>
    <n v="318431.25"/>
    <s v="Herholdts Inv: INV875402"/>
    <x v="1"/>
    <x v="1"/>
    <n v="-4.4532667379826307E-4"/>
    <d v="2024-09-27T00:00:00"/>
    <n v="647765.5"/>
  </r>
  <r>
    <n v="1"/>
    <x v="1"/>
    <m/>
    <m/>
    <m/>
    <n v="318431.25"/>
    <s v="Herholdts Inv: INV875402"/>
    <x v="1"/>
    <x v="1"/>
    <m/>
    <d v="2024-10-31T00:00:00"/>
    <m/>
  </r>
  <r>
    <n v="1"/>
    <x v="1"/>
    <s v="Storage handling Fee"/>
    <m/>
    <m/>
    <n v="1300"/>
    <s v="Supply Chain: Inv SCO04502"/>
    <x v="2"/>
    <x v="2"/>
    <m/>
    <d v="2024-11-29T00:00:00"/>
    <m/>
  </r>
  <r>
    <n v="1"/>
    <x v="1"/>
    <s v="Delivery"/>
    <m/>
    <m/>
    <n v="8550"/>
    <s v="Supply Chain: Inv SCO04533"/>
    <x v="2"/>
    <x v="3"/>
    <m/>
    <d v="2024-11-29T00:00:00"/>
    <m/>
  </r>
  <r>
    <n v="1"/>
    <x v="1"/>
    <s v="Storage"/>
    <m/>
    <m/>
    <n v="1053"/>
    <s v="Supply Chain: Inv SCO04502"/>
    <x v="2"/>
    <x v="4"/>
    <m/>
    <d v="2024-11-29T00:00:00"/>
    <m/>
  </r>
  <r>
    <n v="1"/>
    <x v="1"/>
    <s v="Delivery and storage budget"/>
    <m/>
    <m/>
    <m/>
    <m/>
    <x v="3"/>
    <x v="5"/>
    <m/>
    <m/>
    <m/>
  </r>
  <r>
    <m/>
    <x v="0"/>
    <m/>
    <m/>
    <m/>
    <m/>
    <m/>
    <x v="4"/>
    <x v="0"/>
    <m/>
    <m/>
    <m/>
  </r>
  <r>
    <n v="2"/>
    <x v="2"/>
    <s v="Huawei 100KTL"/>
    <n v="2"/>
    <n v="68870"/>
    <n v="137740"/>
    <s v="Kathea Inv518635"/>
    <x v="5"/>
    <x v="6"/>
    <n v="0"/>
    <d v="2024-10-30T00:00:00"/>
    <n v="138845.23000000001"/>
  </r>
  <r>
    <n v="2"/>
    <x v="2"/>
    <m/>
    <m/>
    <m/>
    <m/>
    <m/>
    <x v="4"/>
    <x v="7"/>
    <m/>
    <m/>
    <m/>
  </r>
  <r>
    <n v="2"/>
    <x v="2"/>
    <s v="Delivery"/>
    <m/>
    <m/>
    <n v="1105.23"/>
    <s v="Kathea Inv518635"/>
    <x v="5"/>
    <x v="8"/>
    <m/>
    <d v="2024-10-30T00:00:00"/>
    <m/>
  </r>
  <r>
    <n v="2"/>
    <x v="2"/>
    <m/>
    <m/>
    <m/>
    <m/>
    <m/>
    <x v="4"/>
    <x v="7"/>
    <m/>
    <m/>
    <m/>
  </r>
  <r>
    <m/>
    <x v="0"/>
    <m/>
    <m/>
    <m/>
    <m/>
    <m/>
    <x v="4"/>
    <x v="0"/>
    <m/>
    <m/>
    <m/>
  </r>
  <r>
    <n v="3"/>
    <x v="3"/>
    <s v="MS"/>
    <n v="1"/>
    <n v="56499.4"/>
    <n v="56499.4"/>
    <s v="Schletter Inv0891"/>
    <x v="5"/>
    <x v="9"/>
    <n v="0"/>
    <d v="2024-09-23T00:00:00"/>
    <n v="169924.22"/>
  </r>
  <r>
    <n v="3"/>
    <x v="3"/>
    <m/>
    <m/>
    <m/>
    <n v="-56499.4"/>
    <s v="Schletter Inv0891"/>
    <x v="6"/>
    <x v="7"/>
    <m/>
    <d v="2024-12-31T00:00:00"/>
    <m/>
  </r>
  <r>
    <n v="3"/>
    <x v="3"/>
    <m/>
    <m/>
    <m/>
    <n v="44229.04"/>
    <s v="Schletter Inv0891"/>
    <x v="6"/>
    <x v="0"/>
    <m/>
    <d v="2024-12-31T00:00:00"/>
    <m/>
  </r>
  <r>
    <n v="3"/>
    <x v="3"/>
    <s v="Delivery"/>
    <m/>
    <m/>
    <n v="1850"/>
    <s v="Schletter Inv0893"/>
    <x v="5"/>
    <x v="10"/>
    <m/>
    <d v="2024-09-23T00:00:00"/>
    <m/>
  </r>
  <r>
    <n v="3"/>
    <x v="3"/>
    <s v="Seam Clamps"/>
    <m/>
    <m/>
    <n v="155413"/>
    <s v="Schletter Inv: INV1051"/>
    <x v="3"/>
    <x v="7"/>
    <m/>
    <d v="2024-12-19T00:00:00"/>
    <m/>
  </r>
  <r>
    <n v="3"/>
    <x v="3"/>
    <s v="Seam Clamp Returned"/>
    <m/>
    <m/>
    <n v="-31995.68"/>
    <s v="Schletter Credit: CRN0160"/>
    <x v="3"/>
    <x v="0"/>
    <m/>
    <d v="2024-12-19T00:00:00"/>
    <m/>
  </r>
  <r>
    <n v="3"/>
    <x v="3"/>
    <m/>
    <m/>
    <m/>
    <n v="427.86"/>
    <s v="DSV Inv: 180099596"/>
    <x v="2"/>
    <x v="11"/>
    <m/>
    <d v="2024-11-29T00:00:00"/>
    <m/>
  </r>
  <r>
    <m/>
    <x v="0"/>
    <m/>
    <m/>
    <m/>
    <m/>
    <m/>
    <x v="4"/>
    <x v="0"/>
    <m/>
    <m/>
    <m/>
  </r>
  <r>
    <n v="4"/>
    <x v="4"/>
    <s v="DC Cable "/>
    <n v="8000"/>
    <n v="13.5"/>
    <n v="108000"/>
    <s v="Herholdts Inv: INV922149"/>
    <x v="2"/>
    <x v="12"/>
    <n v="0"/>
    <d v="2024-10-31T00:00:00"/>
    <n v="242250"/>
  </r>
  <r>
    <n v="4"/>
    <x v="4"/>
    <s v="Delivery"/>
    <m/>
    <m/>
    <n v="0"/>
    <m/>
    <x v="0"/>
    <x v="7"/>
    <m/>
    <m/>
    <m/>
  </r>
  <r>
    <n v="4"/>
    <x v="4"/>
    <s v="Project Kick Off"/>
    <n v="134250"/>
    <n v="0.1"/>
    <n v="13425"/>
    <s v="Thula Moya Inv04436"/>
    <x v="5"/>
    <x v="13"/>
    <m/>
    <d v="2024-09-25T00:00:00"/>
    <m/>
  </r>
  <r>
    <n v="4"/>
    <x v="4"/>
    <s v="Site Establishment"/>
    <m/>
    <n v="0.15"/>
    <n v="20137.5"/>
    <s v="Thula Moya Inv04439"/>
    <x v="5"/>
    <x v="14"/>
    <m/>
    <d v="2024-10-10T00:00:00"/>
    <m/>
  </r>
  <r>
    <n v="4"/>
    <x v="4"/>
    <s v="AC Installation Complete"/>
    <m/>
    <n v="0.2"/>
    <n v="26850"/>
    <s v="Thula Moya IN04473"/>
    <x v="2"/>
    <x v="15"/>
    <m/>
    <d v="2024-10-31T00:00:00"/>
    <m/>
  </r>
  <r>
    <n v="4"/>
    <x v="4"/>
    <s v="DC Installation Complete"/>
    <m/>
    <n v="0.25"/>
    <n v="33562.5"/>
    <s v="Thula Moya IN04474"/>
    <x v="2"/>
    <x v="16"/>
    <m/>
    <d v="2024-10-31T00:00:00"/>
    <m/>
  </r>
  <r>
    <n v="4"/>
    <x v="4"/>
    <s v="Commissioning Complete"/>
    <m/>
    <n v="0.1"/>
    <n v="13425"/>
    <s v="Thula Moya IN04475"/>
    <x v="2"/>
    <x v="13"/>
    <m/>
    <d v="2024-11-14T00:00:00"/>
    <m/>
  </r>
  <r>
    <n v="4"/>
    <x v="4"/>
    <s v="Site De-establisment"/>
    <m/>
    <n v="0.1"/>
    <n v="13425"/>
    <s v="Thula Moya IN04476"/>
    <x v="2"/>
    <x v="13"/>
    <m/>
    <d v="2024-12-05T00:00:00"/>
    <m/>
  </r>
  <r>
    <n v="4"/>
    <x v="4"/>
    <s v="Handover Document Complete"/>
    <m/>
    <n v="0.05"/>
    <n v="6712.5"/>
    <s v="Thula Moya IN04598"/>
    <x v="7"/>
    <x v="17"/>
    <m/>
    <d v="2025-02-13T00:00:00"/>
    <m/>
  </r>
  <r>
    <n v="4"/>
    <x v="4"/>
    <s v="End of Defects Period"/>
    <m/>
    <n v="0.05"/>
    <n v="6712.5"/>
    <s v="Thula Moya IN04599"/>
    <x v="7"/>
    <x v="17"/>
    <m/>
    <d v="2025-03-06T00:00:00"/>
    <m/>
  </r>
  <r>
    <m/>
    <x v="0"/>
    <m/>
    <m/>
    <m/>
    <m/>
    <m/>
    <x v="4"/>
    <x v="0"/>
    <m/>
    <m/>
    <m/>
  </r>
  <r>
    <n v="5"/>
    <x v="5"/>
    <s v="Smartlogger 3000"/>
    <n v="1"/>
    <n v="8000"/>
    <n v="8000"/>
    <s v="Solarworld SASIV-24-00517"/>
    <x v="8"/>
    <x v="18"/>
    <n v="8.1832578143803403E-4"/>
    <d v="2024-09-30T00:00:00"/>
    <n v="71452.009999999995"/>
  </r>
  <r>
    <n v="5"/>
    <x v="5"/>
    <s v="CTs"/>
    <m/>
    <m/>
    <n v="13970.5"/>
    <s v="AccuEnergy ASAI-003743"/>
    <x v="8"/>
    <x v="19"/>
    <m/>
    <d v="2024-09-30T00:00:00"/>
    <m/>
  </r>
  <r>
    <n v="5"/>
    <x v="5"/>
    <s v="Revenue Grade Meter"/>
    <n v="1"/>
    <n v="11169"/>
    <n v="11169"/>
    <s v="MATRIARCH - INV-3278"/>
    <x v="3"/>
    <x v="20"/>
    <m/>
    <d v="2024-11-30T00:00:00"/>
    <m/>
  </r>
  <r>
    <n v="5"/>
    <x v="5"/>
    <s v="SCADA"/>
    <m/>
    <m/>
    <n v="35750"/>
    <s v="Rubicon INVWCRE-0060133"/>
    <x v="8"/>
    <x v="21"/>
    <m/>
    <d v="2024-09-27T00:00:00"/>
    <m/>
  </r>
  <r>
    <n v="5"/>
    <x v="5"/>
    <s v="Frontline Comms Equipment"/>
    <m/>
    <m/>
    <n v="2562.5099999999998"/>
    <s v="Frontline Electrical: INV697940"/>
    <x v="2"/>
    <x v="22"/>
    <m/>
    <d v="2024-10-10T00:00:00"/>
    <m/>
  </r>
  <r>
    <n v="5"/>
    <x v="5"/>
    <m/>
    <m/>
    <m/>
    <m/>
    <m/>
    <x v="4"/>
    <x v="7"/>
    <m/>
    <m/>
    <m/>
  </r>
  <r>
    <m/>
    <x v="0"/>
    <m/>
    <m/>
    <m/>
    <m/>
    <m/>
    <x v="4"/>
    <x v="0"/>
    <m/>
    <m/>
    <m/>
  </r>
  <r>
    <n v="6"/>
    <x v="6"/>
    <m/>
    <m/>
    <m/>
    <m/>
    <m/>
    <x v="4"/>
    <x v="7"/>
    <n v="-2.7590451645664871E-3"/>
    <m/>
    <n v="212863.60000000003"/>
  </r>
  <r>
    <n v="1"/>
    <x v="6"/>
    <s v="AC &amp; Comms Board - Deposit"/>
    <n v="0.4"/>
    <n v="65700"/>
    <n v="26280"/>
    <s v="Cosmic Sun CS_SAMPVDB_001"/>
    <x v="5"/>
    <x v="23"/>
    <m/>
    <d v="2024-09-27T00:00:00"/>
    <m/>
  </r>
  <r>
    <n v="2"/>
    <x v="6"/>
    <s v="AC &amp; Comms Board - Balance"/>
    <n v="0.6"/>
    <m/>
    <n v="39420"/>
    <s v="Cosmic Sun CS_SAMPVDB_002"/>
    <x v="2"/>
    <x v="24"/>
    <m/>
    <d v="2024-10-31T00:00:00"/>
    <m/>
  </r>
  <r>
    <n v="3"/>
    <x v="6"/>
    <s v="Copper Stub Fabrication"/>
    <m/>
    <m/>
    <n v="0"/>
    <m/>
    <x v="0"/>
    <x v="7"/>
    <m/>
    <m/>
    <m/>
  </r>
  <r>
    <n v="4"/>
    <x v="6"/>
    <s v="AC Cable"/>
    <m/>
    <m/>
    <n v="432.1"/>
    <s v="Gerhard Exp Claim"/>
    <x v="9"/>
    <x v="25"/>
    <m/>
    <d v="2025-06-09T00:00:00"/>
    <m/>
  </r>
  <r>
    <n v="5"/>
    <x v="6"/>
    <m/>
    <m/>
    <m/>
    <m/>
    <m/>
    <x v="4"/>
    <x v="7"/>
    <m/>
    <m/>
    <m/>
  </r>
  <r>
    <n v="6"/>
    <x v="6"/>
    <s v="Project Kick Off"/>
    <n v="146732"/>
    <n v="0.1"/>
    <n v="14673.2"/>
    <s v="Thula Moya Inv04436"/>
    <x v="5"/>
    <x v="26"/>
    <m/>
    <d v="2024-09-25T00:00:00"/>
    <m/>
  </r>
  <r>
    <n v="6"/>
    <x v="6"/>
    <s v="Site Establishment"/>
    <m/>
    <n v="0.15"/>
    <n v="22009.3"/>
    <s v="Thula Moya Inv04439"/>
    <x v="5"/>
    <x v="27"/>
    <m/>
    <d v="2024-10-10T00:00:00"/>
    <m/>
  </r>
  <r>
    <n v="6"/>
    <x v="6"/>
    <s v="AC Installation Complete"/>
    <m/>
    <n v="0.2"/>
    <n v="29346.400000000001"/>
    <s v="Thula Moya IN04473"/>
    <x v="2"/>
    <x v="28"/>
    <m/>
    <d v="2024-10-31T00:00:00"/>
    <m/>
  </r>
  <r>
    <n v="6"/>
    <x v="6"/>
    <s v="DC Installation Complete"/>
    <m/>
    <n v="0.25"/>
    <n v="36683"/>
    <s v="Thula Moya IN04474"/>
    <x v="2"/>
    <x v="29"/>
    <m/>
    <d v="2024-10-31T00:00:00"/>
    <m/>
  </r>
  <r>
    <n v="6"/>
    <x v="6"/>
    <s v="Commissioning Complete"/>
    <m/>
    <n v="0.1"/>
    <n v="14673.2"/>
    <s v="Thula Moya IN04475"/>
    <x v="2"/>
    <x v="26"/>
    <m/>
    <d v="2024-11-14T00:00:00"/>
    <m/>
  </r>
  <r>
    <n v="6"/>
    <x v="6"/>
    <s v="Site De-establisment"/>
    <m/>
    <n v="0.1"/>
    <n v="14673.2"/>
    <s v="Thula Moya IN04476"/>
    <x v="2"/>
    <x v="26"/>
    <m/>
    <d v="2024-12-05T00:00:00"/>
    <m/>
  </r>
  <r>
    <n v="6"/>
    <x v="6"/>
    <s v="Handover Document Complete"/>
    <m/>
    <n v="0.05"/>
    <n v="7336.6"/>
    <s v="Thula Moya IN04598"/>
    <x v="7"/>
    <x v="30"/>
    <m/>
    <d v="2025-02-13T00:00:00"/>
    <m/>
  </r>
  <r>
    <n v="6"/>
    <x v="6"/>
    <s v="End of Defects Period"/>
    <m/>
    <n v="0.05"/>
    <n v="7336.6"/>
    <s v="Thula Moya IN04599"/>
    <x v="7"/>
    <x v="30"/>
    <m/>
    <d v="2025-03-06T00:00:00"/>
    <m/>
  </r>
  <r>
    <m/>
    <x v="0"/>
    <m/>
    <m/>
    <m/>
    <m/>
    <m/>
    <x v="4"/>
    <x v="0"/>
    <m/>
    <m/>
    <m/>
  </r>
  <r>
    <n v="7"/>
    <x v="7"/>
    <m/>
    <m/>
    <m/>
    <m/>
    <m/>
    <x v="4"/>
    <x v="0"/>
    <n v="0"/>
    <m/>
    <n v="0"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m/>
    <x v="0"/>
    <m/>
    <m/>
    <m/>
    <m/>
    <m/>
    <x v="4"/>
    <x v="0"/>
    <m/>
    <m/>
    <m/>
  </r>
  <r>
    <n v="8"/>
    <x v="8"/>
    <s v="Walkways transport"/>
    <m/>
    <m/>
    <n v="4025"/>
    <s v="Onvlee Engineering:Inv 01048652"/>
    <x v="2"/>
    <x v="7"/>
    <n v="0"/>
    <d v="2024-10-10T00:00:00"/>
    <n v="158729.51999999999"/>
  </r>
  <r>
    <n v="8"/>
    <x v="8"/>
    <s v="Mounting Structure for Walkways"/>
    <m/>
    <m/>
    <n v="4244.32"/>
    <s v="Schletter INV0951"/>
    <x v="2"/>
    <x v="7"/>
    <m/>
    <d v="2024-11-29T00:00:00"/>
    <m/>
  </r>
  <r>
    <n v="8"/>
    <x v="8"/>
    <s v="Walkways"/>
    <m/>
    <m/>
    <n v="35695.800000000003"/>
    <s v="Onvlee Engineering:Inv 01048652"/>
    <x v="2"/>
    <x v="7"/>
    <m/>
    <d v="2024-10-10T00:00:00"/>
    <m/>
  </r>
  <r>
    <n v="8"/>
    <x v="8"/>
    <m/>
    <m/>
    <m/>
    <m/>
    <m/>
    <x v="3"/>
    <x v="31"/>
    <m/>
    <d v="2024-11-30T00:00:00"/>
    <m/>
  </r>
  <r>
    <n v="8"/>
    <x v="8"/>
    <s v="Installation of walkways"/>
    <m/>
    <m/>
    <n v="8316"/>
    <s v="Thula Moya IN04600"/>
    <x v="7"/>
    <x v="0"/>
    <m/>
    <d v="2025-07-31T00:00:00"/>
    <m/>
  </r>
  <r>
    <n v="8"/>
    <x v="8"/>
    <s v="Manufacture Cages Housing Inverters &amp; DB"/>
    <m/>
    <m/>
    <n v="72608.7"/>
    <s v="Thula Moya Inv IN04471"/>
    <x v="2"/>
    <x v="7"/>
    <m/>
    <d v="2024-10-31T00:00:00"/>
    <m/>
  </r>
  <r>
    <n v="8"/>
    <x v="8"/>
    <s v="Additional walkways"/>
    <m/>
    <m/>
    <n v="9538.74"/>
    <s v="Onvlee Engineering ONV1485"/>
    <x v="10"/>
    <x v="0"/>
    <m/>
    <d v="2025-08-21T00:00:00"/>
    <m/>
  </r>
  <r>
    <n v="8"/>
    <x v="8"/>
    <s v="Supply and install Tie in Breaker - Thula Moya"/>
    <m/>
    <m/>
    <n v="24300.959999999999"/>
    <s v="Thula Moya IN04486"/>
    <x v="2"/>
    <x v="7"/>
    <m/>
    <d v="2024-10-31T00:00:00"/>
    <m/>
  </r>
  <r>
    <m/>
    <x v="0"/>
    <m/>
    <m/>
    <m/>
    <m/>
    <m/>
    <x v="4"/>
    <x v="0"/>
    <m/>
    <m/>
    <m/>
  </r>
  <r>
    <n v="9"/>
    <x v="9"/>
    <s v="Project Kick Off"/>
    <n v="175013.8"/>
    <n v="0.1"/>
    <n v="17501.38"/>
    <s v="Thula Moya Inv04436"/>
    <x v="5"/>
    <x v="32"/>
    <n v="0"/>
    <d v="2024-09-25T00:00:00"/>
    <n v="175013.8"/>
  </r>
  <r>
    <n v="9"/>
    <x v="9"/>
    <s v="Site Establishment"/>
    <m/>
    <n v="0.15"/>
    <n v="26252.069999999996"/>
    <s v="Thula Moya Inv04439"/>
    <x v="5"/>
    <x v="33"/>
    <m/>
    <d v="2024-10-10T00:00:00"/>
    <m/>
  </r>
  <r>
    <n v="9"/>
    <x v="9"/>
    <s v="AC Installation Complete"/>
    <m/>
    <n v="0.2"/>
    <n v="35002.76"/>
    <s v="Thula Moya IN04473"/>
    <x v="2"/>
    <x v="34"/>
    <m/>
    <d v="2024-10-31T00:00:00"/>
    <m/>
  </r>
  <r>
    <n v="9"/>
    <x v="9"/>
    <s v="DC Installation Complete"/>
    <m/>
    <n v="0.25"/>
    <n v="43753.45"/>
    <s v="Thula Moya IN04474"/>
    <x v="2"/>
    <x v="35"/>
    <m/>
    <d v="2024-10-31T00:00:00"/>
    <m/>
  </r>
  <r>
    <n v="9"/>
    <x v="9"/>
    <s v="Commissioning Complete"/>
    <m/>
    <n v="0.1"/>
    <n v="17501.38"/>
    <s v="Thula Moya IN04475"/>
    <x v="2"/>
    <x v="32"/>
    <m/>
    <d v="2024-11-14T00:00:00"/>
    <m/>
  </r>
  <r>
    <n v="9"/>
    <x v="9"/>
    <s v="Site De-establisment"/>
    <m/>
    <n v="0.1"/>
    <n v="17501.38"/>
    <s v="Thula Moya IN04476"/>
    <x v="2"/>
    <x v="32"/>
    <m/>
    <d v="2024-12-05T00:00:00"/>
    <m/>
  </r>
  <r>
    <n v="9"/>
    <x v="9"/>
    <s v="Handover Document Complete"/>
    <m/>
    <n v="0.05"/>
    <n v="8750.69"/>
    <s v="Thula Moya IN04598"/>
    <x v="7"/>
    <x v="36"/>
    <m/>
    <d v="2025-02-13T00:00:00"/>
    <m/>
  </r>
  <r>
    <n v="9"/>
    <x v="9"/>
    <s v="End of Defects Period"/>
    <m/>
    <n v="0.05"/>
    <n v="8750.69"/>
    <s v="Thula Moya IN04599"/>
    <x v="7"/>
    <x v="36"/>
    <m/>
    <d v="2025-03-06T00:00:00"/>
    <m/>
  </r>
  <r>
    <m/>
    <x v="0"/>
    <m/>
    <m/>
    <m/>
    <m/>
    <m/>
    <x v="4"/>
    <x v="0"/>
    <m/>
    <m/>
    <m/>
  </r>
  <r>
    <n v="10"/>
    <x v="10"/>
    <s v="Security"/>
    <m/>
    <m/>
    <m/>
    <m/>
    <x v="0"/>
    <x v="7"/>
    <n v="-4.9433886888436973E-3"/>
    <m/>
    <n v="107767"/>
  </r>
  <r>
    <n v="10"/>
    <x v="10"/>
    <m/>
    <m/>
    <m/>
    <m/>
    <m/>
    <x v="4"/>
    <x v="7"/>
    <m/>
    <m/>
    <m/>
  </r>
  <r>
    <n v="10"/>
    <x v="10"/>
    <s v="Project Kick Off"/>
    <n v="107767"/>
    <n v="0.1"/>
    <n v="10776.7"/>
    <s v="Thula Moya Inv04436"/>
    <x v="5"/>
    <x v="37"/>
    <m/>
    <d v="2024-09-25T00:00:00"/>
    <m/>
  </r>
  <r>
    <n v="10"/>
    <x v="10"/>
    <s v="Site Establishment"/>
    <m/>
    <n v="0.15"/>
    <n v="16165.05"/>
    <s v="Thula Moya Inv04439"/>
    <x v="5"/>
    <x v="38"/>
    <m/>
    <d v="2024-10-10T00:00:00"/>
    <m/>
  </r>
  <r>
    <n v="10"/>
    <x v="10"/>
    <s v="AC Installation Complete"/>
    <m/>
    <n v="0.2"/>
    <n v="21553.4"/>
    <s v="Thula Moya IN04473"/>
    <x v="2"/>
    <x v="39"/>
    <m/>
    <d v="2024-10-31T00:00:00"/>
    <m/>
  </r>
  <r>
    <n v="10"/>
    <x v="10"/>
    <s v="DC Installation Complete"/>
    <m/>
    <n v="0.25"/>
    <n v="26941.75"/>
    <s v="Thula Moya IN04474"/>
    <x v="2"/>
    <x v="40"/>
    <m/>
    <d v="2024-10-31T00:00:00"/>
    <m/>
  </r>
  <r>
    <n v="10"/>
    <x v="10"/>
    <s v="Commissioning Complete"/>
    <m/>
    <n v="0.1"/>
    <n v="10776.7"/>
    <s v="Thula Moya IN04475"/>
    <x v="2"/>
    <x v="41"/>
    <m/>
    <d v="2024-11-14T00:00:00"/>
    <m/>
  </r>
  <r>
    <n v="10"/>
    <x v="10"/>
    <s v="Site De-establisment"/>
    <m/>
    <n v="0.1"/>
    <n v="10776.7"/>
    <s v="Thula Moya IN04476"/>
    <x v="2"/>
    <x v="41"/>
    <m/>
    <d v="2024-12-05T00:00:00"/>
    <m/>
  </r>
  <r>
    <n v="10"/>
    <x v="10"/>
    <s v="Handover Document Complete"/>
    <m/>
    <n v="0.05"/>
    <n v="5388.35"/>
    <s v="Thula Moya IN04598"/>
    <x v="7"/>
    <x v="42"/>
    <m/>
    <d v="2025-02-13T00:00:00"/>
    <m/>
  </r>
  <r>
    <n v="10"/>
    <x v="10"/>
    <s v="End of Defects Period"/>
    <m/>
    <n v="0.05"/>
    <n v="5388.35"/>
    <s v="Thula Moya IN04599"/>
    <x v="7"/>
    <x v="42"/>
    <m/>
    <d v="2025-03-06T00:00:00"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m/>
    <x v="0"/>
    <m/>
    <m/>
    <m/>
    <m/>
    <m/>
    <x v="4"/>
    <x v="0"/>
    <m/>
    <m/>
    <m/>
  </r>
  <r>
    <n v="11"/>
    <x v="11"/>
    <s v="Electrical PrEng sign off"/>
    <m/>
    <m/>
    <n v="5654.76"/>
    <s v="Sun Spot Inv E005"/>
    <x v="3"/>
    <x v="43"/>
    <n v="-1.4126526803011075E-3"/>
    <d v="2025-01-16T00:00:00"/>
    <n v="14174.76"/>
  </r>
  <r>
    <n v="11"/>
    <x v="11"/>
    <s v="Structural sign off"/>
    <m/>
    <m/>
    <n v="2520"/>
    <s v="L&amp;B Consulting Inv1742"/>
    <x v="8"/>
    <x v="44"/>
    <m/>
    <d v="2024-09-02T00:00:00"/>
    <m/>
  </r>
  <r>
    <n v="11"/>
    <x v="11"/>
    <m/>
    <m/>
    <m/>
    <m/>
    <m/>
    <x v="4"/>
    <x v="7"/>
    <m/>
    <m/>
    <m/>
  </r>
  <r>
    <n v="11"/>
    <x v="11"/>
    <m/>
    <m/>
    <m/>
    <m/>
    <m/>
    <x v="4"/>
    <x v="7"/>
    <m/>
    <m/>
    <m/>
  </r>
  <r>
    <n v="11"/>
    <x v="11"/>
    <s v="Red Team Inspection"/>
    <m/>
    <m/>
    <n v="6000"/>
    <s v="MATRIARCH - INV-3413"/>
    <x v="3"/>
    <x v="45"/>
    <m/>
    <d v="2024-11-30T00:00:00"/>
    <m/>
  </r>
  <r>
    <m/>
    <x v="0"/>
    <m/>
    <m/>
    <m/>
    <m/>
    <m/>
    <x v="4"/>
    <x v="0"/>
    <m/>
    <m/>
    <m/>
  </r>
  <r>
    <n v="12"/>
    <x v="12"/>
    <s v="Referral Fee"/>
    <m/>
    <m/>
    <n v="31521.67"/>
    <s v="Green Co Inv: 0000518"/>
    <x v="8"/>
    <x v="0"/>
    <m/>
    <d v="2024-09-02T00:00:00"/>
    <n v="63043.34"/>
  </r>
  <r>
    <n v="12"/>
    <x v="12"/>
    <s v="Referral Fee"/>
    <m/>
    <m/>
    <n v="31521.67"/>
    <s v="Green Co Inv: INV0000527"/>
    <x v="3"/>
    <x v="0"/>
    <m/>
    <d v="2024-12-12T00:00:00"/>
    <m/>
  </r>
  <r>
    <n v="12"/>
    <x v="12"/>
    <m/>
    <m/>
    <m/>
    <m/>
    <m/>
    <x v="4"/>
    <x v="0"/>
    <m/>
    <m/>
    <m/>
  </r>
  <r>
    <m/>
    <x v="0"/>
    <m/>
    <m/>
    <m/>
    <m/>
    <m/>
    <x v="4"/>
    <x v="0"/>
    <m/>
    <m/>
    <m/>
  </r>
  <r>
    <n v="13"/>
    <x v="13"/>
    <s v="Matriarch Defects Period"/>
    <m/>
    <m/>
    <n v="30778.237542348252"/>
    <s v="MATRIARCH - INV-3414"/>
    <x v="3"/>
    <x v="46"/>
    <n v="0"/>
    <d v="2024-11-30T00:00:00"/>
    <n v="62399.999999999993"/>
  </r>
  <r>
    <n v="13"/>
    <x v="13"/>
    <s v="Performance Guarantee"/>
    <m/>
    <m/>
    <n v="62400"/>
    <s v="Matriarch - INV-5021"/>
    <x v="10"/>
    <x v="0"/>
    <m/>
    <d v="2025-08-31T00:00:00"/>
    <m/>
  </r>
  <r>
    <n v="13"/>
    <x v="13"/>
    <s v="Matriarch Defects Period"/>
    <m/>
    <m/>
    <n v="-30778.237542348252"/>
    <s v="Matriarch - CN-5022"/>
    <x v="10"/>
    <x v="0"/>
    <m/>
    <d v="2025-08-31T00:00:00"/>
    <m/>
  </r>
  <r>
    <n v="13"/>
    <x v="13"/>
    <m/>
    <m/>
    <m/>
    <m/>
    <m/>
    <x v="0"/>
    <x v="0"/>
    <m/>
    <m/>
    <m/>
  </r>
  <r>
    <n v="13"/>
    <x v="13"/>
    <m/>
    <m/>
    <m/>
    <m/>
    <m/>
    <x v="0"/>
    <x v="0"/>
    <m/>
    <m/>
    <m/>
  </r>
  <r>
    <n v="13"/>
    <x v="13"/>
    <m/>
    <m/>
    <m/>
    <m/>
    <m/>
    <x v="4"/>
    <x v="0"/>
    <m/>
    <m/>
    <m/>
  </r>
  <r>
    <n v="13"/>
    <x v="13"/>
    <m/>
    <m/>
    <m/>
    <m/>
    <m/>
    <x v="4"/>
    <x v="0"/>
    <m/>
    <m/>
    <m/>
  </r>
  <r>
    <m/>
    <x v="0"/>
    <m/>
    <m/>
    <m/>
    <m/>
    <m/>
    <x v="4"/>
    <x v="0"/>
    <m/>
    <m/>
    <m/>
  </r>
  <r>
    <n v="14"/>
    <x v="14"/>
    <s v="Car travel to site"/>
    <m/>
    <m/>
    <n v="1522.75"/>
    <s v="Expense Claim"/>
    <x v="8"/>
    <x v="47"/>
    <n v="-4.7920607236306978E-3"/>
    <d v="2024-09-05T00:00:00"/>
    <n v="7385.6400000000012"/>
  </r>
  <r>
    <n v="14"/>
    <x v="14"/>
    <m/>
    <m/>
    <m/>
    <n v="1570.97"/>
    <s v="Expense Claim"/>
    <x v="5"/>
    <x v="48"/>
    <m/>
    <d v="2024-10-04T00:00:00"/>
    <m/>
  </r>
  <r>
    <n v="14"/>
    <x v="14"/>
    <m/>
    <m/>
    <m/>
    <n v="1671"/>
    <s v="Expense Claim"/>
    <x v="2"/>
    <x v="49"/>
    <m/>
    <d v="2024-11-07T00:00:00"/>
    <m/>
  </r>
  <r>
    <n v="14"/>
    <x v="14"/>
    <m/>
    <m/>
    <m/>
    <n v="0"/>
    <s v="Expense Claim"/>
    <x v="3"/>
    <x v="7"/>
    <m/>
    <d v="2024-12-07T00:00:00"/>
    <m/>
  </r>
  <r>
    <n v="14"/>
    <x v="14"/>
    <m/>
    <m/>
    <m/>
    <n v="1109.72"/>
    <s v="Expense Claim"/>
    <x v="7"/>
    <x v="50"/>
    <m/>
    <d v="2025-02-07T00:00:00"/>
    <m/>
  </r>
  <r>
    <n v="14"/>
    <x v="14"/>
    <m/>
    <m/>
    <m/>
    <n v="423.22"/>
    <s v="Expense Claim"/>
    <x v="11"/>
    <x v="51"/>
    <m/>
    <d v="2025-03-06T00:00:00"/>
    <m/>
  </r>
  <r>
    <n v="14"/>
    <x v="14"/>
    <m/>
    <m/>
    <m/>
    <n v="1087.98"/>
    <s v="Expense Claim"/>
    <x v="12"/>
    <x v="0"/>
    <m/>
    <d v="2025-05-08T00:00:00"/>
    <m/>
  </r>
  <r>
    <n v="14"/>
    <x v="14"/>
    <m/>
    <m/>
    <m/>
    <m/>
    <m/>
    <x v="4"/>
    <x v="0"/>
    <m/>
    <m/>
    <m/>
  </r>
  <r>
    <m/>
    <x v="0"/>
    <m/>
    <m/>
    <m/>
    <m/>
    <m/>
    <x v="4"/>
    <x v="0"/>
    <m/>
    <m/>
    <m/>
  </r>
  <r>
    <n v="15"/>
    <x v="15"/>
    <m/>
    <m/>
    <m/>
    <m/>
    <m/>
    <x v="4"/>
    <x v="0"/>
    <n v="0"/>
    <m/>
    <n v="41979.199999999997"/>
  </r>
  <r>
    <n v="15"/>
    <x v="15"/>
    <s v="Defect Correction"/>
    <m/>
    <m/>
    <n v="32247.49"/>
    <s v="Cosmic Sun Inv: CS_SAM22_001"/>
    <x v="9"/>
    <x v="0"/>
    <m/>
    <d v="2025-05-15T00:00:00"/>
    <m/>
  </r>
  <r>
    <n v="15"/>
    <x v="15"/>
    <s v="Roof remedial work "/>
    <m/>
    <m/>
    <n v="9731.7099999999991"/>
    <s v="Thula Moya - IN04750"/>
    <x v="13"/>
    <x v="0"/>
    <m/>
    <d v="2025-12-30T00:00:00"/>
    <m/>
  </r>
  <r>
    <n v="15"/>
    <x v="15"/>
    <m/>
    <m/>
    <m/>
    <m/>
    <m/>
    <x v="0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m/>
    <m/>
    <m/>
    <m/>
    <m/>
    <x v="0"/>
  </r>
  <r>
    <x v="1"/>
    <s v="Canadian Solar 555W - Deposit - Herholdts"/>
    <n v="450"/>
    <n v="1415.25"/>
    <n v="318431.25"/>
    <s v="Herholdts Inv: INV875402"/>
    <x v="1"/>
  </r>
  <r>
    <x v="1"/>
    <m/>
    <m/>
    <m/>
    <n v="318431.25"/>
    <s v="Herholdts Inv: INV875402"/>
    <x v="1"/>
  </r>
  <r>
    <x v="1"/>
    <s v="Storage handling Fee"/>
    <m/>
    <m/>
    <n v="1300"/>
    <s v="Supply Chain: Inv SCO04502"/>
    <x v="2"/>
  </r>
  <r>
    <x v="1"/>
    <s v="Delivery"/>
    <m/>
    <m/>
    <n v="8550"/>
    <s v="Supply Chain: Inv SCO04533"/>
    <x v="2"/>
  </r>
  <r>
    <x v="1"/>
    <s v="Storage"/>
    <m/>
    <m/>
    <n v="1053"/>
    <s v="Supply Chain: Inv SCO04502"/>
    <x v="2"/>
  </r>
  <r>
    <x v="1"/>
    <s v="Delivery and storage budget"/>
    <m/>
    <m/>
    <m/>
    <m/>
    <x v="3"/>
  </r>
  <r>
    <x v="0"/>
    <m/>
    <m/>
    <m/>
    <m/>
    <m/>
    <x v="4"/>
  </r>
  <r>
    <x v="2"/>
    <s v="Huawei 100KTL"/>
    <n v="2"/>
    <n v="68870"/>
    <n v="137740"/>
    <s v="Kathea Inv518635"/>
    <x v="5"/>
  </r>
  <r>
    <x v="2"/>
    <m/>
    <m/>
    <m/>
    <m/>
    <m/>
    <x v="4"/>
  </r>
  <r>
    <x v="2"/>
    <s v="Delivery"/>
    <m/>
    <m/>
    <n v="1105.23"/>
    <s v="Kathea Inv518635"/>
    <x v="5"/>
  </r>
  <r>
    <x v="2"/>
    <m/>
    <m/>
    <m/>
    <m/>
    <m/>
    <x v="4"/>
  </r>
  <r>
    <x v="0"/>
    <m/>
    <m/>
    <m/>
    <m/>
    <m/>
    <x v="4"/>
  </r>
  <r>
    <x v="3"/>
    <s v="MS"/>
    <n v="1"/>
    <n v="56499.4"/>
    <n v="56499.4"/>
    <s v="Schletter Inv0891"/>
    <x v="5"/>
  </r>
  <r>
    <x v="3"/>
    <m/>
    <m/>
    <m/>
    <n v="-56499.4"/>
    <s v="Schletter Inv0891"/>
    <x v="6"/>
  </r>
  <r>
    <x v="3"/>
    <m/>
    <m/>
    <m/>
    <n v="44229.04"/>
    <s v="Schletter Inv0891"/>
    <x v="6"/>
  </r>
  <r>
    <x v="3"/>
    <s v="Delivery"/>
    <m/>
    <m/>
    <n v="1850"/>
    <s v="Schletter Inv0893"/>
    <x v="5"/>
  </r>
  <r>
    <x v="3"/>
    <s v="Seam Clamps"/>
    <m/>
    <m/>
    <n v="155413"/>
    <s v="Schletter Inv: INV1051"/>
    <x v="3"/>
  </r>
  <r>
    <x v="3"/>
    <s v="Seam Clamp Returned"/>
    <m/>
    <m/>
    <n v="-31995.68"/>
    <s v="Schletter Credit: CRN0160"/>
    <x v="3"/>
  </r>
  <r>
    <x v="3"/>
    <m/>
    <m/>
    <m/>
    <n v="427.86"/>
    <s v="DSV Inv: 180099596"/>
    <x v="2"/>
  </r>
  <r>
    <x v="0"/>
    <m/>
    <m/>
    <m/>
    <m/>
    <m/>
    <x v="4"/>
  </r>
  <r>
    <x v="4"/>
    <s v="DC Cable "/>
    <n v="8000"/>
    <n v="13.5"/>
    <n v="108000"/>
    <s v="Herholdts Inv: INV922149"/>
    <x v="2"/>
  </r>
  <r>
    <x v="4"/>
    <s v="Delivery"/>
    <m/>
    <m/>
    <n v="0"/>
    <m/>
    <x v="0"/>
  </r>
  <r>
    <x v="4"/>
    <s v="Project Kick Off"/>
    <n v="134250"/>
    <n v="0.1"/>
    <n v="13425"/>
    <s v="Thula Moya Inv04436"/>
    <x v="5"/>
  </r>
  <r>
    <x v="4"/>
    <s v="Site Establishment"/>
    <m/>
    <n v="0.15"/>
    <n v="20137.5"/>
    <s v="Thula Moya Inv04439"/>
    <x v="5"/>
  </r>
  <r>
    <x v="4"/>
    <s v="AC Installation Complete"/>
    <m/>
    <n v="0.2"/>
    <n v="26850"/>
    <s v="Thula Moya IN04473"/>
    <x v="2"/>
  </r>
  <r>
    <x v="4"/>
    <s v="DC Installation Complete"/>
    <m/>
    <n v="0.25"/>
    <n v="33562.5"/>
    <s v="Thula Moya IN04474"/>
    <x v="2"/>
  </r>
  <r>
    <x v="4"/>
    <s v="Commissioning Complete"/>
    <m/>
    <n v="0.1"/>
    <n v="13425"/>
    <s v="Thula Moya IN04475"/>
    <x v="2"/>
  </r>
  <r>
    <x v="4"/>
    <s v="Site De-establisment"/>
    <m/>
    <n v="0.1"/>
    <n v="13425"/>
    <s v="Thula Moya IN04476"/>
    <x v="2"/>
  </r>
  <r>
    <x v="4"/>
    <s v="Handover Document Complete"/>
    <m/>
    <n v="0.05"/>
    <n v="6712.5"/>
    <s v="Thula Moya IN04598"/>
    <x v="7"/>
  </r>
  <r>
    <x v="4"/>
    <s v="End of Defects Period"/>
    <m/>
    <n v="0.05"/>
    <n v="6712.5"/>
    <s v="Thula Moya IN04599"/>
    <x v="7"/>
  </r>
  <r>
    <x v="0"/>
    <m/>
    <m/>
    <m/>
    <m/>
    <m/>
    <x v="4"/>
  </r>
  <r>
    <x v="5"/>
    <s v="Smartlogger 3000"/>
    <n v="1"/>
    <n v="8000"/>
    <n v="8000"/>
    <s v="Solarworld SASIV-24-00517"/>
    <x v="8"/>
  </r>
  <r>
    <x v="5"/>
    <s v="CTs"/>
    <m/>
    <m/>
    <n v="13970.5"/>
    <s v="AccuEnergy ASAI-003743"/>
    <x v="8"/>
  </r>
  <r>
    <x v="5"/>
    <s v="Revenue Grade Meter"/>
    <n v="1"/>
    <n v="11169"/>
    <n v="11169"/>
    <s v="MATRIARCH - INV-3278"/>
    <x v="3"/>
  </r>
  <r>
    <x v="5"/>
    <s v="SCADA"/>
    <m/>
    <m/>
    <n v="35750"/>
    <s v="Rubicon INVWCRE-0060133"/>
    <x v="8"/>
  </r>
  <r>
    <x v="5"/>
    <s v="Frontline Comms Equipment"/>
    <m/>
    <m/>
    <n v="2562.5099999999998"/>
    <s v="Frontline Electrical: INV697940"/>
    <x v="2"/>
  </r>
  <r>
    <x v="5"/>
    <m/>
    <m/>
    <m/>
    <m/>
    <m/>
    <x v="4"/>
  </r>
  <r>
    <x v="0"/>
    <m/>
    <m/>
    <m/>
    <m/>
    <m/>
    <x v="4"/>
  </r>
  <r>
    <x v="6"/>
    <m/>
    <m/>
    <m/>
    <m/>
    <m/>
    <x v="4"/>
  </r>
  <r>
    <x v="6"/>
    <s v="AC &amp; Comms Board - Deposit"/>
    <n v="0.4"/>
    <n v="65700"/>
    <n v="26280"/>
    <s v="Cosmic Sun CS_SAMPVDB_001"/>
    <x v="5"/>
  </r>
  <r>
    <x v="6"/>
    <s v="AC &amp; Comms Board - Balance"/>
    <n v="0.6"/>
    <m/>
    <n v="39420"/>
    <s v="Cosmic Sun CS_SAMPVDB_002"/>
    <x v="2"/>
  </r>
  <r>
    <x v="6"/>
    <s v="Copper Stub Fabrication"/>
    <m/>
    <m/>
    <n v="0"/>
    <m/>
    <x v="0"/>
  </r>
  <r>
    <x v="6"/>
    <s v="AC Cable"/>
    <m/>
    <m/>
    <n v="432.1"/>
    <s v="Gerhard Exp Claim"/>
    <x v="9"/>
  </r>
  <r>
    <x v="6"/>
    <m/>
    <m/>
    <m/>
    <m/>
    <m/>
    <x v="4"/>
  </r>
  <r>
    <x v="6"/>
    <s v="Project Kick Off"/>
    <n v="146732"/>
    <n v="0.1"/>
    <n v="14673.2"/>
    <s v="Thula Moya Inv04436"/>
    <x v="5"/>
  </r>
  <r>
    <x v="6"/>
    <s v="Site Establishment"/>
    <m/>
    <n v="0.15"/>
    <n v="22009.3"/>
    <s v="Thula Moya Inv04439"/>
    <x v="5"/>
  </r>
  <r>
    <x v="6"/>
    <s v="AC Installation Complete"/>
    <m/>
    <n v="0.2"/>
    <n v="29346.400000000001"/>
    <s v="Thula Moya IN04473"/>
    <x v="2"/>
  </r>
  <r>
    <x v="6"/>
    <s v="DC Installation Complete"/>
    <m/>
    <n v="0.25"/>
    <n v="36683"/>
    <s v="Thula Moya IN04474"/>
    <x v="2"/>
  </r>
  <r>
    <x v="6"/>
    <s v="Commissioning Complete"/>
    <m/>
    <n v="0.1"/>
    <n v="14673.2"/>
    <s v="Thula Moya IN04475"/>
    <x v="2"/>
  </r>
  <r>
    <x v="6"/>
    <s v="Site De-establisment"/>
    <m/>
    <n v="0.1"/>
    <n v="14673.2"/>
    <s v="Thula Moya IN04476"/>
    <x v="2"/>
  </r>
  <r>
    <x v="6"/>
    <s v="Handover Document Complete"/>
    <m/>
    <n v="0.05"/>
    <n v="7336.6"/>
    <s v="Thula Moya IN04598"/>
    <x v="7"/>
  </r>
  <r>
    <x v="6"/>
    <s v="End of Defects Period"/>
    <m/>
    <n v="0.05"/>
    <n v="7336.6"/>
    <s v="Thula Moya IN04599"/>
    <x v="7"/>
  </r>
  <r>
    <x v="0"/>
    <m/>
    <m/>
    <m/>
    <m/>
    <m/>
    <x v="4"/>
  </r>
  <r>
    <x v="7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8"/>
    <s v="Walkways transport"/>
    <m/>
    <m/>
    <n v="4025"/>
    <s v="Onvlee Engineering:Inv 01048652"/>
    <x v="2"/>
  </r>
  <r>
    <x v="8"/>
    <s v="Mounting Structure for Walkways"/>
    <m/>
    <m/>
    <n v="4244.32"/>
    <s v="Schletter INV0951"/>
    <x v="2"/>
  </r>
  <r>
    <x v="8"/>
    <s v="Walkways"/>
    <m/>
    <m/>
    <n v="35695.800000000003"/>
    <s v="Onvlee Engineering:Inv 01048652"/>
    <x v="2"/>
  </r>
  <r>
    <x v="8"/>
    <m/>
    <m/>
    <m/>
    <m/>
    <m/>
    <x v="3"/>
  </r>
  <r>
    <x v="8"/>
    <s v="Installation of walkways"/>
    <m/>
    <m/>
    <n v="8316"/>
    <s v="Thula Moya IN04600"/>
    <x v="7"/>
  </r>
  <r>
    <x v="8"/>
    <s v="Manufacture Cages Housing Inverters &amp; DB"/>
    <m/>
    <m/>
    <n v="72608.7"/>
    <s v="Thula Moya Inv IN04471"/>
    <x v="2"/>
  </r>
  <r>
    <x v="8"/>
    <s v="Additional walkways"/>
    <m/>
    <m/>
    <n v="9538.74"/>
    <s v="Onvlee Engineering ONV1485"/>
    <x v="10"/>
  </r>
  <r>
    <x v="8"/>
    <s v="Supply and install Tie in Breaker - Thula Moya"/>
    <m/>
    <m/>
    <n v="24300.959999999999"/>
    <s v="Thula Moya IN04486"/>
    <x v="2"/>
  </r>
  <r>
    <x v="0"/>
    <m/>
    <m/>
    <m/>
    <m/>
    <m/>
    <x v="4"/>
  </r>
  <r>
    <x v="9"/>
    <s v="Project Kick Off"/>
    <n v="175013.8"/>
    <n v="0.1"/>
    <n v="17501.38"/>
    <s v="Thula Moya Inv04436"/>
    <x v="5"/>
  </r>
  <r>
    <x v="9"/>
    <s v="Site Establishment"/>
    <m/>
    <n v="0.15"/>
    <n v="26252.069999999996"/>
    <s v="Thula Moya Inv04439"/>
    <x v="5"/>
  </r>
  <r>
    <x v="9"/>
    <s v="AC Installation Complete"/>
    <m/>
    <n v="0.2"/>
    <n v="35002.76"/>
    <s v="Thula Moya IN04473"/>
    <x v="2"/>
  </r>
  <r>
    <x v="9"/>
    <s v="DC Installation Complete"/>
    <m/>
    <n v="0.25"/>
    <n v="43753.45"/>
    <s v="Thula Moya IN04474"/>
    <x v="2"/>
  </r>
  <r>
    <x v="9"/>
    <s v="Commissioning Complete"/>
    <m/>
    <n v="0.1"/>
    <n v="17501.38"/>
    <s v="Thula Moya IN04475"/>
    <x v="2"/>
  </r>
  <r>
    <x v="9"/>
    <s v="Site De-establisment"/>
    <m/>
    <n v="0.1"/>
    <n v="17501.38"/>
    <s v="Thula Moya IN04476"/>
    <x v="2"/>
  </r>
  <r>
    <x v="9"/>
    <s v="Handover Document Complete"/>
    <m/>
    <n v="0.05"/>
    <n v="8750.69"/>
    <s v="Thula Moya IN04598"/>
    <x v="7"/>
  </r>
  <r>
    <x v="9"/>
    <s v="End of Defects Period"/>
    <m/>
    <n v="0.05"/>
    <n v="8750.69"/>
    <s v="Thula Moya IN04599"/>
    <x v="7"/>
  </r>
  <r>
    <x v="0"/>
    <m/>
    <m/>
    <m/>
    <m/>
    <m/>
    <x v="4"/>
  </r>
  <r>
    <x v="10"/>
    <s v="Security"/>
    <m/>
    <m/>
    <m/>
    <m/>
    <x v="0"/>
  </r>
  <r>
    <x v="10"/>
    <m/>
    <m/>
    <m/>
    <m/>
    <m/>
    <x v="4"/>
  </r>
  <r>
    <x v="10"/>
    <s v="Project Kick Off"/>
    <n v="107767"/>
    <n v="0.1"/>
    <n v="10776.7"/>
    <s v="Thula Moya Inv04436"/>
    <x v="5"/>
  </r>
  <r>
    <x v="10"/>
    <s v="Site Establishment"/>
    <m/>
    <n v="0.15"/>
    <n v="16165.05"/>
    <s v="Thula Moya Inv04439"/>
    <x v="5"/>
  </r>
  <r>
    <x v="10"/>
    <s v="AC Installation Complete"/>
    <m/>
    <n v="0.2"/>
    <n v="21553.4"/>
    <s v="Thula Moya IN04473"/>
    <x v="2"/>
  </r>
  <r>
    <x v="10"/>
    <s v="DC Installation Complete"/>
    <m/>
    <n v="0.25"/>
    <n v="26941.75"/>
    <s v="Thula Moya IN04474"/>
    <x v="2"/>
  </r>
  <r>
    <x v="10"/>
    <s v="Commissioning Complete"/>
    <m/>
    <n v="0.1"/>
    <n v="10776.7"/>
    <s v="Thula Moya IN04475"/>
    <x v="2"/>
  </r>
  <r>
    <x v="10"/>
    <s v="Site De-establisment"/>
    <m/>
    <n v="0.1"/>
    <n v="10776.7"/>
    <s v="Thula Moya IN04476"/>
    <x v="2"/>
  </r>
  <r>
    <x v="10"/>
    <s v="Handover Document Complete"/>
    <m/>
    <n v="0.05"/>
    <n v="5388.35"/>
    <s v="Thula Moya IN04598"/>
    <x v="7"/>
  </r>
  <r>
    <x v="10"/>
    <s v="End of Defects Period"/>
    <m/>
    <n v="0.05"/>
    <n v="5388.35"/>
    <s v="Thula Moya IN04599"/>
    <x v="7"/>
  </r>
  <r>
    <x v="10"/>
    <m/>
    <m/>
    <m/>
    <m/>
    <m/>
    <x v="4"/>
  </r>
  <r>
    <x v="10"/>
    <m/>
    <m/>
    <m/>
    <m/>
    <m/>
    <x v="4"/>
  </r>
  <r>
    <x v="10"/>
    <m/>
    <m/>
    <m/>
    <m/>
    <m/>
    <x v="4"/>
  </r>
  <r>
    <x v="10"/>
    <m/>
    <m/>
    <m/>
    <m/>
    <m/>
    <x v="4"/>
  </r>
  <r>
    <x v="0"/>
    <m/>
    <m/>
    <m/>
    <m/>
    <m/>
    <x v="4"/>
  </r>
  <r>
    <x v="11"/>
    <s v="Electrical PrEng sign off"/>
    <m/>
    <m/>
    <n v="5654.76"/>
    <s v="Sun Spot Inv E005"/>
    <x v="3"/>
  </r>
  <r>
    <x v="11"/>
    <s v="Structural sign off"/>
    <m/>
    <m/>
    <n v="2520"/>
    <s v="L&amp;B Consulting Inv1742"/>
    <x v="8"/>
  </r>
  <r>
    <x v="11"/>
    <m/>
    <m/>
    <m/>
    <m/>
    <m/>
    <x v="4"/>
  </r>
  <r>
    <x v="11"/>
    <m/>
    <m/>
    <m/>
    <m/>
    <m/>
    <x v="4"/>
  </r>
  <r>
    <x v="11"/>
    <s v="Red Team Inspection"/>
    <m/>
    <m/>
    <n v="6000"/>
    <s v="MATRIARCH - INV-3413"/>
    <x v="3"/>
  </r>
  <r>
    <x v="0"/>
    <m/>
    <m/>
    <m/>
    <m/>
    <m/>
    <x v="4"/>
  </r>
  <r>
    <x v="12"/>
    <s v="Referral Fee"/>
    <m/>
    <m/>
    <n v="31521.67"/>
    <s v="Green Co Inv: 0000518"/>
    <x v="8"/>
  </r>
  <r>
    <x v="12"/>
    <s v="Referral Fee"/>
    <m/>
    <m/>
    <n v="31521.67"/>
    <s v="Green Co Inv: INV0000527"/>
    <x v="3"/>
  </r>
  <r>
    <x v="12"/>
    <m/>
    <m/>
    <m/>
    <m/>
    <m/>
    <x v="4"/>
  </r>
  <r>
    <x v="0"/>
    <m/>
    <m/>
    <m/>
    <m/>
    <m/>
    <x v="4"/>
  </r>
  <r>
    <x v="13"/>
    <s v="Matriarch Defects Period"/>
    <m/>
    <m/>
    <n v="30778.237542348252"/>
    <s v="MATRIARCH - INV-3414"/>
    <x v="3"/>
  </r>
  <r>
    <x v="13"/>
    <s v="Performance Guarantee"/>
    <m/>
    <m/>
    <n v="62400"/>
    <s v="Matriarch - INV-5021"/>
    <x v="10"/>
  </r>
  <r>
    <x v="13"/>
    <s v="Matriarch Defects Period"/>
    <m/>
    <m/>
    <n v="-30778.237542348252"/>
    <s v="Matriarch - CN-5022"/>
    <x v="10"/>
  </r>
  <r>
    <x v="13"/>
    <m/>
    <m/>
    <m/>
    <m/>
    <m/>
    <x v="0"/>
  </r>
  <r>
    <x v="13"/>
    <m/>
    <m/>
    <m/>
    <m/>
    <m/>
    <x v="0"/>
  </r>
  <r>
    <x v="13"/>
    <m/>
    <m/>
    <m/>
    <m/>
    <m/>
    <x v="4"/>
  </r>
  <r>
    <x v="13"/>
    <m/>
    <m/>
    <m/>
    <m/>
    <m/>
    <x v="4"/>
  </r>
  <r>
    <x v="0"/>
    <m/>
    <m/>
    <m/>
    <m/>
    <m/>
    <x v="4"/>
  </r>
  <r>
    <x v="14"/>
    <s v="Car travel to site"/>
    <m/>
    <m/>
    <n v="1522.75"/>
    <s v="Expense Claim"/>
    <x v="8"/>
  </r>
  <r>
    <x v="14"/>
    <m/>
    <m/>
    <m/>
    <n v="1570.97"/>
    <s v="Expense Claim"/>
    <x v="5"/>
  </r>
  <r>
    <x v="14"/>
    <m/>
    <m/>
    <m/>
    <n v="1671"/>
    <s v="Expense Claim"/>
    <x v="2"/>
  </r>
  <r>
    <x v="14"/>
    <m/>
    <m/>
    <m/>
    <n v="0"/>
    <s v="Expense Claim"/>
    <x v="3"/>
  </r>
  <r>
    <x v="14"/>
    <m/>
    <m/>
    <m/>
    <n v="1109.72"/>
    <s v="Expense Claim"/>
    <x v="7"/>
  </r>
  <r>
    <x v="14"/>
    <m/>
    <m/>
    <m/>
    <n v="423.22"/>
    <s v="Expense Claim"/>
    <x v="11"/>
  </r>
  <r>
    <x v="14"/>
    <m/>
    <m/>
    <m/>
    <n v="1087.98"/>
    <s v="Expense Claim"/>
    <x v="12"/>
  </r>
  <r>
    <x v="14"/>
    <m/>
    <m/>
    <m/>
    <m/>
    <m/>
    <x v="4"/>
  </r>
  <r>
    <x v="0"/>
    <m/>
    <m/>
    <m/>
    <m/>
    <m/>
    <x v="4"/>
  </r>
  <r>
    <x v="15"/>
    <m/>
    <m/>
    <m/>
    <m/>
    <m/>
    <x v="4"/>
  </r>
  <r>
    <x v="15"/>
    <s v="Defect Correction"/>
    <m/>
    <m/>
    <n v="32247.49"/>
    <s v="Cosmic Sun Inv: CS_SAM22_001"/>
    <x v="9"/>
  </r>
  <r>
    <x v="15"/>
    <s v="Roof remedial work "/>
    <m/>
    <m/>
    <n v="9731.7099999999991"/>
    <s v="Thula Moya - IN04750"/>
    <x v="13"/>
  </r>
  <r>
    <x v="15"/>
    <m/>
    <m/>
    <m/>
    <n v="-9731.7099999999991"/>
    <s v="Thula Moya - IC20010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0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4">
        <item x="4"/>
        <item m="1" x="32"/>
        <item m="1" x="31"/>
        <item m="1" x="30"/>
        <item m="1" x="29"/>
        <item x="0"/>
        <item x="1"/>
        <item x="8"/>
        <item x="5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x="2"/>
        <item x="3"/>
        <item x="6"/>
        <item x="7"/>
        <item x="11"/>
        <item x="9"/>
        <item x="12"/>
        <item x="13"/>
        <item x="10"/>
        <item t="default"/>
      </items>
    </pivotField>
    <pivotField axis="axisPage" dataField="1" multipleItemSelectionAllowed="1" showAll="0">
      <items count="574">
        <item x="7"/>
        <item m="1" x="547"/>
        <item m="1" x="552"/>
        <item m="1" x="572"/>
        <item m="1" x="557"/>
        <item m="1" x="561"/>
        <item m="1" x="559"/>
        <item m="1" x="554"/>
        <item m="1" x="549"/>
        <item m="1" x="558"/>
        <item m="1" x="567"/>
        <item m="1" x="556"/>
        <item m="1" x="569"/>
        <item m="1" x="566"/>
        <item m="1" x="560"/>
        <item m="1" x="570"/>
        <item m="1" x="545"/>
        <item m="1" x="564"/>
        <item m="1" x="555"/>
        <item m="1" x="571"/>
        <item m="1" x="565"/>
        <item m="1" x="551"/>
        <item m="1" x="550"/>
        <item m="1" x="563"/>
        <item m="1" x="548"/>
        <item m="1" x="568"/>
        <item m="1" x="546"/>
        <item m="1" x="562"/>
        <item m="1" x="553"/>
        <item m="1" x="544"/>
        <item x="0"/>
        <item m="1" x="473"/>
        <item m="1" x="474"/>
        <item m="1" x="507"/>
        <item m="1" x="514"/>
        <item m="1" x="515"/>
        <item m="1" x="516"/>
        <item m="1" x="517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492"/>
        <item m="1" x="493"/>
        <item m="1" x="494"/>
        <item m="1" x="537"/>
        <item m="1" x="538"/>
        <item m="1" x="539"/>
        <item m="1" x="540"/>
        <item m="1" x="498"/>
        <item m="1" x="499"/>
        <item m="1" x="541"/>
        <item m="1" x="542"/>
        <item m="1" x="543"/>
        <item m="1" x="502"/>
        <item m="1" x="523"/>
        <item m="1" x="524"/>
        <item m="1" x="525"/>
        <item m="1" x="518"/>
        <item m="1" x="519"/>
        <item m="1" x="520"/>
        <item m="1" x="521"/>
        <item m="1" x="522"/>
        <item m="1" x="485"/>
        <item m="1" x="486"/>
        <item m="1" x="487"/>
        <item m="1" x="488"/>
        <item m="1" x="510"/>
        <item m="1" x="511"/>
        <item m="1" x="512"/>
        <item m="1" x="495"/>
        <item m="1" x="496"/>
        <item m="1" x="497"/>
        <item m="1" x="508"/>
        <item m="1" x="503"/>
        <item m="1" x="513"/>
        <item m="1" x="477"/>
        <item m="1" x="478"/>
        <item m="1" x="479"/>
        <item m="1" x="480"/>
        <item m="1" x="481"/>
        <item m="1" x="482"/>
        <item m="1" x="483"/>
        <item m="1" x="484"/>
        <item m="1" x="504"/>
        <item m="1" x="509"/>
        <item m="1" x="489"/>
        <item m="1" x="490"/>
        <item m="1" x="491"/>
        <item m="1" x="475"/>
        <item m="1" x="476"/>
        <item m="1" x="500"/>
        <item m="1" x="501"/>
        <item m="1" x="505"/>
        <item m="1" x="506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33"/>
        <item m="1" x="461"/>
        <item m="1" x="462"/>
        <item m="1" x="463"/>
        <item m="1" x="436"/>
        <item m="1" x="437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49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4"/>
        <item m="1" x="435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13"/>
        <item m="1" x="314"/>
        <item m="1" x="315"/>
        <item m="1" x="340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29"/>
        <item m="1" x="330"/>
        <item m="1" x="353"/>
        <item m="1" x="354"/>
        <item m="1" x="355"/>
        <item m="1" x="356"/>
        <item m="1" x="357"/>
        <item m="1" x="358"/>
        <item m="1" x="359"/>
        <item m="1" x="338"/>
        <item m="1" x="341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31"/>
        <item m="1" x="332"/>
        <item m="1" x="333"/>
        <item m="1" x="334"/>
        <item m="1" x="335"/>
        <item m="1" x="336"/>
        <item m="1" x="337"/>
        <item m="1" x="339"/>
        <item m="1" x="316"/>
        <item m="1" x="317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258"/>
        <item m="1" x="259"/>
        <item m="1" x="289"/>
        <item m="1" x="290"/>
        <item m="1" x="291"/>
        <item m="1" x="292"/>
        <item m="1" x="293"/>
        <item m="1" x="277"/>
        <item m="1" x="278"/>
        <item m="1" x="279"/>
        <item m="1" x="280"/>
        <item m="1" x="281"/>
        <item m="1" x="294"/>
        <item m="1" x="295"/>
        <item m="1" x="296"/>
        <item m="1" x="288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82"/>
        <item m="1" x="283"/>
        <item m="1" x="284"/>
        <item m="1" x="285"/>
        <item m="1" x="286"/>
        <item m="1" x="287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02"/>
        <item m="1" x="103"/>
        <item m="1" x="104"/>
        <item m="1" x="105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112"/>
        <item m="1" x="113"/>
        <item m="1" x="114"/>
        <item m="1" x="214"/>
        <item m="1" x="215"/>
        <item m="1" x="216"/>
        <item m="1" x="217"/>
        <item m="1" x="218"/>
        <item m="1" x="219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16"/>
        <item m="1" x="117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6"/>
        <item m="1" x="107"/>
        <item m="1" x="108"/>
        <item m="1" x="109"/>
        <item m="1" x="110"/>
        <item x="32"/>
        <item x="33"/>
        <item x="34"/>
        <item x="35"/>
        <item x="36"/>
        <item m="1" x="111"/>
        <item m="1" x="69"/>
        <item m="1" x="70"/>
        <item m="1" x="71"/>
        <item m="1" x="72"/>
        <item m="1" x="73"/>
        <item m="1" x="115"/>
        <item x="1"/>
        <item m="1" x="90"/>
        <item m="1" x="83"/>
        <item m="1" x="84"/>
        <item m="1" x="89"/>
        <item x="6"/>
        <item x="8"/>
        <item m="1" x="86"/>
        <item m="1" x="87"/>
        <item x="12"/>
        <item x="13"/>
        <item x="14"/>
        <item x="15"/>
        <item x="16"/>
        <item x="17"/>
        <item x="18"/>
        <item x="19"/>
        <item m="1" x="88"/>
        <item x="21"/>
        <item m="1" x="75"/>
        <item m="1" x="76"/>
        <item m="1" x="77"/>
        <item m="1" x="78"/>
        <item m="1" x="79"/>
        <item m="1" x="80"/>
        <item m="1" x="81"/>
        <item m="1" x="63"/>
        <item x="37"/>
        <item x="38"/>
        <item m="1" x="64"/>
        <item m="1" x="65"/>
        <item m="1" x="66"/>
        <item m="1" x="67"/>
        <item x="44"/>
        <item m="1" x="68"/>
        <item m="1" x="52"/>
        <item m="1" x="82"/>
        <item m="1" x="85"/>
        <item m="1" x="58"/>
        <item m="1" x="59"/>
        <item m="1" x="60"/>
        <item x="9"/>
        <item x="10"/>
        <item x="11"/>
        <item m="1" x="61"/>
        <item m="1" x="62"/>
        <item m="1" x="74"/>
        <item x="49"/>
        <item x="23"/>
        <item m="1" x="53"/>
        <item x="26"/>
        <item x="27"/>
        <item x="28"/>
        <item x="29"/>
        <item x="30"/>
        <item x="48"/>
        <item x="2"/>
        <item x="3"/>
        <item x="4"/>
        <item x="5"/>
        <item x="20"/>
        <item x="22"/>
        <item x="31"/>
        <item x="39"/>
        <item x="40"/>
        <item x="41"/>
        <item x="42"/>
        <item m="1" x="57"/>
        <item x="45"/>
        <item x="46"/>
        <item m="1" x="56"/>
        <item x="43"/>
        <item x="50"/>
        <item m="1" x="55"/>
        <item x="51"/>
        <item m="1" x="54"/>
        <item x="24"/>
        <item x="25"/>
        <item x="47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5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0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5">
        <item m="1" x="36"/>
        <item m="1" x="42"/>
        <item m="1" x="37"/>
        <item m="1" x="40"/>
        <item m="1" x="38"/>
        <item x="0"/>
        <item m="1" x="43"/>
        <item m="1" x="39"/>
        <item m="1" x="41"/>
        <item m="1" x="34"/>
        <item m="1" x="35"/>
        <item m="1" x="33"/>
        <item m="1" x="32"/>
        <item m="1" x="31"/>
        <item m="1" x="30"/>
        <item m="1" x="15"/>
        <item x="4"/>
        <item x="1"/>
        <item x="8"/>
        <item x="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16"/>
        <item m="1" x="26"/>
        <item m="1" x="27"/>
        <item m="1" x="28"/>
        <item m="1" x="29"/>
        <item x="2"/>
        <item x="3"/>
        <item x="6"/>
        <item x="7"/>
        <item x="11"/>
        <item x="12"/>
        <item x="9"/>
        <item x="13"/>
        <item x="10"/>
        <item x="1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6">
    <i>
      <x v="5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2" dT="2025-03-07T09:19:09.07" personId="{D52D2863-E4BE-448C-8B96-9480C9255E68}" id="{2A5DCC7B-F7A1-434A-A72C-E65FA24965DC}">
    <text>@Mizelda Isaacs and @Thami Cambalele please take a look as this is marked off as paid but the invoice is showing as outstanding on QB</text>
    <mentions>
      <mention mentionpersonId="{2D4C56FC-DD0B-4567-9C2C-0CBE446DC245}" mentionId="{C18D9E90-CFD1-4AAF-BA8B-36284D13F952}" startIndex="0" length="15"/>
      <mention mentionpersonId="{46881A2C-E68E-4797-AA43-7AE8B681CBF8}" mentionId="{E7288086-665E-4645-A94C-B0BA67CCCDF6}" startIndex="20" length="16"/>
    </mentions>
  </threadedComment>
  <threadedComment ref="W32" dT="2025-03-10T08:09:18.55" personId="{96CD1247-3684-4933-AFCC-BE8EC6A2662B}" id="{4EB58B9A-F2BC-4815-86FC-EB6EE7BE492C}" parentId="{2A5DCC7B-F7A1-434A-A72C-E65FA24965DC}">
    <text>@Tasneema van Harte,this was paid on 14 Nov, however it seems it was paid from Matriach?</text>
    <mentions>
      <mention mentionpersonId="{00630941-69CC-465A-A1E6-803926FF0EF1}" mentionId="{422C7DD9-5E43-4E3C-81C3-66566600B8A2}" startIndex="0" length="19"/>
    </mentions>
  </threadedComment>
  <threadedComment ref="W33" dT="2025-03-07T09:20:16.55" personId="{D52D2863-E4BE-448C-8B96-9480C9255E68}" id="{21B6828D-D6B4-4DF5-9722-DEDCD4C82BF7}">
    <text xml:space="preserve">@Mizelda Isaacs and @Thami Cambalele please take a look at my comment for DC complte, same situation
</text>
    <mentions>
      <mention mentionpersonId="{2D4C56FC-DD0B-4567-9C2C-0CBE446DC245}" mentionId="{B5BF9537-9FCD-44BB-A4EE-B949E272E193}" startIndex="0" length="15"/>
      <mention mentionpersonId="{46881A2C-E68E-4797-AA43-7AE8B681CBF8}" mentionId="{76D31C99-3EAD-4BA8-BC3E-30CDA12AB10D}" startIndex="20" length="16"/>
    </mentions>
  </threadedComment>
  <threadedComment ref="R129" dT="2025-11-08T13:43:24.93" personId="{D52D2863-E4BE-448C-8B96-9480C9255E68}" id="{29559EAB-E9B7-420B-B5C1-29B95BBAAA22}" done="1">
    <text>@Mizelda Isaacs and @Roedolph Venter they need to provide us with a creditnote please</text>
    <mentions>
      <mention mentionpersonId="{2D4C56FC-DD0B-4567-9C2C-0CBE446DC245}" mentionId="{9EFF585E-3344-4A52-850D-1D246B6B4AA9}" startIndex="0" length="15"/>
      <mention mentionpersonId="{FC92B4AC-615A-4EA3-93C4-DBC61E55C191}" mentionId="{161063AD-AD67-402F-B78A-02A78DB9005E}" startIndex="20" length="16"/>
    </mentions>
  </threadedComment>
  <threadedComment ref="R130" dT="2025-11-08T13:42:47.51" personId="{D52D2863-E4BE-448C-8B96-9480C9255E68}" id="{387946EA-35E9-4251-A325-57E70D5F426D}">
    <text>@Roedolph Venter and @Mizelda Isaacs can we please finalize what is due to them</text>
    <mentions>
      <mention mentionpersonId="{FC92B4AC-615A-4EA3-93C4-DBC61E55C191}" mentionId="{AA3FF752-C732-4BFB-A43F-FF0215AB3DDA}" startIndex="0" length="16"/>
      <mention mentionpersonId="{2D4C56FC-DD0B-4567-9C2C-0CBE446DC245}" mentionId="{33E64EED-0F33-4544-8650-5831C69D9DED}" startIndex="21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4.1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69" t="s">
        <v>57</v>
      </c>
      <c r="E47" s="869"/>
      <c r="F47" s="870"/>
      <c r="G47" s="67"/>
      <c r="I47" s="68"/>
      <c r="J47" s="68"/>
    </row>
    <row r="48" spans="1:49" ht="14.45" thickBot="1">
      <c r="C48" s="69">
        <v>44014</v>
      </c>
      <c r="D48" s="871"/>
      <c r="E48" s="871"/>
      <c r="F48" s="87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ACCC-6208-4706-AF93-E5E9CF69ABEA}">
  <dimension ref="B1:J28"/>
  <sheetViews>
    <sheetView showGridLines="0" zoomScaleNormal="100" workbookViewId="0">
      <selection activeCell="E11" sqref="E11"/>
    </sheetView>
  </sheetViews>
  <sheetFormatPr defaultColWidth="9.28515625" defaultRowHeight="14.45"/>
  <cols>
    <col min="1" max="1" width="7.28515625" customWidth="1"/>
    <col min="2" max="2" width="37.85546875" customWidth="1"/>
    <col min="3" max="3" width="9.28515625" bestFit="1" customWidth="1"/>
    <col min="4" max="4" width="12" bestFit="1" customWidth="1"/>
    <col min="5" max="5" width="10.28515625" customWidth="1"/>
    <col min="6" max="6" width="33.85546875" customWidth="1"/>
  </cols>
  <sheetData>
    <row r="1" spans="2:10" ht="15" thickBot="1"/>
    <row r="2" spans="2:10" ht="15.6" thickTop="1" thickBot="1">
      <c r="B2" s="873" t="s">
        <v>58</v>
      </c>
      <c r="C2" s="874"/>
      <c r="D2" s="874"/>
      <c r="E2" s="874"/>
      <c r="F2" s="87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73" t="s">
        <v>69</v>
      </c>
      <c r="C16" s="874"/>
      <c r="D16" s="874"/>
      <c r="E16" s="874"/>
      <c r="F16" s="87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opLeftCell="C1" zoomScale="115" zoomScaleNormal="115" workbookViewId="0">
      <selection activeCell="P19" sqref="P19"/>
    </sheetView>
  </sheetViews>
  <sheetFormatPr defaultColWidth="8.28515625" defaultRowHeight="14.45"/>
  <cols>
    <col min="1" max="1" width="5.5703125" style="93" customWidth="1"/>
    <col min="2" max="2" width="5.5703125" style="133" customWidth="1"/>
    <col min="3" max="4" width="23" style="131" customWidth="1"/>
    <col min="5" max="5" width="6.5703125" style="131" customWidth="1"/>
    <col min="6" max="6" width="19.5703125" style="131" customWidth="1"/>
    <col min="7" max="7" width="4.28515625" style="131" customWidth="1"/>
    <col min="8" max="8" width="15.28515625" style="131" customWidth="1"/>
    <col min="9" max="9" width="1.28515625" style="131" customWidth="1"/>
    <col min="10" max="10" width="3.28515625" style="93" customWidth="1"/>
    <col min="11" max="11" width="1.28515625" style="224" customWidth="1"/>
    <col min="12" max="12" width="29.28515625" style="93" customWidth="1"/>
    <col min="13" max="13" width="1.28515625" style="131" customWidth="1"/>
    <col min="14" max="14" width="29.28515625" style="131" customWidth="1"/>
    <col min="15" max="15" width="1.28515625" style="93" customWidth="1"/>
    <col min="16" max="16" width="16.85546875" style="131" customWidth="1"/>
    <col min="17" max="17" width="5.5703125" style="131" customWidth="1"/>
    <col min="18" max="20" width="33.28515625" style="131" customWidth="1"/>
    <col min="21" max="21" width="4.28515625" style="131" customWidth="1"/>
    <col min="22" max="22" width="14" style="131" customWidth="1"/>
    <col min="23" max="23" width="10.28515625" style="93" bestFit="1" customWidth="1"/>
    <col min="24" max="25" width="8.28515625" style="93"/>
    <col min="26" max="26" width="5.5703125" style="93" bestFit="1" customWidth="1"/>
    <col min="27" max="27" width="14" style="93" bestFit="1" customWidth="1"/>
    <col min="28" max="28" width="8.28515625" style="93"/>
    <col min="29" max="29" width="14" style="93" bestFit="1" customWidth="1"/>
    <col min="30" max="30" width="8.28515625" style="131"/>
    <col min="31" max="31" width="12.5703125" style="131" bestFit="1" customWidth="1"/>
    <col min="32" max="16384" width="8.28515625" style="131"/>
  </cols>
  <sheetData>
    <row r="1" spans="1:23" s="93" customFormat="1" ht="14.25" customHeight="1">
      <c r="A1" s="546"/>
      <c r="B1" s="119"/>
      <c r="J1" s="144"/>
      <c r="S1" s="131"/>
      <c r="T1" s="131"/>
      <c r="U1" s="144"/>
    </row>
    <row r="2" spans="1:23" s="93" customFormat="1" ht="14.25" customHeight="1" thickBot="1">
      <c r="A2" s="546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779"/>
      <c r="T2" s="779"/>
      <c r="U2" s="144"/>
    </row>
    <row r="3" spans="1:23" s="93" customFormat="1" ht="12.95">
      <c r="B3" s="119"/>
      <c r="D3" s="127" t="s">
        <v>74</v>
      </c>
      <c r="F3" s="127" t="s">
        <v>75</v>
      </c>
      <c r="J3" s="144"/>
      <c r="L3" s="634" t="s">
        <v>76</v>
      </c>
      <c r="N3" s="634" t="s">
        <v>77</v>
      </c>
      <c r="P3" s="780"/>
      <c r="Q3" s="781"/>
      <c r="R3" s="782" t="s">
        <v>78</v>
      </c>
      <c r="S3" s="783" t="s">
        <v>79</v>
      </c>
      <c r="T3" s="784" t="s">
        <v>80</v>
      </c>
      <c r="U3" s="144"/>
    </row>
    <row r="4" spans="1:23" s="93" customFormat="1" ht="12.95">
      <c r="B4" s="489">
        <v>1</v>
      </c>
      <c r="C4" s="490" t="s">
        <v>81</v>
      </c>
      <c r="D4" s="491">
        <f>'Project Plan'!E6</f>
        <v>2462259.00338786</v>
      </c>
      <c r="E4" s="492"/>
      <c r="F4" s="491">
        <f>F21</f>
        <v>2505210.4733878602</v>
      </c>
      <c r="H4" s="118"/>
      <c r="J4" s="144"/>
      <c r="L4" s="544">
        <v>2462259.00338786</v>
      </c>
      <c r="N4" s="544" t="s">
        <v>82</v>
      </c>
      <c r="P4" s="785" t="s">
        <v>83</v>
      </c>
      <c r="Q4" s="132"/>
      <c r="R4" s="132">
        <f>GETPIVOTDATA("REVENUE RECOGNITION AMOUNT",'Finance - Revenue'!$A$3,"INVOICE RAISED DATE",DATE(2024,7,31))+GETPIVOTDATA("REVENUE RECOGNITION AMOUNT",'Finance - Revenue'!$A$3,"INVOICE RAISED DATE",DATE(2024,8,31))</f>
        <v>848045.34024531883</v>
      </c>
      <c r="S4" s="786">
        <v>1614213.6631425412</v>
      </c>
      <c r="T4" s="787">
        <f>F4-R4</f>
        <v>1657165.1331425414</v>
      </c>
      <c r="U4" s="144"/>
    </row>
    <row r="5" spans="1:23" s="93" customFormat="1" ht="15" customHeight="1">
      <c r="B5" s="489">
        <v>2</v>
      </c>
      <c r="C5" s="490" t="s">
        <v>84</v>
      </c>
      <c r="D5" s="491">
        <f>+'Expenditure Tracking'!F5</f>
        <v>2105194.1529999999</v>
      </c>
      <c r="E5" s="492"/>
      <c r="F5" s="491">
        <f>+'Expenditure Tracking'!J5</f>
        <v>2103862.1100000003</v>
      </c>
      <c r="J5" s="144"/>
      <c r="L5" s="544">
        <v>2040967.6575423484</v>
      </c>
      <c r="N5" s="635">
        <v>45560</v>
      </c>
      <c r="P5" s="785" t="s">
        <v>85</v>
      </c>
      <c r="R5" s="786">
        <f>GETPIVOTDATA("Actual Total ",'Finance - COS'!$A$3,"INVOICE RAISED DATE",DATE(2024,7,31))+GETPIVOTDATA("Actual Total ",'Finance - COS'!$A$3,"INVOICE RAISED DATE",DATE(2024,8,31))</f>
        <v>730147.42</v>
      </c>
      <c r="S5" s="786">
        <v>1301474.2175423484</v>
      </c>
      <c r="T5" s="787">
        <f>F5-R5</f>
        <v>1373714.6900000004</v>
      </c>
      <c r="U5" s="144"/>
    </row>
    <row r="6" spans="1:23" s="93" customFormat="1" ht="15" customHeight="1" thickBot="1">
      <c r="B6" s="489">
        <v>3</v>
      </c>
      <c r="C6" s="490" t="s">
        <v>86</v>
      </c>
      <c r="D6" s="491">
        <f>+D4-D5</f>
        <v>357064.85038786009</v>
      </c>
      <c r="E6" s="492"/>
      <c r="F6" s="491">
        <f>+F4-F5</f>
        <v>401348.36338785989</v>
      </c>
      <c r="H6" s="118"/>
      <c r="J6" s="144"/>
      <c r="L6" s="544">
        <v>421291.34584551165</v>
      </c>
      <c r="N6" s="544" t="s">
        <v>87</v>
      </c>
      <c r="P6" s="788" t="s">
        <v>88</v>
      </c>
      <c r="Q6" s="789"/>
      <c r="R6" s="790">
        <f>R4-R5</f>
        <v>117897.92024531879</v>
      </c>
      <c r="S6" s="790">
        <f>S4-S5</f>
        <v>312739.44560019276</v>
      </c>
      <c r="T6" s="791">
        <f>T4-T5</f>
        <v>283450.44314254099</v>
      </c>
      <c r="U6" s="144"/>
    </row>
    <row r="7" spans="1:23" s="93" customFormat="1" ht="15" customHeight="1" thickBot="1">
      <c r="B7" s="489">
        <v>4</v>
      </c>
      <c r="C7" s="490" t="s">
        <v>89</v>
      </c>
      <c r="D7" s="493">
        <f>+D6/D4</f>
        <v>0.14501514661803208</v>
      </c>
      <c r="E7" s="492"/>
      <c r="F7" s="493">
        <f>+F6/F4</f>
        <v>0.16020544686814528</v>
      </c>
      <c r="J7" s="144"/>
      <c r="L7" s="545">
        <v>0.17109952497517539</v>
      </c>
      <c r="N7" s="719">
        <v>45600</v>
      </c>
      <c r="P7" s="792"/>
      <c r="Q7" s="793"/>
      <c r="R7" s="793"/>
      <c r="S7" s="793"/>
      <c r="T7" s="794"/>
      <c r="U7" s="144"/>
    </row>
    <row r="8" spans="1:23" s="93" customFormat="1" ht="9" customHeight="1">
      <c r="B8" s="119"/>
      <c r="J8" s="144"/>
      <c r="S8" s="131"/>
      <c r="T8" s="131"/>
      <c r="U8" s="144"/>
    </row>
    <row r="9" spans="1:23" s="93" customFormat="1" ht="9.75" customHeight="1">
      <c r="B9" s="119"/>
      <c r="J9" s="144"/>
      <c r="S9" s="131"/>
      <c r="T9" s="131"/>
      <c r="U9" s="144"/>
    </row>
    <row r="10" spans="1:23" s="93" customFormat="1" ht="12.95">
      <c r="B10" s="130" t="s">
        <v>90</v>
      </c>
      <c r="J10" s="144"/>
      <c r="S10" s="131"/>
      <c r="T10" s="131"/>
      <c r="U10" s="144"/>
      <c r="W10" s="130"/>
    </row>
    <row r="11" spans="1:23" s="93" customFormat="1" ht="14.25" customHeight="1">
      <c r="B11" s="119"/>
      <c r="J11" s="144"/>
      <c r="S11" s="131"/>
      <c r="T11" s="131"/>
      <c r="U11" s="144"/>
    </row>
    <row r="12" spans="1:23" s="93" customFormat="1" ht="26.1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4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61" t="s">
        <v>99</v>
      </c>
      <c r="S12" s="779"/>
      <c r="T12" s="779"/>
      <c r="U12" s="144"/>
    </row>
    <row r="13" spans="1:23" s="93" customFormat="1" ht="12.95">
      <c r="B13" s="489">
        <v>1</v>
      </c>
      <c r="C13" s="876" t="s">
        <v>100</v>
      </c>
      <c r="D13" s="877"/>
      <c r="E13" s="138">
        <v>0.35</v>
      </c>
      <c r="F13" s="139">
        <f>$D$4*E13</f>
        <v>861790.65118575096</v>
      </c>
      <c r="G13" s="140"/>
      <c r="H13" s="141">
        <v>45491</v>
      </c>
      <c r="J13" s="144"/>
      <c r="L13" s="508" t="s">
        <v>101</v>
      </c>
      <c r="M13" s="507"/>
      <c r="N13" s="141">
        <v>45488</v>
      </c>
      <c r="O13" s="131"/>
      <c r="P13" s="141">
        <v>45490</v>
      </c>
      <c r="R13" s="194"/>
      <c r="S13" s="777"/>
      <c r="T13" s="777"/>
      <c r="U13" s="144"/>
    </row>
    <row r="14" spans="1:23" s="93" customFormat="1" ht="12.6">
      <c r="B14" s="157">
        <v>2</v>
      </c>
      <c r="C14" s="878" t="s">
        <v>102</v>
      </c>
      <c r="D14" s="879"/>
      <c r="E14" s="138">
        <v>0.25</v>
      </c>
      <c r="F14" s="139">
        <f t="shared" ref="F14:F17" si="0">$D$4*E14</f>
        <v>615564.75084696501</v>
      </c>
      <c r="G14" s="492"/>
      <c r="H14" s="141">
        <f>'Project Plan'!E22+7</f>
        <v>45567</v>
      </c>
      <c r="J14" s="144"/>
      <c r="L14" s="508" t="s">
        <v>103</v>
      </c>
      <c r="N14" s="141">
        <v>45567</v>
      </c>
      <c r="O14" s="131"/>
      <c r="P14" s="866">
        <f>N14+7</f>
        <v>45574</v>
      </c>
      <c r="R14" s="562"/>
      <c r="S14" s="778"/>
      <c r="T14" s="778"/>
      <c r="U14" s="144"/>
    </row>
    <row r="15" spans="1:23" s="93" customFormat="1" ht="12.6">
      <c r="B15" s="489">
        <v>3</v>
      </c>
      <c r="C15" s="876" t="s">
        <v>104</v>
      </c>
      <c r="D15" s="877"/>
      <c r="E15" s="138">
        <v>0.25</v>
      </c>
      <c r="F15" s="139">
        <f t="shared" si="0"/>
        <v>615564.75084696501</v>
      </c>
      <c r="G15" s="492"/>
      <c r="H15" s="141">
        <f>'Project Plan'!E35+7</f>
        <v>45583</v>
      </c>
      <c r="J15" s="144"/>
      <c r="L15" s="508" t="s">
        <v>105</v>
      </c>
      <c r="N15" s="141">
        <v>45586</v>
      </c>
      <c r="O15" s="131"/>
      <c r="P15" s="866">
        <f>N15+38</f>
        <v>45624</v>
      </c>
      <c r="R15" s="562"/>
      <c r="S15" s="778"/>
      <c r="T15" s="778"/>
      <c r="U15" s="144"/>
    </row>
    <row r="16" spans="1:23" s="93" customFormat="1" ht="12.6">
      <c r="B16" s="489">
        <v>4</v>
      </c>
      <c r="C16" s="876" t="s">
        <v>106</v>
      </c>
      <c r="D16" s="877"/>
      <c r="E16" s="138">
        <v>0.1</v>
      </c>
      <c r="F16" s="139">
        <f t="shared" si="0"/>
        <v>246225.90033878601</v>
      </c>
      <c r="G16" s="492"/>
      <c r="H16" s="141">
        <f>'Project Plan'!E39+7</f>
        <v>45616</v>
      </c>
      <c r="J16" s="144"/>
      <c r="L16" s="823" t="s">
        <v>107</v>
      </c>
      <c r="M16" s="824"/>
      <c r="N16" s="825">
        <v>45610</v>
      </c>
      <c r="O16" s="131"/>
      <c r="P16" s="866">
        <f>N16+14</f>
        <v>45624</v>
      </c>
      <c r="R16" s="562"/>
      <c r="S16" s="778"/>
      <c r="T16" s="778"/>
      <c r="U16" s="144"/>
    </row>
    <row r="17" spans="2:21" s="93" customFormat="1" ht="12.6">
      <c r="B17" s="489">
        <v>5</v>
      </c>
      <c r="C17" s="878" t="s">
        <v>54</v>
      </c>
      <c r="D17" s="879"/>
      <c r="E17" s="138">
        <v>0.05</v>
      </c>
      <c r="F17" s="139">
        <f t="shared" si="0"/>
        <v>123112.95016939301</v>
      </c>
      <c r="G17" s="492"/>
      <c r="H17" s="141">
        <f>'Project Plan'!E50+7</f>
        <v>45642</v>
      </c>
      <c r="J17" s="144"/>
      <c r="L17" s="823" t="s">
        <v>108</v>
      </c>
      <c r="N17" s="825">
        <v>45714</v>
      </c>
      <c r="O17" s="131"/>
      <c r="P17" s="141">
        <v>45946</v>
      </c>
      <c r="R17" s="562"/>
      <c r="S17" s="778"/>
      <c r="T17" s="778"/>
      <c r="U17" s="144"/>
    </row>
    <row r="18" spans="2:21" s="93" customFormat="1" ht="12.6">
      <c r="B18" s="489">
        <v>6</v>
      </c>
      <c r="C18" s="876" t="s">
        <v>109</v>
      </c>
      <c r="D18" s="877"/>
      <c r="E18" s="138">
        <v>0</v>
      </c>
      <c r="F18" s="139">
        <f>'Expenditure Breakdown'!R68+'Expenditure Breakdown'!R69+'Expenditure Breakdown'!R70+'Expenditure Breakdown'!R72</f>
        <v>52281.120000000003</v>
      </c>
      <c r="G18" s="492"/>
      <c r="H18" s="141">
        <f>H17</f>
        <v>45642</v>
      </c>
      <c r="J18" s="144"/>
      <c r="L18" s="823" t="s">
        <v>108</v>
      </c>
      <c r="M18" s="140"/>
      <c r="N18" s="825">
        <v>45714</v>
      </c>
      <c r="O18" s="131"/>
      <c r="P18" s="141">
        <v>45946</v>
      </c>
      <c r="R18" s="562"/>
      <c r="S18" s="778"/>
      <c r="T18" s="778"/>
      <c r="U18" s="144"/>
    </row>
    <row r="19" spans="2:21" s="93" customFormat="1" ht="12.75">
      <c r="B19" s="489">
        <v>7</v>
      </c>
      <c r="C19" s="876" t="s">
        <v>110</v>
      </c>
      <c r="D19" s="877"/>
      <c r="E19" s="138">
        <v>0</v>
      </c>
      <c r="F19" s="139">
        <v>-9329.65</v>
      </c>
      <c r="G19" s="492"/>
      <c r="H19" s="141"/>
      <c r="J19" s="144"/>
      <c r="L19" s="984" t="s">
        <v>111</v>
      </c>
      <c r="M19" s="985"/>
      <c r="N19" s="825">
        <v>46045</v>
      </c>
      <c r="O19" s="131"/>
      <c r="P19" s="142">
        <v>46081</v>
      </c>
      <c r="R19" s="562"/>
      <c r="S19" s="778"/>
      <c r="T19" s="778"/>
      <c r="U19" s="144"/>
    </row>
    <row r="20" spans="2:21" s="93" customFormat="1" ht="9" customHeight="1">
      <c r="B20" s="119"/>
      <c r="E20" s="143"/>
      <c r="F20" s="118"/>
      <c r="H20" s="495"/>
      <c r="J20" s="144"/>
      <c r="S20" s="131"/>
      <c r="T20" s="131"/>
      <c r="U20" s="144"/>
    </row>
    <row r="21" spans="2:21" s="93" customFormat="1" ht="12.95">
      <c r="B21" s="119"/>
      <c r="E21" s="496">
        <f>SUM(E13:E19)</f>
        <v>1</v>
      </c>
      <c r="F21" s="497">
        <f>SUM(F13:F19)</f>
        <v>2505210.4733878602</v>
      </c>
      <c r="J21" s="144"/>
      <c r="S21" s="131"/>
      <c r="T21" s="131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  <c r="S23" s="131"/>
      <c r="T23" s="131"/>
    </row>
    <row r="24" spans="2:21" s="93" customFormat="1" ht="12.6">
      <c r="C24" s="150" t="s">
        <v>114</v>
      </c>
      <c r="D24" s="151"/>
      <c r="F24" s="152"/>
      <c r="S24" s="131"/>
      <c r="T24" s="131"/>
    </row>
    <row r="25" spans="2:21" s="93" customFormat="1" ht="12.6">
      <c r="C25" s="150" t="s">
        <v>115</v>
      </c>
      <c r="D25" s="151"/>
      <c r="S25" s="131"/>
      <c r="T25" s="131"/>
    </row>
    <row r="26" spans="2:21" s="93" customFormat="1" ht="12.6">
      <c r="C26" s="153" t="s">
        <v>116</v>
      </c>
      <c r="D26" s="154"/>
      <c r="S26" s="131"/>
      <c r="T26" s="131"/>
    </row>
    <row r="27" spans="2:21" s="93" customFormat="1" ht="12.6">
      <c r="C27" s="155" t="s">
        <v>117</v>
      </c>
      <c r="D27" s="151"/>
      <c r="S27" s="131"/>
      <c r="T27" s="131"/>
    </row>
    <row r="28" spans="2:21" s="93" customFormat="1" ht="12.6">
      <c r="B28" s="119"/>
      <c r="C28" s="155" t="s">
        <v>118</v>
      </c>
      <c r="D28" s="151"/>
      <c r="S28" s="131"/>
      <c r="T28" s="131"/>
    </row>
    <row r="29" spans="2:21" s="93" customFormat="1" ht="12.6">
      <c r="B29" s="119"/>
      <c r="C29" s="93" t="s">
        <v>119</v>
      </c>
      <c r="S29" s="131"/>
      <c r="T29" s="131"/>
    </row>
    <row r="30" spans="2:21" s="93" customFormat="1" ht="27.75" customHeight="1">
      <c r="B30" s="119"/>
      <c r="C30" s="156" t="s">
        <v>120</v>
      </c>
      <c r="D30" s="156"/>
      <c r="F30" s="152"/>
      <c r="S30" s="131"/>
      <c r="T30" s="131"/>
    </row>
    <row r="31" spans="2:21" s="93" customFormat="1" ht="12.6">
      <c r="B31" s="119"/>
      <c r="F31" s="149"/>
      <c r="S31" s="131"/>
      <c r="T31" s="131"/>
    </row>
    <row r="32" spans="2:21" s="93" customFormat="1" ht="12.6">
      <c r="B32" s="119"/>
      <c r="F32" s="149"/>
      <c r="S32" s="131"/>
      <c r="T32" s="131"/>
    </row>
    <row r="33" spans="2:20" s="93" customFormat="1" ht="12.6">
      <c r="B33" s="119"/>
      <c r="F33" s="149"/>
      <c r="S33" s="131"/>
      <c r="T33" s="131"/>
    </row>
    <row r="34" spans="2:20" s="93" customFormat="1" ht="12.6">
      <c r="B34" s="119"/>
      <c r="F34" s="149"/>
      <c r="S34" s="131"/>
      <c r="T34" s="131"/>
    </row>
    <row r="35" spans="2:20" s="93" customFormat="1" ht="12.6">
      <c r="B35" s="119"/>
      <c r="S35" s="131"/>
      <c r="T35" s="131"/>
    </row>
    <row r="36" spans="2:20" s="93" customFormat="1" ht="12.6">
      <c r="B36" s="119"/>
      <c r="S36" s="131"/>
      <c r="T36" s="131"/>
    </row>
    <row r="37" spans="2:20" s="93" customFormat="1" ht="12.6">
      <c r="B37" s="119"/>
      <c r="S37" s="131"/>
      <c r="T37" s="131"/>
    </row>
    <row r="38" spans="2:20" s="93" customFormat="1" ht="12.75" hidden="1" customHeight="1">
      <c r="B38" s="119"/>
      <c r="S38" s="131"/>
      <c r="T38" s="131"/>
    </row>
    <row r="39" spans="2:20" s="93" customFormat="1" ht="12.75" hidden="1" customHeight="1">
      <c r="B39" s="119"/>
      <c r="S39" s="131"/>
      <c r="T39" s="131"/>
    </row>
    <row r="40" spans="2:20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  <c r="S40" s="131"/>
      <c r="T40" s="131"/>
    </row>
    <row r="41" spans="2:20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876823.66568575101</v>
      </c>
      <c r="S41" s="131"/>
      <c r="T41" s="131"/>
    </row>
    <row r="42" spans="2:20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751563.14201635809</v>
      </c>
      <c r="S42" s="131"/>
      <c r="T42" s="131"/>
    </row>
    <row r="43" spans="2:20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501042.09467757208</v>
      </c>
      <c r="S43" s="131"/>
      <c r="T43" s="131"/>
    </row>
    <row r="44" spans="2:20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250521.04733878604</v>
      </c>
      <c r="S44" s="131"/>
      <c r="T44" s="131"/>
    </row>
    <row r="45" spans="2:20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125260.52366939302</v>
      </c>
      <c r="S45" s="131"/>
      <c r="T45" s="131"/>
    </row>
    <row r="46" spans="2:20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2505210.4733878602</v>
      </c>
      <c r="S46" s="131"/>
      <c r="T46" s="131"/>
    </row>
    <row r="47" spans="2:20" s="93" customFormat="1" ht="12.75" hidden="1" customHeight="1">
      <c r="B47" s="119"/>
      <c r="E47" s="143">
        <f>SUM(E41:E45)</f>
        <v>0.99999999999999989</v>
      </c>
      <c r="F47" s="118">
        <f>F21</f>
        <v>2505210.4733878602</v>
      </c>
      <c r="S47" s="131"/>
      <c r="T47" s="131"/>
    </row>
    <row r="48" spans="2:20" s="93" customFormat="1" ht="12.75" hidden="1" customHeight="1">
      <c r="B48" s="119"/>
      <c r="S48" s="131"/>
      <c r="T48" s="131"/>
    </row>
    <row r="49" spans="2:20" s="93" customFormat="1" ht="12.6">
      <c r="B49" s="119"/>
      <c r="S49" s="131"/>
      <c r="T49" s="131"/>
    </row>
    <row r="50" spans="2:20" s="93" customFormat="1" ht="12.6">
      <c r="B50" s="119"/>
      <c r="S50" s="131"/>
      <c r="T50" s="131"/>
    </row>
    <row r="51" spans="2:20" s="93" customFormat="1" ht="12.6">
      <c r="B51" s="119"/>
      <c r="S51" s="131"/>
      <c r="T51" s="131"/>
    </row>
    <row r="52" spans="2:20" s="93" customFormat="1" ht="12.6">
      <c r="B52" s="119"/>
      <c r="S52" s="131"/>
      <c r="T52" s="131"/>
    </row>
    <row r="53" spans="2:20" s="93" customFormat="1" ht="12.6">
      <c r="B53" s="119"/>
      <c r="S53" s="131"/>
      <c r="T53" s="131"/>
    </row>
    <row r="54" spans="2:20" s="93" customFormat="1" ht="12.6">
      <c r="B54" s="119"/>
      <c r="S54" s="131"/>
      <c r="T54" s="131"/>
    </row>
    <row r="55" spans="2:20" s="93" customFormat="1" ht="12.6">
      <c r="B55" s="119"/>
      <c r="S55" s="131"/>
      <c r="T55" s="131"/>
    </row>
    <row r="56" spans="2:20" s="93" customFormat="1" ht="12.6">
      <c r="B56" s="119"/>
      <c r="S56" s="131"/>
      <c r="T56" s="131"/>
    </row>
    <row r="57" spans="2:20" s="93" customFormat="1" ht="12.6">
      <c r="B57" s="119"/>
      <c r="S57" s="131"/>
      <c r="T57" s="131"/>
    </row>
    <row r="58" spans="2:20" s="93" customFormat="1" ht="12.6">
      <c r="B58" s="119"/>
      <c r="S58" s="131"/>
      <c r="T58" s="131"/>
    </row>
    <row r="59" spans="2:20" s="93" customFormat="1" ht="12.6">
      <c r="B59" s="119"/>
      <c r="S59" s="131"/>
      <c r="T59" s="131"/>
    </row>
    <row r="60" spans="2:20" s="93" customFormat="1" ht="12.6">
      <c r="B60" s="119"/>
      <c r="S60" s="131"/>
      <c r="T60" s="131"/>
    </row>
    <row r="61" spans="2:20" s="93" customFormat="1" ht="12.6">
      <c r="B61" s="119"/>
      <c r="S61" s="131"/>
      <c r="T61" s="131"/>
    </row>
    <row r="62" spans="2:20" s="93" customFormat="1" ht="12.6">
      <c r="B62" s="119"/>
      <c r="S62" s="131"/>
      <c r="T62" s="131"/>
    </row>
    <row r="63" spans="2:20" s="93" customFormat="1" ht="12.6">
      <c r="B63" s="119"/>
      <c r="S63" s="131"/>
      <c r="T63" s="131"/>
    </row>
    <row r="64" spans="2:20" s="93" customFormat="1" ht="12.6">
      <c r="B64" s="119"/>
      <c r="S64" s="131"/>
      <c r="T64" s="131"/>
    </row>
    <row r="65" spans="2:20" s="93" customFormat="1" ht="12.6">
      <c r="B65" s="119"/>
      <c r="S65" s="131"/>
      <c r="T65" s="131"/>
    </row>
    <row r="66" spans="2:20" s="93" customFormat="1" ht="12.6">
      <c r="B66" s="119"/>
      <c r="S66" s="131"/>
      <c r="T66" s="131"/>
    </row>
    <row r="67" spans="2:20" s="93" customFormat="1" ht="12.6">
      <c r="B67" s="119"/>
      <c r="S67" s="131"/>
      <c r="T67" s="131"/>
    </row>
    <row r="68" spans="2:20" s="93" customFormat="1" ht="12.6">
      <c r="B68" s="119"/>
      <c r="S68" s="131"/>
      <c r="T68" s="131"/>
    </row>
    <row r="69" spans="2:20" s="93" customFormat="1" ht="12.6">
      <c r="B69" s="119"/>
      <c r="S69" s="131"/>
      <c r="T69" s="131"/>
    </row>
    <row r="70" spans="2:20" s="93" customFormat="1" ht="12.6">
      <c r="B70" s="119"/>
      <c r="S70" s="131"/>
      <c r="T70" s="131"/>
    </row>
    <row r="71" spans="2:20" s="93" customFormat="1" ht="12.6">
      <c r="B71" s="119"/>
      <c r="S71" s="131"/>
      <c r="T71" s="131"/>
    </row>
    <row r="72" spans="2:20" s="93" customFormat="1" ht="12.6">
      <c r="B72" s="119"/>
      <c r="S72" s="131"/>
      <c r="T72" s="131"/>
    </row>
    <row r="73" spans="2:20" s="93" customFormat="1" ht="12.6">
      <c r="B73" s="119"/>
      <c r="S73" s="131"/>
      <c r="T73" s="131"/>
    </row>
    <row r="74" spans="2:20" s="93" customFormat="1" ht="12.6">
      <c r="B74" s="119"/>
      <c r="S74" s="131"/>
      <c r="T74" s="131"/>
    </row>
    <row r="75" spans="2:20" s="93" customFormat="1" ht="12.6">
      <c r="B75" s="119"/>
      <c r="S75" s="131"/>
      <c r="T75" s="131"/>
    </row>
    <row r="76" spans="2:20" s="93" customFormat="1" ht="12.6">
      <c r="B76" s="119"/>
      <c r="S76" s="131"/>
      <c r="T76" s="131"/>
    </row>
    <row r="77" spans="2:20" s="93" customFormat="1" ht="12.6">
      <c r="B77" s="119"/>
      <c r="S77" s="131"/>
      <c r="T77" s="131"/>
    </row>
    <row r="78" spans="2:20" s="93" customFormat="1" ht="12.6">
      <c r="B78" s="119"/>
      <c r="S78" s="131"/>
      <c r="T78" s="131"/>
    </row>
    <row r="79" spans="2:20" s="93" customFormat="1" ht="12.6">
      <c r="B79" s="119"/>
      <c r="S79" s="131"/>
      <c r="T79" s="131"/>
    </row>
    <row r="80" spans="2:20" s="93" customFormat="1" ht="12.6">
      <c r="B80" s="119"/>
      <c r="S80" s="131"/>
      <c r="T80" s="131"/>
    </row>
    <row r="81" spans="2:20" s="93" customFormat="1" ht="12.6">
      <c r="B81" s="119"/>
      <c r="S81" s="131"/>
      <c r="T81" s="131"/>
    </row>
    <row r="82" spans="2:20" s="93" customFormat="1" ht="12.6">
      <c r="B82" s="119"/>
      <c r="S82" s="131"/>
      <c r="T82" s="131"/>
    </row>
    <row r="83" spans="2:20" s="93" customFormat="1" ht="12.6">
      <c r="B83" s="119"/>
      <c r="S83" s="131"/>
      <c r="T83" s="131"/>
    </row>
    <row r="84" spans="2:20" s="93" customFormat="1" ht="12.6">
      <c r="B84" s="119"/>
      <c r="S84" s="131"/>
      <c r="T84" s="131"/>
    </row>
    <row r="85" spans="2:20" s="93" customFormat="1" ht="12.6">
      <c r="B85" s="119"/>
      <c r="S85" s="131"/>
      <c r="T85" s="131"/>
    </row>
    <row r="86" spans="2:20" s="93" customFormat="1" ht="12.6">
      <c r="B86" s="119"/>
      <c r="S86" s="131"/>
      <c r="T86" s="131"/>
    </row>
    <row r="87" spans="2:20" s="93" customFormat="1" ht="12.6">
      <c r="B87" s="119"/>
      <c r="S87" s="131"/>
      <c r="T87" s="131"/>
    </row>
    <row r="88" spans="2:20" s="93" customFormat="1" ht="12.6">
      <c r="B88" s="119"/>
      <c r="S88" s="131"/>
      <c r="T88" s="131"/>
    </row>
    <row r="89" spans="2:20" s="93" customFormat="1" ht="12.6">
      <c r="B89" s="119"/>
      <c r="S89" s="131"/>
      <c r="T89" s="131"/>
    </row>
    <row r="90" spans="2:20" s="93" customFormat="1" ht="12.6">
      <c r="B90" s="119"/>
      <c r="S90" s="131"/>
      <c r="T90" s="131"/>
    </row>
    <row r="91" spans="2:20" s="93" customFormat="1" ht="12.6">
      <c r="B91" s="119"/>
      <c r="S91" s="131"/>
      <c r="T91" s="131"/>
    </row>
    <row r="92" spans="2:20" s="93" customFormat="1" ht="12.6">
      <c r="B92" s="119"/>
      <c r="S92" s="131"/>
      <c r="T92" s="131"/>
    </row>
    <row r="93" spans="2:20" s="93" customFormat="1" ht="12.6">
      <c r="B93" s="119"/>
      <c r="S93" s="131"/>
      <c r="T93" s="131"/>
    </row>
    <row r="94" spans="2:20" s="93" customFormat="1" ht="12.6">
      <c r="B94" s="119"/>
      <c r="S94" s="131"/>
      <c r="T94" s="131"/>
    </row>
    <row r="95" spans="2:20" s="93" customFormat="1" ht="12.6">
      <c r="B95" s="119"/>
      <c r="S95" s="131"/>
      <c r="T95" s="131"/>
    </row>
    <row r="96" spans="2:20" s="93" customFormat="1" ht="12.6">
      <c r="B96" s="119"/>
      <c r="S96" s="131"/>
      <c r="T96" s="131"/>
    </row>
    <row r="97" spans="2:20" s="93" customFormat="1" ht="12.6">
      <c r="B97" s="119"/>
      <c r="S97" s="131"/>
      <c r="T97" s="131"/>
    </row>
    <row r="98" spans="2:20" s="93" customFormat="1" ht="12.6">
      <c r="B98" s="119"/>
      <c r="S98" s="131"/>
      <c r="T98" s="131"/>
    </row>
    <row r="99" spans="2:20" s="93" customFormat="1" ht="12.6">
      <c r="B99" s="119"/>
      <c r="S99" s="131"/>
      <c r="T99" s="131"/>
    </row>
    <row r="100" spans="2:20" s="93" customFormat="1" ht="12.6">
      <c r="B100" s="119"/>
      <c r="S100" s="131"/>
      <c r="T100" s="131"/>
    </row>
    <row r="101" spans="2:20" s="93" customFormat="1" ht="12.6">
      <c r="B101" s="119"/>
      <c r="S101" s="131"/>
      <c r="T101" s="131"/>
    </row>
    <row r="102" spans="2:20" s="93" customFormat="1" ht="12.6">
      <c r="B102" s="119"/>
      <c r="S102" s="131"/>
      <c r="T102" s="131"/>
    </row>
    <row r="103" spans="2:20" s="93" customFormat="1" ht="12.6">
      <c r="B103" s="119"/>
      <c r="S103" s="131"/>
      <c r="T103" s="131"/>
    </row>
    <row r="104" spans="2:20" s="93" customFormat="1" ht="12.6">
      <c r="B104" s="119"/>
      <c r="S104" s="131"/>
      <c r="T104" s="131"/>
    </row>
    <row r="105" spans="2:20" s="93" customFormat="1" ht="12.6">
      <c r="B105" s="119"/>
      <c r="S105" s="131"/>
      <c r="T105" s="131"/>
    </row>
    <row r="106" spans="2:20" s="93" customFormat="1" ht="12.6">
      <c r="B106" s="119"/>
      <c r="S106" s="131"/>
      <c r="T106" s="131"/>
    </row>
    <row r="107" spans="2:20" s="93" customFormat="1" ht="12.6">
      <c r="B107" s="119"/>
      <c r="S107" s="131"/>
      <c r="T107" s="131"/>
    </row>
    <row r="108" spans="2:20" s="93" customFormat="1" ht="12.6">
      <c r="B108" s="119"/>
      <c r="S108" s="131"/>
      <c r="T108" s="131"/>
    </row>
    <row r="109" spans="2:20" s="93" customFormat="1" ht="12.6">
      <c r="B109" s="119"/>
      <c r="S109" s="131"/>
      <c r="T109" s="131"/>
    </row>
    <row r="110" spans="2:20" s="93" customFormat="1" ht="12.6">
      <c r="B110" s="119"/>
      <c r="S110" s="131"/>
      <c r="T110" s="131"/>
    </row>
    <row r="111" spans="2:20" s="93" customFormat="1" ht="12.6">
      <c r="B111" s="119"/>
      <c r="S111" s="131"/>
      <c r="T111" s="131"/>
    </row>
    <row r="112" spans="2:20" s="93" customFormat="1" ht="12.6">
      <c r="B112" s="119"/>
      <c r="S112" s="131"/>
      <c r="T112" s="131"/>
    </row>
    <row r="113" spans="2:20" s="93" customFormat="1" ht="12.6">
      <c r="B113" s="119"/>
      <c r="S113" s="131"/>
      <c r="T113" s="131"/>
    </row>
    <row r="114" spans="2:20" s="93" customFormat="1" ht="12.6">
      <c r="B114" s="119"/>
      <c r="S114" s="131"/>
      <c r="T114" s="131"/>
    </row>
    <row r="115" spans="2:20" s="93" customFormat="1" ht="12.6">
      <c r="B115" s="119"/>
      <c r="S115" s="131"/>
      <c r="T115" s="131"/>
    </row>
    <row r="116" spans="2:20" s="93" customFormat="1" ht="12.6">
      <c r="B116" s="119"/>
      <c r="S116" s="131"/>
      <c r="T116" s="131"/>
    </row>
    <row r="117" spans="2:20" s="93" customFormat="1" ht="12.6">
      <c r="B117" s="119"/>
      <c r="S117" s="131"/>
      <c r="T117" s="131"/>
    </row>
    <row r="118" spans="2:20" s="93" customFormat="1" ht="12.6">
      <c r="B118" s="119"/>
      <c r="S118" s="131"/>
      <c r="T118" s="131"/>
    </row>
    <row r="119" spans="2:20" s="93" customFormat="1" ht="12.6">
      <c r="B119" s="119"/>
      <c r="S119" s="131"/>
      <c r="T119" s="131"/>
    </row>
    <row r="120" spans="2:20" s="93" customFormat="1" ht="12.6">
      <c r="B120" s="119"/>
      <c r="S120" s="131"/>
      <c r="T120" s="131"/>
    </row>
    <row r="121" spans="2:20" s="93" customFormat="1" ht="12.6">
      <c r="B121" s="119"/>
      <c r="S121" s="131"/>
      <c r="T121" s="131"/>
    </row>
    <row r="122" spans="2:20" s="93" customFormat="1" ht="12.6">
      <c r="B122" s="119"/>
      <c r="S122" s="131"/>
      <c r="T122" s="131"/>
    </row>
    <row r="123" spans="2:20" s="93" customFormat="1" ht="12.6">
      <c r="B123" s="119"/>
      <c r="S123" s="131"/>
      <c r="T123" s="131"/>
    </row>
    <row r="124" spans="2:20" s="93" customFormat="1" ht="12.6">
      <c r="B124" s="119"/>
      <c r="S124" s="131"/>
      <c r="T124" s="131"/>
    </row>
    <row r="125" spans="2:20" s="93" customFormat="1" ht="12.6">
      <c r="B125" s="119"/>
      <c r="S125" s="131"/>
      <c r="T125" s="131"/>
    </row>
    <row r="126" spans="2:20" s="93" customFormat="1" ht="12.6">
      <c r="B126" s="119"/>
      <c r="S126" s="131"/>
      <c r="T126" s="131"/>
    </row>
    <row r="127" spans="2:20" s="93" customFormat="1" ht="12.6">
      <c r="B127" s="119"/>
      <c r="S127" s="131"/>
      <c r="T127" s="131"/>
    </row>
    <row r="128" spans="2:20" s="93" customFormat="1" ht="12.6">
      <c r="B128" s="119"/>
      <c r="S128" s="131"/>
      <c r="T128" s="131"/>
    </row>
    <row r="129" spans="2:20" s="93" customFormat="1" ht="12.6">
      <c r="B129" s="119"/>
      <c r="S129" s="131"/>
      <c r="T129" s="131"/>
    </row>
    <row r="130" spans="2:20" s="93" customFormat="1" ht="12.6">
      <c r="B130" s="119"/>
      <c r="S130" s="131"/>
      <c r="T130" s="131"/>
    </row>
    <row r="131" spans="2:20" s="93" customFormat="1" ht="12.6">
      <c r="B131" s="119"/>
      <c r="S131" s="131"/>
      <c r="T131" s="131"/>
    </row>
    <row r="132" spans="2:20" s="93" customFormat="1" ht="12.6">
      <c r="B132" s="119"/>
      <c r="S132" s="131"/>
      <c r="T132" s="131"/>
    </row>
    <row r="133" spans="2:20" s="93" customFormat="1" ht="12.6">
      <c r="B133" s="119"/>
      <c r="S133" s="131"/>
      <c r="T133" s="131"/>
    </row>
    <row r="134" spans="2:20" s="93" customFormat="1" ht="12.6">
      <c r="B134" s="119"/>
      <c r="S134" s="131"/>
      <c r="T134" s="131"/>
    </row>
    <row r="135" spans="2:20" s="93" customFormat="1" ht="12.6">
      <c r="B135" s="119"/>
      <c r="S135" s="131"/>
      <c r="T135" s="131"/>
    </row>
    <row r="136" spans="2:20" s="93" customFormat="1" ht="12.6">
      <c r="B136" s="119"/>
      <c r="S136" s="131"/>
      <c r="T136" s="131"/>
    </row>
    <row r="137" spans="2:20" s="93" customFormat="1" ht="12.6">
      <c r="B137" s="119"/>
      <c r="S137" s="131"/>
      <c r="T137" s="131"/>
    </row>
    <row r="138" spans="2:20" s="93" customFormat="1" ht="12.6">
      <c r="B138" s="119"/>
      <c r="S138" s="131"/>
      <c r="T138" s="131"/>
    </row>
    <row r="139" spans="2:20" s="93" customFormat="1" ht="12.6">
      <c r="B139" s="119"/>
      <c r="S139" s="131"/>
      <c r="T139" s="131"/>
    </row>
    <row r="140" spans="2:20" s="93" customFormat="1" ht="12.6">
      <c r="B140" s="119"/>
      <c r="S140" s="131"/>
      <c r="T140" s="131"/>
    </row>
    <row r="141" spans="2:20" s="93" customFormat="1" ht="12.6">
      <c r="B141" s="119"/>
      <c r="S141" s="131"/>
      <c r="T141" s="131"/>
    </row>
    <row r="142" spans="2:20" s="93" customFormat="1" ht="12.6">
      <c r="B142" s="119"/>
      <c r="S142" s="131"/>
      <c r="T142" s="131"/>
    </row>
    <row r="143" spans="2:20" s="93" customFormat="1" ht="12.6">
      <c r="B143" s="119"/>
      <c r="S143" s="131"/>
      <c r="T143" s="131"/>
    </row>
    <row r="144" spans="2:20" s="93" customFormat="1" ht="12.6">
      <c r="B144" s="119"/>
      <c r="S144" s="131"/>
      <c r="T144" s="131"/>
    </row>
    <row r="145" spans="2:20" s="93" customFormat="1" ht="12.6">
      <c r="B145" s="119"/>
      <c r="S145" s="131"/>
      <c r="T145" s="131"/>
    </row>
    <row r="146" spans="2:20" s="93" customFormat="1" ht="12.6">
      <c r="B146" s="119"/>
      <c r="S146" s="131"/>
      <c r="T146" s="131"/>
    </row>
    <row r="147" spans="2:20" s="93" customFormat="1" ht="12.6">
      <c r="B147" s="119"/>
      <c r="S147" s="131"/>
      <c r="T147" s="131"/>
    </row>
    <row r="148" spans="2:20" s="93" customFormat="1" ht="12.6">
      <c r="B148" s="119"/>
      <c r="S148" s="131"/>
      <c r="T148" s="131"/>
    </row>
    <row r="149" spans="2:20" s="93" customFormat="1" ht="12.6">
      <c r="B149" s="119"/>
      <c r="S149" s="131"/>
      <c r="T149" s="131"/>
    </row>
    <row r="150" spans="2:20" s="93" customFormat="1" ht="12.6">
      <c r="B150" s="119"/>
      <c r="S150" s="131"/>
      <c r="T150" s="131"/>
    </row>
    <row r="151" spans="2:20" s="93" customFormat="1" ht="12.6">
      <c r="B151" s="119"/>
      <c r="S151" s="131"/>
      <c r="T151" s="131"/>
    </row>
    <row r="152" spans="2:20" s="93" customFormat="1" ht="12.6">
      <c r="B152" s="119"/>
      <c r="S152" s="131"/>
      <c r="T152" s="131"/>
    </row>
    <row r="153" spans="2:20" s="93" customFormat="1" ht="12.6">
      <c r="B153" s="119"/>
      <c r="S153" s="131"/>
      <c r="T153" s="131"/>
    </row>
    <row r="154" spans="2:20" s="93" customFormat="1" ht="12.6">
      <c r="B154" s="119"/>
      <c r="S154" s="131"/>
      <c r="T154" s="131"/>
    </row>
    <row r="155" spans="2:20" s="93" customFormat="1" ht="12.6">
      <c r="B155" s="119"/>
      <c r="S155" s="131"/>
      <c r="T155" s="131"/>
    </row>
    <row r="156" spans="2:20" s="93" customFormat="1" ht="12.6">
      <c r="B156" s="119"/>
      <c r="S156" s="131"/>
      <c r="T156" s="131"/>
    </row>
    <row r="157" spans="2:20" s="93" customFormat="1" ht="12.6">
      <c r="B157" s="119"/>
      <c r="S157" s="131"/>
      <c r="T157" s="131"/>
    </row>
    <row r="158" spans="2:20" s="93" customFormat="1" ht="12.6">
      <c r="B158" s="119"/>
      <c r="S158" s="131"/>
      <c r="T158" s="131"/>
    </row>
    <row r="159" spans="2:20" s="93" customFormat="1" ht="12.6">
      <c r="B159" s="119"/>
      <c r="S159" s="131"/>
      <c r="T159" s="131"/>
    </row>
    <row r="160" spans="2:20" s="93" customFormat="1" ht="12.6">
      <c r="B160" s="119"/>
      <c r="S160" s="131"/>
      <c r="T160" s="131"/>
    </row>
    <row r="161" spans="2:20" s="93" customFormat="1" ht="12.6">
      <c r="B161" s="119"/>
      <c r="S161" s="131"/>
      <c r="T161" s="131"/>
    </row>
    <row r="162" spans="2:20" s="93" customFormat="1" ht="12.6">
      <c r="B162" s="119"/>
      <c r="S162" s="131"/>
      <c r="T162" s="131"/>
    </row>
    <row r="163" spans="2:20" s="93" customFormat="1" ht="12.6">
      <c r="B163" s="119"/>
      <c r="S163" s="131"/>
      <c r="T163" s="131"/>
    </row>
    <row r="164" spans="2:20" s="93" customFormat="1" ht="12.6">
      <c r="B164" s="119"/>
      <c r="S164" s="131"/>
      <c r="T164" s="131"/>
    </row>
    <row r="165" spans="2:20" s="93" customFormat="1" ht="12.6">
      <c r="B165" s="119"/>
      <c r="S165" s="131"/>
      <c r="T165" s="131"/>
    </row>
    <row r="166" spans="2:20" s="93" customFormat="1" ht="12.6">
      <c r="B166" s="119"/>
      <c r="S166" s="131"/>
      <c r="T166" s="131"/>
    </row>
    <row r="167" spans="2:20" s="93" customFormat="1" ht="12.6">
      <c r="B167" s="119"/>
      <c r="S167" s="131"/>
      <c r="T167" s="131"/>
    </row>
    <row r="168" spans="2:20" s="93" customFormat="1" ht="12.6">
      <c r="B168" s="119"/>
      <c r="S168" s="131"/>
      <c r="T168" s="131"/>
    </row>
    <row r="169" spans="2:20" s="93" customFormat="1" ht="12.6">
      <c r="B169" s="119"/>
      <c r="S169" s="131"/>
      <c r="T169" s="131"/>
    </row>
    <row r="170" spans="2:20" s="93" customFormat="1" ht="12.6">
      <c r="B170" s="119"/>
      <c r="S170" s="131"/>
      <c r="T170" s="131"/>
    </row>
    <row r="171" spans="2:20" s="93" customFormat="1" ht="12.6">
      <c r="B171" s="119"/>
      <c r="S171" s="131"/>
      <c r="T171" s="131"/>
    </row>
    <row r="172" spans="2:20" s="93" customFormat="1" ht="12.6">
      <c r="B172" s="119"/>
      <c r="S172" s="131"/>
      <c r="T172" s="131"/>
    </row>
    <row r="173" spans="2:20" s="93" customFormat="1" ht="12.6">
      <c r="B173" s="119"/>
      <c r="S173" s="131"/>
      <c r="T173" s="131"/>
    </row>
    <row r="174" spans="2:20" s="93" customFormat="1" ht="12.6">
      <c r="B174" s="119"/>
      <c r="S174" s="131"/>
      <c r="T174" s="131"/>
    </row>
    <row r="175" spans="2:20" s="93" customFormat="1" ht="12.6">
      <c r="B175" s="119"/>
      <c r="S175" s="131"/>
      <c r="T175" s="131"/>
    </row>
    <row r="176" spans="2:20" s="93" customFormat="1" ht="12.6">
      <c r="B176" s="119"/>
      <c r="S176" s="131"/>
      <c r="T176" s="131"/>
    </row>
    <row r="177" spans="2:20" s="93" customFormat="1" ht="12.6">
      <c r="B177" s="119"/>
      <c r="S177" s="131"/>
      <c r="T177" s="131"/>
    </row>
    <row r="178" spans="2:20" s="93" customFormat="1" ht="12.6">
      <c r="B178" s="119"/>
      <c r="S178" s="131"/>
      <c r="T178" s="131"/>
    </row>
    <row r="179" spans="2:20" s="93" customFormat="1" ht="12.6">
      <c r="B179" s="119"/>
      <c r="S179" s="131"/>
      <c r="T179" s="131"/>
    </row>
    <row r="180" spans="2:20" s="93" customFormat="1" ht="12.6">
      <c r="B180" s="119"/>
      <c r="S180" s="131"/>
      <c r="T180" s="131"/>
    </row>
    <row r="181" spans="2:20" s="93" customFormat="1" ht="12.6">
      <c r="B181" s="119"/>
      <c r="S181" s="131"/>
      <c r="T181" s="131"/>
    </row>
    <row r="182" spans="2:20" s="93" customFormat="1" ht="12.6">
      <c r="B182" s="119"/>
      <c r="S182" s="131"/>
      <c r="T182" s="131"/>
    </row>
    <row r="183" spans="2:20" s="93" customFormat="1" ht="12.6">
      <c r="B183" s="119"/>
      <c r="S183" s="131"/>
      <c r="T183" s="131"/>
    </row>
    <row r="184" spans="2:20" s="93" customFormat="1" ht="12.6">
      <c r="B184" s="119"/>
      <c r="S184" s="131"/>
      <c r="T184" s="131"/>
    </row>
    <row r="185" spans="2:20" s="93" customFormat="1" ht="12.6">
      <c r="B185" s="119"/>
      <c r="S185" s="131"/>
      <c r="T185" s="131"/>
    </row>
    <row r="186" spans="2:20" s="93" customFormat="1" ht="12.6">
      <c r="B186" s="119"/>
      <c r="S186" s="131"/>
      <c r="T186" s="131"/>
    </row>
    <row r="187" spans="2:20" s="93" customFormat="1" ht="12.6">
      <c r="B187" s="119"/>
      <c r="S187" s="131"/>
      <c r="T187" s="131"/>
    </row>
    <row r="188" spans="2:20" s="93" customFormat="1" ht="12.6">
      <c r="B188" s="119"/>
      <c r="S188" s="131"/>
      <c r="T188" s="131"/>
    </row>
    <row r="189" spans="2:20" s="93" customFormat="1" ht="12.6">
      <c r="B189" s="119"/>
      <c r="S189" s="131"/>
      <c r="T189" s="131"/>
    </row>
    <row r="190" spans="2:20" s="93" customFormat="1" ht="12.6">
      <c r="B190" s="119"/>
      <c r="S190" s="131"/>
      <c r="T190" s="131"/>
    </row>
    <row r="191" spans="2:20" s="93" customFormat="1" ht="12.6">
      <c r="B191" s="119"/>
      <c r="S191" s="131"/>
      <c r="T191" s="131"/>
    </row>
    <row r="192" spans="2:20" s="93" customFormat="1" ht="12.6">
      <c r="B192" s="119"/>
      <c r="S192" s="131"/>
      <c r="T192" s="131"/>
    </row>
    <row r="193" spans="2:20" s="93" customFormat="1" ht="12.6">
      <c r="B193" s="119"/>
      <c r="S193" s="131"/>
      <c r="T193" s="131"/>
    </row>
    <row r="194" spans="2:20" s="93" customFormat="1" ht="12.6">
      <c r="B194" s="119"/>
      <c r="S194" s="131"/>
      <c r="T194" s="131"/>
    </row>
    <row r="195" spans="2:20" s="93" customFormat="1" ht="12.6">
      <c r="B195" s="119"/>
      <c r="S195" s="131"/>
      <c r="T195" s="131"/>
    </row>
    <row r="196" spans="2:20" s="93" customFormat="1" ht="12.6">
      <c r="B196" s="119"/>
      <c r="S196" s="131"/>
      <c r="T196" s="131"/>
    </row>
    <row r="197" spans="2:20" s="93" customFormat="1" ht="12.6">
      <c r="B197" s="119"/>
      <c r="S197" s="131"/>
      <c r="T197" s="131"/>
    </row>
    <row r="198" spans="2:20" s="93" customFormat="1" ht="12.6">
      <c r="B198" s="119"/>
      <c r="S198" s="131"/>
      <c r="T198" s="131"/>
    </row>
    <row r="199" spans="2:20" s="93" customFormat="1" ht="12.6">
      <c r="B199" s="119"/>
      <c r="S199" s="131"/>
      <c r="T199" s="131"/>
    </row>
    <row r="200" spans="2:20" s="93" customFormat="1" ht="12.6">
      <c r="B200" s="119"/>
      <c r="S200" s="131"/>
      <c r="T200" s="131"/>
    </row>
    <row r="201" spans="2:20" s="93" customFormat="1" ht="12.6">
      <c r="B201" s="119"/>
      <c r="S201" s="131"/>
      <c r="T201" s="131"/>
    </row>
    <row r="202" spans="2:20" s="93" customFormat="1" ht="12.6">
      <c r="B202" s="119"/>
      <c r="S202" s="131"/>
      <c r="T202" s="131"/>
    </row>
    <row r="203" spans="2:20" s="93" customFormat="1" ht="12.6">
      <c r="B203" s="119"/>
      <c r="S203" s="131"/>
      <c r="T203" s="131"/>
    </row>
    <row r="204" spans="2:20" s="93" customFormat="1" ht="12.6">
      <c r="B204" s="119"/>
      <c r="S204" s="131"/>
      <c r="T204" s="131"/>
    </row>
    <row r="205" spans="2:20" s="93" customFormat="1" ht="12.6">
      <c r="B205" s="119"/>
      <c r="S205" s="131"/>
      <c r="T205" s="131"/>
    </row>
    <row r="206" spans="2:20" s="93" customFormat="1" ht="12.6">
      <c r="B206" s="119"/>
      <c r="S206" s="131"/>
      <c r="T206" s="131"/>
    </row>
    <row r="207" spans="2:20" s="93" customFormat="1" ht="12.6">
      <c r="B207" s="119"/>
      <c r="S207" s="131"/>
      <c r="T207" s="131"/>
    </row>
    <row r="208" spans="2:20" s="93" customFormat="1" ht="12.6">
      <c r="B208" s="119"/>
      <c r="S208" s="131"/>
      <c r="T208" s="131"/>
    </row>
    <row r="209" spans="2:20" s="93" customFormat="1" ht="12.6">
      <c r="B209" s="119"/>
      <c r="S209" s="131"/>
      <c r="T209" s="131"/>
    </row>
    <row r="210" spans="2:20" s="93" customFormat="1" ht="12.6">
      <c r="B210" s="119"/>
      <c r="S210" s="131"/>
      <c r="T210" s="131"/>
    </row>
    <row r="211" spans="2:20" s="93" customFormat="1" ht="12.6">
      <c r="B211" s="119"/>
      <c r="S211" s="131"/>
      <c r="T211" s="131"/>
    </row>
    <row r="212" spans="2:20" s="93" customFormat="1" ht="12.6">
      <c r="B212" s="119"/>
      <c r="S212" s="131"/>
      <c r="T212" s="131"/>
    </row>
    <row r="213" spans="2:20" s="93" customFormat="1" ht="12.6">
      <c r="B213" s="119"/>
      <c r="S213" s="131"/>
      <c r="T213" s="131"/>
    </row>
    <row r="214" spans="2:20" s="93" customFormat="1" ht="12.6">
      <c r="B214" s="119"/>
      <c r="S214" s="131"/>
      <c r="T214" s="131"/>
    </row>
    <row r="215" spans="2:20" s="93" customFormat="1" ht="12.6">
      <c r="B215" s="119"/>
      <c r="S215" s="131"/>
      <c r="T215" s="131"/>
    </row>
    <row r="216" spans="2:20" s="93" customFormat="1" ht="12.6">
      <c r="B216" s="119"/>
      <c r="S216" s="131"/>
      <c r="T216" s="131"/>
    </row>
    <row r="217" spans="2:20" s="93" customFormat="1" ht="12.6">
      <c r="B217" s="119"/>
      <c r="S217" s="131"/>
      <c r="T217" s="131"/>
    </row>
    <row r="218" spans="2:20" s="93" customFormat="1" ht="12.6">
      <c r="B218" s="119"/>
      <c r="S218" s="131"/>
      <c r="T218" s="1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C1" zoomScale="120" zoomScaleNormal="120" workbookViewId="0">
      <selection activeCell="E7" sqref="E7"/>
    </sheetView>
  </sheetViews>
  <sheetFormatPr defaultColWidth="8.28515625" defaultRowHeight="14.1"/>
  <cols>
    <col min="1" max="1" width="1.28515625" style="114" customWidth="1"/>
    <col min="2" max="2" width="6.28515625" style="190" bestFit="1" customWidth="1"/>
    <col min="3" max="3" width="50.5703125" style="24" bestFit="1" customWidth="1"/>
    <col min="4" max="4" width="3.28515625" style="114" customWidth="1"/>
    <col min="5" max="5" width="15" style="24" bestFit="1" customWidth="1"/>
    <col min="6" max="6" width="10.28515625" style="187" customWidth="1"/>
    <col min="7" max="7" width="13.5703125" style="64" customWidth="1"/>
    <col min="8" max="8" width="5" style="114" customWidth="1"/>
    <col min="9" max="9" width="13.28515625" style="114" customWidth="1"/>
    <col min="10" max="10" width="11.28515625" style="115" customWidth="1"/>
    <col min="11" max="11" width="14.5703125" style="114" customWidth="1"/>
    <col min="12" max="12" width="2.28515625" style="114" customWidth="1"/>
    <col min="13" max="13" width="12.5703125" style="114" customWidth="1"/>
    <col min="14" max="14" width="11" style="114" bestFit="1" customWidth="1"/>
    <col min="15" max="15" width="39.28515625" style="114" bestFit="1" customWidth="1"/>
    <col min="16" max="16" width="1.28515625" style="114" customWidth="1"/>
    <col min="17" max="17" width="5.5703125" style="3" customWidth="1"/>
    <col min="18" max="25" width="8.28515625" style="114"/>
    <col min="26" max="16384" width="8.28515625" style="24"/>
  </cols>
  <sheetData>
    <row r="1" spans="2:28" s="114" customFormat="1" ht="4.5" customHeight="1">
      <c r="B1" s="186"/>
      <c r="F1" s="187"/>
      <c r="G1" s="115"/>
      <c r="J1" s="115"/>
      <c r="N1" s="611">
        <v>45943</v>
      </c>
      <c r="O1" s="611">
        <v>45943</v>
      </c>
      <c r="Q1" s="3"/>
    </row>
    <row r="2" spans="2:28">
      <c r="B2" s="225"/>
      <c r="C2" s="226" t="s">
        <v>0</v>
      </c>
      <c r="D2" s="227"/>
      <c r="E2" s="885" t="s">
        <v>124</v>
      </c>
      <c r="F2" s="886"/>
      <c r="G2" s="886"/>
      <c r="H2" s="887"/>
      <c r="N2" s="612">
        <v>0</v>
      </c>
      <c r="O2" s="612">
        <v>1</v>
      </c>
    </row>
    <row r="3" spans="2:28" s="114" customFormat="1">
      <c r="B3" s="228"/>
      <c r="C3" s="229" t="s">
        <v>125</v>
      </c>
      <c r="D3" s="227"/>
      <c r="E3" s="653">
        <v>250</v>
      </c>
      <c r="F3" s="230"/>
      <c r="G3" s="231"/>
      <c r="H3" s="232"/>
      <c r="J3" s="115"/>
      <c r="Q3" s="3"/>
    </row>
    <row r="4" spans="2:28" s="114" customFormat="1">
      <c r="B4" s="228"/>
      <c r="C4" s="229" t="s">
        <v>126</v>
      </c>
      <c r="D4" s="227"/>
      <c r="E4" s="888" t="s">
        <v>127</v>
      </c>
      <c r="F4" s="889"/>
      <c r="G4" s="889"/>
      <c r="H4" s="890"/>
      <c r="J4" s="115"/>
      <c r="Q4" s="3"/>
    </row>
    <row r="5" spans="2:28" s="114" customFormat="1">
      <c r="B5" s="228"/>
      <c r="C5" s="229" t="s">
        <v>128</v>
      </c>
      <c r="D5" s="227"/>
      <c r="E5" s="888" t="s">
        <v>129</v>
      </c>
      <c r="F5" s="889"/>
      <c r="G5" s="889"/>
      <c r="H5" s="890"/>
      <c r="J5" s="115"/>
      <c r="Q5" s="3"/>
    </row>
    <row r="6" spans="2:28">
      <c r="B6" s="233"/>
      <c r="C6" s="234" t="s">
        <v>130</v>
      </c>
      <c r="D6" s="227"/>
      <c r="E6" s="734">
        <v>2462259.00338786</v>
      </c>
      <c r="F6" s="720"/>
      <c r="G6" s="720"/>
      <c r="H6" s="721"/>
    </row>
    <row r="7" spans="2:28" s="114" customFormat="1">
      <c r="B7" s="186"/>
      <c r="C7" s="867" t="s">
        <v>131</v>
      </c>
      <c r="E7" s="621" t="s">
        <v>132</v>
      </c>
      <c r="F7" s="187"/>
      <c r="G7" s="235"/>
      <c r="J7" s="115"/>
      <c r="Q7" s="3"/>
    </row>
    <row r="8" spans="2:28" ht="30" customHeight="1">
      <c r="B8" s="880" t="s">
        <v>91</v>
      </c>
      <c r="C8" s="881" t="s">
        <v>133</v>
      </c>
      <c r="D8" s="264"/>
      <c r="E8" s="883" t="s">
        <v>134</v>
      </c>
      <c r="F8" s="286" t="s">
        <v>135</v>
      </c>
      <c r="G8" s="883" t="s">
        <v>136</v>
      </c>
      <c r="H8" s="287"/>
      <c r="I8" s="883" t="s">
        <v>137</v>
      </c>
      <c r="J8" s="286" t="s">
        <v>135</v>
      </c>
      <c r="K8" s="883" t="s">
        <v>138</v>
      </c>
      <c r="M8" s="652" t="s">
        <v>60</v>
      </c>
      <c r="O8" s="891" t="s">
        <v>139</v>
      </c>
      <c r="Z8" s="114"/>
      <c r="AA8" s="114"/>
      <c r="AB8" s="114"/>
    </row>
    <row r="9" spans="2:28">
      <c r="B9" s="881"/>
      <c r="C9" s="882"/>
      <c r="D9" s="264"/>
      <c r="E9" s="884"/>
      <c r="F9" s="128">
        <v>55</v>
      </c>
      <c r="G9" s="884"/>
      <c r="H9" s="287"/>
      <c r="I9" s="884"/>
      <c r="J9" s="129">
        <v>55</v>
      </c>
      <c r="K9" s="884"/>
      <c r="M9" s="499">
        <v>1</v>
      </c>
      <c r="N9" s="499">
        <v>1</v>
      </c>
      <c r="O9" s="892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8">
        <v>1</v>
      </c>
      <c r="N11" s="498">
        <v>1</v>
      </c>
      <c r="O11" s="121"/>
      <c r="P11" s="114"/>
      <c r="Q11" s="122"/>
    </row>
    <row r="12" spans="2:28" s="114" customFormat="1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3">
        <v>1</v>
      </c>
      <c r="N14" s="303">
        <v>1</v>
      </c>
      <c r="O14" s="124"/>
      <c r="Q14" s="3"/>
    </row>
    <row r="15" spans="2:28" s="114" customFormat="1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3">
        <v>1</v>
      </c>
      <c r="N15" s="303">
        <v>1</v>
      </c>
      <c r="O15" s="124"/>
      <c r="Q15" s="3"/>
    </row>
    <row r="16" spans="2:28" s="114" customFormat="1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8">
        <v>1</v>
      </c>
      <c r="N18" s="498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7" t="s">
        <v>151</v>
      </c>
      <c r="C19" s="298" t="s">
        <v>152</v>
      </c>
      <c r="D19" s="264"/>
      <c r="E19" s="656">
        <v>45560</v>
      </c>
      <c r="F19" s="300">
        <v>1</v>
      </c>
      <c r="G19" s="299">
        <v>45561</v>
      </c>
      <c r="H19" s="287"/>
      <c r="I19" s="656">
        <v>45560</v>
      </c>
      <c r="J19" s="300">
        <v>1</v>
      </c>
      <c r="K19" s="299">
        <v>45561</v>
      </c>
      <c r="M19" s="303">
        <v>1</v>
      </c>
      <c r="N19" s="303">
        <v>1</v>
      </c>
      <c r="O19" s="124"/>
      <c r="Q19" s="126"/>
      <c r="R19" s="123"/>
      <c r="S19" s="123">
        <v>88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7.5" customHeight="1">
      <c r="B20" s="288"/>
      <c r="C20" s="264"/>
      <c r="D20" s="264"/>
      <c r="E20" s="289"/>
      <c r="F20" s="289"/>
      <c r="G20" s="289"/>
      <c r="H20" s="287"/>
      <c r="I20" s="289"/>
      <c r="J20" s="289"/>
      <c r="K20" s="289"/>
      <c r="Q20" s="3"/>
    </row>
    <row r="21" spans="2:28" s="116" customFormat="1">
      <c r="B21" s="293">
        <v>3</v>
      </c>
      <c r="C21" s="294" t="s">
        <v>154</v>
      </c>
      <c r="D21" s="268"/>
      <c r="E21" s="295">
        <v>45562</v>
      </c>
      <c r="F21" s="296">
        <v>35</v>
      </c>
      <c r="G21" s="295">
        <v>45597</v>
      </c>
      <c r="H21" s="301"/>
      <c r="I21" s="295">
        <v>45562</v>
      </c>
      <c r="J21" s="296">
        <v>35</v>
      </c>
      <c r="K21" s="295">
        <v>45597</v>
      </c>
      <c r="M21" s="498">
        <v>1</v>
      </c>
      <c r="N21" s="498">
        <v>1</v>
      </c>
      <c r="O21" s="121"/>
      <c r="P21" s="114"/>
      <c r="Q21" s="125"/>
      <c r="R21" s="120"/>
      <c r="S21" s="731">
        <v>17.600000000000001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7" t="s">
        <v>156</v>
      </c>
      <c r="C22" s="298" t="s">
        <v>157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3">
        <v>1</v>
      </c>
      <c r="N22" s="303">
        <v>1</v>
      </c>
      <c r="O22" s="124"/>
      <c r="Q22" s="126"/>
      <c r="R22" s="123"/>
      <c r="S22" s="732">
        <v>14.204545454545453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7" t="s">
        <v>159</v>
      </c>
      <c r="C23" s="298" t="s">
        <v>160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161</v>
      </c>
      <c r="C24" s="298" t="s">
        <v>162</v>
      </c>
      <c r="D24" s="264"/>
      <c r="E24" s="656">
        <v>45560</v>
      </c>
      <c r="F24" s="300">
        <v>30</v>
      </c>
      <c r="G24" s="299">
        <v>45602</v>
      </c>
      <c r="H24" s="287"/>
      <c r="I24" s="656">
        <v>45560</v>
      </c>
      <c r="J24" s="300">
        <v>30</v>
      </c>
      <c r="K24" s="299">
        <v>45602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163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164</v>
      </c>
      <c r="C26" s="298" t="s">
        <v>165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7.5" customHeight="1">
      <c r="B27" s="288"/>
      <c r="C27" s="264"/>
      <c r="D27" s="264"/>
      <c r="E27" s="289"/>
      <c r="F27" s="289"/>
      <c r="G27" s="289"/>
      <c r="H27" s="287"/>
      <c r="I27" s="289"/>
      <c r="J27" s="289"/>
      <c r="K27" s="289"/>
      <c r="Q27" s="3"/>
    </row>
    <row r="28" spans="2:28" s="116" customFormat="1">
      <c r="B28" s="293">
        <v>4</v>
      </c>
      <c r="C28" s="294" t="s">
        <v>34</v>
      </c>
      <c r="D28" s="268"/>
      <c r="E28" s="295">
        <v>45560</v>
      </c>
      <c r="F28" s="296">
        <v>37</v>
      </c>
      <c r="G28" s="295">
        <v>45597</v>
      </c>
      <c r="H28" s="301"/>
      <c r="I28" s="295">
        <v>45560</v>
      </c>
      <c r="J28" s="296">
        <v>37</v>
      </c>
      <c r="K28" s="295">
        <v>45597</v>
      </c>
      <c r="M28" s="498">
        <v>1</v>
      </c>
      <c r="N28" s="498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7" t="s">
        <v>166</v>
      </c>
      <c r="C29" s="298" t="s">
        <v>167</v>
      </c>
      <c r="D29" s="264"/>
      <c r="E29" s="299">
        <v>45560</v>
      </c>
      <c r="F29" s="300">
        <v>1</v>
      </c>
      <c r="G29" s="299">
        <v>45561</v>
      </c>
      <c r="H29" s="287"/>
      <c r="I29" s="299">
        <v>45560</v>
      </c>
      <c r="J29" s="300">
        <v>1</v>
      </c>
      <c r="K29" s="299">
        <v>45561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7" t="s">
        <v>168</v>
      </c>
      <c r="C30" s="298" t="s">
        <v>169</v>
      </c>
      <c r="D30" s="264"/>
      <c r="E30" s="299">
        <v>45560</v>
      </c>
      <c r="F30" s="300">
        <v>8</v>
      </c>
      <c r="G30" s="299">
        <v>45572</v>
      </c>
      <c r="H30" s="287"/>
      <c r="I30" s="299">
        <v>45560</v>
      </c>
      <c r="J30" s="300">
        <v>8</v>
      </c>
      <c r="K30" s="299">
        <v>45572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170</v>
      </c>
      <c r="C31" s="298" t="s">
        <v>171</v>
      </c>
      <c r="D31" s="264"/>
      <c r="E31" s="299">
        <v>45560</v>
      </c>
      <c r="F31" s="300">
        <v>1</v>
      </c>
      <c r="G31" s="299">
        <v>45561</v>
      </c>
      <c r="H31" s="287"/>
      <c r="I31" s="299">
        <v>45560</v>
      </c>
      <c r="J31" s="300">
        <v>1</v>
      </c>
      <c r="K31" s="299">
        <v>45561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170</v>
      </c>
      <c r="C32" s="298" t="s">
        <v>172</v>
      </c>
      <c r="D32" s="264"/>
      <c r="E32" s="299">
        <v>45597</v>
      </c>
      <c r="F32" s="300">
        <v>5</v>
      </c>
      <c r="G32" s="299">
        <v>45604</v>
      </c>
      <c r="H32" s="287"/>
      <c r="I32" s="299">
        <v>45597</v>
      </c>
      <c r="J32" s="300">
        <v>5</v>
      </c>
      <c r="K32" s="299">
        <v>45604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7.5" customHeight="1">
      <c r="B33" s="288"/>
      <c r="C33" s="264"/>
      <c r="D33" s="264"/>
      <c r="E33" s="289"/>
      <c r="F33" s="289"/>
      <c r="G33" s="289"/>
      <c r="H33" s="287"/>
      <c r="I33" s="289"/>
      <c r="J33" s="289"/>
      <c r="K33" s="289"/>
      <c r="Q33" s="3"/>
    </row>
    <row r="34" spans="2:28" s="116" customFormat="1">
      <c r="B34" s="293">
        <v>5</v>
      </c>
      <c r="C34" s="294" t="s">
        <v>173</v>
      </c>
      <c r="D34" s="268"/>
      <c r="E34" s="295">
        <v>45576</v>
      </c>
      <c r="F34" s="296">
        <v>33</v>
      </c>
      <c r="G34" s="295">
        <v>45609</v>
      </c>
      <c r="H34" s="269"/>
      <c r="I34" s="295">
        <v>45576</v>
      </c>
      <c r="J34" s="296">
        <v>33</v>
      </c>
      <c r="K34" s="295">
        <v>45609</v>
      </c>
      <c r="M34" s="498">
        <v>1</v>
      </c>
      <c r="N34" s="498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7" t="s">
        <v>174</v>
      </c>
      <c r="C35" s="298" t="s">
        <v>175</v>
      </c>
      <c r="D35" s="264"/>
      <c r="E35" s="299">
        <v>45576</v>
      </c>
      <c r="F35" s="300">
        <v>1</v>
      </c>
      <c r="G35" s="299">
        <v>45579</v>
      </c>
      <c r="H35" s="287"/>
      <c r="I35" s="299">
        <v>45576</v>
      </c>
      <c r="J35" s="300">
        <v>1</v>
      </c>
      <c r="K35" s="299">
        <v>45579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7" t="s">
        <v>176</v>
      </c>
      <c r="C36" s="298" t="s">
        <v>177</v>
      </c>
      <c r="D36" s="264"/>
      <c r="E36" s="299">
        <v>45576</v>
      </c>
      <c r="F36" s="300">
        <v>15</v>
      </c>
      <c r="G36" s="299">
        <v>45597</v>
      </c>
      <c r="H36" s="287"/>
      <c r="I36" s="299">
        <v>45576</v>
      </c>
      <c r="J36" s="300">
        <v>15</v>
      </c>
      <c r="K36" s="299">
        <v>45597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7.5" customHeight="1">
      <c r="B37" s="288"/>
      <c r="C37" s="264"/>
      <c r="D37" s="264"/>
      <c r="E37" s="289"/>
      <c r="F37" s="289"/>
      <c r="G37" s="289"/>
      <c r="H37" s="287"/>
      <c r="I37" s="289"/>
      <c r="J37" s="289"/>
      <c r="K37" s="289"/>
      <c r="Q37" s="3"/>
    </row>
    <row r="38" spans="2:28" s="116" customFormat="1">
      <c r="B38" s="293">
        <v>6</v>
      </c>
      <c r="C38" s="294" t="s">
        <v>178</v>
      </c>
      <c r="D38" s="268"/>
      <c r="E38" s="295">
        <v>45604</v>
      </c>
      <c r="F38" s="296">
        <v>5</v>
      </c>
      <c r="G38" s="295">
        <v>45609</v>
      </c>
      <c r="H38" s="269"/>
      <c r="I38" s="295">
        <v>45604</v>
      </c>
      <c r="J38" s="296">
        <v>5</v>
      </c>
      <c r="K38" s="295">
        <v>45609</v>
      </c>
      <c r="M38" s="498">
        <v>1</v>
      </c>
      <c r="N38" s="498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7" t="s">
        <v>179</v>
      </c>
      <c r="C39" s="292" t="s">
        <v>178</v>
      </c>
      <c r="D39" s="264"/>
      <c r="E39" s="302">
        <v>45609</v>
      </c>
      <c r="F39" s="300">
        <v>1</v>
      </c>
      <c r="G39" s="299">
        <v>45610</v>
      </c>
      <c r="H39" s="265"/>
      <c r="I39" s="302">
        <v>45609</v>
      </c>
      <c r="J39" s="300">
        <v>1</v>
      </c>
      <c r="K39" s="299">
        <v>45610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7" t="s">
        <v>180</v>
      </c>
      <c r="C40" s="292" t="s">
        <v>106</v>
      </c>
      <c r="D40" s="264"/>
      <c r="E40" s="302">
        <v>45609</v>
      </c>
      <c r="F40" s="300">
        <v>4</v>
      </c>
      <c r="G40" s="299">
        <v>45615</v>
      </c>
      <c r="H40" s="287"/>
      <c r="I40" s="302">
        <v>45609</v>
      </c>
      <c r="J40" s="300">
        <v>4</v>
      </c>
      <c r="K40" s="299">
        <v>45615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7.5" customHeight="1">
      <c r="B41" s="288"/>
      <c r="C41" s="264"/>
      <c r="D41" s="264"/>
      <c r="E41" s="289"/>
      <c r="F41" s="289"/>
      <c r="G41" s="289"/>
      <c r="H41" s="287"/>
      <c r="I41" s="289"/>
      <c r="J41" s="289"/>
      <c r="K41" s="289"/>
      <c r="Q41" s="3"/>
    </row>
    <row r="42" spans="2:28" s="116" customFormat="1">
      <c r="B42" s="293">
        <v>7</v>
      </c>
      <c r="C42" s="294" t="s">
        <v>181</v>
      </c>
      <c r="D42" s="268"/>
      <c r="E42" s="295">
        <v>45609</v>
      </c>
      <c r="F42" s="296">
        <v>28</v>
      </c>
      <c r="G42" s="295">
        <v>45637</v>
      </c>
      <c r="H42" s="269"/>
      <c r="I42" s="295">
        <v>45609</v>
      </c>
      <c r="J42" s="296">
        <v>28</v>
      </c>
      <c r="K42" s="295">
        <v>45637</v>
      </c>
      <c r="M42" s="498">
        <v>1</v>
      </c>
      <c r="N42" s="498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7">
        <v>7.1</v>
      </c>
      <c r="C43" s="292" t="s">
        <v>182</v>
      </c>
      <c r="D43" s="264"/>
      <c r="E43" s="302">
        <v>45615</v>
      </c>
      <c r="F43" s="300">
        <v>3</v>
      </c>
      <c r="G43" s="302">
        <v>45618</v>
      </c>
      <c r="H43" s="287"/>
      <c r="I43" s="302">
        <v>45632</v>
      </c>
      <c r="J43" s="300">
        <v>3</v>
      </c>
      <c r="K43" s="302">
        <v>45637</v>
      </c>
      <c r="M43" s="303">
        <v>1</v>
      </c>
      <c r="N43" s="303">
        <v>1</v>
      </c>
      <c r="O43" s="124"/>
      <c r="Y43" s="24"/>
    </row>
    <row r="44" spans="2:28" s="114" customFormat="1" ht="7.5" customHeight="1">
      <c r="B44" s="288"/>
      <c r="C44" s="264"/>
      <c r="D44" s="264"/>
      <c r="E44" s="289"/>
      <c r="F44" s="289"/>
      <c r="G44" s="289"/>
      <c r="H44" s="287"/>
      <c r="I44" s="289"/>
      <c r="J44" s="289"/>
      <c r="K44" s="289"/>
      <c r="Q44" s="3"/>
    </row>
    <row r="45" spans="2:28" s="116" customFormat="1">
      <c r="B45" s="293">
        <v>8</v>
      </c>
      <c r="C45" s="294" t="s">
        <v>183</v>
      </c>
      <c r="D45" s="268"/>
      <c r="E45" s="295">
        <v>45634</v>
      </c>
      <c r="F45" s="296">
        <v>52</v>
      </c>
      <c r="G45" s="295">
        <v>45686</v>
      </c>
      <c r="H45" s="269"/>
      <c r="I45" s="295">
        <v>45634</v>
      </c>
      <c r="J45" s="296">
        <v>52</v>
      </c>
      <c r="K45" s="295">
        <v>45686</v>
      </c>
      <c r="M45" s="498">
        <v>1</v>
      </c>
      <c r="N45" s="498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7">
        <v>8.1</v>
      </c>
      <c r="C46" s="292" t="s">
        <v>184</v>
      </c>
      <c r="D46" s="264"/>
      <c r="E46" s="302">
        <v>45618</v>
      </c>
      <c r="F46" s="300">
        <v>1</v>
      </c>
      <c r="G46" s="302">
        <v>45621</v>
      </c>
      <c r="H46" s="287"/>
      <c r="I46" s="302">
        <v>45637</v>
      </c>
      <c r="J46" s="300">
        <v>1</v>
      </c>
      <c r="K46" s="302">
        <v>45638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7">
        <v>8.1999999999999993</v>
      </c>
      <c r="C47" s="292" t="s">
        <v>185</v>
      </c>
      <c r="D47" s="264"/>
      <c r="E47" s="302">
        <v>45621</v>
      </c>
      <c r="F47" s="300">
        <v>5</v>
      </c>
      <c r="G47" s="302">
        <v>45628</v>
      </c>
      <c r="H47" s="287"/>
      <c r="I47" s="302">
        <v>45638</v>
      </c>
      <c r="J47" s="300">
        <v>28</v>
      </c>
      <c r="K47" s="302">
        <v>45681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7">
        <v>8.3000000000000007</v>
      </c>
      <c r="C48" s="292" t="s">
        <v>186</v>
      </c>
      <c r="D48" s="264"/>
      <c r="E48" s="302">
        <v>45628</v>
      </c>
      <c r="F48" s="300">
        <v>5</v>
      </c>
      <c r="G48" s="302">
        <v>45635</v>
      </c>
      <c r="H48" s="287"/>
      <c r="I48" s="302">
        <v>45646</v>
      </c>
      <c r="J48" s="300">
        <v>10</v>
      </c>
      <c r="K48" s="302">
        <v>45664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7">
        <v>8.4</v>
      </c>
      <c r="C49" s="292" t="s">
        <v>187</v>
      </c>
      <c r="D49" s="264"/>
      <c r="E49" s="302">
        <v>45628</v>
      </c>
      <c r="F49" s="300">
        <v>5</v>
      </c>
      <c r="G49" s="302">
        <v>45635</v>
      </c>
      <c r="H49" s="287"/>
      <c r="I49" s="302">
        <v>45646</v>
      </c>
      <c r="J49" s="300">
        <v>20</v>
      </c>
      <c r="K49" s="302">
        <v>45678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7">
        <v>8.5</v>
      </c>
      <c r="C50" s="292" t="s">
        <v>188</v>
      </c>
      <c r="D50" s="264"/>
      <c r="E50" s="302">
        <v>45635</v>
      </c>
      <c r="F50" s="300">
        <v>1</v>
      </c>
      <c r="G50" s="302">
        <v>45636</v>
      </c>
      <c r="H50" s="287"/>
      <c r="I50" s="302">
        <v>45708</v>
      </c>
      <c r="J50" s="300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7">
        <v>8.6</v>
      </c>
      <c r="C51" s="292" t="s">
        <v>189</v>
      </c>
      <c r="D51" s="264"/>
      <c r="E51" s="302">
        <v>45617</v>
      </c>
      <c r="F51" s="300">
        <v>1</v>
      </c>
      <c r="G51" s="302">
        <v>45618</v>
      </c>
      <c r="H51" s="287"/>
      <c r="I51" s="302">
        <v>45776</v>
      </c>
      <c r="J51" s="300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7.5" customHeight="1">
      <c r="B52" s="288"/>
      <c r="C52" s="264"/>
      <c r="D52" s="264"/>
      <c r="E52" s="289"/>
      <c r="F52" s="289"/>
      <c r="G52" s="289"/>
      <c r="H52" s="287"/>
      <c r="I52" s="289"/>
      <c r="J52" s="289"/>
      <c r="K52" s="289"/>
      <c r="N52" s="227"/>
      <c r="Q52" s="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E2:H2"/>
    <mergeCell ref="E4:H4"/>
    <mergeCell ref="E5:H5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6:M52 M19:N20 M12:N17 M22:N27 M29:N33 M35:N37 M39:N41 M43:N44 N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28515625" defaultRowHeight="12.6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2.95" thickBot="1"/>
    <row r="2" spans="3:8" ht="12.95" thickBot="1">
      <c r="C2" s="83" t="s">
        <v>190</v>
      </c>
      <c r="F2" s="83" t="s">
        <v>191</v>
      </c>
    </row>
    <row r="3" spans="3:8">
      <c r="C3" s="79">
        <v>45292</v>
      </c>
      <c r="D3" s="73" t="s">
        <v>192</v>
      </c>
      <c r="F3" s="81" t="s">
        <v>193</v>
      </c>
    </row>
    <row r="4" spans="3:8">
      <c r="C4" s="79">
        <v>45372</v>
      </c>
      <c r="D4" s="73" t="s">
        <v>194</v>
      </c>
      <c r="F4" s="81" t="s">
        <v>195</v>
      </c>
    </row>
    <row r="5" spans="3:8">
      <c r="C5" s="79">
        <v>45380</v>
      </c>
      <c r="D5" s="73" t="s">
        <v>196</v>
      </c>
      <c r="F5" s="81" t="s">
        <v>197</v>
      </c>
    </row>
    <row r="6" spans="3:8" ht="12.95" thickBot="1">
      <c r="C6" s="79">
        <v>45383</v>
      </c>
      <c r="D6" s="73" t="s">
        <v>198</v>
      </c>
      <c r="F6" s="82" t="s">
        <v>199</v>
      </c>
    </row>
    <row r="7" spans="3:8">
      <c r="C7" s="79">
        <v>45413</v>
      </c>
      <c r="D7" s="73" t="s">
        <v>200</v>
      </c>
    </row>
    <row r="8" spans="3:8">
      <c r="C8" s="79">
        <v>45460</v>
      </c>
      <c r="D8" s="73" t="s">
        <v>201</v>
      </c>
    </row>
    <row r="9" spans="3:8">
      <c r="C9" s="79">
        <v>45513</v>
      </c>
      <c r="D9" s="73" t="s">
        <v>202</v>
      </c>
    </row>
    <row r="10" spans="3:8">
      <c r="C10" s="79">
        <v>45559</v>
      </c>
      <c r="D10" s="73" t="s">
        <v>203</v>
      </c>
    </row>
    <row r="11" spans="3:8">
      <c r="C11" s="79">
        <v>45642</v>
      </c>
      <c r="D11" s="73" t="s">
        <v>204</v>
      </c>
    </row>
    <row r="12" spans="3:8">
      <c r="C12" s="79">
        <v>45651</v>
      </c>
      <c r="D12" s="73" t="s">
        <v>205</v>
      </c>
    </row>
    <row r="13" spans="3:8">
      <c r="C13" s="79">
        <v>45652</v>
      </c>
      <c r="D13" s="73" t="s">
        <v>206</v>
      </c>
      <c r="F13" s="85"/>
      <c r="H13" s="73" t="s">
        <v>207</v>
      </c>
    </row>
    <row r="14" spans="3:8" ht="12.9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pane="bottomLeft" activeCell="H9" sqref="H9"/>
      <selection activeCell="G7" sqref="G7"/>
    </sheetView>
  </sheetViews>
  <sheetFormatPr defaultColWidth="8.28515625" defaultRowHeight="14.1"/>
  <cols>
    <col min="1" max="1" width="1.28515625" style="24" customWidth="1"/>
    <col min="2" max="2" width="8.28515625" style="64"/>
    <col min="3" max="3" width="2.28515625" style="64" customWidth="1"/>
    <col min="4" max="4" width="21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1.28515625" style="24" customWidth="1"/>
    <col min="10" max="10" width="18.28515625" style="24" customWidth="1"/>
    <col min="11" max="11" width="3.28515625" style="24" customWidth="1"/>
    <col min="12" max="12" width="21.5703125" style="24" customWidth="1"/>
    <col min="13" max="13" width="2" style="24" customWidth="1"/>
    <col min="14" max="14" width="24.28515625" style="24" customWidth="1"/>
    <col min="15" max="15" width="2" style="24" customWidth="1"/>
    <col min="16" max="16" width="53" style="24" customWidth="1"/>
    <col min="17" max="16384" width="8.285156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208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45" thickBot="1">
      <c r="A4" s="264"/>
      <c r="B4" s="893"/>
      <c r="C4" s="893"/>
      <c r="D4" s="893"/>
      <c r="E4" s="654"/>
      <c r="F4" s="269" t="s">
        <v>209</v>
      </c>
      <c r="G4" s="264"/>
      <c r="H4" s="269" t="s">
        <v>74</v>
      </c>
      <c r="I4" s="264"/>
      <c r="J4" s="269" t="s">
        <v>75</v>
      </c>
      <c r="K4" s="264"/>
      <c r="L4" s="270" t="s">
        <v>210</v>
      </c>
      <c r="M4" s="114"/>
      <c r="N4" s="270" t="s">
        <v>211</v>
      </c>
      <c r="O4" s="114"/>
      <c r="P4" s="114"/>
    </row>
    <row r="5" spans="1:16" ht="14.45" thickBot="1">
      <c r="A5" s="264"/>
      <c r="B5" s="894" t="s">
        <v>212</v>
      </c>
      <c r="C5" s="894"/>
      <c r="D5" s="894"/>
      <c r="E5" s="654"/>
      <c r="F5" s="271">
        <f>SUM(F9:F23)</f>
        <v>2105194.1529999999</v>
      </c>
      <c r="G5" s="266"/>
      <c r="H5" s="271">
        <f>SUM(H9:H23)</f>
        <v>2040967.6575423484</v>
      </c>
      <c r="I5" s="266"/>
      <c r="J5" s="271">
        <f>SUM(J9:J23)</f>
        <v>2103862.1100000003</v>
      </c>
      <c r="K5" s="264"/>
      <c r="L5" s="272">
        <f>SUM(L9:L23)</f>
        <v>1332.0429999999978</v>
      </c>
      <c r="M5" s="114"/>
      <c r="N5" s="272">
        <f>SUM(N9:N23)</f>
        <v>-62894.452457651751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45" thickBot="1">
      <c r="A7" s="264"/>
      <c r="B7" s="274" t="s">
        <v>91</v>
      </c>
      <c r="C7" s="275"/>
      <c r="D7" s="274" t="s">
        <v>213</v>
      </c>
      <c r="E7" s="275"/>
      <c r="F7" s="276" t="s">
        <v>214</v>
      </c>
      <c r="G7" s="277"/>
      <c r="H7" s="276" t="s">
        <v>215</v>
      </c>
      <c r="I7" s="277"/>
      <c r="J7" s="276" t="s">
        <v>216</v>
      </c>
      <c r="K7" s="277"/>
      <c r="L7" s="276" t="s">
        <v>217</v>
      </c>
      <c r="M7" s="191"/>
      <c r="N7" s="276" t="s">
        <v>217</v>
      </c>
      <c r="O7" s="191"/>
      <c r="P7" s="117" t="s">
        <v>218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690973.73300000001</v>
      </c>
      <c r="G9" s="86"/>
      <c r="H9" s="280">
        <v>736862.5</v>
      </c>
      <c r="I9" s="86"/>
      <c r="J9" s="280">
        <f>'Expenditure Breakdown'!X6</f>
        <v>647765.5</v>
      </c>
      <c r="K9" s="89"/>
      <c r="L9" s="281">
        <f>F9-J9</f>
        <v>43208.233000000007</v>
      </c>
      <c r="M9" s="192"/>
      <c r="N9" s="281">
        <f>H9-J9</f>
        <v>89097</v>
      </c>
      <c r="O9" s="192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157796</v>
      </c>
      <c r="G10" s="86"/>
      <c r="H10" s="280">
        <v>151514</v>
      </c>
      <c r="I10" s="86"/>
      <c r="J10" s="280">
        <f>+'Expenditure Breakdown'!X13</f>
        <v>138845.23000000001</v>
      </c>
      <c r="K10" s="89"/>
      <c r="L10" s="281">
        <f t="shared" ref="L10:L23" si="0">F10-J10</f>
        <v>18950.76999999999</v>
      </c>
      <c r="M10" s="192"/>
      <c r="N10" s="281">
        <f t="shared" ref="N10:N23" si="1">H10-J10</f>
        <v>12668.76999999999</v>
      </c>
      <c r="O10" s="192"/>
      <c r="P10" s="304"/>
    </row>
    <row r="11" spans="1:16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99864</v>
      </c>
      <c r="G11" s="86"/>
      <c r="H11" s="280">
        <v>58349.4</v>
      </c>
      <c r="I11" s="86"/>
      <c r="J11" s="280">
        <f>+'Expenditure Breakdown'!X18</f>
        <v>169924.22</v>
      </c>
      <c r="K11" s="89"/>
      <c r="L11" s="281">
        <f t="shared" si="0"/>
        <v>-70060.22</v>
      </c>
      <c r="M11" s="192"/>
      <c r="N11" s="281">
        <f t="shared" si="1"/>
        <v>-111574.82</v>
      </c>
      <c r="O11" s="192"/>
      <c r="P11" s="304"/>
    </row>
    <row r="12" spans="1:16">
      <c r="A12" s="264"/>
      <c r="B12" s="278">
        <f>'Expenditure Breakdown'!B26</f>
        <v>4</v>
      </c>
      <c r="C12" s="267"/>
      <c r="D12" s="279" t="str">
        <f>'Expenditure Breakdown'!C26</f>
        <v>DC Equipment</v>
      </c>
      <c r="E12" s="282"/>
      <c r="F12" s="280">
        <f>+'Expenditure Breakdown'!J26</f>
        <v>237064.3</v>
      </c>
      <c r="G12" s="86"/>
      <c r="H12" s="280">
        <v>242250</v>
      </c>
      <c r="I12" s="86"/>
      <c r="J12" s="280">
        <f>+'Expenditure Breakdown'!X26</f>
        <v>242250</v>
      </c>
      <c r="K12" s="89"/>
      <c r="L12" s="281">
        <f t="shared" si="0"/>
        <v>-5185.7000000000116</v>
      </c>
      <c r="M12" s="192"/>
      <c r="N12" s="281">
        <f t="shared" si="1"/>
        <v>0</v>
      </c>
      <c r="O12" s="192"/>
      <c r="P12" s="304"/>
    </row>
    <row r="13" spans="1:16">
      <c r="A13" s="264"/>
      <c r="B13" s="278">
        <f>'Expenditure Breakdown'!B37</f>
        <v>5</v>
      </c>
      <c r="C13" s="267"/>
      <c r="D13" s="279" t="str">
        <f>'Expenditure Breakdown'!C37</f>
        <v>Monitoring</v>
      </c>
      <c r="E13" s="282"/>
      <c r="F13" s="280">
        <f>+'Expenditure Breakdown'!J37</f>
        <v>49000</v>
      </c>
      <c r="G13" s="86"/>
      <c r="H13" s="280">
        <v>80720.5</v>
      </c>
      <c r="I13" s="86"/>
      <c r="J13" s="280">
        <f>+'Expenditure Breakdown'!X37</f>
        <v>71452.009999999995</v>
      </c>
      <c r="K13" s="89"/>
      <c r="L13" s="281">
        <f t="shared" si="0"/>
        <v>-22452.009999999995</v>
      </c>
      <c r="M13" s="192"/>
      <c r="N13" s="281">
        <f t="shared" si="1"/>
        <v>9268.4900000000052</v>
      </c>
      <c r="O13" s="192"/>
      <c r="P13" s="304"/>
    </row>
    <row r="14" spans="1:16">
      <c r="A14" s="264"/>
      <c r="B14" s="278">
        <f>'Expenditure Breakdown'!B44</f>
        <v>6</v>
      </c>
      <c r="C14" s="267"/>
      <c r="D14" s="279" t="str">
        <f>'Expenditure Breakdown'!C44</f>
        <v>AC Equipment</v>
      </c>
      <c r="E14" s="282"/>
      <c r="F14" s="280">
        <f>+'Expenditure Breakdown'!J44</f>
        <v>304429.82</v>
      </c>
      <c r="G14" s="86"/>
      <c r="H14" s="280">
        <v>212432.00000000003</v>
      </c>
      <c r="I14" s="86"/>
      <c r="J14" s="280">
        <f>+'Expenditure Breakdown'!X44</f>
        <v>212863.60000000003</v>
      </c>
      <c r="K14" s="89"/>
      <c r="L14" s="281">
        <f t="shared" si="0"/>
        <v>91566.219999999972</v>
      </c>
      <c r="M14" s="192"/>
      <c r="N14" s="281">
        <f t="shared" si="1"/>
        <v>-431.60000000000582</v>
      </c>
      <c r="O14" s="192"/>
      <c r="P14" s="304"/>
    </row>
    <row r="15" spans="1:16">
      <c r="A15" s="264"/>
      <c r="B15" s="278">
        <f>'Expenditure Breakdown'!B59</f>
        <v>7</v>
      </c>
      <c r="C15" s="267"/>
      <c r="D15" s="279" t="str">
        <f>'Expenditure Breakdown'!C59</f>
        <v>Battery Systems</v>
      </c>
      <c r="E15" s="282"/>
      <c r="F15" s="280">
        <f>+'Expenditure Breakdown'!J59</f>
        <v>0</v>
      </c>
      <c r="G15" s="86"/>
      <c r="H15" s="280">
        <v>0</v>
      </c>
      <c r="I15" s="86"/>
      <c r="J15" s="280">
        <f>'Expenditure Breakdown'!X59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4"/>
    </row>
    <row r="16" spans="1:16">
      <c r="A16" s="264"/>
      <c r="B16" s="278">
        <f>'Expenditure Breakdown'!B68</f>
        <v>8</v>
      </c>
      <c r="C16" s="267"/>
      <c r="D16" s="279" t="str">
        <f>'Expenditure Breakdown'!C68</f>
        <v xml:space="preserve">Product Add On </v>
      </c>
      <c r="E16" s="282"/>
      <c r="F16" s="280">
        <f>'Expenditure Breakdown'!J68</f>
        <v>0</v>
      </c>
      <c r="G16" s="86"/>
      <c r="H16" s="280">
        <v>0</v>
      </c>
      <c r="I16" s="86"/>
      <c r="J16" s="280">
        <f>'Expenditure Breakdown'!X68</f>
        <v>158729.51999999999</v>
      </c>
      <c r="K16" s="89"/>
      <c r="L16" s="281">
        <f t="shared" si="0"/>
        <v>-158729.51999999999</v>
      </c>
      <c r="M16" s="192"/>
      <c r="N16" s="281">
        <f t="shared" si="1"/>
        <v>-158729.51999999999</v>
      </c>
      <c r="O16" s="192"/>
      <c r="P16" s="304"/>
    </row>
    <row r="17" spans="1:16">
      <c r="A17" s="264"/>
      <c r="B17" s="278">
        <f>'Expenditure Breakdown'!M77</f>
        <v>9</v>
      </c>
      <c r="C17" s="267"/>
      <c r="D17" s="279" t="str">
        <f>'Expenditure Breakdown'!C77</f>
        <v>AC &amp; DC Installation</v>
      </c>
      <c r="E17" s="282"/>
      <c r="F17" s="280">
        <f>+'Expenditure Breakdown'!J77</f>
        <v>208050</v>
      </c>
      <c r="G17" s="86"/>
      <c r="H17" s="280">
        <v>175013.8</v>
      </c>
      <c r="I17" s="86"/>
      <c r="J17" s="280">
        <f>+'Expenditure Breakdown'!X77</f>
        <v>175013.8</v>
      </c>
      <c r="K17" s="89"/>
      <c r="L17" s="281">
        <f t="shared" si="0"/>
        <v>33036.200000000012</v>
      </c>
      <c r="M17" s="192"/>
      <c r="N17" s="281">
        <f t="shared" si="1"/>
        <v>0</v>
      </c>
      <c r="O17" s="192"/>
      <c r="P17" s="304"/>
    </row>
    <row r="18" spans="1:16">
      <c r="A18" s="264"/>
      <c r="B18" s="278">
        <f>'Expenditure Breakdown'!B86</f>
        <v>10</v>
      </c>
      <c r="C18" s="267"/>
      <c r="D18" s="279" t="str">
        <f>'Expenditure Breakdown'!C86</f>
        <v>Site Logistics</v>
      </c>
      <c r="E18" s="86"/>
      <c r="F18" s="280">
        <f>+'Expenditure Breakdown'!J86</f>
        <v>38356.300000000003</v>
      </c>
      <c r="G18" s="86"/>
      <c r="H18" s="280">
        <v>122767</v>
      </c>
      <c r="I18" s="86"/>
      <c r="J18" s="280">
        <f>+'Expenditure Breakdown'!X86</f>
        <v>107767</v>
      </c>
      <c r="K18" s="89"/>
      <c r="L18" s="281">
        <f t="shared" si="0"/>
        <v>-69410.7</v>
      </c>
      <c r="M18" s="192"/>
      <c r="N18" s="281">
        <f t="shared" si="1"/>
        <v>15000</v>
      </c>
      <c r="O18" s="192"/>
      <c r="P18" s="304"/>
    </row>
    <row r="19" spans="1:16">
      <c r="A19" s="264"/>
      <c r="B19" s="278">
        <f>'Expenditure Breakdown'!B101</f>
        <v>11</v>
      </c>
      <c r="C19" s="267"/>
      <c r="D19" s="279" t="str">
        <f>'Expenditure Breakdown'!C101</f>
        <v>Due Dilligence</v>
      </c>
      <c r="E19" s="86"/>
      <c r="F19" s="280">
        <f>'Expenditure Breakdown'!J101</f>
        <v>89000</v>
      </c>
      <c r="G19" s="86"/>
      <c r="H19" s="280">
        <v>23020</v>
      </c>
      <c r="I19" s="86"/>
      <c r="J19" s="280">
        <f>'Expenditure Breakdown'!X101</f>
        <v>14174.76</v>
      </c>
      <c r="K19" s="89"/>
      <c r="L19" s="281">
        <f t="shared" si="0"/>
        <v>74825.240000000005</v>
      </c>
      <c r="M19" s="192"/>
      <c r="N19" s="281">
        <f t="shared" si="1"/>
        <v>8845.24</v>
      </c>
      <c r="O19" s="192"/>
      <c r="P19" s="304"/>
    </row>
    <row r="20" spans="1:16">
      <c r="A20" s="264"/>
      <c r="B20" s="278">
        <f>'Expenditure Breakdown'!B109</f>
        <v>12</v>
      </c>
      <c r="C20" s="267"/>
      <c r="D20" s="279" t="str">
        <f>'Expenditure Breakdown'!C109</f>
        <v>BDP Commission</v>
      </c>
      <c r="E20" s="86"/>
      <c r="F20" s="280">
        <f>'Expenditure Breakdown'!G107</f>
        <v>63011.44</v>
      </c>
      <c r="G20" s="86"/>
      <c r="H20" s="280">
        <v>63043.34</v>
      </c>
      <c r="I20" s="86"/>
      <c r="J20" s="280">
        <f>'Expenditure Breakdown'!X107</f>
        <v>63043.34</v>
      </c>
      <c r="K20" s="89"/>
      <c r="L20" s="281">
        <f t="shared" si="0"/>
        <v>-31.899999999994179</v>
      </c>
      <c r="M20" s="192"/>
      <c r="N20" s="281">
        <f t="shared" si="1"/>
        <v>0</v>
      </c>
      <c r="O20" s="192"/>
      <c r="P20" s="304"/>
    </row>
    <row r="21" spans="1:16">
      <c r="A21" s="264"/>
      <c r="B21" s="278">
        <f>'Expenditure Breakdown'!B111</f>
        <v>13</v>
      </c>
      <c r="C21" s="267"/>
      <c r="D21" s="279" t="str">
        <f>'Expenditure Breakdown'!C111</f>
        <v>Engineering</v>
      </c>
      <c r="E21" s="86"/>
      <c r="F21" s="280">
        <f>+'Expenditure Breakdown'!J111</f>
        <v>163448.56</v>
      </c>
      <c r="G21" s="86"/>
      <c r="H21" s="280">
        <v>170795.11754234825</v>
      </c>
      <c r="I21" s="86"/>
      <c r="J21" s="280">
        <f>+'Expenditure Breakdown'!X111</f>
        <v>62399.999999999993</v>
      </c>
      <c r="K21" s="89"/>
      <c r="L21" s="281">
        <f t="shared" si="0"/>
        <v>101048.56</v>
      </c>
      <c r="M21" s="192"/>
      <c r="N21" s="281">
        <f t="shared" si="1"/>
        <v>108395.11754234825</v>
      </c>
      <c r="O21" s="192"/>
      <c r="P21" s="304" t="s">
        <v>219</v>
      </c>
    </row>
    <row r="22" spans="1:16">
      <c r="A22" s="264"/>
      <c r="B22" s="278">
        <f>'Expenditure Breakdown'!B119</f>
        <v>14</v>
      </c>
      <c r="C22" s="267"/>
      <c r="D22" s="279" t="str">
        <f>'Expenditure Breakdown'!C119</f>
        <v>General Expenses</v>
      </c>
      <c r="E22" s="86"/>
      <c r="F22" s="280">
        <f>+'Expenditure Breakdown'!J119</f>
        <v>4200</v>
      </c>
      <c r="G22" s="86"/>
      <c r="H22" s="280">
        <v>4200</v>
      </c>
      <c r="I22" s="86"/>
      <c r="J22" s="280">
        <f>+'Expenditure Breakdown'!X119</f>
        <v>7385.6400000000012</v>
      </c>
      <c r="K22" s="89"/>
      <c r="L22" s="281">
        <f t="shared" si="0"/>
        <v>-3185.6400000000012</v>
      </c>
      <c r="M22" s="192"/>
      <c r="N22" s="281">
        <f t="shared" si="1"/>
        <v>-3185.6400000000012</v>
      </c>
      <c r="O22" s="192"/>
      <c r="P22" s="304"/>
    </row>
    <row r="23" spans="1:16">
      <c r="A23" s="264"/>
      <c r="B23" s="278">
        <f>'Expenditure Breakdown'!B128</f>
        <v>15</v>
      </c>
      <c r="C23" s="267"/>
      <c r="D23" s="279" t="str">
        <f>'Expenditure Breakdown'!C128</f>
        <v>Service Add On</v>
      </c>
      <c r="E23" s="86"/>
      <c r="F23" s="280">
        <f>+'Expenditure Breakdown'!J128</f>
        <v>0</v>
      </c>
      <c r="G23" s="86"/>
      <c r="H23" s="280">
        <v>0</v>
      </c>
      <c r="I23" s="86"/>
      <c r="J23" s="280">
        <f>+'Expenditure Breakdown'!X128</f>
        <v>32247.489999999998</v>
      </c>
      <c r="K23" s="89"/>
      <c r="L23" s="281">
        <f t="shared" si="0"/>
        <v>-32247.489999999998</v>
      </c>
      <c r="M23" s="192"/>
      <c r="N23" s="281">
        <f t="shared" si="1"/>
        <v>-32247.489999999998</v>
      </c>
      <c r="O23" s="192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220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>
      <c r="A27" s="621" t="s">
        <v>221</v>
      </c>
      <c r="B27" s="622"/>
      <c r="C27" s="622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494"/>
  <sheetViews>
    <sheetView topLeftCell="O1" zoomScaleNormal="100" workbookViewId="0">
      <pane ySplit="4" topLeftCell="L125" activePane="bottomLeft" state="frozen"/>
      <selection pane="bottomLeft" activeCell="W130" sqref="W130"/>
      <selection activeCell="Q24" sqref="Q24"/>
    </sheetView>
  </sheetViews>
  <sheetFormatPr defaultColWidth="9" defaultRowHeight="14.1"/>
  <cols>
    <col min="1" max="1" width="2.28515625" style="114" hidden="1" customWidth="1"/>
    <col min="2" max="2" width="6.28515625" style="24" hidden="1" customWidth="1"/>
    <col min="3" max="3" width="20.28515625" style="24" hidden="1" customWidth="1"/>
    <col min="4" max="4" width="29" style="24" hidden="1" customWidth="1"/>
    <col min="5" max="5" width="8.85546875" style="70" hidden="1" customWidth="1"/>
    <col min="6" max="6" width="14" style="64" hidden="1" customWidth="1"/>
    <col min="7" max="7" width="16" style="24" hidden="1" customWidth="1"/>
    <col min="8" max="8" width="14" style="24" hidden="1" customWidth="1"/>
    <col min="9" max="9" width="2.28515625" style="114" hidden="1" customWidth="1"/>
    <col min="10" max="10" width="17.28515625" style="460" hidden="1" customWidth="1"/>
    <col min="11" max="11" width="17.28515625" style="460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28515625" style="24" customWidth="1"/>
    <col min="16" max="16" width="15.85546875" style="70" customWidth="1"/>
    <col min="17" max="17" width="17.28515625" style="64" customWidth="1"/>
    <col min="18" max="18" width="16.5703125" style="461" customWidth="1"/>
    <col min="19" max="19" width="31.28515625" style="468" customWidth="1"/>
    <col min="20" max="20" width="13" style="65" customWidth="1"/>
    <col min="21" max="22" width="16" style="65" customWidth="1"/>
    <col min="23" max="23" width="13.28515625" style="480" customWidth="1"/>
    <col min="24" max="24" width="16.5703125" style="24" customWidth="1"/>
    <col min="25" max="25" width="39.85546875" style="65" bestFit="1" customWidth="1"/>
    <col min="26" max="26" width="57" style="114" customWidth="1"/>
    <col min="27" max="27" width="29.28515625" style="114" bestFit="1" customWidth="1"/>
    <col min="28" max="28" width="19.5703125" style="114" customWidth="1"/>
    <col min="29" max="29" width="7.85546875" style="114" bestFit="1" customWidth="1"/>
    <col min="30" max="30" width="3.28515625" style="114" customWidth="1"/>
    <col min="31" max="31" width="22" style="114" bestFit="1" customWidth="1"/>
    <col min="32" max="32" width="17.28515625" style="114" customWidth="1"/>
    <col min="33" max="33" width="9" style="114"/>
    <col min="34" max="34" width="23" style="114" bestFit="1" customWidth="1"/>
    <col min="35" max="35" width="17.28515625" style="114" customWidth="1"/>
    <col min="36" max="36" width="13.28515625" style="114" bestFit="1" customWidth="1"/>
    <col min="37" max="43" width="9" style="114"/>
    <col min="44" max="16384" width="9" style="24"/>
  </cols>
  <sheetData>
    <row r="1" spans="1:43" s="114" customFormat="1" ht="4.5" customHeight="1" thickBot="1">
      <c r="E1" s="168"/>
      <c r="F1" s="115"/>
      <c r="J1" s="305"/>
      <c r="K1" s="305"/>
      <c r="P1" s="168"/>
      <c r="Q1" s="115"/>
      <c r="R1" s="500"/>
      <c r="S1" s="463"/>
      <c r="T1" s="169"/>
      <c r="U1" s="169"/>
      <c r="V1" s="169"/>
      <c r="W1" s="469"/>
      <c r="Y1" s="169"/>
    </row>
    <row r="2" spans="1:43" ht="21.75" customHeight="1" thickBot="1">
      <c r="B2" s="971" t="s">
        <v>222</v>
      </c>
      <c r="C2" s="972"/>
      <c r="D2" s="972"/>
      <c r="E2" s="972"/>
      <c r="F2" s="972"/>
      <c r="G2" s="972"/>
      <c r="H2" s="973"/>
      <c r="J2" s="307">
        <f>SUM(J6:J132)</f>
        <v>2105194.1529999999</v>
      </c>
      <c r="K2" s="307">
        <f>SUM(K6:K132)</f>
        <v>2506224.1235110001</v>
      </c>
      <c r="M2" s="974" t="s">
        <v>223</v>
      </c>
      <c r="N2" s="975"/>
      <c r="O2" s="975"/>
      <c r="P2" s="975"/>
      <c r="Q2" s="975"/>
      <c r="R2" s="975"/>
      <c r="S2" s="957" t="s">
        <v>224</v>
      </c>
      <c r="T2" s="958"/>
      <c r="U2" s="958"/>
      <c r="V2" s="958"/>
      <c r="W2" s="959"/>
      <c r="X2" s="481">
        <f>SUM(X6:X132)</f>
        <v>2103862.1100000003</v>
      </c>
      <c r="Y2" s="114"/>
    </row>
    <row r="3" spans="1:43" s="114" customFormat="1" ht="13.5" customHeight="1" thickBot="1">
      <c r="E3" s="168"/>
      <c r="F3" s="115"/>
      <c r="J3" s="305"/>
      <c r="K3" s="511"/>
      <c r="P3" s="168"/>
      <c r="Q3" s="115"/>
      <c r="R3" s="306"/>
      <c r="Y3" s="169"/>
    </row>
    <row r="4" spans="1:43" s="70" customFormat="1" ht="42.6" thickBot="1">
      <c r="A4" s="168"/>
      <c r="B4" s="308" t="s">
        <v>225</v>
      </c>
      <c r="C4" s="309" t="s">
        <v>226</v>
      </c>
      <c r="D4" s="309" t="s">
        <v>227</v>
      </c>
      <c r="E4" s="309" t="s">
        <v>228</v>
      </c>
      <c r="F4" s="309" t="s">
        <v>229</v>
      </c>
      <c r="G4" s="310" t="s">
        <v>230</v>
      </c>
      <c r="H4" s="311" t="s">
        <v>231</v>
      </c>
      <c r="I4" s="312"/>
      <c r="J4" s="313" t="s">
        <v>232</v>
      </c>
      <c r="K4" s="313" t="str">
        <f>IF(K2-'Revenue Tracking'!D4&gt;=0, "Total Revenue", "ERROR on REV" )</f>
        <v>Total Revenue</v>
      </c>
      <c r="L4" s="168"/>
      <c r="M4" s="308" t="s">
        <v>225</v>
      </c>
      <c r="N4" s="309" t="s">
        <v>233</v>
      </c>
      <c r="O4" s="309" t="s">
        <v>227</v>
      </c>
      <c r="P4" s="309" t="s">
        <v>228</v>
      </c>
      <c r="Q4" s="309" t="s">
        <v>229</v>
      </c>
      <c r="R4" s="563" t="s">
        <v>234</v>
      </c>
      <c r="S4" s="113" t="s">
        <v>96</v>
      </c>
      <c r="T4" s="534" t="s">
        <v>97</v>
      </c>
      <c r="U4" s="535" t="s">
        <v>235</v>
      </c>
      <c r="V4" s="536" t="s">
        <v>236</v>
      </c>
      <c r="W4" s="534" t="s">
        <v>237</v>
      </c>
      <c r="X4" s="482" t="s">
        <v>232</v>
      </c>
      <c r="Y4" s="113" t="s">
        <v>238</v>
      </c>
      <c r="Z4" s="113" t="s">
        <v>239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12"/>
      <c r="V5" s="462"/>
      <c r="W5" s="470"/>
      <c r="X5" s="483"/>
      <c r="Y5" s="110"/>
      <c r="Z5" s="110"/>
    </row>
    <row r="6" spans="1:43" ht="14.25" customHeight="1">
      <c r="B6" s="722">
        <v>1</v>
      </c>
      <c r="C6" s="488" t="s">
        <v>240</v>
      </c>
      <c r="D6" s="488" t="s">
        <v>241</v>
      </c>
      <c r="E6" s="723">
        <v>438</v>
      </c>
      <c r="F6" s="733">
        <v>1531.9034999999999</v>
      </c>
      <c r="G6" s="404">
        <f>E6*F6</f>
        <v>670973.73300000001</v>
      </c>
      <c r="H6" s="351">
        <f>'Project Plan'!E35+60</f>
        <v>45636</v>
      </c>
      <c r="I6" s="352"/>
      <c r="J6" s="938">
        <f>SUM(G6:G11)</f>
        <v>690973.73300000001</v>
      </c>
      <c r="K6" s="938">
        <v>842650.89390000002</v>
      </c>
      <c r="L6" s="586"/>
      <c r="M6" s="347">
        <v>1</v>
      </c>
      <c r="N6" s="668" t="s">
        <v>242</v>
      </c>
      <c r="O6" s="488" t="s">
        <v>243</v>
      </c>
      <c r="P6" s="723">
        <v>450</v>
      </c>
      <c r="Q6" s="730">
        <v>1415.25</v>
      </c>
      <c r="R6" s="404">
        <f>P6*Q6*0.5</f>
        <v>318431.25</v>
      </c>
      <c r="S6" s="552" t="s">
        <v>244</v>
      </c>
      <c r="T6" s="737">
        <v>45504</v>
      </c>
      <c r="U6" s="739">
        <v>396426.71511303162</v>
      </c>
      <c r="V6" s="910">
        <f>K6-SUM(U6:U11)</f>
        <v>-4.4532667379826307E-4</v>
      </c>
      <c r="W6" s="737">
        <v>45562</v>
      </c>
      <c r="X6" s="907">
        <f>SUM(R6:R11)</f>
        <v>647765.5</v>
      </c>
      <c r="Y6" s="904" t="s">
        <v>245</v>
      </c>
      <c r="Z6" s="200"/>
      <c r="AA6" s="170">
        <v>19</v>
      </c>
      <c r="AB6" s="170"/>
      <c r="AF6" s="171"/>
    </row>
    <row r="7" spans="1:43" ht="15" customHeight="1">
      <c r="B7" s="724">
        <v>1</v>
      </c>
      <c r="C7" s="669"/>
      <c r="D7" s="588" t="s">
        <v>246</v>
      </c>
      <c r="E7" s="725"/>
      <c r="F7" s="726"/>
      <c r="G7" s="404"/>
      <c r="H7" s="356"/>
      <c r="I7" s="357"/>
      <c r="J7" s="939"/>
      <c r="K7" s="939"/>
      <c r="L7" s="358"/>
      <c r="M7" s="400">
        <v>1</v>
      </c>
      <c r="N7" s="402" t="s">
        <v>242</v>
      </c>
      <c r="O7" s="588"/>
      <c r="P7" s="725"/>
      <c r="Q7" s="726"/>
      <c r="R7" s="404">
        <f>P6*Q6*0.5</f>
        <v>318431.25</v>
      </c>
      <c r="S7" s="548" t="s">
        <v>244</v>
      </c>
      <c r="T7" s="738">
        <v>45504</v>
      </c>
      <c r="U7" s="740">
        <v>396426.71511303162</v>
      </c>
      <c r="V7" s="911"/>
      <c r="W7" s="828">
        <v>45596</v>
      </c>
      <c r="X7" s="908"/>
      <c r="Y7" s="905"/>
      <c r="Z7" s="201"/>
      <c r="AA7" s="172" t="s">
        <v>247</v>
      </c>
      <c r="AB7" s="173" t="s">
        <v>248</v>
      </c>
      <c r="AC7" s="24"/>
    </row>
    <row r="8" spans="1:43" ht="15" customHeight="1">
      <c r="B8" s="724">
        <v>1</v>
      </c>
      <c r="C8" s="588"/>
      <c r="D8" s="588"/>
      <c r="E8" s="725"/>
      <c r="F8" s="726"/>
      <c r="G8" s="589"/>
      <c r="H8" s="356"/>
      <c r="I8" s="357"/>
      <c r="J8" s="939"/>
      <c r="K8" s="939"/>
      <c r="L8" s="358"/>
      <c r="M8" s="400">
        <v>1</v>
      </c>
      <c r="N8" s="402" t="s">
        <v>242</v>
      </c>
      <c r="O8" s="588" t="s">
        <v>249</v>
      </c>
      <c r="P8" s="725"/>
      <c r="Q8" s="726"/>
      <c r="R8" s="589">
        <v>1300</v>
      </c>
      <c r="S8" s="548" t="s">
        <v>250</v>
      </c>
      <c r="T8" s="738">
        <v>45596</v>
      </c>
      <c r="U8" s="740">
        <v>1691.115321933632</v>
      </c>
      <c r="V8" s="911"/>
      <c r="W8" s="753">
        <v>45625</v>
      </c>
      <c r="X8" s="908"/>
      <c r="Y8" s="210"/>
      <c r="Z8" s="201"/>
      <c r="AA8" s="174" t="s">
        <v>251</v>
      </c>
      <c r="AB8" s="175">
        <f>C51</f>
        <v>304429.82</v>
      </c>
      <c r="AD8" s="651"/>
    </row>
    <row r="9" spans="1:43" ht="15" customHeight="1">
      <c r="B9" s="724">
        <v>1</v>
      </c>
      <c r="C9" s="588"/>
      <c r="D9" s="588" t="s">
        <v>252</v>
      </c>
      <c r="E9" s="725"/>
      <c r="F9" s="726"/>
      <c r="G9" s="404">
        <v>20000</v>
      </c>
      <c r="H9" s="356">
        <f>H6</f>
        <v>45636</v>
      </c>
      <c r="I9" s="357"/>
      <c r="J9" s="939"/>
      <c r="K9" s="939"/>
      <c r="L9" s="358"/>
      <c r="M9" s="400">
        <v>1</v>
      </c>
      <c r="N9" s="402" t="s">
        <v>242</v>
      </c>
      <c r="O9" s="588" t="s">
        <v>252</v>
      </c>
      <c r="P9" s="725"/>
      <c r="Q9" s="726"/>
      <c r="R9" s="404">
        <v>8550</v>
      </c>
      <c r="S9" s="548" t="s">
        <v>253</v>
      </c>
      <c r="T9" s="738">
        <v>45596</v>
      </c>
      <c r="U9" s="740">
        <v>11122.335386563502</v>
      </c>
      <c r="V9" s="911"/>
      <c r="W9" s="753">
        <v>45625</v>
      </c>
      <c r="X9" s="908"/>
      <c r="Y9" s="210"/>
      <c r="Z9" s="201"/>
      <c r="AA9" s="174" t="s">
        <v>254</v>
      </c>
      <c r="AB9" s="644">
        <f>SUM(G28:G35)</f>
        <v>116936.3</v>
      </c>
      <c r="AD9" s="651"/>
    </row>
    <row r="10" spans="1:43" ht="15" customHeight="1">
      <c r="B10" s="724">
        <v>1</v>
      </c>
      <c r="C10" s="588"/>
      <c r="D10" s="588"/>
      <c r="E10" s="725"/>
      <c r="F10" s="726"/>
      <c r="G10" s="404"/>
      <c r="H10" s="356"/>
      <c r="I10" s="357"/>
      <c r="J10" s="939"/>
      <c r="K10" s="939"/>
      <c r="L10" s="358"/>
      <c r="M10" s="400">
        <v>1</v>
      </c>
      <c r="N10" s="402" t="s">
        <v>242</v>
      </c>
      <c r="O10" s="588" t="s">
        <v>255</v>
      </c>
      <c r="P10" s="725"/>
      <c r="Q10" s="726"/>
      <c r="R10" s="404">
        <v>1053</v>
      </c>
      <c r="S10" s="548" t="s">
        <v>250</v>
      </c>
      <c r="T10" s="738">
        <f>T9</f>
        <v>45596</v>
      </c>
      <c r="U10" s="740">
        <v>1369.8034107662418</v>
      </c>
      <c r="V10" s="911"/>
      <c r="W10" s="753">
        <v>45625</v>
      </c>
      <c r="X10" s="908"/>
      <c r="Y10" s="210"/>
      <c r="Z10" s="201"/>
      <c r="AA10" s="174" t="s">
        <v>256</v>
      </c>
      <c r="AB10" s="175">
        <f>C79</f>
        <v>145635</v>
      </c>
      <c r="AD10" s="651"/>
    </row>
    <row r="11" spans="1:43" ht="15" customHeight="1" thickBot="1">
      <c r="B11" s="727">
        <v>1</v>
      </c>
      <c r="C11" s="670"/>
      <c r="D11" s="670"/>
      <c r="E11" s="728"/>
      <c r="F11" s="729"/>
      <c r="G11" s="427"/>
      <c r="H11" s="359"/>
      <c r="I11" s="360"/>
      <c r="J11" s="940"/>
      <c r="K11" s="940"/>
      <c r="L11" s="361"/>
      <c r="M11" s="406">
        <v>1</v>
      </c>
      <c r="N11" s="670" t="s">
        <v>242</v>
      </c>
      <c r="O11" s="670" t="s">
        <v>257</v>
      </c>
      <c r="P11" s="728"/>
      <c r="Q11" s="729"/>
      <c r="R11" s="427"/>
      <c r="S11" s="541"/>
      <c r="T11" s="803">
        <v>45626</v>
      </c>
      <c r="U11" s="829">
        <v>35614.21</v>
      </c>
      <c r="V11" s="912"/>
      <c r="W11" s="477"/>
      <c r="X11" s="909"/>
      <c r="Y11" s="216"/>
      <c r="Z11" s="202"/>
      <c r="AA11" s="174" t="s">
        <v>258</v>
      </c>
      <c r="AB11" s="175">
        <f>C78</f>
        <v>62415</v>
      </c>
      <c r="AD11" s="651"/>
    </row>
    <row r="12" spans="1:43" ht="14.45" thickBot="1">
      <c r="A12" s="24"/>
      <c r="B12" s="340"/>
      <c r="C12" s="341"/>
      <c r="D12" s="342"/>
      <c r="E12" s="343"/>
      <c r="F12" s="344"/>
      <c r="G12" s="344"/>
      <c r="H12" s="345"/>
      <c r="I12" s="24"/>
      <c r="J12" s="346"/>
      <c r="K12" s="346"/>
      <c r="L12" s="24"/>
      <c r="M12" s="340"/>
      <c r="N12" s="607"/>
      <c r="O12" s="608"/>
      <c r="P12" s="609"/>
      <c r="Q12" s="610"/>
      <c r="R12" s="610"/>
      <c r="S12" s="547"/>
      <c r="T12" s="538" t="s">
        <v>259</v>
      </c>
      <c r="U12" s="513"/>
      <c r="V12" s="646"/>
      <c r="W12" s="474"/>
      <c r="X12" s="484"/>
      <c r="Y12" s="214"/>
      <c r="Z12" s="199"/>
      <c r="AA12" s="174" t="s">
        <v>260</v>
      </c>
      <c r="AB12" s="175">
        <f>G96</f>
        <v>8500</v>
      </c>
      <c r="AC12" s="24"/>
      <c r="AD12" s="651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>
      <c r="B13" s="367">
        <v>2</v>
      </c>
      <c r="C13" s="410" t="s">
        <v>261</v>
      </c>
      <c r="D13" s="410" t="s">
        <v>262</v>
      </c>
      <c r="E13" s="504">
        <v>2</v>
      </c>
      <c r="F13" s="590">
        <v>78898</v>
      </c>
      <c r="G13" s="371">
        <f>E13*F13</f>
        <v>157796</v>
      </c>
      <c r="H13" s="372">
        <f>'Project Plan'!E22+30</f>
        <v>45590</v>
      </c>
      <c r="I13" s="373"/>
      <c r="J13" s="965">
        <f>SUM(G13:G16)</f>
        <v>157796</v>
      </c>
      <c r="K13" s="965">
        <v>192434.14629999999</v>
      </c>
      <c r="L13" s="374"/>
      <c r="M13" s="367">
        <v>2</v>
      </c>
      <c r="N13" s="671" t="s">
        <v>263</v>
      </c>
      <c r="O13" s="410" t="s">
        <v>262</v>
      </c>
      <c r="P13" s="504">
        <v>2</v>
      </c>
      <c r="Q13" s="590">
        <v>68870</v>
      </c>
      <c r="R13" s="371">
        <f>P13*Q13</f>
        <v>137740</v>
      </c>
      <c r="S13" s="591" t="s">
        <v>264</v>
      </c>
      <c r="T13" s="762">
        <v>45565</v>
      </c>
      <c r="U13" s="806">
        <v>190902.34004698609</v>
      </c>
      <c r="V13" s="960">
        <f>K13-SUM(U13:U16)</f>
        <v>0</v>
      </c>
      <c r="W13" s="818">
        <f>T13+30</f>
        <v>45595</v>
      </c>
      <c r="X13" s="920">
        <f>SUM(R13:R16)</f>
        <v>138845.23000000001</v>
      </c>
      <c r="Y13" s="217"/>
      <c r="Z13" s="203" t="s">
        <v>265</v>
      </c>
      <c r="AA13" s="174" t="s">
        <v>266</v>
      </c>
      <c r="AB13" s="175">
        <f>G86</f>
        <v>0</v>
      </c>
      <c r="AD13" s="651"/>
    </row>
    <row r="14" spans="1:43" ht="15" customHeight="1">
      <c r="B14" s="411">
        <v>2</v>
      </c>
      <c r="C14" s="412"/>
      <c r="D14" s="412"/>
      <c r="E14" s="592"/>
      <c r="F14" s="593"/>
      <c r="G14" s="413"/>
      <c r="H14" s="381"/>
      <c r="I14" s="382"/>
      <c r="J14" s="966"/>
      <c r="K14" s="966"/>
      <c r="L14" s="383"/>
      <c r="M14" s="411">
        <v>2</v>
      </c>
      <c r="N14" s="672" t="s">
        <v>263</v>
      </c>
      <c r="O14" s="412"/>
      <c r="P14" s="592"/>
      <c r="Q14" s="593"/>
      <c r="R14" s="413"/>
      <c r="S14" s="550"/>
      <c r="T14" s="514" t="s">
        <v>259</v>
      </c>
      <c r="U14" s="529">
        <f t="shared" ref="U14:U16" si="0">(R14/$X$13*$K$13)</f>
        <v>0</v>
      </c>
      <c r="V14" s="961"/>
      <c r="W14" s="471"/>
      <c r="X14" s="921"/>
      <c r="Y14" s="211"/>
      <c r="Z14" s="196"/>
      <c r="AA14" s="174" t="s">
        <v>255</v>
      </c>
      <c r="AB14" s="175">
        <f>G97</f>
        <v>0</v>
      </c>
      <c r="AD14" s="651"/>
    </row>
    <row r="15" spans="1:43" ht="15" customHeight="1">
      <c r="B15" s="411">
        <v>2</v>
      </c>
      <c r="C15" s="412"/>
      <c r="D15" s="412"/>
      <c r="E15" s="592"/>
      <c r="F15" s="593"/>
      <c r="G15" s="413"/>
      <c r="H15" s="381"/>
      <c r="I15" s="382"/>
      <c r="J15" s="966"/>
      <c r="K15" s="966"/>
      <c r="L15" s="383"/>
      <c r="M15" s="411">
        <v>2</v>
      </c>
      <c r="N15" s="672" t="s">
        <v>263</v>
      </c>
      <c r="O15" s="412" t="s">
        <v>252</v>
      </c>
      <c r="P15" s="592"/>
      <c r="Q15" s="593"/>
      <c r="R15" s="413">
        <v>1105.23</v>
      </c>
      <c r="S15" s="550" t="s">
        <v>264</v>
      </c>
      <c r="T15" s="765">
        <v>45565</v>
      </c>
      <c r="U15" s="807">
        <v>1531.80625301387</v>
      </c>
      <c r="V15" s="961"/>
      <c r="W15" s="801">
        <f>W13</f>
        <v>45595</v>
      </c>
      <c r="X15" s="921"/>
      <c r="Y15" s="211"/>
      <c r="Z15" s="196"/>
      <c r="AA15" s="174" t="str">
        <f>D99</f>
        <v>Scaffolding</v>
      </c>
      <c r="AB15" s="175">
        <f>G99</f>
        <v>29856.3</v>
      </c>
      <c r="AD15" s="651"/>
    </row>
    <row r="16" spans="1:43" ht="15" customHeight="1" thickBot="1">
      <c r="B16" s="594">
        <v>2</v>
      </c>
      <c r="C16" s="595"/>
      <c r="D16" s="595"/>
      <c r="E16" s="596"/>
      <c r="F16" s="597"/>
      <c r="G16" s="598"/>
      <c r="H16" s="390"/>
      <c r="I16" s="391"/>
      <c r="J16" s="967"/>
      <c r="K16" s="967"/>
      <c r="L16" s="392"/>
      <c r="M16" s="594">
        <v>2</v>
      </c>
      <c r="N16" s="673" t="s">
        <v>263</v>
      </c>
      <c r="O16" s="595"/>
      <c r="P16" s="596"/>
      <c r="Q16" s="597"/>
      <c r="R16" s="598"/>
      <c r="S16" s="549"/>
      <c r="T16" s="520" t="s">
        <v>259</v>
      </c>
      <c r="U16" s="530">
        <f t="shared" si="0"/>
        <v>0</v>
      </c>
      <c r="V16" s="962"/>
      <c r="W16" s="478"/>
      <c r="X16" s="922"/>
      <c r="Y16" s="218"/>
      <c r="Z16" s="204"/>
      <c r="AA16" s="174" t="s">
        <v>267</v>
      </c>
      <c r="AB16" s="176">
        <v>0</v>
      </c>
    </row>
    <row r="17" spans="1:43" ht="14.45" thickBot="1">
      <c r="A17" s="24"/>
      <c r="B17" s="362"/>
      <c r="C17" s="341"/>
      <c r="D17" s="341"/>
      <c r="E17" s="363"/>
      <c r="F17" s="364"/>
      <c r="G17" s="365"/>
      <c r="H17" s="345"/>
      <c r="I17" s="366"/>
      <c r="J17" s="346"/>
      <c r="K17" s="346"/>
      <c r="L17" s="24"/>
      <c r="M17" s="362"/>
      <c r="N17" s="341"/>
      <c r="O17" s="341"/>
      <c r="P17" s="363"/>
      <c r="Q17" s="364"/>
      <c r="R17" s="365"/>
      <c r="S17" s="547"/>
      <c r="T17" s="538" t="s">
        <v>259</v>
      </c>
      <c r="U17" s="513"/>
      <c r="V17" s="646"/>
      <c r="W17" s="474"/>
      <c r="X17" s="484"/>
      <c r="Y17" s="214"/>
      <c r="Z17" s="199"/>
      <c r="AA17" s="174" t="s">
        <v>123</v>
      </c>
      <c r="AB17" s="175">
        <f>SUM(AB8:AB16)</f>
        <v>667772.42000000004</v>
      </c>
      <c r="AC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7">
        <v>3</v>
      </c>
      <c r="C18" s="397" t="s">
        <v>268</v>
      </c>
      <c r="D18" s="421" t="s">
        <v>269</v>
      </c>
      <c r="E18" s="349">
        <f>'Project Plan'!E3*1000</f>
        <v>250000</v>
      </c>
      <c r="F18" s="452">
        <v>0.45</v>
      </c>
      <c r="G18" s="350">
        <v>99864</v>
      </c>
      <c r="H18" s="351">
        <f>'Project Plan'!E19+30</f>
        <v>45590</v>
      </c>
      <c r="I18" s="352"/>
      <c r="J18" s="938">
        <f>SUM(G18:G24)</f>
        <v>99864</v>
      </c>
      <c r="K18" s="938">
        <v>121785.3659</v>
      </c>
      <c r="L18" s="353"/>
      <c r="M18" s="347">
        <v>3</v>
      </c>
      <c r="N18" s="674" t="s">
        <v>270</v>
      </c>
      <c r="O18" s="805" t="s">
        <v>271</v>
      </c>
      <c r="P18" s="349">
        <v>1</v>
      </c>
      <c r="Q18" s="691">
        <v>56499.4</v>
      </c>
      <c r="R18" s="350">
        <f>P18*Q18</f>
        <v>56499.4</v>
      </c>
      <c r="S18" s="540" t="s">
        <v>272</v>
      </c>
      <c r="T18" s="752">
        <v>45565</v>
      </c>
      <c r="U18" s="775">
        <v>117065.68326135754</v>
      </c>
      <c r="V18" s="910">
        <f>K18-SUM(U18:U24)</f>
        <v>0</v>
      </c>
      <c r="W18" s="766">
        <v>45558</v>
      </c>
      <c r="X18" s="907">
        <f>SUM(R18:R24)</f>
        <v>169924.22</v>
      </c>
      <c r="Y18" s="215" t="s">
        <v>273</v>
      </c>
      <c r="Z18" s="200"/>
      <c r="AA18" s="174" t="s">
        <v>274</v>
      </c>
      <c r="AB18" s="177">
        <f>+AB17*0.85</f>
        <v>567606.55700000003</v>
      </c>
      <c r="AF18" s="761">
        <v>62178.86</v>
      </c>
    </row>
    <row r="19" spans="1:43" ht="14.25" customHeight="1">
      <c r="B19" s="400">
        <v>3</v>
      </c>
      <c r="C19" s="401"/>
      <c r="D19" s="423"/>
      <c r="E19" s="405"/>
      <c r="F19" s="424"/>
      <c r="G19" s="404"/>
      <c r="H19" s="356"/>
      <c r="I19" s="357"/>
      <c r="J19" s="939"/>
      <c r="K19" s="939"/>
      <c r="L19" s="358"/>
      <c r="M19" s="400">
        <v>3</v>
      </c>
      <c r="N19" s="675" t="s">
        <v>270</v>
      </c>
      <c r="O19" s="423"/>
      <c r="P19" s="405"/>
      <c r="Q19" s="424"/>
      <c r="R19" s="404">
        <v>-56499.4</v>
      </c>
      <c r="S19" s="851" t="s">
        <v>272</v>
      </c>
      <c r="T19" s="852">
        <v>45657</v>
      </c>
      <c r="U19" s="526">
        <v>0</v>
      </c>
      <c r="V19" s="911"/>
      <c r="W19" s="828">
        <v>45657</v>
      </c>
      <c r="X19" s="908"/>
      <c r="Y19" s="210"/>
      <c r="Z19" s="201"/>
      <c r="AA19" s="179" t="s">
        <v>275</v>
      </c>
      <c r="AB19" s="176">
        <f>+AB18/'Project Plan'!$E$3/1000</f>
        <v>2.2704262280000003</v>
      </c>
    </row>
    <row r="20" spans="1:43" ht="14.25" customHeight="1">
      <c r="B20" s="400"/>
      <c r="C20" s="401"/>
      <c r="D20" s="423"/>
      <c r="E20" s="405"/>
      <c r="F20" s="424"/>
      <c r="G20" s="404"/>
      <c r="H20" s="356"/>
      <c r="I20" s="357"/>
      <c r="J20" s="939"/>
      <c r="K20" s="939"/>
      <c r="L20" s="358"/>
      <c r="M20" s="400">
        <v>3</v>
      </c>
      <c r="N20" s="675" t="s">
        <v>270</v>
      </c>
      <c r="O20" s="423"/>
      <c r="P20" s="405"/>
      <c r="Q20" s="424"/>
      <c r="R20" s="404">
        <v>44229.04</v>
      </c>
      <c r="S20" s="851" t="s">
        <v>272</v>
      </c>
      <c r="T20" s="852">
        <v>45657</v>
      </c>
      <c r="U20" s="526"/>
      <c r="V20" s="911"/>
      <c r="W20" s="828">
        <v>45657</v>
      </c>
      <c r="X20" s="908"/>
      <c r="Y20" s="210"/>
      <c r="Z20" s="201"/>
      <c r="AA20" s="849"/>
      <c r="AB20" s="850"/>
    </row>
    <row r="21" spans="1:43" ht="14.25" customHeight="1">
      <c r="B21" s="400">
        <v>3</v>
      </c>
      <c r="C21" s="401"/>
      <c r="D21" s="423"/>
      <c r="E21" s="405"/>
      <c r="F21" s="424"/>
      <c r="G21" s="404"/>
      <c r="H21" s="356"/>
      <c r="I21" s="357"/>
      <c r="J21" s="939"/>
      <c r="K21" s="939"/>
      <c r="L21" s="358"/>
      <c r="M21" s="400">
        <v>3</v>
      </c>
      <c r="N21" s="675" t="s">
        <v>270</v>
      </c>
      <c r="O21" s="423" t="s">
        <v>252</v>
      </c>
      <c r="P21" s="405"/>
      <c r="Q21" s="424"/>
      <c r="R21" s="404">
        <v>1850</v>
      </c>
      <c r="S21" s="548" t="s">
        <v>276</v>
      </c>
      <c r="T21" s="738">
        <v>45565</v>
      </c>
      <c r="U21" s="740">
        <v>3833.164848361424</v>
      </c>
      <c r="V21" s="911"/>
      <c r="W21" s="753">
        <f>W18</f>
        <v>45558</v>
      </c>
      <c r="X21" s="908"/>
      <c r="Y21" s="210"/>
      <c r="Z21" s="201"/>
    </row>
    <row r="22" spans="1:43" ht="14.25" customHeight="1">
      <c r="B22" s="574"/>
      <c r="C22" s="575"/>
      <c r="D22" s="576"/>
      <c r="E22" s="577"/>
      <c r="F22" s="578"/>
      <c r="G22" s="579"/>
      <c r="H22" s="580"/>
      <c r="I22" s="357"/>
      <c r="J22" s="939"/>
      <c r="K22" s="939"/>
      <c r="L22" s="358"/>
      <c r="M22" s="400">
        <v>3</v>
      </c>
      <c r="N22" s="675" t="s">
        <v>270</v>
      </c>
      <c r="O22" s="576" t="s">
        <v>277</v>
      </c>
      <c r="P22" s="577"/>
      <c r="Q22" s="578"/>
      <c r="R22" s="579">
        <v>155413</v>
      </c>
      <c r="S22" s="837" t="s">
        <v>278</v>
      </c>
      <c r="T22" s="838">
        <v>45626</v>
      </c>
      <c r="U22" s="843">
        <v>0</v>
      </c>
      <c r="V22" s="911"/>
      <c r="W22" s="848">
        <v>45645</v>
      </c>
      <c r="X22" s="908"/>
      <c r="Y22" s="501"/>
      <c r="Z22" s="502"/>
    </row>
    <row r="23" spans="1:43" ht="14.25" customHeight="1">
      <c r="B23" s="574"/>
      <c r="C23" s="575"/>
      <c r="D23" s="576"/>
      <c r="E23" s="577"/>
      <c r="F23" s="578"/>
      <c r="G23" s="579"/>
      <c r="H23" s="580"/>
      <c r="I23" s="357"/>
      <c r="J23" s="939"/>
      <c r="K23" s="939"/>
      <c r="L23" s="358"/>
      <c r="M23" s="400">
        <v>3</v>
      </c>
      <c r="N23" s="675" t="s">
        <v>270</v>
      </c>
      <c r="O23" s="576" t="s">
        <v>279</v>
      </c>
      <c r="P23" s="577"/>
      <c r="Q23" s="578"/>
      <c r="R23" s="579">
        <v>-31995.68</v>
      </c>
      <c r="S23" s="837" t="s">
        <v>280</v>
      </c>
      <c r="T23" s="838">
        <v>45626</v>
      </c>
      <c r="U23" s="843"/>
      <c r="V23" s="911"/>
      <c r="W23" s="848">
        <v>45645</v>
      </c>
      <c r="X23" s="908"/>
      <c r="Y23" s="501"/>
      <c r="Z23" s="502"/>
    </row>
    <row r="24" spans="1:43" ht="15" customHeight="1" thickBot="1">
      <c r="B24" s="406">
        <v>3</v>
      </c>
      <c r="C24" s="438"/>
      <c r="D24" s="425"/>
      <c r="E24" s="409"/>
      <c r="F24" s="426"/>
      <c r="G24" s="427"/>
      <c r="H24" s="359"/>
      <c r="I24" s="360"/>
      <c r="J24" s="940"/>
      <c r="K24" s="940"/>
      <c r="L24" s="361"/>
      <c r="M24" s="406">
        <v>3</v>
      </c>
      <c r="N24" s="676" t="s">
        <v>270</v>
      </c>
      <c r="O24" s="425"/>
      <c r="P24" s="409"/>
      <c r="Q24" s="426"/>
      <c r="R24" s="427">
        <v>427.86</v>
      </c>
      <c r="S24" s="802" t="s">
        <v>281</v>
      </c>
      <c r="T24" s="803">
        <v>45596</v>
      </c>
      <c r="U24" s="829">
        <v>886.51779028103726</v>
      </c>
      <c r="V24" s="912"/>
      <c r="W24" s="844">
        <v>45625</v>
      </c>
      <c r="X24" s="909"/>
      <c r="Y24" s="216"/>
      <c r="Z24" s="202"/>
      <c r="AA24" s="180" t="s">
        <v>282</v>
      </c>
      <c r="AB24" s="181" t="s">
        <v>283</v>
      </c>
      <c r="AE24" s="180" t="s">
        <v>284</v>
      </c>
      <c r="AF24" s="181" t="s">
        <v>283</v>
      </c>
      <c r="AH24" s="180" t="s">
        <v>285</v>
      </c>
      <c r="AI24" s="181" t="s">
        <v>283</v>
      </c>
      <c r="AP24" s="24"/>
      <c r="AQ24" s="24"/>
    </row>
    <row r="25" spans="1:43" ht="14.45" thickBot="1">
      <c r="A25" s="24"/>
      <c r="B25" s="362"/>
      <c r="C25" s="393"/>
      <c r="D25" s="394"/>
      <c r="E25" s="395"/>
      <c r="F25" s="396"/>
      <c r="G25" s="365"/>
      <c r="H25" s="345"/>
      <c r="I25" s="366"/>
      <c r="J25" s="346"/>
      <c r="K25" s="346"/>
      <c r="L25" s="24"/>
      <c r="M25" s="362"/>
      <c r="N25" s="393"/>
      <c r="O25" s="394"/>
      <c r="P25" s="395"/>
      <c r="Q25" s="396"/>
      <c r="R25" s="365"/>
      <c r="S25" s="547"/>
      <c r="T25" s="538" t="str">
        <f t="shared" ref="T25:T97" si="1">IF(W25&gt;1,EOMONTH(W25,-1),"")</f>
        <v/>
      </c>
      <c r="U25" s="513"/>
      <c r="V25" s="646"/>
      <c r="W25" s="474"/>
      <c r="X25" s="484"/>
      <c r="Y25" s="214"/>
      <c r="Z25" s="199"/>
      <c r="AA25" s="182" t="s">
        <v>251</v>
      </c>
      <c r="AB25" s="183">
        <v>79400</v>
      </c>
      <c r="AD25" s="651"/>
      <c r="AE25" s="182" t="s">
        <v>251</v>
      </c>
      <c r="AF25" s="183">
        <v>146732</v>
      </c>
      <c r="AG25" s="24"/>
      <c r="AH25" s="182" t="s">
        <v>251</v>
      </c>
      <c r="AI25" s="183">
        <f>55724.24+6662.03</f>
        <v>62386.27</v>
      </c>
      <c r="AJ25" s="24" t="s">
        <v>286</v>
      </c>
      <c r="AK25" s="24"/>
      <c r="AL25" s="24"/>
      <c r="AM25" s="24"/>
      <c r="AN25" s="24"/>
      <c r="AO25" s="24"/>
      <c r="AP25" s="24"/>
      <c r="AQ25" s="24"/>
    </row>
    <row r="26" spans="1:43" ht="14.25" customHeight="1" thickTop="1">
      <c r="B26" s="367">
        <v>4</v>
      </c>
      <c r="C26" s="368" t="s">
        <v>254</v>
      </c>
      <c r="D26" s="368" t="s">
        <v>287</v>
      </c>
      <c r="E26" s="504">
        <v>6133</v>
      </c>
      <c r="F26" s="590">
        <v>16</v>
      </c>
      <c r="G26" s="371">
        <f>E26*F26</f>
        <v>98128</v>
      </c>
      <c r="H26" s="372">
        <f>'Project Plan'!E31+30</f>
        <v>45590</v>
      </c>
      <c r="I26" s="373"/>
      <c r="J26" s="965">
        <f>SUM(G26:G35)</f>
        <v>237064.3</v>
      </c>
      <c r="K26" s="965">
        <v>289102.80489999999</v>
      </c>
      <c r="L26" s="374"/>
      <c r="M26" s="367">
        <v>4</v>
      </c>
      <c r="N26" s="677" t="s">
        <v>288</v>
      </c>
      <c r="O26" s="368" t="s">
        <v>287</v>
      </c>
      <c r="P26" s="504">
        <v>8000</v>
      </c>
      <c r="Q26" s="590">
        <v>13.5</v>
      </c>
      <c r="R26" s="371">
        <f>P26*Q26</f>
        <v>108000</v>
      </c>
      <c r="S26" s="550" t="s">
        <v>289</v>
      </c>
      <c r="T26" s="795">
        <v>45596</v>
      </c>
      <c r="U26" s="806">
        <v>128887.93778823529</v>
      </c>
      <c r="V26" s="963">
        <f>K26-SUM(U26:U35)</f>
        <v>0</v>
      </c>
      <c r="W26" s="845">
        <v>45596</v>
      </c>
      <c r="X26" s="920">
        <f>SUM(R26:R35)</f>
        <v>242250</v>
      </c>
      <c r="Y26" s="217" t="s">
        <v>290</v>
      </c>
      <c r="Z26" s="203" t="s">
        <v>291</v>
      </c>
      <c r="AA26" s="182" t="s">
        <v>254</v>
      </c>
      <c r="AB26" s="183">
        <v>84262.399999999994</v>
      </c>
      <c r="AD26" s="651"/>
      <c r="AE26" s="182" t="s">
        <v>254</v>
      </c>
      <c r="AF26" s="183">
        <v>134250</v>
      </c>
      <c r="AH26" s="182" t="s">
        <v>254</v>
      </c>
      <c r="AI26" s="183">
        <v>145954.74</v>
      </c>
      <c r="AP26" s="24"/>
      <c r="AQ26" s="24"/>
    </row>
    <row r="27" spans="1:43" ht="14.25" customHeight="1">
      <c r="B27" s="411">
        <v>4</v>
      </c>
      <c r="C27" s="630"/>
      <c r="D27" s="630" t="s">
        <v>292</v>
      </c>
      <c r="E27" s="592">
        <v>4</v>
      </c>
      <c r="F27" s="593">
        <v>5500</v>
      </c>
      <c r="G27" s="380">
        <f>E27*F27</f>
        <v>22000</v>
      </c>
      <c r="H27" s="381">
        <f>H28</f>
        <v>45606</v>
      </c>
      <c r="I27" s="382"/>
      <c r="J27" s="966"/>
      <c r="K27" s="966"/>
      <c r="L27" s="383"/>
      <c r="M27" s="375">
        <v>4</v>
      </c>
      <c r="N27" s="678" t="s">
        <v>288</v>
      </c>
      <c r="O27" s="630" t="s">
        <v>252</v>
      </c>
      <c r="P27" s="592"/>
      <c r="Q27" s="593"/>
      <c r="R27" s="380">
        <v>0</v>
      </c>
      <c r="S27" s="550"/>
      <c r="T27" s="519"/>
      <c r="U27" s="629">
        <f t="shared" ref="U27" si="2">(R27/$X$26*$K$26)</f>
        <v>0</v>
      </c>
      <c r="V27" s="964"/>
      <c r="W27" s="471"/>
      <c r="X27" s="921"/>
      <c r="Y27" s="631"/>
      <c r="Z27" s="632"/>
      <c r="AA27" s="182" t="s">
        <v>256</v>
      </c>
      <c r="AB27" s="183">
        <v>62500</v>
      </c>
      <c r="AD27" s="651"/>
      <c r="AE27" s="182" t="s">
        <v>256</v>
      </c>
      <c r="AF27" s="183">
        <v>62504</v>
      </c>
      <c r="AH27" s="182" t="s">
        <v>256</v>
      </c>
      <c r="AI27" s="183">
        <v>15154.29</v>
      </c>
      <c r="AP27" s="24"/>
      <c r="AQ27" s="24"/>
    </row>
    <row r="28" spans="1:43" ht="14.25" customHeight="1">
      <c r="B28" s="411">
        <v>4</v>
      </c>
      <c r="C28" s="630"/>
      <c r="D28" s="630" t="s">
        <v>293</v>
      </c>
      <c r="E28" s="592">
        <v>220</v>
      </c>
      <c r="F28" s="593">
        <v>152</v>
      </c>
      <c r="G28" s="380">
        <f>E28*F28</f>
        <v>33440</v>
      </c>
      <c r="H28" s="381">
        <f>'Project Plan'!E34+30</f>
        <v>45606</v>
      </c>
      <c r="I28" s="382"/>
      <c r="J28" s="966"/>
      <c r="K28" s="966"/>
      <c r="L28" s="383"/>
      <c r="M28" s="375">
        <v>4</v>
      </c>
      <c r="N28" s="678" t="s">
        <v>288</v>
      </c>
      <c r="O28" s="630" t="s">
        <v>294</v>
      </c>
      <c r="P28" s="707">
        <f>AF26</f>
        <v>134250</v>
      </c>
      <c r="Q28" s="692">
        <v>0.1</v>
      </c>
      <c r="R28" s="380">
        <f>$P$28*Q28</f>
        <v>13425</v>
      </c>
      <c r="S28" s="550" t="s">
        <v>295</v>
      </c>
      <c r="T28" s="762">
        <f>T77</f>
        <v>45565</v>
      </c>
      <c r="U28" s="808">
        <v>16021.486711176471</v>
      </c>
      <c r="V28" s="964"/>
      <c r="W28" s="801">
        <f>W77</f>
        <v>45560</v>
      </c>
      <c r="X28" s="921"/>
      <c r="Y28" s="895" t="s">
        <v>296</v>
      </c>
      <c r="Z28" s="632"/>
      <c r="AA28" s="182" t="s">
        <v>258</v>
      </c>
      <c r="AB28" s="183">
        <v>149000</v>
      </c>
      <c r="AC28" s="651">
        <f>SUM(AB27:AB28)/250000</f>
        <v>0.84599999999999997</v>
      </c>
      <c r="AD28" s="651"/>
      <c r="AE28" s="182" t="s">
        <v>258</v>
      </c>
      <c r="AF28" s="183">
        <v>112509.8</v>
      </c>
      <c r="AG28" s="651">
        <f>SUM(AF27:AF28)/250000</f>
        <v>0.70005519999999999</v>
      </c>
      <c r="AH28" s="182" t="s">
        <v>258</v>
      </c>
      <c r="AI28" s="183">
        <v>191994.01</v>
      </c>
      <c r="AJ28" s="651">
        <f>SUM(AI27:AI28)/250000</f>
        <v>0.82859320000000003</v>
      </c>
      <c r="AP28" s="24"/>
      <c r="AQ28" s="24"/>
    </row>
    <row r="29" spans="1:43" ht="14.25" customHeight="1">
      <c r="B29" s="411">
        <v>4</v>
      </c>
      <c r="C29" s="630"/>
      <c r="D29" s="657" t="s">
        <v>297</v>
      </c>
      <c r="E29" s="599">
        <f>E26</f>
        <v>6133</v>
      </c>
      <c r="F29" s="658">
        <v>13.5</v>
      </c>
      <c r="G29" s="380">
        <f t="shared" ref="G29" si="3">E29*F29</f>
        <v>82795.5</v>
      </c>
      <c r="H29" s="381">
        <f>H18</f>
        <v>45590</v>
      </c>
      <c r="I29" s="382"/>
      <c r="J29" s="966"/>
      <c r="K29" s="966"/>
      <c r="L29" s="383"/>
      <c r="M29" s="375">
        <v>4</v>
      </c>
      <c r="N29" s="678" t="s">
        <v>288</v>
      </c>
      <c r="O29" s="630" t="s">
        <v>150</v>
      </c>
      <c r="P29" s="659"/>
      <c r="Q29" s="692">
        <v>0.15</v>
      </c>
      <c r="R29" s="380">
        <f t="shared" ref="R29:R35" si="4">$P$28*Q29</f>
        <v>20137.5</v>
      </c>
      <c r="S29" s="768" t="s">
        <v>298</v>
      </c>
      <c r="T29" s="762">
        <f t="shared" ref="T29:T34" si="5">T78</f>
        <v>45565</v>
      </c>
      <c r="U29" s="808">
        <v>24032.230066764703</v>
      </c>
      <c r="V29" s="964"/>
      <c r="W29" s="801">
        <f t="shared" ref="W29:W34" si="6">W78</f>
        <v>45575</v>
      </c>
      <c r="X29" s="921"/>
      <c r="Y29" s="896"/>
      <c r="Z29" s="632"/>
      <c r="AA29" s="182" t="s">
        <v>260</v>
      </c>
      <c r="AB29" s="183">
        <v>8500</v>
      </c>
      <c r="AD29" s="651"/>
      <c r="AE29" s="182" t="s">
        <v>299</v>
      </c>
      <c r="AF29" s="183">
        <v>47669</v>
      </c>
      <c r="AH29" s="182" t="s">
        <v>299</v>
      </c>
      <c r="AI29" s="183">
        <f>76775.4+15381.6</f>
        <v>92157</v>
      </c>
      <c r="AP29" s="24"/>
      <c r="AQ29" s="24"/>
    </row>
    <row r="30" spans="1:43" ht="14.25" customHeight="1">
      <c r="B30" s="411">
        <v>4</v>
      </c>
      <c r="C30" s="630"/>
      <c r="D30" s="414" t="s">
        <v>300</v>
      </c>
      <c r="E30" s="659">
        <v>43.8</v>
      </c>
      <c r="F30" s="593">
        <v>16</v>
      </c>
      <c r="G30" s="380">
        <f>E30*F30</f>
        <v>700.8</v>
      </c>
      <c r="H30" s="381">
        <f>'Project Plan'!E35</f>
        <v>45576</v>
      </c>
      <c r="I30" s="382"/>
      <c r="J30" s="966"/>
      <c r="K30" s="966"/>
      <c r="L30" s="383"/>
      <c r="M30" s="375">
        <v>4</v>
      </c>
      <c r="N30" s="678" t="s">
        <v>288</v>
      </c>
      <c r="O30" s="630" t="s">
        <v>301</v>
      </c>
      <c r="P30" s="659"/>
      <c r="Q30" s="692">
        <v>0.2</v>
      </c>
      <c r="R30" s="380">
        <f t="shared" si="4"/>
        <v>26850</v>
      </c>
      <c r="S30" s="550" t="s">
        <v>302</v>
      </c>
      <c r="T30" s="762">
        <f t="shared" si="5"/>
        <v>45596</v>
      </c>
      <c r="U30" s="808">
        <v>32042.973422352941</v>
      </c>
      <c r="V30" s="964"/>
      <c r="W30" s="801">
        <f t="shared" si="6"/>
        <v>45596</v>
      </c>
      <c r="X30" s="921"/>
      <c r="Y30" s="896"/>
      <c r="Z30" s="632"/>
      <c r="AA30" s="182" t="s">
        <v>303</v>
      </c>
      <c r="AB30" s="183">
        <v>15000</v>
      </c>
      <c r="AD30" s="651"/>
      <c r="AE30" s="182" t="s">
        <v>304</v>
      </c>
      <c r="AF30" s="183">
        <v>14986</v>
      </c>
      <c r="AH30" s="182" t="s">
        <v>58</v>
      </c>
      <c r="AI30" s="183">
        <v>7027.8</v>
      </c>
      <c r="AP30" s="24"/>
      <c r="AQ30" s="24"/>
    </row>
    <row r="31" spans="1:43" ht="14.25" customHeight="1">
      <c r="B31" s="411">
        <v>4</v>
      </c>
      <c r="C31" s="630"/>
      <c r="D31" s="630"/>
      <c r="E31" s="659"/>
      <c r="F31" s="593"/>
      <c r="G31" s="380"/>
      <c r="H31" s="381"/>
      <c r="I31" s="382"/>
      <c r="J31" s="966"/>
      <c r="K31" s="966"/>
      <c r="L31" s="383"/>
      <c r="M31" s="375">
        <v>4</v>
      </c>
      <c r="N31" s="678" t="s">
        <v>288</v>
      </c>
      <c r="O31" s="630" t="s">
        <v>305</v>
      </c>
      <c r="P31" s="659"/>
      <c r="Q31" s="692">
        <v>0.25</v>
      </c>
      <c r="R31" s="380">
        <f t="shared" si="4"/>
        <v>33562.5</v>
      </c>
      <c r="S31" s="550" t="s">
        <v>306</v>
      </c>
      <c r="T31" s="762">
        <f t="shared" si="5"/>
        <v>45596</v>
      </c>
      <c r="U31" s="808">
        <v>40053.716777941168</v>
      </c>
      <c r="V31" s="964"/>
      <c r="W31" s="801">
        <f t="shared" si="6"/>
        <v>45596</v>
      </c>
      <c r="X31" s="921"/>
      <c r="Y31" s="896"/>
      <c r="Z31" s="632"/>
      <c r="AA31" s="182" t="s">
        <v>307</v>
      </c>
      <c r="AB31" s="183">
        <v>8500</v>
      </c>
      <c r="AD31" s="651"/>
      <c r="AE31" s="182" t="s">
        <v>308</v>
      </c>
      <c r="AF31" s="183">
        <v>45112</v>
      </c>
      <c r="AH31" s="182" t="s">
        <v>309</v>
      </c>
      <c r="AI31" s="183">
        <v>3978</v>
      </c>
      <c r="AP31" s="24"/>
      <c r="AQ31" s="24"/>
    </row>
    <row r="32" spans="1:43" ht="14.25" customHeight="1">
      <c r="B32" s="411">
        <v>4</v>
      </c>
      <c r="C32" s="630"/>
      <c r="D32" s="630"/>
      <c r="E32" s="659"/>
      <c r="F32" s="593"/>
      <c r="G32" s="380"/>
      <c r="H32" s="381"/>
      <c r="I32" s="382"/>
      <c r="J32" s="966"/>
      <c r="K32" s="966"/>
      <c r="L32" s="383"/>
      <c r="M32" s="375">
        <v>4</v>
      </c>
      <c r="N32" s="678" t="s">
        <v>288</v>
      </c>
      <c r="O32" s="630" t="s">
        <v>310</v>
      </c>
      <c r="P32" s="659"/>
      <c r="Q32" s="692">
        <v>0.1</v>
      </c>
      <c r="R32" s="380">
        <f t="shared" si="4"/>
        <v>13425</v>
      </c>
      <c r="S32" s="550" t="s">
        <v>311</v>
      </c>
      <c r="T32" s="762">
        <v>45596</v>
      </c>
      <c r="U32" s="808">
        <v>16021.486711176471</v>
      </c>
      <c r="V32" s="964"/>
      <c r="W32" s="801">
        <f t="shared" si="6"/>
        <v>45610</v>
      </c>
      <c r="X32" s="921"/>
      <c r="Y32" s="896"/>
      <c r="Z32" s="632"/>
      <c r="AA32" s="182" t="s">
        <v>58</v>
      </c>
      <c r="AB32" s="183">
        <v>4500</v>
      </c>
      <c r="AD32" s="651"/>
      <c r="AE32" s="182" t="s">
        <v>312</v>
      </c>
      <c r="AF32" s="183">
        <v>0</v>
      </c>
      <c r="AH32" s="182" t="s">
        <v>313</v>
      </c>
      <c r="AI32" s="183">
        <v>17801.55</v>
      </c>
      <c r="AP32" s="24"/>
      <c r="AQ32" s="24"/>
    </row>
    <row r="33" spans="1:43" ht="15" customHeight="1">
      <c r="B33" s="375">
        <v>4</v>
      </c>
      <c r="C33" s="376"/>
      <c r="D33" s="414"/>
      <c r="E33" s="659"/>
      <c r="F33" s="593"/>
      <c r="G33" s="380"/>
      <c r="H33" s="381"/>
      <c r="I33" s="382"/>
      <c r="J33" s="966"/>
      <c r="K33" s="966"/>
      <c r="L33" s="383"/>
      <c r="M33" s="375">
        <v>4</v>
      </c>
      <c r="N33" s="678" t="s">
        <v>288</v>
      </c>
      <c r="O33" s="414" t="s">
        <v>314</v>
      </c>
      <c r="P33" s="659"/>
      <c r="Q33" s="692">
        <v>0.1</v>
      </c>
      <c r="R33" s="380">
        <f t="shared" si="4"/>
        <v>13425</v>
      </c>
      <c r="S33" s="550" t="s">
        <v>315</v>
      </c>
      <c r="T33" s="762">
        <v>45596</v>
      </c>
      <c r="U33" s="808">
        <v>16021.486711176471</v>
      </c>
      <c r="V33" s="948"/>
      <c r="W33" s="801">
        <f t="shared" si="6"/>
        <v>45631</v>
      </c>
      <c r="X33" s="921"/>
      <c r="Y33" s="896"/>
      <c r="Z33" s="196"/>
      <c r="AA33" s="182" t="s">
        <v>267</v>
      </c>
      <c r="AB33" s="183">
        <v>0</v>
      </c>
      <c r="AD33" s="651"/>
      <c r="AE33" s="182" t="s">
        <v>267</v>
      </c>
      <c r="AF33" s="183">
        <v>0</v>
      </c>
      <c r="AH33" s="182" t="s">
        <v>267</v>
      </c>
      <c r="AI33" s="183">
        <v>0</v>
      </c>
      <c r="AP33" s="24"/>
      <c r="AQ33" s="24"/>
    </row>
    <row r="34" spans="1:43" ht="15" customHeight="1">
      <c r="B34" s="375">
        <v>4</v>
      </c>
      <c r="C34" s="414"/>
      <c r="D34" s="657"/>
      <c r="E34" s="599"/>
      <c r="F34" s="658"/>
      <c r="G34" s="380"/>
      <c r="H34" s="381"/>
      <c r="I34" s="383"/>
      <c r="J34" s="966"/>
      <c r="K34" s="966"/>
      <c r="L34" s="383"/>
      <c r="M34" s="375">
        <v>4</v>
      </c>
      <c r="N34" s="678" t="s">
        <v>288</v>
      </c>
      <c r="O34" s="657" t="s">
        <v>316</v>
      </c>
      <c r="P34" s="599"/>
      <c r="Q34" s="693">
        <v>0.05</v>
      </c>
      <c r="R34" s="380">
        <f t="shared" si="4"/>
        <v>6712.5</v>
      </c>
      <c r="S34" s="550" t="str">
        <f>S83</f>
        <v>Thula Moya IN04598</v>
      </c>
      <c r="T34" s="762">
        <f t="shared" si="5"/>
        <v>45688</v>
      </c>
      <c r="U34" s="807">
        <v>8010.7433555882353</v>
      </c>
      <c r="V34" s="948"/>
      <c r="W34" s="801">
        <f t="shared" si="6"/>
        <v>45701</v>
      </c>
      <c r="X34" s="921"/>
      <c r="Y34" s="896"/>
      <c r="Z34" s="196"/>
      <c r="AA34" s="182" t="s">
        <v>267</v>
      </c>
      <c r="AB34" s="183">
        <v>0</v>
      </c>
      <c r="AD34" s="651"/>
      <c r="AE34" s="182" t="s">
        <v>267</v>
      </c>
      <c r="AF34" s="183">
        <v>0</v>
      </c>
      <c r="AH34" s="182" t="s">
        <v>267</v>
      </c>
      <c r="AI34" s="183">
        <v>0</v>
      </c>
      <c r="AP34" s="24"/>
      <c r="AQ34" s="24"/>
    </row>
    <row r="35" spans="1:43" ht="15" customHeight="1" thickBot="1">
      <c r="B35" s="384">
        <v>4</v>
      </c>
      <c r="C35" s="419"/>
      <c r="D35" s="419"/>
      <c r="E35" s="596"/>
      <c r="F35" s="600"/>
      <c r="G35" s="389"/>
      <c r="H35" s="390"/>
      <c r="I35" s="392"/>
      <c r="J35" s="967"/>
      <c r="K35" s="967"/>
      <c r="L35" s="392"/>
      <c r="M35" s="384">
        <v>4</v>
      </c>
      <c r="N35" s="679" t="s">
        <v>288</v>
      </c>
      <c r="O35" s="419" t="s">
        <v>317</v>
      </c>
      <c r="P35" s="596"/>
      <c r="Q35" s="694">
        <v>0.05</v>
      </c>
      <c r="R35" s="600">
        <f t="shared" si="4"/>
        <v>6712.5</v>
      </c>
      <c r="S35" s="638" t="str">
        <f>S84</f>
        <v>Thula Moya IN04599</v>
      </c>
      <c r="T35" s="813">
        <f>T84</f>
        <v>45688</v>
      </c>
      <c r="U35" s="857">
        <v>8010.7433555882353</v>
      </c>
      <c r="V35" s="949"/>
      <c r="W35" s="822">
        <f>W84</f>
        <v>45722</v>
      </c>
      <c r="X35" s="922"/>
      <c r="Y35" s="897"/>
      <c r="Z35" s="204"/>
      <c r="AA35" s="182" t="s">
        <v>267</v>
      </c>
      <c r="AB35" s="184">
        <v>0</v>
      </c>
      <c r="AD35" s="651"/>
      <c r="AE35" s="182" t="s">
        <v>267</v>
      </c>
      <c r="AF35" s="184">
        <v>0</v>
      </c>
      <c r="AH35" s="182" t="s">
        <v>267</v>
      </c>
      <c r="AI35" s="184">
        <v>0</v>
      </c>
      <c r="AP35" s="24"/>
      <c r="AQ35" s="24"/>
    </row>
    <row r="36" spans="1:43" ht="14.45" thickBot="1">
      <c r="A36" s="24"/>
      <c r="B36" s="340"/>
      <c r="C36" s="341"/>
      <c r="D36" s="341"/>
      <c r="E36" s="363"/>
      <c r="F36" s="344"/>
      <c r="G36" s="364"/>
      <c r="H36" s="345"/>
      <c r="I36" s="24"/>
      <c r="J36" s="346"/>
      <c r="K36" s="346"/>
      <c r="L36" s="24"/>
      <c r="M36" s="340"/>
      <c r="N36" s="341"/>
      <c r="O36" s="341"/>
      <c r="P36" s="363"/>
      <c r="Q36" s="344"/>
      <c r="R36" s="364"/>
      <c r="S36" s="547"/>
      <c r="T36" s="538" t="str">
        <f t="shared" si="1"/>
        <v/>
      </c>
      <c r="U36" s="513"/>
      <c r="V36" s="646"/>
      <c r="W36" s="474"/>
      <c r="X36" s="484"/>
      <c r="Y36" s="214"/>
      <c r="Z36" s="199"/>
      <c r="AA36" s="182" t="s">
        <v>123</v>
      </c>
      <c r="AB36" s="183">
        <f>SUM(AB25:AB35)</f>
        <v>411662.4</v>
      </c>
      <c r="AD36" s="651"/>
      <c r="AE36" s="182" t="s">
        <v>123</v>
      </c>
      <c r="AF36" s="183">
        <f>SUM(AF25:AF35)</f>
        <v>563762.80000000005</v>
      </c>
      <c r="AG36" s="24"/>
      <c r="AH36" s="182" t="s">
        <v>123</v>
      </c>
      <c r="AI36" s="183">
        <f>SUM(AI25:AI35)</f>
        <v>536453.66</v>
      </c>
      <c r="AJ36" s="755"/>
      <c r="AK36" s="24"/>
      <c r="AL36" s="24"/>
      <c r="AM36" s="24"/>
      <c r="AN36" s="24"/>
      <c r="AO36" s="24"/>
      <c r="AP36" s="24"/>
      <c r="AQ36" s="24"/>
    </row>
    <row r="37" spans="1:43" ht="14.25" customHeight="1">
      <c r="B37" s="347">
        <v>5</v>
      </c>
      <c r="C37" s="397" t="s">
        <v>318</v>
      </c>
      <c r="D37" s="421" t="s">
        <v>319</v>
      </c>
      <c r="E37" s="349">
        <v>1</v>
      </c>
      <c r="F37" s="691">
        <v>26000</v>
      </c>
      <c r="G37" s="350">
        <f>F37*E37</f>
        <v>26000</v>
      </c>
      <c r="H37" s="351">
        <f t="shared" ref="H37" si="7">H13</f>
        <v>45590</v>
      </c>
      <c r="I37" s="352"/>
      <c r="J37" s="938">
        <f>SUM(G37:G42)</f>
        <v>49000</v>
      </c>
      <c r="K37" s="938">
        <v>59756.097560000002</v>
      </c>
      <c r="L37" s="353"/>
      <c r="M37" s="347">
        <v>5</v>
      </c>
      <c r="N37" s="674" t="s">
        <v>320</v>
      </c>
      <c r="O37" s="348" t="s">
        <v>319</v>
      </c>
      <c r="P37" s="660">
        <v>1</v>
      </c>
      <c r="Q37" s="662">
        <v>8000</v>
      </c>
      <c r="R37" s="350">
        <f>Q37*P37</f>
        <v>8000</v>
      </c>
      <c r="S37" s="540" t="s">
        <v>321</v>
      </c>
      <c r="T37" s="752">
        <v>45535</v>
      </c>
      <c r="U37" s="775">
        <v>5922.2722911775818</v>
      </c>
      <c r="V37" s="910">
        <f>K37-SUM(U37:U42)</f>
        <v>8.1832578143803403E-4</v>
      </c>
      <c r="W37" s="766">
        <f>T37+30</f>
        <v>45565</v>
      </c>
      <c r="X37" s="907">
        <f>SUM(R37:R42)</f>
        <v>71452.009999999995</v>
      </c>
      <c r="Y37" s="215"/>
      <c r="Z37" s="200" t="s">
        <v>265</v>
      </c>
      <c r="AA37" s="628" t="s">
        <v>275</v>
      </c>
      <c r="AB37" s="184">
        <f>+AB36/'Project Plan'!$E$3/1000</f>
        <v>1.6466496000000002</v>
      </c>
      <c r="AC37" s="24"/>
      <c r="AD37" s="651"/>
      <c r="AE37" s="628" t="s">
        <v>275</v>
      </c>
      <c r="AF37" s="184">
        <f>+AF36/'Project Plan'!$E$3/1000</f>
        <v>2.2550512000000005</v>
      </c>
      <c r="AH37" s="628" t="s">
        <v>275</v>
      </c>
      <c r="AI37" s="184">
        <f>+AI36/'Project Plan'!$E$3/1000</f>
        <v>2.1458146400000002</v>
      </c>
      <c r="AP37" s="24"/>
      <c r="AQ37" s="24"/>
    </row>
    <row r="38" spans="1:43" ht="14.25" customHeight="1">
      <c r="B38" s="354">
        <v>5</v>
      </c>
      <c r="C38" s="398"/>
      <c r="D38" s="423" t="s">
        <v>322</v>
      </c>
      <c r="E38" s="405"/>
      <c r="F38" s="667"/>
      <c r="G38" s="404">
        <v>8000</v>
      </c>
      <c r="H38" s="356">
        <f>H37</f>
        <v>45590</v>
      </c>
      <c r="I38" s="357"/>
      <c r="J38" s="939"/>
      <c r="K38" s="939"/>
      <c r="L38" s="358"/>
      <c r="M38" s="354">
        <v>5</v>
      </c>
      <c r="N38" s="680" t="s">
        <v>320</v>
      </c>
      <c r="O38" s="355" t="s">
        <v>323</v>
      </c>
      <c r="P38" s="661"/>
      <c r="Q38" s="663"/>
      <c r="R38" s="404">
        <v>13970.5</v>
      </c>
      <c r="S38" s="540" t="s">
        <v>324</v>
      </c>
      <c r="T38" s="752">
        <v>45535</v>
      </c>
      <c r="U38" s="740">
        <v>10342.138130487052</v>
      </c>
      <c r="V38" s="919"/>
      <c r="W38" s="767">
        <f>T38+30</f>
        <v>45565</v>
      </c>
      <c r="X38" s="908"/>
      <c r="Y38" s="219"/>
      <c r="Z38" s="205"/>
      <c r="AC38" s="24"/>
      <c r="AD38" s="651"/>
      <c r="AE38" s="651"/>
      <c r="AP38" s="24"/>
      <c r="AQ38" s="24"/>
    </row>
    <row r="39" spans="1:43" ht="14.25" customHeight="1">
      <c r="B39" s="354">
        <v>5</v>
      </c>
      <c r="C39" s="398"/>
      <c r="D39" s="355" t="s">
        <v>325</v>
      </c>
      <c r="E39" s="661">
        <v>1</v>
      </c>
      <c r="F39" s="663">
        <v>15000</v>
      </c>
      <c r="G39" s="404">
        <f t="shared" ref="G39" si="8">F39*E39</f>
        <v>15000</v>
      </c>
      <c r="H39" s="399">
        <f>'Project Plan'!G51</f>
        <v>45618</v>
      </c>
      <c r="I39" s="357"/>
      <c r="J39" s="939"/>
      <c r="K39" s="939"/>
      <c r="L39" s="358"/>
      <c r="M39" s="354">
        <v>5</v>
      </c>
      <c r="N39" s="680" t="s">
        <v>320</v>
      </c>
      <c r="O39" s="355" t="s">
        <v>325</v>
      </c>
      <c r="P39" s="661">
        <v>1</v>
      </c>
      <c r="Q39" s="663">
        <v>11169</v>
      </c>
      <c r="R39" s="404">
        <f t="shared" ref="R39" si="9">Q39*P39</f>
        <v>11169</v>
      </c>
      <c r="S39" s="540" t="s">
        <v>326</v>
      </c>
      <c r="T39" s="752">
        <v>45626</v>
      </c>
      <c r="U39" s="740">
        <v>11797.236875105962</v>
      </c>
      <c r="V39" s="911"/>
      <c r="W39" s="828">
        <v>45626</v>
      </c>
      <c r="X39" s="908"/>
      <c r="Y39" s="219"/>
      <c r="Z39" s="205"/>
      <c r="AD39" s="651"/>
      <c r="AE39" s="651"/>
      <c r="AP39" s="24"/>
      <c r="AQ39" s="24"/>
    </row>
    <row r="40" spans="1:43" ht="14.25" customHeight="1">
      <c r="B40" s="400">
        <v>5</v>
      </c>
      <c r="C40" s="401"/>
      <c r="D40" s="402"/>
      <c r="E40" s="582"/>
      <c r="F40" s="453"/>
      <c r="G40" s="404"/>
      <c r="H40" s="356"/>
      <c r="I40" s="357"/>
      <c r="J40" s="939"/>
      <c r="K40" s="939"/>
      <c r="L40" s="358"/>
      <c r="M40" s="400">
        <v>5</v>
      </c>
      <c r="N40" s="680" t="s">
        <v>320</v>
      </c>
      <c r="O40" s="402" t="s">
        <v>327</v>
      </c>
      <c r="P40" s="582"/>
      <c r="Q40" s="453"/>
      <c r="R40" s="404">
        <v>35750</v>
      </c>
      <c r="S40" s="548" t="s">
        <v>328</v>
      </c>
      <c r="T40" s="752">
        <v>45535</v>
      </c>
      <c r="U40" s="740">
        <v>26465.154301199822</v>
      </c>
      <c r="V40" s="911"/>
      <c r="W40" s="753">
        <v>45562</v>
      </c>
      <c r="X40" s="908"/>
      <c r="Y40" s="210"/>
      <c r="Z40" s="201"/>
      <c r="AD40" s="651"/>
      <c r="AE40" s="651"/>
      <c r="AP40" s="24"/>
      <c r="AQ40" s="24"/>
    </row>
    <row r="41" spans="1:43" ht="14.25" customHeight="1">
      <c r="B41" s="400">
        <v>5</v>
      </c>
      <c r="C41" s="401"/>
      <c r="D41" s="402"/>
      <c r="E41" s="582"/>
      <c r="F41" s="453"/>
      <c r="G41" s="404"/>
      <c r="H41" s="356"/>
      <c r="I41" s="357"/>
      <c r="J41" s="939"/>
      <c r="K41" s="939"/>
      <c r="L41" s="358"/>
      <c r="M41" s="400">
        <v>5</v>
      </c>
      <c r="N41" s="680" t="s">
        <v>320</v>
      </c>
      <c r="O41" s="402" t="s">
        <v>329</v>
      </c>
      <c r="P41" s="582"/>
      <c r="Q41" s="453"/>
      <c r="R41" s="404">
        <f>12812.55/5</f>
        <v>2562.5099999999998</v>
      </c>
      <c r="S41" s="548" t="s">
        <v>330</v>
      </c>
      <c r="T41" s="797">
        <v>45596</v>
      </c>
      <c r="U41" s="740">
        <v>5229.2951437038028</v>
      </c>
      <c r="V41" s="911"/>
      <c r="W41" s="753">
        <v>45575</v>
      </c>
      <c r="X41" s="908"/>
      <c r="Y41" s="210" t="s">
        <v>331</v>
      </c>
      <c r="Z41" s="201" t="s">
        <v>332</v>
      </c>
      <c r="AP41" s="24"/>
      <c r="AQ41" s="24"/>
    </row>
    <row r="42" spans="1:43" ht="15" customHeight="1" thickBot="1">
      <c r="B42" s="406">
        <v>5</v>
      </c>
      <c r="C42" s="438"/>
      <c r="D42" s="407"/>
      <c r="E42" s="585"/>
      <c r="F42" s="454"/>
      <c r="G42" s="427"/>
      <c r="H42" s="359"/>
      <c r="I42" s="360"/>
      <c r="J42" s="940"/>
      <c r="K42" s="940"/>
      <c r="L42" s="361"/>
      <c r="M42" s="406">
        <v>5</v>
      </c>
      <c r="N42" s="676" t="s">
        <v>320</v>
      </c>
      <c r="O42" s="407"/>
      <c r="P42" s="585"/>
      <c r="Q42" s="454"/>
      <c r="R42" s="427"/>
      <c r="S42" s="541"/>
      <c r="T42" s="521" t="str">
        <f>IF(W42&gt;1,EOMONTH(W42,-1),"")</f>
        <v/>
      </c>
      <c r="U42" s="527">
        <f t="shared" ref="U42" si="10">(R42/$X$37*$K$37)</f>
        <v>0</v>
      </c>
      <c r="V42" s="912"/>
      <c r="W42" s="477"/>
      <c r="X42" s="909"/>
      <c r="Y42" s="216"/>
      <c r="Z42" s="202"/>
    </row>
    <row r="43" spans="1:43" ht="14.45" thickBot="1">
      <c r="A43" s="24"/>
      <c r="B43" s="362"/>
      <c r="C43" s="393"/>
      <c r="D43" s="342"/>
      <c r="E43" s="343"/>
      <c r="F43" s="344"/>
      <c r="G43" s="365"/>
      <c r="H43" s="345"/>
      <c r="I43" s="366"/>
      <c r="J43" s="420"/>
      <c r="K43" s="420"/>
      <c r="L43" s="24"/>
      <c r="M43" s="362"/>
      <c r="N43" s="393"/>
      <c r="O43" s="342"/>
      <c r="P43" s="343"/>
      <c r="Q43" s="344"/>
      <c r="R43" s="365"/>
      <c r="S43" s="547"/>
      <c r="T43" s="538" t="str">
        <f t="shared" si="1"/>
        <v/>
      </c>
      <c r="U43" s="513"/>
      <c r="V43" s="646"/>
      <c r="W43" s="474"/>
      <c r="X43" s="485"/>
      <c r="Y43" s="214"/>
      <c r="Z43" s="199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</row>
    <row r="44" spans="1:43" ht="14.25" customHeight="1">
      <c r="B44" s="367">
        <v>6</v>
      </c>
      <c r="C44" s="368" t="s">
        <v>251</v>
      </c>
      <c r="D44" s="369"/>
      <c r="E44" s="370"/>
      <c r="F44" s="601"/>
      <c r="G44" s="371"/>
      <c r="H44" s="372"/>
      <c r="I44" s="373"/>
      <c r="J44" s="965">
        <f>SUM(G44:G57)</f>
        <v>304429.82</v>
      </c>
      <c r="K44" s="965">
        <v>371255.8749</v>
      </c>
      <c r="L44" s="374"/>
      <c r="M44" s="367">
        <v>6</v>
      </c>
      <c r="N44" s="683" t="s">
        <v>333</v>
      </c>
      <c r="O44" s="685"/>
      <c r="P44" s="708"/>
      <c r="Q44" s="695"/>
      <c r="R44" s="686"/>
      <c r="S44" s="550"/>
      <c r="T44" s="514" t="str">
        <f t="shared" si="1"/>
        <v/>
      </c>
      <c r="U44" s="528">
        <f>(R44/$X$44*$K$44)</f>
        <v>0</v>
      </c>
      <c r="V44" s="945">
        <f>K44-SUM(U44:U57)</f>
        <v>-2.7590451645664871E-3</v>
      </c>
      <c r="W44" s="655"/>
      <c r="X44" s="920">
        <f>SUM(R44:R57)</f>
        <v>212863.60000000003</v>
      </c>
      <c r="Y44" s="217"/>
      <c r="Z44" s="203"/>
    </row>
    <row r="45" spans="1:43" ht="14.25" customHeight="1">
      <c r="B45" s="411"/>
      <c r="C45" s="630"/>
      <c r="D45" s="710"/>
      <c r="E45" s="711"/>
      <c r="F45" s="712"/>
      <c r="G45" s="413"/>
      <c r="H45" s="713"/>
      <c r="I45" s="382"/>
      <c r="J45" s="966"/>
      <c r="K45" s="966"/>
      <c r="L45" s="383"/>
      <c r="M45" s="375">
        <v>1</v>
      </c>
      <c r="N45" s="681" t="s">
        <v>333</v>
      </c>
      <c r="O45" s="714" t="s">
        <v>334</v>
      </c>
      <c r="P45" s="757">
        <v>0.4</v>
      </c>
      <c r="Q45" s="756">
        <v>65700</v>
      </c>
      <c r="R45" s="756">
        <f>Q45*P45</f>
        <v>26280</v>
      </c>
      <c r="S45" s="550" t="s">
        <v>335</v>
      </c>
      <c r="T45" s="765">
        <v>45565</v>
      </c>
      <c r="U45" s="807">
        <v>45928.237537144909</v>
      </c>
      <c r="V45" s="946"/>
      <c r="W45" s="800">
        <v>45562</v>
      </c>
      <c r="X45" s="921"/>
      <c r="Y45" s="895" t="s">
        <v>336</v>
      </c>
      <c r="Z45" s="632"/>
    </row>
    <row r="46" spans="1:43" ht="14.25" customHeight="1">
      <c r="B46" s="411"/>
      <c r="C46" s="630"/>
      <c r="D46" s="710"/>
      <c r="E46" s="711"/>
      <c r="F46" s="712"/>
      <c r="G46" s="413"/>
      <c r="H46" s="713"/>
      <c r="I46" s="382"/>
      <c r="J46" s="966"/>
      <c r="K46" s="966"/>
      <c r="L46" s="383"/>
      <c r="M46" s="375">
        <v>2</v>
      </c>
      <c r="N46" s="681" t="s">
        <v>333</v>
      </c>
      <c r="O46" s="714" t="s">
        <v>337</v>
      </c>
      <c r="P46" s="757">
        <v>0.6</v>
      </c>
      <c r="Q46" s="716"/>
      <c r="R46" s="756">
        <f>Q45*P46</f>
        <v>39420</v>
      </c>
      <c r="S46" s="550" t="s">
        <v>338</v>
      </c>
      <c r="T46" s="765">
        <v>45596</v>
      </c>
      <c r="U46" s="817">
        <f t="shared" ref="U46:U49" si="11">(R46/$X$44*$K$44)</f>
        <v>68752.509064762577</v>
      </c>
      <c r="V46" s="946"/>
      <c r="W46" s="800">
        <v>45596</v>
      </c>
      <c r="X46" s="921"/>
      <c r="Y46" s="906"/>
      <c r="Z46" s="632"/>
    </row>
    <row r="47" spans="1:43" ht="14.25" customHeight="1">
      <c r="B47" s="411"/>
      <c r="C47" s="630"/>
      <c r="D47" s="710"/>
      <c r="E47" s="711"/>
      <c r="F47" s="712"/>
      <c r="G47" s="413"/>
      <c r="H47" s="713"/>
      <c r="I47" s="382"/>
      <c r="J47" s="966"/>
      <c r="K47" s="966"/>
      <c r="L47" s="383"/>
      <c r="M47" s="375">
        <v>3</v>
      </c>
      <c r="N47" s="681" t="s">
        <v>333</v>
      </c>
      <c r="O47" s="714" t="s">
        <v>339</v>
      </c>
      <c r="P47" s="715"/>
      <c r="Q47" s="716"/>
      <c r="R47" s="756">
        <v>0</v>
      </c>
      <c r="S47" s="550"/>
      <c r="T47" s="514"/>
      <c r="U47" s="529">
        <v>0</v>
      </c>
      <c r="V47" s="946"/>
      <c r="W47" s="717"/>
      <c r="X47" s="921"/>
      <c r="Y47" s="631" t="s">
        <v>340</v>
      </c>
      <c r="Z47" s="632"/>
    </row>
    <row r="48" spans="1:43" ht="14.25" customHeight="1">
      <c r="B48" s="411"/>
      <c r="C48" s="630"/>
      <c r="D48" s="710"/>
      <c r="E48" s="711"/>
      <c r="F48" s="712"/>
      <c r="G48" s="413"/>
      <c r="H48" s="713"/>
      <c r="I48" s="382"/>
      <c r="J48" s="966"/>
      <c r="K48" s="966"/>
      <c r="L48" s="383"/>
      <c r="M48" s="375">
        <v>4</v>
      </c>
      <c r="N48" s="681" t="s">
        <v>333</v>
      </c>
      <c r="O48" s="714" t="s">
        <v>341</v>
      </c>
      <c r="P48" s="715"/>
      <c r="Q48" s="716"/>
      <c r="R48" s="756">
        <v>432.1</v>
      </c>
      <c r="S48" s="550" t="s">
        <v>342</v>
      </c>
      <c r="T48" s="765">
        <v>45808</v>
      </c>
      <c r="U48" s="817">
        <v>139.85</v>
      </c>
      <c r="V48" s="946"/>
      <c r="W48" s="800">
        <v>45817</v>
      </c>
      <c r="X48" s="921"/>
      <c r="Y48" s="631"/>
      <c r="Z48" s="632"/>
    </row>
    <row r="49" spans="1:43" ht="14.25" customHeight="1">
      <c r="B49" s="411"/>
      <c r="C49" s="630"/>
      <c r="D49" s="710"/>
      <c r="E49" s="711"/>
      <c r="F49" s="712"/>
      <c r="G49" s="413"/>
      <c r="H49" s="713"/>
      <c r="I49" s="382"/>
      <c r="J49" s="966"/>
      <c r="K49" s="966"/>
      <c r="L49" s="383"/>
      <c r="M49" s="375">
        <v>5</v>
      </c>
      <c r="N49" s="681" t="s">
        <v>333</v>
      </c>
      <c r="O49" s="714"/>
      <c r="P49" s="715"/>
      <c r="Q49" s="716"/>
      <c r="R49" s="756"/>
      <c r="S49" s="550"/>
      <c r="T49" s="514" t="str">
        <f t="shared" ref="T49" si="12">T76</f>
        <v/>
      </c>
      <c r="U49" s="529">
        <f t="shared" si="11"/>
        <v>0</v>
      </c>
      <c r="V49" s="946"/>
      <c r="W49" s="717"/>
      <c r="X49" s="921"/>
      <c r="Y49" s="631"/>
      <c r="Z49" s="632"/>
    </row>
    <row r="50" spans="1:43" ht="14.25" customHeight="1">
      <c r="B50" s="375">
        <v>6</v>
      </c>
      <c r="C50" s="630"/>
      <c r="D50" s="710" t="s">
        <v>294</v>
      </c>
      <c r="E50" s="711"/>
      <c r="F50" s="712">
        <v>0.1</v>
      </c>
      <c r="G50" s="413">
        <f>$C$51*F50</f>
        <v>30442.982000000004</v>
      </c>
      <c r="H50" s="713">
        <f>H83</f>
        <v>45635</v>
      </c>
      <c r="I50" s="382"/>
      <c r="J50" s="966"/>
      <c r="K50" s="966"/>
      <c r="L50" s="383"/>
      <c r="M50" s="375">
        <v>6</v>
      </c>
      <c r="N50" s="681" t="s">
        <v>333</v>
      </c>
      <c r="O50" s="714" t="s">
        <v>294</v>
      </c>
      <c r="P50" s="715">
        <f>AF25</f>
        <v>146732</v>
      </c>
      <c r="Q50" s="716">
        <v>0.1</v>
      </c>
      <c r="R50" s="380">
        <f>$P$50*Q50</f>
        <v>14673.2</v>
      </c>
      <c r="S50" s="550" t="s">
        <v>295</v>
      </c>
      <c r="T50" s="765">
        <v>45565</v>
      </c>
      <c r="U50" s="807">
        <v>25643.61548820528</v>
      </c>
      <c r="V50" s="946"/>
      <c r="W50" s="769">
        <v>45560</v>
      </c>
      <c r="X50" s="921"/>
      <c r="Y50" s="895" t="s">
        <v>296</v>
      </c>
      <c r="Z50" s="632"/>
    </row>
    <row r="51" spans="1:43" ht="14.25" customHeight="1">
      <c r="B51" s="375">
        <v>6</v>
      </c>
      <c r="C51" s="736">
        <v>304429.82</v>
      </c>
      <c r="D51" s="377" t="s">
        <v>150</v>
      </c>
      <c r="E51" s="378"/>
      <c r="F51" s="379">
        <v>0.15</v>
      </c>
      <c r="G51" s="380">
        <f t="shared" ref="G51:G57" si="13">$C$51*F51</f>
        <v>45664.472999999998</v>
      </c>
      <c r="H51" s="381">
        <f>H78</f>
        <v>45560</v>
      </c>
      <c r="I51" s="382"/>
      <c r="J51" s="966"/>
      <c r="K51" s="966"/>
      <c r="L51" s="383"/>
      <c r="M51" s="375">
        <v>6</v>
      </c>
      <c r="N51" s="681" t="s">
        <v>333</v>
      </c>
      <c r="O51" s="377" t="s">
        <v>150</v>
      </c>
      <c r="P51" s="378"/>
      <c r="Q51" s="379">
        <v>0.15</v>
      </c>
      <c r="R51" s="380">
        <v>22009.3</v>
      </c>
      <c r="S51" s="550" t="s">
        <v>298</v>
      </c>
      <c r="T51" s="765">
        <f t="shared" ref="T51:T56" si="14">T78</f>
        <v>45565</v>
      </c>
      <c r="U51" s="807">
        <v>38464.54940739282</v>
      </c>
      <c r="V51" s="946"/>
      <c r="W51" s="800">
        <f t="shared" ref="W51:W56" si="15">W78</f>
        <v>45575</v>
      </c>
      <c r="X51" s="921"/>
      <c r="Y51" s="896"/>
      <c r="Z51" s="196"/>
    </row>
    <row r="52" spans="1:43" ht="14.25" customHeight="1">
      <c r="B52" s="375">
        <v>6</v>
      </c>
      <c r="C52" s="602"/>
      <c r="D52" s="377" t="s">
        <v>301</v>
      </c>
      <c r="E52" s="378"/>
      <c r="F52" s="379">
        <v>0.2</v>
      </c>
      <c r="G52" s="380">
        <f t="shared" si="13"/>
        <v>60885.964000000007</v>
      </c>
      <c r="H52" s="381">
        <f t="shared" ref="H52:H56" si="16">H79</f>
        <v>45597</v>
      </c>
      <c r="I52" s="382"/>
      <c r="J52" s="966"/>
      <c r="K52" s="966"/>
      <c r="L52" s="383"/>
      <c r="M52" s="375">
        <v>6</v>
      </c>
      <c r="N52" s="682" t="s">
        <v>333</v>
      </c>
      <c r="O52" s="377" t="s">
        <v>301</v>
      </c>
      <c r="P52" s="378"/>
      <c r="Q52" s="379">
        <v>0.2</v>
      </c>
      <c r="R52" s="380">
        <f t="shared" ref="R52:R57" si="17">$P$50*Q52</f>
        <v>29346.400000000001</v>
      </c>
      <c r="S52" s="550" t="s">
        <v>302</v>
      </c>
      <c r="T52" s="765">
        <f t="shared" si="14"/>
        <v>45596</v>
      </c>
      <c r="U52" s="807">
        <v>51287.230976410559</v>
      </c>
      <c r="V52" s="946"/>
      <c r="W52" s="800">
        <f t="shared" si="15"/>
        <v>45596</v>
      </c>
      <c r="X52" s="921"/>
      <c r="Y52" s="896"/>
      <c r="Z52" s="196"/>
    </row>
    <row r="53" spans="1:43" ht="14.25" customHeight="1">
      <c r="B53" s="375">
        <v>6</v>
      </c>
      <c r="C53" s="602"/>
      <c r="D53" s="377" t="s">
        <v>305</v>
      </c>
      <c r="E53" s="378"/>
      <c r="F53" s="379">
        <v>0.25</v>
      </c>
      <c r="G53" s="380">
        <f t="shared" si="13"/>
        <v>76107.455000000002</v>
      </c>
      <c r="H53" s="381">
        <f t="shared" si="16"/>
        <v>45597</v>
      </c>
      <c r="I53" s="382"/>
      <c r="J53" s="966"/>
      <c r="K53" s="966"/>
      <c r="L53" s="383"/>
      <c r="M53" s="375">
        <v>6</v>
      </c>
      <c r="N53" s="681" t="s">
        <v>333</v>
      </c>
      <c r="O53" s="377" t="s">
        <v>305</v>
      </c>
      <c r="P53" s="378"/>
      <c r="Q53" s="379">
        <v>0.25</v>
      </c>
      <c r="R53" s="380">
        <f t="shared" si="17"/>
        <v>36683</v>
      </c>
      <c r="S53" s="550" t="s">
        <v>306</v>
      </c>
      <c r="T53" s="765">
        <v>45596</v>
      </c>
      <c r="U53" s="807">
        <v>64109.038720513192</v>
      </c>
      <c r="V53" s="946"/>
      <c r="W53" s="800">
        <f t="shared" si="15"/>
        <v>45596</v>
      </c>
      <c r="X53" s="921"/>
      <c r="Y53" s="896"/>
      <c r="Z53" s="196"/>
    </row>
    <row r="54" spans="1:43" ht="14.25" customHeight="1">
      <c r="B54" s="375">
        <v>6</v>
      </c>
      <c r="C54" s="602"/>
      <c r="D54" s="377" t="s">
        <v>310</v>
      </c>
      <c r="E54" s="378"/>
      <c r="F54" s="379">
        <v>0.1</v>
      </c>
      <c r="G54" s="380">
        <f t="shared" si="13"/>
        <v>30442.982000000004</v>
      </c>
      <c r="H54" s="381">
        <f t="shared" si="16"/>
        <v>45609</v>
      </c>
      <c r="I54" s="382"/>
      <c r="J54" s="966"/>
      <c r="K54" s="966"/>
      <c r="L54" s="383"/>
      <c r="M54" s="375">
        <v>6</v>
      </c>
      <c r="N54" s="682" t="s">
        <v>333</v>
      </c>
      <c r="O54" s="377" t="s">
        <v>310</v>
      </c>
      <c r="P54" s="378"/>
      <c r="Q54" s="379">
        <v>0.1</v>
      </c>
      <c r="R54" s="380">
        <f t="shared" si="17"/>
        <v>14673.2</v>
      </c>
      <c r="S54" s="550" t="s">
        <v>311</v>
      </c>
      <c r="T54" s="765">
        <v>45596</v>
      </c>
      <c r="U54" s="807">
        <v>25643.61548820528</v>
      </c>
      <c r="V54" s="946"/>
      <c r="W54" s="800">
        <f t="shared" si="15"/>
        <v>45610</v>
      </c>
      <c r="X54" s="921"/>
      <c r="Y54" s="896"/>
      <c r="Z54" s="196"/>
    </row>
    <row r="55" spans="1:43" ht="14.25" customHeight="1">
      <c r="B55" s="375">
        <v>6</v>
      </c>
      <c r="C55" s="602"/>
      <c r="D55" s="377" t="s">
        <v>314</v>
      </c>
      <c r="E55" s="378"/>
      <c r="F55" s="379">
        <v>0.1</v>
      </c>
      <c r="G55" s="380">
        <f t="shared" si="13"/>
        <v>30442.982000000004</v>
      </c>
      <c r="H55" s="381">
        <f t="shared" si="16"/>
        <v>45628</v>
      </c>
      <c r="I55" s="382"/>
      <c r="J55" s="966"/>
      <c r="K55" s="966"/>
      <c r="L55" s="383"/>
      <c r="M55" s="375">
        <v>6</v>
      </c>
      <c r="N55" s="681" t="s">
        <v>333</v>
      </c>
      <c r="O55" s="377" t="s">
        <v>314</v>
      </c>
      <c r="P55" s="378"/>
      <c r="Q55" s="379">
        <v>0.1</v>
      </c>
      <c r="R55" s="380">
        <f t="shared" si="17"/>
        <v>14673.2</v>
      </c>
      <c r="S55" s="550" t="s">
        <v>315</v>
      </c>
      <c r="T55" s="765">
        <v>45596</v>
      </c>
      <c r="U55" s="807">
        <v>25643.61548820528</v>
      </c>
      <c r="V55" s="946"/>
      <c r="W55" s="800">
        <f t="shared" si="15"/>
        <v>45631</v>
      </c>
      <c r="X55" s="921"/>
      <c r="Y55" s="896"/>
      <c r="Z55" s="196"/>
    </row>
    <row r="56" spans="1:43" ht="14.25" customHeight="1">
      <c r="B56" s="375">
        <v>6</v>
      </c>
      <c r="C56" s="376"/>
      <c r="D56" s="377" t="s">
        <v>316</v>
      </c>
      <c r="E56" s="378"/>
      <c r="F56" s="379">
        <v>0.05</v>
      </c>
      <c r="G56" s="380">
        <f t="shared" si="13"/>
        <v>15221.491000000002</v>
      </c>
      <c r="H56" s="381">
        <f t="shared" si="16"/>
        <v>45635</v>
      </c>
      <c r="I56" s="382"/>
      <c r="J56" s="966"/>
      <c r="K56" s="966"/>
      <c r="L56" s="383"/>
      <c r="M56" s="375">
        <v>6</v>
      </c>
      <c r="N56" s="682" t="s">
        <v>333</v>
      </c>
      <c r="O56" s="377" t="s">
        <v>316</v>
      </c>
      <c r="P56" s="378"/>
      <c r="Q56" s="379">
        <v>0.05</v>
      </c>
      <c r="R56" s="380">
        <f t="shared" si="17"/>
        <v>7336.6</v>
      </c>
      <c r="S56" s="550" t="str">
        <f>S83</f>
        <v>Thula Moya IN04598</v>
      </c>
      <c r="T56" s="765">
        <f t="shared" si="14"/>
        <v>45688</v>
      </c>
      <c r="U56" s="807">
        <v>12821.80774410264</v>
      </c>
      <c r="V56" s="946"/>
      <c r="W56" s="800">
        <f t="shared" si="15"/>
        <v>45701</v>
      </c>
      <c r="X56" s="921"/>
      <c r="Y56" s="896"/>
      <c r="Z56" s="196"/>
    </row>
    <row r="57" spans="1:43" ht="15" customHeight="1" thickBot="1">
      <c r="B57" s="384">
        <v>6</v>
      </c>
      <c r="C57" s="603"/>
      <c r="D57" s="386" t="s">
        <v>317</v>
      </c>
      <c r="E57" s="387"/>
      <c r="F57" s="388">
        <v>0.05</v>
      </c>
      <c r="G57" s="389">
        <f t="shared" si="13"/>
        <v>15221.491000000002</v>
      </c>
      <c r="H57" s="390">
        <f>H84</f>
        <v>45665</v>
      </c>
      <c r="I57" s="391"/>
      <c r="J57" s="967"/>
      <c r="K57" s="967"/>
      <c r="L57" s="392"/>
      <c r="M57" s="384">
        <v>6</v>
      </c>
      <c r="N57" s="684" t="s">
        <v>333</v>
      </c>
      <c r="O57" s="386" t="s">
        <v>317</v>
      </c>
      <c r="P57" s="387"/>
      <c r="Q57" s="388">
        <v>0.05</v>
      </c>
      <c r="R57" s="389">
        <f t="shared" si="17"/>
        <v>7336.6</v>
      </c>
      <c r="S57" s="816" t="str">
        <f>S95</f>
        <v>Thula Moya IN04599</v>
      </c>
      <c r="T57" s="815">
        <f>T84</f>
        <v>45688</v>
      </c>
      <c r="U57" s="857">
        <v>12821.80774410264</v>
      </c>
      <c r="V57" s="947"/>
      <c r="W57" s="822">
        <f>W84</f>
        <v>45722</v>
      </c>
      <c r="X57" s="922"/>
      <c r="Y57" s="897"/>
      <c r="Z57" s="204"/>
    </row>
    <row r="58" spans="1:43" ht="14.45" hidden="1" thickBot="1">
      <c r="A58" s="24"/>
      <c r="B58" s="362"/>
      <c r="C58" s="428"/>
      <c r="D58" s="394"/>
      <c r="E58" s="395"/>
      <c r="F58" s="396"/>
      <c r="G58" s="365"/>
      <c r="H58" s="345"/>
      <c r="I58" s="366"/>
      <c r="J58" s="346"/>
      <c r="K58" s="346"/>
      <c r="L58" s="24"/>
      <c r="M58" s="362"/>
      <c r="N58" s="428"/>
      <c r="O58" s="394"/>
      <c r="P58" s="395"/>
      <c r="Q58" s="396"/>
      <c r="R58" s="365"/>
      <c r="S58" s="513"/>
      <c r="T58" s="564" t="str">
        <f t="shared" si="1"/>
        <v/>
      </c>
      <c r="U58" s="513"/>
      <c r="V58" s="647"/>
      <c r="W58" s="474"/>
      <c r="X58" s="484"/>
      <c r="Y58" s="214"/>
      <c r="Z58" s="199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</row>
    <row r="59" spans="1:43" ht="14.25" hidden="1" customHeight="1">
      <c r="B59" s="565">
        <v>7</v>
      </c>
      <c r="C59" s="397" t="s">
        <v>343</v>
      </c>
      <c r="D59" s="566"/>
      <c r="E59" s="567"/>
      <c r="F59" s="568"/>
      <c r="G59" s="569"/>
      <c r="H59" s="570"/>
      <c r="I59" s="352"/>
      <c r="J59" s="938">
        <f>SUM(G59:G66)</f>
        <v>0</v>
      </c>
      <c r="K59" s="938">
        <v>0</v>
      </c>
      <c r="L59" s="353"/>
      <c r="M59" s="565">
        <v>7</v>
      </c>
      <c r="N59" s="397" t="s">
        <v>343</v>
      </c>
      <c r="O59" s="566"/>
      <c r="P59" s="567"/>
      <c r="Q59" s="568"/>
      <c r="R59" s="569"/>
      <c r="S59" s="587"/>
      <c r="T59" s="555" t="str">
        <f t="shared" si="1"/>
        <v/>
      </c>
      <c r="U59" s="525"/>
      <c r="V59" s="910">
        <f>K59-SUM(U59:U66)</f>
        <v>0</v>
      </c>
      <c r="W59" s="571"/>
      <c r="X59" s="907">
        <f>SUM(R59:R66)</f>
        <v>0</v>
      </c>
      <c r="Y59" s="572"/>
      <c r="Z59" s="573"/>
    </row>
    <row r="60" spans="1:43" ht="14.25" hidden="1" customHeight="1">
      <c r="B60" s="574">
        <v>7</v>
      </c>
      <c r="C60" s="575"/>
      <c r="D60" s="576"/>
      <c r="E60" s="577"/>
      <c r="F60" s="578"/>
      <c r="G60" s="579"/>
      <c r="H60" s="580"/>
      <c r="I60" s="357"/>
      <c r="J60" s="939"/>
      <c r="K60" s="939"/>
      <c r="L60" s="358"/>
      <c r="M60" s="574">
        <v>7</v>
      </c>
      <c r="N60" s="575"/>
      <c r="O60" s="576"/>
      <c r="P60" s="577"/>
      <c r="Q60" s="578"/>
      <c r="R60" s="579"/>
      <c r="S60" s="541"/>
      <c r="T60" s="521" t="str">
        <f t="shared" si="1"/>
        <v/>
      </c>
      <c r="U60" s="526"/>
      <c r="V60" s="919"/>
      <c r="W60" s="581"/>
      <c r="X60" s="908"/>
      <c r="Y60" s="605"/>
      <c r="Z60" s="606"/>
    </row>
    <row r="61" spans="1:43" ht="14.25" hidden="1" customHeight="1">
      <c r="B61" s="574">
        <v>7</v>
      </c>
      <c r="C61" s="575"/>
      <c r="D61" s="576"/>
      <c r="E61" s="577"/>
      <c r="F61" s="578"/>
      <c r="G61" s="579"/>
      <c r="H61" s="580"/>
      <c r="I61" s="357"/>
      <c r="J61" s="939"/>
      <c r="K61" s="939"/>
      <c r="L61" s="358"/>
      <c r="M61" s="574">
        <v>7</v>
      </c>
      <c r="N61" s="575"/>
      <c r="O61" s="576"/>
      <c r="P61" s="577"/>
      <c r="Q61" s="578"/>
      <c r="R61" s="579"/>
      <c r="S61" s="541"/>
      <c r="T61" s="521" t="str">
        <f t="shared" si="1"/>
        <v/>
      </c>
      <c r="U61" s="526"/>
      <c r="V61" s="919"/>
      <c r="W61" s="581"/>
      <c r="X61" s="908"/>
      <c r="Y61" s="605"/>
      <c r="Z61" s="606"/>
    </row>
    <row r="62" spans="1:43" ht="14.25" hidden="1" customHeight="1">
      <c r="B62" s="574">
        <v>7</v>
      </c>
      <c r="C62" s="575"/>
      <c r="D62" s="576"/>
      <c r="E62" s="577"/>
      <c r="F62" s="578"/>
      <c r="G62" s="579"/>
      <c r="H62" s="580"/>
      <c r="I62" s="357"/>
      <c r="J62" s="939"/>
      <c r="K62" s="939"/>
      <c r="L62" s="358"/>
      <c r="M62" s="574">
        <v>7</v>
      </c>
      <c r="N62" s="575"/>
      <c r="O62" s="576"/>
      <c r="P62" s="577"/>
      <c r="Q62" s="578"/>
      <c r="R62" s="579"/>
      <c r="S62" s="541"/>
      <c r="T62" s="521" t="str">
        <f t="shared" si="1"/>
        <v/>
      </c>
      <c r="U62" s="526"/>
      <c r="V62" s="911"/>
      <c r="W62" s="581"/>
      <c r="X62" s="908"/>
      <c r="Y62" s="501"/>
      <c r="Z62" s="502"/>
    </row>
    <row r="63" spans="1:43" ht="14.25" hidden="1" customHeight="1">
      <c r="B63" s="574">
        <v>7</v>
      </c>
      <c r="C63" s="575"/>
      <c r="D63" s="576"/>
      <c r="E63" s="577"/>
      <c r="F63" s="578"/>
      <c r="G63" s="579"/>
      <c r="H63" s="580"/>
      <c r="I63" s="357"/>
      <c r="J63" s="939"/>
      <c r="K63" s="939"/>
      <c r="L63" s="358"/>
      <c r="M63" s="574">
        <v>7</v>
      </c>
      <c r="N63" s="575"/>
      <c r="O63" s="576"/>
      <c r="P63" s="577"/>
      <c r="Q63" s="578"/>
      <c r="R63" s="579"/>
      <c r="S63" s="541"/>
      <c r="T63" s="521" t="str">
        <f t="shared" si="1"/>
        <v/>
      </c>
      <c r="U63" s="526"/>
      <c r="V63" s="911"/>
      <c r="W63" s="581"/>
      <c r="X63" s="908"/>
      <c r="Y63" s="501"/>
      <c r="Z63" s="502"/>
    </row>
    <row r="64" spans="1:43" ht="14.25" hidden="1" customHeight="1">
      <c r="B64" s="574">
        <v>7</v>
      </c>
      <c r="C64" s="575"/>
      <c r="D64" s="576"/>
      <c r="E64" s="577"/>
      <c r="F64" s="578"/>
      <c r="G64" s="579"/>
      <c r="H64" s="580"/>
      <c r="I64" s="357"/>
      <c r="J64" s="939"/>
      <c r="K64" s="939"/>
      <c r="L64" s="358"/>
      <c r="M64" s="574">
        <v>7</v>
      </c>
      <c r="N64" s="575"/>
      <c r="O64" s="576"/>
      <c r="P64" s="577"/>
      <c r="Q64" s="578"/>
      <c r="R64" s="579"/>
      <c r="S64" s="541"/>
      <c r="T64" s="521" t="str">
        <f t="shared" si="1"/>
        <v/>
      </c>
      <c r="U64" s="526"/>
      <c r="V64" s="911"/>
      <c r="W64" s="581"/>
      <c r="X64" s="908"/>
      <c r="Y64" s="501"/>
      <c r="Z64" s="502"/>
    </row>
    <row r="65" spans="1:43" ht="14.25" hidden="1" customHeight="1">
      <c r="B65" s="574">
        <v>7</v>
      </c>
      <c r="C65" s="575"/>
      <c r="D65" s="576"/>
      <c r="E65" s="577"/>
      <c r="F65" s="578"/>
      <c r="G65" s="579"/>
      <c r="H65" s="580"/>
      <c r="I65" s="357"/>
      <c r="J65" s="939"/>
      <c r="K65" s="939"/>
      <c r="L65" s="358"/>
      <c r="M65" s="574">
        <v>7</v>
      </c>
      <c r="N65" s="575"/>
      <c r="O65" s="576"/>
      <c r="P65" s="577"/>
      <c r="Q65" s="578"/>
      <c r="R65" s="579"/>
      <c r="S65" s="541"/>
      <c r="T65" s="521" t="str">
        <f t="shared" si="1"/>
        <v/>
      </c>
      <c r="U65" s="526"/>
      <c r="V65" s="911"/>
      <c r="W65" s="581"/>
      <c r="X65" s="908"/>
      <c r="Y65" s="501"/>
      <c r="Z65" s="502"/>
    </row>
    <row r="66" spans="1:43" ht="15" hidden="1" customHeight="1" thickBot="1">
      <c r="B66" s="406">
        <v>7</v>
      </c>
      <c r="C66" s="438"/>
      <c r="D66" s="425"/>
      <c r="E66" s="409"/>
      <c r="F66" s="426"/>
      <c r="G66" s="427"/>
      <c r="H66" s="359"/>
      <c r="I66" s="360"/>
      <c r="J66" s="940"/>
      <c r="K66" s="940"/>
      <c r="L66" s="361"/>
      <c r="M66" s="406">
        <v>7</v>
      </c>
      <c r="N66" s="438"/>
      <c r="O66" s="425"/>
      <c r="P66" s="409"/>
      <c r="Q66" s="426"/>
      <c r="R66" s="427"/>
      <c r="S66" s="553"/>
      <c r="T66" s="517" t="str">
        <f t="shared" si="1"/>
        <v/>
      </c>
      <c r="U66" s="527"/>
      <c r="V66" s="912"/>
      <c r="W66" s="477"/>
      <c r="X66" s="909"/>
      <c r="Y66" s="216"/>
      <c r="Z66" s="202"/>
    </row>
    <row r="67" spans="1:43" ht="14.45" thickBot="1">
      <c r="A67" s="24"/>
      <c r="B67" s="362"/>
      <c r="C67" s="428"/>
      <c r="D67" s="394"/>
      <c r="E67" s="395"/>
      <c r="F67" s="396"/>
      <c r="G67" s="365"/>
      <c r="H67" s="345"/>
      <c r="I67" s="366"/>
      <c r="J67" s="346"/>
      <c r="K67" s="346"/>
      <c r="L67" s="24"/>
      <c r="M67" s="362"/>
      <c r="N67" s="428"/>
      <c r="O67" s="394"/>
      <c r="P67" s="395"/>
      <c r="Q67" s="396"/>
      <c r="R67" s="365"/>
      <c r="S67" s="513"/>
      <c r="T67" s="564" t="str">
        <f t="shared" si="1"/>
        <v/>
      </c>
      <c r="U67" s="513"/>
      <c r="V67" s="647"/>
      <c r="W67" s="474"/>
      <c r="X67" s="484"/>
      <c r="Y67" s="214"/>
      <c r="Z67" s="199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</row>
    <row r="68" spans="1:43" ht="14.25" customHeight="1">
      <c r="B68" s="429">
        <v>8</v>
      </c>
      <c r="C68" s="368" t="s">
        <v>344</v>
      </c>
      <c r="D68" s="430"/>
      <c r="E68" s="664"/>
      <c r="F68" s="665"/>
      <c r="G68" s="431"/>
      <c r="H68" s="432"/>
      <c r="I68" s="373"/>
      <c r="J68" s="965">
        <f>SUM(G68:G75)</f>
        <v>0</v>
      </c>
      <c r="K68" s="965">
        <v>43965.120000000003</v>
      </c>
      <c r="L68" s="374"/>
      <c r="M68" s="429">
        <v>8</v>
      </c>
      <c r="N68" s="677" t="s">
        <v>345</v>
      </c>
      <c r="O68" s="430" t="s">
        <v>346</v>
      </c>
      <c r="P68" s="664"/>
      <c r="Q68" s="665"/>
      <c r="R68" s="431">
        <v>4025</v>
      </c>
      <c r="S68" s="641" t="s">
        <v>347</v>
      </c>
      <c r="T68" s="821">
        <v>45596</v>
      </c>
      <c r="U68" s="528">
        <v>0</v>
      </c>
      <c r="V68" s="945">
        <f>K68-SUM(U68:U75)</f>
        <v>0</v>
      </c>
      <c r="W68" s="819">
        <v>45575</v>
      </c>
      <c r="X68" s="920">
        <f>SUM(R68:R75)</f>
        <v>158729.51999999999</v>
      </c>
      <c r="Y68" s="221"/>
      <c r="Z68" s="207"/>
    </row>
    <row r="69" spans="1:43" s="65" customFormat="1" ht="14.25" customHeight="1">
      <c r="A69" s="169"/>
      <c r="B69" s="831">
        <v>8</v>
      </c>
      <c r="C69" s="687"/>
      <c r="D69" s="832"/>
      <c r="E69" s="833"/>
      <c r="F69" s="834"/>
      <c r="G69" s="417"/>
      <c r="H69" s="418"/>
      <c r="I69" s="382"/>
      <c r="J69" s="966"/>
      <c r="K69" s="966"/>
      <c r="L69" s="835"/>
      <c r="M69" s="831">
        <v>8</v>
      </c>
      <c r="N69" s="687" t="s">
        <v>345</v>
      </c>
      <c r="O69" s="832" t="s">
        <v>348</v>
      </c>
      <c r="P69" s="833"/>
      <c r="Q69" s="834"/>
      <c r="R69" s="417">
        <f>21221.6/5</f>
        <v>4244.32</v>
      </c>
      <c r="S69" s="638" t="s">
        <v>349</v>
      </c>
      <c r="T69" s="813">
        <v>45596</v>
      </c>
      <c r="U69" s="817">
        <v>0</v>
      </c>
      <c r="V69" s="948"/>
      <c r="W69" s="820">
        <f>T69+29</f>
        <v>45625</v>
      </c>
      <c r="X69" s="921"/>
      <c r="Y69" s="220" t="s">
        <v>350</v>
      </c>
      <c r="Z69" s="836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</row>
    <row r="70" spans="1:43" ht="14.25" customHeight="1">
      <c r="B70" s="415">
        <v>8</v>
      </c>
      <c r="C70" s="416"/>
      <c r="D70" s="433"/>
      <c r="E70" s="434"/>
      <c r="F70" s="435"/>
      <c r="G70" s="417"/>
      <c r="H70" s="418"/>
      <c r="I70" s="382"/>
      <c r="J70" s="966"/>
      <c r="K70" s="966"/>
      <c r="L70" s="383"/>
      <c r="M70" s="415">
        <v>8</v>
      </c>
      <c r="N70" s="687" t="s">
        <v>345</v>
      </c>
      <c r="O70" s="433" t="s">
        <v>351</v>
      </c>
      <c r="P70" s="434"/>
      <c r="Q70" s="435"/>
      <c r="R70" s="417">
        <v>35695.800000000003</v>
      </c>
      <c r="S70" s="638" t="s">
        <v>347</v>
      </c>
      <c r="T70" s="796">
        <f>T69</f>
        <v>45596</v>
      </c>
      <c r="U70" s="529">
        <v>0</v>
      </c>
      <c r="V70" s="948"/>
      <c r="W70" s="820">
        <v>45575</v>
      </c>
      <c r="X70" s="921"/>
      <c r="Y70" s="220" t="s">
        <v>352</v>
      </c>
      <c r="Z70" s="206"/>
    </row>
    <row r="71" spans="1:43" ht="14.25" customHeight="1">
      <c r="B71" s="415"/>
      <c r="C71" s="416"/>
      <c r="D71" s="433"/>
      <c r="E71" s="434"/>
      <c r="F71" s="435"/>
      <c r="G71" s="417"/>
      <c r="H71" s="418"/>
      <c r="I71" s="382"/>
      <c r="J71" s="966"/>
      <c r="K71" s="966"/>
      <c r="L71" s="383"/>
      <c r="M71" s="415">
        <v>8</v>
      </c>
      <c r="N71" s="687" t="s">
        <v>345</v>
      </c>
      <c r="O71" s="433"/>
      <c r="P71" s="434"/>
      <c r="Q71" s="435"/>
      <c r="R71" s="417"/>
      <c r="S71" s="638"/>
      <c r="T71" s="796">
        <v>45626</v>
      </c>
      <c r="U71" s="807">
        <v>43965.120000000003</v>
      </c>
      <c r="V71" s="948"/>
      <c r="W71" s="796">
        <v>45626</v>
      </c>
      <c r="X71" s="921"/>
      <c r="Y71" s="220"/>
      <c r="Z71" s="206"/>
    </row>
    <row r="72" spans="1:43" ht="14.25" customHeight="1">
      <c r="B72" s="415"/>
      <c r="C72" s="416"/>
      <c r="D72" s="433"/>
      <c r="E72" s="434"/>
      <c r="F72" s="435"/>
      <c r="G72" s="417"/>
      <c r="H72" s="418"/>
      <c r="I72" s="382"/>
      <c r="J72" s="966"/>
      <c r="K72" s="966"/>
      <c r="L72" s="383"/>
      <c r="M72" s="415">
        <v>8</v>
      </c>
      <c r="N72" s="687" t="s">
        <v>345</v>
      </c>
      <c r="O72" s="433" t="s">
        <v>353</v>
      </c>
      <c r="P72" s="434"/>
      <c r="Q72" s="435"/>
      <c r="R72" s="417">
        <v>8316</v>
      </c>
      <c r="S72" s="638" t="s">
        <v>354</v>
      </c>
      <c r="T72" s="796">
        <v>45688</v>
      </c>
      <c r="U72" s="807"/>
      <c r="V72" s="948"/>
      <c r="W72" s="864">
        <v>45869</v>
      </c>
      <c r="X72" s="921"/>
      <c r="Y72" s="220"/>
      <c r="Z72" s="206"/>
    </row>
    <row r="73" spans="1:43" ht="14.25" customHeight="1">
      <c r="B73" s="415">
        <v>8</v>
      </c>
      <c r="C73" s="416"/>
      <c r="D73" s="433"/>
      <c r="E73" s="434"/>
      <c r="F73" s="435"/>
      <c r="G73" s="417"/>
      <c r="H73" s="418"/>
      <c r="I73" s="382"/>
      <c r="J73" s="966"/>
      <c r="K73" s="966"/>
      <c r="L73" s="383"/>
      <c r="M73" s="415">
        <v>8</v>
      </c>
      <c r="N73" s="687" t="s">
        <v>345</v>
      </c>
      <c r="O73" s="433" t="s">
        <v>355</v>
      </c>
      <c r="P73" s="434"/>
      <c r="Q73" s="435"/>
      <c r="R73" s="417">
        <v>72608.7</v>
      </c>
      <c r="S73" s="638" t="s">
        <v>356</v>
      </c>
      <c r="T73" s="813">
        <v>45596</v>
      </c>
      <c r="U73" s="529">
        <v>0</v>
      </c>
      <c r="V73" s="948"/>
      <c r="W73" s="820">
        <v>45596</v>
      </c>
      <c r="X73" s="921"/>
      <c r="Y73" s="220"/>
      <c r="Z73" s="206"/>
    </row>
    <row r="74" spans="1:43" ht="14.25" customHeight="1">
      <c r="B74" s="415"/>
      <c r="C74" s="416"/>
      <c r="D74" s="433"/>
      <c r="E74" s="434"/>
      <c r="F74" s="435"/>
      <c r="G74" s="417"/>
      <c r="H74" s="418"/>
      <c r="I74" s="382"/>
      <c r="J74" s="966"/>
      <c r="K74" s="966"/>
      <c r="L74" s="383"/>
      <c r="M74" s="415">
        <v>8</v>
      </c>
      <c r="N74" s="687" t="s">
        <v>345</v>
      </c>
      <c r="O74" s="433" t="s">
        <v>357</v>
      </c>
      <c r="P74" s="434"/>
      <c r="Q74" s="435"/>
      <c r="R74" s="417">
        <v>9538.74</v>
      </c>
      <c r="S74" s="638" t="s">
        <v>358</v>
      </c>
      <c r="T74" s="813">
        <v>45900</v>
      </c>
      <c r="U74" s="863"/>
      <c r="V74" s="948"/>
      <c r="W74" s="820">
        <v>45890</v>
      </c>
      <c r="X74" s="921"/>
      <c r="Y74" s="220"/>
      <c r="Z74" s="206"/>
    </row>
    <row r="75" spans="1:43" ht="15" customHeight="1" thickBot="1">
      <c r="B75" s="384">
        <v>8</v>
      </c>
      <c r="C75" s="385"/>
      <c r="D75" s="386"/>
      <c r="E75" s="387"/>
      <c r="F75" s="388"/>
      <c r="G75" s="389"/>
      <c r="H75" s="390"/>
      <c r="I75" s="391"/>
      <c r="J75" s="967"/>
      <c r="K75" s="967"/>
      <c r="L75" s="392"/>
      <c r="M75" s="384">
        <v>8</v>
      </c>
      <c r="N75" s="684" t="s">
        <v>345</v>
      </c>
      <c r="O75" s="386" t="s">
        <v>359</v>
      </c>
      <c r="P75" s="387"/>
      <c r="Q75" s="388"/>
      <c r="R75" s="389">
        <v>24300.959999999999</v>
      </c>
      <c r="S75" s="816" t="s">
        <v>360</v>
      </c>
      <c r="T75" s="815">
        <v>45596</v>
      </c>
      <c r="U75" s="530">
        <v>0</v>
      </c>
      <c r="V75" s="949"/>
      <c r="W75" s="822">
        <v>45596</v>
      </c>
      <c r="X75" s="922"/>
      <c r="Y75" s="218" t="s">
        <v>361</v>
      </c>
      <c r="Z75" s="204"/>
    </row>
    <row r="76" spans="1:43" ht="22.5" customHeight="1" thickBot="1">
      <c r="A76" s="24"/>
      <c r="B76" s="436"/>
      <c r="C76" s="167"/>
      <c r="D76" s="167"/>
      <c r="E76" s="167"/>
      <c r="F76" s="167"/>
      <c r="G76" s="167"/>
      <c r="H76" s="167"/>
      <c r="I76" s="167"/>
      <c r="J76" s="699"/>
      <c r="K76" s="700"/>
      <c r="L76" s="167" t="s">
        <v>362</v>
      </c>
      <c r="M76" s="436"/>
      <c r="N76" s="167"/>
      <c r="O76" s="167"/>
      <c r="P76" s="167"/>
      <c r="Q76" s="167"/>
      <c r="R76" s="167"/>
      <c r="S76" s="551"/>
      <c r="T76" s="193" t="str">
        <f t="shared" si="1"/>
        <v/>
      </c>
      <c r="U76" s="522"/>
      <c r="V76" s="704"/>
      <c r="W76" s="487"/>
      <c r="X76" s="705"/>
      <c r="Y76" s="222"/>
      <c r="Z76" s="167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</row>
    <row r="77" spans="1:43" ht="15" customHeight="1">
      <c r="B77" s="400">
        <v>9</v>
      </c>
      <c r="C77" s="706" t="s">
        <v>363</v>
      </c>
      <c r="D77" s="421" t="s">
        <v>294</v>
      </c>
      <c r="E77" s="405"/>
      <c r="F77" s="422">
        <v>0.1</v>
      </c>
      <c r="G77" s="404">
        <f>SUM($C$78:$C$79)*F77</f>
        <v>20805</v>
      </c>
      <c r="H77" s="356">
        <f>'Project Plan'!E19-7</f>
        <v>45553</v>
      </c>
      <c r="I77" s="357"/>
      <c r="J77" s="968">
        <f>SUM(G77:G84)</f>
        <v>208050</v>
      </c>
      <c r="K77" s="938">
        <f>73429.41176+171335.2941</f>
        <v>244764.70585999999</v>
      </c>
      <c r="L77" s="358"/>
      <c r="M77" s="400">
        <v>9</v>
      </c>
      <c r="N77" s="675" t="s">
        <v>364</v>
      </c>
      <c r="O77" s="421" t="s">
        <v>294</v>
      </c>
      <c r="P77" s="709">
        <f>AF27+AF28</f>
        <v>175013.8</v>
      </c>
      <c r="Q77" s="422">
        <v>0.1</v>
      </c>
      <c r="R77" s="350">
        <f>$P$77*Q77</f>
        <v>17501.38</v>
      </c>
      <c r="S77" s="552" t="s">
        <v>295</v>
      </c>
      <c r="T77" s="764">
        <v>45565</v>
      </c>
      <c r="U77" s="809">
        <v>24476.470585999999</v>
      </c>
      <c r="V77" s="950">
        <v>0</v>
      </c>
      <c r="W77" s="770">
        <v>45560</v>
      </c>
      <c r="X77" s="923">
        <f>SUM(R77:R84)</f>
        <v>175013.8</v>
      </c>
      <c r="Y77" s="901" t="s">
        <v>296</v>
      </c>
      <c r="Z77" s="201"/>
    </row>
    <row r="78" spans="1:43" ht="15" customHeight="1">
      <c r="B78" s="400">
        <v>9</v>
      </c>
      <c r="C78" s="735">
        <v>62415</v>
      </c>
      <c r="D78" s="423" t="s">
        <v>150</v>
      </c>
      <c r="E78" s="405"/>
      <c r="F78" s="424">
        <v>0.15</v>
      </c>
      <c r="G78" s="404">
        <f t="shared" ref="G78:G84" si="18">SUM($C$78:$C$79)*F78</f>
        <v>31207.5</v>
      </c>
      <c r="H78" s="356">
        <f>'Project Plan'!I19</f>
        <v>45560</v>
      </c>
      <c r="I78" s="357"/>
      <c r="J78" s="969"/>
      <c r="K78" s="939"/>
      <c r="L78" s="358"/>
      <c r="M78" s="400">
        <v>9</v>
      </c>
      <c r="N78" s="675" t="s">
        <v>364</v>
      </c>
      <c r="O78" s="423" t="s">
        <v>150</v>
      </c>
      <c r="P78" s="405"/>
      <c r="Q78" s="424">
        <v>0.15</v>
      </c>
      <c r="R78" s="404">
        <f t="shared" ref="R78:R84" si="19">$P$77*Q78</f>
        <v>26252.069999999996</v>
      </c>
      <c r="S78" s="540" t="s">
        <v>298</v>
      </c>
      <c r="T78" s="752">
        <v>45565</v>
      </c>
      <c r="U78" s="810">
        <v>36714.705878999994</v>
      </c>
      <c r="V78" s="951"/>
      <c r="W78" s="798">
        <v>45575</v>
      </c>
      <c r="X78" s="924"/>
      <c r="Y78" s="902"/>
      <c r="Z78" s="201"/>
    </row>
    <row r="79" spans="1:43" ht="15" customHeight="1">
      <c r="B79" s="400">
        <v>9</v>
      </c>
      <c r="C79" s="706">
        <v>145635</v>
      </c>
      <c r="D79" s="423" t="s">
        <v>301</v>
      </c>
      <c r="E79" s="405"/>
      <c r="F79" s="424">
        <v>0.2</v>
      </c>
      <c r="G79" s="404">
        <f t="shared" si="18"/>
        <v>41610</v>
      </c>
      <c r="H79" s="356">
        <f>'Project Plan'!G21</f>
        <v>45597</v>
      </c>
      <c r="I79" s="357"/>
      <c r="J79" s="969"/>
      <c r="K79" s="939"/>
      <c r="L79" s="358"/>
      <c r="M79" s="400">
        <v>9</v>
      </c>
      <c r="N79" s="675" t="s">
        <v>364</v>
      </c>
      <c r="O79" s="423" t="s">
        <v>301</v>
      </c>
      <c r="P79" s="405"/>
      <c r="Q79" s="424">
        <v>0.2</v>
      </c>
      <c r="R79" s="404">
        <f t="shared" si="19"/>
        <v>35002.76</v>
      </c>
      <c r="S79" s="540" t="s">
        <v>302</v>
      </c>
      <c r="T79" s="752">
        <v>45596</v>
      </c>
      <c r="U79" s="810">
        <v>48952.941171999999</v>
      </c>
      <c r="V79" s="951"/>
      <c r="W79" s="798">
        <v>45596</v>
      </c>
      <c r="X79" s="924"/>
      <c r="Y79" s="902"/>
      <c r="Z79" s="201"/>
    </row>
    <row r="80" spans="1:43" ht="15" customHeight="1">
      <c r="B80" s="400">
        <v>9</v>
      </c>
      <c r="C80" s="437"/>
      <c r="D80" s="423" t="s">
        <v>305</v>
      </c>
      <c r="E80" s="405"/>
      <c r="F80" s="424">
        <v>0.25</v>
      </c>
      <c r="G80" s="404">
        <f t="shared" si="18"/>
        <v>52012.5</v>
      </c>
      <c r="H80" s="356">
        <f>'Project Plan'!G28</f>
        <v>45597</v>
      </c>
      <c r="I80" s="357"/>
      <c r="J80" s="969"/>
      <c r="K80" s="939"/>
      <c r="L80" s="358"/>
      <c r="M80" s="400">
        <v>9</v>
      </c>
      <c r="N80" s="675" t="s">
        <v>364</v>
      </c>
      <c r="O80" s="423" t="s">
        <v>305</v>
      </c>
      <c r="P80" s="405"/>
      <c r="Q80" s="424">
        <v>0.25</v>
      </c>
      <c r="R80" s="404">
        <f t="shared" si="19"/>
        <v>43753.45</v>
      </c>
      <c r="S80" s="540" t="s">
        <v>306</v>
      </c>
      <c r="T80" s="752">
        <v>45596</v>
      </c>
      <c r="U80" s="810">
        <v>61191.176464999997</v>
      </c>
      <c r="V80" s="951"/>
      <c r="W80" s="798">
        <f>W79</f>
        <v>45596</v>
      </c>
      <c r="X80" s="924"/>
      <c r="Y80" s="902"/>
      <c r="Z80" s="201"/>
    </row>
    <row r="81" spans="1:43" ht="15" customHeight="1">
      <c r="B81" s="400">
        <v>9</v>
      </c>
      <c r="C81" s="437"/>
      <c r="D81" s="423" t="s">
        <v>310</v>
      </c>
      <c r="E81" s="405"/>
      <c r="F81" s="424">
        <v>0.1</v>
      </c>
      <c r="G81" s="404">
        <f t="shared" si="18"/>
        <v>20805</v>
      </c>
      <c r="H81" s="356">
        <f>'Project Plan'!G38</f>
        <v>45609</v>
      </c>
      <c r="I81" s="357"/>
      <c r="J81" s="969"/>
      <c r="K81" s="939"/>
      <c r="L81" s="358"/>
      <c r="M81" s="400">
        <v>9</v>
      </c>
      <c r="N81" s="675" t="s">
        <v>364</v>
      </c>
      <c r="O81" s="423" t="s">
        <v>310</v>
      </c>
      <c r="P81" s="405"/>
      <c r="Q81" s="424">
        <v>0.1</v>
      </c>
      <c r="R81" s="404">
        <f t="shared" si="19"/>
        <v>17501.38</v>
      </c>
      <c r="S81" s="548" t="s">
        <v>311</v>
      </c>
      <c r="T81" s="738">
        <v>45596</v>
      </c>
      <c r="U81" s="846">
        <v>24476.470585999999</v>
      </c>
      <c r="V81" s="951"/>
      <c r="W81" s="827">
        <v>45610</v>
      </c>
      <c r="X81" s="924"/>
      <c r="Y81" s="902"/>
      <c r="Z81" s="201"/>
    </row>
    <row r="82" spans="1:43" ht="15" customHeight="1">
      <c r="B82" s="400">
        <v>9</v>
      </c>
      <c r="C82" s="437"/>
      <c r="D82" s="423" t="s">
        <v>314</v>
      </c>
      <c r="E82" s="405"/>
      <c r="F82" s="424">
        <v>0.1</v>
      </c>
      <c r="G82" s="404">
        <f t="shared" si="18"/>
        <v>20805</v>
      </c>
      <c r="H82" s="356">
        <f>'Project Plan'!G47</f>
        <v>45628</v>
      </c>
      <c r="I82" s="357"/>
      <c r="J82" s="969"/>
      <c r="K82" s="939"/>
      <c r="L82" s="358"/>
      <c r="M82" s="400">
        <v>9</v>
      </c>
      <c r="N82" s="675" t="s">
        <v>364</v>
      </c>
      <c r="O82" s="423" t="s">
        <v>314</v>
      </c>
      <c r="P82" s="405"/>
      <c r="Q82" s="424">
        <v>0.1</v>
      </c>
      <c r="R82" s="404">
        <f t="shared" si="19"/>
        <v>17501.38</v>
      </c>
      <c r="S82" s="548" t="s">
        <v>315</v>
      </c>
      <c r="T82" s="738">
        <v>45596</v>
      </c>
      <c r="U82" s="846">
        <v>24476.470585999999</v>
      </c>
      <c r="V82" s="951"/>
      <c r="W82" s="827">
        <v>45631</v>
      </c>
      <c r="X82" s="924"/>
      <c r="Y82" s="902"/>
      <c r="Z82" s="201"/>
    </row>
    <row r="83" spans="1:43" ht="15" customHeight="1">
      <c r="B83" s="574">
        <v>9</v>
      </c>
      <c r="C83" s="666"/>
      <c r="D83" s="576" t="s">
        <v>316</v>
      </c>
      <c r="E83" s="577"/>
      <c r="F83" s="578">
        <v>0.05</v>
      </c>
      <c r="G83" s="579">
        <f t="shared" si="18"/>
        <v>10402.5</v>
      </c>
      <c r="H83" s="580">
        <f>'Project Plan'!G49</f>
        <v>45635</v>
      </c>
      <c r="I83" s="357"/>
      <c r="J83" s="969"/>
      <c r="K83" s="939"/>
      <c r="L83" s="358"/>
      <c r="M83" s="400">
        <v>9</v>
      </c>
      <c r="N83" s="675" t="s">
        <v>364</v>
      </c>
      <c r="O83" s="576" t="s">
        <v>316</v>
      </c>
      <c r="P83" s="577"/>
      <c r="Q83" s="578">
        <v>0.05</v>
      </c>
      <c r="R83" s="579">
        <f t="shared" si="19"/>
        <v>8750.69</v>
      </c>
      <c r="S83" s="548" t="s">
        <v>365</v>
      </c>
      <c r="T83" s="838">
        <v>45688</v>
      </c>
      <c r="U83" s="858">
        <v>12238.235293</v>
      </c>
      <c r="V83" s="951"/>
      <c r="W83" s="860">
        <v>45701</v>
      </c>
      <c r="X83" s="924"/>
      <c r="Y83" s="902"/>
      <c r="Z83" s="502"/>
    </row>
    <row r="84" spans="1:43" ht="15" customHeight="1" thickBot="1">
      <c r="B84" s="406">
        <v>9</v>
      </c>
      <c r="C84" s="696"/>
      <c r="D84" s="425" t="s">
        <v>317</v>
      </c>
      <c r="E84" s="409"/>
      <c r="F84" s="426">
        <v>0.05</v>
      </c>
      <c r="G84" s="427">
        <f t="shared" si="18"/>
        <v>10402.5</v>
      </c>
      <c r="H84" s="697">
        <f>H83+30</f>
        <v>45665</v>
      </c>
      <c r="I84" s="698"/>
      <c r="J84" s="970"/>
      <c r="K84" s="970"/>
      <c r="L84" s="503"/>
      <c r="M84" s="701">
        <v>9</v>
      </c>
      <c r="N84" s="702" t="s">
        <v>364</v>
      </c>
      <c r="O84" s="425" t="s">
        <v>317</v>
      </c>
      <c r="P84" s="409"/>
      <c r="Q84" s="426">
        <v>0.05</v>
      </c>
      <c r="R84" s="703">
        <f t="shared" si="19"/>
        <v>8750.69</v>
      </c>
      <c r="S84" s="854" t="s">
        <v>366</v>
      </c>
      <c r="T84" s="853">
        <v>45688</v>
      </c>
      <c r="U84" s="859">
        <v>12238.235293</v>
      </c>
      <c r="V84" s="952"/>
      <c r="W84" s="697">
        <v>45722</v>
      </c>
      <c r="X84" s="925"/>
      <c r="Y84" s="903"/>
      <c r="Z84" s="202"/>
    </row>
    <row r="85" spans="1:43" ht="14.45" thickBot="1">
      <c r="A85" s="24"/>
      <c r="B85" s="362"/>
      <c r="C85" s="393"/>
      <c r="D85" s="394"/>
      <c r="E85" s="395"/>
      <c r="F85" s="396"/>
      <c r="G85" s="365"/>
      <c r="H85" s="345"/>
      <c r="I85" s="366"/>
      <c r="J85" s="346"/>
      <c r="K85" s="604"/>
      <c r="L85" s="24"/>
      <c r="M85" s="362"/>
      <c r="N85" s="393"/>
      <c r="O85" s="394"/>
      <c r="P85" s="395"/>
      <c r="Q85" s="396"/>
      <c r="R85" s="365"/>
      <c r="S85" s="645"/>
      <c r="T85" s="556" t="str">
        <f t="shared" si="1"/>
        <v/>
      </c>
      <c r="U85" s="513"/>
      <c r="V85" s="646"/>
      <c r="W85" s="474"/>
      <c r="X85" s="484"/>
      <c r="Y85" s="214"/>
      <c r="Z85" s="199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</row>
    <row r="86" spans="1:43" ht="14.25" customHeight="1">
      <c r="B86" s="324">
        <v>10</v>
      </c>
      <c r="C86" s="325" t="s">
        <v>299</v>
      </c>
      <c r="D86" s="325"/>
      <c r="E86" s="326"/>
      <c r="F86" s="439"/>
      <c r="G86" s="440"/>
      <c r="H86" s="328"/>
      <c r="I86" s="329"/>
      <c r="J86" s="932">
        <f>SUM(G86:G99)</f>
        <v>38356.300000000003</v>
      </c>
      <c r="K86" s="932">
        <f>10000+35125.05882</f>
        <v>45125.058819999998</v>
      </c>
      <c r="L86" s="441"/>
      <c r="M86" s="324">
        <v>10</v>
      </c>
      <c r="N86" s="688" t="s">
        <v>367</v>
      </c>
      <c r="O86" s="325" t="s">
        <v>368</v>
      </c>
      <c r="P86" s="326"/>
      <c r="Q86" s="439"/>
      <c r="R86" s="440"/>
      <c r="S86" s="624"/>
      <c r="T86" s="639"/>
      <c r="U86" s="523">
        <f>R86/$X$86*$K$86</f>
        <v>0</v>
      </c>
      <c r="V86" s="916">
        <f>K86-SUM(U86:U99)</f>
        <v>-4.9433886888436973E-3</v>
      </c>
      <c r="W86" s="640"/>
      <c r="X86" s="926">
        <f>SUM(R86:R99)</f>
        <v>107767</v>
      </c>
      <c r="Y86" s="209"/>
      <c r="Z86" s="195"/>
    </row>
    <row r="87" spans="1:43" ht="14.25" customHeight="1">
      <c r="B87" s="442"/>
      <c r="C87" s="443"/>
      <c r="D87" s="443"/>
      <c r="E87" s="444"/>
      <c r="F87" s="445"/>
      <c r="G87" s="446"/>
      <c r="H87" s="758"/>
      <c r="I87" s="332"/>
      <c r="J87" s="933"/>
      <c r="K87" s="933"/>
      <c r="L87" s="333"/>
      <c r="M87" s="442">
        <v>10</v>
      </c>
      <c r="N87" s="689" t="s">
        <v>367</v>
      </c>
      <c r="O87" s="334"/>
      <c r="P87" s="447"/>
      <c r="Q87" s="448"/>
      <c r="R87" s="327"/>
      <c r="S87" s="465"/>
      <c r="T87" s="515" t="str">
        <f t="shared" ref="T87" si="20">IF(W87&gt;1,EOMONTH(W87,-1),"")</f>
        <v/>
      </c>
      <c r="U87" s="557">
        <f t="shared" ref="U87:U93" si="21">R87/$X$86*$K$86</f>
        <v>0</v>
      </c>
      <c r="V87" s="953"/>
      <c r="W87" s="479"/>
      <c r="X87" s="927"/>
      <c r="Y87" s="223"/>
      <c r="Z87" s="208"/>
    </row>
    <row r="88" spans="1:43" ht="14.25" customHeight="1">
      <c r="B88" s="442"/>
      <c r="C88" s="443"/>
      <c r="D88" s="443"/>
      <c r="E88" s="444"/>
      <c r="F88" s="445"/>
      <c r="G88" s="446"/>
      <c r="H88" s="758"/>
      <c r="I88" s="332"/>
      <c r="J88" s="933"/>
      <c r="K88" s="933"/>
      <c r="L88" s="333"/>
      <c r="M88" s="442">
        <v>10</v>
      </c>
      <c r="N88" s="689" t="s">
        <v>367</v>
      </c>
      <c r="O88" s="334" t="s">
        <v>294</v>
      </c>
      <c r="P88" s="760">
        <f>AF29+AF30+AF31</f>
        <v>107767</v>
      </c>
      <c r="Q88" s="759">
        <v>0.1</v>
      </c>
      <c r="R88" s="327">
        <f>$P$88*Q88</f>
        <v>10776.7</v>
      </c>
      <c r="S88" s="771" t="s">
        <v>295</v>
      </c>
      <c r="T88" s="763">
        <v>45565</v>
      </c>
      <c r="U88" s="811">
        <v>3961.1558593554782</v>
      </c>
      <c r="V88" s="953"/>
      <c r="W88" s="772">
        <v>45560</v>
      </c>
      <c r="X88" s="927"/>
      <c r="Y88" s="898" t="s">
        <v>296</v>
      </c>
      <c r="Z88" s="208"/>
    </row>
    <row r="89" spans="1:43" ht="14.25" customHeight="1">
      <c r="B89" s="442"/>
      <c r="C89" s="443"/>
      <c r="D89" s="443"/>
      <c r="E89" s="444"/>
      <c r="F89" s="445"/>
      <c r="G89" s="446"/>
      <c r="H89" s="758"/>
      <c r="I89" s="332"/>
      <c r="J89" s="933"/>
      <c r="K89" s="933"/>
      <c r="L89" s="333"/>
      <c r="M89" s="442">
        <v>10</v>
      </c>
      <c r="N89" s="689" t="s">
        <v>367</v>
      </c>
      <c r="O89" s="334" t="s">
        <v>150</v>
      </c>
      <c r="P89" s="447"/>
      <c r="Q89" s="759">
        <v>0.15</v>
      </c>
      <c r="R89" s="327">
        <f t="shared" ref="R89:R95" si="22">$P$88*Q89</f>
        <v>16165.05</v>
      </c>
      <c r="S89" s="771" t="s">
        <v>298</v>
      </c>
      <c r="T89" s="763">
        <f t="shared" ref="T89:T95" si="23">T78</f>
        <v>45565</v>
      </c>
      <c r="U89" s="811">
        <v>5941.7337890332165</v>
      </c>
      <c r="V89" s="953"/>
      <c r="W89" s="799">
        <f t="shared" ref="W89:W95" si="24">W78</f>
        <v>45575</v>
      </c>
      <c r="X89" s="927"/>
      <c r="Y89" s="899"/>
      <c r="Z89" s="208"/>
    </row>
    <row r="90" spans="1:43" ht="14.25" customHeight="1">
      <c r="B90" s="442"/>
      <c r="C90" s="443"/>
      <c r="D90" s="443"/>
      <c r="E90" s="444"/>
      <c r="F90" s="445"/>
      <c r="G90" s="446"/>
      <c r="H90" s="758"/>
      <c r="I90" s="332"/>
      <c r="J90" s="933"/>
      <c r="K90" s="933"/>
      <c r="L90" s="333"/>
      <c r="M90" s="442">
        <v>10</v>
      </c>
      <c r="N90" s="689" t="s">
        <v>367</v>
      </c>
      <c r="O90" s="334" t="s">
        <v>301</v>
      </c>
      <c r="P90" s="447"/>
      <c r="Q90" s="759">
        <v>0.2</v>
      </c>
      <c r="R90" s="327">
        <f t="shared" si="22"/>
        <v>21553.4</v>
      </c>
      <c r="S90" s="814" t="s">
        <v>302</v>
      </c>
      <c r="T90" s="763">
        <f t="shared" si="23"/>
        <v>45596</v>
      </c>
      <c r="U90" s="811">
        <v>10403.391764</v>
      </c>
      <c r="V90" s="953"/>
      <c r="W90" s="799">
        <f t="shared" si="24"/>
        <v>45596</v>
      </c>
      <c r="X90" s="927"/>
      <c r="Y90" s="899"/>
      <c r="Z90" s="208"/>
    </row>
    <row r="91" spans="1:43" ht="14.25" customHeight="1">
      <c r="B91" s="442"/>
      <c r="C91" s="443"/>
      <c r="D91" s="443"/>
      <c r="E91" s="444"/>
      <c r="F91" s="445"/>
      <c r="G91" s="446"/>
      <c r="H91" s="758"/>
      <c r="I91" s="332"/>
      <c r="J91" s="933"/>
      <c r="K91" s="933"/>
      <c r="L91" s="333"/>
      <c r="M91" s="442">
        <v>10</v>
      </c>
      <c r="N91" s="689" t="s">
        <v>367</v>
      </c>
      <c r="O91" s="334" t="s">
        <v>305</v>
      </c>
      <c r="P91" s="447"/>
      <c r="Q91" s="759">
        <v>0.25</v>
      </c>
      <c r="R91" s="327">
        <f t="shared" si="22"/>
        <v>26941.75</v>
      </c>
      <c r="S91" s="814" t="s">
        <v>306</v>
      </c>
      <c r="T91" s="763">
        <v>45596</v>
      </c>
      <c r="U91" s="811">
        <v>11281.264705</v>
      </c>
      <c r="V91" s="953"/>
      <c r="W91" s="799">
        <f t="shared" si="24"/>
        <v>45596</v>
      </c>
      <c r="X91" s="927"/>
      <c r="Y91" s="899"/>
      <c r="Z91" s="208"/>
    </row>
    <row r="92" spans="1:43" ht="14.25" customHeight="1">
      <c r="B92" s="442"/>
      <c r="C92" s="443"/>
      <c r="D92" s="443"/>
      <c r="E92" s="444"/>
      <c r="F92" s="445"/>
      <c r="G92" s="446"/>
      <c r="H92" s="758"/>
      <c r="I92" s="332"/>
      <c r="J92" s="933"/>
      <c r="K92" s="933"/>
      <c r="L92" s="333"/>
      <c r="M92" s="442">
        <v>10</v>
      </c>
      <c r="N92" s="689" t="s">
        <v>367</v>
      </c>
      <c r="O92" s="334" t="s">
        <v>310</v>
      </c>
      <c r="P92" s="447"/>
      <c r="Q92" s="759">
        <v>0.1</v>
      </c>
      <c r="R92" s="327">
        <f t="shared" si="22"/>
        <v>10776.7</v>
      </c>
      <c r="S92" s="814" t="s">
        <v>311</v>
      </c>
      <c r="T92" s="763">
        <v>45596</v>
      </c>
      <c r="U92" s="811">
        <v>4512.5058820000004</v>
      </c>
      <c r="V92" s="953"/>
      <c r="W92" s="799">
        <f t="shared" si="24"/>
        <v>45610</v>
      </c>
      <c r="X92" s="927"/>
      <c r="Y92" s="899"/>
      <c r="Z92" s="208"/>
    </row>
    <row r="93" spans="1:43" ht="14.25" customHeight="1">
      <c r="B93" s="442"/>
      <c r="C93" s="443"/>
      <c r="D93" s="443"/>
      <c r="E93" s="444"/>
      <c r="F93" s="445"/>
      <c r="G93" s="446"/>
      <c r="H93" s="758"/>
      <c r="I93" s="332"/>
      <c r="J93" s="933"/>
      <c r="K93" s="933"/>
      <c r="L93" s="333"/>
      <c r="M93" s="442">
        <v>10</v>
      </c>
      <c r="N93" s="689" t="s">
        <v>367</v>
      </c>
      <c r="O93" s="334" t="s">
        <v>314</v>
      </c>
      <c r="P93" s="447"/>
      <c r="Q93" s="759">
        <v>0.1</v>
      </c>
      <c r="R93" s="327">
        <f t="shared" si="22"/>
        <v>10776.7</v>
      </c>
      <c r="S93" s="814" t="s">
        <v>315</v>
      </c>
      <c r="T93" s="763">
        <v>45596</v>
      </c>
      <c r="U93" s="842">
        <f t="shared" si="21"/>
        <v>4512.5058820000004</v>
      </c>
      <c r="V93" s="953"/>
      <c r="W93" s="799">
        <f t="shared" si="24"/>
        <v>45631</v>
      </c>
      <c r="X93" s="927"/>
      <c r="Y93" s="899"/>
      <c r="Z93" s="208"/>
    </row>
    <row r="94" spans="1:43" ht="14.25" customHeight="1">
      <c r="B94" s="442"/>
      <c r="C94" s="443"/>
      <c r="D94" s="443"/>
      <c r="E94" s="444"/>
      <c r="F94" s="445"/>
      <c r="G94" s="446"/>
      <c r="H94" s="758"/>
      <c r="I94" s="332"/>
      <c r="J94" s="933"/>
      <c r="K94" s="933"/>
      <c r="L94" s="333"/>
      <c r="M94" s="442">
        <v>10</v>
      </c>
      <c r="N94" s="689" t="s">
        <v>367</v>
      </c>
      <c r="O94" s="334" t="s">
        <v>316</v>
      </c>
      <c r="P94" s="447"/>
      <c r="Q94" s="759">
        <v>0.05</v>
      </c>
      <c r="R94" s="327">
        <f t="shared" si="22"/>
        <v>5388.35</v>
      </c>
      <c r="S94" s="814" t="str">
        <f>S83</f>
        <v>Thula Moya IN04598</v>
      </c>
      <c r="T94" s="763">
        <f t="shared" si="23"/>
        <v>45688</v>
      </c>
      <c r="U94" s="811">
        <v>2256.2529410000002</v>
      </c>
      <c r="V94" s="953"/>
      <c r="W94" s="799">
        <f t="shared" si="24"/>
        <v>45701</v>
      </c>
      <c r="X94" s="927"/>
      <c r="Y94" s="899"/>
      <c r="Z94" s="208"/>
    </row>
    <row r="95" spans="1:43" ht="14.25" customHeight="1">
      <c r="B95" s="442"/>
      <c r="C95" s="443"/>
      <c r="D95" s="443"/>
      <c r="E95" s="444"/>
      <c r="F95" s="445"/>
      <c r="G95" s="446"/>
      <c r="H95" s="758"/>
      <c r="I95" s="332"/>
      <c r="J95" s="933"/>
      <c r="K95" s="933"/>
      <c r="L95" s="333"/>
      <c r="M95" s="442">
        <v>10</v>
      </c>
      <c r="N95" s="689" t="s">
        <v>367</v>
      </c>
      <c r="O95" s="334" t="s">
        <v>317</v>
      </c>
      <c r="P95" s="447"/>
      <c r="Q95" s="759">
        <v>0.05</v>
      </c>
      <c r="R95" s="327">
        <f t="shared" si="22"/>
        <v>5388.35</v>
      </c>
      <c r="S95" s="814" t="str">
        <f>S84</f>
        <v>Thula Moya IN04599</v>
      </c>
      <c r="T95" s="763">
        <f t="shared" si="23"/>
        <v>45688</v>
      </c>
      <c r="U95" s="811">
        <v>2256.2529410000002</v>
      </c>
      <c r="V95" s="953"/>
      <c r="W95" s="799">
        <f t="shared" si="24"/>
        <v>45722</v>
      </c>
      <c r="X95" s="927"/>
      <c r="Y95" s="900"/>
      <c r="Z95" s="208"/>
    </row>
    <row r="96" spans="1:43" ht="14.25" customHeight="1">
      <c r="B96" s="442">
        <v>10</v>
      </c>
      <c r="C96" s="334"/>
      <c r="D96" s="334" t="s">
        <v>260</v>
      </c>
      <c r="E96" s="447"/>
      <c r="F96" s="448"/>
      <c r="G96" s="327">
        <v>8500</v>
      </c>
      <c r="H96" s="331">
        <f>H81</f>
        <v>45609</v>
      </c>
      <c r="I96" s="332"/>
      <c r="J96" s="933"/>
      <c r="K96" s="933"/>
      <c r="L96" s="333"/>
      <c r="M96" s="442">
        <v>10</v>
      </c>
      <c r="N96" s="689" t="s">
        <v>367</v>
      </c>
      <c r="O96" s="334"/>
      <c r="P96" s="447"/>
      <c r="Q96" s="448"/>
      <c r="R96" s="327"/>
      <c r="S96" s="465"/>
      <c r="T96" s="515" t="str">
        <f t="shared" si="1"/>
        <v/>
      </c>
      <c r="U96" s="557">
        <f t="shared" ref="U96:U99" si="25">R96/$X$86*$K$86</f>
        <v>0</v>
      </c>
      <c r="V96" s="917"/>
      <c r="W96" s="479"/>
      <c r="X96" s="927"/>
      <c r="Y96" s="212"/>
      <c r="Z96" s="197"/>
      <c r="AA96" s="24"/>
      <c r="AB96" s="24"/>
    </row>
    <row r="97" spans="1:43" ht="14.25" customHeight="1">
      <c r="B97" s="442">
        <v>10</v>
      </c>
      <c r="C97" s="334"/>
      <c r="D97" s="334"/>
      <c r="E97" s="447"/>
      <c r="F97" s="448"/>
      <c r="G97" s="327"/>
      <c r="H97" s="331"/>
      <c r="I97" s="332"/>
      <c r="J97" s="933"/>
      <c r="K97" s="933"/>
      <c r="L97" s="333"/>
      <c r="M97" s="442">
        <v>10</v>
      </c>
      <c r="N97" s="689" t="s">
        <v>367</v>
      </c>
      <c r="O97" s="334"/>
      <c r="P97" s="447"/>
      <c r="Q97" s="448"/>
      <c r="R97" s="327"/>
      <c r="S97" s="465"/>
      <c r="T97" s="515" t="str">
        <f t="shared" si="1"/>
        <v/>
      </c>
      <c r="U97" s="557">
        <f t="shared" si="25"/>
        <v>0</v>
      </c>
      <c r="V97" s="917"/>
      <c r="W97" s="472"/>
      <c r="X97" s="927"/>
      <c r="Y97" s="212"/>
      <c r="Z97" s="197"/>
    </row>
    <row r="98" spans="1:43" ht="15" customHeight="1">
      <c r="B98" s="442">
        <v>10</v>
      </c>
      <c r="C98" s="443"/>
      <c r="D98" s="443"/>
      <c r="E98" s="444"/>
      <c r="F98" s="445"/>
      <c r="G98" s="446"/>
      <c r="H98" s="331"/>
      <c r="I98" s="332"/>
      <c r="J98" s="933"/>
      <c r="K98" s="933"/>
      <c r="L98" s="333"/>
      <c r="M98" s="442">
        <v>10</v>
      </c>
      <c r="N98" s="689" t="s">
        <v>367</v>
      </c>
      <c r="O98" s="443"/>
      <c r="P98" s="444"/>
      <c r="Q98" s="445"/>
      <c r="R98" s="446"/>
      <c r="S98" s="467"/>
      <c r="T98" s="542" t="str">
        <f t="shared" ref="T98:T128" si="26">IF(W98&gt;1,EOMONTH(W98,-1),"")</f>
        <v/>
      </c>
      <c r="U98" s="557">
        <f t="shared" si="25"/>
        <v>0</v>
      </c>
      <c r="V98" s="917"/>
      <c r="W98" s="479"/>
      <c r="X98" s="927"/>
      <c r="Y98" s="223"/>
      <c r="Z98" s="208"/>
    </row>
    <row r="99" spans="1:43" ht="15" customHeight="1" thickBot="1">
      <c r="B99" s="335">
        <v>10</v>
      </c>
      <c r="C99" s="449"/>
      <c r="D99" s="449" t="s">
        <v>312</v>
      </c>
      <c r="E99" s="450"/>
      <c r="F99" s="451"/>
      <c r="G99" s="336">
        <v>29856.3</v>
      </c>
      <c r="H99" s="337">
        <f>H96</f>
        <v>45609</v>
      </c>
      <c r="I99" s="338"/>
      <c r="J99" s="934"/>
      <c r="K99" s="934"/>
      <c r="L99" s="339"/>
      <c r="M99" s="335">
        <v>10</v>
      </c>
      <c r="N99" s="690" t="s">
        <v>367</v>
      </c>
      <c r="O99" s="449"/>
      <c r="P99" s="450"/>
      <c r="Q99" s="451"/>
      <c r="R99" s="336"/>
      <c r="S99" s="539"/>
      <c r="T99" s="537" t="str">
        <f t="shared" si="26"/>
        <v/>
      </c>
      <c r="U99" s="558">
        <f t="shared" si="25"/>
        <v>0</v>
      </c>
      <c r="V99" s="918"/>
      <c r="W99" s="473"/>
      <c r="X99" s="928"/>
      <c r="Y99" s="213"/>
      <c r="Z99" s="198"/>
    </row>
    <row r="100" spans="1:43" ht="14.45" thickBot="1">
      <c r="A100" s="24"/>
      <c r="B100" s="340"/>
      <c r="C100" s="341"/>
      <c r="D100" s="341"/>
      <c r="E100" s="363"/>
      <c r="F100" s="344"/>
      <c r="G100" s="344"/>
      <c r="H100" s="345"/>
      <c r="I100" s="366"/>
      <c r="J100" s="346"/>
      <c r="K100" s="604"/>
      <c r="L100" s="24"/>
      <c r="M100" s="340"/>
      <c r="N100" s="341"/>
      <c r="O100" s="341"/>
      <c r="P100" s="363"/>
      <c r="Q100" s="344"/>
      <c r="R100" s="344"/>
      <c r="S100" s="547"/>
      <c r="T100" s="538" t="str">
        <f t="shared" si="26"/>
        <v/>
      </c>
      <c r="U100" s="513"/>
      <c r="V100" s="646"/>
      <c r="W100" s="474"/>
      <c r="X100" s="484"/>
      <c r="Y100" s="214"/>
      <c r="Z100" s="199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</row>
    <row r="101" spans="1:43" ht="14.25" customHeight="1">
      <c r="B101" s="347">
        <v>11</v>
      </c>
      <c r="C101" s="348" t="s">
        <v>369</v>
      </c>
      <c r="D101" s="488" t="s">
        <v>370</v>
      </c>
      <c r="E101" s="349"/>
      <c r="F101" s="452"/>
      <c r="G101" s="350">
        <v>11000</v>
      </c>
      <c r="H101" s="351">
        <f>'Project Plan'!E51</f>
        <v>45617</v>
      </c>
      <c r="I101" s="352"/>
      <c r="J101" s="938">
        <f>SUM(G101:G105)</f>
        <v>89000</v>
      </c>
      <c r="K101" s="938">
        <v>104705.8824</v>
      </c>
      <c r="L101" s="353"/>
      <c r="M101" s="347">
        <v>11</v>
      </c>
      <c r="N101" s="488" t="s">
        <v>371</v>
      </c>
      <c r="O101" s="348" t="s">
        <v>370</v>
      </c>
      <c r="P101" s="349"/>
      <c r="Q101" s="452"/>
      <c r="R101" s="350">
        <v>5654.76</v>
      </c>
      <c r="S101" s="540" t="s">
        <v>372</v>
      </c>
      <c r="T101" s="752">
        <v>45626</v>
      </c>
      <c r="U101" s="775">
        <v>48923.027511620938</v>
      </c>
      <c r="V101" s="954">
        <f>K101-SUM(U101:U105)</f>
        <v>-1.4126526803011075E-3</v>
      </c>
      <c r="W101" s="766">
        <v>45673</v>
      </c>
      <c r="X101" s="907">
        <f>SUM(R101:R105)</f>
        <v>14174.76</v>
      </c>
      <c r="Y101" s="215"/>
      <c r="Z101" s="200"/>
      <c r="AA101" s="24"/>
      <c r="AB101" s="24"/>
    </row>
    <row r="102" spans="1:43" ht="15" customHeight="1">
      <c r="B102" s="400">
        <v>11</v>
      </c>
      <c r="C102" s="402"/>
      <c r="D102" s="402" t="s">
        <v>373</v>
      </c>
      <c r="E102" s="403"/>
      <c r="F102" s="453"/>
      <c r="G102" s="404">
        <v>18000</v>
      </c>
      <c r="H102" s="356">
        <f>'Project Plan'!E19</f>
        <v>45560</v>
      </c>
      <c r="I102" s="357"/>
      <c r="J102" s="939"/>
      <c r="K102" s="939"/>
      <c r="L102" s="358"/>
      <c r="M102" s="400">
        <v>11</v>
      </c>
      <c r="N102" s="588" t="s">
        <v>371</v>
      </c>
      <c r="O102" s="402" t="s">
        <v>373</v>
      </c>
      <c r="P102" s="403"/>
      <c r="Q102" s="453"/>
      <c r="R102" s="404">
        <v>2520</v>
      </c>
      <c r="S102" s="548" t="s">
        <v>374</v>
      </c>
      <c r="T102" s="752">
        <v>45535</v>
      </c>
      <c r="U102" s="740">
        <v>11462.155675412685</v>
      </c>
      <c r="V102" s="955"/>
      <c r="W102" s="753">
        <v>45537</v>
      </c>
      <c r="X102" s="908"/>
      <c r="Y102" s="210"/>
      <c r="Z102" s="201"/>
    </row>
    <row r="103" spans="1:43" ht="15" customHeight="1">
      <c r="B103" s="400">
        <v>11</v>
      </c>
      <c r="C103" s="402"/>
      <c r="D103" s="402" t="s">
        <v>375</v>
      </c>
      <c r="E103" s="403"/>
      <c r="F103" s="453"/>
      <c r="G103" s="404">
        <v>60000</v>
      </c>
      <c r="H103" s="356">
        <f>H102+30</f>
        <v>45590</v>
      </c>
      <c r="I103" s="357"/>
      <c r="J103" s="939"/>
      <c r="K103" s="939"/>
      <c r="L103" s="358"/>
      <c r="M103" s="400">
        <v>11</v>
      </c>
      <c r="N103" s="588" t="s">
        <v>371</v>
      </c>
      <c r="O103" s="402"/>
      <c r="P103" s="403"/>
      <c r="Q103" s="453"/>
      <c r="R103" s="404"/>
      <c r="S103" s="466"/>
      <c r="T103" s="518" t="str">
        <f t="shared" si="26"/>
        <v/>
      </c>
      <c r="U103" s="526">
        <f>R103/$X$101*$K$101</f>
        <v>0</v>
      </c>
      <c r="V103" s="955"/>
      <c r="W103" s="476"/>
      <c r="X103" s="908"/>
      <c r="Y103" s="210"/>
      <c r="Z103" s="201"/>
    </row>
    <row r="104" spans="1:43" ht="14.25" customHeight="1">
      <c r="B104" s="400">
        <v>11</v>
      </c>
      <c r="C104" s="402"/>
      <c r="D104" s="402"/>
      <c r="E104" s="403"/>
      <c r="F104" s="453"/>
      <c r="G104" s="404"/>
      <c r="H104" s="356"/>
      <c r="I104" s="357"/>
      <c r="J104" s="939"/>
      <c r="K104" s="939"/>
      <c r="L104" s="358"/>
      <c r="M104" s="400">
        <v>11</v>
      </c>
      <c r="N104" s="588" t="s">
        <v>371</v>
      </c>
      <c r="O104" s="402"/>
      <c r="P104" s="403"/>
      <c r="Q104" s="453"/>
      <c r="R104" s="404"/>
      <c r="S104" s="466"/>
      <c r="T104" s="518" t="str">
        <f t="shared" si="26"/>
        <v/>
      </c>
      <c r="U104" s="526">
        <f>R104/$X$101*$K$101</f>
        <v>0</v>
      </c>
      <c r="V104" s="955"/>
      <c r="W104" s="476"/>
      <c r="X104" s="908"/>
      <c r="Y104" s="210"/>
      <c r="Z104" s="201"/>
      <c r="AA104" s="24"/>
      <c r="AB104" s="24"/>
    </row>
    <row r="105" spans="1:43" ht="15" customHeight="1" thickBot="1">
      <c r="B105" s="406">
        <v>11</v>
      </c>
      <c r="C105" s="407"/>
      <c r="D105" s="407"/>
      <c r="E105" s="408"/>
      <c r="F105" s="454"/>
      <c r="G105" s="427"/>
      <c r="H105" s="359"/>
      <c r="I105" s="360"/>
      <c r="J105" s="940"/>
      <c r="K105" s="940"/>
      <c r="L105" s="361"/>
      <c r="M105" s="406">
        <v>11</v>
      </c>
      <c r="N105" s="670" t="s">
        <v>371</v>
      </c>
      <c r="O105" s="407" t="s">
        <v>376</v>
      </c>
      <c r="P105" s="408"/>
      <c r="Q105" s="454"/>
      <c r="R105" s="427">
        <v>6000</v>
      </c>
      <c r="S105" s="837" t="s">
        <v>377</v>
      </c>
      <c r="T105" s="838">
        <v>45626</v>
      </c>
      <c r="U105" s="839">
        <f>R105/$X$101*$K$101</f>
        <v>44320.700625619058</v>
      </c>
      <c r="V105" s="956"/>
      <c r="W105" s="840">
        <v>45626</v>
      </c>
      <c r="X105" s="909"/>
      <c r="Y105" s="216"/>
      <c r="Z105" s="202"/>
    </row>
    <row r="106" spans="1:43" ht="15" customHeight="1" thickBot="1">
      <c r="A106" s="24"/>
      <c r="B106" s="362"/>
      <c r="C106" s="341"/>
      <c r="D106" s="341"/>
      <c r="E106" s="363"/>
      <c r="F106" s="344"/>
      <c r="G106" s="365"/>
      <c r="H106" s="345"/>
      <c r="I106" s="366"/>
      <c r="J106" s="346"/>
      <c r="K106" s="346"/>
      <c r="L106" s="24"/>
      <c r="M106" s="362"/>
      <c r="N106" s="341"/>
      <c r="O106" s="341"/>
      <c r="P106" s="363"/>
      <c r="Q106" s="344"/>
      <c r="R106" s="365"/>
      <c r="S106" s="547"/>
      <c r="T106" s="538" t="str">
        <f t="shared" si="26"/>
        <v/>
      </c>
      <c r="U106" s="513"/>
      <c r="V106" s="646"/>
      <c r="W106" s="474"/>
      <c r="X106" s="484"/>
      <c r="Y106" s="214"/>
      <c r="Z106" s="199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>
      <c r="B107" s="324">
        <v>12</v>
      </c>
      <c r="C107" s="325" t="s">
        <v>378</v>
      </c>
      <c r="D107" s="325" t="s">
        <v>379</v>
      </c>
      <c r="E107" s="326"/>
      <c r="F107" s="626"/>
      <c r="G107" s="440">
        <v>63011.44</v>
      </c>
      <c r="H107" s="328">
        <f>'Project Plan'!G50</f>
        <v>45636</v>
      </c>
      <c r="I107" s="929"/>
      <c r="J107" s="932">
        <f>SUM(G107:G109)</f>
        <v>63011.44</v>
      </c>
      <c r="K107" s="932">
        <v>0</v>
      </c>
      <c r="L107" s="935"/>
      <c r="M107" s="324">
        <v>12</v>
      </c>
      <c r="N107" s="325" t="s">
        <v>378</v>
      </c>
      <c r="O107" s="325" t="s">
        <v>379</v>
      </c>
      <c r="P107" s="326"/>
      <c r="Q107" s="626"/>
      <c r="R107" s="440">
        <v>31521.67</v>
      </c>
      <c r="S107" s="624" t="s">
        <v>380</v>
      </c>
      <c r="T107" s="751">
        <v>45535</v>
      </c>
      <c r="U107" s="627"/>
      <c r="V107" s="648"/>
      <c r="W107" s="754">
        <v>45537</v>
      </c>
      <c r="X107" s="913">
        <f>SUM(R107:R109)</f>
        <v>63043.34</v>
      </c>
      <c r="Y107" s="209"/>
      <c r="Z107" s="195"/>
    </row>
    <row r="108" spans="1:43">
      <c r="B108" s="742"/>
      <c r="C108" s="743"/>
      <c r="D108" s="743"/>
      <c r="E108" s="744"/>
      <c r="F108" s="745"/>
      <c r="G108" s="746"/>
      <c r="H108" s="747"/>
      <c r="I108" s="930"/>
      <c r="J108" s="933"/>
      <c r="K108" s="933"/>
      <c r="L108" s="936"/>
      <c r="M108" s="742">
        <v>12</v>
      </c>
      <c r="N108" s="743" t="s">
        <v>378</v>
      </c>
      <c r="O108" s="743" t="s">
        <v>379</v>
      </c>
      <c r="P108" s="744"/>
      <c r="Q108" s="745"/>
      <c r="R108" s="746">
        <v>31521.67</v>
      </c>
      <c r="S108" s="510" t="s">
        <v>381</v>
      </c>
      <c r="T108" s="830">
        <v>45626</v>
      </c>
      <c r="U108" s="748"/>
      <c r="V108" s="741"/>
      <c r="W108" s="847">
        <v>45638</v>
      </c>
      <c r="X108" s="914"/>
      <c r="Y108" s="749"/>
      <c r="Z108" s="750"/>
    </row>
    <row r="109" spans="1:43" ht="15" customHeight="1" thickBot="1">
      <c r="B109" s="335">
        <v>12</v>
      </c>
      <c r="C109" s="449" t="s">
        <v>378</v>
      </c>
      <c r="D109" s="449"/>
      <c r="E109" s="450"/>
      <c r="F109" s="633"/>
      <c r="G109" s="336"/>
      <c r="H109" s="337"/>
      <c r="I109" s="931"/>
      <c r="J109" s="934"/>
      <c r="K109" s="934"/>
      <c r="L109" s="937"/>
      <c r="M109" s="335">
        <v>12</v>
      </c>
      <c r="N109" s="449" t="s">
        <v>378</v>
      </c>
      <c r="O109" s="449"/>
      <c r="P109" s="450"/>
      <c r="Q109" s="633"/>
      <c r="R109" s="336"/>
      <c r="S109" s="510"/>
      <c r="T109" s="542" t="str">
        <f t="shared" si="26"/>
        <v/>
      </c>
      <c r="U109" s="642"/>
      <c r="V109" s="649"/>
      <c r="W109" s="473"/>
      <c r="X109" s="915"/>
      <c r="Y109" s="643"/>
      <c r="Z109" s="198"/>
    </row>
    <row r="110" spans="1:43" ht="14.45" thickBot="1">
      <c r="A110" s="24"/>
      <c r="B110" s="362"/>
      <c r="C110" s="341"/>
      <c r="D110" s="341"/>
      <c r="E110" s="363"/>
      <c r="F110" s="396"/>
      <c r="G110" s="365"/>
      <c r="H110" s="345"/>
      <c r="I110" s="366"/>
      <c r="J110" s="420"/>
      <c r="K110" s="420"/>
      <c r="L110" s="24"/>
      <c r="M110" s="362"/>
      <c r="N110" s="341"/>
      <c r="O110" s="341"/>
      <c r="P110" s="363"/>
      <c r="Q110" s="396"/>
      <c r="R110" s="365"/>
      <c r="S110" s="547"/>
      <c r="T110" s="538" t="str">
        <f t="shared" si="26"/>
        <v/>
      </c>
      <c r="U110" s="513"/>
      <c r="V110" s="646"/>
      <c r="W110" s="474"/>
      <c r="X110" s="485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</row>
    <row r="111" spans="1:43" ht="15.75" customHeight="1">
      <c r="B111" s="347">
        <v>13</v>
      </c>
      <c r="C111" s="348" t="s">
        <v>382</v>
      </c>
      <c r="D111" s="488" t="s">
        <v>383</v>
      </c>
      <c r="E111" s="349"/>
      <c r="F111" s="452"/>
      <c r="G111" s="350">
        <v>23431.68</v>
      </c>
      <c r="H111" s="351">
        <f>'Project Plan'!G51+31</f>
        <v>45649</v>
      </c>
      <c r="I111" s="941"/>
      <c r="J111" s="938">
        <f>SUM(G111:G117)</f>
        <v>163448.56</v>
      </c>
      <c r="K111" s="938">
        <v>185736.99650000001</v>
      </c>
      <c r="L111" s="353"/>
      <c r="M111" s="347">
        <v>13</v>
      </c>
      <c r="N111" s="488" t="s">
        <v>384</v>
      </c>
      <c r="O111" s="488" t="s">
        <v>383</v>
      </c>
      <c r="P111" s="349"/>
      <c r="Q111" s="350"/>
      <c r="R111" s="350">
        <f>'Project Plan'!E6*1.25%</f>
        <v>30778.237542348252</v>
      </c>
      <c r="S111" s="540" t="s">
        <v>385</v>
      </c>
      <c r="T111" s="752">
        <v>45626</v>
      </c>
      <c r="U111" s="841">
        <v>185736.99650000001</v>
      </c>
      <c r="V111" s="910">
        <f>K111-SUM(U111:U117)</f>
        <v>0</v>
      </c>
      <c r="W111" s="351">
        <v>45626</v>
      </c>
      <c r="X111" s="907">
        <f>SUM(R111:R117)</f>
        <v>62399.999999999993</v>
      </c>
      <c r="Y111" s="215"/>
      <c r="Z111" s="200"/>
    </row>
    <row r="112" spans="1:43" ht="15.75" customHeight="1" thickBot="1">
      <c r="B112" s="400">
        <v>13</v>
      </c>
      <c r="C112" s="402"/>
      <c r="D112" s="402" t="s">
        <v>386</v>
      </c>
      <c r="E112" s="403"/>
      <c r="F112" s="453"/>
      <c r="G112" s="404">
        <v>19200</v>
      </c>
      <c r="H112" s="356">
        <f>H111</f>
        <v>45649</v>
      </c>
      <c r="I112" s="942"/>
      <c r="J112" s="939"/>
      <c r="K112" s="939"/>
      <c r="L112" s="358"/>
      <c r="M112" s="400">
        <v>13</v>
      </c>
      <c r="N112" s="588" t="s">
        <v>384</v>
      </c>
      <c r="O112" s="402" t="s">
        <v>387</v>
      </c>
      <c r="P112" s="403"/>
      <c r="Q112" s="404"/>
      <c r="R112" s="404">
        <v>62400</v>
      </c>
      <c r="S112" s="548" t="s">
        <v>388</v>
      </c>
      <c r="T112" s="752">
        <v>45900</v>
      </c>
      <c r="U112" s="526"/>
      <c r="V112" s="911"/>
      <c r="W112" s="738">
        <v>45900</v>
      </c>
      <c r="X112" s="908"/>
      <c r="Y112" s="210"/>
      <c r="Z112" s="201"/>
    </row>
    <row r="113" spans="1:43" ht="15.75" customHeight="1">
      <c r="B113" s="400">
        <v>13</v>
      </c>
      <c r="C113" s="402"/>
      <c r="D113" s="402" t="s">
        <v>389</v>
      </c>
      <c r="E113" s="403"/>
      <c r="F113" s="453"/>
      <c r="G113" s="404">
        <v>65280</v>
      </c>
      <c r="H113" s="356">
        <f>H111</f>
        <v>45649</v>
      </c>
      <c r="I113" s="942"/>
      <c r="J113" s="939"/>
      <c r="K113" s="939"/>
      <c r="L113" s="358"/>
      <c r="M113" s="400">
        <v>13</v>
      </c>
      <c r="N113" s="588" t="s">
        <v>384</v>
      </c>
      <c r="O113" s="488" t="s">
        <v>383</v>
      </c>
      <c r="P113" s="403"/>
      <c r="Q113" s="404"/>
      <c r="R113" s="404">
        <f>-R111</f>
        <v>-30778.237542348252</v>
      </c>
      <c r="S113" s="548" t="s">
        <v>390</v>
      </c>
      <c r="T113" s="752">
        <v>45900</v>
      </c>
      <c r="U113" s="526"/>
      <c r="V113" s="911"/>
      <c r="W113" s="738">
        <v>45900</v>
      </c>
      <c r="X113" s="908"/>
      <c r="Y113" s="210"/>
      <c r="Z113" s="201"/>
      <c r="AA113" s="24"/>
      <c r="AB113" s="24"/>
    </row>
    <row r="114" spans="1:43" ht="15.75" customHeight="1">
      <c r="B114" s="400">
        <v>13</v>
      </c>
      <c r="C114" s="402"/>
      <c r="D114" s="402" t="s">
        <v>391</v>
      </c>
      <c r="E114" s="403"/>
      <c r="F114" s="453"/>
      <c r="G114" s="404">
        <v>24960</v>
      </c>
      <c r="H114" s="356">
        <f>H111</f>
        <v>45649</v>
      </c>
      <c r="I114" s="942"/>
      <c r="J114" s="939"/>
      <c r="K114" s="939"/>
      <c r="L114" s="358"/>
      <c r="M114" s="400">
        <v>13</v>
      </c>
      <c r="N114" s="588" t="s">
        <v>384</v>
      </c>
      <c r="O114" s="402"/>
      <c r="P114" s="403"/>
      <c r="Q114" s="404"/>
      <c r="R114" s="404"/>
      <c r="S114" s="541"/>
      <c r="T114" s="518"/>
      <c r="U114" s="526"/>
      <c r="V114" s="911"/>
      <c r="W114" s="516"/>
      <c r="X114" s="908"/>
      <c r="Y114" s="501"/>
      <c r="Z114" s="502"/>
    </row>
    <row r="115" spans="1:43" ht="15.75" customHeight="1">
      <c r="B115" s="400">
        <v>13</v>
      </c>
      <c r="C115" s="402"/>
      <c r="D115" s="402" t="s">
        <v>392</v>
      </c>
      <c r="E115" s="403"/>
      <c r="F115" s="453"/>
      <c r="G115" s="404">
        <v>30576.880000000001</v>
      </c>
      <c r="H115" s="356">
        <f>H111</f>
        <v>45649</v>
      </c>
      <c r="I115" s="942"/>
      <c r="J115" s="939"/>
      <c r="K115" s="939"/>
      <c r="L115" s="358"/>
      <c r="M115" s="400">
        <v>13</v>
      </c>
      <c r="N115" s="588" t="s">
        <v>384</v>
      </c>
      <c r="O115" s="402"/>
      <c r="P115" s="403"/>
      <c r="Q115" s="404"/>
      <c r="R115" s="404"/>
      <c r="S115" s="541"/>
      <c r="T115" s="518"/>
      <c r="U115" s="526"/>
      <c r="V115" s="911"/>
      <c r="W115" s="516"/>
      <c r="X115" s="908"/>
      <c r="Y115" s="501"/>
      <c r="Z115" s="502"/>
    </row>
    <row r="116" spans="1:43" ht="15.75" customHeight="1">
      <c r="B116" s="400">
        <v>13</v>
      </c>
      <c r="C116" s="583"/>
      <c r="D116" s="583"/>
      <c r="E116" s="613"/>
      <c r="F116" s="584"/>
      <c r="G116" s="579"/>
      <c r="H116" s="580"/>
      <c r="I116" s="942"/>
      <c r="J116" s="939"/>
      <c r="K116" s="939"/>
      <c r="L116" s="358"/>
      <c r="M116" s="400">
        <v>13</v>
      </c>
      <c r="N116" s="588" t="s">
        <v>384</v>
      </c>
      <c r="O116" s="583"/>
      <c r="P116" s="613"/>
      <c r="Q116" s="718"/>
      <c r="R116" s="579"/>
      <c r="S116" s="541"/>
      <c r="T116" s="516" t="str">
        <f t="shared" si="26"/>
        <v/>
      </c>
      <c r="U116" s="526"/>
      <c r="V116" s="911"/>
      <c r="W116" s="516"/>
      <c r="X116" s="908"/>
      <c r="Y116" s="501"/>
      <c r="Z116" s="502"/>
    </row>
    <row r="117" spans="1:43" ht="15.75" customHeight="1" thickBot="1">
      <c r="B117" s="406">
        <v>13</v>
      </c>
      <c r="C117" s="407"/>
      <c r="D117" s="407"/>
      <c r="E117" s="408"/>
      <c r="F117" s="454"/>
      <c r="G117" s="427"/>
      <c r="H117" s="359"/>
      <c r="I117" s="943"/>
      <c r="J117" s="940"/>
      <c r="K117" s="940"/>
      <c r="L117" s="503"/>
      <c r="M117" s="406">
        <v>13</v>
      </c>
      <c r="N117" s="670" t="s">
        <v>384</v>
      </c>
      <c r="O117" s="407"/>
      <c r="P117" s="408"/>
      <c r="Q117" s="454"/>
      <c r="R117" s="427"/>
      <c r="S117" s="541"/>
      <c r="T117" s="521" t="str">
        <f t="shared" si="26"/>
        <v/>
      </c>
      <c r="U117" s="527"/>
      <c r="V117" s="912"/>
      <c r="W117" s="477"/>
      <c r="X117" s="944"/>
      <c r="Y117" s="216"/>
      <c r="Z117" s="202"/>
    </row>
    <row r="118" spans="1:43" ht="14.45" thickBot="1">
      <c r="A118" s="24"/>
      <c r="B118" s="362"/>
      <c r="C118" s="341"/>
      <c r="D118" s="341"/>
      <c r="E118" s="363"/>
      <c r="F118" s="344"/>
      <c r="G118" s="365"/>
      <c r="H118" s="345"/>
      <c r="I118" s="366"/>
      <c r="J118" s="346"/>
      <c r="K118" s="346"/>
      <c r="L118" s="24"/>
      <c r="M118" s="362"/>
      <c r="N118" s="341"/>
      <c r="O118" s="341"/>
      <c r="P118" s="363"/>
      <c r="Q118" s="344"/>
      <c r="R118" s="365"/>
      <c r="S118" s="547"/>
      <c r="T118" s="538" t="str">
        <f t="shared" si="26"/>
        <v/>
      </c>
      <c r="U118" s="513"/>
      <c r="V118" s="646"/>
      <c r="W118" s="474"/>
      <c r="X118" s="485"/>
      <c r="Y118" s="214"/>
      <c r="Z118" s="199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3" ht="14.25" customHeight="1">
      <c r="B119" s="324">
        <v>14</v>
      </c>
      <c r="C119" s="325" t="s">
        <v>393</v>
      </c>
      <c r="D119" s="325" t="s">
        <v>394</v>
      </c>
      <c r="E119" s="326"/>
      <c r="F119" s="439"/>
      <c r="G119" s="440">
        <v>4200</v>
      </c>
      <c r="H119" s="328">
        <f>H111</f>
        <v>45649</v>
      </c>
      <c r="I119" s="329"/>
      <c r="J119" s="932">
        <f>SUM(G119:G126)</f>
        <v>4200</v>
      </c>
      <c r="K119" s="932">
        <v>4941.1764709999998</v>
      </c>
      <c r="L119" s="441"/>
      <c r="M119" s="324">
        <v>14</v>
      </c>
      <c r="N119" s="688" t="s">
        <v>395</v>
      </c>
      <c r="O119" s="325" t="s">
        <v>394</v>
      </c>
      <c r="P119" s="326"/>
      <c r="Q119" s="439"/>
      <c r="R119" s="440">
        <v>1522.75</v>
      </c>
      <c r="S119" s="826" t="s">
        <v>396</v>
      </c>
      <c r="T119" s="774">
        <v>45535</v>
      </c>
      <c r="U119" s="776">
        <v>1000.1896209783999</v>
      </c>
      <c r="V119" s="916">
        <f>K119-SUM(U119:U126)-40.89</f>
        <v>-4.7920607236306978E-3</v>
      </c>
      <c r="W119" s="773">
        <v>45540</v>
      </c>
      <c r="X119" s="926">
        <f>SUM(R119:R126)</f>
        <v>7385.6400000000012</v>
      </c>
      <c r="Y119" s="209"/>
      <c r="Z119" s="195"/>
    </row>
    <row r="120" spans="1:43" ht="15" customHeight="1">
      <c r="B120" s="330">
        <v>14</v>
      </c>
      <c r="C120" s="334"/>
      <c r="D120" s="334"/>
      <c r="E120" s="447"/>
      <c r="F120" s="448"/>
      <c r="G120" s="327"/>
      <c r="H120" s="331"/>
      <c r="I120" s="332"/>
      <c r="J120" s="933"/>
      <c r="K120" s="933"/>
      <c r="L120" s="333"/>
      <c r="M120" s="330">
        <v>14</v>
      </c>
      <c r="N120" s="689" t="s">
        <v>395</v>
      </c>
      <c r="O120" s="334"/>
      <c r="P120" s="447"/>
      <c r="Q120" s="448"/>
      <c r="R120" s="327">
        <v>1570.97</v>
      </c>
      <c r="S120" s="771" t="s">
        <v>396</v>
      </c>
      <c r="T120" s="804">
        <v>45565</v>
      </c>
      <c r="U120" s="812">
        <v>1154.7592974415215</v>
      </c>
      <c r="V120" s="917"/>
      <c r="W120" s="804">
        <v>45569</v>
      </c>
      <c r="X120" s="927"/>
      <c r="Y120" s="212"/>
      <c r="Z120" s="197"/>
      <c r="AA120" s="24"/>
      <c r="AB120" s="24"/>
    </row>
    <row r="121" spans="1:43" ht="15" customHeight="1">
      <c r="B121" s="330">
        <v>14</v>
      </c>
      <c r="C121" s="334"/>
      <c r="D121" s="334"/>
      <c r="E121" s="447"/>
      <c r="F121" s="448"/>
      <c r="G121" s="327"/>
      <c r="H121" s="331"/>
      <c r="I121" s="332"/>
      <c r="J121" s="933"/>
      <c r="K121" s="933"/>
      <c r="L121" s="333"/>
      <c r="M121" s="330">
        <v>14</v>
      </c>
      <c r="N121" s="689" t="s">
        <v>395</v>
      </c>
      <c r="O121" s="334"/>
      <c r="P121" s="447"/>
      <c r="Q121" s="448"/>
      <c r="R121" s="327">
        <v>1671</v>
      </c>
      <c r="S121" s="771" t="s">
        <v>396</v>
      </c>
      <c r="T121" s="804">
        <v>45596</v>
      </c>
      <c r="U121" s="812">
        <v>1393.1129142396371</v>
      </c>
      <c r="V121" s="917"/>
      <c r="W121" s="763">
        <f>T121+7</f>
        <v>45603</v>
      </c>
      <c r="X121" s="927"/>
      <c r="Y121" s="212"/>
      <c r="Z121" s="197"/>
    </row>
    <row r="122" spans="1:43" ht="15" customHeight="1">
      <c r="B122" s="330">
        <v>14</v>
      </c>
      <c r="C122" s="334"/>
      <c r="D122" s="334"/>
      <c r="E122" s="447"/>
      <c r="F122" s="448"/>
      <c r="G122" s="327"/>
      <c r="H122" s="331"/>
      <c r="I122" s="332"/>
      <c r="J122" s="933"/>
      <c r="K122" s="933"/>
      <c r="L122" s="333"/>
      <c r="M122" s="330">
        <v>14</v>
      </c>
      <c r="N122" s="689" t="s">
        <v>395</v>
      </c>
      <c r="O122" s="334"/>
      <c r="P122" s="447"/>
      <c r="Q122" s="448"/>
      <c r="R122" s="327">
        <v>0</v>
      </c>
      <c r="S122" s="771" t="s">
        <v>396</v>
      </c>
      <c r="T122" s="804">
        <v>45626</v>
      </c>
      <c r="U122" s="812">
        <v>0</v>
      </c>
      <c r="V122" s="917"/>
      <c r="W122" s="763">
        <f>T122+7</f>
        <v>45633</v>
      </c>
      <c r="X122" s="927"/>
      <c r="Y122" s="212"/>
      <c r="Z122" s="197"/>
    </row>
    <row r="123" spans="1:43" ht="15" customHeight="1">
      <c r="B123" s="330">
        <v>14</v>
      </c>
      <c r="C123" s="614"/>
      <c r="D123" s="614"/>
      <c r="E123" s="615"/>
      <c r="F123" s="616"/>
      <c r="G123" s="617"/>
      <c r="H123" s="618"/>
      <c r="I123" s="332"/>
      <c r="J123" s="933"/>
      <c r="K123" s="933"/>
      <c r="L123" s="333"/>
      <c r="M123" s="330">
        <v>14</v>
      </c>
      <c r="N123" s="689" t="s">
        <v>395</v>
      </c>
      <c r="O123" s="614"/>
      <c r="P123" s="615"/>
      <c r="Q123" s="616"/>
      <c r="R123" s="327">
        <v>1109.72</v>
      </c>
      <c r="S123" s="771" t="s">
        <v>396</v>
      </c>
      <c r="T123" s="804">
        <v>45688</v>
      </c>
      <c r="U123" s="812">
        <v>654.7688386803319</v>
      </c>
      <c r="V123" s="917"/>
      <c r="W123" s="804">
        <v>45695</v>
      </c>
      <c r="X123" s="927"/>
      <c r="Y123" s="619"/>
      <c r="Z123" s="620"/>
    </row>
    <row r="124" spans="1:43" ht="15" customHeight="1">
      <c r="B124" s="855"/>
      <c r="C124" s="614"/>
      <c r="D124" s="614"/>
      <c r="E124" s="615"/>
      <c r="F124" s="616"/>
      <c r="G124" s="617"/>
      <c r="H124" s="618"/>
      <c r="I124" s="332"/>
      <c r="J124" s="933"/>
      <c r="K124" s="933"/>
      <c r="L124" s="333"/>
      <c r="M124" s="330">
        <v>14</v>
      </c>
      <c r="N124" s="689" t="s">
        <v>395</v>
      </c>
      <c r="O124" s="614"/>
      <c r="P124" s="615"/>
      <c r="Q124" s="616"/>
      <c r="R124" s="617">
        <v>423.22</v>
      </c>
      <c r="S124" s="771" t="s">
        <v>396</v>
      </c>
      <c r="T124" s="856">
        <v>45716</v>
      </c>
      <c r="U124" s="812">
        <v>697.46059172083278</v>
      </c>
      <c r="V124" s="917"/>
      <c r="W124" s="804">
        <v>45722</v>
      </c>
      <c r="X124" s="927"/>
      <c r="Y124" s="619"/>
      <c r="Z124" s="620"/>
    </row>
    <row r="125" spans="1:43" ht="15" customHeight="1">
      <c r="B125" s="855"/>
      <c r="C125" s="614"/>
      <c r="D125" s="614"/>
      <c r="E125" s="615"/>
      <c r="F125" s="616"/>
      <c r="G125" s="617"/>
      <c r="H125" s="618"/>
      <c r="I125" s="332"/>
      <c r="J125" s="933"/>
      <c r="K125" s="933"/>
      <c r="L125" s="333"/>
      <c r="M125" s="330">
        <v>14</v>
      </c>
      <c r="N125" s="689" t="s">
        <v>395</v>
      </c>
      <c r="O125" s="614"/>
      <c r="P125" s="615"/>
      <c r="Q125" s="616"/>
      <c r="R125" s="617">
        <v>1087.98</v>
      </c>
      <c r="S125" s="771" t="s">
        <v>396</v>
      </c>
      <c r="T125" s="856">
        <v>45777</v>
      </c>
      <c r="U125" s="861"/>
      <c r="V125" s="917"/>
      <c r="W125" s="862">
        <v>45785</v>
      </c>
      <c r="X125" s="927"/>
      <c r="Y125" s="619"/>
      <c r="Z125" s="620"/>
    </row>
    <row r="126" spans="1:43" ht="15" customHeight="1" thickBot="1">
      <c r="B126" s="335">
        <v>14</v>
      </c>
      <c r="C126" s="449"/>
      <c r="D126" s="449"/>
      <c r="E126" s="450"/>
      <c r="F126" s="451"/>
      <c r="G126" s="336"/>
      <c r="H126" s="337"/>
      <c r="I126" s="338"/>
      <c r="J126" s="934"/>
      <c r="K126" s="934"/>
      <c r="L126" s="339"/>
      <c r="M126" s="335">
        <v>14</v>
      </c>
      <c r="N126" s="690" t="s">
        <v>395</v>
      </c>
      <c r="O126" s="449"/>
      <c r="P126" s="450"/>
      <c r="Q126" s="451"/>
      <c r="R126" s="336"/>
      <c r="S126" s="539"/>
      <c r="T126" s="537" t="str">
        <f t="shared" si="26"/>
        <v/>
      </c>
      <c r="U126" s="524"/>
      <c r="V126" s="918"/>
      <c r="W126" s="473"/>
      <c r="X126" s="928"/>
      <c r="Y126" s="213"/>
      <c r="Z126" s="198"/>
    </row>
    <row r="127" spans="1:43" ht="14.45" thickBot="1">
      <c r="A127" s="24"/>
      <c r="B127" s="362"/>
      <c r="C127" s="341"/>
      <c r="D127" s="341"/>
      <c r="E127" s="363"/>
      <c r="F127" s="344"/>
      <c r="G127" s="365"/>
      <c r="H127" s="345"/>
      <c r="I127" s="366"/>
      <c r="J127" s="455"/>
      <c r="K127" s="455"/>
      <c r="L127" s="24"/>
      <c r="M127" s="362"/>
      <c r="N127" s="341"/>
      <c r="O127" s="341"/>
      <c r="P127" s="363"/>
      <c r="Q127" s="344"/>
      <c r="R127" s="365"/>
      <c r="S127" s="547"/>
      <c r="T127" s="538" t="str">
        <f t="shared" si="26"/>
        <v/>
      </c>
      <c r="U127" s="513"/>
      <c r="V127" s="646"/>
      <c r="W127" s="474"/>
      <c r="X127" s="486"/>
      <c r="Y127" s="214"/>
      <c r="Z127" s="199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</row>
    <row r="128" spans="1:43">
      <c r="B128" s="347">
        <v>15</v>
      </c>
      <c r="C128" s="348" t="s">
        <v>397</v>
      </c>
      <c r="D128" s="348"/>
      <c r="E128" s="349"/>
      <c r="F128" s="452"/>
      <c r="G128" s="350"/>
      <c r="H128" s="351"/>
      <c r="I128" s="352"/>
      <c r="J128" s="938">
        <f>SUM(G128:G131)</f>
        <v>0</v>
      </c>
      <c r="K128" s="938">
        <v>0</v>
      </c>
      <c r="L128" s="353"/>
      <c r="M128" s="347">
        <v>15</v>
      </c>
      <c r="N128" s="488" t="s">
        <v>398</v>
      </c>
      <c r="O128" s="348"/>
      <c r="P128" s="349"/>
      <c r="Q128" s="452"/>
      <c r="R128" s="350"/>
      <c r="S128" s="554"/>
      <c r="T128" s="518" t="str">
        <f t="shared" si="26"/>
        <v/>
      </c>
      <c r="U128" s="525"/>
      <c r="V128" s="910">
        <f>K128-SUM(U128:U131)</f>
        <v>0</v>
      </c>
      <c r="W128" s="475"/>
      <c r="X128" s="907">
        <f>SUM(R128:R131)</f>
        <v>32247.489999999998</v>
      </c>
      <c r="Y128" s="215"/>
      <c r="Z128" s="200"/>
    </row>
    <row r="129" spans="2:26">
      <c r="B129" s="400">
        <v>15</v>
      </c>
      <c r="C129" s="402"/>
      <c r="D129" s="402"/>
      <c r="E129" s="403"/>
      <c r="F129" s="453"/>
      <c r="G129" s="404"/>
      <c r="H129" s="356"/>
      <c r="I129" s="357"/>
      <c r="J129" s="939"/>
      <c r="K129" s="939"/>
      <c r="L129" s="358"/>
      <c r="M129" s="400">
        <v>15</v>
      </c>
      <c r="N129" s="588" t="s">
        <v>398</v>
      </c>
      <c r="O129" s="402" t="s">
        <v>399</v>
      </c>
      <c r="P129" s="403"/>
      <c r="Q129" s="453"/>
      <c r="R129" s="404">
        <v>32247.49</v>
      </c>
      <c r="S129" s="548" t="s">
        <v>400</v>
      </c>
      <c r="T129" s="738">
        <v>45808</v>
      </c>
      <c r="U129" s="559"/>
      <c r="V129" s="911"/>
      <c r="W129" s="753">
        <v>45792</v>
      </c>
      <c r="X129" s="908"/>
      <c r="Y129" s="210" t="s">
        <v>401</v>
      </c>
      <c r="Z129" s="201" t="s">
        <v>402</v>
      </c>
    </row>
    <row r="130" spans="2:26" ht="15">
      <c r="B130" s="400">
        <v>15</v>
      </c>
      <c r="C130" s="402"/>
      <c r="D130" s="402"/>
      <c r="E130" s="403"/>
      <c r="F130" s="453"/>
      <c r="G130" s="404"/>
      <c r="H130" s="356"/>
      <c r="I130" s="357"/>
      <c r="J130" s="939"/>
      <c r="K130" s="939"/>
      <c r="L130" s="358"/>
      <c r="M130" s="400">
        <v>15</v>
      </c>
      <c r="N130" s="588" t="s">
        <v>398</v>
      </c>
      <c r="O130" s="402" t="s">
        <v>403</v>
      </c>
      <c r="P130" s="403"/>
      <c r="Q130" s="453"/>
      <c r="R130" s="404">
        <v>9731.7099999999991</v>
      </c>
      <c r="S130" s="548" t="s">
        <v>404</v>
      </c>
      <c r="T130" s="738">
        <v>45869</v>
      </c>
      <c r="U130" s="559"/>
      <c r="V130" s="911"/>
      <c r="W130" s="828">
        <v>46053</v>
      </c>
      <c r="X130" s="908"/>
      <c r="Y130" s="210"/>
      <c r="Z130" s="201" t="s">
        <v>405</v>
      </c>
    </row>
    <row r="131" spans="2:26" ht="15">
      <c r="B131" s="406">
        <v>15</v>
      </c>
      <c r="C131" s="407"/>
      <c r="D131" s="407"/>
      <c r="E131" s="408"/>
      <c r="F131" s="454"/>
      <c r="G131" s="427"/>
      <c r="H131" s="359"/>
      <c r="I131" s="360"/>
      <c r="J131" s="940"/>
      <c r="K131" s="940"/>
      <c r="L131" s="361"/>
      <c r="M131" s="406">
        <v>15</v>
      </c>
      <c r="N131" s="670" t="s">
        <v>398</v>
      </c>
      <c r="O131" s="407"/>
      <c r="P131" s="408"/>
      <c r="Q131" s="454"/>
      <c r="R131" s="427">
        <v>-9731.7099999999991</v>
      </c>
      <c r="S131" s="548" t="s">
        <v>406</v>
      </c>
      <c r="T131" s="865">
        <v>46053</v>
      </c>
      <c r="U131" s="560"/>
      <c r="V131" s="912"/>
      <c r="W131" s="840">
        <v>46053</v>
      </c>
      <c r="X131" s="909"/>
      <c r="Y131" s="216"/>
      <c r="Z131" s="202"/>
    </row>
    <row r="132" spans="2:26" s="3" customFormat="1" ht="15">
      <c r="B132" s="109"/>
      <c r="E132" s="4"/>
      <c r="F132" s="109"/>
      <c r="G132" s="5"/>
      <c r="H132" s="5"/>
      <c r="I132" s="456"/>
      <c r="J132" s="457"/>
      <c r="K132" s="457"/>
      <c r="M132" s="109"/>
      <c r="P132" s="4"/>
      <c r="Q132" s="109"/>
      <c r="R132" s="458"/>
      <c r="S132" s="458"/>
      <c r="T132" s="458"/>
      <c r="U132" s="458"/>
      <c r="V132" s="458"/>
      <c r="W132" s="458"/>
      <c r="X132" s="458"/>
      <c r="Y132" s="458"/>
    </row>
    <row r="133" spans="2:26">
      <c r="B133" s="114"/>
      <c r="C133" s="114"/>
      <c r="D133" s="114"/>
      <c r="E133" s="168"/>
      <c r="F133" s="115"/>
      <c r="G133" s="114"/>
      <c r="H133" s="114"/>
      <c r="J133" s="114"/>
      <c r="K133" s="114"/>
      <c r="M133" s="114"/>
      <c r="N133" s="114"/>
      <c r="O133" s="114"/>
      <c r="P133" s="114"/>
      <c r="Q133" s="114"/>
      <c r="R133" s="306"/>
      <c r="S133" s="306"/>
      <c r="T133" s="306"/>
      <c r="U133" s="509">
        <f>SUM(U6:U126)</f>
        <v>2506183.2470451477</v>
      </c>
      <c r="V133" s="306"/>
      <c r="W133" s="306"/>
      <c r="X133" s="306"/>
      <c r="Y133" s="114"/>
    </row>
    <row r="134" spans="2:26">
      <c r="B134" s="114"/>
      <c r="C134" s="114"/>
      <c r="D134" s="114"/>
      <c r="E134" s="168"/>
      <c r="F134" s="115"/>
      <c r="G134" s="114"/>
      <c r="H134" s="114"/>
      <c r="J134" s="305"/>
      <c r="K134" s="305"/>
      <c r="M134" s="114"/>
      <c r="N134" s="114"/>
      <c r="O134" s="114"/>
      <c r="P134" s="168"/>
      <c r="Q134" s="115"/>
      <c r="R134" s="306"/>
      <c r="S134" s="306"/>
      <c r="T134" s="306"/>
      <c r="U134" s="306"/>
      <c r="V134" s="306"/>
      <c r="W134" s="306"/>
      <c r="X134" s="306"/>
      <c r="Y134" s="169"/>
    </row>
    <row r="135" spans="2:26">
      <c r="B135" s="114"/>
      <c r="C135" s="114"/>
      <c r="D135" s="114"/>
      <c r="E135" s="168"/>
      <c r="F135" s="115"/>
      <c r="G135" s="114"/>
      <c r="H135" s="114"/>
      <c r="J135" s="459"/>
      <c r="K135" s="459"/>
      <c r="M135" s="114"/>
      <c r="N135" s="114"/>
      <c r="O135" s="114"/>
      <c r="P135" s="168"/>
      <c r="Q135" s="115"/>
      <c r="R135" s="868"/>
      <c r="S135" s="306"/>
      <c r="T135" s="306"/>
      <c r="U135" s="306"/>
      <c r="V135" s="306"/>
      <c r="W135" s="306"/>
      <c r="X135" s="306"/>
      <c r="Y135" s="169"/>
    </row>
    <row r="136" spans="2:26">
      <c r="B136" s="114"/>
      <c r="C136" s="114"/>
      <c r="D136" s="114"/>
      <c r="E136" s="168"/>
      <c r="F136" s="115"/>
      <c r="G136" s="114"/>
      <c r="H136" s="114"/>
      <c r="J136" s="305"/>
      <c r="K136" s="305"/>
      <c r="M136" s="114"/>
      <c r="N136" s="114"/>
      <c r="O136" s="114"/>
      <c r="P136" s="168"/>
      <c r="Q136" s="115"/>
      <c r="R136" s="306"/>
      <c r="S136" s="306"/>
      <c r="T136" s="306"/>
      <c r="U136" s="306"/>
      <c r="V136" s="306"/>
      <c r="W136" s="306"/>
      <c r="X136" s="306"/>
      <c r="Y136" s="169"/>
    </row>
    <row r="137" spans="2:26">
      <c r="B137" s="114"/>
      <c r="C137" s="114"/>
      <c r="D137" s="114"/>
      <c r="E137" s="168"/>
      <c r="F137" s="115"/>
      <c r="G137" s="114"/>
      <c r="H137" s="114"/>
      <c r="J137" s="459"/>
      <c r="K137" s="459"/>
      <c r="M137" s="114"/>
      <c r="N137" s="114"/>
      <c r="O137" s="114"/>
      <c r="P137" s="168"/>
      <c r="Q137" s="115"/>
      <c r="R137" s="306"/>
      <c r="S137" s="306"/>
      <c r="T137" s="306"/>
      <c r="U137" s="306"/>
      <c r="V137" s="306"/>
      <c r="W137" s="306"/>
      <c r="X137" s="306"/>
      <c r="Y137" s="169"/>
    </row>
    <row r="138" spans="2:26">
      <c r="B138" s="114"/>
      <c r="C138" s="114"/>
      <c r="D138" s="114"/>
      <c r="E138" s="168"/>
      <c r="F138" s="115"/>
      <c r="G138" s="114"/>
      <c r="H138" s="114"/>
      <c r="J138" s="305"/>
      <c r="K138" s="305"/>
      <c r="M138" s="114"/>
      <c r="N138" s="114"/>
      <c r="O138" s="114"/>
      <c r="P138" s="168"/>
      <c r="Q138" s="115"/>
      <c r="R138" s="306"/>
      <c r="S138" s="306"/>
      <c r="T138" s="306"/>
      <c r="U138" s="306"/>
      <c r="V138" s="306"/>
      <c r="W138" s="306"/>
      <c r="X138" s="306"/>
      <c r="Y138" s="169"/>
    </row>
    <row r="139" spans="2:26">
      <c r="B139" s="114"/>
      <c r="C139" s="114"/>
      <c r="D139" s="114"/>
      <c r="E139" s="168"/>
      <c r="F139" s="115"/>
      <c r="G139" s="114"/>
      <c r="H139" s="114"/>
      <c r="J139" s="305"/>
      <c r="K139" s="305"/>
      <c r="M139" s="114"/>
      <c r="N139" s="114"/>
      <c r="O139" s="114"/>
      <c r="P139" s="168"/>
      <c r="Q139" s="115"/>
      <c r="R139" s="509"/>
      <c r="S139" s="306"/>
      <c r="T139" s="306"/>
      <c r="U139" s="306"/>
      <c r="V139" s="306"/>
      <c r="W139" s="306"/>
      <c r="X139" s="306"/>
      <c r="Y139" s="169"/>
    </row>
    <row r="140" spans="2:26">
      <c r="B140" s="114"/>
      <c r="C140" s="114"/>
      <c r="D140" s="114"/>
      <c r="E140" s="168"/>
      <c r="F140" s="115"/>
      <c r="G140" s="114"/>
      <c r="H140" s="114"/>
      <c r="J140" s="305"/>
      <c r="K140" s="305"/>
      <c r="M140" s="114"/>
      <c r="N140" s="114"/>
      <c r="O140" s="114"/>
      <c r="P140" s="168"/>
      <c r="Q140" s="115"/>
      <c r="R140" s="306"/>
      <c r="S140" s="306"/>
      <c r="T140" s="306"/>
      <c r="U140" s="306"/>
      <c r="V140" s="306"/>
      <c r="W140" s="306"/>
      <c r="X140" s="306"/>
      <c r="Y140" s="169"/>
    </row>
    <row r="141" spans="2:26">
      <c r="B141" s="114"/>
      <c r="C141" s="114"/>
      <c r="D141" s="114"/>
      <c r="E141" s="168"/>
      <c r="F141" s="115"/>
      <c r="G141" s="114"/>
      <c r="H141" s="114"/>
      <c r="J141" s="305"/>
      <c r="K141" s="305"/>
      <c r="M141" s="114"/>
      <c r="N141" s="114"/>
      <c r="O141" s="114"/>
      <c r="P141" s="168"/>
      <c r="Q141" s="115"/>
      <c r="R141" s="306"/>
      <c r="S141" s="306"/>
      <c r="T141" s="306"/>
      <c r="U141" s="306"/>
      <c r="V141" s="306"/>
      <c r="W141" s="306"/>
      <c r="X141" s="306"/>
      <c r="Y141" s="169"/>
    </row>
    <row r="142" spans="2:26">
      <c r="B142" s="114"/>
      <c r="C142" s="114"/>
      <c r="D142" s="114"/>
      <c r="E142" s="168"/>
      <c r="F142" s="115"/>
      <c r="G142" s="114"/>
      <c r="H142" s="114"/>
      <c r="J142" s="305"/>
      <c r="K142" s="305"/>
      <c r="M142" s="114"/>
      <c r="N142" s="114"/>
      <c r="O142" s="114"/>
      <c r="P142" s="168"/>
      <c r="Q142" s="115"/>
      <c r="R142" s="306"/>
      <c r="S142" s="306"/>
      <c r="T142" s="306"/>
      <c r="U142" s="306"/>
      <c r="V142" s="306"/>
      <c r="W142" s="306"/>
      <c r="X142" s="306"/>
      <c r="Y142" s="169"/>
    </row>
    <row r="143" spans="2:26">
      <c r="B143" s="114"/>
      <c r="C143" s="114"/>
      <c r="D143" s="114"/>
      <c r="E143" s="168"/>
      <c r="F143" s="115"/>
      <c r="G143" s="114"/>
      <c r="H143" s="114"/>
      <c r="J143" s="305"/>
      <c r="K143" s="305"/>
      <c r="M143" s="114"/>
      <c r="N143" s="114"/>
      <c r="O143" s="114"/>
      <c r="P143" s="168"/>
      <c r="Q143" s="115"/>
      <c r="R143" s="306"/>
      <c r="S143" s="306"/>
      <c r="T143" s="306"/>
      <c r="U143" s="306"/>
      <c r="V143" s="306"/>
      <c r="W143" s="306"/>
      <c r="X143" s="306"/>
      <c r="Y143" s="169"/>
    </row>
    <row r="144" spans="2:26">
      <c r="B144" s="114"/>
      <c r="C144" s="114"/>
      <c r="D144" s="114"/>
      <c r="E144" s="168"/>
      <c r="F144" s="115"/>
      <c r="G144" s="114"/>
      <c r="H144" s="114"/>
      <c r="J144" s="305"/>
      <c r="K144" s="305"/>
      <c r="M144" s="114"/>
      <c r="N144" s="114"/>
      <c r="O144" s="114"/>
      <c r="P144" s="168"/>
      <c r="Q144" s="115"/>
      <c r="R144" s="306"/>
      <c r="S144" s="306"/>
      <c r="T144" s="306"/>
      <c r="U144" s="306"/>
      <c r="V144" s="306"/>
      <c r="W144" s="306"/>
      <c r="X144" s="306"/>
      <c r="Y144" s="169"/>
    </row>
    <row r="145" spans="2:25">
      <c r="B145" s="114"/>
      <c r="C145" s="114"/>
      <c r="D145" s="114"/>
      <c r="E145" s="168"/>
      <c r="F145" s="115"/>
      <c r="G145" s="114"/>
      <c r="H145" s="114"/>
      <c r="J145" s="305"/>
      <c r="K145" s="305"/>
      <c r="M145" s="114"/>
      <c r="N145" s="114"/>
      <c r="O145" s="114"/>
      <c r="P145" s="168"/>
      <c r="Q145" s="115"/>
      <c r="R145" s="306"/>
      <c r="S145" s="306"/>
      <c r="T145" s="306"/>
      <c r="U145" s="306"/>
      <c r="V145" s="306"/>
      <c r="W145" s="306"/>
      <c r="X145" s="306"/>
      <c r="Y145" s="169"/>
    </row>
    <row r="146" spans="2:25" s="114" customFormat="1">
      <c r="E146" s="168"/>
      <c r="F146" s="115"/>
      <c r="J146" s="305"/>
      <c r="K146" s="305"/>
      <c r="P146" s="168"/>
      <c r="Q146" s="115"/>
      <c r="R146" s="306"/>
      <c r="S146" s="306"/>
      <c r="T146" s="306"/>
      <c r="U146" s="306"/>
      <c r="V146" s="306"/>
      <c r="W146" s="306"/>
      <c r="X146" s="306"/>
      <c r="Y146" s="169"/>
    </row>
    <row r="147" spans="2:25" s="114" customFormat="1">
      <c r="E147" s="168"/>
      <c r="F147" s="115"/>
      <c r="J147" s="305"/>
      <c r="K147" s="305"/>
      <c r="P147" s="168"/>
      <c r="Q147" s="115"/>
      <c r="R147" s="306"/>
      <c r="S147" s="306"/>
      <c r="T147" s="306"/>
      <c r="U147" s="306"/>
      <c r="V147" s="306"/>
      <c r="W147" s="306"/>
      <c r="X147" s="306"/>
      <c r="Y147" s="169"/>
    </row>
    <row r="148" spans="2:25" s="114" customFormat="1">
      <c r="E148" s="168"/>
      <c r="F148" s="115"/>
      <c r="J148" s="305"/>
      <c r="K148" s="305"/>
      <c r="P148" s="168"/>
      <c r="Q148" s="115"/>
      <c r="R148" s="306"/>
      <c r="S148" s="306"/>
      <c r="T148" s="306"/>
      <c r="U148" s="306"/>
      <c r="V148" s="306"/>
      <c r="W148" s="306"/>
      <c r="X148" s="306"/>
      <c r="Y148" s="169"/>
    </row>
    <row r="149" spans="2:25" s="114" customFormat="1">
      <c r="E149" s="168"/>
      <c r="F149" s="115"/>
      <c r="J149" s="305"/>
      <c r="K149" s="305"/>
      <c r="P149" s="168"/>
      <c r="Q149" s="115"/>
      <c r="R149" s="306"/>
      <c r="S149" s="306"/>
      <c r="T149" s="306"/>
      <c r="U149" s="306"/>
      <c r="V149" s="306"/>
      <c r="W149" s="306"/>
      <c r="X149" s="306"/>
      <c r="Y149" s="169"/>
    </row>
    <row r="150" spans="2:25" s="114" customFormat="1">
      <c r="E150" s="168"/>
      <c r="F150" s="115"/>
      <c r="J150" s="305"/>
      <c r="K150" s="305"/>
      <c r="P150" s="168"/>
      <c r="Q150" s="115"/>
      <c r="R150" s="306"/>
      <c r="S150" s="306"/>
      <c r="T150" s="306"/>
      <c r="U150" s="306"/>
      <c r="V150" s="306"/>
      <c r="W150" s="306"/>
      <c r="X150" s="306"/>
      <c r="Y150" s="169"/>
    </row>
    <row r="151" spans="2:25" s="114" customFormat="1">
      <c r="E151" s="168"/>
      <c r="F151" s="115"/>
      <c r="J151" s="305"/>
      <c r="K151" s="305"/>
      <c r="P151" s="168"/>
      <c r="Q151" s="115"/>
      <c r="R151" s="306"/>
      <c r="S151" s="306"/>
      <c r="T151" s="306"/>
      <c r="U151" s="306"/>
      <c r="V151" s="306"/>
      <c r="W151" s="306"/>
      <c r="X151" s="306"/>
      <c r="Y151" s="169"/>
    </row>
    <row r="152" spans="2:25" s="114" customFormat="1">
      <c r="E152" s="168"/>
      <c r="F152" s="115"/>
      <c r="J152" s="305"/>
      <c r="K152" s="305"/>
      <c r="P152" s="168"/>
      <c r="Q152" s="115"/>
      <c r="R152" s="306"/>
      <c r="S152" s="306"/>
      <c r="T152" s="306"/>
      <c r="U152" s="306"/>
      <c r="V152" s="306"/>
      <c r="W152" s="306"/>
      <c r="X152" s="306"/>
      <c r="Y152" s="169"/>
    </row>
    <row r="153" spans="2:25" s="114" customFormat="1">
      <c r="E153" s="168"/>
      <c r="F153" s="115"/>
      <c r="J153" s="305"/>
      <c r="K153" s="305"/>
      <c r="P153" s="168"/>
      <c r="Q153" s="115"/>
      <c r="R153" s="306"/>
      <c r="S153" s="306"/>
      <c r="T153" s="306"/>
      <c r="U153" s="306"/>
      <c r="V153" s="306"/>
      <c r="W153" s="306"/>
      <c r="X153" s="306"/>
      <c r="Y153" s="169"/>
    </row>
    <row r="154" spans="2:25" s="114" customFormat="1">
      <c r="E154" s="168"/>
      <c r="F154" s="115"/>
      <c r="J154" s="305"/>
      <c r="K154" s="305"/>
      <c r="P154" s="168"/>
      <c r="Q154" s="115"/>
      <c r="R154" s="306"/>
      <c r="S154" s="306"/>
      <c r="T154" s="306"/>
      <c r="U154" s="306"/>
      <c r="V154" s="306"/>
      <c r="W154" s="306"/>
      <c r="X154" s="306"/>
      <c r="Y154" s="169"/>
    </row>
    <row r="155" spans="2:25" s="114" customFormat="1">
      <c r="E155" s="168"/>
      <c r="F155" s="115"/>
      <c r="J155" s="305"/>
      <c r="K155" s="305"/>
      <c r="P155" s="168"/>
      <c r="Q155" s="115"/>
      <c r="R155" s="306"/>
      <c r="S155" s="306"/>
      <c r="T155" s="306"/>
      <c r="U155" s="306"/>
      <c r="V155" s="306"/>
      <c r="W155" s="306"/>
      <c r="X155" s="306"/>
      <c r="Y155" s="169"/>
    </row>
    <row r="156" spans="2:25" s="114" customFormat="1">
      <c r="E156" s="168"/>
      <c r="F156" s="115"/>
      <c r="J156" s="305"/>
      <c r="K156" s="305"/>
      <c r="P156" s="168"/>
      <c r="Q156" s="115"/>
      <c r="R156" s="306"/>
      <c r="S156" s="306"/>
      <c r="T156" s="306"/>
      <c r="U156" s="306"/>
      <c r="V156" s="306"/>
      <c r="W156" s="306"/>
      <c r="X156" s="306"/>
      <c r="Y156" s="169"/>
    </row>
    <row r="157" spans="2:25" s="114" customFormat="1">
      <c r="E157" s="168"/>
      <c r="F157" s="115"/>
      <c r="J157" s="305"/>
      <c r="K157" s="305"/>
      <c r="P157" s="168"/>
      <c r="Q157" s="115"/>
      <c r="R157" s="306"/>
      <c r="S157" s="306"/>
      <c r="T157" s="306"/>
      <c r="U157" s="306"/>
      <c r="V157" s="306"/>
      <c r="W157" s="306"/>
      <c r="X157" s="306"/>
      <c r="Y157" s="169"/>
    </row>
    <row r="158" spans="2:25" s="114" customFormat="1">
      <c r="E158" s="168"/>
      <c r="F158" s="115"/>
      <c r="J158" s="305"/>
      <c r="K158" s="305"/>
      <c r="P158" s="168"/>
      <c r="Q158" s="115"/>
      <c r="R158" s="306"/>
      <c r="S158" s="306"/>
      <c r="T158" s="306"/>
      <c r="U158" s="306"/>
      <c r="V158" s="306"/>
      <c r="W158" s="306"/>
      <c r="X158" s="306"/>
      <c r="Y158" s="169"/>
    </row>
    <row r="159" spans="2:25" s="114" customFormat="1">
      <c r="E159" s="168"/>
      <c r="F159" s="115"/>
      <c r="J159" s="305"/>
      <c r="K159" s="305"/>
      <c r="P159" s="168"/>
      <c r="Q159" s="115"/>
      <c r="R159" s="306"/>
      <c r="S159" s="306"/>
      <c r="T159" s="306"/>
      <c r="U159" s="306"/>
      <c r="V159" s="306"/>
      <c r="W159" s="306"/>
      <c r="X159" s="306"/>
      <c r="Y159" s="169"/>
    </row>
    <row r="160" spans="2:25" s="114" customFormat="1">
      <c r="E160" s="168"/>
      <c r="F160" s="115"/>
      <c r="J160" s="305"/>
      <c r="K160" s="305"/>
      <c r="P160" s="168"/>
      <c r="Q160" s="115"/>
      <c r="R160" s="306"/>
      <c r="S160" s="306"/>
      <c r="T160" s="306"/>
      <c r="U160" s="306"/>
      <c r="V160" s="306"/>
      <c r="W160" s="306"/>
      <c r="X160" s="306"/>
      <c r="Y160" s="169"/>
    </row>
    <row r="161" spans="5:25" s="114" customFormat="1">
      <c r="E161" s="168"/>
      <c r="F161" s="115"/>
      <c r="J161" s="305"/>
      <c r="K161" s="305"/>
      <c r="P161" s="168"/>
      <c r="Q161" s="115"/>
      <c r="R161" s="306"/>
      <c r="S161" s="306"/>
      <c r="T161" s="306"/>
      <c r="U161" s="306"/>
      <c r="V161" s="306"/>
      <c r="W161" s="306"/>
      <c r="X161" s="306"/>
      <c r="Y161" s="169"/>
    </row>
    <row r="162" spans="5:25" s="114" customFormat="1">
      <c r="E162" s="168"/>
      <c r="F162" s="115"/>
      <c r="J162" s="305"/>
      <c r="K162" s="305"/>
      <c r="P162" s="168"/>
      <c r="Q162" s="115"/>
      <c r="R162" s="306"/>
      <c r="S162" s="306"/>
      <c r="T162" s="306"/>
      <c r="U162" s="306"/>
      <c r="V162" s="306"/>
      <c r="W162" s="306"/>
      <c r="X162" s="306"/>
      <c r="Y162" s="169"/>
    </row>
    <row r="163" spans="5:25" s="114" customFormat="1">
      <c r="E163" s="168"/>
      <c r="F163" s="115"/>
      <c r="J163" s="305"/>
      <c r="K163" s="305"/>
      <c r="P163" s="168"/>
      <c r="Q163" s="115"/>
      <c r="R163" s="306"/>
      <c r="S163" s="306"/>
      <c r="T163" s="306"/>
      <c r="U163" s="306"/>
      <c r="V163" s="306"/>
      <c r="W163" s="306"/>
      <c r="X163" s="306"/>
      <c r="Y163" s="169"/>
    </row>
    <row r="164" spans="5:25" s="114" customFormat="1">
      <c r="E164" s="168"/>
      <c r="F164" s="115"/>
      <c r="J164" s="305"/>
      <c r="K164" s="305"/>
      <c r="P164" s="168"/>
      <c r="Q164" s="115"/>
      <c r="R164" s="306"/>
      <c r="S164" s="306"/>
      <c r="T164" s="306"/>
      <c r="U164" s="306"/>
      <c r="V164" s="306"/>
      <c r="W164" s="306"/>
      <c r="X164" s="306"/>
      <c r="Y164" s="169"/>
    </row>
    <row r="165" spans="5:25" s="114" customFormat="1">
      <c r="E165" s="168"/>
      <c r="F165" s="115"/>
      <c r="J165" s="305"/>
      <c r="K165" s="305"/>
      <c r="P165" s="168"/>
      <c r="Q165" s="115"/>
      <c r="R165" s="306"/>
      <c r="S165" s="306"/>
      <c r="T165" s="306"/>
      <c r="U165" s="306"/>
      <c r="V165" s="306"/>
      <c r="W165" s="306"/>
      <c r="X165" s="306"/>
      <c r="Y165" s="169"/>
    </row>
    <row r="166" spans="5:25" s="114" customFormat="1">
      <c r="E166" s="168"/>
      <c r="F166" s="115"/>
      <c r="J166" s="305"/>
      <c r="K166" s="305"/>
      <c r="P166" s="168"/>
      <c r="Q166" s="115"/>
      <c r="R166" s="306"/>
      <c r="S166" s="306"/>
      <c r="T166" s="306"/>
      <c r="U166" s="306"/>
      <c r="V166" s="306"/>
      <c r="W166" s="306"/>
      <c r="X166" s="306"/>
      <c r="Y166" s="169"/>
    </row>
    <row r="167" spans="5:25" s="114" customFormat="1">
      <c r="E167" s="168"/>
      <c r="F167" s="115"/>
      <c r="J167" s="305"/>
      <c r="K167" s="305"/>
      <c r="P167" s="168"/>
      <c r="Q167" s="115"/>
      <c r="R167" s="306"/>
      <c r="S167" s="306"/>
      <c r="T167" s="306"/>
      <c r="U167" s="306"/>
      <c r="V167" s="306"/>
      <c r="W167" s="306"/>
      <c r="X167" s="306"/>
      <c r="Y167" s="169"/>
    </row>
    <row r="168" spans="5:25" s="114" customFormat="1">
      <c r="E168" s="168"/>
      <c r="F168" s="115"/>
      <c r="J168" s="305"/>
      <c r="K168" s="305"/>
      <c r="P168" s="168"/>
      <c r="Q168" s="115"/>
      <c r="R168" s="306"/>
      <c r="S168" s="306"/>
      <c r="T168" s="306"/>
      <c r="U168" s="306"/>
      <c r="V168" s="306"/>
      <c r="W168" s="306"/>
      <c r="X168" s="306"/>
      <c r="Y168" s="169"/>
    </row>
    <row r="169" spans="5:25" s="114" customFormat="1">
      <c r="E169" s="168"/>
      <c r="F169" s="115"/>
      <c r="J169" s="305"/>
      <c r="K169" s="305"/>
      <c r="P169" s="168"/>
      <c r="Q169" s="115"/>
      <c r="R169" s="306"/>
      <c r="S169" s="306"/>
      <c r="T169" s="306"/>
      <c r="U169" s="306"/>
      <c r="V169" s="306"/>
      <c r="W169" s="306"/>
      <c r="X169" s="306"/>
      <c r="Y169" s="169"/>
    </row>
    <row r="170" spans="5:25" s="114" customFormat="1">
      <c r="E170" s="168"/>
      <c r="F170" s="115"/>
      <c r="J170" s="305"/>
      <c r="K170" s="305"/>
      <c r="P170" s="168"/>
      <c r="Q170" s="115"/>
      <c r="R170" s="306"/>
      <c r="S170" s="306"/>
      <c r="T170" s="306"/>
      <c r="U170" s="306"/>
      <c r="V170" s="306"/>
      <c r="W170" s="306"/>
      <c r="X170" s="306"/>
      <c r="Y170" s="169"/>
    </row>
    <row r="171" spans="5:25" s="114" customFormat="1">
      <c r="E171" s="168"/>
      <c r="F171" s="115"/>
      <c r="J171" s="305"/>
      <c r="K171" s="305"/>
      <c r="P171" s="168"/>
      <c r="Q171" s="115"/>
      <c r="R171" s="306"/>
      <c r="S171" s="306"/>
      <c r="T171" s="306"/>
      <c r="U171" s="306"/>
      <c r="V171" s="306"/>
      <c r="W171" s="306"/>
      <c r="X171" s="306"/>
      <c r="Y171" s="169"/>
    </row>
    <row r="172" spans="5:25" s="114" customFormat="1">
      <c r="E172" s="168"/>
      <c r="F172" s="115"/>
      <c r="J172" s="305"/>
      <c r="K172" s="305"/>
      <c r="P172" s="168"/>
      <c r="Q172" s="115"/>
      <c r="R172" s="306"/>
      <c r="S172" s="306"/>
      <c r="T172" s="306"/>
      <c r="U172" s="306"/>
      <c r="V172" s="306"/>
      <c r="W172" s="306"/>
      <c r="X172" s="306"/>
      <c r="Y172" s="169"/>
    </row>
    <row r="173" spans="5:25" s="114" customFormat="1">
      <c r="E173" s="168"/>
      <c r="F173" s="115"/>
      <c r="J173" s="305"/>
      <c r="K173" s="305"/>
      <c r="P173" s="168"/>
      <c r="Q173" s="115"/>
      <c r="R173" s="306"/>
      <c r="S173" s="306"/>
      <c r="T173" s="306"/>
      <c r="U173" s="306"/>
      <c r="V173" s="306"/>
      <c r="W173" s="306"/>
      <c r="X173" s="306"/>
      <c r="Y173" s="169"/>
    </row>
    <row r="174" spans="5:25" s="114" customFormat="1">
      <c r="E174" s="168"/>
      <c r="F174" s="115"/>
      <c r="J174" s="305"/>
      <c r="K174" s="305"/>
      <c r="P174" s="168"/>
      <c r="Q174" s="115"/>
      <c r="R174" s="306"/>
      <c r="S174" s="306"/>
      <c r="T174" s="306"/>
      <c r="U174" s="306"/>
      <c r="V174" s="306"/>
      <c r="W174" s="306"/>
      <c r="X174" s="306"/>
      <c r="Y174" s="169"/>
    </row>
    <row r="175" spans="5:25" s="114" customFormat="1">
      <c r="E175" s="168"/>
      <c r="F175" s="115"/>
      <c r="J175" s="305"/>
      <c r="K175" s="305"/>
      <c r="P175" s="168"/>
      <c r="Q175" s="115"/>
      <c r="R175" s="306"/>
      <c r="S175" s="306"/>
      <c r="T175" s="306"/>
      <c r="U175" s="306"/>
      <c r="V175" s="306"/>
      <c r="W175" s="306"/>
      <c r="X175" s="306"/>
      <c r="Y175" s="169"/>
    </row>
    <row r="176" spans="5:25" s="114" customFormat="1">
      <c r="E176" s="168"/>
      <c r="F176" s="115"/>
      <c r="J176" s="305"/>
      <c r="K176" s="305"/>
      <c r="P176" s="168"/>
      <c r="Q176" s="115"/>
      <c r="R176" s="306"/>
      <c r="S176" s="306"/>
      <c r="T176" s="306"/>
      <c r="U176" s="306"/>
      <c r="V176" s="306"/>
      <c r="W176" s="306"/>
      <c r="X176" s="306"/>
      <c r="Y176" s="169"/>
    </row>
    <row r="177" spans="5:25" s="114" customFormat="1">
      <c r="E177" s="168"/>
      <c r="F177" s="115"/>
      <c r="J177" s="305"/>
      <c r="K177" s="305"/>
      <c r="P177" s="168"/>
      <c r="Q177" s="115"/>
      <c r="R177" s="306"/>
      <c r="S177" s="306"/>
      <c r="T177" s="306"/>
      <c r="U177" s="306"/>
      <c r="V177" s="306"/>
      <c r="W177" s="306"/>
      <c r="X177" s="306"/>
      <c r="Y177" s="169"/>
    </row>
    <row r="178" spans="5:25" s="114" customFormat="1">
      <c r="E178" s="168"/>
      <c r="F178" s="115"/>
      <c r="J178" s="305"/>
      <c r="K178" s="305"/>
      <c r="P178" s="168"/>
      <c r="Q178" s="115"/>
      <c r="R178" s="306"/>
      <c r="S178" s="306"/>
      <c r="T178" s="306"/>
      <c r="U178" s="306"/>
      <c r="V178" s="306"/>
      <c r="W178" s="306"/>
      <c r="X178" s="306"/>
      <c r="Y178" s="169"/>
    </row>
    <row r="179" spans="5:25" s="114" customFormat="1">
      <c r="E179" s="168"/>
      <c r="F179" s="115"/>
      <c r="J179" s="305"/>
      <c r="K179" s="305"/>
      <c r="P179" s="168"/>
      <c r="Q179" s="115"/>
      <c r="R179" s="306"/>
      <c r="S179" s="306"/>
      <c r="T179" s="306"/>
      <c r="U179" s="306"/>
      <c r="V179" s="306"/>
      <c r="W179" s="306"/>
      <c r="X179" s="306"/>
      <c r="Y179" s="169"/>
    </row>
    <row r="180" spans="5:25" s="114" customFormat="1">
      <c r="E180" s="168"/>
      <c r="F180" s="115"/>
      <c r="J180" s="305"/>
      <c r="K180" s="305"/>
      <c r="P180" s="168"/>
      <c r="Q180" s="115"/>
      <c r="R180" s="306"/>
      <c r="S180" s="306"/>
      <c r="T180" s="306"/>
      <c r="U180" s="306"/>
      <c r="V180" s="306"/>
      <c r="W180" s="306"/>
      <c r="X180" s="306"/>
      <c r="Y180" s="169"/>
    </row>
    <row r="181" spans="5:25" s="114" customFormat="1">
      <c r="E181" s="168"/>
      <c r="F181" s="115"/>
      <c r="J181" s="305"/>
      <c r="K181" s="305"/>
      <c r="P181" s="168"/>
      <c r="Q181" s="115"/>
      <c r="R181" s="306"/>
      <c r="S181" s="306"/>
      <c r="T181" s="306"/>
      <c r="U181" s="306"/>
      <c r="V181" s="306"/>
      <c r="W181" s="306"/>
      <c r="X181" s="306"/>
      <c r="Y181" s="169"/>
    </row>
    <row r="182" spans="5:25" s="114" customFormat="1">
      <c r="E182" s="168"/>
      <c r="F182" s="115"/>
      <c r="J182" s="305"/>
      <c r="K182" s="305"/>
      <c r="P182" s="168"/>
      <c r="Q182" s="115"/>
      <c r="R182" s="306"/>
      <c r="S182" s="306"/>
      <c r="T182" s="306"/>
      <c r="U182" s="306"/>
      <c r="V182" s="306"/>
      <c r="W182" s="306"/>
      <c r="X182" s="306"/>
      <c r="Y182" s="169"/>
    </row>
    <row r="183" spans="5:25" s="114" customFormat="1">
      <c r="E183" s="168"/>
      <c r="F183" s="115"/>
      <c r="J183" s="305"/>
      <c r="K183" s="305"/>
      <c r="P183" s="168"/>
      <c r="Q183" s="115"/>
      <c r="R183" s="306"/>
      <c r="S183" s="306"/>
      <c r="T183" s="306"/>
      <c r="U183" s="306"/>
      <c r="V183" s="306"/>
      <c r="W183" s="306"/>
      <c r="X183" s="306"/>
      <c r="Y183" s="169"/>
    </row>
    <row r="184" spans="5:25" s="114" customFormat="1">
      <c r="E184" s="168"/>
      <c r="F184" s="115"/>
      <c r="J184" s="305"/>
      <c r="K184" s="305"/>
      <c r="P184" s="168"/>
      <c r="Q184" s="115"/>
      <c r="R184" s="306"/>
      <c r="S184" s="306"/>
      <c r="T184" s="306"/>
      <c r="U184" s="306"/>
      <c r="V184" s="306"/>
      <c r="W184" s="306"/>
      <c r="X184" s="306"/>
      <c r="Y184" s="169"/>
    </row>
    <row r="185" spans="5:25" s="114" customFormat="1">
      <c r="E185" s="168"/>
      <c r="F185" s="115"/>
      <c r="J185" s="305"/>
      <c r="K185" s="305"/>
      <c r="P185" s="168"/>
      <c r="Q185" s="115"/>
      <c r="R185" s="306"/>
      <c r="S185" s="306"/>
      <c r="T185" s="306"/>
      <c r="U185" s="306"/>
      <c r="V185" s="306"/>
      <c r="W185" s="306"/>
      <c r="X185" s="306"/>
      <c r="Y185" s="169"/>
    </row>
    <row r="186" spans="5:25" s="114" customFormat="1">
      <c r="E186" s="168"/>
      <c r="F186" s="115"/>
      <c r="J186" s="305"/>
      <c r="K186" s="305"/>
      <c r="P186" s="168"/>
      <c r="Q186" s="115"/>
      <c r="R186" s="306"/>
      <c r="S186" s="306"/>
      <c r="T186" s="306"/>
      <c r="U186" s="306"/>
      <c r="V186" s="306"/>
      <c r="W186" s="306"/>
      <c r="X186" s="306"/>
      <c r="Y186" s="169"/>
    </row>
    <row r="187" spans="5:25" s="114" customFormat="1">
      <c r="E187" s="168"/>
      <c r="F187" s="115"/>
      <c r="J187" s="305"/>
      <c r="K187" s="305"/>
      <c r="P187" s="168"/>
      <c r="Q187" s="115"/>
      <c r="R187" s="306"/>
      <c r="S187" s="306"/>
      <c r="T187" s="306"/>
      <c r="U187" s="306"/>
      <c r="V187" s="306"/>
      <c r="W187" s="306"/>
      <c r="X187" s="306"/>
      <c r="Y187" s="169"/>
    </row>
    <row r="188" spans="5:25" s="114" customFormat="1">
      <c r="E188" s="168"/>
      <c r="F188" s="115"/>
      <c r="J188" s="305"/>
      <c r="K188" s="305"/>
      <c r="P188" s="168"/>
      <c r="Q188" s="115"/>
      <c r="R188" s="306"/>
      <c r="S188" s="306"/>
      <c r="T188" s="306"/>
      <c r="U188" s="306"/>
      <c r="V188" s="306"/>
      <c r="W188" s="306"/>
      <c r="X188" s="306"/>
      <c r="Y188" s="169"/>
    </row>
    <row r="189" spans="5:25" s="114" customFormat="1">
      <c r="E189" s="168"/>
      <c r="F189" s="115"/>
      <c r="J189" s="305"/>
      <c r="K189" s="305"/>
      <c r="P189" s="168"/>
      <c r="Q189" s="115"/>
      <c r="R189" s="306"/>
      <c r="S189" s="306"/>
      <c r="T189" s="306"/>
      <c r="U189" s="306"/>
      <c r="V189" s="306"/>
      <c r="W189" s="306"/>
      <c r="X189" s="306"/>
      <c r="Y189" s="169"/>
    </row>
    <row r="190" spans="5:25" s="114" customFormat="1">
      <c r="E190" s="168"/>
      <c r="F190" s="115"/>
      <c r="J190" s="305"/>
      <c r="K190" s="305"/>
      <c r="P190" s="168"/>
      <c r="Q190" s="115"/>
      <c r="R190" s="306"/>
      <c r="S190" s="306"/>
      <c r="T190" s="306"/>
      <c r="U190" s="306"/>
      <c r="V190" s="306"/>
      <c r="W190" s="306"/>
      <c r="X190" s="306"/>
      <c r="Y190" s="169"/>
    </row>
    <row r="191" spans="5:25" s="114" customFormat="1">
      <c r="E191" s="168"/>
      <c r="F191" s="115"/>
      <c r="J191" s="305"/>
      <c r="K191" s="305"/>
      <c r="P191" s="168"/>
      <c r="Q191" s="115"/>
      <c r="R191" s="306"/>
      <c r="S191" s="306"/>
      <c r="T191" s="306"/>
      <c r="U191" s="306"/>
      <c r="V191" s="306"/>
      <c r="W191" s="306"/>
      <c r="X191" s="306"/>
      <c r="Y191" s="169"/>
    </row>
    <row r="192" spans="5:25" s="114" customFormat="1">
      <c r="E192" s="168"/>
      <c r="F192" s="115"/>
      <c r="J192" s="305"/>
      <c r="K192" s="305"/>
      <c r="P192" s="168"/>
      <c r="Q192" s="115"/>
      <c r="R192" s="306"/>
      <c r="S192" s="306"/>
      <c r="T192" s="306"/>
      <c r="U192" s="306"/>
      <c r="V192" s="306"/>
      <c r="W192" s="306"/>
      <c r="X192" s="306"/>
      <c r="Y192" s="169"/>
    </row>
    <row r="193" spans="5:25" s="114" customFormat="1">
      <c r="E193" s="168"/>
      <c r="F193" s="115"/>
      <c r="J193" s="305"/>
      <c r="K193" s="305"/>
      <c r="P193" s="168"/>
      <c r="Q193" s="115"/>
      <c r="R193" s="306"/>
      <c r="S193" s="306"/>
      <c r="T193" s="306"/>
      <c r="U193" s="306"/>
      <c r="V193" s="306"/>
      <c r="W193" s="306"/>
      <c r="X193" s="306"/>
      <c r="Y193" s="169"/>
    </row>
    <row r="194" spans="5:25" s="114" customFormat="1">
      <c r="E194" s="168"/>
      <c r="F194" s="115"/>
      <c r="J194" s="305"/>
      <c r="K194" s="305"/>
      <c r="P194" s="168"/>
      <c r="Q194" s="115"/>
      <c r="R194" s="306"/>
      <c r="S194" s="306"/>
      <c r="T194" s="306"/>
      <c r="U194" s="306"/>
      <c r="V194" s="306"/>
      <c r="W194" s="306"/>
      <c r="X194" s="306"/>
      <c r="Y194" s="169"/>
    </row>
    <row r="195" spans="5:25" s="114" customFormat="1">
      <c r="E195" s="168"/>
      <c r="F195" s="115"/>
      <c r="J195" s="305"/>
      <c r="K195" s="305"/>
      <c r="P195" s="168"/>
      <c r="Q195" s="115"/>
      <c r="R195" s="306"/>
      <c r="S195" s="306"/>
      <c r="T195" s="306"/>
      <c r="U195" s="306"/>
      <c r="V195" s="306"/>
      <c r="W195" s="306"/>
      <c r="X195" s="306"/>
      <c r="Y195" s="169"/>
    </row>
    <row r="196" spans="5:25" s="114" customFormat="1">
      <c r="E196" s="168"/>
      <c r="F196" s="115"/>
      <c r="J196" s="305"/>
      <c r="K196" s="305"/>
      <c r="P196" s="168"/>
      <c r="Q196" s="115"/>
      <c r="R196" s="306"/>
      <c r="S196" s="306"/>
      <c r="T196" s="306"/>
      <c r="U196" s="306"/>
      <c r="V196" s="306"/>
      <c r="W196" s="306"/>
      <c r="X196" s="306"/>
      <c r="Y196" s="169"/>
    </row>
    <row r="197" spans="5:25" s="114" customFormat="1">
      <c r="E197" s="168"/>
      <c r="F197" s="115"/>
      <c r="J197" s="305"/>
      <c r="K197" s="305"/>
      <c r="P197" s="168"/>
      <c r="Q197" s="115"/>
      <c r="R197" s="306"/>
      <c r="S197" s="306"/>
      <c r="T197" s="306"/>
      <c r="U197" s="306"/>
      <c r="V197" s="306"/>
      <c r="W197" s="306"/>
      <c r="X197" s="306"/>
      <c r="Y197" s="169"/>
    </row>
    <row r="198" spans="5:25" s="114" customFormat="1">
      <c r="E198" s="168"/>
      <c r="F198" s="115"/>
      <c r="J198" s="305"/>
      <c r="K198" s="305"/>
      <c r="P198" s="168"/>
      <c r="Q198" s="115"/>
      <c r="R198" s="306"/>
      <c r="S198" s="306"/>
      <c r="T198" s="306"/>
      <c r="U198" s="306"/>
      <c r="V198" s="306"/>
      <c r="W198" s="306"/>
      <c r="X198" s="306"/>
      <c r="Y198" s="169"/>
    </row>
    <row r="199" spans="5:25" s="114" customFormat="1">
      <c r="E199" s="168"/>
      <c r="F199" s="115"/>
      <c r="J199" s="305"/>
      <c r="K199" s="305"/>
      <c r="P199" s="168"/>
      <c r="Q199" s="115"/>
      <c r="R199" s="306"/>
      <c r="S199" s="306"/>
      <c r="T199" s="306"/>
      <c r="U199" s="306"/>
      <c r="V199" s="306"/>
      <c r="W199" s="306"/>
      <c r="X199" s="306"/>
      <c r="Y199" s="169"/>
    </row>
    <row r="200" spans="5:25" s="114" customFormat="1">
      <c r="E200" s="168"/>
      <c r="F200" s="115"/>
      <c r="J200" s="305"/>
      <c r="K200" s="305"/>
      <c r="P200" s="168"/>
      <c r="Q200" s="115"/>
      <c r="R200" s="306"/>
      <c r="S200" s="306"/>
      <c r="T200" s="306"/>
      <c r="U200" s="306"/>
      <c r="V200" s="306"/>
      <c r="W200" s="306"/>
      <c r="X200" s="306"/>
      <c r="Y200" s="169"/>
    </row>
    <row r="201" spans="5:25" s="114" customFormat="1">
      <c r="E201" s="168"/>
      <c r="F201" s="115"/>
      <c r="J201" s="305"/>
      <c r="K201" s="305"/>
      <c r="P201" s="168"/>
      <c r="Q201" s="115"/>
      <c r="R201" s="306"/>
      <c r="S201" s="306"/>
      <c r="T201" s="306"/>
      <c r="U201" s="306"/>
      <c r="V201" s="306"/>
      <c r="W201" s="306"/>
      <c r="X201" s="306"/>
      <c r="Y201" s="169"/>
    </row>
    <row r="202" spans="5:25" s="114" customFormat="1">
      <c r="E202" s="168"/>
      <c r="F202" s="115"/>
      <c r="J202" s="305"/>
      <c r="K202" s="305"/>
      <c r="P202" s="168"/>
      <c r="Q202" s="115"/>
      <c r="R202" s="306"/>
      <c r="S202" s="306"/>
      <c r="T202" s="306"/>
      <c r="U202" s="306"/>
      <c r="V202" s="306"/>
      <c r="W202" s="306"/>
      <c r="X202" s="306"/>
      <c r="Y202" s="169"/>
    </row>
    <row r="203" spans="5:25" s="114" customFormat="1">
      <c r="E203" s="168"/>
      <c r="F203" s="115"/>
      <c r="J203" s="305"/>
      <c r="K203" s="305"/>
      <c r="P203" s="168"/>
      <c r="Q203" s="115"/>
      <c r="R203" s="306"/>
      <c r="S203" s="306"/>
      <c r="T203" s="306"/>
      <c r="U203" s="306"/>
      <c r="V203" s="306"/>
      <c r="W203" s="306"/>
      <c r="X203" s="306"/>
      <c r="Y203" s="169"/>
    </row>
    <row r="204" spans="5:25" s="114" customFormat="1">
      <c r="E204" s="168"/>
      <c r="F204" s="115"/>
      <c r="J204" s="305"/>
      <c r="K204" s="305"/>
      <c r="P204" s="168"/>
      <c r="Q204" s="115"/>
      <c r="R204" s="306"/>
      <c r="S204" s="306"/>
      <c r="T204" s="306"/>
      <c r="U204" s="306"/>
      <c r="V204" s="306"/>
      <c r="W204" s="306"/>
      <c r="X204" s="306"/>
      <c r="Y204" s="169"/>
    </row>
    <row r="205" spans="5:25" s="114" customFormat="1">
      <c r="E205" s="168"/>
      <c r="F205" s="115"/>
      <c r="J205" s="305"/>
      <c r="K205" s="305"/>
      <c r="P205" s="168"/>
      <c r="Q205" s="115"/>
      <c r="R205" s="306"/>
      <c r="S205" s="306"/>
      <c r="T205" s="306"/>
      <c r="U205" s="306"/>
      <c r="V205" s="306"/>
      <c r="W205" s="306"/>
      <c r="X205" s="306"/>
      <c r="Y205" s="169"/>
    </row>
    <row r="206" spans="5:25" s="114" customFormat="1">
      <c r="E206" s="168"/>
      <c r="F206" s="115"/>
      <c r="J206" s="305"/>
      <c r="K206" s="305"/>
      <c r="P206" s="168"/>
      <c r="Q206" s="115"/>
      <c r="R206" s="306"/>
      <c r="S206" s="306"/>
      <c r="T206" s="306"/>
      <c r="U206" s="306"/>
      <c r="V206" s="306"/>
      <c r="W206" s="306"/>
      <c r="X206" s="306"/>
      <c r="Y206" s="169"/>
    </row>
    <row r="207" spans="5:25" s="114" customFormat="1">
      <c r="E207" s="168"/>
      <c r="F207" s="115"/>
      <c r="J207" s="305"/>
      <c r="K207" s="305"/>
      <c r="P207" s="168"/>
      <c r="Q207" s="115"/>
      <c r="R207" s="306"/>
      <c r="S207" s="306"/>
      <c r="T207" s="306"/>
      <c r="U207" s="306"/>
      <c r="V207" s="306"/>
      <c r="W207" s="306"/>
      <c r="X207" s="306"/>
      <c r="Y207" s="169"/>
    </row>
    <row r="208" spans="5:25" s="114" customFormat="1">
      <c r="E208" s="168"/>
      <c r="F208" s="115"/>
      <c r="J208" s="305"/>
      <c r="K208" s="305"/>
      <c r="P208" s="168"/>
      <c r="Q208" s="115"/>
      <c r="R208" s="306"/>
      <c r="S208" s="306"/>
      <c r="T208" s="306"/>
      <c r="U208" s="306"/>
      <c r="V208" s="306"/>
      <c r="W208" s="306"/>
      <c r="X208" s="306"/>
      <c r="Y208" s="169"/>
    </row>
    <row r="209" spans="5:25" s="114" customFormat="1">
      <c r="E209" s="168"/>
      <c r="F209" s="115"/>
      <c r="J209" s="305"/>
      <c r="K209" s="305"/>
      <c r="P209" s="168"/>
      <c r="Q209" s="115"/>
      <c r="R209" s="306"/>
      <c r="S209" s="306"/>
      <c r="T209" s="306"/>
      <c r="U209" s="306"/>
      <c r="V209" s="306"/>
      <c r="W209" s="306"/>
      <c r="X209" s="306"/>
      <c r="Y209" s="169"/>
    </row>
    <row r="210" spans="5:25" s="114" customFormat="1">
      <c r="E210" s="168"/>
      <c r="F210" s="115"/>
      <c r="J210" s="305"/>
      <c r="K210" s="305"/>
      <c r="P210" s="168"/>
      <c r="Q210" s="115"/>
      <c r="R210" s="306"/>
      <c r="S210" s="306"/>
      <c r="T210" s="306"/>
      <c r="U210" s="306"/>
      <c r="V210" s="306"/>
      <c r="W210" s="306"/>
      <c r="X210" s="306"/>
      <c r="Y210" s="169"/>
    </row>
    <row r="211" spans="5:25" s="114" customFormat="1">
      <c r="E211" s="168"/>
      <c r="F211" s="115"/>
      <c r="J211" s="305"/>
      <c r="K211" s="305"/>
      <c r="P211" s="168"/>
      <c r="Q211" s="115"/>
      <c r="R211" s="306"/>
      <c r="S211" s="306"/>
      <c r="T211" s="306"/>
      <c r="U211" s="306"/>
      <c r="V211" s="306"/>
      <c r="W211" s="306"/>
      <c r="X211" s="306"/>
      <c r="Y211" s="169"/>
    </row>
    <row r="212" spans="5:25" s="114" customFormat="1">
      <c r="E212" s="168"/>
      <c r="F212" s="115"/>
      <c r="J212" s="305"/>
      <c r="K212" s="305"/>
      <c r="P212" s="168"/>
      <c r="Q212" s="115"/>
      <c r="R212" s="306"/>
      <c r="S212" s="306"/>
      <c r="T212" s="306"/>
      <c r="U212" s="306"/>
      <c r="V212" s="306"/>
      <c r="W212" s="306"/>
      <c r="X212" s="306"/>
      <c r="Y212" s="169"/>
    </row>
    <row r="213" spans="5:25" s="114" customFormat="1">
      <c r="E213" s="168"/>
      <c r="F213" s="115"/>
      <c r="J213" s="305"/>
      <c r="K213" s="305"/>
      <c r="P213" s="168"/>
      <c r="Q213" s="115"/>
      <c r="R213" s="306"/>
      <c r="S213" s="306"/>
      <c r="T213" s="306"/>
      <c r="U213" s="306"/>
      <c r="V213" s="306"/>
      <c r="W213" s="306"/>
      <c r="X213" s="306"/>
      <c r="Y213" s="169"/>
    </row>
    <row r="214" spans="5:25" s="114" customFormat="1">
      <c r="E214" s="168"/>
      <c r="F214" s="115"/>
      <c r="J214" s="305"/>
      <c r="K214" s="305"/>
      <c r="P214" s="168"/>
      <c r="Q214" s="115"/>
      <c r="R214" s="306"/>
      <c r="S214" s="306"/>
      <c r="T214" s="306"/>
      <c r="U214" s="306"/>
      <c r="V214" s="306"/>
      <c r="W214" s="306"/>
      <c r="X214" s="306"/>
      <c r="Y214" s="169"/>
    </row>
    <row r="215" spans="5:25" s="114" customFormat="1">
      <c r="E215" s="168"/>
      <c r="F215" s="115"/>
      <c r="J215" s="305"/>
      <c r="K215" s="305"/>
      <c r="P215" s="168"/>
      <c r="Q215" s="115"/>
      <c r="R215" s="306"/>
      <c r="S215" s="306"/>
      <c r="T215" s="306"/>
      <c r="U215" s="306"/>
      <c r="V215" s="306"/>
      <c r="W215" s="306"/>
      <c r="X215" s="306"/>
      <c r="Y215" s="169"/>
    </row>
    <row r="216" spans="5:25" s="114" customFormat="1">
      <c r="E216" s="168"/>
      <c r="F216" s="115"/>
      <c r="J216" s="305"/>
      <c r="K216" s="305"/>
      <c r="P216" s="168"/>
      <c r="Q216" s="115"/>
      <c r="R216" s="306"/>
      <c r="S216" s="306"/>
      <c r="T216" s="306"/>
      <c r="U216" s="306"/>
      <c r="V216" s="306"/>
      <c r="W216" s="306"/>
      <c r="X216" s="306"/>
      <c r="Y216" s="169"/>
    </row>
    <row r="217" spans="5:25" s="114" customFormat="1">
      <c r="E217" s="168"/>
      <c r="F217" s="115"/>
      <c r="J217" s="305"/>
      <c r="K217" s="305"/>
      <c r="P217" s="168"/>
      <c r="Q217" s="115"/>
      <c r="R217" s="306"/>
      <c r="S217" s="306"/>
      <c r="T217" s="306"/>
      <c r="U217" s="306"/>
      <c r="V217" s="306"/>
      <c r="W217" s="306"/>
      <c r="X217" s="306"/>
      <c r="Y217" s="169"/>
    </row>
    <row r="218" spans="5:25" s="114" customFormat="1">
      <c r="E218" s="168"/>
      <c r="F218" s="115"/>
      <c r="J218" s="305"/>
      <c r="K218" s="305"/>
      <c r="P218" s="168"/>
      <c r="Q218" s="115"/>
      <c r="R218" s="306"/>
      <c r="S218" s="306"/>
      <c r="T218" s="306"/>
      <c r="U218" s="306"/>
      <c r="V218" s="306"/>
      <c r="W218" s="306"/>
      <c r="X218" s="306"/>
      <c r="Y218" s="169"/>
    </row>
    <row r="219" spans="5:25" s="114" customFormat="1">
      <c r="E219" s="168"/>
      <c r="F219" s="115"/>
      <c r="J219" s="305"/>
      <c r="K219" s="305"/>
      <c r="P219" s="168"/>
      <c r="Q219" s="115"/>
      <c r="R219" s="306"/>
      <c r="S219" s="306"/>
      <c r="T219" s="306"/>
      <c r="U219" s="306"/>
      <c r="V219" s="306"/>
      <c r="W219" s="306"/>
      <c r="X219" s="306"/>
      <c r="Y219" s="169"/>
    </row>
    <row r="220" spans="5:25" s="114" customFormat="1">
      <c r="E220" s="168"/>
      <c r="F220" s="115"/>
      <c r="J220" s="305"/>
      <c r="K220" s="305"/>
      <c r="P220" s="168"/>
      <c r="Q220" s="115"/>
      <c r="R220" s="306"/>
      <c r="S220" s="306"/>
      <c r="T220" s="306"/>
      <c r="U220" s="306"/>
      <c r="V220" s="306"/>
      <c r="W220" s="306"/>
      <c r="X220" s="306"/>
      <c r="Y220" s="169"/>
    </row>
    <row r="221" spans="5:25" s="114" customFormat="1">
      <c r="E221" s="168"/>
      <c r="F221" s="115"/>
      <c r="J221" s="305"/>
      <c r="K221" s="305"/>
      <c r="P221" s="168"/>
      <c r="Q221" s="115"/>
      <c r="R221" s="306"/>
      <c r="S221" s="306"/>
      <c r="T221" s="306"/>
      <c r="U221" s="306"/>
      <c r="V221" s="306"/>
      <c r="W221" s="306"/>
      <c r="X221" s="306"/>
      <c r="Y221" s="169"/>
    </row>
    <row r="222" spans="5:25" s="114" customFormat="1">
      <c r="E222" s="168"/>
      <c r="F222" s="115"/>
      <c r="J222" s="305"/>
      <c r="K222" s="305"/>
      <c r="P222" s="168"/>
      <c r="Q222" s="115"/>
      <c r="R222" s="306"/>
      <c r="S222" s="306"/>
      <c r="T222" s="306"/>
      <c r="U222" s="306"/>
      <c r="V222" s="306"/>
      <c r="W222" s="306"/>
      <c r="X222" s="306"/>
      <c r="Y222" s="169"/>
    </row>
    <row r="223" spans="5:25" s="114" customFormat="1">
      <c r="E223" s="168"/>
      <c r="F223" s="115"/>
      <c r="J223" s="305"/>
      <c r="K223" s="305"/>
      <c r="P223" s="168"/>
      <c r="Q223" s="115"/>
      <c r="R223" s="306"/>
      <c r="S223" s="306"/>
      <c r="T223" s="306"/>
      <c r="U223" s="306"/>
      <c r="V223" s="306"/>
      <c r="W223" s="306"/>
      <c r="X223" s="306"/>
      <c r="Y223" s="169"/>
    </row>
    <row r="224" spans="5:25" s="114" customFormat="1">
      <c r="E224" s="168"/>
      <c r="F224" s="115"/>
      <c r="J224" s="305"/>
      <c r="K224" s="305"/>
      <c r="P224" s="168"/>
      <c r="Q224" s="115"/>
      <c r="R224" s="306"/>
      <c r="S224" s="306"/>
      <c r="T224" s="306"/>
      <c r="U224" s="306"/>
      <c r="V224" s="306"/>
      <c r="W224" s="306"/>
      <c r="X224" s="306"/>
      <c r="Y224" s="169"/>
    </row>
    <row r="225" spans="5:25" s="114" customFormat="1">
      <c r="E225" s="168"/>
      <c r="F225" s="115"/>
      <c r="J225" s="305"/>
      <c r="K225" s="305"/>
      <c r="P225" s="168"/>
      <c r="Q225" s="115"/>
      <c r="R225" s="306"/>
      <c r="S225" s="306"/>
      <c r="T225" s="306"/>
      <c r="U225" s="306"/>
      <c r="V225" s="306"/>
      <c r="W225" s="306"/>
      <c r="X225" s="306"/>
      <c r="Y225" s="169"/>
    </row>
    <row r="226" spans="5:25" s="114" customFormat="1">
      <c r="E226" s="168"/>
      <c r="F226" s="115"/>
      <c r="J226" s="305"/>
      <c r="K226" s="305"/>
      <c r="P226" s="168"/>
      <c r="Q226" s="115"/>
      <c r="R226" s="306"/>
      <c r="S226" s="306"/>
      <c r="T226" s="306"/>
      <c r="U226" s="306"/>
      <c r="V226" s="306"/>
      <c r="W226" s="306"/>
      <c r="X226" s="306"/>
      <c r="Y226" s="169"/>
    </row>
    <row r="227" spans="5:25" s="114" customFormat="1">
      <c r="E227" s="168"/>
      <c r="F227" s="115"/>
      <c r="J227" s="305"/>
      <c r="K227" s="305"/>
      <c r="P227" s="168"/>
      <c r="Q227" s="115"/>
      <c r="R227" s="306"/>
      <c r="S227" s="306"/>
      <c r="T227" s="306"/>
      <c r="U227" s="306"/>
      <c r="V227" s="306"/>
      <c r="W227" s="306"/>
      <c r="X227" s="306"/>
      <c r="Y227" s="169"/>
    </row>
    <row r="228" spans="5:25" s="114" customFormat="1">
      <c r="E228" s="168"/>
      <c r="F228" s="115"/>
      <c r="J228" s="305"/>
      <c r="K228" s="305"/>
      <c r="P228" s="168"/>
      <c r="Q228" s="115"/>
      <c r="R228" s="306"/>
      <c r="S228" s="306"/>
      <c r="T228" s="306"/>
      <c r="U228" s="306"/>
      <c r="V228" s="306"/>
      <c r="W228" s="306"/>
      <c r="X228" s="306"/>
      <c r="Y228" s="169"/>
    </row>
    <row r="229" spans="5:25" s="114" customFormat="1">
      <c r="E229" s="168"/>
      <c r="F229" s="115"/>
      <c r="J229" s="305"/>
      <c r="K229" s="305"/>
      <c r="P229" s="168"/>
      <c r="Q229" s="115"/>
      <c r="R229" s="306"/>
      <c r="S229" s="306"/>
      <c r="T229" s="306"/>
      <c r="U229" s="306"/>
      <c r="V229" s="306"/>
      <c r="W229" s="306"/>
      <c r="X229" s="306"/>
      <c r="Y229" s="169"/>
    </row>
    <row r="230" spans="5:25" s="114" customFormat="1">
      <c r="E230" s="168"/>
      <c r="F230" s="115"/>
      <c r="J230" s="305"/>
      <c r="K230" s="305"/>
      <c r="P230" s="168"/>
      <c r="Q230" s="115"/>
      <c r="R230" s="306"/>
      <c r="S230" s="306"/>
      <c r="T230" s="306"/>
      <c r="U230" s="306"/>
      <c r="V230" s="306"/>
      <c r="W230" s="306"/>
      <c r="X230" s="306"/>
      <c r="Y230" s="169"/>
    </row>
    <row r="231" spans="5:25" s="114" customFormat="1">
      <c r="E231" s="168"/>
      <c r="F231" s="115"/>
      <c r="J231" s="305"/>
      <c r="K231" s="305"/>
      <c r="P231" s="168"/>
      <c r="Q231" s="115"/>
      <c r="R231" s="306"/>
      <c r="S231" s="306"/>
      <c r="T231" s="306"/>
      <c r="U231" s="306"/>
      <c r="V231" s="306"/>
      <c r="W231" s="306"/>
      <c r="X231" s="306"/>
      <c r="Y231" s="169"/>
    </row>
    <row r="232" spans="5:25" s="114" customFormat="1">
      <c r="E232" s="168"/>
      <c r="F232" s="115"/>
      <c r="J232" s="305"/>
      <c r="K232" s="305"/>
      <c r="P232" s="168"/>
      <c r="Q232" s="115"/>
      <c r="R232" s="306"/>
      <c r="S232" s="306"/>
      <c r="T232" s="306"/>
      <c r="U232" s="306"/>
      <c r="V232" s="306"/>
      <c r="W232" s="306"/>
      <c r="X232" s="306"/>
      <c r="Y232" s="169"/>
    </row>
    <row r="233" spans="5:25" s="114" customFormat="1">
      <c r="E233" s="168"/>
      <c r="F233" s="115"/>
      <c r="J233" s="305"/>
      <c r="K233" s="305"/>
      <c r="P233" s="168"/>
      <c r="Q233" s="115"/>
      <c r="R233" s="306"/>
      <c r="S233" s="306"/>
      <c r="T233" s="306"/>
      <c r="U233" s="306"/>
      <c r="V233" s="306"/>
      <c r="W233" s="306"/>
      <c r="X233" s="306"/>
      <c r="Y233" s="169"/>
    </row>
    <row r="234" spans="5:25" s="114" customFormat="1">
      <c r="E234" s="168"/>
      <c r="F234" s="115"/>
      <c r="J234" s="305"/>
      <c r="K234" s="305"/>
      <c r="P234" s="168"/>
      <c r="Q234" s="115"/>
      <c r="R234" s="306"/>
      <c r="S234" s="306"/>
      <c r="T234" s="306"/>
      <c r="U234" s="306"/>
      <c r="V234" s="306"/>
      <c r="W234" s="306"/>
      <c r="X234" s="306"/>
      <c r="Y234" s="169"/>
    </row>
    <row r="235" spans="5:25" s="114" customFormat="1">
      <c r="E235" s="168"/>
      <c r="F235" s="115"/>
      <c r="J235" s="305"/>
      <c r="K235" s="305"/>
      <c r="P235" s="168"/>
      <c r="Q235" s="115"/>
      <c r="R235" s="306"/>
      <c r="S235" s="306"/>
      <c r="T235" s="306"/>
      <c r="U235" s="306"/>
      <c r="V235" s="306"/>
      <c r="W235" s="306"/>
      <c r="X235" s="306"/>
      <c r="Y235" s="169"/>
    </row>
    <row r="236" spans="5:25" s="114" customFormat="1">
      <c r="E236" s="168"/>
      <c r="F236" s="115"/>
      <c r="J236" s="305"/>
      <c r="K236" s="305"/>
      <c r="P236" s="168"/>
      <c r="Q236" s="115"/>
      <c r="R236" s="306"/>
      <c r="S236" s="306"/>
      <c r="T236" s="306"/>
      <c r="U236" s="306"/>
      <c r="V236" s="306"/>
      <c r="W236" s="306"/>
      <c r="X236" s="306"/>
      <c r="Y236" s="169"/>
    </row>
    <row r="237" spans="5:25" s="114" customFormat="1">
      <c r="E237" s="168"/>
      <c r="F237" s="115"/>
      <c r="J237" s="305"/>
      <c r="K237" s="305"/>
      <c r="P237" s="168"/>
      <c r="Q237" s="115"/>
      <c r="R237" s="306"/>
      <c r="S237" s="306"/>
      <c r="T237" s="306"/>
      <c r="U237" s="306"/>
      <c r="V237" s="306"/>
      <c r="W237" s="306"/>
      <c r="X237" s="306"/>
      <c r="Y237" s="169"/>
    </row>
    <row r="238" spans="5:25" s="114" customFormat="1">
      <c r="E238" s="168"/>
      <c r="F238" s="115"/>
      <c r="J238" s="305"/>
      <c r="K238" s="305"/>
      <c r="P238" s="168"/>
      <c r="Q238" s="115"/>
      <c r="R238" s="306"/>
      <c r="S238" s="306"/>
      <c r="T238" s="306"/>
      <c r="U238" s="306"/>
      <c r="V238" s="306"/>
      <c r="W238" s="306"/>
      <c r="X238" s="306"/>
      <c r="Y238" s="169"/>
    </row>
    <row r="239" spans="5:25" s="114" customFormat="1">
      <c r="E239" s="168"/>
      <c r="F239" s="115"/>
      <c r="J239" s="305"/>
      <c r="K239" s="305"/>
      <c r="P239" s="168"/>
      <c r="Q239" s="115"/>
      <c r="R239" s="306"/>
      <c r="S239" s="306"/>
      <c r="T239" s="306"/>
      <c r="U239" s="306"/>
      <c r="V239" s="306"/>
      <c r="W239" s="306"/>
      <c r="X239" s="306"/>
      <c r="Y239" s="169"/>
    </row>
    <row r="240" spans="5:25" s="114" customFormat="1">
      <c r="E240" s="168"/>
      <c r="F240" s="115"/>
      <c r="J240" s="305"/>
      <c r="K240" s="305"/>
      <c r="P240" s="168"/>
      <c r="Q240" s="115"/>
      <c r="R240" s="306"/>
      <c r="S240" s="306"/>
      <c r="T240" s="306"/>
      <c r="U240" s="306"/>
      <c r="V240" s="306"/>
      <c r="W240" s="306"/>
      <c r="X240" s="306"/>
      <c r="Y240" s="169"/>
    </row>
    <row r="241" spans="5:25" s="114" customFormat="1">
      <c r="E241" s="168"/>
      <c r="F241" s="115"/>
      <c r="J241" s="305"/>
      <c r="K241" s="305"/>
      <c r="P241" s="168"/>
      <c r="Q241" s="115"/>
      <c r="R241" s="306"/>
      <c r="S241" s="306"/>
      <c r="T241" s="306"/>
      <c r="U241" s="306"/>
      <c r="V241" s="306"/>
      <c r="W241" s="306"/>
      <c r="X241" s="306"/>
      <c r="Y241" s="169"/>
    </row>
    <row r="242" spans="5:25" s="114" customFormat="1">
      <c r="E242" s="168"/>
      <c r="F242" s="115"/>
      <c r="J242" s="305"/>
      <c r="K242" s="305"/>
      <c r="P242" s="168"/>
      <c r="Q242" s="115"/>
      <c r="R242" s="306"/>
      <c r="S242" s="306"/>
      <c r="T242" s="306"/>
      <c r="U242" s="306"/>
      <c r="V242" s="306"/>
      <c r="W242" s="306"/>
      <c r="X242" s="306"/>
      <c r="Y242" s="169"/>
    </row>
    <row r="243" spans="5:25" s="114" customFormat="1">
      <c r="E243" s="168"/>
      <c r="F243" s="115"/>
      <c r="J243" s="305"/>
      <c r="K243" s="305"/>
      <c r="P243" s="168"/>
      <c r="Q243" s="115"/>
      <c r="R243" s="306"/>
      <c r="S243" s="306"/>
      <c r="T243" s="306"/>
      <c r="U243" s="306"/>
      <c r="V243" s="306"/>
      <c r="W243" s="306"/>
      <c r="X243" s="306"/>
      <c r="Y243" s="169"/>
    </row>
    <row r="244" spans="5:25" s="114" customFormat="1">
      <c r="E244" s="168"/>
      <c r="F244" s="115"/>
      <c r="J244" s="305"/>
      <c r="K244" s="305"/>
      <c r="P244" s="168"/>
      <c r="Q244" s="115"/>
      <c r="R244" s="306"/>
      <c r="S244" s="306"/>
      <c r="T244" s="306"/>
      <c r="U244" s="306"/>
      <c r="V244" s="306"/>
      <c r="W244" s="306"/>
      <c r="X244" s="306"/>
      <c r="Y244" s="169"/>
    </row>
    <row r="245" spans="5:25" s="114" customFormat="1">
      <c r="E245" s="168"/>
      <c r="F245" s="115"/>
      <c r="J245" s="305"/>
      <c r="K245" s="305"/>
      <c r="P245" s="168"/>
      <c r="Q245" s="115"/>
      <c r="R245" s="306"/>
      <c r="S245" s="306"/>
      <c r="T245" s="306"/>
      <c r="U245" s="306"/>
      <c r="V245" s="306"/>
      <c r="W245" s="306"/>
      <c r="X245" s="306"/>
      <c r="Y245" s="169"/>
    </row>
    <row r="246" spans="5:25" s="114" customFormat="1">
      <c r="E246" s="168"/>
      <c r="F246" s="115"/>
      <c r="J246" s="305"/>
      <c r="K246" s="305"/>
      <c r="P246" s="168"/>
      <c r="Q246" s="115"/>
      <c r="R246" s="306"/>
      <c r="S246" s="306"/>
      <c r="T246" s="306"/>
      <c r="U246" s="306"/>
      <c r="V246" s="306"/>
      <c r="W246" s="306"/>
      <c r="X246" s="306"/>
      <c r="Y246" s="169"/>
    </row>
    <row r="247" spans="5:25" s="114" customFormat="1">
      <c r="E247" s="168"/>
      <c r="F247" s="115"/>
      <c r="J247" s="305"/>
      <c r="K247" s="305"/>
      <c r="P247" s="168"/>
      <c r="Q247" s="115"/>
      <c r="R247" s="306"/>
      <c r="S247" s="306"/>
      <c r="T247" s="306"/>
      <c r="U247" s="306"/>
      <c r="V247" s="306"/>
      <c r="W247" s="306"/>
      <c r="X247" s="306"/>
      <c r="Y247" s="169"/>
    </row>
    <row r="248" spans="5:25" s="114" customFormat="1">
      <c r="E248" s="168"/>
      <c r="F248" s="115"/>
      <c r="J248" s="305"/>
      <c r="K248" s="305"/>
      <c r="P248" s="168"/>
      <c r="Q248" s="115"/>
      <c r="R248" s="306"/>
      <c r="S248" s="306"/>
      <c r="T248" s="306"/>
      <c r="U248" s="306"/>
      <c r="V248" s="306"/>
      <c r="W248" s="306"/>
      <c r="X248" s="306"/>
      <c r="Y248" s="169"/>
    </row>
    <row r="249" spans="5:25" s="114" customFormat="1">
      <c r="E249" s="168"/>
      <c r="F249" s="115"/>
      <c r="J249" s="305"/>
      <c r="K249" s="305"/>
      <c r="P249" s="168"/>
      <c r="Q249" s="115"/>
      <c r="R249" s="306"/>
      <c r="S249" s="306"/>
      <c r="T249" s="306"/>
      <c r="U249" s="306"/>
      <c r="V249" s="306"/>
      <c r="W249" s="306"/>
      <c r="X249" s="306"/>
      <c r="Y249" s="169"/>
    </row>
    <row r="250" spans="5:25" s="114" customFormat="1">
      <c r="E250" s="168"/>
      <c r="F250" s="115"/>
      <c r="J250" s="305"/>
      <c r="K250" s="305"/>
      <c r="P250" s="168"/>
      <c r="Q250" s="115"/>
      <c r="R250" s="306"/>
      <c r="S250" s="306"/>
      <c r="T250" s="306"/>
      <c r="U250" s="306"/>
      <c r="V250" s="306"/>
      <c r="W250" s="306"/>
      <c r="X250" s="306"/>
      <c r="Y250" s="169"/>
    </row>
    <row r="251" spans="5:25" s="114" customFormat="1">
      <c r="E251" s="168"/>
      <c r="F251" s="115"/>
      <c r="J251" s="305"/>
      <c r="K251" s="305"/>
      <c r="P251" s="168"/>
      <c r="Q251" s="115"/>
      <c r="R251" s="306"/>
      <c r="S251" s="306"/>
      <c r="T251" s="306"/>
      <c r="U251" s="306"/>
      <c r="V251" s="306"/>
      <c r="W251" s="306"/>
      <c r="X251" s="306"/>
      <c r="Y251" s="169"/>
    </row>
    <row r="252" spans="5:25" s="114" customFormat="1">
      <c r="E252" s="168"/>
      <c r="F252" s="115"/>
      <c r="J252" s="305"/>
      <c r="K252" s="305"/>
      <c r="P252" s="168"/>
      <c r="Q252" s="115"/>
      <c r="R252" s="306"/>
      <c r="S252" s="306"/>
      <c r="T252" s="306"/>
      <c r="U252" s="306"/>
      <c r="V252" s="306"/>
      <c r="W252" s="306"/>
      <c r="X252" s="306"/>
      <c r="Y252" s="169"/>
    </row>
    <row r="253" spans="5:25" s="114" customFormat="1">
      <c r="E253" s="168"/>
      <c r="F253" s="115"/>
      <c r="J253" s="305"/>
      <c r="K253" s="305"/>
      <c r="P253" s="168"/>
      <c r="Q253" s="115"/>
      <c r="R253" s="306"/>
      <c r="S253" s="306"/>
      <c r="T253" s="306"/>
      <c r="U253" s="306"/>
      <c r="V253" s="306"/>
      <c r="W253" s="306"/>
      <c r="X253" s="306"/>
      <c r="Y253" s="169"/>
    </row>
    <row r="254" spans="5:25" s="114" customFormat="1">
      <c r="E254" s="168"/>
      <c r="F254" s="115"/>
      <c r="J254" s="305"/>
      <c r="K254" s="305"/>
      <c r="P254" s="168"/>
      <c r="Q254" s="115"/>
      <c r="R254" s="306"/>
      <c r="S254" s="306"/>
      <c r="T254" s="306"/>
      <c r="U254" s="306"/>
      <c r="V254" s="306"/>
      <c r="W254" s="306"/>
      <c r="X254" s="306"/>
      <c r="Y254" s="169"/>
    </row>
    <row r="255" spans="5:25" s="114" customFormat="1">
      <c r="E255" s="168"/>
      <c r="F255" s="115"/>
      <c r="J255" s="305"/>
      <c r="K255" s="305"/>
      <c r="P255" s="168"/>
      <c r="Q255" s="115"/>
      <c r="R255" s="306"/>
      <c r="S255" s="306"/>
      <c r="T255" s="306"/>
      <c r="U255" s="306"/>
      <c r="V255" s="306"/>
      <c r="W255" s="306"/>
      <c r="X255" s="306"/>
      <c r="Y255" s="169"/>
    </row>
    <row r="256" spans="5:25" s="114" customFormat="1">
      <c r="E256" s="168"/>
      <c r="F256" s="115"/>
      <c r="J256" s="305"/>
      <c r="K256" s="305"/>
      <c r="P256" s="168"/>
      <c r="Q256" s="115"/>
      <c r="R256" s="306"/>
      <c r="S256" s="306"/>
      <c r="T256" s="306"/>
      <c r="U256" s="306"/>
      <c r="V256" s="306"/>
      <c r="W256" s="306"/>
      <c r="X256" s="306"/>
      <c r="Y256" s="169"/>
    </row>
    <row r="257" spans="5:25" s="114" customFormat="1">
      <c r="E257" s="168"/>
      <c r="F257" s="115"/>
      <c r="J257" s="305"/>
      <c r="K257" s="305"/>
      <c r="P257" s="168"/>
      <c r="Q257" s="115"/>
      <c r="R257" s="306"/>
      <c r="S257" s="306"/>
      <c r="T257" s="306"/>
      <c r="U257" s="306"/>
      <c r="V257" s="306"/>
      <c r="W257" s="306"/>
      <c r="X257" s="306"/>
      <c r="Y257" s="169"/>
    </row>
    <row r="258" spans="5:25" s="114" customFormat="1">
      <c r="E258" s="168"/>
      <c r="F258" s="115"/>
      <c r="J258" s="305"/>
      <c r="K258" s="305"/>
      <c r="P258" s="168"/>
      <c r="Q258" s="115"/>
      <c r="R258" s="306"/>
      <c r="S258" s="306"/>
      <c r="T258" s="306"/>
      <c r="U258" s="306"/>
      <c r="V258" s="306"/>
      <c r="W258" s="306"/>
      <c r="X258" s="306"/>
      <c r="Y258" s="169"/>
    </row>
    <row r="259" spans="5:25" s="114" customFormat="1">
      <c r="E259" s="168"/>
      <c r="F259" s="115"/>
      <c r="J259" s="305"/>
      <c r="K259" s="305"/>
      <c r="P259" s="168"/>
      <c r="Q259" s="115"/>
      <c r="R259" s="306"/>
      <c r="S259" s="306"/>
      <c r="T259" s="306"/>
      <c r="U259" s="306"/>
      <c r="V259" s="306"/>
      <c r="W259" s="306"/>
      <c r="X259" s="306"/>
      <c r="Y259" s="169"/>
    </row>
    <row r="260" spans="5:25" s="114" customFormat="1">
      <c r="E260" s="168"/>
      <c r="F260" s="115"/>
      <c r="J260" s="305"/>
      <c r="K260" s="305"/>
      <c r="P260" s="168"/>
      <c r="Q260" s="115"/>
      <c r="R260" s="306"/>
      <c r="S260" s="306"/>
      <c r="T260" s="306"/>
      <c r="U260" s="306"/>
      <c r="V260" s="306"/>
      <c r="W260" s="306"/>
      <c r="X260" s="306"/>
      <c r="Y260" s="169"/>
    </row>
    <row r="261" spans="5:25" s="114" customFormat="1">
      <c r="E261" s="168"/>
      <c r="F261" s="115"/>
      <c r="J261" s="305"/>
      <c r="K261" s="305"/>
      <c r="P261" s="168"/>
      <c r="Q261" s="115"/>
      <c r="R261" s="306"/>
      <c r="S261" s="306"/>
      <c r="T261" s="306"/>
      <c r="U261" s="306"/>
      <c r="V261" s="306"/>
      <c r="W261" s="306"/>
      <c r="X261" s="306"/>
      <c r="Y261" s="169"/>
    </row>
    <row r="262" spans="5:25" s="114" customFormat="1">
      <c r="E262" s="168"/>
      <c r="F262" s="115"/>
      <c r="J262" s="305"/>
      <c r="K262" s="305"/>
      <c r="P262" s="168"/>
      <c r="Q262" s="115"/>
      <c r="R262" s="306"/>
      <c r="S262" s="306"/>
      <c r="T262" s="306"/>
      <c r="U262" s="306"/>
      <c r="V262" s="306"/>
      <c r="W262" s="306"/>
      <c r="X262" s="306"/>
      <c r="Y262" s="169"/>
    </row>
    <row r="263" spans="5:25" s="114" customFormat="1">
      <c r="E263" s="168"/>
      <c r="F263" s="115"/>
      <c r="J263" s="305"/>
      <c r="K263" s="305"/>
      <c r="P263" s="168"/>
      <c r="Q263" s="115"/>
      <c r="R263" s="306"/>
      <c r="S263" s="306"/>
      <c r="T263" s="306"/>
      <c r="U263" s="306"/>
      <c r="V263" s="306"/>
      <c r="W263" s="306"/>
      <c r="X263" s="306"/>
      <c r="Y263" s="169"/>
    </row>
    <row r="264" spans="5:25" s="114" customFormat="1">
      <c r="E264" s="168"/>
      <c r="F264" s="115"/>
      <c r="J264" s="305"/>
      <c r="K264" s="305"/>
      <c r="P264" s="168"/>
      <c r="Q264" s="115"/>
      <c r="R264" s="306"/>
      <c r="S264" s="306"/>
      <c r="T264" s="306"/>
      <c r="U264" s="306"/>
      <c r="V264" s="306"/>
      <c r="W264" s="306"/>
      <c r="X264" s="306"/>
      <c r="Y264" s="169"/>
    </row>
    <row r="265" spans="5:25" s="114" customFormat="1">
      <c r="E265" s="168"/>
      <c r="F265" s="115"/>
      <c r="J265" s="305"/>
      <c r="K265" s="305"/>
      <c r="P265" s="168"/>
      <c r="Q265" s="115"/>
      <c r="R265" s="306"/>
      <c r="S265" s="306"/>
      <c r="T265" s="306"/>
      <c r="U265" s="306"/>
      <c r="V265" s="306"/>
      <c r="W265" s="306"/>
      <c r="X265" s="306"/>
      <c r="Y265" s="169"/>
    </row>
    <row r="266" spans="5:25" s="114" customFormat="1">
      <c r="E266" s="168"/>
      <c r="F266" s="115"/>
      <c r="J266" s="305"/>
      <c r="K266" s="305"/>
      <c r="P266" s="168"/>
      <c r="Q266" s="115"/>
      <c r="R266" s="306"/>
      <c r="S266" s="306"/>
      <c r="T266" s="306"/>
      <c r="U266" s="306"/>
      <c r="V266" s="306"/>
      <c r="W266" s="306"/>
      <c r="X266" s="306"/>
      <c r="Y266" s="169"/>
    </row>
    <row r="267" spans="5:25" s="114" customFormat="1">
      <c r="E267" s="168"/>
      <c r="F267" s="115"/>
      <c r="J267" s="305"/>
      <c r="K267" s="305"/>
      <c r="P267" s="168"/>
      <c r="Q267" s="115"/>
      <c r="R267" s="306"/>
      <c r="S267" s="306"/>
      <c r="T267" s="306"/>
      <c r="U267" s="306"/>
      <c r="V267" s="306"/>
      <c r="W267" s="306"/>
      <c r="X267" s="306"/>
      <c r="Y267" s="169"/>
    </row>
    <row r="268" spans="5:25" s="114" customFormat="1">
      <c r="E268" s="168"/>
      <c r="F268" s="115"/>
      <c r="J268" s="305"/>
      <c r="K268" s="305"/>
      <c r="P268" s="168"/>
      <c r="Q268" s="115"/>
      <c r="R268" s="306"/>
      <c r="S268" s="306"/>
      <c r="T268" s="306"/>
      <c r="U268" s="306"/>
      <c r="V268" s="306"/>
      <c r="W268" s="306"/>
      <c r="X268" s="306"/>
      <c r="Y268" s="169"/>
    </row>
    <row r="269" spans="5:25" s="114" customFormat="1">
      <c r="E269" s="168"/>
      <c r="F269" s="115"/>
      <c r="J269" s="305"/>
      <c r="K269" s="305"/>
      <c r="P269" s="168"/>
      <c r="Q269" s="115"/>
      <c r="R269" s="306"/>
      <c r="S269" s="306"/>
      <c r="T269" s="306"/>
      <c r="U269" s="306"/>
      <c r="V269" s="306"/>
      <c r="W269" s="306"/>
      <c r="X269" s="306"/>
      <c r="Y269" s="169"/>
    </row>
    <row r="270" spans="5:25" s="114" customFormat="1">
      <c r="E270" s="168"/>
      <c r="F270" s="115"/>
      <c r="J270" s="305"/>
      <c r="K270" s="305"/>
      <c r="P270" s="168"/>
      <c r="Q270" s="115"/>
      <c r="R270" s="306"/>
      <c r="S270" s="306"/>
      <c r="T270" s="306"/>
      <c r="U270" s="306"/>
      <c r="V270" s="306"/>
      <c r="W270" s="306"/>
      <c r="X270" s="306"/>
      <c r="Y270" s="169"/>
    </row>
    <row r="271" spans="5:25" s="114" customFormat="1">
      <c r="E271" s="168"/>
      <c r="F271" s="115"/>
      <c r="J271" s="305"/>
      <c r="K271" s="305"/>
      <c r="P271" s="168"/>
      <c r="Q271" s="115"/>
      <c r="R271" s="306"/>
      <c r="S271" s="306"/>
      <c r="T271" s="306"/>
      <c r="U271" s="306"/>
      <c r="V271" s="306"/>
      <c r="W271" s="306"/>
      <c r="X271" s="306"/>
      <c r="Y271" s="169"/>
    </row>
    <row r="272" spans="5:25" s="114" customFormat="1">
      <c r="E272" s="168"/>
      <c r="F272" s="115"/>
      <c r="J272" s="305"/>
      <c r="K272" s="305"/>
      <c r="P272" s="168"/>
      <c r="Q272" s="115"/>
      <c r="R272" s="306"/>
      <c r="S272" s="306"/>
      <c r="T272" s="306"/>
      <c r="U272" s="306"/>
      <c r="V272" s="306"/>
      <c r="W272" s="306"/>
      <c r="X272" s="306"/>
      <c r="Y272" s="169"/>
    </row>
    <row r="273" spans="5:25" s="114" customFormat="1">
      <c r="E273" s="168"/>
      <c r="F273" s="115"/>
      <c r="J273" s="305"/>
      <c r="K273" s="305"/>
      <c r="P273" s="168"/>
      <c r="Q273" s="115"/>
      <c r="R273" s="306"/>
      <c r="S273" s="306"/>
      <c r="T273" s="306"/>
      <c r="U273" s="306"/>
      <c r="V273" s="306"/>
      <c r="W273" s="306"/>
      <c r="X273" s="306"/>
      <c r="Y273" s="169"/>
    </row>
    <row r="274" spans="5:25" s="114" customFormat="1">
      <c r="E274" s="168"/>
      <c r="F274" s="115"/>
      <c r="J274" s="305"/>
      <c r="K274" s="305"/>
      <c r="P274" s="168"/>
      <c r="Q274" s="115"/>
      <c r="R274" s="306"/>
      <c r="S274" s="306"/>
      <c r="T274" s="306"/>
      <c r="U274" s="306"/>
      <c r="V274" s="306"/>
      <c r="W274" s="306"/>
      <c r="X274" s="306"/>
      <c r="Y274" s="169"/>
    </row>
    <row r="275" spans="5:25" s="114" customFormat="1">
      <c r="E275" s="168"/>
      <c r="F275" s="115"/>
      <c r="J275" s="305"/>
      <c r="K275" s="305"/>
      <c r="P275" s="168"/>
      <c r="Q275" s="115"/>
      <c r="R275" s="306"/>
      <c r="S275" s="306"/>
      <c r="T275" s="306"/>
      <c r="U275" s="306"/>
      <c r="V275" s="306"/>
      <c r="W275" s="306"/>
      <c r="X275" s="306"/>
      <c r="Y275" s="169"/>
    </row>
    <row r="276" spans="5:25" s="114" customFormat="1">
      <c r="E276" s="168"/>
      <c r="F276" s="115"/>
      <c r="J276" s="305"/>
      <c r="K276" s="305"/>
      <c r="P276" s="168"/>
      <c r="Q276" s="115"/>
      <c r="R276" s="306"/>
      <c r="S276" s="306"/>
      <c r="T276" s="306"/>
      <c r="U276" s="306"/>
      <c r="V276" s="306"/>
      <c r="W276" s="306"/>
      <c r="X276" s="306"/>
      <c r="Y276" s="169"/>
    </row>
    <row r="277" spans="5:25" s="114" customFormat="1">
      <c r="E277" s="168"/>
      <c r="F277" s="115"/>
      <c r="J277" s="305"/>
      <c r="K277" s="305"/>
      <c r="P277" s="168"/>
      <c r="Q277" s="115"/>
      <c r="R277" s="306"/>
      <c r="S277" s="306"/>
      <c r="T277" s="306"/>
      <c r="U277" s="306"/>
      <c r="V277" s="306"/>
      <c r="W277" s="306"/>
      <c r="X277" s="306"/>
      <c r="Y277" s="169"/>
    </row>
    <row r="278" spans="5:25" s="114" customFormat="1">
      <c r="E278" s="168"/>
      <c r="F278" s="115"/>
      <c r="J278" s="305"/>
      <c r="K278" s="305"/>
      <c r="P278" s="168"/>
      <c r="Q278" s="115"/>
      <c r="R278" s="306"/>
      <c r="S278" s="306"/>
      <c r="T278" s="306"/>
      <c r="U278" s="306"/>
      <c r="V278" s="306"/>
      <c r="W278" s="306"/>
      <c r="X278" s="306"/>
      <c r="Y278" s="169"/>
    </row>
    <row r="279" spans="5:25" s="114" customFormat="1">
      <c r="E279" s="168"/>
      <c r="F279" s="115"/>
      <c r="J279" s="305"/>
      <c r="K279" s="305"/>
      <c r="P279" s="168"/>
      <c r="Q279" s="115"/>
      <c r="R279" s="306"/>
      <c r="S279" s="306"/>
      <c r="T279" s="306"/>
      <c r="U279" s="306"/>
      <c r="V279" s="306"/>
      <c r="W279" s="306"/>
      <c r="X279" s="306"/>
      <c r="Y279" s="169"/>
    </row>
    <row r="280" spans="5:25" s="114" customFormat="1">
      <c r="E280" s="168"/>
      <c r="F280" s="115"/>
      <c r="J280" s="305"/>
      <c r="K280" s="305"/>
      <c r="P280" s="168"/>
      <c r="Q280" s="115"/>
      <c r="R280" s="306"/>
      <c r="S280" s="306"/>
      <c r="T280" s="306"/>
      <c r="U280" s="306"/>
      <c r="V280" s="306"/>
      <c r="W280" s="306"/>
      <c r="X280" s="306"/>
      <c r="Y280" s="169"/>
    </row>
    <row r="281" spans="5:25" s="114" customFormat="1">
      <c r="E281" s="168"/>
      <c r="F281" s="115"/>
      <c r="J281" s="305"/>
      <c r="K281" s="305"/>
      <c r="P281" s="168"/>
      <c r="Q281" s="115"/>
      <c r="R281" s="306"/>
      <c r="S281" s="306"/>
      <c r="T281" s="306"/>
      <c r="U281" s="306"/>
      <c r="V281" s="306"/>
      <c r="W281" s="306"/>
      <c r="X281" s="306"/>
      <c r="Y281" s="169"/>
    </row>
    <row r="282" spans="5:25" s="114" customFormat="1">
      <c r="E282" s="168"/>
      <c r="F282" s="115"/>
      <c r="J282" s="305"/>
      <c r="K282" s="305"/>
      <c r="P282" s="168"/>
      <c r="Q282" s="115"/>
      <c r="R282" s="306"/>
      <c r="S282" s="306"/>
      <c r="T282" s="306"/>
      <c r="U282" s="306"/>
      <c r="V282" s="306"/>
      <c r="W282" s="306"/>
      <c r="X282" s="306"/>
      <c r="Y282" s="169"/>
    </row>
    <row r="283" spans="5:25" s="114" customFormat="1">
      <c r="E283" s="168"/>
      <c r="F283" s="115"/>
      <c r="J283" s="305"/>
      <c r="K283" s="305"/>
      <c r="P283" s="168"/>
      <c r="Q283" s="115"/>
      <c r="R283" s="306"/>
      <c r="S283" s="306"/>
      <c r="T283" s="306"/>
      <c r="U283" s="306"/>
      <c r="V283" s="306"/>
      <c r="W283" s="306"/>
      <c r="X283" s="306"/>
      <c r="Y283" s="169"/>
    </row>
    <row r="284" spans="5:25" s="114" customFormat="1">
      <c r="E284" s="168"/>
      <c r="F284" s="115"/>
      <c r="J284" s="305"/>
      <c r="K284" s="305"/>
      <c r="P284" s="168"/>
      <c r="Q284" s="115"/>
      <c r="R284" s="306"/>
      <c r="S284" s="306"/>
      <c r="T284" s="306"/>
      <c r="U284" s="306"/>
      <c r="V284" s="306"/>
      <c r="W284" s="306"/>
      <c r="X284" s="306"/>
      <c r="Y284" s="169"/>
    </row>
    <row r="285" spans="5:25" s="114" customFormat="1">
      <c r="E285" s="168"/>
      <c r="F285" s="115"/>
      <c r="J285" s="305"/>
      <c r="K285" s="305"/>
      <c r="P285" s="168"/>
      <c r="Q285" s="115"/>
      <c r="R285" s="306"/>
      <c r="S285" s="306"/>
      <c r="T285" s="306"/>
      <c r="U285" s="306"/>
      <c r="V285" s="306"/>
      <c r="W285" s="306"/>
      <c r="X285" s="306"/>
      <c r="Y285" s="169"/>
    </row>
    <row r="286" spans="5:25" s="114" customFormat="1">
      <c r="E286" s="168"/>
      <c r="F286" s="115"/>
      <c r="J286" s="305"/>
      <c r="K286" s="305"/>
      <c r="P286" s="168"/>
      <c r="Q286" s="115"/>
      <c r="R286" s="306"/>
      <c r="S286" s="306"/>
      <c r="T286" s="306"/>
      <c r="U286" s="306"/>
      <c r="V286" s="306"/>
      <c r="W286" s="306"/>
      <c r="X286" s="306"/>
      <c r="Y286" s="169"/>
    </row>
    <row r="287" spans="5:25" s="114" customFormat="1">
      <c r="E287" s="168"/>
      <c r="F287" s="115"/>
      <c r="J287" s="305"/>
      <c r="K287" s="305"/>
      <c r="P287" s="168"/>
      <c r="Q287" s="115"/>
      <c r="R287" s="306"/>
      <c r="S287" s="306"/>
      <c r="T287" s="306"/>
      <c r="U287" s="306"/>
      <c r="V287" s="306"/>
      <c r="W287" s="306"/>
      <c r="X287" s="306"/>
      <c r="Y287" s="169"/>
    </row>
    <row r="288" spans="5:25" s="114" customFormat="1">
      <c r="E288" s="168"/>
      <c r="F288" s="115"/>
      <c r="J288" s="305"/>
      <c r="K288" s="305"/>
      <c r="P288" s="168"/>
      <c r="Q288" s="115"/>
      <c r="R288" s="306"/>
      <c r="S288" s="306"/>
      <c r="T288" s="306"/>
      <c r="U288" s="306"/>
      <c r="V288" s="306"/>
      <c r="W288" s="306"/>
      <c r="X288" s="306"/>
      <c r="Y288" s="169"/>
    </row>
    <row r="289" spans="5:25" s="114" customFormat="1">
      <c r="E289" s="168"/>
      <c r="F289" s="115"/>
      <c r="J289" s="305"/>
      <c r="K289" s="305"/>
      <c r="P289" s="168"/>
      <c r="Q289" s="115"/>
      <c r="R289" s="306"/>
      <c r="S289" s="306"/>
      <c r="T289" s="306"/>
      <c r="U289" s="306"/>
      <c r="V289" s="306"/>
      <c r="W289" s="306"/>
      <c r="X289" s="306"/>
      <c r="Y289" s="169"/>
    </row>
    <row r="290" spans="5:25" s="114" customFormat="1">
      <c r="E290" s="168"/>
      <c r="F290" s="115"/>
      <c r="J290" s="305"/>
      <c r="K290" s="305"/>
      <c r="P290" s="168"/>
      <c r="Q290" s="115"/>
      <c r="R290" s="306"/>
      <c r="S290" s="306"/>
      <c r="T290" s="306"/>
      <c r="U290" s="306"/>
      <c r="V290" s="306"/>
      <c r="W290" s="306"/>
      <c r="X290" s="306"/>
      <c r="Y290" s="169"/>
    </row>
    <row r="291" spans="5:25" s="114" customFormat="1">
      <c r="E291" s="168"/>
      <c r="F291" s="115"/>
      <c r="J291" s="305"/>
      <c r="K291" s="305"/>
      <c r="P291" s="168"/>
      <c r="Q291" s="115"/>
      <c r="R291" s="306"/>
      <c r="S291" s="306"/>
      <c r="T291" s="306"/>
      <c r="U291" s="306"/>
      <c r="V291" s="306"/>
      <c r="W291" s="306"/>
      <c r="X291" s="306"/>
      <c r="Y291" s="169"/>
    </row>
    <row r="292" spans="5:25" s="114" customFormat="1">
      <c r="E292" s="168"/>
      <c r="F292" s="115"/>
      <c r="J292" s="305"/>
      <c r="K292" s="305"/>
      <c r="P292" s="168"/>
      <c r="Q292" s="115"/>
      <c r="R292" s="306"/>
      <c r="S292" s="306"/>
      <c r="T292" s="306"/>
      <c r="U292" s="306"/>
      <c r="V292" s="306"/>
      <c r="W292" s="306"/>
      <c r="X292" s="306"/>
      <c r="Y292" s="169"/>
    </row>
    <row r="293" spans="5:25" s="114" customFormat="1">
      <c r="E293" s="168"/>
      <c r="F293" s="115"/>
      <c r="J293" s="305"/>
      <c r="K293" s="305"/>
      <c r="P293" s="168"/>
      <c r="Q293" s="115"/>
      <c r="R293" s="306"/>
      <c r="S293" s="306"/>
      <c r="T293" s="306"/>
      <c r="U293" s="306"/>
      <c r="V293" s="306"/>
      <c r="W293" s="306"/>
      <c r="X293" s="306"/>
      <c r="Y293" s="169"/>
    </row>
    <row r="294" spans="5:25" s="114" customFormat="1">
      <c r="E294" s="168"/>
      <c r="F294" s="115"/>
      <c r="J294" s="305"/>
      <c r="K294" s="305"/>
      <c r="P294" s="168"/>
      <c r="Q294" s="115"/>
      <c r="R294" s="306"/>
      <c r="S294" s="306"/>
      <c r="T294" s="306"/>
      <c r="U294" s="306"/>
      <c r="V294" s="306"/>
      <c r="W294" s="306"/>
      <c r="X294" s="306"/>
      <c r="Y294" s="169"/>
    </row>
    <row r="295" spans="5:25" s="114" customFormat="1">
      <c r="E295" s="168"/>
      <c r="F295" s="115"/>
      <c r="J295" s="305"/>
      <c r="K295" s="305"/>
      <c r="P295" s="168"/>
      <c r="Q295" s="115"/>
      <c r="R295" s="306"/>
      <c r="S295" s="306"/>
      <c r="T295" s="306"/>
      <c r="U295" s="306"/>
      <c r="V295" s="306"/>
      <c r="W295" s="306"/>
      <c r="X295" s="306"/>
      <c r="Y295" s="169"/>
    </row>
    <row r="296" spans="5:25" s="114" customFormat="1">
      <c r="E296" s="168"/>
      <c r="F296" s="115"/>
      <c r="J296" s="305"/>
      <c r="K296" s="305"/>
      <c r="P296" s="168"/>
      <c r="Q296" s="115"/>
      <c r="R296" s="306"/>
      <c r="S296" s="306"/>
      <c r="T296" s="306"/>
      <c r="U296" s="306"/>
      <c r="V296" s="306"/>
      <c r="W296" s="306"/>
      <c r="X296" s="306"/>
      <c r="Y296" s="169"/>
    </row>
    <row r="297" spans="5:25" s="114" customFormat="1">
      <c r="E297" s="168"/>
      <c r="F297" s="115"/>
      <c r="J297" s="305"/>
      <c r="K297" s="305"/>
      <c r="P297" s="168"/>
      <c r="Q297" s="115"/>
      <c r="R297" s="306"/>
      <c r="S297" s="306"/>
      <c r="T297" s="306"/>
      <c r="U297" s="306"/>
      <c r="V297" s="306"/>
      <c r="W297" s="306"/>
      <c r="X297" s="306"/>
      <c r="Y297" s="169"/>
    </row>
    <row r="298" spans="5:25" s="114" customFormat="1">
      <c r="E298" s="168"/>
      <c r="F298" s="115"/>
      <c r="J298" s="305"/>
      <c r="K298" s="305"/>
      <c r="P298" s="168"/>
      <c r="Q298" s="115"/>
      <c r="R298" s="306"/>
      <c r="S298" s="306"/>
      <c r="T298" s="306"/>
      <c r="U298" s="306"/>
      <c r="V298" s="306"/>
      <c r="W298" s="306"/>
      <c r="X298" s="306"/>
      <c r="Y298" s="169"/>
    </row>
    <row r="299" spans="5:25" s="114" customFormat="1">
      <c r="E299" s="168"/>
      <c r="F299" s="115"/>
      <c r="J299" s="305"/>
      <c r="K299" s="305"/>
      <c r="P299" s="168"/>
      <c r="Q299" s="115"/>
      <c r="R299" s="306"/>
      <c r="S299" s="306"/>
      <c r="T299" s="306"/>
      <c r="U299" s="306"/>
      <c r="V299" s="306"/>
      <c r="W299" s="306"/>
      <c r="X299" s="306"/>
      <c r="Y299" s="169"/>
    </row>
    <row r="300" spans="5:25" s="114" customFormat="1">
      <c r="E300" s="168"/>
      <c r="F300" s="115"/>
      <c r="J300" s="305"/>
      <c r="K300" s="305"/>
      <c r="P300" s="168"/>
      <c r="Q300" s="115"/>
      <c r="R300" s="306"/>
      <c r="S300" s="306"/>
      <c r="T300" s="306"/>
      <c r="U300" s="306"/>
      <c r="V300" s="306"/>
      <c r="W300" s="306"/>
      <c r="X300" s="306"/>
      <c r="Y300" s="169"/>
    </row>
    <row r="301" spans="5:25" s="114" customFormat="1">
      <c r="E301" s="168"/>
      <c r="F301" s="115"/>
      <c r="J301" s="305"/>
      <c r="K301" s="305"/>
      <c r="P301" s="168"/>
      <c r="Q301" s="115"/>
      <c r="R301" s="306"/>
      <c r="S301" s="306"/>
      <c r="T301" s="306"/>
      <c r="U301" s="306"/>
      <c r="V301" s="306"/>
      <c r="W301" s="306"/>
      <c r="X301" s="306"/>
      <c r="Y301" s="169"/>
    </row>
    <row r="302" spans="5:25" s="114" customFormat="1">
      <c r="E302" s="168"/>
      <c r="F302" s="115"/>
      <c r="J302" s="305"/>
      <c r="K302" s="305"/>
      <c r="P302" s="168"/>
      <c r="Q302" s="115"/>
      <c r="R302" s="306"/>
      <c r="S302" s="306"/>
      <c r="T302" s="306"/>
      <c r="U302" s="306"/>
      <c r="V302" s="306"/>
      <c r="W302" s="306"/>
      <c r="X302" s="306"/>
      <c r="Y302" s="169"/>
    </row>
    <row r="303" spans="5:25" s="114" customFormat="1">
      <c r="E303" s="168"/>
      <c r="F303" s="115"/>
      <c r="J303" s="305"/>
      <c r="K303" s="305"/>
      <c r="P303" s="168"/>
      <c r="Q303" s="115"/>
      <c r="R303" s="306"/>
      <c r="S303" s="306"/>
      <c r="T303" s="306"/>
      <c r="U303" s="306"/>
      <c r="V303" s="306"/>
      <c r="W303" s="306"/>
      <c r="X303" s="306"/>
      <c r="Y303" s="169"/>
    </row>
    <row r="304" spans="5:25" s="114" customFormat="1">
      <c r="E304" s="168"/>
      <c r="F304" s="115"/>
      <c r="J304" s="305"/>
      <c r="K304" s="305"/>
      <c r="P304" s="168"/>
      <c r="Q304" s="115"/>
      <c r="R304" s="306"/>
      <c r="S304" s="306"/>
      <c r="T304" s="306"/>
      <c r="U304" s="306"/>
      <c r="V304" s="306"/>
      <c r="W304" s="306"/>
      <c r="X304" s="306"/>
      <c r="Y304" s="169"/>
    </row>
    <row r="305" spans="5:25" s="114" customFormat="1">
      <c r="E305" s="168"/>
      <c r="F305" s="115"/>
      <c r="J305" s="305"/>
      <c r="K305" s="305"/>
      <c r="P305" s="168"/>
      <c r="Q305" s="115"/>
      <c r="R305" s="306"/>
      <c r="S305" s="306"/>
      <c r="T305" s="306"/>
      <c r="U305" s="306"/>
      <c r="V305" s="306"/>
      <c r="W305" s="306"/>
      <c r="X305" s="306"/>
      <c r="Y305" s="169"/>
    </row>
    <row r="306" spans="5:25" s="114" customFormat="1">
      <c r="E306" s="168"/>
      <c r="F306" s="115"/>
      <c r="J306" s="305"/>
      <c r="K306" s="305"/>
      <c r="P306" s="168"/>
      <c r="Q306" s="115"/>
      <c r="R306" s="306"/>
      <c r="S306" s="306"/>
      <c r="T306" s="306"/>
      <c r="U306" s="306"/>
      <c r="V306" s="306"/>
      <c r="W306" s="306"/>
      <c r="X306" s="306"/>
      <c r="Y306" s="169"/>
    </row>
    <row r="307" spans="5:25" s="114" customFormat="1">
      <c r="E307" s="168"/>
      <c r="F307" s="115"/>
      <c r="J307" s="305"/>
      <c r="K307" s="305"/>
      <c r="P307" s="168"/>
      <c r="Q307" s="115"/>
      <c r="R307" s="306"/>
      <c r="S307" s="306"/>
      <c r="T307" s="306"/>
      <c r="U307" s="306"/>
      <c r="V307" s="306"/>
      <c r="W307" s="306"/>
      <c r="X307" s="306"/>
      <c r="Y307" s="169"/>
    </row>
    <row r="308" spans="5:25" s="114" customFormat="1">
      <c r="E308" s="168"/>
      <c r="F308" s="115"/>
      <c r="J308" s="305"/>
      <c r="K308" s="305"/>
      <c r="P308" s="168"/>
      <c r="Q308" s="115"/>
      <c r="R308" s="306"/>
      <c r="S308" s="306"/>
      <c r="T308" s="306"/>
      <c r="U308" s="306"/>
      <c r="V308" s="306"/>
      <c r="W308" s="306"/>
      <c r="X308" s="306"/>
      <c r="Y308" s="169"/>
    </row>
    <row r="309" spans="5:25" s="114" customFormat="1">
      <c r="E309" s="168"/>
      <c r="F309" s="115"/>
      <c r="J309" s="305"/>
      <c r="K309" s="305"/>
      <c r="P309" s="168"/>
      <c r="Q309" s="115"/>
      <c r="R309" s="306"/>
      <c r="S309" s="306"/>
      <c r="T309" s="306"/>
      <c r="U309" s="306"/>
      <c r="V309" s="306"/>
      <c r="W309" s="306"/>
      <c r="X309" s="306"/>
      <c r="Y309" s="169"/>
    </row>
    <row r="310" spans="5:25" s="114" customFormat="1">
      <c r="E310" s="168"/>
      <c r="F310" s="115"/>
      <c r="J310" s="305"/>
      <c r="K310" s="305"/>
      <c r="P310" s="168"/>
      <c r="Q310" s="115"/>
      <c r="R310" s="306"/>
      <c r="S310" s="306"/>
      <c r="T310" s="306"/>
      <c r="U310" s="306"/>
      <c r="V310" s="306"/>
      <c r="W310" s="306"/>
      <c r="X310" s="306"/>
      <c r="Y310" s="169"/>
    </row>
    <row r="311" spans="5:25" s="114" customFormat="1">
      <c r="E311" s="168"/>
      <c r="F311" s="115"/>
      <c r="J311" s="305"/>
      <c r="K311" s="305"/>
      <c r="P311" s="168"/>
      <c r="Q311" s="115"/>
      <c r="R311" s="306"/>
      <c r="S311" s="306"/>
      <c r="T311" s="306"/>
      <c r="U311" s="306"/>
      <c r="V311" s="306"/>
      <c r="W311" s="306"/>
      <c r="X311" s="306"/>
      <c r="Y311" s="169"/>
    </row>
    <row r="312" spans="5:25" s="114" customFormat="1">
      <c r="E312" s="168"/>
      <c r="F312" s="115"/>
      <c r="J312" s="305"/>
      <c r="K312" s="305"/>
      <c r="P312" s="168"/>
      <c r="Q312" s="115"/>
      <c r="R312" s="306"/>
      <c r="S312" s="306"/>
      <c r="T312" s="306"/>
      <c r="U312" s="306"/>
      <c r="V312" s="306"/>
      <c r="W312" s="306"/>
      <c r="X312" s="306"/>
      <c r="Y312" s="169"/>
    </row>
    <row r="313" spans="5:25" s="114" customFormat="1">
      <c r="E313" s="168"/>
      <c r="F313" s="115"/>
      <c r="J313" s="305"/>
      <c r="K313" s="305"/>
      <c r="P313" s="168"/>
      <c r="Q313" s="115"/>
      <c r="R313" s="306"/>
      <c r="S313" s="306"/>
      <c r="T313" s="306"/>
      <c r="U313" s="306"/>
      <c r="V313" s="306"/>
      <c r="W313" s="306"/>
      <c r="X313" s="306"/>
      <c r="Y313" s="169"/>
    </row>
    <row r="314" spans="5:25" s="114" customFormat="1">
      <c r="E314" s="168"/>
      <c r="F314" s="115"/>
      <c r="J314" s="305"/>
      <c r="K314" s="305"/>
      <c r="P314" s="168"/>
      <c r="Q314" s="115"/>
      <c r="R314" s="306"/>
      <c r="S314" s="306"/>
      <c r="T314" s="306"/>
      <c r="U314" s="306"/>
      <c r="V314" s="306"/>
      <c r="W314" s="306"/>
      <c r="X314" s="306"/>
      <c r="Y314" s="169"/>
    </row>
    <row r="315" spans="5:25" s="114" customFormat="1">
      <c r="E315" s="168"/>
      <c r="F315" s="115"/>
      <c r="J315" s="305"/>
      <c r="K315" s="305"/>
      <c r="P315" s="168"/>
      <c r="Q315" s="115"/>
      <c r="R315" s="306"/>
      <c r="S315" s="306"/>
      <c r="T315" s="306"/>
      <c r="U315" s="306"/>
      <c r="V315" s="306"/>
      <c r="W315" s="306"/>
      <c r="X315" s="306"/>
      <c r="Y315" s="169"/>
    </row>
    <row r="316" spans="5:25" s="114" customFormat="1">
      <c r="E316" s="168"/>
      <c r="F316" s="115"/>
      <c r="J316" s="305"/>
      <c r="K316" s="305"/>
      <c r="P316" s="168"/>
      <c r="Q316" s="115"/>
      <c r="R316" s="306"/>
      <c r="S316" s="306"/>
      <c r="T316" s="306"/>
      <c r="U316" s="306"/>
      <c r="V316" s="306"/>
      <c r="W316" s="306"/>
      <c r="X316" s="306"/>
      <c r="Y316" s="169"/>
    </row>
    <row r="317" spans="5:25" s="114" customFormat="1">
      <c r="E317" s="168"/>
      <c r="F317" s="115"/>
      <c r="J317" s="305"/>
      <c r="K317" s="305"/>
      <c r="P317" s="168"/>
      <c r="Q317" s="115"/>
      <c r="R317" s="306"/>
      <c r="S317" s="306"/>
      <c r="T317" s="306"/>
      <c r="U317" s="306"/>
      <c r="V317" s="306"/>
      <c r="W317" s="306"/>
      <c r="X317" s="306"/>
      <c r="Y317" s="169"/>
    </row>
    <row r="318" spans="5:25" s="114" customFormat="1">
      <c r="E318" s="168"/>
      <c r="F318" s="115"/>
      <c r="J318" s="305"/>
      <c r="K318" s="305"/>
      <c r="P318" s="168"/>
      <c r="Q318" s="115"/>
      <c r="R318" s="306"/>
      <c r="S318" s="306"/>
      <c r="T318" s="306"/>
      <c r="U318" s="306"/>
      <c r="V318" s="306"/>
      <c r="W318" s="306"/>
      <c r="X318" s="306"/>
      <c r="Y318" s="169"/>
    </row>
    <row r="319" spans="5:25" s="114" customFormat="1">
      <c r="E319" s="168"/>
      <c r="F319" s="115"/>
      <c r="J319" s="305"/>
      <c r="K319" s="305"/>
      <c r="P319" s="168"/>
      <c r="Q319" s="115"/>
      <c r="R319" s="306"/>
      <c r="S319" s="306"/>
      <c r="T319" s="306"/>
      <c r="U319" s="306"/>
      <c r="V319" s="306"/>
      <c r="W319" s="306"/>
      <c r="X319" s="306"/>
      <c r="Y319" s="169"/>
    </row>
    <row r="320" spans="5:25" s="114" customFormat="1">
      <c r="E320" s="168"/>
      <c r="F320" s="115"/>
      <c r="J320" s="305"/>
      <c r="K320" s="305"/>
      <c r="P320" s="168"/>
      <c r="Q320" s="115"/>
      <c r="R320" s="306"/>
      <c r="S320" s="306"/>
      <c r="T320" s="306"/>
      <c r="U320" s="306"/>
      <c r="V320" s="306"/>
      <c r="W320" s="306"/>
      <c r="X320" s="306"/>
      <c r="Y320" s="169"/>
    </row>
    <row r="321" spans="5:25" s="114" customFormat="1">
      <c r="E321" s="168"/>
      <c r="F321" s="115"/>
      <c r="J321" s="305"/>
      <c r="K321" s="305"/>
      <c r="P321" s="168"/>
      <c r="Q321" s="115"/>
      <c r="R321" s="306"/>
      <c r="S321" s="306"/>
      <c r="T321" s="306"/>
      <c r="U321" s="306"/>
      <c r="V321" s="306"/>
      <c r="W321" s="306"/>
      <c r="X321" s="306"/>
      <c r="Y321" s="169"/>
    </row>
    <row r="322" spans="5:25" s="114" customFormat="1">
      <c r="E322" s="168"/>
      <c r="F322" s="115"/>
      <c r="J322" s="305"/>
      <c r="K322" s="305"/>
      <c r="P322" s="168"/>
      <c r="Q322" s="115"/>
      <c r="R322" s="306"/>
      <c r="S322" s="306"/>
      <c r="T322" s="306"/>
      <c r="U322" s="306"/>
      <c r="V322" s="306"/>
      <c r="W322" s="306"/>
      <c r="X322" s="306"/>
      <c r="Y322" s="169"/>
    </row>
    <row r="323" spans="5:25" s="114" customFormat="1">
      <c r="E323" s="168"/>
      <c r="F323" s="115"/>
      <c r="J323" s="305"/>
      <c r="K323" s="305"/>
      <c r="P323" s="168"/>
      <c r="Q323" s="115"/>
      <c r="R323" s="306"/>
      <c r="S323" s="306"/>
      <c r="T323" s="306"/>
      <c r="U323" s="306"/>
      <c r="V323" s="306"/>
      <c r="W323" s="306"/>
      <c r="X323" s="306"/>
      <c r="Y323" s="169"/>
    </row>
    <row r="324" spans="5:25" s="114" customFormat="1">
      <c r="E324" s="168"/>
      <c r="F324" s="115"/>
      <c r="J324" s="305"/>
      <c r="K324" s="305"/>
      <c r="P324" s="168"/>
      <c r="Q324" s="115"/>
      <c r="R324" s="306"/>
      <c r="S324" s="306"/>
      <c r="T324" s="306"/>
      <c r="U324" s="306"/>
      <c r="V324" s="306"/>
      <c r="W324" s="306"/>
      <c r="X324" s="306"/>
      <c r="Y324" s="169"/>
    </row>
    <row r="325" spans="5:25" s="114" customFormat="1">
      <c r="E325" s="168"/>
      <c r="F325" s="115"/>
      <c r="J325" s="305"/>
      <c r="K325" s="305"/>
      <c r="P325" s="168"/>
      <c r="Q325" s="115"/>
      <c r="R325" s="306"/>
      <c r="S325" s="306"/>
      <c r="T325" s="306"/>
      <c r="U325" s="306"/>
      <c r="V325" s="306"/>
      <c r="W325" s="306"/>
      <c r="X325" s="306"/>
      <c r="Y325" s="169"/>
    </row>
    <row r="326" spans="5:25" s="114" customFormat="1">
      <c r="E326" s="168"/>
      <c r="F326" s="115"/>
      <c r="J326" s="305"/>
      <c r="K326" s="305"/>
      <c r="P326" s="168"/>
      <c r="Q326" s="115"/>
      <c r="R326" s="306"/>
      <c r="S326" s="306"/>
      <c r="T326" s="306"/>
      <c r="U326" s="306"/>
      <c r="V326" s="306"/>
      <c r="W326" s="306"/>
      <c r="X326" s="306"/>
      <c r="Y326" s="169"/>
    </row>
    <row r="327" spans="5:25" s="114" customFormat="1">
      <c r="E327" s="168"/>
      <c r="F327" s="115"/>
      <c r="J327" s="305"/>
      <c r="K327" s="305"/>
      <c r="P327" s="168"/>
      <c r="Q327" s="115"/>
      <c r="R327" s="306"/>
      <c r="S327" s="306"/>
      <c r="T327" s="306"/>
      <c r="U327" s="306"/>
      <c r="V327" s="306"/>
      <c r="W327" s="306"/>
      <c r="X327" s="306"/>
      <c r="Y327" s="169"/>
    </row>
    <row r="328" spans="5:25" s="114" customFormat="1">
      <c r="E328" s="168"/>
      <c r="F328" s="115"/>
      <c r="J328" s="305"/>
      <c r="K328" s="305"/>
      <c r="P328" s="168"/>
      <c r="Q328" s="115"/>
      <c r="R328" s="306"/>
      <c r="S328" s="306"/>
      <c r="T328" s="306"/>
      <c r="U328" s="306"/>
      <c r="V328" s="306"/>
      <c r="W328" s="306"/>
      <c r="X328" s="306"/>
      <c r="Y328" s="169"/>
    </row>
    <row r="329" spans="5:25" s="114" customFormat="1">
      <c r="E329" s="168"/>
      <c r="F329" s="115"/>
      <c r="J329" s="305"/>
      <c r="K329" s="305"/>
      <c r="P329" s="168"/>
      <c r="Q329" s="115"/>
      <c r="R329" s="306"/>
      <c r="S329" s="306"/>
      <c r="T329" s="306"/>
      <c r="U329" s="306"/>
      <c r="V329" s="306"/>
      <c r="W329" s="306"/>
      <c r="X329" s="306"/>
      <c r="Y329" s="169"/>
    </row>
    <row r="330" spans="5:25" s="114" customFormat="1">
      <c r="E330" s="168"/>
      <c r="F330" s="115"/>
      <c r="J330" s="305"/>
      <c r="K330" s="305"/>
      <c r="P330" s="168"/>
      <c r="Q330" s="115"/>
      <c r="R330" s="306"/>
      <c r="S330" s="306"/>
      <c r="T330" s="306"/>
      <c r="U330" s="306"/>
      <c r="V330" s="306"/>
      <c r="W330" s="306"/>
      <c r="X330" s="306"/>
      <c r="Y330" s="169"/>
    </row>
    <row r="331" spans="5:25" s="114" customFormat="1">
      <c r="E331" s="168"/>
      <c r="F331" s="115"/>
      <c r="J331" s="305"/>
      <c r="K331" s="305"/>
      <c r="P331" s="168"/>
      <c r="Q331" s="115"/>
      <c r="R331" s="306"/>
      <c r="S331" s="306"/>
      <c r="T331" s="306"/>
      <c r="U331" s="306"/>
      <c r="V331" s="306"/>
      <c r="W331" s="306"/>
      <c r="X331" s="306"/>
      <c r="Y331" s="169"/>
    </row>
    <row r="332" spans="5:25" s="114" customFormat="1">
      <c r="E332" s="168"/>
      <c r="F332" s="115"/>
      <c r="J332" s="305"/>
      <c r="K332" s="305"/>
      <c r="P332" s="168"/>
      <c r="Q332" s="115"/>
      <c r="R332" s="306"/>
      <c r="S332" s="306"/>
      <c r="T332" s="306"/>
      <c r="U332" s="306"/>
      <c r="V332" s="306"/>
      <c r="W332" s="306"/>
      <c r="X332" s="306"/>
      <c r="Y332" s="169"/>
    </row>
    <row r="333" spans="5:25" s="114" customFormat="1">
      <c r="E333" s="168"/>
      <c r="F333" s="115"/>
      <c r="J333" s="305"/>
      <c r="K333" s="305"/>
      <c r="P333" s="168"/>
      <c r="Q333" s="115"/>
      <c r="R333" s="306"/>
      <c r="S333" s="306"/>
      <c r="T333" s="306"/>
      <c r="U333" s="306"/>
      <c r="V333" s="306"/>
      <c r="W333" s="306"/>
      <c r="X333" s="306"/>
      <c r="Y333" s="169"/>
    </row>
    <row r="334" spans="5:25" s="114" customFormat="1">
      <c r="E334" s="168"/>
      <c r="F334" s="115"/>
      <c r="J334" s="305"/>
      <c r="K334" s="305"/>
      <c r="P334" s="168"/>
      <c r="Q334" s="115"/>
      <c r="R334" s="306"/>
      <c r="S334" s="306"/>
      <c r="T334" s="306"/>
      <c r="U334" s="306"/>
      <c r="V334" s="306"/>
      <c r="W334" s="306"/>
      <c r="X334" s="306"/>
      <c r="Y334" s="169"/>
    </row>
    <row r="335" spans="5:25" s="114" customFormat="1">
      <c r="E335" s="168"/>
      <c r="F335" s="115"/>
      <c r="J335" s="305"/>
      <c r="K335" s="305"/>
      <c r="P335" s="168"/>
      <c r="Q335" s="115"/>
      <c r="R335" s="306"/>
      <c r="S335" s="306"/>
      <c r="T335" s="306"/>
      <c r="U335" s="306"/>
      <c r="V335" s="306"/>
      <c r="W335" s="306"/>
      <c r="X335" s="306"/>
      <c r="Y335" s="169"/>
    </row>
    <row r="336" spans="5:25" s="114" customFormat="1">
      <c r="E336" s="168"/>
      <c r="F336" s="115"/>
      <c r="J336" s="305"/>
      <c r="K336" s="305"/>
      <c r="P336" s="168"/>
      <c r="Q336" s="115"/>
      <c r="R336" s="306"/>
      <c r="S336" s="306"/>
      <c r="T336" s="306"/>
      <c r="U336" s="306"/>
      <c r="V336" s="306"/>
      <c r="W336" s="306"/>
      <c r="X336" s="306"/>
      <c r="Y336" s="169"/>
    </row>
    <row r="337" spans="5:25" s="114" customFormat="1">
      <c r="E337" s="168"/>
      <c r="F337" s="115"/>
      <c r="J337" s="305"/>
      <c r="K337" s="305"/>
      <c r="P337" s="168"/>
      <c r="Q337" s="115"/>
      <c r="R337" s="306"/>
      <c r="S337" s="306"/>
      <c r="T337" s="306"/>
      <c r="U337" s="306"/>
      <c r="V337" s="306"/>
      <c r="W337" s="306"/>
      <c r="X337" s="306"/>
      <c r="Y337" s="169"/>
    </row>
    <row r="338" spans="5:25" s="114" customFormat="1">
      <c r="E338" s="168"/>
      <c r="F338" s="115"/>
      <c r="J338" s="305"/>
      <c r="K338" s="305"/>
      <c r="P338" s="168"/>
      <c r="Q338" s="115"/>
      <c r="R338" s="306"/>
      <c r="S338" s="306"/>
      <c r="T338" s="306"/>
      <c r="U338" s="306"/>
      <c r="V338" s="306"/>
      <c r="W338" s="306"/>
      <c r="X338" s="306"/>
      <c r="Y338" s="169"/>
    </row>
    <row r="339" spans="5:25" s="114" customFormat="1">
      <c r="E339" s="168"/>
      <c r="F339" s="115"/>
      <c r="J339" s="305"/>
      <c r="K339" s="305"/>
      <c r="P339" s="168"/>
      <c r="Q339" s="115"/>
      <c r="R339" s="306"/>
      <c r="S339" s="306"/>
      <c r="T339" s="306"/>
      <c r="U339" s="306"/>
      <c r="V339" s="306"/>
      <c r="W339" s="306"/>
      <c r="X339" s="306"/>
      <c r="Y339" s="169"/>
    </row>
    <row r="340" spans="5:25" s="114" customFormat="1">
      <c r="E340" s="168"/>
      <c r="F340" s="115"/>
      <c r="J340" s="305"/>
      <c r="K340" s="305"/>
      <c r="P340" s="168"/>
      <c r="Q340" s="115"/>
      <c r="R340" s="306"/>
      <c r="S340" s="306"/>
      <c r="T340" s="306"/>
      <c r="U340" s="306"/>
      <c r="V340" s="306"/>
      <c r="W340" s="306"/>
      <c r="X340" s="306"/>
      <c r="Y340" s="169"/>
    </row>
    <row r="341" spans="5:25" s="114" customFormat="1">
      <c r="E341" s="168"/>
      <c r="F341" s="115"/>
      <c r="J341" s="305"/>
      <c r="K341" s="305"/>
      <c r="P341" s="168"/>
      <c r="Q341" s="115"/>
      <c r="R341" s="306"/>
      <c r="S341" s="306"/>
      <c r="T341" s="306"/>
      <c r="U341" s="306"/>
      <c r="V341" s="306"/>
      <c r="W341" s="306"/>
      <c r="X341" s="306"/>
      <c r="Y341" s="169"/>
    </row>
    <row r="342" spans="5:25" s="114" customFormat="1">
      <c r="E342" s="168"/>
      <c r="F342" s="115"/>
      <c r="J342" s="305"/>
      <c r="K342" s="305"/>
      <c r="P342" s="168"/>
      <c r="Q342" s="115"/>
      <c r="R342" s="306"/>
      <c r="S342" s="306"/>
      <c r="T342" s="306"/>
      <c r="U342" s="306"/>
      <c r="V342" s="306"/>
      <c r="W342" s="306"/>
      <c r="X342" s="306"/>
      <c r="Y342" s="169"/>
    </row>
    <row r="343" spans="5:25" s="114" customFormat="1">
      <c r="E343" s="168"/>
      <c r="F343" s="115"/>
      <c r="J343" s="305"/>
      <c r="K343" s="305"/>
      <c r="P343" s="168"/>
      <c r="Q343" s="115"/>
      <c r="R343" s="306"/>
      <c r="S343" s="306"/>
      <c r="T343" s="306"/>
      <c r="U343" s="306"/>
      <c r="V343" s="306"/>
      <c r="W343" s="306"/>
      <c r="X343" s="306"/>
      <c r="Y343" s="169"/>
    </row>
    <row r="344" spans="5:25" s="114" customFormat="1">
      <c r="E344" s="168"/>
      <c r="F344" s="115"/>
      <c r="J344" s="305"/>
      <c r="K344" s="305"/>
      <c r="P344" s="168"/>
      <c r="Q344" s="115"/>
      <c r="R344" s="306"/>
      <c r="S344" s="306"/>
      <c r="T344" s="306"/>
      <c r="U344" s="306"/>
      <c r="V344" s="306"/>
      <c r="W344" s="306"/>
      <c r="X344" s="306"/>
      <c r="Y344" s="169"/>
    </row>
    <row r="345" spans="5:25" s="114" customFormat="1">
      <c r="E345" s="168"/>
      <c r="F345" s="115"/>
      <c r="J345" s="305"/>
      <c r="K345" s="305"/>
      <c r="P345" s="168"/>
      <c r="Q345" s="115"/>
      <c r="R345" s="306"/>
      <c r="S345" s="306"/>
      <c r="T345" s="306"/>
      <c r="U345" s="306"/>
      <c r="V345" s="306"/>
      <c r="W345" s="306"/>
      <c r="X345" s="306"/>
      <c r="Y345" s="169"/>
    </row>
    <row r="346" spans="5:25" s="114" customFormat="1">
      <c r="E346" s="168"/>
      <c r="F346" s="115"/>
      <c r="J346" s="305"/>
      <c r="K346" s="305"/>
      <c r="P346" s="168"/>
      <c r="Q346" s="115"/>
      <c r="R346" s="306"/>
      <c r="S346" s="306"/>
      <c r="T346" s="306"/>
      <c r="U346" s="306"/>
      <c r="V346" s="306"/>
      <c r="W346" s="306"/>
      <c r="X346" s="306"/>
      <c r="Y346" s="169"/>
    </row>
    <row r="347" spans="5:25" s="114" customFormat="1">
      <c r="E347" s="168"/>
      <c r="F347" s="115"/>
      <c r="J347" s="305"/>
      <c r="K347" s="305"/>
      <c r="P347" s="168"/>
      <c r="Q347" s="115"/>
      <c r="R347" s="306"/>
      <c r="S347" s="306"/>
      <c r="T347" s="306"/>
      <c r="U347" s="306"/>
      <c r="V347" s="306"/>
      <c r="W347" s="306"/>
      <c r="X347" s="306"/>
      <c r="Y347" s="169"/>
    </row>
    <row r="348" spans="5:25" s="114" customFormat="1">
      <c r="E348" s="168"/>
      <c r="F348" s="115"/>
      <c r="J348" s="305"/>
      <c r="K348" s="305"/>
      <c r="P348" s="168"/>
      <c r="Q348" s="115"/>
      <c r="R348" s="306"/>
      <c r="S348" s="306"/>
      <c r="T348" s="306"/>
      <c r="U348" s="306"/>
      <c r="V348" s="306"/>
      <c r="W348" s="306"/>
      <c r="X348" s="306"/>
      <c r="Y348" s="169"/>
    </row>
    <row r="349" spans="5:25" s="114" customFormat="1">
      <c r="E349" s="168"/>
      <c r="F349" s="115"/>
      <c r="J349" s="305"/>
      <c r="K349" s="305"/>
      <c r="P349" s="168"/>
      <c r="Q349" s="115"/>
      <c r="R349" s="306"/>
      <c r="S349" s="306"/>
      <c r="T349" s="306"/>
      <c r="U349" s="306"/>
      <c r="V349" s="306"/>
      <c r="W349" s="306"/>
      <c r="X349" s="306"/>
      <c r="Y349" s="169"/>
    </row>
    <row r="350" spans="5:25" s="114" customFormat="1">
      <c r="E350" s="168"/>
      <c r="F350" s="115"/>
      <c r="J350" s="305"/>
      <c r="K350" s="305"/>
      <c r="P350" s="168"/>
      <c r="Q350" s="115"/>
      <c r="R350" s="306"/>
      <c r="S350" s="306"/>
      <c r="T350" s="306"/>
      <c r="U350" s="306"/>
      <c r="V350" s="306"/>
      <c r="W350" s="306"/>
      <c r="X350" s="306"/>
      <c r="Y350" s="169"/>
    </row>
    <row r="351" spans="5:25" s="114" customFormat="1">
      <c r="E351" s="168"/>
      <c r="F351" s="115"/>
      <c r="J351" s="305"/>
      <c r="K351" s="305"/>
      <c r="P351" s="168"/>
      <c r="Q351" s="115"/>
      <c r="R351" s="306"/>
      <c r="S351" s="306"/>
      <c r="T351" s="306"/>
      <c r="U351" s="306"/>
      <c r="V351" s="306"/>
      <c r="W351" s="306"/>
      <c r="X351" s="306"/>
      <c r="Y351" s="169"/>
    </row>
    <row r="352" spans="5:25" s="114" customFormat="1">
      <c r="E352" s="168"/>
      <c r="F352" s="115"/>
      <c r="J352" s="305"/>
      <c r="K352" s="305"/>
      <c r="P352" s="168"/>
      <c r="Q352" s="115"/>
      <c r="R352" s="306"/>
      <c r="S352" s="306"/>
      <c r="T352" s="306"/>
      <c r="U352" s="306"/>
      <c r="V352" s="306"/>
      <c r="W352" s="306"/>
      <c r="X352" s="306"/>
      <c r="Y352" s="169"/>
    </row>
    <row r="353" spans="5:25" s="114" customFormat="1">
      <c r="E353" s="168"/>
      <c r="F353" s="115"/>
      <c r="J353" s="305"/>
      <c r="K353" s="305"/>
      <c r="P353" s="168"/>
      <c r="Q353" s="115"/>
      <c r="R353" s="306"/>
      <c r="S353" s="306"/>
      <c r="T353" s="306"/>
      <c r="U353" s="306"/>
      <c r="V353" s="306"/>
      <c r="W353" s="306"/>
      <c r="X353" s="306"/>
      <c r="Y353" s="169"/>
    </row>
    <row r="354" spans="5:25" s="114" customFormat="1">
      <c r="E354" s="168"/>
      <c r="F354" s="115"/>
      <c r="J354" s="305"/>
      <c r="K354" s="305"/>
      <c r="P354" s="168"/>
      <c r="Q354" s="115"/>
      <c r="R354" s="306"/>
      <c r="S354" s="306"/>
      <c r="T354" s="306"/>
      <c r="U354" s="306"/>
      <c r="V354" s="306"/>
      <c r="W354" s="306"/>
      <c r="X354" s="306"/>
      <c r="Y354" s="169"/>
    </row>
    <row r="355" spans="5:25" s="114" customFormat="1">
      <c r="E355" s="168"/>
      <c r="F355" s="115"/>
      <c r="J355" s="305"/>
      <c r="K355" s="305"/>
      <c r="P355" s="168"/>
      <c r="Q355" s="115"/>
      <c r="R355" s="306"/>
      <c r="S355" s="306"/>
      <c r="T355" s="306"/>
      <c r="U355" s="306"/>
      <c r="V355" s="306"/>
      <c r="W355" s="306"/>
      <c r="X355" s="306"/>
      <c r="Y355" s="169"/>
    </row>
    <row r="356" spans="5:25" s="114" customFormat="1">
      <c r="E356" s="168"/>
      <c r="F356" s="115"/>
      <c r="J356" s="305"/>
      <c r="K356" s="305"/>
      <c r="P356" s="168"/>
      <c r="Q356" s="115"/>
      <c r="R356" s="306"/>
      <c r="S356" s="306"/>
      <c r="T356" s="306"/>
      <c r="U356" s="306"/>
      <c r="V356" s="306"/>
      <c r="W356" s="306"/>
      <c r="X356" s="306"/>
      <c r="Y356" s="169"/>
    </row>
    <row r="357" spans="5:25" s="114" customFormat="1">
      <c r="E357" s="168"/>
      <c r="F357" s="115"/>
      <c r="J357" s="305"/>
      <c r="K357" s="305"/>
      <c r="P357" s="168"/>
      <c r="Q357" s="115"/>
      <c r="R357" s="306"/>
      <c r="S357" s="306"/>
      <c r="T357" s="306"/>
      <c r="U357" s="306"/>
      <c r="V357" s="306"/>
      <c r="W357" s="306"/>
      <c r="X357" s="306"/>
      <c r="Y357" s="169"/>
    </row>
    <row r="358" spans="5:25" s="114" customFormat="1">
      <c r="E358" s="168"/>
      <c r="F358" s="115"/>
      <c r="J358" s="305"/>
      <c r="K358" s="305"/>
      <c r="P358" s="168"/>
      <c r="Q358" s="115"/>
      <c r="R358" s="306"/>
      <c r="S358" s="306"/>
      <c r="T358" s="306"/>
      <c r="U358" s="306"/>
      <c r="V358" s="306"/>
      <c r="W358" s="306"/>
      <c r="X358" s="306"/>
      <c r="Y358" s="169"/>
    </row>
    <row r="359" spans="5:25" s="114" customFormat="1">
      <c r="E359" s="168"/>
      <c r="F359" s="115"/>
      <c r="J359" s="305"/>
      <c r="K359" s="305"/>
      <c r="P359" s="168"/>
      <c r="Q359" s="115"/>
      <c r="R359" s="306"/>
      <c r="S359" s="306"/>
      <c r="T359" s="306"/>
      <c r="U359" s="306"/>
      <c r="V359" s="306"/>
      <c r="W359" s="306"/>
      <c r="X359" s="306"/>
      <c r="Y359" s="169"/>
    </row>
    <row r="360" spans="5:25" s="114" customFormat="1">
      <c r="E360" s="168"/>
      <c r="F360" s="115"/>
      <c r="J360" s="305"/>
      <c r="K360" s="305"/>
      <c r="P360" s="168"/>
      <c r="Q360" s="115"/>
      <c r="R360" s="306"/>
      <c r="S360" s="306"/>
      <c r="T360" s="306"/>
      <c r="U360" s="306"/>
      <c r="V360" s="306"/>
      <c r="W360" s="306"/>
      <c r="X360" s="306"/>
      <c r="Y360" s="169"/>
    </row>
    <row r="361" spans="5:25" s="114" customFormat="1">
      <c r="E361" s="168"/>
      <c r="F361" s="115"/>
      <c r="J361" s="305"/>
      <c r="K361" s="305"/>
      <c r="P361" s="168"/>
      <c r="Q361" s="115"/>
      <c r="R361" s="306"/>
      <c r="S361" s="306"/>
      <c r="T361" s="306"/>
      <c r="U361" s="306"/>
      <c r="V361" s="306"/>
      <c r="W361" s="306"/>
      <c r="X361" s="306"/>
      <c r="Y361" s="169"/>
    </row>
    <row r="362" spans="5:25" s="114" customFormat="1">
      <c r="E362" s="168"/>
      <c r="F362" s="115"/>
      <c r="J362" s="305"/>
      <c r="K362" s="305"/>
      <c r="P362" s="168"/>
      <c r="Q362" s="115"/>
      <c r="R362" s="306"/>
      <c r="S362" s="306"/>
      <c r="T362" s="306"/>
      <c r="U362" s="306"/>
      <c r="V362" s="306"/>
      <c r="W362" s="306"/>
      <c r="X362" s="306"/>
      <c r="Y362" s="169"/>
    </row>
    <row r="363" spans="5:25" s="114" customFormat="1">
      <c r="E363" s="168"/>
      <c r="F363" s="115"/>
      <c r="J363" s="305"/>
      <c r="K363" s="305"/>
      <c r="P363" s="168"/>
      <c r="Q363" s="115"/>
      <c r="R363" s="306"/>
      <c r="S363" s="306"/>
      <c r="T363" s="306"/>
      <c r="U363" s="306"/>
      <c r="V363" s="306"/>
      <c r="W363" s="306"/>
      <c r="X363" s="306"/>
      <c r="Y363" s="169"/>
    </row>
    <row r="364" spans="5:25" s="114" customFormat="1">
      <c r="E364" s="168"/>
      <c r="F364" s="115"/>
      <c r="J364" s="305"/>
      <c r="K364" s="305"/>
      <c r="P364" s="168"/>
      <c r="Q364" s="115"/>
      <c r="R364" s="306"/>
      <c r="S364" s="306"/>
      <c r="T364" s="306"/>
      <c r="U364" s="306"/>
      <c r="V364" s="306"/>
      <c r="W364" s="306"/>
      <c r="X364" s="306"/>
      <c r="Y364" s="169"/>
    </row>
    <row r="365" spans="5:25" s="114" customFormat="1">
      <c r="E365" s="168"/>
      <c r="F365" s="115"/>
      <c r="J365" s="305"/>
      <c r="K365" s="305"/>
      <c r="P365" s="168"/>
      <c r="Q365" s="115"/>
      <c r="R365" s="306"/>
      <c r="S365" s="306"/>
      <c r="T365" s="306"/>
      <c r="U365" s="306"/>
      <c r="V365" s="306"/>
      <c r="W365" s="306"/>
      <c r="X365" s="306"/>
      <c r="Y365" s="169"/>
    </row>
    <row r="366" spans="5:25" s="114" customFormat="1">
      <c r="E366" s="168"/>
      <c r="F366" s="115"/>
      <c r="J366" s="305"/>
      <c r="K366" s="305"/>
      <c r="P366" s="168"/>
      <c r="Q366" s="115"/>
      <c r="R366" s="306"/>
      <c r="S366" s="306"/>
      <c r="T366" s="306"/>
      <c r="U366" s="306"/>
      <c r="V366" s="306"/>
      <c r="W366" s="306"/>
      <c r="X366" s="306"/>
      <c r="Y366" s="169"/>
    </row>
    <row r="367" spans="5:25" s="114" customFormat="1">
      <c r="E367" s="168"/>
      <c r="F367" s="115"/>
      <c r="J367" s="305"/>
      <c r="K367" s="305"/>
      <c r="P367" s="168"/>
      <c r="Q367" s="115"/>
      <c r="R367" s="306"/>
      <c r="S367" s="306"/>
      <c r="T367" s="306"/>
      <c r="U367" s="306"/>
      <c r="V367" s="306"/>
      <c r="W367" s="306"/>
      <c r="X367" s="306"/>
      <c r="Y367" s="169"/>
    </row>
    <row r="368" spans="5:25" s="114" customFormat="1">
      <c r="E368" s="168"/>
      <c r="F368" s="115"/>
      <c r="J368" s="305"/>
      <c r="K368" s="305"/>
      <c r="P368" s="168"/>
      <c r="Q368" s="115"/>
      <c r="R368" s="306"/>
      <c r="S368" s="306"/>
      <c r="T368" s="306"/>
      <c r="U368" s="306"/>
      <c r="V368" s="306"/>
      <c r="W368" s="306"/>
      <c r="X368" s="306"/>
      <c r="Y368" s="169"/>
    </row>
    <row r="369" spans="5:25" s="114" customFormat="1">
      <c r="E369" s="168"/>
      <c r="F369" s="115"/>
      <c r="J369" s="305"/>
      <c r="K369" s="305"/>
      <c r="P369" s="168"/>
      <c r="Q369" s="115"/>
      <c r="R369" s="306"/>
      <c r="S369" s="306"/>
      <c r="T369" s="306"/>
      <c r="U369" s="306"/>
      <c r="V369" s="306"/>
      <c r="W369" s="306"/>
      <c r="X369" s="306"/>
      <c r="Y369" s="169"/>
    </row>
    <row r="370" spans="5:25" s="114" customFormat="1">
      <c r="E370" s="168"/>
      <c r="F370" s="115"/>
      <c r="J370" s="305"/>
      <c r="K370" s="305"/>
      <c r="P370" s="168"/>
      <c r="Q370" s="115"/>
      <c r="R370" s="306"/>
      <c r="S370" s="306"/>
      <c r="T370" s="306"/>
      <c r="U370" s="306"/>
      <c r="V370" s="306"/>
      <c r="W370" s="306"/>
      <c r="X370" s="306"/>
      <c r="Y370" s="169"/>
    </row>
    <row r="371" spans="5:25" s="114" customFormat="1">
      <c r="E371" s="168"/>
      <c r="F371" s="115"/>
      <c r="J371" s="305"/>
      <c r="K371" s="305"/>
      <c r="P371" s="168"/>
      <c r="Q371" s="115"/>
      <c r="R371" s="306"/>
      <c r="S371" s="306"/>
      <c r="T371" s="306"/>
      <c r="U371" s="306"/>
      <c r="V371" s="306"/>
      <c r="W371" s="306"/>
      <c r="X371" s="306"/>
      <c r="Y371" s="169"/>
    </row>
    <row r="372" spans="5:25" s="114" customFormat="1">
      <c r="E372" s="168"/>
      <c r="F372" s="115"/>
      <c r="J372" s="305"/>
      <c r="K372" s="305"/>
      <c r="P372" s="168"/>
      <c r="Q372" s="115"/>
      <c r="R372" s="306"/>
      <c r="S372" s="306"/>
      <c r="T372" s="306"/>
      <c r="U372" s="306"/>
      <c r="V372" s="306"/>
      <c r="W372" s="306"/>
      <c r="X372" s="306"/>
      <c r="Y372" s="169"/>
    </row>
    <row r="373" spans="5:25" s="114" customFormat="1">
      <c r="E373" s="168"/>
      <c r="F373" s="115"/>
      <c r="J373" s="305"/>
      <c r="K373" s="305"/>
      <c r="P373" s="168"/>
      <c r="Q373" s="115"/>
      <c r="R373" s="306"/>
      <c r="S373" s="306"/>
      <c r="T373" s="306"/>
      <c r="U373" s="306"/>
      <c r="V373" s="306"/>
      <c r="W373" s="306"/>
      <c r="X373" s="306"/>
      <c r="Y373" s="169"/>
    </row>
    <row r="374" spans="5:25" s="114" customFormat="1">
      <c r="E374" s="168"/>
      <c r="F374" s="115"/>
      <c r="J374" s="305"/>
      <c r="K374" s="305"/>
      <c r="P374" s="168"/>
      <c r="Q374" s="115"/>
      <c r="R374" s="306"/>
      <c r="S374" s="306"/>
      <c r="T374" s="306"/>
      <c r="U374" s="306"/>
      <c r="V374" s="306"/>
      <c r="W374" s="306"/>
      <c r="X374" s="306"/>
      <c r="Y374" s="169"/>
    </row>
    <row r="375" spans="5:25" s="114" customFormat="1">
      <c r="E375" s="168"/>
      <c r="F375" s="115"/>
      <c r="J375" s="305"/>
      <c r="K375" s="305"/>
      <c r="P375" s="168"/>
      <c r="Q375" s="115"/>
      <c r="R375" s="306"/>
      <c r="S375" s="306"/>
      <c r="T375" s="306"/>
      <c r="U375" s="306"/>
      <c r="V375" s="306"/>
      <c r="W375" s="306"/>
      <c r="X375" s="306"/>
      <c r="Y375" s="169"/>
    </row>
    <row r="376" spans="5:25" s="114" customFormat="1">
      <c r="E376" s="168"/>
      <c r="F376" s="115"/>
      <c r="J376" s="305"/>
      <c r="K376" s="305"/>
      <c r="P376" s="168"/>
      <c r="Q376" s="115"/>
      <c r="R376" s="306"/>
      <c r="S376" s="306"/>
      <c r="T376" s="306"/>
      <c r="U376" s="306"/>
      <c r="V376" s="306"/>
      <c r="W376" s="306"/>
      <c r="X376" s="306"/>
      <c r="Y376" s="169"/>
    </row>
    <row r="377" spans="5:25" s="114" customFormat="1">
      <c r="E377" s="168"/>
      <c r="F377" s="115"/>
      <c r="J377" s="305"/>
      <c r="K377" s="305"/>
      <c r="P377" s="168"/>
      <c r="Q377" s="115"/>
      <c r="R377" s="306"/>
      <c r="S377" s="306"/>
      <c r="T377" s="306"/>
      <c r="U377" s="306"/>
      <c r="V377" s="306"/>
      <c r="W377" s="306"/>
      <c r="X377" s="306"/>
      <c r="Y377" s="169"/>
    </row>
    <row r="378" spans="5:25" s="114" customFormat="1">
      <c r="E378" s="168"/>
      <c r="F378" s="115"/>
      <c r="J378" s="305"/>
      <c r="K378" s="305"/>
      <c r="P378" s="168"/>
      <c r="Q378" s="115"/>
      <c r="R378" s="306"/>
      <c r="S378" s="306"/>
      <c r="T378" s="306"/>
      <c r="U378" s="306"/>
      <c r="V378" s="306"/>
      <c r="W378" s="306"/>
      <c r="X378" s="306"/>
      <c r="Y378" s="169"/>
    </row>
    <row r="379" spans="5:25" s="114" customFormat="1">
      <c r="E379" s="168"/>
      <c r="F379" s="115"/>
      <c r="J379" s="305"/>
      <c r="K379" s="305"/>
      <c r="P379" s="168"/>
      <c r="Q379" s="115"/>
      <c r="R379" s="306"/>
      <c r="S379" s="306"/>
      <c r="T379" s="306"/>
      <c r="U379" s="306"/>
      <c r="V379" s="306"/>
      <c r="W379" s="306"/>
      <c r="X379" s="306"/>
      <c r="Y379" s="169"/>
    </row>
    <row r="380" spans="5:25" s="114" customFormat="1">
      <c r="E380" s="168"/>
      <c r="F380" s="115"/>
      <c r="J380" s="305"/>
      <c r="K380" s="305"/>
      <c r="P380" s="168"/>
      <c r="Q380" s="115"/>
      <c r="R380" s="306"/>
      <c r="S380" s="306"/>
      <c r="T380" s="306"/>
      <c r="U380" s="306"/>
      <c r="V380" s="306"/>
      <c r="W380" s="306"/>
      <c r="X380" s="306"/>
      <c r="Y380" s="169"/>
    </row>
    <row r="381" spans="5:25" s="114" customFormat="1">
      <c r="E381" s="168"/>
      <c r="F381" s="115"/>
      <c r="J381" s="305"/>
      <c r="K381" s="305"/>
      <c r="P381" s="168"/>
      <c r="Q381" s="115"/>
      <c r="R381" s="306"/>
      <c r="S381" s="306"/>
      <c r="T381" s="306"/>
      <c r="U381" s="306"/>
      <c r="V381" s="306"/>
      <c r="W381" s="306"/>
      <c r="X381" s="306"/>
      <c r="Y381" s="169"/>
    </row>
    <row r="382" spans="5:25" s="114" customFormat="1">
      <c r="E382" s="168"/>
      <c r="F382" s="115"/>
      <c r="J382" s="305"/>
      <c r="K382" s="305"/>
      <c r="P382" s="168"/>
      <c r="Q382" s="115"/>
      <c r="R382" s="306"/>
      <c r="S382" s="306"/>
      <c r="T382" s="306"/>
      <c r="U382" s="306"/>
      <c r="V382" s="306"/>
      <c r="W382" s="306"/>
      <c r="X382" s="306"/>
      <c r="Y382" s="169"/>
    </row>
    <row r="383" spans="5:25" s="114" customFormat="1">
      <c r="E383" s="168"/>
      <c r="F383" s="115"/>
      <c r="J383" s="305"/>
      <c r="K383" s="305"/>
      <c r="P383" s="168"/>
      <c r="Q383" s="115"/>
      <c r="R383" s="306"/>
      <c r="S383" s="306"/>
      <c r="T383" s="306"/>
      <c r="U383" s="306"/>
      <c r="V383" s="306"/>
      <c r="W383" s="306"/>
      <c r="X383" s="306"/>
      <c r="Y383" s="169"/>
    </row>
    <row r="384" spans="5:25" s="114" customFormat="1">
      <c r="E384" s="168"/>
      <c r="F384" s="115"/>
      <c r="J384" s="305"/>
      <c r="K384" s="305"/>
      <c r="P384" s="168"/>
      <c r="Q384" s="115"/>
      <c r="R384" s="306"/>
      <c r="S384" s="306"/>
      <c r="T384" s="306"/>
      <c r="U384" s="306"/>
      <c r="V384" s="306"/>
      <c r="W384" s="306"/>
      <c r="X384" s="306"/>
      <c r="Y384" s="169"/>
    </row>
    <row r="385" spans="5:25" s="114" customFormat="1">
      <c r="E385" s="168"/>
      <c r="F385" s="115"/>
      <c r="J385" s="305"/>
      <c r="K385" s="305"/>
      <c r="P385" s="168"/>
      <c r="Q385" s="115"/>
      <c r="R385" s="306"/>
      <c r="S385" s="306"/>
      <c r="T385" s="306"/>
      <c r="U385" s="306"/>
      <c r="V385" s="306"/>
      <c r="W385" s="306"/>
      <c r="X385" s="306"/>
      <c r="Y385" s="169"/>
    </row>
    <row r="386" spans="5:25" s="114" customFormat="1">
      <c r="E386" s="168"/>
      <c r="F386" s="115"/>
      <c r="J386" s="305"/>
      <c r="K386" s="305"/>
      <c r="P386" s="168"/>
      <c r="Q386" s="115"/>
      <c r="R386" s="306"/>
      <c r="S386" s="306"/>
      <c r="T386" s="306"/>
      <c r="U386" s="306"/>
      <c r="V386" s="306"/>
      <c r="W386" s="306"/>
      <c r="X386" s="306"/>
      <c r="Y386" s="169"/>
    </row>
    <row r="387" spans="5:25" s="114" customFormat="1">
      <c r="E387" s="168"/>
      <c r="F387" s="115"/>
      <c r="J387" s="305"/>
      <c r="K387" s="305"/>
      <c r="P387" s="168"/>
      <c r="Q387" s="115"/>
      <c r="R387" s="306"/>
      <c r="S387" s="306"/>
      <c r="T387" s="306"/>
      <c r="U387" s="306"/>
      <c r="V387" s="306"/>
      <c r="W387" s="306"/>
      <c r="X387" s="306"/>
      <c r="Y387" s="169"/>
    </row>
    <row r="388" spans="5:25" s="114" customFormat="1">
      <c r="E388" s="168"/>
      <c r="F388" s="115"/>
      <c r="J388" s="305"/>
      <c r="K388" s="305"/>
      <c r="P388" s="168"/>
      <c r="Q388" s="115"/>
      <c r="R388" s="306"/>
      <c r="S388" s="306"/>
      <c r="T388" s="306"/>
      <c r="U388" s="306"/>
      <c r="V388" s="306"/>
      <c r="W388" s="306"/>
      <c r="X388" s="306"/>
      <c r="Y388" s="169"/>
    </row>
    <row r="389" spans="5:25" s="114" customFormat="1">
      <c r="E389" s="168"/>
      <c r="F389" s="115"/>
      <c r="J389" s="305"/>
      <c r="K389" s="305"/>
      <c r="P389" s="168"/>
      <c r="Q389" s="115"/>
      <c r="R389" s="306"/>
      <c r="S389" s="306"/>
      <c r="T389" s="306"/>
      <c r="U389" s="306"/>
      <c r="V389" s="306"/>
      <c r="W389" s="306"/>
      <c r="X389" s="306"/>
      <c r="Y389" s="169"/>
    </row>
    <row r="390" spans="5:25" s="114" customFormat="1">
      <c r="E390" s="168"/>
      <c r="F390" s="115"/>
      <c r="J390" s="305"/>
      <c r="K390" s="305"/>
      <c r="P390" s="168"/>
      <c r="Q390" s="115"/>
      <c r="R390" s="306"/>
      <c r="S390" s="306"/>
      <c r="T390" s="306"/>
      <c r="U390" s="306"/>
      <c r="V390" s="306"/>
      <c r="W390" s="306"/>
      <c r="X390" s="306"/>
      <c r="Y390" s="169"/>
    </row>
    <row r="391" spans="5:25" s="114" customFormat="1">
      <c r="E391" s="168"/>
      <c r="F391" s="115"/>
      <c r="J391" s="305"/>
      <c r="K391" s="305"/>
      <c r="P391" s="168"/>
      <c r="Q391" s="115"/>
      <c r="R391" s="306"/>
      <c r="S391" s="306"/>
      <c r="T391" s="306"/>
      <c r="U391" s="306"/>
      <c r="V391" s="306"/>
      <c r="W391" s="306"/>
      <c r="X391" s="306"/>
      <c r="Y391" s="169"/>
    </row>
    <row r="392" spans="5:25" s="114" customFormat="1">
      <c r="E392" s="168"/>
      <c r="F392" s="115"/>
      <c r="J392" s="305"/>
      <c r="K392" s="305"/>
      <c r="P392" s="168"/>
      <c r="Q392" s="115"/>
      <c r="R392" s="306"/>
      <c r="S392" s="306"/>
      <c r="T392" s="306"/>
      <c r="U392" s="306"/>
      <c r="V392" s="306"/>
      <c r="W392" s="306"/>
      <c r="X392" s="306"/>
      <c r="Y392" s="169"/>
    </row>
    <row r="393" spans="5:25" s="114" customFormat="1">
      <c r="E393" s="168"/>
      <c r="F393" s="115"/>
      <c r="J393" s="305"/>
      <c r="K393" s="305"/>
      <c r="P393" s="168"/>
      <c r="Q393" s="115"/>
      <c r="R393" s="306"/>
      <c r="S393" s="306"/>
      <c r="T393" s="306"/>
      <c r="U393" s="306"/>
      <c r="V393" s="306"/>
      <c r="W393" s="306"/>
      <c r="X393" s="306"/>
      <c r="Y393" s="169"/>
    </row>
    <row r="394" spans="5:25" s="114" customFormat="1">
      <c r="E394" s="168"/>
      <c r="F394" s="115"/>
      <c r="J394" s="305"/>
      <c r="K394" s="305"/>
      <c r="P394" s="168"/>
      <c r="Q394" s="115"/>
      <c r="R394" s="306"/>
      <c r="S394" s="306"/>
      <c r="T394" s="306"/>
      <c r="U394" s="306"/>
      <c r="V394" s="306"/>
      <c r="W394" s="306"/>
      <c r="X394" s="306"/>
      <c r="Y394" s="169"/>
    </row>
    <row r="395" spans="5:25" s="114" customFormat="1">
      <c r="E395" s="168"/>
      <c r="F395" s="115"/>
      <c r="J395" s="305"/>
      <c r="K395" s="305"/>
      <c r="P395" s="168"/>
      <c r="Q395" s="115"/>
      <c r="R395" s="306"/>
      <c r="S395" s="306"/>
      <c r="T395" s="306"/>
      <c r="U395" s="306"/>
      <c r="V395" s="306"/>
      <c r="W395" s="306"/>
      <c r="X395" s="306"/>
      <c r="Y395" s="169"/>
    </row>
    <row r="396" spans="5:25" s="114" customFormat="1">
      <c r="E396" s="168"/>
      <c r="F396" s="115"/>
      <c r="J396" s="305"/>
      <c r="K396" s="305"/>
      <c r="P396" s="168"/>
      <c r="Q396" s="115"/>
      <c r="R396" s="306"/>
      <c r="S396" s="306"/>
      <c r="T396" s="306"/>
      <c r="U396" s="306"/>
      <c r="V396" s="306"/>
      <c r="W396" s="306"/>
      <c r="X396" s="306"/>
      <c r="Y396" s="169"/>
    </row>
    <row r="397" spans="5:25" s="114" customFormat="1">
      <c r="E397" s="168"/>
      <c r="F397" s="115"/>
      <c r="J397" s="305"/>
      <c r="K397" s="305"/>
      <c r="P397" s="168"/>
      <c r="Q397" s="115"/>
      <c r="R397" s="306"/>
      <c r="S397" s="306"/>
      <c r="T397" s="306"/>
      <c r="U397" s="306"/>
      <c r="V397" s="306"/>
      <c r="W397" s="306"/>
      <c r="X397" s="306"/>
      <c r="Y397" s="169"/>
    </row>
    <row r="398" spans="5:25" s="114" customFormat="1">
      <c r="E398" s="168"/>
      <c r="F398" s="115"/>
      <c r="J398" s="305"/>
      <c r="K398" s="305"/>
      <c r="P398" s="168"/>
      <c r="Q398" s="115"/>
      <c r="R398" s="306"/>
      <c r="S398" s="306"/>
      <c r="T398" s="306"/>
      <c r="U398" s="306"/>
      <c r="V398" s="306"/>
      <c r="W398" s="306"/>
      <c r="X398" s="306"/>
      <c r="Y398" s="169"/>
    </row>
    <row r="399" spans="5:25" s="114" customFormat="1">
      <c r="E399" s="168"/>
      <c r="F399" s="115"/>
      <c r="J399" s="305"/>
      <c r="K399" s="305"/>
      <c r="P399" s="168"/>
      <c r="Q399" s="115"/>
      <c r="R399" s="306"/>
      <c r="S399" s="306"/>
      <c r="T399" s="306"/>
      <c r="U399" s="306"/>
      <c r="V399" s="306"/>
      <c r="W399" s="306"/>
      <c r="X399" s="306"/>
      <c r="Y399" s="169"/>
    </row>
    <row r="400" spans="5:25" s="114" customFormat="1">
      <c r="E400" s="168"/>
      <c r="F400" s="115"/>
      <c r="J400" s="305"/>
      <c r="K400" s="305"/>
      <c r="P400" s="168"/>
      <c r="Q400" s="115"/>
      <c r="R400" s="306"/>
      <c r="S400" s="306"/>
      <c r="T400" s="306"/>
      <c r="U400" s="306"/>
      <c r="V400" s="306"/>
      <c r="W400" s="306"/>
      <c r="X400" s="306"/>
      <c r="Y400" s="169"/>
    </row>
    <row r="401" spans="5:25" s="114" customFormat="1">
      <c r="E401" s="168"/>
      <c r="F401" s="115"/>
      <c r="J401" s="305"/>
      <c r="K401" s="305"/>
      <c r="P401" s="168"/>
      <c r="Q401" s="115"/>
      <c r="R401" s="306"/>
      <c r="S401" s="306"/>
      <c r="T401" s="306"/>
      <c r="U401" s="306"/>
      <c r="V401" s="306"/>
      <c r="W401" s="306"/>
      <c r="X401" s="306"/>
      <c r="Y401" s="169"/>
    </row>
    <row r="402" spans="5:25" s="114" customFormat="1">
      <c r="E402" s="168"/>
      <c r="F402" s="115"/>
      <c r="J402" s="305"/>
      <c r="K402" s="305"/>
      <c r="P402" s="168"/>
      <c r="Q402" s="115"/>
      <c r="R402" s="306"/>
      <c r="S402" s="306"/>
      <c r="T402" s="306"/>
      <c r="U402" s="306"/>
      <c r="V402" s="306"/>
      <c r="W402" s="306"/>
      <c r="X402" s="306"/>
      <c r="Y402" s="169"/>
    </row>
    <row r="403" spans="5:25" s="114" customFormat="1">
      <c r="E403" s="168"/>
      <c r="F403" s="115"/>
      <c r="J403" s="305"/>
      <c r="K403" s="305"/>
      <c r="P403" s="168"/>
      <c r="Q403" s="115"/>
      <c r="R403" s="306"/>
      <c r="S403" s="306"/>
      <c r="T403" s="306"/>
      <c r="U403" s="306"/>
      <c r="V403" s="306"/>
      <c r="W403" s="306"/>
      <c r="X403" s="306"/>
      <c r="Y403" s="169"/>
    </row>
    <row r="404" spans="5:25" s="114" customFormat="1">
      <c r="E404" s="168"/>
      <c r="F404" s="115"/>
      <c r="J404" s="305"/>
      <c r="K404" s="305"/>
      <c r="P404" s="168"/>
      <c r="Q404" s="115"/>
      <c r="R404" s="306"/>
      <c r="S404" s="306"/>
      <c r="T404" s="306"/>
      <c r="U404" s="306"/>
      <c r="V404" s="306"/>
      <c r="W404" s="306"/>
      <c r="X404" s="306"/>
      <c r="Y404" s="169"/>
    </row>
    <row r="405" spans="5:25" s="114" customFormat="1">
      <c r="E405" s="168"/>
      <c r="F405" s="115"/>
      <c r="J405" s="305"/>
      <c r="K405" s="305"/>
      <c r="P405" s="168"/>
      <c r="Q405" s="115"/>
      <c r="R405" s="306"/>
      <c r="S405" s="306"/>
      <c r="T405" s="306"/>
      <c r="U405" s="306"/>
      <c r="V405" s="306"/>
      <c r="W405" s="306"/>
      <c r="X405" s="306"/>
      <c r="Y405" s="169"/>
    </row>
    <row r="406" spans="5:25" s="114" customFormat="1">
      <c r="E406" s="168"/>
      <c r="F406" s="115"/>
      <c r="J406" s="305"/>
      <c r="K406" s="305"/>
      <c r="P406" s="168"/>
      <c r="Q406" s="115"/>
      <c r="R406" s="306"/>
      <c r="S406" s="306"/>
      <c r="T406" s="306"/>
      <c r="U406" s="306"/>
      <c r="V406" s="306"/>
      <c r="W406" s="306"/>
      <c r="X406" s="306"/>
      <c r="Y406" s="169"/>
    </row>
    <row r="407" spans="5:25" s="114" customFormat="1">
      <c r="E407" s="168"/>
      <c r="F407" s="115"/>
      <c r="J407" s="305"/>
      <c r="K407" s="305"/>
      <c r="P407" s="168"/>
      <c r="Q407" s="115"/>
      <c r="R407" s="306"/>
      <c r="S407" s="306"/>
      <c r="T407" s="306"/>
      <c r="U407" s="306"/>
      <c r="V407" s="306"/>
      <c r="W407" s="306"/>
      <c r="X407" s="306"/>
      <c r="Y407" s="169"/>
    </row>
    <row r="408" spans="5:25" s="114" customFormat="1">
      <c r="E408" s="168"/>
      <c r="F408" s="115"/>
      <c r="J408" s="305"/>
      <c r="K408" s="305"/>
      <c r="P408" s="168"/>
      <c r="Q408" s="115"/>
      <c r="R408" s="306"/>
      <c r="S408" s="306"/>
      <c r="T408" s="306"/>
      <c r="U408" s="306"/>
      <c r="V408" s="306"/>
      <c r="W408" s="306"/>
      <c r="X408" s="306"/>
      <c r="Y408" s="169"/>
    </row>
    <row r="409" spans="5:25" s="114" customFormat="1">
      <c r="E409" s="168"/>
      <c r="F409" s="115"/>
      <c r="J409" s="305"/>
      <c r="K409" s="305"/>
      <c r="P409" s="168"/>
      <c r="Q409" s="115"/>
      <c r="R409" s="306"/>
      <c r="S409" s="306"/>
      <c r="T409" s="306"/>
      <c r="U409" s="306"/>
      <c r="V409" s="306"/>
      <c r="W409" s="306"/>
      <c r="X409" s="306"/>
      <c r="Y409" s="169"/>
    </row>
    <row r="410" spans="5:25" s="114" customFormat="1">
      <c r="E410" s="168"/>
      <c r="F410" s="115"/>
      <c r="J410" s="305"/>
      <c r="K410" s="305"/>
      <c r="P410" s="168"/>
      <c r="Q410" s="115"/>
      <c r="R410" s="306"/>
      <c r="S410" s="306"/>
      <c r="T410" s="306"/>
      <c r="U410" s="306"/>
      <c r="V410" s="306"/>
      <c r="W410" s="306"/>
      <c r="X410" s="306"/>
      <c r="Y410" s="169"/>
    </row>
    <row r="411" spans="5:25" s="114" customFormat="1">
      <c r="E411" s="168"/>
      <c r="F411" s="115"/>
      <c r="J411" s="305"/>
      <c r="K411" s="305"/>
      <c r="P411" s="168"/>
      <c r="Q411" s="115"/>
      <c r="R411" s="306"/>
      <c r="S411" s="306"/>
      <c r="T411" s="306"/>
      <c r="U411" s="306"/>
      <c r="V411" s="306"/>
      <c r="W411" s="306"/>
      <c r="X411" s="306"/>
      <c r="Y411" s="169"/>
    </row>
    <row r="412" spans="5:25" s="114" customFormat="1">
      <c r="E412" s="168"/>
      <c r="F412" s="115"/>
      <c r="J412" s="305"/>
      <c r="K412" s="305"/>
      <c r="P412" s="168"/>
      <c r="Q412" s="115"/>
      <c r="R412" s="306"/>
      <c r="S412" s="306"/>
      <c r="T412" s="306"/>
      <c r="U412" s="306"/>
      <c r="V412" s="306"/>
      <c r="W412" s="306"/>
      <c r="X412" s="306"/>
      <c r="Y412" s="169"/>
    </row>
    <row r="413" spans="5:25" s="114" customFormat="1">
      <c r="E413" s="168"/>
      <c r="F413" s="115"/>
      <c r="J413" s="305"/>
      <c r="K413" s="305"/>
      <c r="P413" s="168"/>
      <c r="Q413" s="115"/>
      <c r="R413" s="306"/>
      <c r="S413" s="306"/>
      <c r="T413" s="306"/>
      <c r="U413" s="306"/>
      <c r="V413" s="306"/>
      <c r="W413" s="306"/>
      <c r="X413" s="306"/>
      <c r="Y413" s="169"/>
    </row>
    <row r="414" spans="5:25" s="114" customFormat="1">
      <c r="E414" s="168"/>
      <c r="F414" s="115"/>
      <c r="J414" s="305"/>
      <c r="K414" s="305"/>
      <c r="P414" s="168"/>
      <c r="Q414" s="115"/>
      <c r="R414" s="306"/>
      <c r="S414" s="306"/>
      <c r="T414" s="306"/>
      <c r="U414" s="306"/>
      <c r="V414" s="306"/>
      <c r="W414" s="306"/>
      <c r="X414" s="306"/>
      <c r="Y414" s="169"/>
    </row>
    <row r="415" spans="5:25" s="114" customFormat="1">
      <c r="E415" s="168"/>
      <c r="F415" s="115"/>
      <c r="J415" s="305"/>
      <c r="K415" s="305"/>
      <c r="P415" s="168"/>
      <c r="Q415" s="115"/>
      <c r="R415" s="306"/>
      <c r="S415" s="306"/>
      <c r="T415" s="306"/>
      <c r="U415" s="306"/>
      <c r="V415" s="306"/>
      <c r="W415" s="306"/>
      <c r="X415" s="306"/>
      <c r="Y415" s="169"/>
    </row>
    <row r="416" spans="5:25" s="114" customFormat="1">
      <c r="E416" s="168"/>
      <c r="F416" s="115"/>
      <c r="J416" s="305"/>
      <c r="K416" s="305"/>
      <c r="P416" s="168"/>
      <c r="Q416" s="115"/>
      <c r="R416" s="306"/>
      <c r="S416" s="306"/>
      <c r="T416" s="306"/>
      <c r="U416" s="306"/>
      <c r="V416" s="306"/>
      <c r="W416" s="306"/>
      <c r="X416" s="306"/>
      <c r="Y416" s="169"/>
    </row>
    <row r="417" spans="5:25" s="114" customFormat="1">
      <c r="E417" s="168"/>
      <c r="F417" s="115"/>
      <c r="J417" s="305"/>
      <c r="K417" s="305"/>
      <c r="P417" s="168"/>
      <c r="Q417" s="115"/>
      <c r="R417" s="306"/>
      <c r="S417" s="306"/>
      <c r="T417" s="306"/>
      <c r="U417" s="306"/>
      <c r="V417" s="306"/>
      <c r="W417" s="306"/>
      <c r="X417" s="306"/>
      <c r="Y417" s="169"/>
    </row>
    <row r="418" spans="5:25" s="114" customFormat="1">
      <c r="E418" s="168"/>
      <c r="F418" s="115"/>
      <c r="J418" s="305"/>
      <c r="K418" s="305"/>
      <c r="P418" s="168"/>
      <c r="Q418" s="115"/>
      <c r="R418" s="306"/>
      <c r="S418" s="306"/>
      <c r="T418" s="306"/>
      <c r="U418" s="306"/>
      <c r="V418" s="306"/>
      <c r="W418" s="306"/>
      <c r="X418" s="306"/>
      <c r="Y418" s="169"/>
    </row>
    <row r="419" spans="5:25" s="114" customFormat="1">
      <c r="E419" s="168"/>
      <c r="F419" s="115"/>
      <c r="J419" s="305"/>
      <c r="K419" s="305"/>
      <c r="P419" s="168"/>
      <c r="Q419" s="115"/>
      <c r="R419" s="306"/>
      <c r="S419" s="306"/>
      <c r="T419" s="306"/>
      <c r="U419" s="306"/>
      <c r="V419" s="306"/>
      <c r="W419" s="306"/>
      <c r="X419" s="306"/>
      <c r="Y419" s="169"/>
    </row>
    <row r="420" spans="5:25" s="114" customFormat="1">
      <c r="E420" s="168"/>
      <c r="F420" s="115"/>
      <c r="J420" s="305"/>
      <c r="K420" s="305"/>
      <c r="P420" s="168"/>
      <c r="Q420" s="115"/>
      <c r="R420" s="306"/>
      <c r="S420" s="306"/>
      <c r="T420" s="306"/>
      <c r="U420" s="306"/>
      <c r="V420" s="306"/>
      <c r="W420" s="306"/>
      <c r="X420" s="306"/>
      <c r="Y420" s="169"/>
    </row>
    <row r="421" spans="5:25" s="114" customFormat="1">
      <c r="E421" s="168"/>
      <c r="F421" s="115"/>
      <c r="J421" s="305"/>
      <c r="K421" s="305"/>
      <c r="P421" s="168"/>
      <c r="Q421" s="115"/>
      <c r="R421" s="306"/>
      <c r="S421" s="306"/>
      <c r="T421" s="306"/>
      <c r="U421" s="306"/>
      <c r="V421" s="306"/>
      <c r="W421" s="306"/>
      <c r="X421" s="306"/>
      <c r="Y421" s="169"/>
    </row>
    <row r="422" spans="5:25" s="114" customFormat="1">
      <c r="E422" s="168"/>
      <c r="F422" s="115"/>
      <c r="J422" s="305"/>
      <c r="K422" s="305"/>
      <c r="P422" s="168"/>
      <c r="Q422" s="115"/>
      <c r="R422" s="306"/>
      <c r="S422" s="306"/>
      <c r="T422" s="306"/>
      <c r="U422" s="306"/>
      <c r="V422" s="306"/>
      <c r="W422" s="306"/>
      <c r="X422" s="306"/>
      <c r="Y422" s="169"/>
    </row>
    <row r="423" spans="5:25" s="114" customFormat="1">
      <c r="E423" s="168"/>
      <c r="F423" s="115"/>
      <c r="J423" s="305"/>
      <c r="K423" s="305"/>
      <c r="P423" s="168"/>
      <c r="Q423" s="115"/>
      <c r="R423" s="306"/>
      <c r="S423" s="306"/>
      <c r="T423" s="306"/>
      <c r="U423" s="306"/>
      <c r="V423" s="306"/>
      <c r="W423" s="306"/>
      <c r="X423" s="306"/>
      <c r="Y423" s="169"/>
    </row>
    <row r="424" spans="5:25" s="114" customFormat="1">
      <c r="E424" s="168"/>
      <c r="F424" s="115"/>
      <c r="J424" s="305"/>
      <c r="K424" s="305"/>
      <c r="P424" s="168"/>
      <c r="Q424" s="115"/>
      <c r="R424" s="306"/>
      <c r="S424" s="306"/>
      <c r="T424" s="306"/>
      <c r="U424" s="306"/>
      <c r="V424" s="306"/>
      <c r="W424" s="306"/>
      <c r="X424" s="306"/>
      <c r="Y424" s="169"/>
    </row>
    <row r="425" spans="5:25" s="114" customFormat="1">
      <c r="E425" s="168"/>
      <c r="F425" s="115"/>
      <c r="J425" s="305"/>
      <c r="K425" s="305"/>
      <c r="P425" s="168"/>
      <c r="Q425" s="115"/>
      <c r="R425" s="306"/>
      <c r="S425" s="306"/>
      <c r="T425" s="306"/>
      <c r="U425" s="306"/>
      <c r="V425" s="306"/>
      <c r="W425" s="306"/>
      <c r="X425" s="306"/>
      <c r="Y425" s="169"/>
    </row>
    <row r="426" spans="5:25" s="114" customFormat="1">
      <c r="E426" s="168"/>
      <c r="F426" s="115"/>
      <c r="J426" s="305"/>
      <c r="K426" s="305"/>
      <c r="P426" s="168"/>
      <c r="Q426" s="115"/>
      <c r="R426" s="306"/>
      <c r="S426" s="306"/>
      <c r="T426" s="306"/>
      <c r="U426" s="306"/>
      <c r="V426" s="306"/>
      <c r="W426" s="306"/>
      <c r="X426" s="306"/>
      <c r="Y426" s="169"/>
    </row>
    <row r="427" spans="5:25" s="114" customFormat="1">
      <c r="E427" s="168"/>
      <c r="F427" s="115"/>
      <c r="J427" s="305"/>
      <c r="K427" s="305"/>
      <c r="P427" s="168"/>
      <c r="Q427" s="115"/>
      <c r="R427" s="306"/>
      <c r="S427" s="306"/>
      <c r="T427" s="306"/>
      <c r="U427" s="306"/>
      <c r="V427" s="306"/>
      <c r="W427" s="306"/>
      <c r="X427" s="306"/>
      <c r="Y427" s="169"/>
    </row>
    <row r="428" spans="5:25" s="114" customFormat="1">
      <c r="E428" s="168"/>
      <c r="F428" s="115"/>
      <c r="J428" s="305"/>
      <c r="K428" s="305"/>
      <c r="P428" s="168"/>
      <c r="Q428" s="115"/>
      <c r="R428" s="306"/>
      <c r="S428" s="306"/>
      <c r="T428" s="306"/>
      <c r="U428" s="306"/>
      <c r="V428" s="306"/>
      <c r="W428" s="306"/>
      <c r="X428" s="306"/>
      <c r="Y428" s="169"/>
    </row>
    <row r="429" spans="5:25" s="114" customFormat="1">
      <c r="E429" s="168"/>
      <c r="F429" s="115"/>
      <c r="J429" s="305"/>
      <c r="K429" s="305"/>
      <c r="P429" s="168"/>
      <c r="Q429" s="115"/>
      <c r="R429" s="306"/>
      <c r="S429" s="306"/>
      <c r="T429" s="306"/>
      <c r="U429" s="306"/>
      <c r="V429" s="306"/>
      <c r="W429" s="306"/>
      <c r="X429" s="306"/>
      <c r="Y429" s="169"/>
    </row>
    <row r="430" spans="5:25" s="114" customFormat="1">
      <c r="E430" s="168"/>
      <c r="F430" s="115"/>
      <c r="J430" s="305"/>
      <c r="K430" s="305"/>
      <c r="P430" s="168"/>
      <c r="Q430" s="115"/>
      <c r="R430" s="306"/>
      <c r="S430" s="306"/>
      <c r="T430" s="306"/>
      <c r="U430" s="306"/>
      <c r="V430" s="306"/>
      <c r="W430" s="306"/>
      <c r="X430" s="306"/>
      <c r="Y430" s="169"/>
    </row>
    <row r="431" spans="5:25" s="114" customFormat="1">
      <c r="E431" s="168"/>
      <c r="F431" s="115"/>
      <c r="J431" s="305"/>
      <c r="K431" s="305"/>
      <c r="P431" s="168"/>
      <c r="Q431" s="115"/>
      <c r="R431" s="306"/>
      <c r="S431" s="306"/>
      <c r="T431" s="306"/>
      <c r="U431" s="306"/>
      <c r="V431" s="306"/>
      <c r="W431" s="306"/>
      <c r="X431" s="306"/>
      <c r="Y431" s="169"/>
    </row>
    <row r="432" spans="5:25" s="114" customFormat="1">
      <c r="E432" s="168"/>
      <c r="F432" s="115"/>
      <c r="J432" s="305"/>
      <c r="K432" s="305"/>
      <c r="P432" s="168"/>
      <c r="Q432" s="115"/>
      <c r="R432" s="306"/>
      <c r="S432" s="306"/>
      <c r="T432" s="306"/>
      <c r="U432" s="306"/>
      <c r="V432" s="306"/>
      <c r="W432" s="306"/>
      <c r="X432" s="306"/>
      <c r="Y432" s="169"/>
    </row>
    <row r="433" spans="5:25" s="114" customFormat="1">
      <c r="E433" s="168"/>
      <c r="F433" s="115"/>
      <c r="J433" s="305"/>
      <c r="K433" s="305"/>
      <c r="P433" s="168"/>
      <c r="Q433" s="115"/>
      <c r="R433" s="306"/>
      <c r="S433" s="306"/>
      <c r="T433" s="306"/>
      <c r="U433" s="306"/>
      <c r="V433" s="306"/>
      <c r="W433" s="306"/>
      <c r="X433" s="306"/>
      <c r="Y433" s="169"/>
    </row>
    <row r="434" spans="5:25" s="114" customFormat="1">
      <c r="E434" s="168"/>
      <c r="F434" s="115"/>
      <c r="J434" s="305"/>
      <c r="K434" s="305"/>
      <c r="P434" s="168"/>
      <c r="Q434" s="115"/>
      <c r="R434" s="306"/>
      <c r="S434" s="306"/>
      <c r="T434" s="306"/>
      <c r="U434" s="306"/>
      <c r="V434" s="306"/>
      <c r="W434" s="306"/>
      <c r="X434" s="306"/>
      <c r="Y434" s="169"/>
    </row>
    <row r="435" spans="5:25" s="114" customFormat="1">
      <c r="E435" s="168"/>
      <c r="F435" s="115"/>
      <c r="J435" s="305"/>
      <c r="K435" s="305"/>
      <c r="P435" s="168"/>
      <c r="Q435" s="115"/>
      <c r="R435" s="306"/>
      <c r="S435" s="306"/>
      <c r="T435" s="306"/>
      <c r="U435" s="306"/>
      <c r="V435" s="306"/>
      <c r="W435" s="306"/>
      <c r="X435" s="306"/>
      <c r="Y435" s="169"/>
    </row>
    <row r="436" spans="5:25" s="114" customFormat="1">
      <c r="E436" s="168"/>
      <c r="F436" s="115"/>
      <c r="J436" s="305"/>
      <c r="K436" s="305"/>
      <c r="P436" s="168"/>
      <c r="Q436" s="115"/>
      <c r="R436" s="306"/>
      <c r="S436" s="306"/>
      <c r="T436" s="306"/>
      <c r="U436" s="306"/>
      <c r="V436" s="306"/>
      <c r="W436" s="306"/>
      <c r="X436" s="306"/>
      <c r="Y436" s="169"/>
    </row>
    <row r="437" spans="5:25" s="114" customFormat="1">
      <c r="E437" s="168"/>
      <c r="F437" s="115"/>
      <c r="J437" s="305"/>
      <c r="K437" s="305"/>
      <c r="P437" s="168"/>
      <c r="Q437" s="115"/>
      <c r="R437" s="306"/>
      <c r="S437" s="306"/>
      <c r="T437" s="306"/>
      <c r="U437" s="306"/>
      <c r="V437" s="306"/>
      <c r="W437" s="306"/>
      <c r="X437" s="306"/>
      <c r="Y437" s="169"/>
    </row>
    <row r="438" spans="5:25" s="114" customFormat="1">
      <c r="E438" s="168"/>
      <c r="F438" s="115"/>
      <c r="J438" s="305"/>
      <c r="K438" s="305"/>
      <c r="P438" s="168"/>
      <c r="Q438" s="115"/>
      <c r="R438" s="306"/>
      <c r="S438" s="306"/>
      <c r="T438" s="306"/>
      <c r="U438" s="306"/>
      <c r="V438" s="306"/>
      <c r="W438" s="306"/>
      <c r="X438" s="306"/>
      <c r="Y438" s="169"/>
    </row>
    <row r="439" spans="5:25" s="114" customFormat="1">
      <c r="E439" s="168"/>
      <c r="F439" s="115"/>
      <c r="J439" s="305"/>
      <c r="K439" s="305"/>
      <c r="P439" s="168"/>
      <c r="Q439" s="115"/>
      <c r="R439" s="306"/>
      <c r="S439" s="306"/>
      <c r="T439" s="306"/>
      <c r="U439" s="306"/>
      <c r="V439" s="306"/>
      <c r="W439" s="306"/>
      <c r="X439" s="306"/>
      <c r="Y439" s="169"/>
    </row>
    <row r="440" spans="5:25" s="114" customFormat="1">
      <c r="E440" s="168"/>
      <c r="F440" s="115"/>
      <c r="J440" s="305"/>
      <c r="K440" s="305"/>
      <c r="P440" s="168"/>
      <c r="Q440" s="115"/>
      <c r="R440" s="306"/>
      <c r="S440" s="306"/>
      <c r="T440" s="306"/>
      <c r="U440" s="306"/>
      <c r="V440" s="306"/>
      <c r="W440" s="306"/>
      <c r="X440" s="306"/>
      <c r="Y440" s="169"/>
    </row>
    <row r="441" spans="5:25" s="114" customFormat="1">
      <c r="E441" s="168"/>
      <c r="F441" s="115"/>
      <c r="J441" s="305"/>
      <c r="K441" s="305"/>
      <c r="P441" s="168"/>
      <c r="Q441" s="115"/>
      <c r="R441" s="306"/>
      <c r="S441" s="306"/>
      <c r="T441" s="306"/>
      <c r="U441" s="306"/>
      <c r="V441" s="306"/>
      <c r="W441" s="306"/>
      <c r="X441" s="306"/>
      <c r="Y441" s="169"/>
    </row>
    <row r="442" spans="5:25" s="114" customFormat="1">
      <c r="E442" s="168"/>
      <c r="F442" s="115"/>
      <c r="J442" s="305"/>
      <c r="K442" s="305"/>
      <c r="P442" s="168"/>
      <c r="Q442" s="115"/>
      <c r="R442" s="306"/>
      <c r="S442" s="306"/>
      <c r="T442" s="306"/>
      <c r="U442" s="306"/>
      <c r="V442" s="306"/>
      <c r="W442" s="306"/>
      <c r="X442" s="306"/>
      <c r="Y442" s="169"/>
    </row>
    <row r="443" spans="5:25" s="114" customFormat="1">
      <c r="E443" s="168"/>
      <c r="F443" s="115"/>
      <c r="J443" s="305"/>
      <c r="K443" s="305"/>
      <c r="P443" s="168"/>
      <c r="Q443" s="115"/>
      <c r="R443" s="306"/>
      <c r="S443" s="306"/>
      <c r="T443" s="306"/>
      <c r="U443" s="306"/>
      <c r="V443" s="306"/>
      <c r="W443" s="306"/>
      <c r="X443" s="306"/>
      <c r="Y443" s="169"/>
    </row>
    <row r="444" spans="5:25" s="114" customFormat="1">
      <c r="E444" s="168"/>
      <c r="F444" s="115"/>
      <c r="J444" s="305"/>
      <c r="K444" s="305"/>
      <c r="P444" s="168"/>
      <c r="Q444" s="115"/>
      <c r="R444" s="306"/>
      <c r="S444" s="306"/>
      <c r="T444" s="306"/>
      <c r="U444" s="306"/>
      <c r="V444" s="306"/>
      <c r="W444" s="306"/>
      <c r="X444" s="306"/>
      <c r="Y444" s="169"/>
    </row>
    <row r="445" spans="5:25" s="114" customFormat="1">
      <c r="E445" s="168"/>
      <c r="F445" s="115"/>
      <c r="J445" s="305"/>
      <c r="K445" s="305"/>
      <c r="P445" s="168"/>
      <c r="Q445" s="115"/>
      <c r="R445" s="306"/>
      <c r="S445" s="306"/>
      <c r="T445" s="306"/>
      <c r="U445" s="306"/>
      <c r="V445" s="306"/>
      <c r="W445" s="306"/>
      <c r="X445" s="306"/>
      <c r="Y445" s="169"/>
    </row>
    <row r="446" spans="5:25" s="114" customFormat="1">
      <c r="E446" s="168"/>
      <c r="F446" s="115"/>
      <c r="J446" s="305"/>
      <c r="K446" s="305"/>
      <c r="P446" s="168"/>
      <c r="Q446" s="115"/>
      <c r="R446" s="306"/>
      <c r="S446" s="306"/>
      <c r="T446" s="306"/>
      <c r="U446" s="306"/>
      <c r="V446" s="306"/>
      <c r="W446" s="306"/>
      <c r="X446" s="306"/>
      <c r="Y446" s="169"/>
    </row>
    <row r="447" spans="5:25" s="114" customFormat="1">
      <c r="E447" s="168"/>
      <c r="F447" s="115"/>
      <c r="J447" s="305"/>
      <c r="K447" s="305"/>
      <c r="P447" s="168"/>
      <c r="Q447" s="115"/>
      <c r="R447" s="306"/>
      <c r="S447" s="306"/>
      <c r="T447" s="306"/>
      <c r="U447" s="306"/>
      <c r="V447" s="306"/>
      <c r="W447" s="306"/>
      <c r="X447" s="306"/>
      <c r="Y447" s="169"/>
    </row>
    <row r="448" spans="5:25" s="114" customFormat="1">
      <c r="E448" s="168"/>
      <c r="F448" s="115"/>
      <c r="J448" s="305"/>
      <c r="K448" s="305"/>
      <c r="P448" s="168"/>
      <c r="Q448" s="115"/>
      <c r="R448" s="306"/>
      <c r="S448" s="306"/>
      <c r="T448" s="306"/>
      <c r="U448" s="306"/>
      <c r="V448" s="306"/>
      <c r="W448" s="306"/>
      <c r="X448" s="306"/>
      <c r="Y448" s="169"/>
    </row>
    <row r="449" spans="5:25" s="114" customFormat="1">
      <c r="E449" s="168"/>
      <c r="F449" s="115"/>
      <c r="J449" s="305"/>
      <c r="K449" s="305"/>
      <c r="P449" s="168"/>
      <c r="Q449" s="115"/>
      <c r="R449" s="306"/>
      <c r="S449" s="306"/>
      <c r="T449" s="306"/>
      <c r="U449" s="306"/>
      <c r="V449" s="306"/>
      <c r="W449" s="306"/>
      <c r="X449" s="306"/>
      <c r="Y449" s="169"/>
    </row>
    <row r="450" spans="5:25" s="114" customFormat="1">
      <c r="E450" s="168"/>
      <c r="F450" s="115"/>
      <c r="J450" s="305"/>
      <c r="K450" s="305"/>
      <c r="P450" s="168"/>
      <c r="Q450" s="115"/>
      <c r="R450" s="306"/>
      <c r="S450" s="306"/>
      <c r="T450" s="306"/>
      <c r="U450" s="306"/>
      <c r="V450" s="306"/>
      <c r="W450" s="306"/>
      <c r="X450" s="306"/>
      <c r="Y450" s="169"/>
    </row>
    <row r="451" spans="5:25" s="114" customFormat="1">
      <c r="E451" s="168"/>
      <c r="F451" s="115"/>
      <c r="J451" s="305"/>
      <c r="K451" s="305"/>
      <c r="P451" s="168"/>
      <c r="Q451" s="115"/>
      <c r="R451" s="306"/>
      <c r="S451" s="306"/>
      <c r="T451" s="306"/>
      <c r="U451" s="306"/>
      <c r="V451" s="306"/>
      <c r="W451" s="306"/>
      <c r="X451" s="306"/>
      <c r="Y451" s="169"/>
    </row>
    <row r="452" spans="5:25" s="114" customFormat="1">
      <c r="E452" s="168"/>
      <c r="F452" s="115"/>
      <c r="J452" s="305"/>
      <c r="K452" s="305"/>
      <c r="P452" s="168"/>
      <c r="Q452" s="115"/>
      <c r="R452" s="306"/>
      <c r="S452" s="306"/>
      <c r="T452" s="306"/>
      <c r="U452" s="306"/>
      <c r="V452" s="306"/>
      <c r="W452" s="306"/>
      <c r="X452" s="306"/>
      <c r="Y452" s="169"/>
    </row>
    <row r="453" spans="5:25" s="114" customFormat="1">
      <c r="E453" s="168"/>
      <c r="F453" s="115"/>
      <c r="J453" s="305"/>
      <c r="K453" s="305"/>
      <c r="P453" s="168"/>
      <c r="Q453" s="115"/>
      <c r="R453" s="306"/>
      <c r="S453" s="306"/>
      <c r="T453" s="306"/>
      <c r="U453" s="306"/>
      <c r="V453" s="306"/>
      <c r="W453" s="306"/>
      <c r="X453" s="306"/>
      <c r="Y453" s="169"/>
    </row>
    <row r="454" spans="5:25" s="114" customFormat="1">
      <c r="E454" s="168"/>
      <c r="F454" s="115"/>
      <c r="J454" s="305"/>
      <c r="K454" s="305"/>
      <c r="P454" s="168"/>
      <c r="Q454" s="115"/>
      <c r="R454" s="306"/>
      <c r="S454" s="306"/>
      <c r="T454" s="306"/>
      <c r="U454" s="306"/>
      <c r="V454" s="306"/>
      <c r="W454" s="306"/>
      <c r="X454" s="306"/>
      <c r="Y454" s="169"/>
    </row>
    <row r="455" spans="5:25" s="114" customFormat="1">
      <c r="E455" s="168"/>
      <c r="F455" s="115"/>
      <c r="J455" s="305"/>
      <c r="K455" s="305"/>
      <c r="P455" s="168"/>
      <c r="Q455" s="115"/>
      <c r="R455" s="306"/>
      <c r="S455" s="306"/>
      <c r="T455" s="306"/>
      <c r="U455" s="306"/>
      <c r="V455" s="306"/>
      <c r="W455" s="306"/>
      <c r="X455" s="306"/>
      <c r="Y455" s="169"/>
    </row>
    <row r="456" spans="5:25" s="114" customFormat="1">
      <c r="E456" s="168"/>
      <c r="F456" s="115"/>
      <c r="J456" s="305"/>
      <c r="K456" s="305"/>
      <c r="P456" s="168"/>
      <c r="Q456" s="115"/>
      <c r="R456" s="306"/>
      <c r="S456" s="306"/>
      <c r="T456" s="306"/>
      <c r="U456" s="306"/>
      <c r="V456" s="306"/>
      <c r="W456" s="306"/>
      <c r="X456" s="306"/>
      <c r="Y456" s="169"/>
    </row>
    <row r="457" spans="5:25" s="114" customFormat="1">
      <c r="E457" s="168"/>
      <c r="F457" s="115"/>
      <c r="J457" s="305"/>
      <c r="K457" s="305"/>
      <c r="P457" s="168"/>
      <c r="Q457" s="115"/>
      <c r="R457" s="306"/>
      <c r="S457" s="306"/>
      <c r="T457" s="306"/>
      <c r="U457" s="306"/>
      <c r="V457" s="306"/>
      <c r="W457" s="306"/>
      <c r="X457" s="306"/>
      <c r="Y457" s="169"/>
    </row>
    <row r="458" spans="5:25" s="114" customFormat="1">
      <c r="E458" s="168"/>
      <c r="F458" s="115"/>
      <c r="J458" s="305"/>
      <c r="K458" s="305"/>
      <c r="P458" s="168"/>
      <c r="Q458" s="115"/>
      <c r="R458" s="306"/>
      <c r="S458" s="306"/>
      <c r="T458" s="306"/>
      <c r="U458" s="306"/>
      <c r="V458" s="306"/>
      <c r="W458" s="306"/>
      <c r="X458" s="306"/>
      <c r="Y458" s="169"/>
    </row>
    <row r="459" spans="5:25" s="114" customFormat="1">
      <c r="E459" s="168"/>
      <c r="F459" s="115"/>
      <c r="J459" s="305"/>
      <c r="K459" s="305"/>
      <c r="P459" s="168"/>
      <c r="Q459" s="115"/>
      <c r="R459" s="306"/>
      <c r="S459" s="306"/>
      <c r="T459" s="306"/>
      <c r="U459" s="306"/>
      <c r="V459" s="306"/>
      <c r="W459" s="306"/>
      <c r="X459" s="306"/>
      <c r="Y459" s="169"/>
    </row>
    <row r="460" spans="5:25" s="114" customFormat="1">
      <c r="E460" s="168"/>
      <c r="F460" s="115"/>
      <c r="J460" s="305"/>
      <c r="K460" s="305"/>
      <c r="P460" s="168"/>
      <c r="Q460" s="115"/>
      <c r="R460" s="306"/>
      <c r="S460" s="306"/>
      <c r="T460" s="306"/>
      <c r="U460" s="306"/>
      <c r="V460" s="306"/>
      <c r="W460" s="306"/>
      <c r="X460" s="306"/>
      <c r="Y460" s="169"/>
    </row>
    <row r="461" spans="5:25" s="114" customFormat="1">
      <c r="E461" s="168"/>
      <c r="F461" s="115"/>
      <c r="J461" s="305"/>
      <c r="K461" s="305"/>
      <c r="P461" s="168"/>
      <c r="Q461" s="115"/>
      <c r="R461" s="306"/>
      <c r="S461" s="306"/>
      <c r="T461" s="306"/>
      <c r="U461" s="306"/>
      <c r="V461" s="306"/>
      <c r="W461" s="306"/>
      <c r="X461" s="306"/>
      <c r="Y461" s="169"/>
    </row>
    <row r="462" spans="5:25" s="114" customFormat="1">
      <c r="E462" s="168"/>
      <c r="F462" s="115"/>
      <c r="J462" s="305"/>
      <c r="K462" s="305"/>
      <c r="P462" s="168"/>
      <c r="Q462" s="115"/>
      <c r="R462" s="306"/>
      <c r="S462" s="306"/>
      <c r="T462" s="306"/>
      <c r="U462" s="306"/>
      <c r="V462" s="306"/>
      <c r="W462" s="306"/>
      <c r="X462" s="306"/>
      <c r="Y462" s="169"/>
    </row>
    <row r="463" spans="5:25" s="114" customFormat="1">
      <c r="E463" s="168"/>
      <c r="F463" s="115"/>
      <c r="J463" s="305"/>
      <c r="K463" s="305"/>
      <c r="P463" s="168"/>
      <c r="Q463" s="115"/>
      <c r="R463" s="306"/>
      <c r="S463" s="306"/>
      <c r="T463" s="306"/>
      <c r="U463" s="306"/>
      <c r="V463" s="306"/>
      <c r="W463" s="306"/>
      <c r="X463" s="306"/>
      <c r="Y463" s="169"/>
    </row>
    <row r="464" spans="5:25" s="114" customFormat="1">
      <c r="E464" s="168"/>
      <c r="F464" s="115"/>
      <c r="J464" s="305"/>
      <c r="K464" s="305"/>
      <c r="P464" s="168"/>
      <c r="Q464" s="115"/>
      <c r="R464" s="306"/>
      <c r="S464" s="306"/>
      <c r="T464" s="306"/>
      <c r="U464" s="306"/>
      <c r="V464" s="306"/>
      <c r="W464" s="306"/>
      <c r="X464" s="306"/>
      <c r="Y464" s="169"/>
    </row>
    <row r="465" spans="5:25" s="114" customFormat="1">
      <c r="E465" s="168"/>
      <c r="F465" s="115"/>
      <c r="J465" s="305"/>
      <c r="K465" s="305"/>
      <c r="P465" s="168"/>
      <c r="Q465" s="115"/>
      <c r="R465" s="306"/>
      <c r="S465" s="306"/>
      <c r="T465" s="306"/>
      <c r="U465" s="306"/>
      <c r="V465" s="306"/>
      <c r="W465" s="306"/>
      <c r="X465" s="306"/>
      <c r="Y465" s="169"/>
    </row>
    <row r="466" spans="5:25" s="114" customFormat="1">
      <c r="E466" s="168"/>
      <c r="F466" s="115"/>
      <c r="J466" s="305"/>
      <c r="K466" s="305"/>
      <c r="P466" s="168"/>
      <c r="Q466" s="115"/>
      <c r="R466" s="306"/>
      <c r="S466" s="306"/>
      <c r="T466" s="306"/>
      <c r="U466" s="306"/>
      <c r="V466" s="306"/>
      <c r="W466" s="306"/>
      <c r="X466" s="306"/>
      <c r="Y466" s="169"/>
    </row>
    <row r="467" spans="5:25" s="114" customFormat="1">
      <c r="E467" s="168"/>
      <c r="F467" s="115"/>
      <c r="J467" s="305"/>
      <c r="K467" s="305"/>
      <c r="P467" s="168"/>
      <c r="Q467" s="115"/>
      <c r="R467" s="306"/>
      <c r="S467" s="306"/>
      <c r="T467" s="306"/>
      <c r="U467" s="306"/>
      <c r="V467" s="306"/>
      <c r="W467" s="306"/>
      <c r="X467" s="306"/>
      <c r="Y467" s="169"/>
    </row>
    <row r="468" spans="5:25" s="114" customFormat="1">
      <c r="E468" s="168"/>
      <c r="F468" s="115"/>
      <c r="J468" s="305"/>
      <c r="K468" s="305"/>
      <c r="P468" s="168"/>
      <c r="Q468" s="115"/>
      <c r="R468" s="306"/>
      <c r="S468" s="306"/>
      <c r="T468" s="306"/>
      <c r="U468" s="306"/>
      <c r="V468" s="306"/>
      <c r="W468" s="306"/>
      <c r="X468" s="306"/>
      <c r="Y468" s="169"/>
    </row>
    <row r="469" spans="5:25" s="114" customFormat="1">
      <c r="E469" s="168"/>
      <c r="F469" s="115"/>
      <c r="J469" s="305"/>
      <c r="K469" s="305"/>
      <c r="P469" s="168"/>
      <c r="Q469" s="115"/>
      <c r="R469" s="306"/>
      <c r="S469" s="306"/>
      <c r="T469" s="306"/>
      <c r="U469" s="306"/>
      <c r="V469" s="306"/>
      <c r="W469" s="306"/>
      <c r="X469" s="306"/>
      <c r="Y469" s="169"/>
    </row>
    <row r="470" spans="5:25" s="114" customFormat="1">
      <c r="E470" s="168"/>
      <c r="F470" s="115"/>
      <c r="J470" s="305"/>
      <c r="K470" s="305"/>
      <c r="P470" s="168"/>
      <c r="Q470" s="115"/>
      <c r="R470" s="306"/>
      <c r="S470" s="306"/>
      <c r="T470" s="306"/>
      <c r="U470" s="306"/>
      <c r="V470" s="306"/>
      <c r="W470" s="306"/>
      <c r="X470" s="306"/>
      <c r="Y470" s="169"/>
    </row>
    <row r="471" spans="5:25" s="114" customFormat="1">
      <c r="E471" s="168"/>
      <c r="F471" s="115"/>
      <c r="J471" s="305"/>
      <c r="K471" s="305"/>
      <c r="P471" s="168"/>
      <c r="Q471" s="115"/>
      <c r="R471" s="306"/>
      <c r="S471" s="306"/>
      <c r="T471" s="306"/>
      <c r="U471" s="306"/>
      <c r="V471" s="306"/>
      <c r="W471" s="306"/>
      <c r="X471" s="306"/>
      <c r="Y471" s="169"/>
    </row>
    <row r="472" spans="5:25" s="114" customFormat="1">
      <c r="E472" s="168"/>
      <c r="F472" s="115"/>
      <c r="J472" s="305"/>
      <c r="K472" s="305"/>
      <c r="P472" s="168"/>
      <c r="Q472" s="115"/>
      <c r="R472" s="306"/>
      <c r="S472" s="306"/>
      <c r="T472" s="306"/>
      <c r="U472" s="306"/>
      <c r="V472" s="306"/>
      <c r="W472" s="306"/>
      <c r="X472" s="306"/>
      <c r="Y472" s="169"/>
    </row>
    <row r="473" spans="5:25" s="114" customFormat="1">
      <c r="E473" s="168"/>
      <c r="F473" s="115"/>
      <c r="J473" s="305"/>
      <c r="K473" s="305"/>
      <c r="P473" s="168"/>
      <c r="Q473" s="115"/>
      <c r="R473" s="306"/>
      <c r="S473" s="306"/>
      <c r="T473" s="306"/>
      <c r="U473" s="306"/>
      <c r="V473" s="306"/>
      <c r="W473" s="306"/>
      <c r="X473" s="306"/>
      <c r="Y473" s="169"/>
    </row>
    <row r="474" spans="5:25" s="114" customFormat="1">
      <c r="E474" s="168"/>
      <c r="F474" s="115"/>
      <c r="J474" s="305"/>
      <c r="K474" s="305"/>
      <c r="P474" s="168"/>
      <c r="Q474" s="115"/>
      <c r="R474" s="306"/>
      <c r="S474" s="306"/>
      <c r="T474" s="306"/>
      <c r="U474" s="306"/>
      <c r="V474" s="306"/>
      <c r="W474" s="306"/>
      <c r="X474" s="306"/>
      <c r="Y474" s="169"/>
    </row>
    <row r="475" spans="5:25" s="114" customFormat="1">
      <c r="E475" s="168"/>
      <c r="F475" s="115"/>
      <c r="J475" s="305"/>
      <c r="K475" s="305"/>
      <c r="P475" s="168"/>
      <c r="Q475" s="115"/>
      <c r="R475" s="306"/>
      <c r="S475" s="306"/>
      <c r="T475" s="306"/>
      <c r="U475" s="306"/>
      <c r="V475" s="306"/>
      <c r="W475" s="306"/>
      <c r="X475" s="306"/>
      <c r="Y475" s="169"/>
    </row>
    <row r="476" spans="5:25" s="114" customFormat="1">
      <c r="E476" s="168"/>
      <c r="F476" s="115"/>
      <c r="J476" s="305"/>
      <c r="K476" s="305"/>
      <c r="P476" s="168"/>
      <c r="Q476" s="115"/>
      <c r="R476" s="306"/>
      <c r="S476" s="306"/>
      <c r="T476" s="306"/>
      <c r="U476" s="306"/>
      <c r="V476" s="306"/>
      <c r="W476" s="306"/>
      <c r="X476" s="306"/>
      <c r="Y476" s="169"/>
    </row>
    <row r="477" spans="5:25" s="114" customFormat="1">
      <c r="E477" s="168"/>
      <c r="F477" s="115"/>
      <c r="J477" s="305"/>
      <c r="K477" s="305"/>
      <c r="P477" s="168"/>
      <c r="Q477" s="115"/>
      <c r="R477" s="306"/>
      <c r="S477" s="306"/>
      <c r="T477" s="306"/>
      <c r="U477" s="306"/>
      <c r="V477" s="306"/>
      <c r="W477" s="306"/>
      <c r="X477" s="306"/>
      <c r="Y477" s="169"/>
    </row>
    <row r="478" spans="5:25" s="114" customFormat="1">
      <c r="E478" s="168"/>
      <c r="F478" s="115"/>
      <c r="J478" s="305"/>
      <c r="K478" s="305"/>
      <c r="P478" s="168"/>
      <c r="Q478" s="115"/>
      <c r="R478" s="306"/>
      <c r="S478" s="306"/>
      <c r="T478" s="306"/>
      <c r="U478" s="306"/>
      <c r="V478" s="306"/>
      <c r="W478" s="306"/>
      <c r="X478" s="306"/>
      <c r="Y478" s="169"/>
    </row>
    <row r="479" spans="5:25" s="114" customFormat="1">
      <c r="E479" s="168"/>
      <c r="F479" s="115"/>
      <c r="J479" s="305"/>
      <c r="K479" s="305"/>
      <c r="P479" s="168"/>
      <c r="Q479" s="115"/>
      <c r="R479" s="306"/>
      <c r="S479" s="306"/>
      <c r="T479" s="306"/>
      <c r="U479" s="306"/>
      <c r="V479" s="306"/>
      <c r="W479" s="306"/>
      <c r="X479" s="306"/>
      <c r="Y479" s="169"/>
    </row>
    <row r="480" spans="5:25" s="114" customFormat="1">
      <c r="E480" s="168"/>
      <c r="F480" s="115"/>
      <c r="J480" s="305"/>
      <c r="K480" s="305"/>
      <c r="P480" s="168"/>
      <c r="Q480" s="115"/>
      <c r="R480" s="306"/>
      <c r="S480" s="306"/>
      <c r="T480" s="306"/>
      <c r="U480" s="306"/>
      <c r="V480" s="306"/>
      <c r="W480" s="306"/>
      <c r="X480" s="306"/>
      <c r="Y480" s="169"/>
    </row>
    <row r="481" spans="5:25" s="114" customFormat="1">
      <c r="E481" s="168"/>
      <c r="F481" s="115"/>
      <c r="J481" s="305"/>
      <c r="K481" s="305"/>
      <c r="P481" s="168"/>
      <c r="Q481" s="115"/>
      <c r="R481" s="306"/>
      <c r="S481" s="306"/>
      <c r="T481" s="306"/>
      <c r="U481" s="306"/>
      <c r="V481" s="306"/>
      <c r="W481" s="306"/>
      <c r="X481" s="306"/>
      <c r="Y481" s="169"/>
    </row>
    <row r="482" spans="5:25" s="114" customFormat="1">
      <c r="E482" s="168"/>
      <c r="F482" s="115"/>
      <c r="J482" s="305"/>
      <c r="K482" s="305"/>
      <c r="P482" s="168"/>
      <c r="Q482" s="115"/>
      <c r="R482" s="306"/>
      <c r="S482" s="306"/>
      <c r="T482" s="306"/>
      <c r="U482" s="306"/>
      <c r="V482" s="306"/>
      <c r="W482" s="306"/>
      <c r="X482" s="306"/>
      <c r="Y482" s="169"/>
    </row>
    <row r="483" spans="5:25" s="114" customFormat="1">
      <c r="E483" s="168"/>
      <c r="F483" s="115"/>
      <c r="J483" s="305"/>
      <c r="K483" s="305"/>
      <c r="P483" s="168"/>
      <c r="Q483" s="115"/>
      <c r="R483" s="306"/>
      <c r="S483" s="306"/>
      <c r="T483" s="306"/>
      <c r="U483" s="306"/>
      <c r="V483" s="306"/>
      <c r="W483" s="306"/>
      <c r="X483" s="306"/>
      <c r="Y483" s="169"/>
    </row>
    <row r="484" spans="5:25" s="114" customFormat="1">
      <c r="E484" s="168"/>
      <c r="F484" s="115"/>
      <c r="J484" s="305"/>
      <c r="K484" s="305"/>
      <c r="P484" s="168"/>
      <c r="Q484" s="115"/>
      <c r="R484" s="306"/>
      <c r="S484" s="306"/>
      <c r="T484" s="306"/>
      <c r="U484" s="306"/>
      <c r="V484" s="306"/>
      <c r="W484" s="306"/>
      <c r="X484" s="306"/>
      <c r="Y484" s="169"/>
    </row>
    <row r="485" spans="5:25" s="114" customFormat="1">
      <c r="E485" s="168"/>
      <c r="F485" s="115"/>
      <c r="J485" s="305"/>
      <c r="K485" s="305"/>
      <c r="P485" s="168"/>
      <c r="Q485" s="115"/>
      <c r="R485" s="306"/>
      <c r="S485" s="306"/>
      <c r="T485" s="306"/>
      <c r="U485" s="306"/>
      <c r="V485" s="306"/>
      <c r="W485" s="306"/>
      <c r="X485" s="306"/>
      <c r="Y485" s="169"/>
    </row>
    <row r="486" spans="5:25" s="114" customFormat="1">
      <c r="E486" s="168"/>
      <c r="F486" s="115"/>
      <c r="J486" s="305"/>
      <c r="K486" s="305"/>
      <c r="P486" s="168"/>
      <c r="Q486" s="115"/>
      <c r="R486" s="306"/>
      <c r="S486" s="306"/>
      <c r="T486" s="306"/>
      <c r="U486" s="306"/>
      <c r="V486" s="306"/>
      <c r="W486" s="306"/>
      <c r="X486" s="306"/>
      <c r="Y486" s="169"/>
    </row>
    <row r="487" spans="5:25" s="114" customFormat="1">
      <c r="E487" s="168"/>
      <c r="F487" s="115"/>
      <c r="J487" s="305"/>
      <c r="K487" s="305"/>
      <c r="P487" s="168"/>
      <c r="Q487" s="115"/>
      <c r="R487" s="306"/>
      <c r="S487" s="306"/>
      <c r="T487" s="306"/>
      <c r="U487" s="306"/>
      <c r="V487" s="306"/>
      <c r="W487" s="306"/>
      <c r="X487" s="306"/>
      <c r="Y487" s="169"/>
    </row>
    <row r="488" spans="5:25" s="114" customFormat="1">
      <c r="E488" s="168"/>
      <c r="F488" s="115"/>
      <c r="J488" s="305"/>
      <c r="K488" s="305"/>
      <c r="P488" s="168"/>
      <c r="Q488" s="115"/>
      <c r="R488" s="306"/>
      <c r="S488" s="306"/>
      <c r="T488" s="306"/>
      <c r="U488" s="306"/>
      <c r="V488" s="306"/>
      <c r="W488" s="306"/>
      <c r="X488" s="306"/>
      <c r="Y488" s="169"/>
    </row>
    <row r="489" spans="5:25" s="114" customFormat="1">
      <c r="E489" s="168"/>
      <c r="F489" s="115"/>
      <c r="J489" s="305"/>
      <c r="K489" s="305"/>
      <c r="P489" s="168"/>
      <c r="Q489" s="115"/>
      <c r="R489" s="306"/>
      <c r="S489" s="306"/>
      <c r="T489" s="306"/>
      <c r="U489" s="306"/>
      <c r="V489" s="306"/>
      <c r="W489" s="306"/>
      <c r="X489" s="306"/>
      <c r="Y489" s="169"/>
    </row>
    <row r="490" spans="5:25" s="114" customFormat="1">
      <c r="E490" s="168"/>
      <c r="F490" s="115"/>
      <c r="J490" s="305"/>
      <c r="K490" s="305"/>
      <c r="P490" s="168"/>
      <c r="Q490" s="115"/>
      <c r="R490" s="306"/>
      <c r="S490" s="306"/>
      <c r="T490" s="306"/>
      <c r="U490" s="306"/>
      <c r="V490" s="306"/>
      <c r="W490" s="306"/>
      <c r="X490" s="306"/>
      <c r="Y490" s="169"/>
    </row>
    <row r="491" spans="5:25" s="114" customFormat="1">
      <c r="E491" s="168"/>
      <c r="F491" s="115"/>
      <c r="J491" s="305"/>
      <c r="K491" s="305"/>
      <c r="P491" s="168"/>
      <c r="Q491" s="115"/>
      <c r="R491" s="306"/>
      <c r="S491" s="306"/>
      <c r="T491" s="306"/>
      <c r="U491" s="306"/>
      <c r="V491" s="306"/>
      <c r="W491" s="306"/>
      <c r="X491" s="306"/>
      <c r="Y491" s="169"/>
    </row>
    <row r="492" spans="5:25">
      <c r="R492" s="306"/>
      <c r="S492" s="306"/>
      <c r="T492" s="306"/>
      <c r="U492" s="306"/>
      <c r="V492" s="306"/>
      <c r="W492" s="306"/>
      <c r="X492" s="306"/>
    </row>
    <row r="493" spans="5:25">
      <c r="R493" s="306"/>
      <c r="S493" s="306"/>
      <c r="T493" s="306"/>
      <c r="U493" s="306"/>
      <c r="V493" s="306"/>
      <c r="W493" s="306"/>
      <c r="X493" s="306"/>
    </row>
    <row r="494" spans="5:25">
      <c r="W494" s="306"/>
      <c r="X494" s="306"/>
    </row>
  </sheetData>
  <sheetProtection formatCells="0" formatColumns="0" formatRows="0" insertColumns="0" insertRows="0" insertHyperlinks="0" deleteColumns="0" deleteRows="0" sort="0" autoFilter="0" pivotTables="0"/>
  <mergeCells count="71">
    <mergeCell ref="K26:K35"/>
    <mergeCell ref="K37:K42"/>
    <mergeCell ref="K44:K57"/>
    <mergeCell ref="K68:K75"/>
    <mergeCell ref="K128:K131"/>
    <mergeCell ref="K77:K84"/>
    <mergeCell ref="K86:K99"/>
    <mergeCell ref="K101:K105"/>
    <mergeCell ref="K111:K117"/>
    <mergeCell ref="K119:K126"/>
    <mergeCell ref="B2:H2"/>
    <mergeCell ref="M2:R2"/>
    <mergeCell ref="J6:J11"/>
    <mergeCell ref="J13:J16"/>
    <mergeCell ref="J18:J24"/>
    <mergeCell ref="K6:K11"/>
    <mergeCell ref="K13:K16"/>
    <mergeCell ref="K18:K24"/>
    <mergeCell ref="J26:J35"/>
    <mergeCell ref="J37:J42"/>
    <mergeCell ref="J44:J57"/>
    <mergeCell ref="J68:J75"/>
    <mergeCell ref="J77:J84"/>
    <mergeCell ref="S2:W2"/>
    <mergeCell ref="V6:V11"/>
    <mergeCell ref="V13:V16"/>
    <mergeCell ref="V18:V24"/>
    <mergeCell ref="V26:V35"/>
    <mergeCell ref="I111:I117"/>
    <mergeCell ref="J111:J117"/>
    <mergeCell ref="X111:X117"/>
    <mergeCell ref="V128:V131"/>
    <mergeCell ref="V44:V57"/>
    <mergeCell ref="V68:V75"/>
    <mergeCell ref="V77:V84"/>
    <mergeCell ref="V86:V99"/>
    <mergeCell ref="V101:V105"/>
    <mergeCell ref="V59:V66"/>
    <mergeCell ref="X128:X131"/>
    <mergeCell ref="J86:J99"/>
    <mergeCell ref="J101:J105"/>
    <mergeCell ref="J119:J126"/>
    <mergeCell ref="J128:J131"/>
    <mergeCell ref="X44:X57"/>
    <mergeCell ref="I107:I109"/>
    <mergeCell ref="J107:J109"/>
    <mergeCell ref="K107:K109"/>
    <mergeCell ref="L107:L109"/>
    <mergeCell ref="J59:J66"/>
    <mergeCell ref="K59:K66"/>
    <mergeCell ref="X6:X11"/>
    <mergeCell ref="X13:X16"/>
    <mergeCell ref="X18:X24"/>
    <mergeCell ref="X26:X35"/>
    <mergeCell ref="X37:X42"/>
    <mergeCell ref="X59:X66"/>
    <mergeCell ref="V111:V117"/>
    <mergeCell ref="X107:X109"/>
    <mergeCell ref="V119:V126"/>
    <mergeCell ref="V37:V42"/>
    <mergeCell ref="X68:X75"/>
    <mergeCell ref="X77:X84"/>
    <mergeCell ref="X86:X99"/>
    <mergeCell ref="X101:X105"/>
    <mergeCell ref="X119:X126"/>
    <mergeCell ref="Y28:Y35"/>
    <mergeCell ref="Y50:Y57"/>
    <mergeCell ref="Y88:Y95"/>
    <mergeCell ref="Y77:Y84"/>
    <mergeCell ref="Y6:Y7"/>
    <mergeCell ref="Y45:Y4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7:V42">
    <cfRule type="cellIs" dxfId="21" priority="1" operator="notEqual">
      <formula>0</formula>
    </cfRule>
  </conditionalFormatting>
  <conditionalFormatting sqref="W7:W28 W30:W33 W35:W36 W39:W40 W42:W50 W52:W55 W57:W70 W73:W77 W79:W82 W84:W88 W90:W93 W95:W101 W103:W110 W117:W118 W126:W131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M22"/>
  <sheetViews>
    <sheetView zoomScaleNormal="100" workbookViewId="0">
      <pane xSplit="5" ySplit="15" topLeftCell="AV16" activePane="bottomRight" state="frozen"/>
      <selection pane="bottomRight" activeCell="BO24" sqref="BO24"/>
      <selection pane="bottomLeft" activeCell="A22" sqref="A22"/>
      <selection pane="topRight" activeCell="F1" sqref="F1"/>
    </sheetView>
  </sheetViews>
  <sheetFormatPr defaultColWidth="9.28515625" defaultRowHeight="14.45"/>
  <cols>
    <col min="1" max="1" width="9.28515625" customWidth="1"/>
    <col min="2" max="2" width="34.5703125" customWidth="1"/>
    <col min="3" max="3" width="18" customWidth="1"/>
    <col min="4" max="4" width="21" customWidth="1"/>
    <col min="5" max="5" width="4.28515625" customWidth="1"/>
    <col min="6" max="6" width="16" bestFit="1" customWidth="1"/>
    <col min="7" max="7" width="20.28515625" customWidth="1"/>
    <col min="8" max="70" width="15.28515625" bestFit="1" customWidth="1"/>
    <col min="71" max="81" width="15.28515625" customWidth="1"/>
    <col min="82" max="82" width="9.28515625" style="240"/>
  </cols>
  <sheetData>
    <row r="1" spans="1:559">
      <c r="D1" s="236" t="s">
        <v>407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:J1" si="0">H1+7</f>
        <v>45509</v>
      </c>
      <c r="J1" s="239">
        <f t="shared" si="0"/>
        <v>45516</v>
      </c>
      <c r="K1" s="239">
        <f t="shared" ref="K1" si="1">J1+7</f>
        <v>45523</v>
      </c>
      <c r="L1" s="239">
        <f t="shared" ref="L1" si="2">K1+7</f>
        <v>45530</v>
      </c>
      <c r="M1" s="239">
        <f t="shared" ref="M1" si="3">L1+7</f>
        <v>45537</v>
      </c>
      <c r="N1" s="239">
        <f t="shared" ref="N1" si="4">M1+7</f>
        <v>45544</v>
      </c>
      <c r="O1" s="239">
        <f t="shared" ref="O1" si="5">N1+7</f>
        <v>45551</v>
      </c>
      <c r="P1" s="239">
        <f t="shared" ref="P1" si="6">O1+7</f>
        <v>45558</v>
      </c>
      <c r="Q1" s="239">
        <f t="shared" ref="Q1" si="7">P1+7</f>
        <v>45565</v>
      </c>
      <c r="R1" s="239">
        <f t="shared" ref="R1" si="8">Q1+7</f>
        <v>45572</v>
      </c>
      <c r="S1" s="239">
        <f t="shared" ref="S1" si="9">R1+7</f>
        <v>45579</v>
      </c>
      <c r="T1" s="239">
        <f t="shared" ref="T1" si="10">S1+7</f>
        <v>45586</v>
      </c>
      <c r="U1" s="239">
        <f t="shared" ref="U1" si="11">T1+7</f>
        <v>45593</v>
      </c>
      <c r="V1" s="239">
        <f t="shared" ref="V1" si="12">U1+7</f>
        <v>45600</v>
      </c>
      <c r="W1" s="239">
        <f t="shared" ref="W1" si="13">V1+7</f>
        <v>45607</v>
      </c>
      <c r="X1" s="239">
        <f t="shared" ref="X1" si="14">W1+7</f>
        <v>45614</v>
      </c>
      <c r="Y1" s="239">
        <f t="shared" ref="Y1" si="15">X1+7</f>
        <v>45621</v>
      </c>
      <c r="Z1" s="239">
        <f t="shared" ref="Z1" si="16">Y1+7</f>
        <v>45628</v>
      </c>
      <c r="AA1" s="239">
        <f t="shared" ref="AA1" si="17">Z1+7</f>
        <v>45635</v>
      </c>
      <c r="AB1" s="239">
        <f t="shared" ref="AB1" si="18">AA1+7</f>
        <v>45642</v>
      </c>
      <c r="AC1" s="239">
        <f t="shared" ref="AC1" si="19">AB1+7</f>
        <v>45649</v>
      </c>
      <c r="AD1" s="239">
        <f t="shared" ref="AD1" si="20">AC1+7</f>
        <v>45656</v>
      </c>
      <c r="AE1" s="239">
        <f t="shared" ref="AE1" si="21">AD1+7</f>
        <v>45663</v>
      </c>
      <c r="AF1" s="239">
        <f t="shared" ref="AF1" si="22">AE1+7</f>
        <v>45670</v>
      </c>
      <c r="AG1" s="239">
        <f t="shared" ref="AG1" si="23">AF1+7</f>
        <v>45677</v>
      </c>
      <c r="AH1" s="239">
        <f t="shared" ref="AH1" si="24">AG1+7</f>
        <v>45684</v>
      </c>
      <c r="AI1" s="239">
        <f t="shared" ref="AI1" si="25">AH1+7</f>
        <v>45691</v>
      </c>
      <c r="AJ1" s="239">
        <f t="shared" ref="AJ1" si="26">AI1+7</f>
        <v>45698</v>
      </c>
      <c r="AK1" s="239">
        <f t="shared" ref="AK1:BQ1" si="27">AJ1+7</f>
        <v>45705</v>
      </c>
      <c r="AL1" s="239">
        <f t="shared" si="27"/>
        <v>45712</v>
      </c>
      <c r="AM1" s="239">
        <f t="shared" si="27"/>
        <v>45719</v>
      </c>
      <c r="AN1" s="239">
        <f t="shared" si="27"/>
        <v>45726</v>
      </c>
      <c r="AO1" s="239">
        <f t="shared" si="27"/>
        <v>45733</v>
      </c>
      <c r="AP1" s="239">
        <f t="shared" si="27"/>
        <v>45740</v>
      </c>
      <c r="AQ1" s="239">
        <f t="shared" si="27"/>
        <v>45747</v>
      </c>
      <c r="AR1" s="239">
        <f t="shared" si="27"/>
        <v>45754</v>
      </c>
      <c r="AS1" s="239">
        <f t="shared" si="27"/>
        <v>45761</v>
      </c>
      <c r="AT1" s="239">
        <f t="shared" si="27"/>
        <v>45768</v>
      </c>
      <c r="AU1" s="239">
        <f t="shared" si="27"/>
        <v>45775</v>
      </c>
      <c r="AV1" s="239">
        <f t="shared" si="27"/>
        <v>45782</v>
      </c>
      <c r="AW1" s="239">
        <f t="shared" si="27"/>
        <v>45789</v>
      </c>
      <c r="AX1" s="239">
        <f t="shared" si="27"/>
        <v>45796</v>
      </c>
      <c r="AY1" s="239">
        <f t="shared" si="27"/>
        <v>45803</v>
      </c>
      <c r="AZ1" s="239">
        <f t="shared" si="27"/>
        <v>45810</v>
      </c>
      <c r="BA1" s="239">
        <f t="shared" si="27"/>
        <v>45817</v>
      </c>
      <c r="BB1" s="239">
        <f t="shared" si="27"/>
        <v>45824</v>
      </c>
      <c r="BC1" s="239">
        <f t="shared" si="27"/>
        <v>45831</v>
      </c>
      <c r="BD1" s="239">
        <f t="shared" si="27"/>
        <v>45838</v>
      </c>
      <c r="BE1" s="239">
        <f t="shared" si="27"/>
        <v>45845</v>
      </c>
      <c r="BF1" s="239">
        <f t="shared" si="27"/>
        <v>45852</v>
      </c>
      <c r="BG1" s="239">
        <f t="shared" si="27"/>
        <v>45859</v>
      </c>
      <c r="BH1" s="239">
        <f t="shared" si="27"/>
        <v>45866</v>
      </c>
      <c r="BI1" s="239">
        <f t="shared" si="27"/>
        <v>45873</v>
      </c>
      <c r="BJ1" s="239">
        <f t="shared" si="27"/>
        <v>45880</v>
      </c>
      <c r="BK1" s="239">
        <f t="shared" si="27"/>
        <v>45887</v>
      </c>
      <c r="BL1" s="239">
        <f t="shared" si="27"/>
        <v>45894</v>
      </c>
      <c r="BM1" s="239">
        <f t="shared" si="27"/>
        <v>45901</v>
      </c>
      <c r="BN1" s="239">
        <f t="shared" si="27"/>
        <v>45908</v>
      </c>
      <c r="BO1" s="239">
        <f t="shared" si="27"/>
        <v>45915</v>
      </c>
      <c r="BP1" s="239">
        <f t="shared" si="27"/>
        <v>45922</v>
      </c>
      <c r="BQ1" s="239">
        <f t="shared" si="27"/>
        <v>45929</v>
      </c>
      <c r="BR1" s="239">
        <f t="shared" ref="BR1:CC1" si="28">BQ1+7</f>
        <v>45936</v>
      </c>
      <c r="BS1" s="239">
        <f t="shared" si="28"/>
        <v>45943</v>
      </c>
      <c r="BT1" s="239">
        <f t="shared" si="28"/>
        <v>45950</v>
      </c>
      <c r="BU1" s="239">
        <f t="shared" si="28"/>
        <v>45957</v>
      </c>
      <c r="BV1" s="239">
        <f t="shared" si="28"/>
        <v>45964</v>
      </c>
      <c r="BW1" s="239">
        <f t="shared" si="28"/>
        <v>45971</v>
      </c>
      <c r="BX1" s="239">
        <f t="shared" si="28"/>
        <v>45978</v>
      </c>
      <c r="BY1" s="239">
        <f t="shared" si="28"/>
        <v>45985</v>
      </c>
      <c r="BZ1" s="239">
        <f t="shared" si="28"/>
        <v>45992</v>
      </c>
      <c r="CA1" s="239">
        <f t="shared" si="28"/>
        <v>45999</v>
      </c>
      <c r="CB1" s="239">
        <f t="shared" si="28"/>
        <v>46006</v>
      </c>
      <c r="CC1" s="239">
        <f t="shared" si="28"/>
        <v>46013</v>
      </c>
    </row>
    <row r="2" spans="1:559" s="240" customFormat="1">
      <c r="A2" s="976" t="s">
        <v>74</v>
      </c>
      <c r="B2" s="241"/>
      <c r="C2" s="242" t="s">
        <v>236</v>
      </c>
      <c r="D2" s="242" t="s">
        <v>236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</row>
    <row r="3" spans="1:559">
      <c r="A3" s="977"/>
      <c r="B3" s="244" t="s">
        <v>81</v>
      </c>
      <c r="C3" s="245">
        <f>'Revenue Tracking'!D4</f>
        <v>2462259.00338786</v>
      </c>
      <c r="D3" s="245">
        <f>SUM(F3:CC3)</f>
        <v>2514540.1233878601</v>
      </c>
      <c r="E3" s="246"/>
      <c r="F3" s="247">
        <f>SUMIFS('Revenue Tracking'!$F$13:$F$19, 'Revenue Tracking'!$H$13:$H$19, "&gt;="&amp;F1,'Revenue Tracking'!$H$13:$H$19, "&lt;"&amp;G1)</f>
        <v>861790.65118575096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615564.75084696501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615564.75084696501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246225.90033878601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175394.070169393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"&lt;"&amp;CD1)</f>
        <v>0</v>
      </c>
      <c r="CC3" s="247">
        <f>SUMIFS('Revenue Tracking'!$F$13:$F$19, 'Revenue Tracking'!$H$13:$H$19, "&gt;="&amp;CC1,'Revenue Tracking'!$H$13:$H$19, "&lt;"&amp;CE1)</f>
        <v>0</v>
      </c>
    </row>
    <row r="4" spans="1:559">
      <c r="A4" s="977"/>
      <c r="B4" s="244" t="s">
        <v>408</v>
      </c>
      <c r="C4" s="245"/>
      <c r="D4" s="245"/>
      <c r="E4" s="246"/>
      <c r="F4" s="247">
        <f>F3</f>
        <v>861790.65118575096</v>
      </c>
      <c r="G4" s="247">
        <f>F4+G3</f>
        <v>861790.65118575096</v>
      </c>
      <c r="H4" s="247">
        <f>G4+H3</f>
        <v>861790.65118575096</v>
      </c>
      <c r="I4" s="247">
        <f t="shared" ref="I4:J4" si="29">H4+I3</f>
        <v>861790.65118575096</v>
      </c>
      <c r="J4" s="247">
        <f t="shared" si="29"/>
        <v>861790.65118575096</v>
      </c>
      <c r="K4" s="247">
        <f t="shared" ref="K4" si="30">J4+K3</f>
        <v>861790.65118575096</v>
      </c>
      <c r="L4" s="247">
        <f t="shared" ref="L4" si="31">K4+L3</f>
        <v>861790.65118575096</v>
      </c>
      <c r="M4" s="247">
        <f t="shared" ref="M4" si="32">L4+M3</f>
        <v>861790.65118575096</v>
      </c>
      <c r="N4" s="247">
        <f t="shared" ref="N4" si="33">M4+N3</f>
        <v>861790.65118575096</v>
      </c>
      <c r="O4" s="247">
        <f t="shared" ref="O4" si="34">N4+O3</f>
        <v>861790.65118575096</v>
      </c>
      <c r="P4" s="247">
        <f t="shared" ref="P4" si="35">O4+P3</f>
        <v>861790.65118575096</v>
      </c>
      <c r="Q4" s="247">
        <f t="shared" ref="Q4" si="36">P4+Q3</f>
        <v>1477355.402032716</v>
      </c>
      <c r="R4" s="247">
        <f t="shared" ref="R4" si="37">Q4+R3</f>
        <v>1477355.402032716</v>
      </c>
      <c r="S4" s="247">
        <f t="shared" ref="S4" si="38">R4+S3</f>
        <v>2092920.152879681</v>
      </c>
      <c r="T4" s="247">
        <f t="shared" ref="T4" si="39">S4+T3</f>
        <v>2092920.152879681</v>
      </c>
      <c r="U4" s="247">
        <f t="shared" ref="U4" si="40">T4+U3</f>
        <v>2092920.152879681</v>
      </c>
      <c r="V4" s="247">
        <f t="shared" ref="V4" si="41">U4+V3</f>
        <v>2092920.152879681</v>
      </c>
      <c r="W4" s="247">
        <f t="shared" ref="W4" si="42">V4+W3</f>
        <v>2092920.152879681</v>
      </c>
      <c r="X4" s="247">
        <f t="shared" ref="X4" si="43">W4+X3</f>
        <v>2339146.0532184672</v>
      </c>
      <c r="Y4" s="247">
        <f t="shared" ref="Y4" si="44">X4+Y3</f>
        <v>2339146.0532184672</v>
      </c>
      <c r="Z4" s="247">
        <f t="shared" ref="Z4" si="45">Y4+Z3</f>
        <v>2339146.0532184672</v>
      </c>
      <c r="AA4" s="247">
        <f t="shared" ref="AA4" si="46">Z4+AA3</f>
        <v>2339146.0532184672</v>
      </c>
      <c r="AB4" s="247">
        <f t="shared" ref="AB4" si="47">AA4+AB3</f>
        <v>2514540.1233878601</v>
      </c>
      <c r="AC4" s="247">
        <f t="shared" ref="AC4" si="48">AB4+AC3</f>
        <v>2514540.1233878601</v>
      </c>
      <c r="AD4" s="247">
        <f t="shared" ref="AD4" si="49">AC4+AD3</f>
        <v>2514540.1233878601</v>
      </c>
      <c r="AE4" s="247">
        <f t="shared" ref="AE4" si="50">AD4+AE3</f>
        <v>2514540.1233878601</v>
      </c>
      <c r="AF4" s="247">
        <f t="shared" ref="AF4" si="51">AE4+AF3</f>
        <v>2514540.1233878601</v>
      </c>
      <c r="AG4" s="247">
        <f t="shared" ref="AG4" si="52">AF4+AG3</f>
        <v>2514540.1233878601</v>
      </c>
      <c r="AH4" s="247">
        <f t="shared" ref="AH4" si="53">AG4+AH3</f>
        <v>2514540.1233878601</v>
      </c>
      <c r="AI4" s="247">
        <f t="shared" ref="AI4" si="54">AH4+AI3</f>
        <v>2514540.1233878601</v>
      </c>
      <c r="AJ4" s="247">
        <f t="shared" ref="AJ4" si="55">AI4+AJ3</f>
        <v>2514540.1233878601</v>
      </c>
      <c r="AK4" s="247">
        <f t="shared" ref="AK4:BQ4" si="56">AJ4+AK3</f>
        <v>2514540.1233878601</v>
      </c>
      <c r="AL4" s="247">
        <f t="shared" si="56"/>
        <v>2514540.1233878601</v>
      </c>
      <c r="AM4" s="247">
        <f t="shared" si="56"/>
        <v>2514540.1233878601</v>
      </c>
      <c r="AN4" s="247">
        <f t="shared" si="56"/>
        <v>2514540.1233878601</v>
      </c>
      <c r="AO4" s="247">
        <f t="shared" si="56"/>
        <v>2514540.1233878601</v>
      </c>
      <c r="AP4" s="247">
        <f t="shared" si="56"/>
        <v>2514540.1233878601</v>
      </c>
      <c r="AQ4" s="247">
        <f t="shared" si="56"/>
        <v>2514540.1233878601</v>
      </c>
      <c r="AR4" s="247">
        <f t="shared" si="56"/>
        <v>2514540.1233878601</v>
      </c>
      <c r="AS4" s="247">
        <f t="shared" si="56"/>
        <v>2514540.1233878601</v>
      </c>
      <c r="AT4" s="247">
        <f t="shared" si="56"/>
        <v>2514540.1233878601</v>
      </c>
      <c r="AU4" s="247">
        <f t="shared" si="56"/>
        <v>2514540.1233878601</v>
      </c>
      <c r="AV4" s="247">
        <f t="shared" si="56"/>
        <v>2514540.1233878601</v>
      </c>
      <c r="AW4" s="247">
        <f t="shared" si="56"/>
        <v>2514540.1233878601</v>
      </c>
      <c r="AX4" s="247">
        <f t="shared" si="56"/>
        <v>2514540.1233878601</v>
      </c>
      <c r="AY4" s="247">
        <f t="shared" si="56"/>
        <v>2514540.1233878601</v>
      </c>
      <c r="AZ4" s="247">
        <f t="shared" si="56"/>
        <v>2514540.1233878601</v>
      </c>
      <c r="BA4" s="247">
        <f t="shared" si="56"/>
        <v>2514540.1233878601</v>
      </c>
      <c r="BB4" s="247">
        <f t="shared" si="56"/>
        <v>2514540.1233878601</v>
      </c>
      <c r="BC4" s="247">
        <f t="shared" si="56"/>
        <v>2514540.1233878601</v>
      </c>
      <c r="BD4" s="247">
        <f t="shared" si="56"/>
        <v>2514540.1233878601</v>
      </c>
      <c r="BE4" s="247">
        <f t="shared" si="56"/>
        <v>2514540.1233878601</v>
      </c>
      <c r="BF4" s="247">
        <f t="shared" si="56"/>
        <v>2514540.1233878601</v>
      </c>
      <c r="BG4" s="247">
        <f t="shared" si="56"/>
        <v>2514540.1233878601</v>
      </c>
      <c r="BH4" s="247">
        <f t="shared" si="56"/>
        <v>2514540.1233878601</v>
      </c>
      <c r="BI4" s="247">
        <f t="shared" si="56"/>
        <v>2514540.1233878601</v>
      </c>
      <c r="BJ4" s="247">
        <f t="shared" si="56"/>
        <v>2514540.1233878601</v>
      </c>
      <c r="BK4" s="247">
        <f t="shared" si="56"/>
        <v>2514540.1233878601</v>
      </c>
      <c r="BL4" s="247">
        <f t="shared" si="56"/>
        <v>2514540.1233878601</v>
      </c>
      <c r="BM4" s="247">
        <f t="shared" si="56"/>
        <v>2514540.1233878601</v>
      </c>
      <c r="BN4" s="247">
        <f t="shared" si="56"/>
        <v>2514540.1233878601</v>
      </c>
      <c r="BO4" s="247">
        <f t="shared" si="56"/>
        <v>2514540.1233878601</v>
      </c>
      <c r="BP4" s="247">
        <f t="shared" si="56"/>
        <v>2514540.1233878601</v>
      </c>
      <c r="BQ4" s="247">
        <f t="shared" si="56"/>
        <v>2514540.1233878601</v>
      </c>
      <c r="BR4" s="247">
        <f t="shared" ref="BR4:CC4" si="57">BQ4+BR3</f>
        <v>2514540.1233878601</v>
      </c>
      <c r="BS4" s="247">
        <f t="shared" si="57"/>
        <v>2514540.1233878601</v>
      </c>
      <c r="BT4" s="247">
        <f t="shared" si="57"/>
        <v>2514540.1233878601</v>
      </c>
      <c r="BU4" s="247">
        <f t="shared" si="57"/>
        <v>2514540.1233878601</v>
      </c>
      <c r="BV4" s="247">
        <f t="shared" si="57"/>
        <v>2514540.1233878601</v>
      </c>
      <c r="BW4" s="247">
        <f t="shared" si="57"/>
        <v>2514540.1233878601</v>
      </c>
      <c r="BX4" s="247">
        <f t="shared" si="57"/>
        <v>2514540.1233878601</v>
      </c>
      <c r="BY4" s="247">
        <f t="shared" si="57"/>
        <v>2514540.1233878601</v>
      </c>
      <c r="BZ4" s="247">
        <f t="shared" si="57"/>
        <v>2514540.1233878601</v>
      </c>
      <c r="CA4" s="247">
        <f t="shared" si="57"/>
        <v>2514540.1233878601</v>
      </c>
      <c r="CB4" s="247">
        <f t="shared" si="57"/>
        <v>2514540.1233878601</v>
      </c>
      <c r="CC4" s="247">
        <f t="shared" si="57"/>
        <v>2514540.1233878601</v>
      </c>
    </row>
    <row r="5" spans="1:559" s="252" customFormat="1">
      <c r="A5" s="977"/>
      <c r="B5" s="248" t="s">
        <v>84</v>
      </c>
      <c r="C5" s="249">
        <f>'Revenue Tracking'!D5</f>
        <v>2105194.1529999999</v>
      </c>
      <c r="D5" s="249">
        <f>SUM(F5:CC5)</f>
        <v>2105194.1529999999</v>
      </c>
      <c r="E5" s="246"/>
      <c r="F5" s="250">
        <f>SUMIFS('Expenditure Breakdown'!$G$6:$G$131, 'Expenditure Breakdown'!$H$6:$H$131, "&gt;="&amp;F1,'Expenditure Breakdown'!$H$6:$H$131, "&lt;"&amp;G1)</f>
        <v>0</v>
      </c>
      <c r="G5" s="250">
        <f>SUMIFS('Expenditure Breakdown'!$G$6:$G$131, 'Expenditure Breakdown'!$H$6:$H$131, "&gt;="&amp;G1,'Expenditure Breakdown'!$H$6:$H$131, "&lt;"&amp;H1)</f>
        <v>0</v>
      </c>
      <c r="H5" s="250">
        <f>SUMIFS('Expenditure Breakdown'!$G$6:$G$131, 'Expenditure Breakdown'!$H$6:$H$131, "&gt;="&amp;H1,'Expenditure Breakdown'!$H$6:$H$131, "&lt;"&amp;I1)</f>
        <v>0</v>
      </c>
      <c r="I5" s="250">
        <f>SUMIFS('Expenditure Breakdown'!$G$6:$G$131, 'Expenditure Breakdown'!$H$6:$H$131, "&gt;="&amp;I1,'Expenditure Breakdown'!$H$6:$H$131, "&lt;"&amp;J1)</f>
        <v>0</v>
      </c>
      <c r="J5" s="250">
        <f>SUMIFS('Expenditure Breakdown'!$G$6:$G$131, 'Expenditure Breakdown'!$H$6:$H$131, "&gt;="&amp;J1,'Expenditure Breakdown'!$H$6:$H$131, "&lt;"&amp;K1)</f>
        <v>0</v>
      </c>
      <c r="K5" s="250">
        <f>SUMIFS('Expenditure Breakdown'!$G$6:$G$131, 'Expenditure Breakdown'!$H$6:$H$131, "&gt;="&amp;K1,'Expenditure Breakdown'!$H$6:$H$131, "&lt;"&amp;L1)</f>
        <v>0</v>
      </c>
      <c r="L5" s="250">
        <f>SUMIFS('Expenditure Breakdown'!$G$6:$G$131, 'Expenditure Breakdown'!$H$6:$H$131, "&gt;="&amp;L1,'Expenditure Breakdown'!$H$6:$H$131, "&lt;"&amp;M1)</f>
        <v>0</v>
      </c>
      <c r="M5" s="250">
        <f>SUMIFS('Expenditure Breakdown'!$G$6:$G$131, 'Expenditure Breakdown'!$H$6:$H$131, "&gt;="&amp;M1,'Expenditure Breakdown'!$H$6:$H$131, "&lt;"&amp;N1)</f>
        <v>0</v>
      </c>
      <c r="N5" s="250">
        <f>SUMIFS('Expenditure Breakdown'!$G$6:$G$131, 'Expenditure Breakdown'!$H$6:$H$131, "&gt;="&amp;N1,'Expenditure Breakdown'!$H$6:$H$131, "&lt;"&amp;O1)</f>
        <v>0</v>
      </c>
      <c r="O5" s="250">
        <f>SUMIFS('Expenditure Breakdown'!$G$6:$G$131, 'Expenditure Breakdown'!$H$6:$H$131, "&gt;="&amp;O1,'Expenditure Breakdown'!$H$6:$H$131, "&lt;"&amp;P1)</f>
        <v>20805</v>
      </c>
      <c r="P5" s="250">
        <f>SUMIFS('Expenditure Breakdown'!$G$6:$G$131, 'Expenditure Breakdown'!$H$6:$H$131, "&gt;="&amp;P1,'Expenditure Breakdown'!$H$6:$H$131, "&lt;"&amp;Q1)</f>
        <v>94871.972999999998</v>
      </c>
      <c r="Q5" s="250">
        <f>SUMIFS('Expenditure Breakdown'!$G$6:$G$131, 'Expenditure Breakdown'!$H$6:$H$131, "&gt;="&amp;Q1,'Expenditure Breakdown'!$H$6:$H$131, "&lt;"&amp;R1)</f>
        <v>0</v>
      </c>
      <c r="R5" s="250">
        <f>SUMIFS('Expenditure Breakdown'!$G$6:$G$131, 'Expenditure Breakdown'!$H$6:$H$131, "&gt;="&amp;R1,'Expenditure Breakdown'!$H$6:$H$131, "&lt;"&amp;S1)</f>
        <v>700.8</v>
      </c>
      <c r="S5" s="250">
        <f>SUMIFS('Expenditure Breakdown'!$G$6:$G$131, 'Expenditure Breakdown'!$H$6:$H$131, "&gt;="&amp;S1,'Expenditure Breakdown'!$H$6:$H$131, "&lt;"&amp;T1)</f>
        <v>0</v>
      </c>
      <c r="T5" s="250">
        <f>SUMIFS('Expenditure Breakdown'!$G$6:$G$131, 'Expenditure Breakdown'!$H$6:$H$131, "&gt;="&amp;T1,'Expenditure Breakdown'!$H$6:$H$131, "&lt;"&amp;U1)</f>
        <v>532583.5</v>
      </c>
      <c r="U5" s="250">
        <f>SUMIFS('Expenditure Breakdown'!$G$6:$G$131, 'Expenditure Breakdown'!$H$6:$H$131, "&gt;="&amp;U1,'Expenditure Breakdown'!$H$6:$H$131, "&lt;"&amp;V1)</f>
        <v>230615.91899999999</v>
      </c>
      <c r="V5" s="250">
        <f>SUMIFS('Expenditure Breakdown'!$G$6:$G$131, 'Expenditure Breakdown'!$H$6:$H$131, "&gt;="&amp;V1,'Expenditure Breakdown'!$H$6:$H$131, "&lt;"&amp;W1)</f>
        <v>55440</v>
      </c>
      <c r="W5" s="250">
        <f>SUMIFS('Expenditure Breakdown'!$G$6:$G$131, 'Expenditure Breakdown'!$H$6:$H$131, "&gt;="&amp;W1,'Expenditure Breakdown'!$H$6:$H$131, "&lt;"&amp;X1)</f>
        <v>89604.282000000007</v>
      </c>
      <c r="X5" s="250">
        <f>SUMIFS('Expenditure Breakdown'!$G$6:$G$131, 'Expenditure Breakdown'!$H$6:$H$131, "&gt;="&amp;X1,'Expenditure Breakdown'!$H$6:$H$131, "&lt;"&amp;Y1)</f>
        <v>26000</v>
      </c>
      <c r="Y5" s="250">
        <f>SUMIFS('Expenditure Breakdown'!$G$6:$G$131, 'Expenditure Breakdown'!$H$6:$H$131, "&gt;="&amp;Y1,'Expenditure Breakdown'!$H$6:$H$131, "&lt;"&amp;Z1)</f>
        <v>0</v>
      </c>
      <c r="Z5" s="250">
        <f>SUMIFS('Expenditure Breakdown'!$G$6:$G$131, 'Expenditure Breakdown'!$H$6:$H$131, "&gt;="&amp;Z1,'Expenditure Breakdown'!$H$6:$H$131, "&lt;"&amp;AA1)</f>
        <v>51247.982000000004</v>
      </c>
      <c r="AA5" s="250">
        <f>SUMIFS('Expenditure Breakdown'!$G$6:$G$131, 'Expenditure Breakdown'!$H$6:$H$131, "&gt;="&amp;AA1,'Expenditure Breakdown'!$H$6:$H$131, "&lt;"&amp;AB1)</f>
        <v>810052.14599999995</v>
      </c>
      <c r="AB5" s="250">
        <f>SUMIFS('Expenditure Breakdown'!$G$6:$G$131, 'Expenditure Breakdown'!$H$6:$H$131, "&gt;="&amp;AB1,'Expenditure Breakdown'!$H$6:$H$131, "&lt;"&amp;AC1)</f>
        <v>0</v>
      </c>
      <c r="AC5" s="250">
        <f>SUMIFS('Expenditure Breakdown'!$G$6:$G$131, 'Expenditure Breakdown'!$H$6:$H$131, "&gt;="&amp;AC1,'Expenditure Breakdown'!$H$6:$H$131, "&lt;"&amp;AD1)</f>
        <v>167648.56</v>
      </c>
      <c r="AD5" s="250">
        <f>SUMIFS('Expenditure Breakdown'!$G$6:$G$131, 'Expenditure Breakdown'!$H$6:$H$131, "&gt;="&amp;AD1,'Expenditure Breakdown'!$H$6:$H$131, "&lt;"&amp;AE1)</f>
        <v>0</v>
      </c>
      <c r="AE5" s="250">
        <f>SUMIFS('Expenditure Breakdown'!$G$6:$G$131, 'Expenditure Breakdown'!$H$6:$H$131, "&gt;="&amp;AE1,'Expenditure Breakdown'!$H$6:$H$131, "&lt;"&amp;AF1)</f>
        <v>25623.991000000002</v>
      </c>
      <c r="AF5" s="250">
        <f>SUMIFS('Expenditure Breakdown'!$G$6:$G$131, 'Expenditure Breakdown'!$H$6:$H$131, "&gt;="&amp;AF1,'Expenditure Breakdown'!$H$6:$H$131, "&lt;"&amp;AG1)</f>
        <v>0</v>
      </c>
      <c r="AG5" s="250">
        <f>SUMIFS('Expenditure Breakdown'!$G$6:$G$131, 'Expenditure Breakdown'!$H$6:$H$131, "&gt;="&amp;AG1,'Expenditure Breakdown'!$H$6:$H$131, "&lt;"&amp;AH1)</f>
        <v>0</v>
      </c>
      <c r="AH5" s="250">
        <f>SUMIFS('Expenditure Breakdown'!$G$6:$G$131, 'Expenditure Breakdown'!$H$6:$H$131, "&gt;="&amp;AH1,'Expenditure Breakdown'!$H$6:$H$131, "&lt;"&amp;AI1)</f>
        <v>0</v>
      </c>
      <c r="AI5" s="250">
        <f>SUMIFS('Expenditure Breakdown'!$G$6:$G$131, 'Expenditure Breakdown'!$H$6:$H$131, "&gt;="&amp;AI1,'Expenditure Breakdown'!$H$6:$H$131, "&lt;"&amp;AJ1)</f>
        <v>0</v>
      </c>
      <c r="AJ5" s="250">
        <f>SUMIFS('Expenditure Breakdown'!$G$6:$G$131, 'Expenditure Breakdown'!$H$6:$H$131, "&gt;="&amp;AJ1,'Expenditure Breakdown'!$H$6:$H$131, "&lt;"&amp;AK1)</f>
        <v>0</v>
      </c>
      <c r="AK5" s="250">
        <f>SUMIFS('Expenditure Breakdown'!$G$6:$G$131, 'Expenditure Breakdown'!$H$6:$H$131, "&gt;="&amp;AK1,'Expenditure Breakdown'!$H$6:$H$131, "&lt;"&amp;AL1)</f>
        <v>0</v>
      </c>
      <c r="AL5" s="250">
        <f>SUMIFS('Expenditure Breakdown'!$G$6:$G$131, 'Expenditure Breakdown'!$H$6:$H$131, "&gt;="&amp;AL1,'Expenditure Breakdown'!$H$6:$H$131, "&lt;"&amp;AM1)</f>
        <v>0</v>
      </c>
      <c r="AM5" s="250">
        <f>SUMIFS('Expenditure Breakdown'!$G$6:$G$131, 'Expenditure Breakdown'!$H$6:$H$131, "&gt;="&amp;AM1,'Expenditure Breakdown'!$H$6:$H$131, "&lt;"&amp;AN1)</f>
        <v>0</v>
      </c>
      <c r="AN5" s="250">
        <f>SUMIFS('Expenditure Breakdown'!$G$6:$G$131, 'Expenditure Breakdown'!$H$6:$H$131, "&gt;="&amp;AN1,'Expenditure Breakdown'!$H$6:$H$131, "&lt;"&amp;AO1)</f>
        <v>0</v>
      </c>
      <c r="AO5" s="250">
        <f>SUMIFS('Expenditure Breakdown'!$G$6:$G$131, 'Expenditure Breakdown'!$H$6:$H$131, "&gt;="&amp;AO1,'Expenditure Breakdown'!$H$6:$H$131, "&lt;"&amp;AP1)</f>
        <v>0</v>
      </c>
      <c r="AP5" s="250">
        <f>SUMIFS('Expenditure Breakdown'!$G$6:$G$131, 'Expenditure Breakdown'!$H$6:$H$131, "&gt;="&amp;AP1,'Expenditure Breakdown'!$H$6:$H$131, "&lt;"&amp;AQ1)</f>
        <v>0</v>
      </c>
      <c r="AQ5" s="250">
        <f>SUMIFS('Expenditure Breakdown'!$G$6:$G$131, 'Expenditure Breakdown'!$H$6:$H$131, "&gt;="&amp;AQ1,'Expenditure Breakdown'!$H$6:$H$131, "&lt;"&amp;AR1)</f>
        <v>0</v>
      </c>
      <c r="AR5" s="250">
        <f>SUMIFS('Expenditure Breakdown'!$G$6:$G$131, 'Expenditure Breakdown'!$H$6:$H$131, "&gt;="&amp;AR1,'Expenditure Breakdown'!$H$6:$H$131, "&lt;"&amp;AS1)</f>
        <v>0</v>
      </c>
      <c r="AS5" s="250">
        <f>SUMIFS('Expenditure Breakdown'!$G$6:$G$131, 'Expenditure Breakdown'!$H$6:$H$131, "&gt;="&amp;AS1,'Expenditure Breakdown'!$H$6:$H$131, "&lt;"&amp;AT1)</f>
        <v>0</v>
      </c>
      <c r="AT5" s="250">
        <f>SUMIFS('Expenditure Breakdown'!$G$6:$G$131, 'Expenditure Breakdown'!$H$6:$H$131, "&gt;="&amp;AT1,'Expenditure Breakdown'!$H$6:$H$131, "&lt;"&amp;AU1)</f>
        <v>0</v>
      </c>
      <c r="AU5" s="250">
        <f>SUMIFS('Expenditure Breakdown'!$G$6:$G$131, 'Expenditure Breakdown'!$H$6:$H$131, "&gt;="&amp;AU1,'Expenditure Breakdown'!$H$6:$H$131, "&lt;"&amp;AV1)</f>
        <v>0</v>
      </c>
      <c r="AV5" s="250">
        <f>SUMIFS('Expenditure Breakdown'!$G$6:$G$131, 'Expenditure Breakdown'!$H$6:$H$131, "&gt;="&amp;AV1,'Expenditure Breakdown'!$H$6:$H$131, "&lt;"&amp;AW1)</f>
        <v>0</v>
      </c>
      <c r="AW5" s="250">
        <f>SUMIFS('Expenditure Breakdown'!$G$6:$G$131, 'Expenditure Breakdown'!$H$6:$H$131, "&gt;="&amp;AW1,'Expenditure Breakdown'!$H$6:$H$131, "&lt;"&amp;AX1)</f>
        <v>0</v>
      </c>
      <c r="AX5" s="250">
        <f>SUMIFS('Expenditure Breakdown'!$G$6:$G$131, 'Expenditure Breakdown'!$H$6:$H$131, "&gt;="&amp;AX1,'Expenditure Breakdown'!$H$6:$H$131, "&lt;"&amp;AY1)</f>
        <v>0</v>
      </c>
      <c r="AY5" s="250">
        <f>SUMIFS('Expenditure Breakdown'!$G$6:$G$131, 'Expenditure Breakdown'!$H$6:$H$131, "&gt;="&amp;AY1,'Expenditure Breakdown'!$H$6:$H$131, "&lt;"&amp;AZ1)</f>
        <v>0</v>
      </c>
      <c r="AZ5" s="250">
        <f>SUMIFS('Expenditure Breakdown'!$G$6:$G$131, 'Expenditure Breakdown'!$H$6:$H$131, "&gt;="&amp;AZ1,'Expenditure Breakdown'!$H$6:$H$131, "&lt;"&amp;BA1)</f>
        <v>0</v>
      </c>
      <c r="BA5" s="250">
        <f>SUMIFS('Expenditure Breakdown'!$G$6:$G$131, 'Expenditure Breakdown'!$H$6:$H$131, "&gt;="&amp;BA1,'Expenditure Breakdown'!$H$6:$H$131, "&lt;"&amp;BB1)</f>
        <v>0</v>
      </c>
      <c r="BB5" s="250">
        <f>SUMIFS('Expenditure Breakdown'!$G$6:$G$131, 'Expenditure Breakdown'!$H$6:$H$131, "&gt;="&amp;BB1,'Expenditure Breakdown'!$H$6:$H$131, "&lt;"&amp;BC1)</f>
        <v>0</v>
      </c>
      <c r="BC5" s="250">
        <f>SUMIFS('Expenditure Breakdown'!$G$6:$G$131, 'Expenditure Breakdown'!$H$6:$H$131, "&gt;="&amp;BC1,'Expenditure Breakdown'!$H$6:$H$131, "&lt;"&amp;BD1)</f>
        <v>0</v>
      </c>
      <c r="BD5" s="250">
        <f>SUMIFS('Expenditure Breakdown'!$G$6:$G$131, 'Expenditure Breakdown'!$H$6:$H$131, "&gt;="&amp;BD1,'Expenditure Breakdown'!$H$6:$H$131, "&lt;"&amp;BE1)</f>
        <v>0</v>
      </c>
      <c r="BE5" s="250">
        <f>SUMIFS('Expenditure Breakdown'!$G$6:$G$131, 'Expenditure Breakdown'!$H$6:$H$131, "&gt;="&amp;BE1,'Expenditure Breakdown'!$H$6:$H$131, "&lt;"&amp;BF1)</f>
        <v>0</v>
      </c>
      <c r="BF5" s="250">
        <f>SUMIFS('Expenditure Breakdown'!$G$6:$G$131, 'Expenditure Breakdown'!$H$6:$H$131, "&gt;="&amp;BF1,'Expenditure Breakdown'!$H$6:$H$131, "&lt;"&amp;BG1)</f>
        <v>0</v>
      </c>
      <c r="BG5" s="250">
        <f>SUMIFS('Expenditure Breakdown'!$G$6:$G$131, 'Expenditure Breakdown'!$H$6:$H$131, "&gt;="&amp;BG1,'Expenditure Breakdown'!$H$6:$H$131, "&lt;"&amp;BH1)</f>
        <v>0</v>
      </c>
      <c r="BH5" s="250">
        <f>SUMIFS('Expenditure Breakdown'!$G$6:$G$131, 'Expenditure Breakdown'!$H$6:$H$131, "&gt;="&amp;BH1,'Expenditure Breakdown'!$H$6:$H$131, "&lt;"&amp;BI1)</f>
        <v>0</v>
      </c>
      <c r="BI5" s="250">
        <f>SUMIFS('Expenditure Breakdown'!$G$6:$G$131, 'Expenditure Breakdown'!$H$6:$H$131, "&gt;="&amp;BI1,'Expenditure Breakdown'!$H$6:$H$131, "&lt;"&amp;BJ1)</f>
        <v>0</v>
      </c>
      <c r="BJ5" s="250">
        <f>SUMIFS('Expenditure Breakdown'!$G$6:$G$131, 'Expenditure Breakdown'!$H$6:$H$131, "&gt;="&amp;BJ1,'Expenditure Breakdown'!$H$6:$H$131, "&lt;"&amp;BK1)</f>
        <v>0</v>
      </c>
      <c r="BK5" s="250">
        <f>SUMIFS('Expenditure Breakdown'!$G$6:$G$131, 'Expenditure Breakdown'!$H$6:$H$131, "&gt;="&amp;BK1,'Expenditure Breakdown'!$H$6:$H$131, "&lt;"&amp;BL1)</f>
        <v>0</v>
      </c>
      <c r="BL5" s="250">
        <f>SUMIFS('Expenditure Breakdown'!$G$6:$G$131, 'Expenditure Breakdown'!$H$6:$H$131, "&gt;="&amp;BL1,'Expenditure Breakdown'!$H$6:$H$131, "&lt;"&amp;BM1)</f>
        <v>0</v>
      </c>
      <c r="BM5" s="250">
        <f>SUMIFS('Expenditure Breakdown'!$G$6:$G$131, 'Expenditure Breakdown'!$H$6:$H$131, "&gt;="&amp;BM1,'Expenditure Breakdown'!$H$6:$H$131, "&lt;"&amp;BN1)</f>
        <v>0</v>
      </c>
      <c r="BN5" s="250">
        <f>SUMIFS('Expenditure Breakdown'!$G$6:$G$131, 'Expenditure Breakdown'!$H$6:$H$131, "&gt;="&amp;BN1,'Expenditure Breakdown'!$H$6:$H$131, "&lt;"&amp;BO1)</f>
        <v>0</v>
      </c>
      <c r="BO5" s="250">
        <f>SUMIFS('Expenditure Breakdown'!$G$6:$G$131, 'Expenditure Breakdown'!$H$6:$H$131, "&gt;="&amp;BO1,'Expenditure Breakdown'!$H$6:$H$131, "&lt;"&amp;BP1)</f>
        <v>0</v>
      </c>
      <c r="BP5" s="250">
        <f>SUMIFS('Expenditure Breakdown'!$G$6:$G$131, 'Expenditure Breakdown'!$H$6:$H$131, "&gt;="&amp;BP1,'Expenditure Breakdown'!$H$6:$H$131, "&lt;"&amp;BQ1)</f>
        <v>0</v>
      </c>
      <c r="BQ5" s="250">
        <f>SUMIFS('Expenditure Breakdown'!$G$6:$G$131, 'Expenditure Breakdown'!$H$6:$H$131, "&gt;="&amp;BQ1,'Expenditure Breakdown'!$H$6:$H$131, "&lt;"&amp;BR1)</f>
        <v>0</v>
      </c>
      <c r="BR5" s="250">
        <f>SUMIFS('Expenditure Breakdown'!$G$6:$G$131, 'Expenditure Breakdown'!$H$6:$H$131, "&gt;="&amp;BR1,'Expenditure Breakdown'!$H$6:$H$131, "&lt;"&amp;BS1)</f>
        <v>0</v>
      </c>
      <c r="BS5" s="250">
        <f>SUMIFS('Expenditure Breakdown'!$G$6:$G$131, 'Expenditure Breakdown'!$H$6:$H$131, "&gt;="&amp;BS1,'Expenditure Breakdown'!$H$6:$H$131, "&lt;"&amp;BT1)</f>
        <v>0</v>
      </c>
      <c r="BT5" s="250">
        <f>SUMIFS('Expenditure Breakdown'!$G$6:$G$131, 'Expenditure Breakdown'!$H$6:$H$131, "&gt;="&amp;BT1,'Expenditure Breakdown'!$H$6:$H$131, "&lt;"&amp;BU1)</f>
        <v>0</v>
      </c>
      <c r="BU5" s="250">
        <f>SUMIFS('Expenditure Breakdown'!$G$6:$G$131, 'Expenditure Breakdown'!$H$6:$H$131, "&gt;="&amp;BU1,'Expenditure Breakdown'!$H$6:$H$131, "&lt;"&amp;BV1)</f>
        <v>0</v>
      </c>
      <c r="BV5" s="250">
        <f>SUMIFS('Expenditure Breakdown'!$G$6:$G$131, 'Expenditure Breakdown'!$H$6:$H$131, "&gt;="&amp;BV1,'Expenditure Breakdown'!$H$6:$H$131, "&lt;"&amp;BW1)</f>
        <v>0</v>
      </c>
      <c r="BW5" s="250">
        <f>SUMIFS('Expenditure Breakdown'!$G$6:$G$131, 'Expenditure Breakdown'!$H$6:$H$131, "&gt;="&amp;BW1,'Expenditure Breakdown'!$H$6:$H$131, "&lt;"&amp;BX1)</f>
        <v>0</v>
      </c>
      <c r="BX5" s="250">
        <f>SUMIFS('Expenditure Breakdown'!$G$6:$G$131, 'Expenditure Breakdown'!$H$6:$H$131, "&gt;="&amp;BX1,'Expenditure Breakdown'!$H$6:$H$131, "&lt;"&amp;BY1)</f>
        <v>0</v>
      </c>
      <c r="BY5" s="250">
        <f>SUMIFS('Expenditure Breakdown'!$G$6:$G$131, 'Expenditure Breakdown'!$H$6:$H$131, "&gt;="&amp;BY1,'Expenditure Breakdown'!$H$6:$H$131, "&lt;"&amp;BZ1)</f>
        <v>0</v>
      </c>
      <c r="BZ5" s="250">
        <f>SUMIFS('Expenditure Breakdown'!$G$6:$G$131, 'Expenditure Breakdown'!$H$6:$H$131, "&gt;="&amp;BZ1,'Expenditure Breakdown'!$H$6:$H$131, "&lt;"&amp;CA1)</f>
        <v>0</v>
      </c>
      <c r="CA5" s="250">
        <f>SUMIFS('Expenditure Breakdown'!$G$6:$G$131, 'Expenditure Breakdown'!$H$6:$H$131, "&gt;="&amp;CA1,'Expenditure Breakdown'!$H$6:$H$131, "&lt;"&amp;CB1)</f>
        <v>0</v>
      </c>
      <c r="CB5" s="250">
        <f>SUMIFS('Expenditure Breakdown'!$G$6:$G$131, 'Expenditure Breakdown'!$H$6:$H$131, "&gt;="&amp;CB1,'Expenditure Breakdown'!$H$6:$H$131, "&lt;"&amp;CD1)</f>
        <v>0</v>
      </c>
      <c r="CC5" s="250">
        <f>SUMIFS('Expenditure Breakdown'!$G$6:$G$131, 'Expenditure Breakdown'!$H$6:$H$131, "&gt;="&amp;CC1,'Expenditure Breakdown'!$H$6:$H$131, "&lt;"&amp;CE1)</f>
        <v>0</v>
      </c>
      <c r="CD5" s="240"/>
      <c r="CE5" s="251"/>
      <c r="CF5" s="251"/>
    </row>
    <row r="6" spans="1:559" s="252" customFormat="1">
      <c r="A6" s="977"/>
      <c r="B6" s="248" t="s">
        <v>409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J6" si="58">H6+I5</f>
        <v>0</v>
      </c>
      <c r="J6" s="250">
        <f t="shared" si="58"/>
        <v>0</v>
      </c>
      <c r="K6" s="250">
        <f t="shared" ref="K6" si="59">J6+K5</f>
        <v>0</v>
      </c>
      <c r="L6" s="250">
        <f t="shared" ref="L6" si="60">K6+L5</f>
        <v>0</v>
      </c>
      <c r="M6" s="250">
        <f t="shared" ref="M6" si="61">L6+M5</f>
        <v>0</v>
      </c>
      <c r="N6" s="250">
        <f t="shared" ref="N6" si="62">M6+N5</f>
        <v>0</v>
      </c>
      <c r="O6" s="250">
        <f t="shared" ref="O6" si="63">N6+O5</f>
        <v>20805</v>
      </c>
      <c r="P6" s="250">
        <f t="shared" ref="P6" si="64">O6+P5</f>
        <v>115676.973</v>
      </c>
      <c r="Q6" s="250">
        <f t="shared" ref="Q6" si="65">P6+Q5</f>
        <v>115676.973</v>
      </c>
      <c r="R6" s="250">
        <f t="shared" ref="R6" si="66">Q6+R5</f>
        <v>116377.773</v>
      </c>
      <c r="S6" s="250">
        <f t="shared" ref="S6" si="67">R6+S5</f>
        <v>116377.773</v>
      </c>
      <c r="T6" s="250">
        <f t="shared" ref="T6" si="68">S6+T5</f>
        <v>648961.27300000004</v>
      </c>
      <c r="U6" s="250">
        <f t="shared" ref="U6" si="69">T6+U5</f>
        <v>879577.19200000004</v>
      </c>
      <c r="V6" s="250">
        <f t="shared" ref="V6" si="70">U6+V5</f>
        <v>935017.19200000004</v>
      </c>
      <c r="W6" s="250">
        <f t="shared" ref="W6" si="71">V6+W5</f>
        <v>1024621.474</v>
      </c>
      <c r="X6" s="250">
        <f t="shared" ref="X6" si="72">W6+X5</f>
        <v>1050621.4739999999</v>
      </c>
      <c r="Y6" s="250">
        <f t="shared" ref="Y6" si="73">X6+Y5</f>
        <v>1050621.4739999999</v>
      </c>
      <c r="Z6" s="250">
        <f t="shared" ref="Z6" si="74">Y6+Z5</f>
        <v>1101869.456</v>
      </c>
      <c r="AA6" s="250">
        <f t="shared" ref="AA6" si="75">Z6+AA5</f>
        <v>1911921.602</v>
      </c>
      <c r="AB6" s="250">
        <f t="shared" ref="AB6" si="76">AA6+AB5</f>
        <v>1911921.602</v>
      </c>
      <c r="AC6" s="250">
        <f t="shared" ref="AC6" si="77">AB6+AC5</f>
        <v>2079570.162</v>
      </c>
      <c r="AD6" s="250">
        <f t="shared" ref="AD6" si="78">AC6+AD5</f>
        <v>2079570.162</v>
      </c>
      <c r="AE6" s="250">
        <f t="shared" ref="AE6" si="79">AD6+AE5</f>
        <v>2105194.1529999999</v>
      </c>
      <c r="AF6" s="250">
        <f t="shared" ref="AF6" si="80">AE6+AF5</f>
        <v>2105194.1529999999</v>
      </c>
      <c r="AG6" s="250">
        <f t="shared" ref="AG6" si="81">AF6+AG5</f>
        <v>2105194.1529999999</v>
      </c>
      <c r="AH6" s="250">
        <f t="shared" ref="AH6" si="82">AG6+AH5</f>
        <v>2105194.1529999999</v>
      </c>
      <c r="AI6" s="250">
        <f t="shared" ref="AI6" si="83">AH6+AI5</f>
        <v>2105194.1529999999</v>
      </c>
      <c r="AJ6" s="250">
        <f t="shared" ref="AJ6" si="84">AI6+AJ5</f>
        <v>2105194.1529999999</v>
      </c>
      <c r="AK6" s="250">
        <f t="shared" ref="AK6:BQ6" si="85">AJ6+AK5</f>
        <v>2105194.1529999999</v>
      </c>
      <c r="AL6" s="250">
        <f t="shared" si="85"/>
        <v>2105194.1529999999</v>
      </c>
      <c r="AM6" s="250">
        <f t="shared" si="85"/>
        <v>2105194.1529999999</v>
      </c>
      <c r="AN6" s="250">
        <f t="shared" si="85"/>
        <v>2105194.1529999999</v>
      </c>
      <c r="AO6" s="250">
        <f t="shared" si="85"/>
        <v>2105194.1529999999</v>
      </c>
      <c r="AP6" s="250">
        <f t="shared" si="85"/>
        <v>2105194.1529999999</v>
      </c>
      <c r="AQ6" s="250">
        <f t="shared" si="85"/>
        <v>2105194.1529999999</v>
      </c>
      <c r="AR6" s="250">
        <f t="shared" si="85"/>
        <v>2105194.1529999999</v>
      </c>
      <c r="AS6" s="250">
        <f t="shared" si="85"/>
        <v>2105194.1529999999</v>
      </c>
      <c r="AT6" s="250">
        <f t="shared" si="85"/>
        <v>2105194.1529999999</v>
      </c>
      <c r="AU6" s="250">
        <f t="shared" si="85"/>
        <v>2105194.1529999999</v>
      </c>
      <c r="AV6" s="250">
        <f t="shared" si="85"/>
        <v>2105194.1529999999</v>
      </c>
      <c r="AW6" s="250">
        <f t="shared" si="85"/>
        <v>2105194.1529999999</v>
      </c>
      <c r="AX6" s="250">
        <f t="shared" si="85"/>
        <v>2105194.1529999999</v>
      </c>
      <c r="AY6" s="250">
        <f t="shared" si="85"/>
        <v>2105194.1529999999</v>
      </c>
      <c r="AZ6" s="250">
        <f t="shared" si="85"/>
        <v>2105194.1529999999</v>
      </c>
      <c r="BA6" s="250">
        <f t="shared" si="85"/>
        <v>2105194.1529999999</v>
      </c>
      <c r="BB6" s="250">
        <f t="shared" si="85"/>
        <v>2105194.1529999999</v>
      </c>
      <c r="BC6" s="250">
        <f t="shared" si="85"/>
        <v>2105194.1529999999</v>
      </c>
      <c r="BD6" s="250">
        <f t="shared" si="85"/>
        <v>2105194.1529999999</v>
      </c>
      <c r="BE6" s="250">
        <f t="shared" si="85"/>
        <v>2105194.1529999999</v>
      </c>
      <c r="BF6" s="250">
        <f t="shared" si="85"/>
        <v>2105194.1529999999</v>
      </c>
      <c r="BG6" s="250">
        <f t="shared" si="85"/>
        <v>2105194.1529999999</v>
      </c>
      <c r="BH6" s="250">
        <f t="shared" si="85"/>
        <v>2105194.1529999999</v>
      </c>
      <c r="BI6" s="250">
        <f t="shared" si="85"/>
        <v>2105194.1529999999</v>
      </c>
      <c r="BJ6" s="250">
        <f t="shared" si="85"/>
        <v>2105194.1529999999</v>
      </c>
      <c r="BK6" s="250">
        <f t="shared" si="85"/>
        <v>2105194.1529999999</v>
      </c>
      <c r="BL6" s="250">
        <f t="shared" si="85"/>
        <v>2105194.1529999999</v>
      </c>
      <c r="BM6" s="250">
        <f t="shared" si="85"/>
        <v>2105194.1529999999</v>
      </c>
      <c r="BN6" s="250">
        <f t="shared" si="85"/>
        <v>2105194.1529999999</v>
      </c>
      <c r="BO6" s="250">
        <f t="shared" si="85"/>
        <v>2105194.1529999999</v>
      </c>
      <c r="BP6" s="250">
        <f t="shared" si="85"/>
        <v>2105194.1529999999</v>
      </c>
      <c r="BQ6" s="250">
        <f t="shared" si="85"/>
        <v>2105194.1529999999</v>
      </c>
      <c r="BR6" s="250">
        <f t="shared" ref="BR6:CC6" si="86">BQ6+BR5</f>
        <v>2105194.1529999999</v>
      </c>
      <c r="BS6" s="250">
        <f t="shared" si="86"/>
        <v>2105194.1529999999</v>
      </c>
      <c r="BT6" s="250">
        <f t="shared" si="86"/>
        <v>2105194.1529999999</v>
      </c>
      <c r="BU6" s="250">
        <f t="shared" si="86"/>
        <v>2105194.1529999999</v>
      </c>
      <c r="BV6" s="250">
        <f t="shared" si="86"/>
        <v>2105194.1529999999</v>
      </c>
      <c r="BW6" s="250">
        <f t="shared" si="86"/>
        <v>2105194.1529999999</v>
      </c>
      <c r="BX6" s="250">
        <f t="shared" si="86"/>
        <v>2105194.1529999999</v>
      </c>
      <c r="BY6" s="250">
        <f t="shared" si="86"/>
        <v>2105194.1529999999</v>
      </c>
      <c r="BZ6" s="250">
        <f t="shared" si="86"/>
        <v>2105194.1529999999</v>
      </c>
      <c r="CA6" s="250">
        <f t="shared" si="86"/>
        <v>2105194.1529999999</v>
      </c>
      <c r="CB6" s="250">
        <f t="shared" si="86"/>
        <v>2105194.1529999999</v>
      </c>
      <c r="CC6" s="250">
        <f t="shared" si="86"/>
        <v>2105194.1529999999</v>
      </c>
      <c r="CD6" s="240"/>
      <c r="CE6" s="251"/>
    </row>
    <row r="7" spans="1:559">
      <c r="A7" s="977"/>
      <c r="B7" s="253" t="s">
        <v>410</v>
      </c>
      <c r="C7" s="254"/>
      <c r="D7" s="254"/>
      <c r="E7" s="255"/>
      <c r="F7" s="256">
        <f t="shared" ref="F7:H7" si="87">F4-F6</f>
        <v>861790.65118575096</v>
      </c>
      <c r="G7" s="256">
        <f t="shared" si="87"/>
        <v>861790.65118575096</v>
      </c>
      <c r="H7" s="256">
        <f t="shared" si="87"/>
        <v>861790.65118575096</v>
      </c>
      <c r="I7" s="256">
        <f t="shared" ref="I7:J7" si="88">I4-I6</f>
        <v>861790.65118575096</v>
      </c>
      <c r="J7" s="256">
        <f t="shared" si="88"/>
        <v>861790.65118575096</v>
      </c>
      <c r="K7" s="256">
        <f t="shared" ref="K7:AJ7" si="89">K4-K6</f>
        <v>861790.65118575096</v>
      </c>
      <c r="L7" s="256">
        <f t="shared" si="89"/>
        <v>861790.65118575096</v>
      </c>
      <c r="M7" s="256">
        <f t="shared" si="89"/>
        <v>861790.65118575096</v>
      </c>
      <c r="N7" s="256">
        <f t="shared" si="89"/>
        <v>861790.65118575096</v>
      </c>
      <c r="O7" s="256">
        <f t="shared" si="89"/>
        <v>840985.65118575096</v>
      </c>
      <c r="P7" s="256">
        <f t="shared" si="89"/>
        <v>746113.67818575096</v>
      </c>
      <c r="Q7" s="256">
        <f t="shared" si="89"/>
        <v>1361678.429032716</v>
      </c>
      <c r="R7" s="256">
        <f t="shared" si="89"/>
        <v>1360977.6290327159</v>
      </c>
      <c r="S7" s="256">
        <f t="shared" si="89"/>
        <v>1976542.3798796809</v>
      </c>
      <c r="T7" s="256">
        <f t="shared" si="89"/>
        <v>1443958.8798796809</v>
      </c>
      <c r="U7" s="256">
        <f t="shared" si="89"/>
        <v>1213342.9608796809</v>
      </c>
      <c r="V7" s="256">
        <f t="shared" si="89"/>
        <v>1157902.9608796809</v>
      </c>
      <c r="W7" s="256">
        <f t="shared" si="89"/>
        <v>1068298.678879681</v>
      </c>
      <c r="X7" s="256">
        <f t="shared" si="89"/>
        <v>1288524.5792184672</v>
      </c>
      <c r="Y7" s="256">
        <f t="shared" si="89"/>
        <v>1288524.5792184672</v>
      </c>
      <c r="Z7" s="256">
        <f t="shared" si="89"/>
        <v>1237276.5972184672</v>
      </c>
      <c r="AA7" s="256">
        <f t="shared" si="89"/>
        <v>427224.45121846721</v>
      </c>
      <c r="AB7" s="256">
        <f t="shared" si="89"/>
        <v>602618.52138786018</v>
      </c>
      <c r="AC7" s="256">
        <f t="shared" si="89"/>
        <v>434969.96138786012</v>
      </c>
      <c r="AD7" s="256">
        <f t="shared" si="89"/>
        <v>434969.96138786012</v>
      </c>
      <c r="AE7" s="256">
        <f t="shared" si="89"/>
        <v>409345.9703878602</v>
      </c>
      <c r="AF7" s="256">
        <f t="shared" si="89"/>
        <v>409345.9703878602</v>
      </c>
      <c r="AG7" s="256">
        <f t="shared" si="89"/>
        <v>409345.9703878602</v>
      </c>
      <c r="AH7" s="256">
        <f t="shared" si="89"/>
        <v>409345.9703878602</v>
      </c>
      <c r="AI7" s="256">
        <f t="shared" si="89"/>
        <v>409345.9703878602</v>
      </c>
      <c r="AJ7" s="256">
        <f t="shared" si="89"/>
        <v>409345.9703878602</v>
      </c>
      <c r="AK7" s="256">
        <f t="shared" ref="AK7:BQ7" si="90">AK4-AK6</f>
        <v>409345.9703878602</v>
      </c>
      <c r="AL7" s="256">
        <f t="shared" si="90"/>
        <v>409345.9703878602</v>
      </c>
      <c r="AM7" s="256">
        <f t="shared" si="90"/>
        <v>409345.9703878602</v>
      </c>
      <c r="AN7" s="256">
        <f t="shared" si="90"/>
        <v>409345.9703878602</v>
      </c>
      <c r="AO7" s="256">
        <f t="shared" si="90"/>
        <v>409345.9703878602</v>
      </c>
      <c r="AP7" s="256">
        <f t="shared" si="90"/>
        <v>409345.9703878602</v>
      </c>
      <c r="AQ7" s="256">
        <f t="shared" si="90"/>
        <v>409345.9703878602</v>
      </c>
      <c r="AR7" s="256">
        <f t="shared" si="90"/>
        <v>409345.9703878602</v>
      </c>
      <c r="AS7" s="256">
        <f t="shared" si="90"/>
        <v>409345.9703878602</v>
      </c>
      <c r="AT7" s="256">
        <f t="shared" si="90"/>
        <v>409345.9703878602</v>
      </c>
      <c r="AU7" s="256">
        <f t="shared" si="90"/>
        <v>409345.9703878602</v>
      </c>
      <c r="AV7" s="256">
        <f t="shared" si="90"/>
        <v>409345.9703878602</v>
      </c>
      <c r="AW7" s="256">
        <f t="shared" si="90"/>
        <v>409345.9703878602</v>
      </c>
      <c r="AX7" s="256">
        <f t="shared" si="90"/>
        <v>409345.9703878602</v>
      </c>
      <c r="AY7" s="256">
        <f t="shared" si="90"/>
        <v>409345.9703878602</v>
      </c>
      <c r="AZ7" s="256">
        <f t="shared" si="90"/>
        <v>409345.9703878602</v>
      </c>
      <c r="BA7" s="256">
        <f t="shared" si="90"/>
        <v>409345.9703878602</v>
      </c>
      <c r="BB7" s="256">
        <f t="shared" si="90"/>
        <v>409345.9703878602</v>
      </c>
      <c r="BC7" s="256">
        <f t="shared" si="90"/>
        <v>409345.9703878602</v>
      </c>
      <c r="BD7" s="256">
        <f t="shared" si="90"/>
        <v>409345.9703878602</v>
      </c>
      <c r="BE7" s="256">
        <f t="shared" si="90"/>
        <v>409345.9703878602</v>
      </c>
      <c r="BF7" s="256">
        <f t="shared" si="90"/>
        <v>409345.9703878602</v>
      </c>
      <c r="BG7" s="256">
        <f t="shared" si="90"/>
        <v>409345.9703878602</v>
      </c>
      <c r="BH7" s="256">
        <f t="shared" si="90"/>
        <v>409345.9703878602</v>
      </c>
      <c r="BI7" s="256">
        <f t="shared" si="90"/>
        <v>409345.9703878602</v>
      </c>
      <c r="BJ7" s="256">
        <f t="shared" si="90"/>
        <v>409345.9703878602</v>
      </c>
      <c r="BK7" s="256">
        <f t="shared" si="90"/>
        <v>409345.9703878602</v>
      </c>
      <c r="BL7" s="256">
        <f t="shared" si="90"/>
        <v>409345.9703878602</v>
      </c>
      <c r="BM7" s="256">
        <f t="shared" si="90"/>
        <v>409345.9703878602</v>
      </c>
      <c r="BN7" s="256">
        <f t="shared" si="90"/>
        <v>409345.9703878602</v>
      </c>
      <c r="BO7" s="256">
        <f t="shared" si="90"/>
        <v>409345.9703878602</v>
      </c>
      <c r="BP7" s="256">
        <f t="shared" si="90"/>
        <v>409345.9703878602</v>
      </c>
      <c r="BQ7" s="256">
        <f t="shared" si="90"/>
        <v>409345.9703878602</v>
      </c>
      <c r="BR7" s="256">
        <f t="shared" ref="BR7:CC7" si="91">BR4-BR6</f>
        <v>409345.9703878602</v>
      </c>
      <c r="BS7" s="256">
        <f t="shared" si="91"/>
        <v>409345.9703878602</v>
      </c>
      <c r="BT7" s="256">
        <f t="shared" si="91"/>
        <v>409345.9703878602</v>
      </c>
      <c r="BU7" s="256">
        <f t="shared" si="91"/>
        <v>409345.9703878602</v>
      </c>
      <c r="BV7" s="256">
        <f t="shared" si="91"/>
        <v>409345.9703878602</v>
      </c>
      <c r="BW7" s="256">
        <f t="shared" si="91"/>
        <v>409345.9703878602</v>
      </c>
      <c r="BX7" s="256">
        <f t="shared" si="91"/>
        <v>409345.9703878602</v>
      </c>
      <c r="BY7" s="256">
        <f t="shared" si="91"/>
        <v>409345.9703878602</v>
      </c>
      <c r="BZ7" s="256">
        <f t="shared" si="91"/>
        <v>409345.9703878602</v>
      </c>
      <c r="CA7" s="256">
        <f t="shared" si="91"/>
        <v>409345.9703878602</v>
      </c>
      <c r="CB7" s="256">
        <f t="shared" si="91"/>
        <v>409345.9703878602</v>
      </c>
      <c r="CC7" s="256">
        <f t="shared" si="91"/>
        <v>409345.9703878602</v>
      </c>
    </row>
    <row r="8" spans="1:559" s="240" customFormat="1">
      <c r="A8" s="976" t="s">
        <v>75</v>
      </c>
      <c r="B8" s="241"/>
      <c r="C8" s="242" t="s">
        <v>236</v>
      </c>
      <c r="D8" s="242" t="s">
        <v>236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</row>
    <row r="9" spans="1:559">
      <c r="A9" s="977"/>
      <c r="B9" s="258" t="s">
        <v>411</v>
      </c>
      <c r="C9" s="259">
        <f>'Revenue Tracking'!F4</f>
        <v>2505210.4733878602</v>
      </c>
      <c r="D9" s="259">
        <f>SUM(F9:BR9)</f>
        <v>2339146.0532184672</v>
      </c>
      <c r="E9" s="246"/>
      <c r="F9" s="260">
        <f>SUMIFS('Revenue Tracking'!$F$13:$F$19, 'Revenue Tracking'!$P$13:$P$19, "&gt;="&amp;F1,'Revenue Tracking'!$P$13:$P$19, "&lt;"&amp;G1)</f>
        <v>861790.65118575096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615564.75084696501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861790.65118575096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175394.070169393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"&lt;"&amp;CD1)</f>
        <v>0</v>
      </c>
      <c r="CC9" s="260">
        <f>SUMIFS('Revenue Tracking'!$F$13:$F$19, 'Revenue Tracking'!$P$13:$P$19, "&gt;="&amp;CC1,'Revenue Tracking'!$P$13:$P$19, "&lt;"&amp;CE1)</f>
        <v>0</v>
      </c>
    </row>
    <row r="10" spans="1:559">
      <c r="A10" s="977"/>
      <c r="B10" s="258" t="s">
        <v>412</v>
      </c>
      <c r="C10" s="259"/>
      <c r="D10" s="259"/>
      <c r="E10" s="246"/>
      <c r="F10" s="260">
        <f>F9</f>
        <v>861790.65118575096</v>
      </c>
      <c r="G10" s="260">
        <f>F10+G9</f>
        <v>861790.65118575096</v>
      </c>
      <c r="H10" s="260">
        <f>G10+H9</f>
        <v>861790.65118575096</v>
      </c>
      <c r="I10" s="260">
        <f t="shared" ref="I10:J10" si="92">H10+I9</f>
        <v>861790.65118575096</v>
      </c>
      <c r="J10" s="260">
        <f t="shared" si="92"/>
        <v>861790.65118575096</v>
      </c>
      <c r="K10" s="260">
        <f t="shared" ref="K10" si="93">J10+K9</f>
        <v>861790.65118575096</v>
      </c>
      <c r="L10" s="260">
        <f t="shared" ref="L10" si="94">K10+L9</f>
        <v>861790.65118575096</v>
      </c>
      <c r="M10" s="260">
        <f t="shared" ref="M10" si="95">L10+M9</f>
        <v>861790.65118575096</v>
      </c>
      <c r="N10" s="260">
        <f t="shared" ref="N10" si="96">M10+N9</f>
        <v>861790.65118575096</v>
      </c>
      <c r="O10" s="260">
        <f t="shared" ref="O10" si="97">N10+O9</f>
        <v>861790.65118575096</v>
      </c>
      <c r="P10" s="260">
        <f t="shared" ref="P10" si="98">O10+P9</f>
        <v>861790.65118575096</v>
      </c>
      <c r="Q10" s="260">
        <f t="shared" ref="Q10" si="99">P10+Q9</f>
        <v>861790.65118575096</v>
      </c>
      <c r="R10" s="260">
        <f t="shared" ref="R10" si="100">Q10+R9</f>
        <v>1477355.402032716</v>
      </c>
      <c r="S10" s="260">
        <f t="shared" ref="S10" si="101">R10+S9</f>
        <v>1477355.402032716</v>
      </c>
      <c r="T10" s="260">
        <f t="shared" ref="T10" si="102">S10+T9</f>
        <v>1477355.402032716</v>
      </c>
      <c r="U10" s="260">
        <f t="shared" ref="U10" si="103">T10+U9</f>
        <v>1477355.402032716</v>
      </c>
      <c r="V10" s="260">
        <f t="shared" ref="V10" si="104">U10+V9</f>
        <v>1477355.402032716</v>
      </c>
      <c r="W10" s="260">
        <f t="shared" ref="W10" si="105">V10+W9</f>
        <v>1477355.402032716</v>
      </c>
      <c r="X10" s="260">
        <f t="shared" ref="X10" si="106">W10+X9</f>
        <v>1477355.402032716</v>
      </c>
      <c r="Y10" s="260">
        <f t="shared" ref="Y10" si="107">X10+Y9</f>
        <v>2339146.0532184672</v>
      </c>
      <c r="Z10" s="260">
        <f t="shared" ref="Z10" si="108">Y10+Z9</f>
        <v>2339146.0532184672</v>
      </c>
      <c r="AA10" s="260">
        <f t="shared" ref="AA10" si="109">Z10+AA9</f>
        <v>2339146.0532184672</v>
      </c>
      <c r="AB10" s="260">
        <f t="shared" ref="AB10" si="110">AA10+AB9</f>
        <v>2339146.0532184672</v>
      </c>
      <c r="AC10" s="260">
        <f t="shared" ref="AC10" si="111">AB10+AC9</f>
        <v>2339146.0532184672</v>
      </c>
      <c r="AD10" s="260">
        <f t="shared" ref="AD10" si="112">AC10+AD9</f>
        <v>2339146.0532184672</v>
      </c>
      <c r="AE10" s="260">
        <f t="shared" ref="AE10" si="113">AD10+AE9</f>
        <v>2339146.0532184672</v>
      </c>
      <c r="AF10" s="260">
        <f t="shared" ref="AF10" si="114">AE10+AF9</f>
        <v>2339146.0532184672</v>
      </c>
      <c r="AG10" s="260">
        <f t="shared" ref="AG10" si="115">AF10+AG9</f>
        <v>2339146.0532184672</v>
      </c>
      <c r="AH10" s="260">
        <f t="shared" ref="AH10" si="116">AG10+AH9</f>
        <v>2339146.0532184672</v>
      </c>
      <c r="AI10" s="260">
        <f t="shared" ref="AI10" si="117">AH10+AI9</f>
        <v>2339146.0532184672</v>
      </c>
      <c r="AJ10" s="260">
        <f t="shared" ref="AJ10" si="118">AI10+AJ9</f>
        <v>2339146.0532184672</v>
      </c>
      <c r="AK10" s="260">
        <f t="shared" ref="AK10:BQ10" si="119">AJ10+AK9</f>
        <v>2339146.0532184672</v>
      </c>
      <c r="AL10" s="260">
        <f t="shared" si="119"/>
        <v>2339146.0532184672</v>
      </c>
      <c r="AM10" s="260">
        <f t="shared" si="119"/>
        <v>2339146.0532184672</v>
      </c>
      <c r="AN10" s="260">
        <f t="shared" si="119"/>
        <v>2339146.0532184672</v>
      </c>
      <c r="AO10" s="260">
        <f t="shared" si="119"/>
        <v>2339146.0532184672</v>
      </c>
      <c r="AP10" s="260">
        <f t="shared" si="119"/>
        <v>2339146.0532184672</v>
      </c>
      <c r="AQ10" s="260">
        <f t="shared" si="119"/>
        <v>2339146.0532184672</v>
      </c>
      <c r="AR10" s="260">
        <f t="shared" si="119"/>
        <v>2339146.0532184672</v>
      </c>
      <c r="AS10" s="260">
        <f t="shared" si="119"/>
        <v>2339146.0532184672</v>
      </c>
      <c r="AT10" s="260">
        <f t="shared" si="119"/>
        <v>2339146.0532184672</v>
      </c>
      <c r="AU10" s="260">
        <f t="shared" si="119"/>
        <v>2339146.0532184672</v>
      </c>
      <c r="AV10" s="260">
        <f t="shared" si="119"/>
        <v>2339146.0532184672</v>
      </c>
      <c r="AW10" s="260">
        <f t="shared" si="119"/>
        <v>2339146.0532184672</v>
      </c>
      <c r="AX10" s="260">
        <f t="shared" si="119"/>
        <v>2339146.0532184672</v>
      </c>
      <c r="AY10" s="260">
        <f t="shared" si="119"/>
        <v>2339146.0532184672</v>
      </c>
      <c r="AZ10" s="260">
        <f t="shared" si="119"/>
        <v>2339146.0532184672</v>
      </c>
      <c r="BA10" s="260">
        <f t="shared" si="119"/>
        <v>2339146.0532184672</v>
      </c>
      <c r="BB10" s="260">
        <f t="shared" si="119"/>
        <v>2339146.0532184672</v>
      </c>
      <c r="BC10" s="260">
        <f t="shared" si="119"/>
        <v>2339146.0532184672</v>
      </c>
      <c r="BD10" s="260">
        <f t="shared" si="119"/>
        <v>2339146.0532184672</v>
      </c>
      <c r="BE10" s="260">
        <f t="shared" si="119"/>
        <v>2339146.0532184672</v>
      </c>
      <c r="BF10" s="260">
        <f t="shared" si="119"/>
        <v>2339146.0532184672</v>
      </c>
      <c r="BG10" s="260">
        <f t="shared" si="119"/>
        <v>2339146.0532184672</v>
      </c>
      <c r="BH10" s="260">
        <f t="shared" si="119"/>
        <v>2339146.0532184672</v>
      </c>
      <c r="BI10" s="260">
        <f t="shared" si="119"/>
        <v>2339146.0532184672</v>
      </c>
      <c r="BJ10" s="260">
        <f t="shared" si="119"/>
        <v>2339146.0532184672</v>
      </c>
      <c r="BK10" s="260">
        <f t="shared" si="119"/>
        <v>2339146.0532184672</v>
      </c>
      <c r="BL10" s="260">
        <f t="shared" si="119"/>
        <v>2339146.0532184672</v>
      </c>
      <c r="BM10" s="260">
        <f t="shared" si="119"/>
        <v>2339146.0532184672</v>
      </c>
      <c r="BN10" s="260">
        <f t="shared" si="119"/>
        <v>2339146.0532184672</v>
      </c>
      <c r="BO10" s="260">
        <f t="shared" si="119"/>
        <v>2339146.0532184672</v>
      </c>
      <c r="BP10" s="260">
        <f t="shared" si="119"/>
        <v>2339146.0532184672</v>
      </c>
      <c r="BQ10" s="260">
        <f t="shared" si="119"/>
        <v>2339146.0532184672</v>
      </c>
      <c r="BR10" s="260">
        <f t="shared" ref="BR10:CC10" si="120">BQ10+BR9</f>
        <v>2339146.0532184672</v>
      </c>
      <c r="BS10" s="260">
        <f t="shared" si="120"/>
        <v>2514540.1233878601</v>
      </c>
      <c r="BT10" s="260">
        <f t="shared" si="120"/>
        <v>2514540.1233878601</v>
      </c>
      <c r="BU10" s="260">
        <f t="shared" si="120"/>
        <v>2514540.1233878601</v>
      </c>
      <c r="BV10" s="260">
        <f t="shared" si="120"/>
        <v>2514540.1233878601</v>
      </c>
      <c r="BW10" s="260">
        <f t="shared" si="120"/>
        <v>2514540.1233878601</v>
      </c>
      <c r="BX10" s="260">
        <f t="shared" si="120"/>
        <v>2514540.1233878601</v>
      </c>
      <c r="BY10" s="260">
        <f t="shared" si="120"/>
        <v>2514540.1233878601</v>
      </c>
      <c r="BZ10" s="260">
        <f t="shared" si="120"/>
        <v>2514540.1233878601</v>
      </c>
      <c r="CA10" s="260">
        <f t="shared" si="120"/>
        <v>2514540.1233878601</v>
      </c>
      <c r="CB10" s="260">
        <f t="shared" si="120"/>
        <v>2514540.1233878601</v>
      </c>
      <c r="CC10" s="260">
        <f t="shared" si="120"/>
        <v>2514540.1233878601</v>
      </c>
    </row>
    <row r="11" spans="1:559" s="252" customFormat="1">
      <c r="A11" s="977"/>
      <c r="B11" s="261" t="s">
        <v>413</v>
      </c>
      <c r="C11" s="262">
        <f>'Revenue Tracking'!F5</f>
        <v>2103862.1100000003</v>
      </c>
      <c r="D11" s="262">
        <f>SUM(F11:BR11)</f>
        <v>2103862.11</v>
      </c>
      <c r="E11" s="246"/>
      <c r="F11" s="263">
        <f>SUMIFS('Expenditure Breakdown'!$R$6:$R$131, 'Expenditure Breakdown'!$W$6:$W$131, "&gt;="&amp;F1,'Expenditure Breakdown'!$W$6:$W$131, "&lt;"&amp;G1)</f>
        <v>0</v>
      </c>
      <c r="G11" s="263">
        <f>SUMIFS('Expenditure Breakdown'!$R$6:$R$131, 'Expenditure Breakdown'!$W$6:$W$131, "&gt;="&amp;G1,'Expenditure Breakdown'!$W$6:$W$131, "&lt;"&amp;H1)</f>
        <v>0</v>
      </c>
      <c r="H11" s="263">
        <f>SUMIFS('Expenditure Breakdown'!$R$6:$R$131, 'Expenditure Breakdown'!$W$6:$W$131, "&gt;="&amp;H1,'Expenditure Breakdown'!$W$6:$W$131, "&lt;"&amp;I1)</f>
        <v>0</v>
      </c>
      <c r="I11" s="263">
        <f>SUMIFS('Expenditure Breakdown'!$R$6:$R$131, 'Expenditure Breakdown'!$W$6:$W$131, "&gt;="&amp;I1,'Expenditure Breakdown'!$W$6:$W$131, "&lt;"&amp;J1)</f>
        <v>0</v>
      </c>
      <c r="J11" s="263">
        <f>SUMIFS('Expenditure Breakdown'!$R$6:$R$131, 'Expenditure Breakdown'!$W$6:$W$131, "&gt;="&amp;J1,'Expenditure Breakdown'!$W$6:$W$131, "&lt;"&amp;K1)</f>
        <v>0</v>
      </c>
      <c r="K11" s="263">
        <f>SUMIFS('Expenditure Breakdown'!$R$6:$R$131, 'Expenditure Breakdown'!$W$6:$W$131, "&gt;="&amp;K1,'Expenditure Breakdown'!$W$6:$W$131, "&lt;"&amp;L1)</f>
        <v>0</v>
      </c>
      <c r="L11" s="263">
        <f>SUMIFS('Expenditure Breakdown'!$R$6:$R$131, 'Expenditure Breakdown'!$W$6:$W$131, "&gt;="&amp;L1,'Expenditure Breakdown'!$W$6:$W$131, "&lt;"&amp;M1)</f>
        <v>0</v>
      </c>
      <c r="M11" s="263">
        <f>SUMIFS('Expenditure Breakdown'!$R$6:$R$131, 'Expenditure Breakdown'!$W$6:$W$131, "&gt;="&amp;M1,'Expenditure Breakdown'!$W$6:$W$131, "&lt;"&amp;N1)</f>
        <v>35564.42</v>
      </c>
      <c r="N11" s="263">
        <f>SUMIFS('Expenditure Breakdown'!$R$6:$R$131, 'Expenditure Breakdown'!$W$6:$W$131, "&gt;="&amp;N1,'Expenditure Breakdown'!$W$6:$W$131, "&lt;"&amp;O1)</f>
        <v>0</v>
      </c>
      <c r="O11" s="263">
        <f>SUMIFS('Expenditure Breakdown'!$R$6:$R$131, 'Expenditure Breakdown'!$W$6:$W$131, "&gt;="&amp;O1,'Expenditure Breakdown'!$W$6:$W$131, "&lt;"&amp;P1)</f>
        <v>0</v>
      </c>
      <c r="P11" s="263">
        <f>SUMIFS('Expenditure Breakdown'!$R$6:$R$131, 'Expenditure Breakdown'!$W$6:$W$131, "&gt;="&amp;P1,'Expenditure Breakdown'!$W$6:$W$131, "&lt;"&amp;Q1)</f>
        <v>495186.93000000005</v>
      </c>
      <c r="Q11" s="263">
        <f>SUMIFS('Expenditure Breakdown'!$R$6:$R$131, 'Expenditure Breakdown'!$W$6:$W$131, "&gt;="&amp;Q1,'Expenditure Breakdown'!$W$6:$W$131, "&lt;"&amp;R1)</f>
        <v>23541.47</v>
      </c>
      <c r="R11" s="263">
        <f>SUMIFS('Expenditure Breakdown'!$R$6:$R$131, 'Expenditure Breakdown'!$W$6:$W$131, "&gt;="&amp;R1,'Expenditure Breakdown'!$W$6:$W$131, "&lt;"&amp;S1)</f>
        <v>126847.23</v>
      </c>
      <c r="S11" s="263">
        <f>SUMIFS('Expenditure Breakdown'!$R$6:$R$131, 'Expenditure Breakdown'!$W$6:$W$131, "&gt;="&amp;S1,'Expenditure Breakdown'!$W$6:$W$131, "&lt;"&amp;T1)</f>
        <v>0</v>
      </c>
      <c r="T11" s="263">
        <f>SUMIFS('Expenditure Breakdown'!$R$6:$R$131, 'Expenditure Breakdown'!$W$6:$W$131, "&gt;="&amp;T1,'Expenditure Breakdown'!$W$6:$W$131, "&lt;"&amp;U1)</f>
        <v>0</v>
      </c>
      <c r="U11" s="263">
        <f>SUMIFS('Expenditure Breakdown'!$R$6:$R$131, 'Expenditure Breakdown'!$W$6:$W$131, "&gt;="&amp;U1,'Expenditure Breakdown'!$W$6:$W$131, "&lt;"&amp;V1)</f>
        <v>955299.39999999991</v>
      </c>
      <c r="V11" s="263">
        <f>SUMIFS('Expenditure Breakdown'!$R$6:$R$131, 'Expenditure Breakdown'!$W$6:$W$131, "&gt;="&amp;V1,'Expenditure Breakdown'!$W$6:$W$131, "&lt;"&amp;W1)</f>
        <v>1671</v>
      </c>
      <c r="W11" s="263">
        <f>SUMIFS('Expenditure Breakdown'!$R$6:$R$131, 'Expenditure Breakdown'!$W$6:$W$131, "&gt;="&amp;W1,'Expenditure Breakdown'!$W$6:$W$131, "&lt;"&amp;X1)</f>
        <v>56376.28</v>
      </c>
      <c r="X11" s="263">
        <f>SUMIFS('Expenditure Breakdown'!$R$6:$R$131, 'Expenditure Breakdown'!$W$6:$W$131, "&gt;="&amp;X1,'Expenditure Breakdown'!$W$6:$W$131, "&lt;"&amp;Y1)</f>
        <v>0</v>
      </c>
      <c r="Y11" s="263">
        <f>SUMIFS('Expenditure Breakdown'!$R$6:$R$131, 'Expenditure Breakdown'!$W$6:$W$131, "&gt;="&amp;Y1,'Expenditure Breakdown'!$W$6:$W$131, "&lt;"&amp;Z1)</f>
        <v>63522.417542348252</v>
      </c>
      <c r="Z11" s="263">
        <f>SUMIFS('Expenditure Breakdown'!$R$6:$R$131, 'Expenditure Breakdown'!$W$6:$W$131, "&gt;="&amp;Z1,'Expenditure Breakdown'!$W$6:$W$131, "&lt;"&amp;AA1)</f>
        <v>56376.28</v>
      </c>
      <c r="AA11" s="263">
        <f>SUMIFS('Expenditure Breakdown'!$R$6:$R$131, 'Expenditure Breakdown'!$W$6:$W$131, "&gt;="&amp;AA1,'Expenditure Breakdown'!$W$6:$W$131, "&lt;"&amp;AB1)</f>
        <v>31521.67</v>
      </c>
      <c r="AB11" s="263">
        <f>SUMIFS('Expenditure Breakdown'!$R$6:$R$131, 'Expenditure Breakdown'!$W$6:$W$131, "&gt;="&amp;AB1,'Expenditure Breakdown'!$W$6:$W$131, "&lt;"&amp;AC1)</f>
        <v>123417.32</v>
      </c>
      <c r="AC11" s="263">
        <f>SUMIFS('Expenditure Breakdown'!$R$6:$R$131, 'Expenditure Breakdown'!$W$6:$W$131, "&gt;="&amp;AC1,'Expenditure Breakdown'!$W$6:$W$131, "&lt;"&amp;AD1)</f>
        <v>0</v>
      </c>
      <c r="AD11" s="263">
        <f>SUMIFS('Expenditure Breakdown'!$R$6:$R$131, 'Expenditure Breakdown'!$W$6:$W$131, "&gt;="&amp;AD1,'Expenditure Breakdown'!$W$6:$W$131, "&lt;"&amp;AE1)</f>
        <v>-12270.36</v>
      </c>
      <c r="AE11" s="263">
        <f>SUMIFS('Expenditure Breakdown'!$R$6:$R$131, 'Expenditure Breakdown'!$W$6:$W$131, "&gt;="&amp;AE1,'Expenditure Breakdown'!$W$6:$W$131, "&lt;"&amp;AF1)</f>
        <v>0</v>
      </c>
      <c r="AF11" s="263">
        <f>SUMIFS('Expenditure Breakdown'!$R$6:$R$131, 'Expenditure Breakdown'!$W$6:$W$131, "&gt;="&amp;AF1,'Expenditure Breakdown'!$W$6:$W$131, "&lt;"&amp;AG1)</f>
        <v>5654.76</v>
      </c>
      <c r="AG11" s="263">
        <f>SUMIFS('Expenditure Breakdown'!$R$6:$R$131, 'Expenditure Breakdown'!$W$6:$W$131, "&gt;="&amp;AG1,'Expenditure Breakdown'!$W$6:$W$131, "&lt;"&amp;AH1)</f>
        <v>0</v>
      </c>
      <c r="AH11" s="263">
        <f>SUMIFS('Expenditure Breakdown'!$R$6:$R$131, 'Expenditure Breakdown'!$W$6:$W$131, "&gt;="&amp;AH1,'Expenditure Breakdown'!$W$6:$W$131, "&lt;"&amp;AI1)</f>
        <v>0</v>
      </c>
      <c r="AI11" s="263">
        <f>SUMIFS('Expenditure Breakdown'!$R$6:$R$131, 'Expenditure Breakdown'!$W$6:$W$131, "&gt;="&amp;AI1,'Expenditure Breakdown'!$W$6:$W$131, "&lt;"&amp;AJ1)</f>
        <v>1109.72</v>
      </c>
      <c r="AJ11" s="263">
        <f>SUMIFS('Expenditure Breakdown'!$R$6:$R$131, 'Expenditure Breakdown'!$W$6:$W$131, "&gt;="&amp;AJ1,'Expenditure Breakdown'!$W$6:$W$131, "&lt;"&amp;AK1)</f>
        <v>28188.14</v>
      </c>
      <c r="AK11" s="263">
        <f>SUMIFS('Expenditure Breakdown'!$R$6:$R$131, 'Expenditure Breakdown'!$W$6:$W$131, "&gt;="&amp;AK1,'Expenditure Breakdown'!$W$6:$W$131, "&lt;"&amp;AL1)</f>
        <v>0</v>
      </c>
      <c r="AL11" s="263">
        <f>SUMIFS('Expenditure Breakdown'!$R$6:$R$131, 'Expenditure Breakdown'!$W$6:$W$131, "&gt;="&amp;AL1,'Expenditure Breakdown'!$W$6:$W$131, "&lt;"&amp;AM1)</f>
        <v>0</v>
      </c>
      <c r="AM11" s="263">
        <f>SUMIFS('Expenditure Breakdown'!$R$6:$R$131, 'Expenditure Breakdown'!$W$6:$W$131, "&gt;="&amp;AM1,'Expenditure Breakdown'!$W$6:$W$131, "&lt;"&amp;AN1)</f>
        <v>28611.360000000001</v>
      </c>
      <c r="AN11" s="263">
        <f>SUMIFS('Expenditure Breakdown'!$R$6:$R$131, 'Expenditure Breakdown'!$W$6:$W$131, "&gt;="&amp;AN1,'Expenditure Breakdown'!$W$6:$W$131, "&lt;"&amp;AO1)</f>
        <v>0</v>
      </c>
      <c r="AO11" s="263">
        <f>SUMIFS('Expenditure Breakdown'!$R$6:$R$131, 'Expenditure Breakdown'!$W$6:$W$131, "&gt;="&amp;AO1,'Expenditure Breakdown'!$W$6:$W$131, "&lt;"&amp;AP1)</f>
        <v>0</v>
      </c>
      <c r="AP11" s="263">
        <f>SUMIFS('Expenditure Breakdown'!$R$6:$R$131, 'Expenditure Breakdown'!$W$6:$W$131, "&gt;="&amp;AP1,'Expenditure Breakdown'!$W$6:$W$131, "&lt;"&amp;AQ1)</f>
        <v>0</v>
      </c>
      <c r="AQ11" s="263">
        <f>SUMIFS('Expenditure Breakdown'!$R$6:$R$131, 'Expenditure Breakdown'!$W$6:$W$131, "&gt;="&amp;AQ1,'Expenditure Breakdown'!$W$6:$W$131, "&lt;"&amp;AR1)</f>
        <v>0</v>
      </c>
      <c r="AR11" s="263">
        <f>SUMIFS('Expenditure Breakdown'!$R$6:$R$131, 'Expenditure Breakdown'!$W$6:$W$131, "&gt;="&amp;AR1,'Expenditure Breakdown'!$W$6:$W$131, "&lt;"&amp;AS1)</f>
        <v>0</v>
      </c>
      <c r="AS11" s="263">
        <f>SUMIFS('Expenditure Breakdown'!$R$6:$R$131, 'Expenditure Breakdown'!$W$6:$W$131, "&gt;="&amp;AS1,'Expenditure Breakdown'!$W$6:$W$131, "&lt;"&amp;AT1)</f>
        <v>0</v>
      </c>
      <c r="AT11" s="263">
        <f>SUMIFS('Expenditure Breakdown'!$R$6:$R$131, 'Expenditure Breakdown'!$W$6:$W$131, "&gt;="&amp;AT1,'Expenditure Breakdown'!$W$6:$W$131, "&lt;"&amp;AU1)</f>
        <v>0</v>
      </c>
      <c r="AU11" s="263">
        <f>SUMIFS('Expenditure Breakdown'!$R$6:$R$131, 'Expenditure Breakdown'!$W$6:$W$131, "&gt;="&amp;AU1,'Expenditure Breakdown'!$W$6:$W$131, "&lt;"&amp;AV1)</f>
        <v>0</v>
      </c>
      <c r="AV11" s="263">
        <f>SUMIFS('Expenditure Breakdown'!$R$6:$R$131, 'Expenditure Breakdown'!$W$6:$W$131, "&gt;="&amp;AV1,'Expenditure Breakdown'!$W$6:$W$131, "&lt;"&amp;AW1)</f>
        <v>1087.98</v>
      </c>
      <c r="AW11" s="263">
        <f>SUMIFS('Expenditure Breakdown'!$R$6:$R$131, 'Expenditure Breakdown'!$W$6:$W$131, "&gt;="&amp;AW1,'Expenditure Breakdown'!$W$6:$W$131, "&lt;"&amp;AX1)</f>
        <v>32247.49</v>
      </c>
      <c r="AX11" s="263">
        <f>SUMIFS('Expenditure Breakdown'!$R$6:$R$131, 'Expenditure Breakdown'!$W$6:$W$131, "&gt;="&amp;AX1,'Expenditure Breakdown'!$W$6:$W$131, "&lt;"&amp;AY1)</f>
        <v>0</v>
      </c>
      <c r="AY11" s="263">
        <f>SUMIFS('Expenditure Breakdown'!$R$6:$R$131, 'Expenditure Breakdown'!$W$6:$W$131, "&gt;="&amp;AY1,'Expenditure Breakdown'!$W$6:$W$131, "&lt;"&amp;AZ1)</f>
        <v>0</v>
      </c>
      <c r="AZ11" s="263">
        <f>SUMIFS('Expenditure Breakdown'!$R$6:$R$131, 'Expenditure Breakdown'!$W$6:$W$131, "&gt;="&amp;AZ1,'Expenditure Breakdown'!$W$6:$W$131, "&lt;"&amp;BA1)</f>
        <v>0</v>
      </c>
      <c r="BA11" s="263">
        <f>SUMIFS('Expenditure Breakdown'!$R$6:$R$131, 'Expenditure Breakdown'!$W$6:$W$131, "&gt;="&amp;BA1,'Expenditure Breakdown'!$W$6:$W$131, "&lt;"&amp;BB1)</f>
        <v>432.1</v>
      </c>
      <c r="BB11" s="263">
        <f>SUMIFS('Expenditure Breakdown'!$R$6:$R$131, 'Expenditure Breakdown'!$W$6:$W$131, "&gt;="&amp;BB1,'Expenditure Breakdown'!$W$6:$W$131, "&lt;"&amp;BC1)</f>
        <v>0</v>
      </c>
      <c r="BC11" s="263">
        <f>SUMIFS('Expenditure Breakdown'!$R$6:$R$131, 'Expenditure Breakdown'!$W$6:$W$131, "&gt;="&amp;BC1,'Expenditure Breakdown'!$W$6:$W$131, "&lt;"&amp;BD1)</f>
        <v>0</v>
      </c>
      <c r="BD11" s="263">
        <f>SUMIFS('Expenditure Breakdown'!$R$6:$R$131, 'Expenditure Breakdown'!$W$6:$W$131, "&gt;="&amp;BD1,'Expenditure Breakdown'!$W$6:$W$131, "&lt;"&amp;BE1)</f>
        <v>0</v>
      </c>
      <c r="BE11" s="263">
        <f>SUMIFS('Expenditure Breakdown'!$R$6:$R$131, 'Expenditure Breakdown'!$W$6:$W$131, "&gt;="&amp;BE1,'Expenditure Breakdown'!$W$6:$W$131, "&lt;"&amp;BF1)</f>
        <v>0</v>
      </c>
      <c r="BF11" s="263">
        <f>SUMIFS('Expenditure Breakdown'!$R$6:$R$131, 'Expenditure Breakdown'!$W$6:$W$131, "&gt;="&amp;BF1,'Expenditure Breakdown'!$W$6:$W$131, "&lt;"&amp;BG1)</f>
        <v>0</v>
      </c>
      <c r="BG11" s="263">
        <f>SUMIFS('Expenditure Breakdown'!$R$6:$R$131, 'Expenditure Breakdown'!$W$6:$W$131, "&gt;="&amp;BG1,'Expenditure Breakdown'!$W$6:$W$131, "&lt;"&amp;BH1)</f>
        <v>0</v>
      </c>
      <c r="BH11" s="263">
        <f>SUMIFS('Expenditure Breakdown'!$R$6:$R$131, 'Expenditure Breakdown'!$W$6:$W$131, "&gt;="&amp;BH1,'Expenditure Breakdown'!$W$6:$W$131, "&lt;"&amp;BI1)</f>
        <v>8316</v>
      </c>
      <c r="BI11" s="263">
        <f>SUMIFS('Expenditure Breakdown'!$R$6:$R$131, 'Expenditure Breakdown'!$W$6:$W$131, "&gt;="&amp;BI1,'Expenditure Breakdown'!$W$6:$W$131, "&lt;"&amp;BJ1)</f>
        <v>0</v>
      </c>
      <c r="BJ11" s="263">
        <f>SUMIFS('Expenditure Breakdown'!$R$6:$R$131, 'Expenditure Breakdown'!$W$6:$W$131, "&gt;="&amp;BJ1,'Expenditure Breakdown'!$W$6:$W$131, "&lt;"&amp;BK1)</f>
        <v>0</v>
      </c>
      <c r="BK11" s="263">
        <f>SUMIFS('Expenditure Breakdown'!$R$6:$R$131, 'Expenditure Breakdown'!$W$6:$W$131, "&gt;="&amp;BK1,'Expenditure Breakdown'!$W$6:$W$131, "&lt;"&amp;BL1)</f>
        <v>9538.74</v>
      </c>
      <c r="BL11" s="263">
        <f>SUMIFS('Expenditure Breakdown'!$R$6:$R$131, 'Expenditure Breakdown'!$W$6:$W$131, "&gt;="&amp;BL1,'Expenditure Breakdown'!$W$6:$W$131, "&lt;"&amp;BM1)</f>
        <v>31621.762457651748</v>
      </c>
      <c r="BM11" s="263">
        <f>SUMIFS('Expenditure Breakdown'!$R$6:$R$131, 'Expenditure Breakdown'!$W$6:$W$131, "&gt;="&amp;BM1,'Expenditure Breakdown'!$W$6:$W$131, "&lt;"&amp;BN1)</f>
        <v>0</v>
      </c>
      <c r="BN11" s="263">
        <f>SUMIFS('Expenditure Breakdown'!$R$6:$R$131, 'Expenditure Breakdown'!$W$6:$W$131, "&gt;="&amp;BN1,'Expenditure Breakdown'!$W$6:$W$131, "&lt;"&amp;BO1)</f>
        <v>0</v>
      </c>
      <c r="BO11" s="263">
        <f>SUMIFS('Expenditure Breakdown'!$R$6:$R$131, 'Expenditure Breakdown'!$W$6:$W$131, "&gt;="&amp;BO1,'Expenditure Breakdown'!$W$6:$W$131, "&lt;"&amp;BP1)</f>
        <v>0</v>
      </c>
      <c r="BP11" s="263">
        <f>SUMIFS('Expenditure Breakdown'!$R$6:$R$131, 'Expenditure Breakdown'!$W$6:$W$131, "&gt;="&amp;BP1,'Expenditure Breakdown'!$W$6:$W$131, "&lt;"&amp;BQ1)</f>
        <v>0</v>
      </c>
      <c r="BQ11" s="263">
        <f>SUMIFS('Expenditure Breakdown'!$R$6:$R$131, 'Expenditure Breakdown'!$W$6:$W$131, "&gt;="&amp;BQ1,'Expenditure Breakdown'!$W$6:$W$131, "&lt;"&amp;BR1)</f>
        <v>0</v>
      </c>
      <c r="BR11" s="263">
        <f>SUMIFS('Expenditure Breakdown'!$R$6:$R$131, 'Expenditure Breakdown'!$W$6:$W$131, "&gt;="&amp;BR1,'Expenditure Breakdown'!$W$6:$W$131, "&lt;"&amp;BS1)</f>
        <v>0</v>
      </c>
      <c r="BS11" s="263">
        <f>SUMIFS('Expenditure Breakdown'!$R$6:$R$131, 'Expenditure Breakdown'!$W$6:$W$131, "&gt;="&amp;BS1,'Expenditure Breakdown'!$W$6:$W$131, "&lt;"&amp;BT1)</f>
        <v>0</v>
      </c>
      <c r="BT11" s="263">
        <f>SUMIFS('Expenditure Breakdown'!$R$6:$R$131, 'Expenditure Breakdown'!$W$6:$W$131, "&gt;="&amp;BT1,'Expenditure Breakdown'!$W$6:$W$131, "&lt;"&amp;BU1)</f>
        <v>0</v>
      </c>
      <c r="BU11" s="263">
        <f>SUMIFS('Expenditure Breakdown'!$R$6:$R$131, 'Expenditure Breakdown'!$W$6:$W$131, "&gt;="&amp;BU1,'Expenditure Breakdown'!$W$6:$W$131, "&lt;"&amp;BV1)</f>
        <v>0</v>
      </c>
      <c r="BV11" s="263">
        <f>SUMIFS('Expenditure Breakdown'!$R$6:$R$131, 'Expenditure Breakdown'!$W$6:$W$131, "&gt;="&amp;BV1,'Expenditure Breakdown'!$W$6:$W$131, "&lt;"&amp;BW1)</f>
        <v>0</v>
      </c>
      <c r="BW11" s="263">
        <f>SUMIFS('Expenditure Breakdown'!$R$6:$R$131, 'Expenditure Breakdown'!$W$6:$W$131, "&gt;="&amp;BW1,'Expenditure Breakdown'!$W$6:$W$131, "&lt;"&amp;BX1)</f>
        <v>0</v>
      </c>
      <c r="BX11" s="263">
        <f>SUMIFS('Expenditure Breakdown'!$R$6:$R$131, 'Expenditure Breakdown'!$W$6:$W$131, "&gt;="&amp;BX1,'Expenditure Breakdown'!$W$6:$W$131, "&lt;"&amp;BY1)</f>
        <v>0</v>
      </c>
      <c r="BY11" s="263">
        <f>SUMIFS('Expenditure Breakdown'!$R$6:$R$131, 'Expenditure Breakdown'!$W$6:$W$131, "&gt;="&amp;BY1,'Expenditure Breakdown'!$W$6:$W$131, "&lt;"&amp;BZ1)</f>
        <v>0</v>
      </c>
      <c r="BZ11" s="263">
        <f>SUMIFS('Expenditure Breakdown'!$R$6:$R$131, 'Expenditure Breakdown'!$W$6:$W$131, "&gt;="&amp;BZ1,'Expenditure Breakdown'!$W$6:$W$131, "&lt;"&amp;CA1)</f>
        <v>0</v>
      </c>
      <c r="CA11" s="263">
        <f>SUMIFS('Expenditure Breakdown'!$R$6:$R$131, 'Expenditure Breakdown'!$W$6:$W$131, "&gt;="&amp;CA1,'Expenditure Breakdown'!$W$6:$W$131, "&lt;"&amp;CB1)</f>
        <v>0</v>
      </c>
      <c r="CB11" s="263">
        <f>SUMIFS('Expenditure Breakdown'!$R$6:$R$131, 'Expenditure Breakdown'!$W$6:$W$131, "&gt;="&amp;CB1,'Expenditure Breakdown'!$W$6:$W$131, "&lt;"&amp;CD1)</f>
        <v>0</v>
      </c>
      <c r="CC11" s="263">
        <f>SUMIFS('Expenditure Breakdown'!$R$6:$R$131, 'Expenditure Breakdown'!$W$6:$W$131, "&gt;="&amp;CC1,'Expenditure Breakdown'!$W$6:$W$131, "&lt;"&amp;CE1)</f>
        <v>0</v>
      </c>
      <c r="CD11" s="240"/>
      <c r="CE11" s="251"/>
      <c r="CF11" s="251"/>
    </row>
    <row r="12" spans="1:559" s="252" customFormat="1">
      <c r="A12" s="977"/>
      <c r="B12" s="261" t="s">
        <v>414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:J12" si="121">H12+I11</f>
        <v>0</v>
      </c>
      <c r="J12" s="263">
        <f t="shared" si="121"/>
        <v>0</v>
      </c>
      <c r="K12" s="263">
        <f t="shared" ref="K12" si="122">J12+K11</f>
        <v>0</v>
      </c>
      <c r="L12" s="263">
        <f t="shared" ref="L12" si="123">K12+L11</f>
        <v>0</v>
      </c>
      <c r="M12" s="263">
        <f t="shared" ref="M12" si="124">L12+M11</f>
        <v>35564.42</v>
      </c>
      <c r="N12" s="263">
        <f t="shared" ref="N12" si="125">M12+N11</f>
        <v>35564.42</v>
      </c>
      <c r="O12" s="263">
        <f t="shared" ref="O12" si="126">N12+O11</f>
        <v>35564.42</v>
      </c>
      <c r="P12" s="263">
        <f t="shared" ref="P12" si="127">O12+P11</f>
        <v>530751.35000000009</v>
      </c>
      <c r="Q12" s="263">
        <f t="shared" ref="Q12" si="128">P12+Q11</f>
        <v>554292.82000000007</v>
      </c>
      <c r="R12" s="263">
        <f t="shared" ref="R12" si="129">Q12+R11</f>
        <v>681140.05</v>
      </c>
      <c r="S12" s="263">
        <f t="shared" ref="S12" si="130">R12+S11</f>
        <v>681140.05</v>
      </c>
      <c r="T12" s="263">
        <f t="shared" ref="T12" si="131">S12+T11</f>
        <v>681140.05</v>
      </c>
      <c r="U12" s="263">
        <f t="shared" ref="U12" si="132">T12+U11</f>
        <v>1636439.45</v>
      </c>
      <c r="V12" s="263">
        <f t="shared" ref="V12" si="133">U12+V11</f>
        <v>1638110.45</v>
      </c>
      <c r="W12" s="263">
        <f t="shared" ref="W12" si="134">V12+W11</f>
        <v>1694486.73</v>
      </c>
      <c r="X12" s="263">
        <f t="shared" ref="X12" si="135">W12+X11</f>
        <v>1694486.73</v>
      </c>
      <c r="Y12" s="263">
        <f t="shared" ref="Y12" si="136">X12+Y11</f>
        <v>1758009.1475423481</v>
      </c>
      <c r="Z12" s="263">
        <f t="shared" ref="Z12" si="137">Y12+Z11</f>
        <v>1814385.4275423482</v>
      </c>
      <c r="AA12" s="263">
        <f t="shared" ref="AA12" si="138">Z12+AA11</f>
        <v>1845907.0975423481</v>
      </c>
      <c r="AB12" s="263">
        <f t="shared" ref="AB12" si="139">AA12+AB11</f>
        <v>1969324.4175423482</v>
      </c>
      <c r="AC12" s="263">
        <f t="shared" ref="AC12" si="140">AB12+AC11</f>
        <v>1969324.4175423482</v>
      </c>
      <c r="AD12" s="263">
        <f t="shared" ref="AD12" si="141">AC12+AD11</f>
        <v>1957054.057542348</v>
      </c>
      <c r="AE12" s="263">
        <f t="shared" ref="AE12" si="142">AD12+AE11</f>
        <v>1957054.057542348</v>
      </c>
      <c r="AF12" s="263">
        <f t="shared" ref="AF12" si="143">AE12+AF11</f>
        <v>1962708.8175423481</v>
      </c>
      <c r="AG12" s="263">
        <f t="shared" ref="AG12" si="144">AF12+AG11</f>
        <v>1962708.8175423481</v>
      </c>
      <c r="AH12" s="263">
        <f t="shared" ref="AH12" si="145">AG12+AH11</f>
        <v>1962708.8175423481</v>
      </c>
      <c r="AI12" s="263">
        <f t="shared" ref="AI12" si="146">AH12+AI11</f>
        <v>1963818.537542348</v>
      </c>
      <c r="AJ12" s="263">
        <f t="shared" ref="AJ12" si="147">AI12+AJ11</f>
        <v>1992006.6775423479</v>
      </c>
      <c r="AK12" s="263">
        <f t="shared" ref="AK12:BQ12" si="148">AJ12+AK11</f>
        <v>1992006.6775423479</v>
      </c>
      <c r="AL12" s="263">
        <f t="shared" si="148"/>
        <v>1992006.6775423479</v>
      </c>
      <c r="AM12" s="263">
        <f t="shared" si="148"/>
        <v>2020618.037542348</v>
      </c>
      <c r="AN12" s="263">
        <f t="shared" si="148"/>
        <v>2020618.037542348</v>
      </c>
      <c r="AO12" s="263">
        <f t="shared" si="148"/>
        <v>2020618.037542348</v>
      </c>
      <c r="AP12" s="263">
        <f t="shared" si="148"/>
        <v>2020618.037542348</v>
      </c>
      <c r="AQ12" s="263">
        <f t="shared" si="148"/>
        <v>2020618.037542348</v>
      </c>
      <c r="AR12" s="263">
        <f t="shared" si="148"/>
        <v>2020618.037542348</v>
      </c>
      <c r="AS12" s="263">
        <f t="shared" si="148"/>
        <v>2020618.037542348</v>
      </c>
      <c r="AT12" s="263">
        <f t="shared" si="148"/>
        <v>2020618.037542348</v>
      </c>
      <c r="AU12" s="263">
        <f t="shared" si="148"/>
        <v>2020618.037542348</v>
      </c>
      <c r="AV12" s="263">
        <f t="shared" si="148"/>
        <v>2021706.017542348</v>
      </c>
      <c r="AW12" s="263">
        <f t="shared" si="148"/>
        <v>2053953.507542348</v>
      </c>
      <c r="AX12" s="263">
        <f t="shared" si="148"/>
        <v>2053953.507542348</v>
      </c>
      <c r="AY12" s="263">
        <f t="shared" si="148"/>
        <v>2053953.507542348</v>
      </c>
      <c r="AZ12" s="263">
        <f t="shared" si="148"/>
        <v>2053953.507542348</v>
      </c>
      <c r="BA12" s="263">
        <f t="shared" si="148"/>
        <v>2054385.6075423481</v>
      </c>
      <c r="BB12" s="263">
        <f t="shared" si="148"/>
        <v>2054385.6075423481</v>
      </c>
      <c r="BC12" s="263">
        <f t="shared" si="148"/>
        <v>2054385.6075423481</v>
      </c>
      <c r="BD12" s="263">
        <f t="shared" si="148"/>
        <v>2054385.6075423481</v>
      </c>
      <c r="BE12" s="263">
        <f t="shared" si="148"/>
        <v>2054385.6075423481</v>
      </c>
      <c r="BF12" s="263">
        <f t="shared" si="148"/>
        <v>2054385.6075423481</v>
      </c>
      <c r="BG12" s="263">
        <f t="shared" si="148"/>
        <v>2054385.6075423481</v>
      </c>
      <c r="BH12" s="263">
        <f t="shared" si="148"/>
        <v>2062701.6075423481</v>
      </c>
      <c r="BI12" s="263">
        <f t="shared" si="148"/>
        <v>2062701.6075423481</v>
      </c>
      <c r="BJ12" s="263">
        <f t="shared" si="148"/>
        <v>2062701.6075423481</v>
      </c>
      <c r="BK12" s="263">
        <f t="shared" si="148"/>
        <v>2072240.3475423481</v>
      </c>
      <c r="BL12" s="263">
        <f t="shared" si="148"/>
        <v>2103862.11</v>
      </c>
      <c r="BM12" s="263">
        <f t="shared" si="148"/>
        <v>2103862.11</v>
      </c>
      <c r="BN12" s="263">
        <f t="shared" si="148"/>
        <v>2103862.11</v>
      </c>
      <c r="BO12" s="263">
        <f t="shared" si="148"/>
        <v>2103862.11</v>
      </c>
      <c r="BP12" s="263">
        <f t="shared" si="148"/>
        <v>2103862.11</v>
      </c>
      <c r="BQ12" s="263">
        <f t="shared" si="148"/>
        <v>2103862.11</v>
      </c>
      <c r="BR12" s="263">
        <f t="shared" ref="BR12:CC12" si="149">BQ12+BR11</f>
        <v>2103862.11</v>
      </c>
      <c r="BS12" s="263">
        <f t="shared" si="149"/>
        <v>2103862.11</v>
      </c>
      <c r="BT12" s="263">
        <f t="shared" si="149"/>
        <v>2103862.11</v>
      </c>
      <c r="BU12" s="263">
        <f t="shared" si="149"/>
        <v>2103862.11</v>
      </c>
      <c r="BV12" s="263">
        <f t="shared" si="149"/>
        <v>2103862.11</v>
      </c>
      <c r="BW12" s="263">
        <f t="shared" si="149"/>
        <v>2103862.11</v>
      </c>
      <c r="BX12" s="263">
        <f t="shared" si="149"/>
        <v>2103862.11</v>
      </c>
      <c r="BY12" s="263">
        <f t="shared" si="149"/>
        <v>2103862.11</v>
      </c>
      <c r="BZ12" s="263">
        <f t="shared" si="149"/>
        <v>2103862.11</v>
      </c>
      <c r="CA12" s="263">
        <f t="shared" si="149"/>
        <v>2103862.11</v>
      </c>
      <c r="CB12" s="263">
        <f t="shared" si="149"/>
        <v>2103862.11</v>
      </c>
      <c r="CC12" s="263">
        <f t="shared" si="149"/>
        <v>2103862.11</v>
      </c>
      <c r="CD12" s="240"/>
      <c r="CE12" s="251"/>
    </row>
    <row r="13" spans="1:559" s="240" customFormat="1">
      <c r="A13" s="977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</row>
    <row r="14" spans="1:559">
      <c r="A14" s="977"/>
      <c r="B14" s="253" t="s">
        <v>415</v>
      </c>
      <c r="C14" s="254"/>
      <c r="D14" s="254"/>
      <c r="E14" s="255"/>
      <c r="F14" s="256">
        <f t="shared" ref="F14:H14" si="150">F10-F12</f>
        <v>861790.65118575096</v>
      </c>
      <c r="G14" s="256">
        <f t="shared" si="150"/>
        <v>861790.65118575096</v>
      </c>
      <c r="H14" s="256">
        <f t="shared" si="150"/>
        <v>861790.65118575096</v>
      </c>
      <c r="I14" s="256">
        <f t="shared" ref="I14:J14" si="151">I10-I12</f>
        <v>861790.65118575096</v>
      </c>
      <c r="J14" s="256">
        <f t="shared" si="151"/>
        <v>861790.65118575096</v>
      </c>
      <c r="K14" s="256">
        <f t="shared" ref="K14:AJ14" si="152">K10-K12</f>
        <v>861790.65118575096</v>
      </c>
      <c r="L14" s="256">
        <f t="shared" si="152"/>
        <v>861790.65118575096</v>
      </c>
      <c r="M14" s="256">
        <f t="shared" si="152"/>
        <v>826226.23118575092</v>
      </c>
      <c r="N14" s="256">
        <f t="shared" si="152"/>
        <v>826226.23118575092</v>
      </c>
      <c r="O14" s="256">
        <f t="shared" si="152"/>
        <v>826226.23118575092</v>
      </c>
      <c r="P14" s="256">
        <f t="shared" si="152"/>
        <v>331039.30118575087</v>
      </c>
      <c r="Q14" s="256">
        <f t="shared" si="152"/>
        <v>307497.8311857509</v>
      </c>
      <c r="R14" s="256">
        <f t="shared" si="152"/>
        <v>796215.35203271592</v>
      </c>
      <c r="S14" s="256">
        <f t="shared" si="152"/>
        <v>796215.35203271592</v>
      </c>
      <c r="T14" s="256">
        <f t="shared" si="152"/>
        <v>796215.35203271592</v>
      </c>
      <c r="U14" s="256">
        <f t="shared" si="152"/>
        <v>-159084.04796728399</v>
      </c>
      <c r="V14" s="256">
        <f t="shared" si="152"/>
        <v>-160755.04796728399</v>
      </c>
      <c r="W14" s="256">
        <f t="shared" si="152"/>
        <v>-217131.32796728401</v>
      </c>
      <c r="X14" s="256">
        <f t="shared" si="152"/>
        <v>-217131.32796728401</v>
      </c>
      <c r="Y14" s="256">
        <f t="shared" si="152"/>
        <v>581136.90567611903</v>
      </c>
      <c r="Z14" s="256">
        <f t="shared" si="152"/>
        <v>524760.625676119</v>
      </c>
      <c r="AA14" s="256">
        <f t="shared" si="152"/>
        <v>493238.95567611908</v>
      </c>
      <c r="AB14" s="256">
        <f t="shared" si="152"/>
        <v>369821.63567611901</v>
      </c>
      <c r="AC14" s="256">
        <f t="shared" si="152"/>
        <v>369821.63567611901</v>
      </c>
      <c r="AD14" s="256">
        <f t="shared" si="152"/>
        <v>382091.99567611911</v>
      </c>
      <c r="AE14" s="256">
        <f t="shared" si="152"/>
        <v>382091.99567611911</v>
      </c>
      <c r="AF14" s="256">
        <f t="shared" si="152"/>
        <v>376437.2356761191</v>
      </c>
      <c r="AG14" s="256">
        <f t="shared" si="152"/>
        <v>376437.2356761191</v>
      </c>
      <c r="AH14" s="256">
        <f t="shared" si="152"/>
        <v>376437.2356761191</v>
      </c>
      <c r="AI14" s="256">
        <f t="shared" si="152"/>
        <v>375327.51567611913</v>
      </c>
      <c r="AJ14" s="256">
        <f t="shared" si="152"/>
        <v>347139.37567611923</v>
      </c>
      <c r="AK14" s="256">
        <f t="shared" ref="AK14:BQ14" si="153">AK10-AK12</f>
        <v>347139.37567611923</v>
      </c>
      <c r="AL14" s="256">
        <f t="shared" si="153"/>
        <v>347139.37567611923</v>
      </c>
      <c r="AM14" s="256">
        <f t="shared" si="153"/>
        <v>318528.01567611913</v>
      </c>
      <c r="AN14" s="256">
        <f t="shared" si="153"/>
        <v>318528.01567611913</v>
      </c>
      <c r="AO14" s="256">
        <f t="shared" si="153"/>
        <v>318528.01567611913</v>
      </c>
      <c r="AP14" s="256">
        <f t="shared" si="153"/>
        <v>318528.01567611913</v>
      </c>
      <c r="AQ14" s="256">
        <f t="shared" si="153"/>
        <v>318528.01567611913</v>
      </c>
      <c r="AR14" s="256">
        <f t="shared" si="153"/>
        <v>318528.01567611913</v>
      </c>
      <c r="AS14" s="256">
        <f t="shared" si="153"/>
        <v>318528.01567611913</v>
      </c>
      <c r="AT14" s="256">
        <f t="shared" si="153"/>
        <v>318528.01567611913</v>
      </c>
      <c r="AU14" s="256">
        <f t="shared" si="153"/>
        <v>318528.01567611913</v>
      </c>
      <c r="AV14" s="256">
        <f t="shared" si="153"/>
        <v>317440.03567611915</v>
      </c>
      <c r="AW14" s="256">
        <f t="shared" si="153"/>
        <v>285192.54567611916</v>
      </c>
      <c r="AX14" s="256">
        <f t="shared" si="153"/>
        <v>285192.54567611916</v>
      </c>
      <c r="AY14" s="256">
        <f t="shared" si="153"/>
        <v>285192.54567611916</v>
      </c>
      <c r="AZ14" s="256">
        <f t="shared" si="153"/>
        <v>285192.54567611916</v>
      </c>
      <c r="BA14" s="256">
        <f t="shared" si="153"/>
        <v>284760.44567611907</v>
      </c>
      <c r="BB14" s="256">
        <f t="shared" si="153"/>
        <v>284760.44567611907</v>
      </c>
      <c r="BC14" s="256">
        <f t="shared" si="153"/>
        <v>284760.44567611907</v>
      </c>
      <c r="BD14" s="256">
        <f t="shared" si="153"/>
        <v>284760.44567611907</v>
      </c>
      <c r="BE14" s="256">
        <f t="shared" si="153"/>
        <v>284760.44567611907</v>
      </c>
      <c r="BF14" s="256">
        <f t="shared" si="153"/>
        <v>284760.44567611907</v>
      </c>
      <c r="BG14" s="256">
        <f t="shared" si="153"/>
        <v>284760.44567611907</v>
      </c>
      <c r="BH14" s="256">
        <f t="shared" si="153"/>
        <v>276444.44567611907</v>
      </c>
      <c r="BI14" s="256">
        <f t="shared" si="153"/>
        <v>276444.44567611907</v>
      </c>
      <c r="BJ14" s="256">
        <f t="shared" si="153"/>
        <v>276444.44567611907</v>
      </c>
      <c r="BK14" s="256">
        <f t="shared" si="153"/>
        <v>266905.70567611908</v>
      </c>
      <c r="BL14" s="256">
        <f t="shared" si="153"/>
        <v>235283.94321846729</v>
      </c>
      <c r="BM14" s="256">
        <f t="shared" si="153"/>
        <v>235283.94321846729</v>
      </c>
      <c r="BN14" s="256">
        <f t="shared" si="153"/>
        <v>235283.94321846729</v>
      </c>
      <c r="BO14" s="256">
        <f t="shared" si="153"/>
        <v>235283.94321846729</v>
      </c>
      <c r="BP14" s="256">
        <f t="shared" si="153"/>
        <v>235283.94321846729</v>
      </c>
      <c r="BQ14" s="256">
        <f t="shared" si="153"/>
        <v>235283.94321846729</v>
      </c>
      <c r="BR14" s="256">
        <f t="shared" ref="BR14:CC14" si="154">BR10-BR12</f>
        <v>235283.94321846729</v>
      </c>
      <c r="BS14" s="256">
        <f t="shared" si="154"/>
        <v>410678.01338786026</v>
      </c>
      <c r="BT14" s="256">
        <f t="shared" si="154"/>
        <v>410678.01338786026</v>
      </c>
      <c r="BU14" s="256">
        <f t="shared" si="154"/>
        <v>410678.01338786026</v>
      </c>
      <c r="BV14" s="256">
        <f t="shared" si="154"/>
        <v>410678.01338786026</v>
      </c>
      <c r="BW14" s="256">
        <f t="shared" si="154"/>
        <v>410678.01338786026</v>
      </c>
      <c r="BX14" s="256">
        <f t="shared" si="154"/>
        <v>410678.01338786026</v>
      </c>
      <c r="BY14" s="256">
        <f t="shared" si="154"/>
        <v>410678.01338786026</v>
      </c>
      <c r="BZ14" s="256">
        <f t="shared" si="154"/>
        <v>410678.01338786026</v>
      </c>
      <c r="CA14" s="256">
        <f t="shared" si="154"/>
        <v>410678.01338786026</v>
      </c>
      <c r="CB14" s="256">
        <f t="shared" si="154"/>
        <v>410678.01338786026</v>
      </c>
      <c r="CC14" s="256">
        <f t="shared" si="154"/>
        <v>410678.01338786026</v>
      </c>
    </row>
    <row r="15" spans="1:559" s="240" customFormat="1"/>
    <row r="16" spans="1:559" s="240" customFormat="1">
      <c r="C16" s="242" t="s">
        <v>236</v>
      </c>
      <c r="D16" s="242" t="s">
        <v>236</v>
      </c>
    </row>
    <row r="17" spans="1:81">
      <c r="A17" s="978"/>
      <c r="B17" s="244" t="s">
        <v>416</v>
      </c>
      <c r="C17" s="543">
        <f>C3-D17</f>
        <v>-43924.243657288142</v>
      </c>
      <c r="D17" s="245">
        <f>SUM(F17:BE17)</f>
        <v>2506183.2470451482</v>
      </c>
      <c r="E17" s="255"/>
      <c r="F17" s="263">
        <f>SUMIFS('Expenditure Breakdown'!$U$6:$U$131, 'Expenditure Breakdown'!$T$6:$T$131, "&gt;="&amp;F1,'Expenditure Breakdown'!$T$6:$T$131, "&lt;"&amp;G1)</f>
        <v>0</v>
      </c>
      <c r="G17" s="263">
        <f>SUMIFS('Expenditure Breakdown'!$U$6:$U$131, 'Expenditure Breakdown'!$T$6:$T$131, "&gt;="&amp;G1,'Expenditure Breakdown'!$T$6:$T$131, "&lt;"&amp;H1)</f>
        <v>0</v>
      </c>
      <c r="H17" s="263">
        <f>SUMIFS('Expenditure Breakdown'!$U$6:$U$131, 'Expenditure Breakdown'!$T$6:$T$131, "&gt;="&amp;H1,'Expenditure Breakdown'!$T$6:$T$131, "&lt;"&amp;I1)</f>
        <v>792853.43022606324</v>
      </c>
      <c r="I17" s="263">
        <f>SUMIFS('Expenditure Breakdown'!$U$6:$U$131, 'Expenditure Breakdown'!$T$6:$T$131, "&gt;="&amp;I1,'Expenditure Breakdown'!$T$6:$T$131, "&lt;"&amp;J1)</f>
        <v>0</v>
      </c>
      <c r="J17" s="263">
        <f>SUMIFS('Expenditure Breakdown'!$U$6:$U$131, 'Expenditure Breakdown'!$T$6:$T$131, "&gt;="&amp;J1,'Expenditure Breakdown'!$T$6:$T$131, "&lt;"&amp;K1)</f>
        <v>0</v>
      </c>
      <c r="K17" s="263">
        <f>SUMIFS('Expenditure Breakdown'!$U$6:$U$131, 'Expenditure Breakdown'!$T$6:$T$131, "&gt;="&amp;K1,'Expenditure Breakdown'!$T$6:$T$131, "&lt;"&amp;L1)</f>
        <v>0</v>
      </c>
      <c r="L17" s="263">
        <f>SUMIFS('Expenditure Breakdown'!$U$6:$U$131, 'Expenditure Breakdown'!$T$6:$T$131, "&gt;="&amp;L1,'Expenditure Breakdown'!$T$6:$T$131, "&lt;"&amp;M1)</f>
        <v>55191.910019255542</v>
      </c>
      <c r="M17" s="263">
        <f>SUMIFS('Expenditure Breakdown'!$U$6:$U$131, 'Expenditure Breakdown'!$T$6:$T$131, "&gt;="&amp;M1,'Expenditure Breakdown'!$T$6:$T$131, "&lt;"&amp;N1)</f>
        <v>0</v>
      </c>
      <c r="N17" s="263">
        <f>SUMIFS('Expenditure Breakdown'!$U$6:$U$131, 'Expenditure Breakdown'!$T$6:$T$131, "&gt;="&amp;N1,'Expenditure Breakdown'!$T$6:$T$131, "&lt;"&amp;O1)</f>
        <v>0</v>
      </c>
      <c r="O17" s="263">
        <f>SUMIFS('Expenditure Breakdown'!$U$6:$U$131, 'Expenditure Breakdown'!$T$6:$T$131, "&gt;="&amp;O1,'Expenditure Breakdown'!$T$6:$T$131, "&lt;"&amp;P1)</f>
        <v>0</v>
      </c>
      <c r="P17" s="263">
        <f>SUMIFS('Expenditure Breakdown'!$U$6:$U$131, 'Expenditure Breakdown'!$T$6:$T$131, "&gt;="&amp;P1,'Expenditure Breakdown'!$T$6:$T$131, "&lt;"&amp;Q1)</f>
        <v>0</v>
      </c>
      <c r="Q17" s="263">
        <f>SUMIFS('Expenditure Breakdown'!$U$6:$U$131, 'Expenditure Breakdown'!$T$6:$T$131, "&gt;="&amp;Q1,'Expenditure Breakdown'!$T$6:$T$131, "&lt;"&amp;R1)</f>
        <v>535671.93903123331</v>
      </c>
      <c r="R17" s="263">
        <f>SUMIFS('Expenditure Breakdown'!$U$6:$U$131, 'Expenditure Breakdown'!$T$6:$T$131, "&gt;="&amp;R1,'Expenditure Breakdown'!$T$6:$T$131, "&lt;"&amp;S1)</f>
        <v>0</v>
      </c>
      <c r="S17" s="263">
        <f>SUMIFS('Expenditure Breakdown'!$U$6:$U$131, 'Expenditure Breakdown'!$T$6:$T$131, "&gt;="&amp;S1,'Expenditure Breakdown'!$T$6:$T$131, "&lt;"&amp;T1)</f>
        <v>0</v>
      </c>
      <c r="T17" s="263">
        <f>SUMIFS('Expenditure Breakdown'!$U$6:$U$131, 'Expenditure Breakdown'!$T$6:$T$131, "&gt;="&amp;T1,'Expenditure Breakdown'!$T$6:$T$131, "&lt;"&amp;U1)</f>
        <v>0</v>
      </c>
      <c r="U17" s="263">
        <f>SUMIFS('Expenditure Breakdown'!$U$6:$U$131, 'Expenditure Breakdown'!$T$6:$T$131, "&gt;="&amp;U1,'Expenditure Breakdown'!$T$6:$T$131, "&lt;"&amp;V1)</f>
        <v>679962.5181584669</v>
      </c>
      <c r="V17" s="263">
        <f>SUMIFS('Expenditure Breakdown'!$U$6:$U$131, 'Expenditure Breakdown'!$T$6:$T$131, "&gt;="&amp;V1,'Expenditure Breakdown'!$T$6:$T$131, "&lt;"&amp;W1)</f>
        <v>0</v>
      </c>
      <c r="W17" s="263">
        <f>SUMIFS('Expenditure Breakdown'!$U$6:$U$131, 'Expenditure Breakdown'!$T$6:$T$131, "&gt;="&amp;W1,'Expenditure Breakdown'!$T$6:$T$131, "&lt;"&amp;X1)</f>
        <v>0</v>
      </c>
      <c r="X17" s="263">
        <f>SUMIFS('Expenditure Breakdown'!$U$6:$U$131, 'Expenditure Breakdown'!$T$6:$T$131, "&gt;="&amp;X1,'Expenditure Breakdown'!$T$6:$T$131, "&lt;"&amp;Y1)</f>
        <v>0</v>
      </c>
      <c r="Y17" s="263">
        <f>SUMIFS('Expenditure Breakdown'!$U$6:$U$131, 'Expenditure Breakdown'!$T$6:$T$131, "&gt;="&amp;Y1,'Expenditure Breakdown'!$T$6:$T$131, "&lt;"&amp;Z1)</f>
        <v>370357.29151234601</v>
      </c>
      <c r="Z17" s="263">
        <f>SUMIFS('Expenditure Breakdown'!$U$6:$U$131, 'Expenditure Breakdown'!$T$6:$T$131, "&gt;="&amp;Z1,'Expenditure Breakdown'!$T$6:$T$131, "&lt;"&amp;AA1)</f>
        <v>0</v>
      </c>
      <c r="AA17" s="263">
        <f>SUMIFS('Expenditure Breakdown'!$U$6:$U$131, 'Expenditure Breakdown'!$T$6:$T$131, "&gt;="&amp;AA1,'Expenditure Breakdown'!$T$6:$T$131, "&lt;"&amp;AB1)</f>
        <v>0</v>
      </c>
      <c r="AB17" s="263">
        <f>SUMIFS('Expenditure Breakdown'!$U$6:$U$131, 'Expenditure Breakdown'!$T$6:$T$131, "&gt;="&amp;AB1,'Expenditure Breakdown'!$T$6:$T$131, "&lt;"&amp;AC1)</f>
        <v>0</v>
      </c>
      <c r="AC17" s="263">
        <f>SUMIFS('Expenditure Breakdown'!$U$6:$U$131, 'Expenditure Breakdown'!$T$6:$T$131, "&gt;="&amp;AC1,'Expenditure Breakdown'!$T$6:$T$131, "&lt;"&amp;AD1)</f>
        <v>0</v>
      </c>
      <c r="AD17" s="263">
        <f>SUMIFS('Expenditure Breakdown'!$U$6:$U$131, 'Expenditure Breakdown'!$T$6:$T$131, "&gt;="&amp;AD1,'Expenditure Breakdown'!$T$6:$T$131, "&lt;"&amp;AE1)</f>
        <v>0</v>
      </c>
      <c r="AE17" s="263">
        <f>SUMIFS('Expenditure Breakdown'!$U$6:$U$131, 'Expenditure Breakdown'!$T$6:$T$131, "&gt;="&amp;AE1,'Expenditure Breakdown'!$T$6:$T$131, "&lt;"&amp;AF1)</f>
        <v>0</v>
      </c>
      <c r="AF17" s="263">
        <f>SUMIFS('Expenditure Breakdown'!$U$6:$U$131, 'Expenditure Breakdown'!$T$6:$T$131, "&gt;="&amp;AF1,'Expenditure Breakdown'!$T$6:$T$131, "&lt;"&amp;AG1)</f>
        <v>0</v>
      </c>
      <c r="AG17" s="263">
        <f>SUMIFS('Expenditure Breakdown'!$U$6:$U$131, 'Expenditure Breakdown'!$T$6:$T$131, "&gt;="&amp;AG1,'Expenditure Breakdown'!$T$6:$T$131, "&lt;"&amp;AH1)</f>
        <v>0</v>
      </c>
      <c r="AH17" s="263">
        <f>SUMIFS('Expenditure Breakdown'!$U$6:$U$131, 'Expenditure Breakdown'!$T$6:$T$131, "&gt;="&amp;AH1,'Expenditure Breakdown'!$T$6:$T$131, "&lt;"&amp;AI1)</f>
        <v>71308.847506062084</v>
      </c>
      <c r="AI17" s="263">
        <f>SUMIFS('Expenditure Breakdown'!$U$6:$U$131, 'Expenditure Breakdown'!$T$6:$T$131, "&gt;="&amp;AI1,'Expenditure Breakdown'!$T$6:$T$131, "&lt;"&amp;AJ1)</f>
        <v>0</v>
      </c>
      <c r="AJ17" s="263">
        <f>SUMIFS('Expenditure Breakdown'!$U$6:$U$131, 'Expenditure Breakdown'!$T$6:$T$131, "&gt;="&amp;AJ1,'Expenditure Breakdown'!$T$6:$T$131, "&lt;"&amp;AK1)</f>
        <v>0</v>
      </c>
      <c r="AK17" s="263">
        <f>SUMIFS('Expenditure Breakdown'!$U$6:$U$131, 'Expenditure Breakdown'!$T$6:$T$131, "&gt;="&amp;AK1,'Expenditure Breakdown'!$T$6:$T$131, "&lt;"&amp;AL1)</f>
        <v>0</v>
      </c>
      <c r="AL17" s="263">
        <f>SUMIFS('Expenditure Breakdown'!$U$6:$U$131, 'Expenditure Breakdown'!$T$6:$T$131, "&gt;="&amp;AL1,'Expenditure Breakdown'!$T$6:$T$131, "&lt;"&amp;AM1)</f>
        <v>697.46059172083278</v>
      </c>
      <c r="AM17" s="263">
        <f>SUMIFS('Expenditure Breakdown'!$U$6:$U$131, 'Expenditure Breakdown'!$T$6:$T$131, "&gt;="&amp;AM1,'Expenditure Breakdown'!$T$6:$T$131, "&lt;"&amp;AN1)</f>
        <v>0</v>
      </c>
      <c r="AN17" s="263">
        <f>SUMIFS('Expenditure Breakdown'!$U$6:$U$131, 'Expenditure Breakdown'!$T$6:$T$131, "&gt;="&amp;AN1,'Expenditure Breakdown'!$T$6:$T$131, "&lt;"&amp;AO1)</f>
        <v>0</v>
      </c>
      <c r="AO17" s="263">
        <f>SUMIFS('Expenditure Breakdown'!$U$6:$U$131, 'Expenditure Breakdown'!$T$6:$T$131, "&gt;="&amp;AO1,'Expenditure Breakdown'!$T$6:$T$131, "&lt;"&amp;AP1)</f>
        <v>0</v>
      </c>
      <c r="AP17" s="263">
        <f>SUMIFS('Expenditure Breakdown'!$U$6:$U$131, 'Expenditure Breakdown'!$T$6:$T$131, "&gt;="&amp;AP1,'Expenditure Breakdown'!$T$6:$T$131, "&lt;"&amp;AQ1)</f>
        <v>0</v>
      </c>
      <c r="AQ17" s="263">
        <f>SUMIFS('Expenditure Breakdown'!$U$6:$U$131, 'Expenditure Breakdown'!$T$6:$T$131, "&gt;="&amp;AQ1,'Expenditure Breakdown'!$T$6:$T$131, "&lt;"&amp;AR1)</f>
        <v>0</v>
      </c>
      <c r="AR17" s="263">
        <f>SUMIFS('Expenditure Breakdown'!$U$6:$U$131, 'Expenditure Breakdown'!$T$6:$T$131, "&gt;="&amp;AR1,'Expenditure Breakdown'!$T$6:$T$131, "&lt;"&amp;AS1)</f>
        <v>0</v>
      </c>
      <c r="AS17" s="263">
        <f>SUMIFS('Expenditure Breakdown'!$U$6:$U$131, 'Expenditure Breakdown'!$T$6:$T$131, "&gt;="&amp;AS1,'Expenditure Breakdown'!$T$6:$T$131, "&lt;"&amp;AT1)</f>
        <v>0</v>
      </c>
      <c r="AT17" s="263">
        <f>SUMIFS('Expenditure Breakdown'!$U$6:$U$131, 'Expenditure Breakdown'!$T$6:$T$131, "&gt;="&amp;AT1,'Expenditure Breakdown'!$T$6:$T$131, "&lt;"&amp;AU1)</f>
        <v>0</v>
      </c>
      <c r="AU17" s="263">
        <f>SUMIFS('Expenditure Breakdown'!$U$6:$U$131, 'Expenditure Breakdown'!$T$6:$T$131, "&gt;="&amp;AU1,'Expenditure Breakdown'!$T$6:$T$131, "&lt;"&amp;AV1)</f>
        <v>0</v>
      </c>
      <c r="AV17" s="263">
        <f>SUMIFS('Expenditure Breakdown'!$U$6:$U$131, 'Expenditure Breakdown'!$T$6:$T$131, "&gt;="&amp;AV1,'Expenditure Breakdown'!$T$6:$T$131, "&lt;"&amp;AW1)</f>
        <v>0</v>
      </c>
      <c r="AW17" s="263">
        <f>SUMIFS('Expenditure Breakdown'!$U$6:$U$131, 'Expenditure Breakdown'!$T$6:$T$131, "&gt;="&amp;AW1,'Expenditure Breakdown'!$T$6:$T$131, "&lt;"&amp;AX1)</f>
        <v>0</v>
      </c>
      <c r="AX17" s="263">
        <f>SUMIFS('Expenditure Breakdown'!$U$6:$U$131, 'Expenditure Breakdown'!$T$6:$T$131, "&gt;="&amp;AX1,'Expenditure Breakdown'!$T$6:$T$131, "&lt;"&amp;AY1)</f>
        <v>0</v>
      </c>
      <c r="AY17" s="263">
        <f>SUMIFS('Expenditure Breakdown'!$U$6:$U$131, 'Expenditure Breakdown'!$T$6:$T$131, "&gt;="&amp;AY1,'Expenditure Breakdown'!$T$6:$T$131, "&lt;"&amp;AZ1)</f>
        <v>139.85</v>
      </c>
      <c r="AZ17" s="263">
        <f>SUMIFS('Expenditure Breakdown'!$U$6:$U$131, 'Expenditure Breakdown'!$T$6:$T$131, "&gt;="&amp;AZ1,'Expenditure Breakdown'!$T$6:$T$131, "&lt;"&amp;BA1)</f>
        <v>0</v>
      </c>
      <c r="BA17" s="263">
        <f>SUMIFS('Expenditure Breakdown'!$U$6:$U$131, 'Expenditure Breakdown'!$T$6:$T$131, "&gt;="&amp;BA1,'Expenditure Breakdown'!$T$6:$T$131, "&lt;"&amp;BB1)</f>
        <v>0</v>
      </c>
      <c r="BB17" s="263">
        <f>SUMIFS('Expenditure Breakdown'!$U$6:$U$131, 'Expenditure Breakdown'!$T$6:$T$131, "&gt;="&amp;BB1,'Expenditure Breakdown'!$T$6:$T$131, "&lt;"&amp;BC1)</f>
        <v>0</v>
      </c>
      <c r="BC17" s="263">
        <f>SUMIFS('Expenditure Breakdown'!$U$6:$U$131, 'Expenditure Breakdown'!$T$6:$T$131, "&gt;="&amp;BC1,'Expenditure Breakdown'!$T$6:$T$131, "&lt;"&amp;BD1)</f>
        <v>0</v>
      </c>
      <c r="BD17" s="263">
        <f>SUMIFS('Expenditure Breakdown'!$U$6:$U$131, 'Expenditure Breakdown'!$T$6:$T$131, "&gt;="&amp;BD1,'Expenditure Breakdown'!$T$6:$T$131, "&lt;"&amp;BE1)</f>
        <v>0</v>
      </c>
      <c r="BE17" s="263">
        <f>SUMIFS('Expenditure Breakdown'!$U$6:$U$131, 'Expenditure Breakdown'!$T$6:$T$131, "&gt;="&amp;BE1,'Expenditure Breakdown'!$T$6:$T$131, "&lt;"&amp;BF1)</f>
        <v>0</v>
      </c>
      <c r="BF17" s="263">
        <f>SUMIFS('Expenditure Breakdown'!$U$6:$U$131, 'Expenditure Breakdown'!$T$6:$T$131, "&gt;="&amp;BF1,'Expenditure Breakdown'!$T$6:$T$131, "&lt;"&amp;BG1)</f>
        <v>0</v>
      </c>
      <c r="BG17" s="263">
        <f>SUMIFS('Expenditure Breakdown'!$U$6:$U$131, 'Expenditure Breakdown'!$T$6:$T$131, "&gt;="&amp;BG1,'Expenditure Breakdown'!$T$6:$T$131, "&lt;"&amp;BH1)</f>
        <v>0</v>
      </c>
      <c r="BH17" s="263">
        <f>SUMIFS('Expenditure Breakdown'!$U$6:$U$131, 'Expenditure Breakdown'!$T$6:$T$131, "&gt;="&amp;BH1,'Expenditure Breakdown'!$T$6:$T$131, "&lt;"&amp;BI1)</f>
        <v>0</v>
      </c>
      <c r="BI17" s="263">
        <f>SUMIFS('Expenditure Breakdown'!$U$6:$U$131, 'Expenditure Breakdown'!$T$6:$T$131, "&gt;="&amp;BI1,'Expenditure Breakdown'!$T$6:$T$131, "&lt;"&amp;BJ1)</f>
        <v>0</v>
      </c>
      <c r="BJ17" s="263">
        <f>SUMIFS('Expenditure Breakdown'!$U$6:$U$131, 'Expenditure Breakdown'!$T$6:$T$131, "&gt;="&amp;BJ1,'Expenditure Breakdown'!$T$6:$T$131, "&lt;"&amp;BK1)</f>
        <v>0</v>
      </c>
      <c r="BK17" s="263">
        <f>SUMIFS('Expenditure Breakdown'!$U$6:$U$131, 'Expenditure Breakdown'!$T$6:$T$131, "&gt;="&amp;BK1,'Expenditure Breakdown'!$T$6:$T$131, "&lt;"&amp;BL1)</f>
        <v>0</v>
      </c>
      <c r="BL17" s="263">
        <f>SUMIFS('Expenditure Breakdown'!$U$6:$U$131, 'Expenditure Breakdown'!$T$6:$T$131, "&gt;="&amp;BL1,'Expenditure Breakdown'!$T$6:$T$131, "&lt;"&amp;BM1)</f>
        <v>0</v>
      </c>
      <c r="BM17" s="263">
        <f>SUMIFS('Expenditure Breakdown'!$U$6:$U$131, 'Expenditure Breakdown'!$T$6:$T$131, "&gt;="&amp;BM1,'Expenditure Breakdown'!$T$6:$T$131, "&lt;"&amp;BN1)</f>
        <v>0</v>
      </c>
      <c r="BN17" s="263">
        <f>SUMIFS('Expenditure Breakdown'!$U$6:$U$131, 'Expenditure Breakdown'!$T$6:$T$131, "&gt;="&amp;BN1,'Expenditure Breakdown'!$T$6:$T$131, "&lt;"&amp;BO1)</f>
        <v>0</v>
      </c>
      <c r="BO17" s="263">
        <f>SUMIFS('Expenditure Breakdown'!$U$6:$U$131, 'Expenditure Breakdown'!$T$6:$T$131, "&gt;="&amp;BO1,'Expenditure Breakdown'!$T$6:$T$131, "&lt;"&amp;BP1)</f>
        <v>0</v>
      </c>
      <c r="BP17" s="263">
        <f>SUMIFS('Expenditure Breakdown'!$U$6:$U$131, 'Expenditure Breakdown'!$T$6:$T$131, "&gt;="&amp;BP1,'Expenditure Breakdown'!$T$6:$T$131, "&lt;"&amp;BQ1)</f>
        <v>0</v>
      </c>
      <c r="BQ17" s="263">
        <f>SUMIFS('Expenditure Breakdown'!$U$6:$U$131, 'Expenditure Breakdown'!$T$6:$T$131, "&gt;="&amp;BQ1,'Expenditure Breakdown'!$T$6:$T$131, "&lt;"&amp;BR1)</f>
        <v>0</v>
      </c>
      <c r="BR17" s="263">
        <f>SUMIFS('Expenditure Breakdown'!$U$6:$U$131, 'Expenditure Breakdown'!$T$6:$T$131, "&gt;="&amp;BR1,'Expenditure Breakdown'!$T$6:$T$131, "&lt;"&amp;BS1)</f>
        <v>0</v>
      </c>
      <c r="BS17" s="263">
        <f>SUMIFS('Expenditure Breakdown'!$U$6:$U$131, 'Expenditure Breakdown'!$T$6:$T$131, "&gt;="&amp;BS1,'Expenditure Breakdown'!$T$6:$T$131, "&lt;"&amp;BT1)</f>
        <v>0</v>
      </c>
      <c r="BT17" s="263">
        <f>SUMIFS('Expenditure Breakdown'!$U$6:$U$131, 'Expenditure Breakdown'!$T$6:$T$131, "&gt;="&amp;BT1,'Expenditure Breakdown'!$T$6:$T$131, "&lt;"&amp;BU1)</f>
        <v>0</v>
      </c>
      <c r="BU17" s="263">
        <f>SUMIFS('Expenditure Breakdown'!$U$6:$U$131, 'Expenditure Breakdown'!$T$6:$T$131, "&gt;="&amp;BU1,'Expenditure Breakdown'!$T$6:$T$131, "&lt;"&amp;BV1)</f>
        <v>0</v>
      </c>
      <c r="BV17" s="263">
        <f>SUMIFS('Expenditure Breakdown'!$U$6:$U$131, 'Expenditure Breakdown'!$T$6:$T$131, "&gt;="&amp;BV1,'Expenditure Breakdown'!$T$6:$T$131, "&lt;"&amp;BW1)</f>
        <v>0</v>
      </c>
      <c r="BW17" s="263">
        <f>SUMIFS('Expenditure Breakdown'!$U$6:$U$131, 'Expenditure Breakdown'!$T$6:$T$131, "&gt;="&amp;BW1,'Expenditure Breakdown'!$T$6:$T$131, "&lt;"&amp;BX1)</f>
        <v>0</v>
      </c>
      <c r="BX17" s="263">
        <f>SUMIFS('Expenditure Breakdown'!$U$6:$U$131, 'Expenditure Breakdown'!$T$6:$T$131, "&gt;="&amp;BX1,'Expenditure Breakdown'!$T$6:$T$131, "&lt;"&amp;BY1)</f>
        <v>0</v>
      </c>
      <c r="BY17" s="263">
        <f>SUMIFS('Expenditure Breakdown'!$U$6:$U$131, 'Expenditure Breakdown'!$T$6:$T$131, "&gt;="&amp;BY1,'Expenditure Breakdown'!$T$6:$T$131, "&lt;"&amp;BZ1)</f>
        <v>0</v>
      </c>
      <c r="BZ17" s="263">
        <f>SUMIFS('Expenditure Breakdown'!$U$6:$U$131, 'Expenditure Breakdown'!$T$6:$T$131, "&gt;="&amp;BZ1,'Expenditure Breakdown'!$T$6:$T$131, "&lt;"&amp;CA1)</f>
        <v>0</v>
      </c>
      <c r="CA17" s="263">
        <f>SUMIFS('Expenditure Breakdown'!$U$6:$U$131, 'Expenditure Breakdown'!$T$6:$T$131, "&gt;="&amp;CA1,'Expenditure Breakdown'!$T$6:$T$131, "&lt;"&amp;CB1)</f>
        <v>0</v>
      </c>
      <c r="CB17" s="263">
        <f>SUMIFS('Expenditure Breakdown'!$U$6:$U$131, 'Expenditure Breakdown'!$T$6:$T$131, "&gt;="&amp;CB1,'Expenditure Breakdown'!$T$6:$T$131, "&lt;"&amp;CD1)</f>
        <v>0</v>
      </c>
      <c r="CC17" s="263">
        <f>SUMIFS('Expenditure Breakdown'!$U$6:$U$131, 'Expenditure Breakdown'!$T$6:$T$131, "&gt;="&amp;CC1,'Expenditure Breakdown'!$T$6:$T$131, "&lt;"&amp;CE1)</f>
        <v>0</v>
      </c>
    </row>
    <row r="18" spans="1:81">
      <c r="A18" s="978"/>
      <c r="B18" s="244" t="s">
        <v>417</v>
      </c>
      <c r="C18" s="543">
        <f>D17-D18</f>
        <v>0</v>
      </c>
      <c r="D18" s="245">
        <f>MAX(F18:BE18)</f>
        <v>2506183.2470451482</v>
      </c>
      <c r="E18" s="255"/>
      <c r="F18" s="263">
        <f>F17</f>
        <v>0</v>
      </c>
      <c r="G18" s="263">
        <f>F18+G17</f>
        <v>0</v>
      </c>
      <c r="H18" s="263">
        <f>G18+H17</f>
        <v>792853.43022606324</v>
      </c>
      <c r="I18" s="263">
        <f t="shared" ref="I18:J18" si="155">H18+I17</f>
        <v>792853.43022606324</v>
      </c>
      <c r="J18" s="263">
        <f t="shared" si="155"/>
        <v>792853.43022606324</v>
      </c>
      <c r="K18" s="263">
        <f t="shared" ref="K18" si="156">J18+K17</f>
        <v>792853.43022606324</v>
      </c>
      <c r="L18" s="263">
        <f t="shared" ref="L18" si="157">K18+L17</f>
        <v>848045.34024531883</v>
      </c>
      <c r="M18" s="263">
        <f t="shared" ref="M18" si="158">L18+M17</f>
        <v>848045.34024531883</v>
      </c>
      <c r="N18" s="263">
        <f t="shared" ref="N18" si="159">M18+N17</f>
        <v>848045.34024531883</v>
      </c>
      <c r="O18" s="263">
        <f t="shared" ref="O18" si="160">N18+O17</f>
        <v>848045.34024531883</v>
      </c>
      <c r="P18" s="263">
        <f t="shared" ref="P18" si="161">O18+P17</f>
        <v>848045.34024531883</v>
      </c>
      <c r="Q18" s="263">
        <f t="shared" ref="Q18" si="162">P18+Q17</f>
        <v>1383717.2792765521</v>
      </c>
      <c r="R18" s="263">
        <f t="shared" ref="R18" si="163">Q18+R17</f>
        <v>1383717.2792765521</v>
      </c>
      <c r="S18" s="263">
        <f t="shared" ref="S18" si="164">R18+S17</f>
        <v>1383717.2792765521</v>
      </c>
      <c r="T18" s="263">
        <f t="shared" ref="T18" si="165">S18+T17</f>
        <v>1383717.2792765521</v>
      </c>
      <c r="U18" s="263">
        <f t="shared" ref="U18" si="166">T18+U17</f>
        <v>2063679.7974350192</v>
      </c>
      <c r="V18" s="263">
        <f t="shared" ref="V18" si="167">U18+V17</f>
        <v>2063679.7974350192</v>
      </c>
      <c r="W18" s="263">
        <f t="shared" ref="W18" si="168">V18+W17</f>
        <v>2063679.7974350192</v>
      </c>
      <c r="X18" s="263">
        <f t="shared" ref="X18" si="169">W18+X17</f>
        <v>2063679.7974350192</v>
      </c>
      <c r="Y18" s="263">
        <f t="shared" ref="Y18" si="170">X18+Y17</f>
        <v>2434037.0889473651</v>
      </c>
      <c r="Z18" s="263">
        <f t="shared" ref="Z18" si="171">Y18+Z17</f>
        <v>2434037.0889473651</v>
      </c>
      <c r="AA18" s="263">
        <f t="shared" ref="AA18" si="172">Z18+AA17</f>
        <v>2434037.0889473651</v>
      </c>
      <c r="AB18" s="263">
        <f t="shared" ref="AB18" si="173">AA18+AB17</f>
        <v>2434037.0889473651</v>
      </c>
      <c r="AC18" s="263">
        <f t="shared" ref="AC18" si="174">AB18+AC17</f>
        <v>2434037.0889473651</v>
      </c>
      <c r="AD18" s="263">
        <f t="shared" ref="AD18" si="175">AC18+AD17</f>
        <v>2434037.0889473651</v>
      </c>
      <c r="AE18" s="263">
        <f t="shared" ref="AE18" si="176">AD18+AE17</f>
        <v>2434037.0889473651</v>
      </c>
      <c r="AF18" s="263">
        <f t="shared" ref="AF18" si="177">AE18+AF17</f>
        <v>2434037.0889473651</v>
      </c>
      <c r="AG18" s="263">
        <f t="shared" ref="AG18" si="178">AF18+AG17</f>
        <v>2434037.0889473651</v>
      </c>
      <c r="AH18" s="263">
        <f t="shared" ref="AH18" si="179">AG18+AH17</f>
        <v>2505345.9364534272</v>
      </c>
      <c r="AI18" s="263">
        <f t="shared" ref="AI18" si="180">AH18+AI17</f>
        <v>2505345.9364534272</v>
      </c>
      <c r="AJ18" s="263">
        <f t="shared" ref="AJ18" si="181">AI18+AJ17</f>
        <v>2505345.9364534272</v>
      </c>
      <c r="AK18" s="263">
        <f t="shared" ref="AK18:BQ18" si="182">AJ18+AK17</f>
        <v>2505345.9364534272</v>
      </c>
      <c r="AL18" s="263">
        <f t="shared" si="182"/>
        <v>2506043.3970451481</v>
      </c>
      <c r="AM18" s="263">
        <f t="shared" si="182"/>
        <v>2506043.3970451481</v>
      </c>
      <c r="AN18" s="263">
        <f t="shared" si="182"/>
        <v>2506043.3970451481</v>
      </c>
      <c r="AO18" s="263">
        <f t="shared" si="182"/>
        <v>2506043.3970451481</v>
      </c>
      <c r="AP18" s="263">
        <f t="shared" si="182"/>
        <v>2506043.3970451481</v>
      </c>
      <c r="AQ18" s="263">
        <f t="shared" si="182"/>
        <v>2506043.3970451481</v>
      </c>
      <c r="AR18" s="263">
        <f t="shared" si="182"/>
        <v>2506043.3970451481</v>
      </c>
      <c r="AS18" s="263">
        <f t="shared" si="182"/>
        <v>2506043.3970451481</v>
      </c>
      <c r="AT18" s="263">
        <f t="shared" si="182"/>
        <v>2506043.3970451481</v>
      </c>
      <c r="AU18" s="263">
        <f t="shared" si="182"/>
        <v>2506043.3970451481</v>
      </c>
      <c r="AV18" s="263">
        <f t="shared" si="182"/>
        <v>2506043.3970451481</v>
      </c>
      <c r="AW18" s="263">
        <f t="shared" si="182"/>
        <v>2506043.3970451481</v>
      </c>
      <c r="AX18" s="263">
        <f t="shared" si="182"/>
        <v>2506043.3970451481</v>
      </c>
      <c r="AY18" s="263">
        <f t="shared" si="182"/>
        <v>2506183.2470451482</v>
      </c>
      <c r="AZ18" s="263">
        <f t="shared" si="182"/>
        <v>2506183.2470451482</v>
      </c>
      <c r="BA18" s="263">
        <f t="shared" si="182"/>
        <v>2506183.2470451482</v>
      </c>
      <c r="BB18" s="263">
        <f t="shared" si="182"/>
        <v>2506183.2470451482</v>
      </c>
      <c r="BC18" s="263">
        <f t="shared" si="182"/>
        <v>2506183.2470451482</v>
      </c>
      <c r="BD18" s="263">
        <f t="shared" si="182"/>
        <v>2506183.2470451482</v>
      </c>
      <c r="BE18" s="263">
        <f t="shared" si="182"/>
        <v>2506183.2470451482</v>
      </c>
      <c r="BF18" s="263">
        <f t="shared" si="182"/>
        <v>2506183.2470451482</v>
      </c>
      <c r="BG18" s="263">
        <f t="shared" si="182"/>
        <v>2506183.2470451482</v>
      </c>
      <c r="BH18" s="263">
        <f t="shared" si="182"/>
        <v>2506183.2470451482</v>
      </c>
      <c r="BI18" s="263">
        <f t="shared" si="182"/>
        <v>2506183.2470451482</v>
      </c>
      <c r="BJ18" s="263">
        <f t="shared" si="182"/>
        <v>2506183.2470451482</v>
      </c>
      <c r="BK18" s="263">
        <f t="shared" si="182"/>
        <v>2506183.2470451482</v>
      </c>
      <c r="BL18" s="263">
        <f t="shared" si="182"/>
        <v>2506183.2470451482</v>
      </c>
      <c r="BM18" s="263">
        <f t="shared" si="182"/>
        <v>2506183.2470451482</v>
      </c>
      <c r="BN18" s="263">
        <f t="shared" si="182"/>
        <v>2506183.2470451482</v>
      </c>
      <c r="BO18" s="263">
        <f t="shared" si="182"/>
        <v>2506183.2470451482</v>
      </c>
      <c r="BP18" s="263">
        <f t="shared" si="182"/>
        <v>2506183.2470451482</v>
      </c>
      <c r="BQ18" s="263">
        <f t="shared" si="182"/>
        <v>2506183.2470451482</v>
      </c>
      <c r="BR18" s="263">
        <f t="shared" ref="BR18:CC18" si="183">BQ18+BR17</f>
        <v>2506183.2470451482</v>
      </c>
      <c r="BS18" s="263">
        <f t="shared" si="183"/>
        <v>2506183.2470451482</v>
      </c>
      <c r="BT18" s="263">
        <f t="shared" si="183"/>
        <v>2506183.2470451482</v>
      </c>
      <c r="BU18" s="263">
        <f t="shared" si="183"/>
        <v>2506183.2470451482</v>
      </c>
      <c r="BV18" s="263">
        <f t="shared" si="183"/>
        <v>2506183.2470451482</v>
      </c>
      <c r="BW18" s="263">
        <f t="shared" si="183"/>
        <v>2506183.2470451482</v>
      </c>
      <c r="BX18" s="263">
        <f t="shared" si="183"/>
        <v>2506183.2470451482</v>
      </c>
      <c r="BY18" s="263">
        <f t="shared" si="183"/>
        <v>2506183.2470451482</v>
      </c>
      <c r="BZ18" s="263">
        <f t="shared" si="183"/>
        <v>2506183.2470451482</v>
      </c>
      <c r="CA18" s="263">
        <f t="shared" si="183"/>
        <v>2506183.2470451482</v>
      </c>
      <c r="CB18" s="263">
        <f t="shared" si="183"/>
        <v>2506183.2470451482</v>
      </c>
      <c r="CC18" s="263">
        <f t="shared" si="183"/>
        <v>2506183.2470451482</v>
      </c>
    </row>
    <row r="19" spans="1:81" s="240" customFormat="1"/>
    <row r="20" spans="1:81">
      <c r="B20" t="s">
        <v>418</v>
      </c>
      <c r="D20" s="625">
        <f>SUM(F20:BE20)</f>
        <v>455995.3</v>
      </c>
      <c r="E20" s="240"/>
      <c r="F20" s="650">
        <f>SUMIFS('Expenditure Breakdown'!$R$28:$R$35, 'Expenditure Breakdown'!$W$28:$W$35, "&gt;="&amp;F1,'Expenditure Breakdown'!$W$28:$W$35, "&lt;"&amp;G1)+SUMIFS('Expenditure Breakdown'!$R$50:$R$57, 'Expenditure Breakdown'!$W$50:$W$57, "&gt;="&amp;F1,'Expenditure Breakdown'!$W$50:$W$57, "&lt;"&amp;G1)+SUMIFS('Expenditure Breakdown'!$R$77:$R$84, 'Expenditure Breakdown'!$W$77:$W$84, "&gt;="&amp;F1,'Expenditure Breakdown'!$W$77:$W$84, "&lt;"&amp;G1)</f>
        <v>0</v>
      </c>
      <c r="G20" s="650">
        <f>SUMIFS('Expenditure Breakdown'!$R$28:$R$35, 'Expenditure Breakdown'!$W$28:$W$35, "&gt;="&amp;G1,'Expenditure Breakdown'!$W$28:$W$35, "&lt;"&amp;H1)+SUMIFS('Expenditure Breakdown'!$R$50:$R$57, 'Expenditure Breakdown'!$W$50:$W$57, "&gt;="&amp;G1,'Expenditure Breakdown'!$W$50:$W$57, "&lt;"&amp;H1)+SUMIFS('Expenditure Breakdown'!$R$77:$R$84, 'Expenditure Breakdown'!$W$77:$W$84, "&gt;="&amp;G1,'Expenditure Breakdown'!$W$77:$W$84, "&lt;"&amp;H1)</f>
        <v>0</v>
      </c>
      <c r="H20" s="650">
        <f>SUMIFS('Expenditure Breakdown'!$R$28:$R$35, 'Expenditure Breakdown'!$W$28:$W$35, "&gt;="&amp;H1,'Expenditure Breakdown'!$W$28:$W$35, "&lt;"&amp;I1)+SUMIFS('Expenditure Breakdown'!$R$50:$R$57, 'Expenditure Breakdown'!$W$50:$W$57, "&gt;="&amp;H1,'Expenditure Breakdown'!$W$50:$W$57, "&lt;"&amp;I1)+SUMIFS('Expenditure Breakdown'!$R$77:$R$84, 'Expenditure Breakdown'!$W$77:$W$84, "&gt;="&amp;H1,'Expenditure Breakdown'!$W$77:$W$84, "&lt;"&amp;I1)</f>
        <v>0</v>
      </c>
      <c r="I20" s="650">
        <f>SUMIFS('Expenditure Breakdown'!$R$28:$R$35, 'Expenditure Breakdown'!$W$28:$W$35, "&gt;="&amp;I1,'Expenditure Breakdown'!$W$28:$W$35, "&lt;"&amp;J1)+SUMIFS('Expenditure Breakdown'!$R$50:$R$57, 'Expenditure Breakdown'!$W$50:$W$57, "&gt;="&amp;I1,'Expenditure Breakdown'!$W$50:$W$57, "&lt;"&amp;J1)+SUMIFS('Expenditure Breakdown'!$R$77:$R$84, 'Expenditure Breakdown'!$W$77:$W$84, "&gt;="&amp;I1,'Expenditure Breakdown'!$W$77:$W$84, "&lt;"&amp;J1)</f>
        <v>0</v>
      </c>
      <c r="J20" s="650">
        <f>SUMIFS('Expenditure Breakdown'!$R$28:$R$35, 'Expenditure Breakdown'!$W$28:$W$35, "&gt;="&amp;J1,'Expenditure Breakdown'!$W$28:$W$35, "&lt;"&amp;K1)+SUMIFS('Expenditure Breakdown'!$R$50:$R$57, 'Expenditure Breakdown'!$W$50:$W$57, "&gt;="&amp;J1,'Expenditure Breakdown'!$W$50:$W$57, "&lt;"&amp;K1)+SUMIFS('Expenditure Breakdown'!$R$77:$R$84, 'Expenditure Breakdown'!$W$77:$W$84, "&gt;="&amp;J1,'Expenditure Breakdown'!$W$77:$W$84, "&lt;"&amp;K1)</f>
        <v>0</v>
      </c>
      <c r="K20" s="650">
        <f>SUMIFS('Expenditure Breakdown'!$R$28:$R$35, 'Expenditure Breakdown'!$W$28:$W$35, "&gt;="&amp;K1,'Expenditure Breakdown'!$W$28:$W$35, "&lt;"&amp;L1)+SUMIFS('Expenditure Breakdown'!$R$50:$R$57, 'Expenditure Breakdown'!$W$50:$W$57, "&gt;="&amp;K1,'Expenditure Breakdown'!$W$50:$W$57, "&lt;"&amp;L1)+SUMIFS('Expenditure Breakdown'!$R$77:$R$84, 'Expenditure Breakdown'!$W$77:$W$84, "&gt;="&amp;K1,'Expenditure Breakdown'!$W$77:$W$84, "&lt;"&amp;L1)</f>
        <v>0</v>
      </c>
      <c r="L20" s="650">
        <f>SUMIFS('Expenditure Breakdown'!$R$28:$R$35, 'Expenditure Breakdown'!$W$28:$W$35, "&gt;="&amp;L1,'Expenditure Breakdown'!$W$28:$W$35, "&lt;"&amp;M1)+SUMIFS('Expenditure Breakdown'!$R$50:$R$57, 'Expenditure Breakdown'!$W$50:$W$57, "&gt;="&amp;L1,'Expenditure Breakdown'!$W$50:$W$57, "&lt;"&amp;M1)+SUMIFS('Expenditure Breakdown'!$R$77:$R$84, 'Expenditure Breakdown'!$W$77:$W$84, "&gt;="&amp;L1,'Expenditure Breakdown'!$W$77:$W$84, "&lt;"&amp;M1)</f>
        <v>0</v>
      </c>
      <c r="M20" s="650">
        <f>SUMIFS('Expenditure Breakdown'!$R$28:$R$35, 'Expenditure Breakdown'!$W$28:$W$35, "&gt;="&amp;M1,'Expenditure Breakdown'!$W$28:$W$35, "&lt;"&amp;N1)+SUMIFS('Expenditure Breakdown'!$R$50:$R$57, 'Expenditure Breakdown'!$W$50:$W$57, "&gt;="&amp;M1,'Expenditure Breakdown'!$W$50:$W$57, "&lt;"&amp;N1)+SUMIFS('Expenditure Breakdown'!$R$77:$R$84, 'Expenditure Breakdown'!$W$77:$W$84, "&gt;="&amp;M1,'Expenditure Breakdown'!$W$77:$W$84, "&lt;"&amp;N1)</f>
        <v>0</v>
      </c>
      <c r="N20" s="650">
        <f>SUMIFS('Expenditure Breakdown'!$R$28:$R$35, 'Expenditure Breakdown'!$W$28:$W$35, "&gt;="&amp;N1,'Expenditure Breakdown'!$W$28:$W$35, "&lt;"&amp;O1)+SUMIFS('Expenditure Breakdown'!$R$50:$R$57, 'Expenditure Breakdown'!$W$50:$W$57, "&gt;="&amp;N1,'Expenditure Breakdown'!$W$50:$W$57, "&lt;"&amp;O1)+SUMIFS('Expenditure Breakdown'!$R$77:$R$84, 'Expenditure Breakdown'!$W$77:$W$84, "&gt;="&amp;N1,'Expenditure Breakdown'!$W$77:$W$84, "&lt;"&amp;O1)</f>
        <v>0</v>
      </c>
      <c r="O20" s="650">
        <f>SUMIFS('Expenditure Breakdown'!$R$28:$R$35, 'Expenditure Breakdown'!$W$28:$W$35, "&gt;="&amp;O1,'Expenditure Breakdown'!$W$28:$W$35, "&lt;"&amp;P1)+SUMIFS('Expenditure Breakdown'!$R$50:$R$57, 'Expenditure Breakdown'!$W$50:$W$57, "&gt;="&amp;O1,'Expenditure Breakdown'!$W$50:$W$57, "&lt;"&amp;P1)+SUMIFS('Expenditure Breakdown'!$R$77:$R$84, 'Expenditure Breakdown'!$W$77:$W$84, "&gt;="&amp;O1,'Expenditure Breakdown'!$W$77:$W$84, "&lt;"&amp;P1)</f>
        <v>0</v>
      </c>
      <c r="P20" s="650">
        <f>SUMIFS('Expenditure Breakdown'!$R$28:$R$35, 'Expenditure Breakdown'!$W$28:$W$35, "&gt;="&amp;P1,'Expenditure Breakdown'!$W$28:$W$35, "&lt;"&amp;Q1)+SUMIFS('Expenditure Breakdown'!$R$50:$R$57, 'Expenditure Breakdown'!$W$50:$W$57, "&gt;="&amp;P1,'Expenditure Breakdown'!$W$50:$W$57, "&lt;"&amp;Q1)+SUMIFS('Expenditure Breakdown'!$R$77:$R$84, 'Expenditure Breakdown'!$W$77:$W$84, "&gt;="&amp;P1,'Expenditure Breakdown'!$W$77:$W$84, "&lt;"&amp;Q1)</f>
        <v>45599.58</v>
      </c>
      <c r="Q20" s="650">
        <f>SUMIFS('Expenditure Breakdown'!$R$28:$R$35, 'Expenditure Breakdown'!$W$28:$W$35, "&gt;="&amp;Q1,'Expenditure Breakdown'!$W$28:$W$35, "&lt;"&amp;R1)+SUMIFS('Expenditure Breakdown'!$R$50:$R$57, 'Expenditure Breakdown'!$W$50:$W$57, "&gt;="&amp;Q1,'Expenditure Breakdown'!$W$50:$W$57, "&lt;"&amp;R1)+SUMIFS('Expenditure Breakdown'!$R$77:$R$84, 'Expenditure Breakdown'!$W$77:$W$84, "&gt;="&amp;Q1,'Expenditure Breakdown'!$W$77:$W$84, "&lt;"&amp;R1)</f>
        <v>0</v>
      </c>
      <c r="R20" s="650">
        <f>SUMIFS('Expenditure Breakdown'!$R$28:$R$35, 'Expenditure Breakdown'!$W$28:$W$35, "&gt;="&amp;R1,'Expenditure Breakdown'!$W$28:$W$35, "&lt;"&amp;S1)+SUMIFS('Expenditure Breakdown'!$R$50:$R$57, 'Expenditure Breakdown'!$W$50:$W$57, "&gt;="&amp;R1,'Expenditure Breakdown'!$W$50:$W$57, "&lt;"&amp;S1)+SUMIFS('Expenditure Breakdown'!$R$77:$R$84, 'Expenditure Breakdown'!$W$77:$W$84, "&gt;="&amp;R1,'Expenditure Breakdown'!$W$77:$W$84, "&lt;"&amp;S1)</f>
        <v>68398.87</v>
      </c>
      <c r="S20" s="650">
        <f>SUMIFS('Expenditure Breakdown'!$R$28:$R$35, 'Expenditure Breakdown'!$W$28:$W$35, "&gt;="&amp;S1,'Expenditure Breakdown'!$W$28:$W$35, "&lt;"&amp;T1)+SUMIFS('Expenditure Breakdown'!$R$50:$R$57, 'Expenditure Breakdown'!$W$50:$W$57, "&gt;="&amp;S1,'Expenditure Breakdown'!$W$50:$W$57, "&lt;"&amp;T1)+SUMIFS('Expenditure Breakdown'!$R$77:$R$84, 'Expenditure Breakdown'!$W$77:$W$84, "&gt;="&amp;S1,'Expenditure Breakdown'!$W$77:$W$84, "&lt;"&amp;T1)</f>
        <v>0</v>
      </c>
      <c r="T20" s="650">
        <f>SUMIFS('Expenditure Breakdown'!$R$28:$R$35, 'Expenditure Breakdown'!$W$28:$W$35, "&gt;="&amp;T1,'Expenditure Breakdown'!$W$28:$W$35, "&lt;"&amp;U1)+SUMIFS('Expenditure Breakdown'!$R$50:$R$57, 'Expenditure Breakdown'!$W$50:$W$57, "&gt;="&amp;T1,'Expenditure Breakdown'!$W$50:$W$57, "&lt;"&amp;U1)+SUMIFS('Expenditure Breakdown'!$R$77:$R$84, 'Expenditure Breakdown'!$W$77:$W$84, "&gt;="&amp;T1,'Expenditure Breakdown'!$W$77:$W$84, "&lt;"&amp;U1)</f>
        <v>0</v>
      </c>
      <c r="U20" s="650">
        <f>SUMIFS('Expenditure Breakdown'!$R$28:$R$35, 'Expenditure Breakdown'!$W$28:$W$35, "&gt;="&amp;U1,'Expenditure Breakdown'!$W$28:$W$35, "&lt;"&amp;V1)+SUMIFS('Expenditure Breakdown'!$R$50:$R$57, 'Expenditure Breakdown'!$W$50:$W$57, "&gt;="&amp;U1,'Expenditure Breakdown'!$W$50:$W$57, "&lt;"&amp;V1)+SUMIFS('Expenditure Breakdown'!$R$77:$R$84, 'Expenditure Breakdown'!$W$77:$W$84, "&gt;="&amp;U1,'Expenditure Breakdown'!$W$77:$W$84, "&lt;"&amp;V1)</f>
        <v>205198.11</v>
      </c>
      <c r="V20" s="650">
        <f>SUMIFS('Expenditure Breakdown'!$R$28:$R$35, 'Expenditure Breakdown'!$W$28:$W$35, "&gt;="&amp;V1,'Expenditure Breakdown'!$W$28:$W$35, "&lt;"&amp;W1)+SUMIFS('Expenditure Breakdown'!$R$50:$R$57, 'Expenditure Breakdown'!$W$50:$W$57, "&gt;="&amp;V1,'Expenditure Breakdown'!$W$50:$W$57, "&lt;"&amp;W1)+SUMIFS('Expenditure Breakdown'!$R$77:$R$84, 'Expenditure Breakdown'!$W$77:$W$84, "&gt;="&amp;V1,'Expenditure Breakdown'!$W$77:$W$84, "&lt;"&amp;W1)</f>
        <v>0</v>
      </c>
      <c r="W20" s="650">
        <f>SUMIFS('Expenditure Breakdown'!$R$28:$R$35, 'Expenditure Breakdown'!$W$28:$W$35, "&gt;="&amp;W1,'Expenditure Breakdown'!$W$28:$W$35, "&lt;"&amp;X1)+SUMIFS('Expenditure Breakdown'!$R$50:$R$57, 'Expenditure Breakdown'!$W$50:$W$57, "&gt;="&amp;W1,'Expenditure Breakdown'!$W$50:$W$57, "&lt;"&amp;X1)+SUMIFS('Expenditure Breakdown'!$R$77:$R$84, 'Expenditure Breakdown'!$W$77:$W$84, "&gt;="&amp;W1,'Expenditure Breakdown'!$W$77:$W$84, "&lt;"&amp;X1)</f>
        <v>45599.58</v>
      </c>
      <c r="X20" s="650">
        <f>SUMIFS('Expenditure Breakdown'!$R$28:$R$35, 'Expenditure Breakdown'!$W$28:$W$35, "&gt;="&amp;X1,'Expenditure Breakdown'!$W$28:$W$35, "&lt;"&amp;Y1)+SUMIFS('Expenditure Breakdown'!$R$50:$R$57, 'Expenditure Breakdown'!$W$50:$W$57, "&gt;="&amp;X1,'Expenditure Breakdown'!$W$50:$W$57, "&lt;"&amp;Y1)+SUMIFS('Expenditure Breakdown'!$R$77:$R$84, 'Expenditure Breakdown'!$W$77:$W$84, "&gt;="&amp;X1,'Expenditure Breakdown'!$W$77:$W$84, "&lt;"&amp;Y1)</f>
        <v>0</v>
      </c>
      <c r="Y20" s="650">
        <f>SUMIFS('Expenditure Breakdown'!$R$28:$R$35, 'Expenditure Breakdown'!$W$28:$W$35, "&gt;="&amp;Y1,'Expenditure Breakdown'!$W$28:$W$35, "&lt;"&amp;Z1)+SUMIFS('Expenditure Breakdown'!$R$50:$R$57, 'Expenditure Breakdown'!$W$50:$W$57, "&gt;="&amp;Y1,'Expenditure Breakdown'!$W$50:$W$57, "&lt;"&amp;Z1)+SUMIFS('Expenditure Breakdown'!$R$77:$R$84, 'Expenditure Breakdown'!$W$77:$W$84, "&gt;="&amp;Y1,'Expenditure Breakdown'!$W$77:$W$84, "&lt;"&amp;Z1)</f>
        <v>0</v>
      </c>
      <c r="Z20" s="650">
        <f>SUMIFS('Expenditure Breakdown'!$R$28:$R$35, 'Expenditure Breakdown'!$W$28:$W$35, "&gt;="&amp;Z1,'Expenditure Breakdown'!$W$28:$W$35, "&lt;"&amp;AA1)+SUMIFS('Expenditure Breakdown'!$R$50:$R$57, 'Expenditure Breakdown'!$W$50:$W$57, "&gt;="&amp;Z1,'Expenditure Breakdown'!$W$50:$W$57, "&lt;"&amp;AA1)+SUMIFS('Expenditure Breakdown'!$R$77:$R$84, 'Expenditure Breakdown'!$W$77:$W$84, "&gt;="&amp;Z1,'Expenditure Breakdown'!$W$77:$W$84, "&lt;"&amp;AA1)</f>
        <v>45599.58</v>
      </c>
      <c r="AA20" s="650">
        <f>SUMIFS('Expenditure Breakdown'!$R$28:$R$35, 'Expenditure Breakdown'!$W$28:$W$35, "&gt;="&amp;AA1,'Expenditure Breakdown'!$W$28:$W$35, "&lt;"&amp;AB1)+SUMIFS('Expenditure Breakdown'!$R$50:$R$57, 'Expenditure Breakdown'!$W$50:$W$57, "&gt;="&amp;AA1,'Expenditure Breakdown'!$W$50:$W$57, "&lt;"&amp;AB1)+SUMIFS('Expenditure Breakdown'!$R$77:$R$84, 'Expenditure Breakdown'!$W$77:$W$84, "&gt;="&amp;AA1,'Expenditure Breakdown'!$W$77:$W$84, "&lt;"&amp;AB1)</f>
        <v>0</v>
      </c>
      <c r="AB20" s="650">
        <f>SUMIFS('Expenditure Breakdown'!$R$28:$R$35, 'Expenditure Breakdown'!$W$28:$W$35, "&gt;="&amp;AB1,'Expenditure Breakdown'!$W$28:$W$35, "&lt;"&amp;AC1)+SUMIFS('Expenditure Breakdown'!$R$50:$R$57, 'Expenditure Breakdown'!$W$50:$W$57, "&gt;="&amp;AB1,'Expenditure Breakdown'!$W$50:$W$57, "&lt;"&amp;AC1)+SUMIFS('Expenditure Breakdown'!$R$77:$R$84, 'Expenditure Breakdown'!$W$77:$W$84, "&gt;="&amp;AB1,'Expenditure Breakdown'!$W$77:$W$84, "&lt;"&amp;AC1)</f>
        <v>0</v>
      </c>
      <c r="AC20" s="650">
        <f>SUMIFS('Expenditure Breakdown'!$R$28:$R$35, 'Expenditure Breakdown'!$W$28:$W$35, "&gt;="&amp;AC1,'Expenditure Breakdown'!$W$28:$W$35, "&lt;"&amp;AD1)+SUMIFS('Expenditure Breakdown'!$R$50:$R$57, 'Expenditure Breakdown'!$W$50:$W$57, "&gt;="&amp;AC1,'Expenditure Breakdown'!$W$50:$W$57, "&lt;"&amp;AD1)+SUMIFS('Expenditure Breakdown'!$R$77:$R$84, 'Expenditure Breakdown'!$W$77:$W$84, "&gt;="&amp;AC1,'Expenditure Breakdown'!$W$77:$W$84, "&lt;"&amp;AD1)</f>
        <v>0</v>
      </c>
      <c r="AD20" s="650">
        <f>SUMIFS('Expenditure Breakdown'!$R$28:$R$35, 'Expenditure Breakdown'!$W$28:$W$35, "&gt;="&amp;AD1,'Expenditure Breakdown'!$W$28:$W$35, "&lt;"&amp;AE1)+SUMIFS('Expenditure Breakdown'!$R$50:$R$57, 'Expenditure Breakdown'!$W$50:$W$57, "&gt;="&amp;AD1,'Expenditure Breakdown'!$W$50:$W$57, "&lt;"&amp;AE1)+SUMIFS('Expenditure Breakdown'!$R$77:$R$84, 'Expenditure Breakdown'!$W$77:$W$84, "&gt;="&amp;AD1,'Expenditure Breakdown'!$W$77:$W$84, "&lt;"&amp;AE1)</f>
        <v>0</v>
      </c>
      <c r="AE20" s="650">
        <f>SUMIFS('Expenditure Breakdown'!$R$28:$R$35, 'Expenditure Breakdown'!$W$28:$W$35, "&gt;="&amp;AE1,'Expenditure Breakdown'!$W$28:$W$35, "&lt;"&amp;AF1)+SUMIFS('Expenditure Breakdown'!$R$50:$R$57, 'Expenditure Breakdown'!$W$50:$W$57, "&gt;="&amp;AE1,'Expenditure Breakdown'!$W$50:$W$57, "&lt;"&amp;AF1)+SUMIFS('Expenditure Breakdown'!$R$77:$R$84, 'Expenditure Breakdown'!$W$77:$W$84, "&gt;="&amp;AE1,'Expenditure Breakdown'!$W$77:$W$84, "&lt;"&amp;AF1)</f>
        <v>0</v>
      </c>
      <c r="AF20" s="650">
        <f>SUMIFS('Expenditure Breakdown'!$R$28:$R$35, 'Expenditure Breakdown'!$W$28:$W$35, "&gt;="&amp;AF1,'Expenditure Breakdown'!$W$28:$W$35, "&lt;"&amp;AG1)+SUMIFS('Expenditure Breakdown'!$R$50:$R$57, 'Expenditure Breakdown'!$W$50:$W$57, "&gt;="&amp;AF1,'Expenditure Breakdown'!$W$50:$W$57, "&lt;"&amp;AG1)+SUMIFS('Expenditure Breakdown'!$R$77:$R$84, 'Expenditure Breakdown'!$W$77:$W$84, "&gt;="&amp;AF1,'Expenditure Breakdown'!$W$77:$W$84, "&lt;"&amp;AG1)</f>
        <v>0</v>
      </c>
      <c r="AG20" s="650">
        <f>SUMIFS('Expenditure Breakdown'!$R$28:$R$35, 'Expenditure Breakdown'!$W$28:$W$35, "&gt;="&amp;AG1,'Expenditure Breakdown'!$W$28:$W$35, "&lt;"&amp;AH1)+SUMIFS('Expenditure Breakdown'!$R$50:$R$57, 'Expenditure Breakdown'!$W$50:$W$57, "&gt;="&amp;AG1,'Expenditure Breakdown'!$W$50:$W$57, "&lt;"&amp;AH1)+SUMIFS('Expenditure Breakdown'!$R$77:$R$84, 'Expenditure Breakdown'!$W$77:$W$84, "&gt;="&amp;AG1,'Expenditure Breakdown'!$W$77:$W$84, "&lt;"&amp;AH1)</f>
        <v>0</v>
      </c>
      <c r="AH20" s="650">
        <f>SUMIFS('Expenditure Breakdown'!$R$28:$R$35, 'Expenditure Breakdown'!$W$28:$W$35, "&gt;="&amp;AH1,'Expenditure Breakdown'!$W$28:$W$35, "&lt;"&amp;AI1)+SUMIFS('Expenditure Breakdown'!$R$50:$R$57, 'Expenditure Breakdown'!$W$50:$W$57, "&gt;="&amp;AH1,'Expenditure Breakdown'!$W$50:$W$57, "&lt;"&amp;AI1)+SUMIFS('Expenditure Breakdown'!$R$77:$R$84, 'Expenditure Breakdown'!$W$77:$W$84, "&gt;="&amp;AH1,'Expenditure Breakdown'!$W$77:$W$84, "&lt;"&amp;AI1)</f>
        <v>0</v>
      </c>
      <c r="AI20" s="650">
        <f>SUMIFS('Expenditure Breakdown'!$R$28:$R$35, 'Expenditure Breakdown'!$W$28:$W$35, "&gt;="&amp;AI1,'Expenditure Breakdown'!$W$28:$W$35, "&lt;"&amp;AJ1)+SUMIFS('Expenditure Breakdown'!$R$50:$R$57, 'Expenditure Breakdown'!$W$50:$W$57, "&gt;="&amp;AI1,'Expenditure Breakdown'!$W$50:$W$57, "&lt;"&amp;AJ1)+SUMIFS('Expenditure Breakdown'!$R$77:$R$84, 'Expenditure Breakdown'!$W$77:$W$84, "&gt;="&amp;AI1,'Expenditure Breakdown'!$W$77:$W$84, "&lt;"&amp;AJ1)</f>
        <v>0</v>
      </c>
      <c r="AJ20" s="650">
        <f>SUMIFS('Expenditure Breakdown'!$R$28:$R$35, 'Expenditure Breakdown'!$W$28:$W$35, "&gt;="&amp;AJ1,'Expenditure Breakdown'!$W$28:$W$35, "&lt;"&amp;AK1)+SUMIFS('Expenditure Breakdown'!$R$50:$R$57, 'Expenditure Breakdown'!$W$50:$W$57, "&gt;="&amp;AJ1,'Expenditure Breakdown'!$W$50:$W$57, "&lt;"&amp;AK1)+SUMIFS('Expenditure Breakdown'!$R$77:$R$84, 'Expenditure Breakdown'!$W$77:$W$84, "&gt;="&amp;AJ1,'Expenditure Breakdown'!$W$77:$W$84, "&lt;"&amp;AK1)</f>
        <v>22799.79</v>
      </c>
      <c r="AK20" s="650">
        <f>SUMIFS('Expenditure Breakdown'!$R$28:$R$35, 'Expenditure Breakdown'!$W$28:$W$35, "&gt;="&amp;AK1,'Expenditure Breakdown'!$W$28:$W$35, "&lt;"&amp;AL1)+SUMIFS('Expenditure Breakdown'!$R$50:$R$57, 'Expenditure Breakdown'!$W$50:$W$57, "&gt;="&amp;AK1,'Expenditure Breakdown'!$W$50:$W$57, "&lt;"&amp;AL1)+SUMIFS('Expenditure Breakdown'!$R$77:$R$84, 'Expenditure Breakdown'!$W$77:$W$84, "&gt;="&amp;AK1,'Expenditure Breakdown'!$W$77:$W$84, "&lt;"&amp;AL1)</f>
        <v>0</v>
      </c>
      <c r="AL20" s="650">
        <f>SUMIFS('Expenditure Breakdown'!$R$28:$R$35, 'Expenditure Breakdown'!$W$28:$W$35, "&gt;="&amp;AL1,'Expenditure Breakdown'!$W$28:$W$35, "&lt;"&amp;AM1)+SUMIFS('Expenditure Breakdown'!$R$50:$R$57, 'Expenditure Breakdown'!$W$50:$W$57, "&gt;="&amp;AL1,'Expenditure Breakdown'!$W$50:$W$57, "&lt;"&amp;AM1)+SUMIFS('Expenditure Breakdown'!$R$77:$R$84, 'Expenditure Breakdown'!$W$77:$W$84, "&gt;="&amp;AL1,'Expenditure Breakdown'!$W$77:$W$84, "&lt;"&amp;AM1)</f>
        <v>0</v>
      </c>
      <c r="AM20" s="650">
        <f>SUMIFS('Expenditure Breakdown'!$R$28:$R$35, 'Expenditure Breakdown'!$W$28:$W$35, "&gt;="&amp;AM1,'Expenditure Breakdown'!$W$28:$W$35, "&lt;"&amp;AN1)+SUMIFS('Expenditure Breakdown'!$R$50:$R$57, 'Expenditure Breakdown'!$W$50:$W$57, "&gt;="&amp;AM1,'Expenditure Breakdown'!$W$50:$W$57, "&lt;"&amp;AN1)+SUMIFS('Expenditure Breakdown'!$R$77:$R$84, 'Expenditure Breakdown'!$W$77:$W$84, "&gt;="&amp;AM1,'Expenditure Breakdown'!$W$77:$W$84, "&lt;"&amp;AN1)</f>
        <v>22799.79</v>
      </c>
      <c r="AN20" s="650">
        <f>SUMIFS('Expenditure Breakdown'!$R$28:$R$35, 'Expenditure Breakdown'!$W$28:$W$35, "&gt;="&amp;AN1,'Expenditure Breakdown'!$W$28:$W$35, "&lt;"&amp;AO1)+SUMIFS('Expenditure Breakdown'!$R$50:$R$57, 'Expenditure Breakdown'!$W$50:$W$57, "&gt;="&amp;AN1,'Expenditure Breakdown'!$W$50:$W$57, "&lt;"&amp;AO1)+SUMIFS('Expenditure Breakdown'!$R$77:$R$84, 'Expenditure Breakdown'!$W$77:$W$84, "&gt;="&amp;AN1,'Expenditure Breakdown'!$W$77:$W$84, "&lt;"&amp;AO1)</f>
        <v>0</v>
      </c>
      <c r="AO20" s="650">
        <f>SUMIFS('Expenditure Breakdown'!$R$28:$R$35, 'Expenditure Breakdown'!$W$28:$W$35, "&gt;="&amp;AO1,'Expenditure Breakdown'!$W$28:$W$35, "&lt;"&amp;AP1)+SUMIFS('Expenditure Breakdown'!$R$50:$R$57, 'Expenditure Breakdown'!$W$50:$W$57, "&gt;="&amp;AO1,'Expenditure Breakdown'!$W$50:$W$57, "&lt;"&amp;AP1)+SUMIFS('Expenditure Breakdown'!$R$77:$R$84, 'Expenditure Breakdown'!$W$77:$W$84, "&gt;="&amp;AO1,'Expenditure Breakdown'!$W$77:$W$84, "&lt;"&amp;AP1)</f>
        <v>0</v>
      </c>
      <c r="AP20" s="650">
        <f>SUMIFS('Expenditure Breakdown'!$R$28:$R$35, 'Expenditure Breakdown'!$W$28:$W$35, "&gt;="&amp;AP1,'Expenditure Breakdown'!$W$28:$W$35, "&lt;"&amp;AQ1)+SUMIFS('Expenditure Breakdown'!$R$50:$R$57, 'Expenditure Breakdown'!$W$50:$W$57, "&gt;="&amp;AP1,'Expenditure Breakdown'!$W$50:$W$57, "&lt;"&amp;AQ1)+SUMIFS('Expenditure Breakdown'!$R$77:$R$84, 'Expenditure Breakdown'!$W$77:$W$84, "&gt;="&amp;AP1,'Expenditure Breakdown'!$W$77:$W$84, "&lt;"&amp;AQ1)</f>
        <v>0</v>
      </c>
      <c r="AQ20" s="650">
        <f>SUMIFS('Expenditure Breakdown'!$R$28:$R$35, 'Expenditure Breakdown'!$W$28:$W$35, "&gt;="&amp;AQ1,'Expenditure Breakdown'!$W$28:$W$35, "&lt;"&amp;AR1)+SUMIFS('Expenditure Breakdown'!$R$50:$R$57, 'Expenditure Breakdown'!$W$50:$W$57, "&gt;="&amp;AQ1,'Expenditure Breakdown'!$W$50:$W$57, "&lt;"&amp;AR1)+SUMIFS('Expenditure Breakdown'!$R$77:$R$84, 'Expenditure Breakdown'!$W$77:$W$84, "&gt;="&amp;AQ1,'Expenditure Breakdown'!$W$77:$W$84, "&lt;"&amp;AR1)</f>
        <v>0</v>
      </c>
      <c r="AR20" s="650">
        <f>SUMIFS('Expenditure Breakdown'!$R$28:$R$35, 'Expenditure Breakdown'!$W$28:$W$35, "&gt;="&amp;AR1,'Expenditure Breakdown'!$W$28:$W$35, "&lt;"&amp;AS1)+SUMIFS('Expenditure Breakdown'!$R$50:$R$57, 'Expenditure Breakdown'!$W$50:$W$57, "&gt;="&amp;AR1,'Expenditure Breakdown'!$W$50:$W$57, "&lt;"&amp;AS1)+SUMIFS('Expenditure Breakdown'!$R$77:$R$84, 'Expenditure Breakdown'!$W$77:$W$84, "&gt;="&amp;AR1,'Expenditure Breakdown'!$W$77:$W$84, "&lt;"&amp;AS1)</f>
        <v>0</v>
      </c>
      <c r="AS20" s="650">
        <f>SUMIFS('Expenditure Breakdown'!$R$28:$R$35, 'Expenditure Breakdown'!$W$28:$W$35, "&gt;="&amp;AS1,'Expenditure Breakdown'!$W$28:$W$35, "&lt;"&amp;AT1)+SUMIFS('Expenditure Breakdown'!$R$50:$R$57, 'Expenditure Breakdown'!$W$50:$W$57, "&gt;="&amp;AS1,'Expenditure Breakdown'!$W$50:$W$57, "&lt;"&amp;AT1)+SUMIFS('Expenditure Breakdown'!$R$77:$R$84, 'Expenditure Breakdown'!$W$77:$W$84, "&gt;="&amp;AS1,'Expenditure Breakdown'!$W$77:$W$84, "&lt;"&amp;AT1)</f>
        <v>0</v>
      </c>
      <c r="AT20" s="650">
        <f>SUMIFS('Expenditure Breakdown'!$R$28:$R$35, 'Expenditure Breakdown'!$W$28:$W$35, "&gt;="&amp;AT1,'Expenditure Breakdown'!$W$28:$W$35, "&lt;"&amp;AU1)+SUMIFS('Expenditure Breakdown'!$R$50:$R$57, 'Expenditure Breakdown'!$W$50:$W$57, "&gt;="&amp;AT1,'Expenditure Breakdown'!$W$50:$W$57, "&lt;"&amp;AU1)+SUMIFS('Expenditure Breakdown'!$R$77:$R$84, 'Expenditure Breakdown'!$W$77:$W$84, "&gt;="&amp;AT1,'Expenditure Breakdown'!$W$77:$W$84, "&lt;"&amp;AU1)</f>
        <v>0</v>
      </c>
      <c r="AU20" s="650">
        <f>SUMIFS('Expenditure Breakdown'!$R$28:$R$35, 'Expenditure Breakdown'!$W$28:$W$35, "&gt;="&amp;AU1,'Expenditure Breakdown'!$W$28:$W$35, "&lt;"&amp;AV1)+SUMIFS('Expenditure Breakdown'!$R$50:$R$57, 'Expenditure Breakdown'!$W$50:$W$57, "&gt;="&amp;AU1,'Expenditure Breakdown'!$W$50:$W$57, "&lt;"&amp;AV1)+SUMIFS('Expenditure Breakdown'!$R$77:$R$84, 'Expenditure Breakdown'!$W$77:$W$84, "&gt;="&amp;AU1,'Expenditure Breakdown'!$W$77:$W$84, "&lt;"&amp;AV1)</f>
        <v>0</v>
      </c>
      <c r="AV20" s="650">
        <f>SUMIFS('Expenditure Breakdown'!$R$28:$R$35, 'Expenditure Breakdown'!$W$28:$W$35, "&gt;="&amp;AV1,'Expenditure Breakdown'!$W$28:$W$35, "&lt;"&amp;AW1)+SUMIFS('Expenditure Breakdown'!$R$50:$R$57, 'Expenditure Breakdown'!$W$50:$W$57, "&gt;="&amp;AV1,'Expenditure Breakdown'!$W$50:$W$57, "&lt;"&amp;AW1)+SUMIFS('Expenditure Breakdown'!$R$77:$R$84, 'Expenditure Breakdown'!$W$77:$W$84, "&gt;="&amp;AV1,'Expenditure Breakdown'!$W$77:$W$84, "&lt;"&amp;AW1)</f>
        <v>0</v>
      </c>
      <c r="AW20" s="650">
        <f>SUMIFS('Expenditure Breakdown'!$R$28:$R$35, 'Expenditure Breakdown'!$W$28:$W$35, "&gt;="&amp;AW1,'Expenditure Breakdown'!$W$28:$W$35, "&lt;"&amp;AX1)+SUMIFS('Expenditure Breakdown'!$R$50:$R$57, 'Expenditure Breakdown'!$W$50:$W$57, "&gt;="&amp;AW1,'Expenditure Breakdown'!$W$50:$W$57, "&lt;"&amp;AX1)+SUMIFS('Expenditure Breakdown'!$R$77:$R$84, 'Expenditure Breakdown'!$W$77:$W$84, "&gt;="&amp;AW1,'Expenditure Breakdown'!$W$77:$W$84, "&lt;"&amp;AX1)</f>
        <v>0</v>
      </c>
      <c r="AX20" s="650">
        <f>SUMIFS('Expenditure Breakdown'!$R$28:$R$35, 'Expenditure Breakdown'!$W$28:$W$35, "&gt;="&amp;AX1,'Expenditure Breakdown'!$W$28:$W$35, "&lt;"&amp;AY1)+SUMIFS('Expenditure Breakdown'!$R$50:$R$57, 'Expenditure Breakdown'!$W$50:$W$57, "&gt;="&amp;AX1,'Expenditure Breakdown'!$W$50:$W$57, "&lt;"&amp;AY1)+SUMIFS('Expenditure Breakdown'!$R$77:$R$84, 'Expenditure Breakdown'!$W$77:$W$84, "&gt;="&amp;AX1,'Expenditure Breakdown'!$W$77:$W$84, "&lt;"&amp;AY1)</f>
        <v>0</v>
      </c>
      <c r="AY20" s="650">
        <f>SUMIFS('Expenditure Breakdown'!$R$28:$R$35, 'Expenditure Breakdown'!$W$28:$W$35, "&gt;="&amp;AY1,'Expenditure Breakdown'!$W$28:$W$35, "&lt;"&amp;AZ1)+SUMIFS('Expenditure Breakdown'!$R$50:$R$57, 'Expenditure Breakdown'!$W$50:$W$57, "&gt;="&amp;AY1,'Expenditure Breakdown'!$W$50:$W$57, "&lt;"&amp;AZ1)+SUMIFS('Expenditure Breakdown'!$R$77:$R$84, 'Expenditure Breakdown'!$W$77:$W$84, "&gt;="&amp;AY1,'Expenditure Breakdown'!$W$77:$W$84, "&lt;"&amp;AZ1)</f>
        <v>0</v>
      </c>
      <c r="AZ20" s="650">
        <f>SUMIFS('Expenditure Breakdown'!$R$28:$R$35, 'Expenditure Breakdown'!$W$28:$W$35, "&gt;="&amp;AZ1,'Expenditure Breakdown'!$W$28:$W$35, "&lt;"&amp;BA1)+SUMIFS('Expenditure Breakdown'!$R$50:$R$57, 'Expenditure Breakdown'!$W$50:$W$57, "&gt;="&amp;AZ1,'Expenditure Breakdown'!$W$50:$W$57, "&lt;"&amp;BA1)+SUMIFS('Expenditure Breakdown'!$R$77:$R$84, 'Expenditure Breakdown'!$W$77:$W$84, "&gt;="&amp;AZ1,'Expenditure Breakdown'!$W$77:$W$84, "&lt;"&amp;BA1)</f>
        <v>0</v>
      </c>
      <c r="BA20" s="650">
        <f>SUMIFS('Expenditure Breakdown'!$R$28:$R$35, 'Expenditure Breakdown'!$W$28:$W$35, "&gt;="&amp;BA1,'Expenditure Breakdown'!$W$28:$W$35, "&lt;"&amp;BB1)+SUMIFS('Expenditure Breakdown'!$R$50:$R$57, 'Expenditure Breakdown'!$W$50:$W$57, "&gt;="&amp;BA1,'Expenditure Breakdown'!$W$50:$W$57, "&lt;"&amp;BB1)+SUMIFS('Expenditure Breakdown'!$R$77:$R$84, 'Expenditure Breakdown'!$W$77:$W$84, "&gt;="&amp;BA1,'Expenditure Breakdown'!$W$77:$W$84, "&lt;"&amp;BB1)</f>
        <v>0</v>
      </c>
      <c r="BB20" s="650">
        <f>SUMIFS('Expenditure Breakdown'!$R$28:$R$35, 'Expenditure Breakdown'!$W$28:$W$35, "&gt;="&amp;BB1,'Expenditure Breakdown'!$W$28:$W$35, "&lt;"&amp;BC1)+SUMIFS('Expenditure Breakdown'!$R$50:$R$57, 'Expenditure Breakdown'!$W$50:$W$57, "&gt;="&amp;BB1,'Expenditure Breakdown'!$W$50:$W$57, "&lt;"&amp;BC1)+SUMIFS('Expenditure Breakdown'!$R$77:$R$84, 'Expenditure Breakdown'!$W$77:$W$84, "&gt;="&amp;BB1,'Expenditure Breakdown'!$W$77:$W$84, "&lt;"&amp;BC1)</f>
        <v>0</v>
      </c>
      <c r="BC20" s="650">
        <f>SUMIFS('Expenditure Breakdown'!$R$28:$R$35, 'Expenditure Breakdown'!$W$28:$W$35, "&gt;="&amp;BC1,'Expenditure Breakdown'!$W$28:$W$35, "&lt;"&amp;BD1)+SUMIFS('Expenditure Breakdown'!$R$50:$R$57, 'Expenditure Breakdown'!$W$50:$W$57, "&gt;="&amp;BC1,'Expenditure Breakdown'!$W$50:$W$57, "&lt;"&amp;BD1)+SUMIFS('Expenditure Breakdown'!$R$77:$R$84, 'Expenditure Breakdown'!$W$77:$W$84, "&gt;="&amp;BC1,'Expenditure Breakdown'!$W$77:$W$84, "&lt;"&amp;BD1)</f>
        <v>0</v>
      </c>
      <c r="BD20" s="650">
        <f>SUMIFS('Expenditure Breakdown'!$R$28:$R$35, 'Expenditure Breakdown'!$W$28:$W$35, "&gt;="&amp;BD1,'Expenditure Breakdown'!$W$28:$W$35, "&lt;"&amp;BE1)+SUMIFS('Expenditure Breakdown'!$R$50:$R$57, 'Expenditure Breakdown'!$W$50:$W$57, "&gt;="&amp;BD1,'Expenditure Breakdown'!$W$50:$W$57, "&lt;"&amp;BE1)+SUMIFS('Expenditure Breakdown'!$R$77:$R$84, 'Expenditure Breakdown'!$W$77:$W$84, "&gt;="&amp;BD1,'Expenditure Breakdown'!$W$77:$W$84, "&lt;"&amp;BE1)</f>
        <v>0</v>
      </c>
      <c r="BE20" s="650">
        <f>SUMIFS('Expenditure Breakdown'!$R$28:$R$35, 'Expenditure Breakdown'!$W$28:$W$35, "&gt;="&amp;BE1,'Expenditure Breakdown'!$W$28:$W$35, "&lt;"&amp;BF1)+SUMIFS('Expenditure Breakdown'!$R$50:$R$57, 'Expenditure Breakdown'!$W$50:$W$57, "&gt;="&amp;BE1,'Expenditure Breakdown'!$W$50:$W$57, "&lt;"&amp;BF1)+SUMIFS('Expenditure Breakdown'!$R$77:$R$84, 'Expenditure Breakdown'!$W$77:$W$84, "&gt;="&amp;BE1,'Expenditure Breakdown'!$W$77:$W$84, "&lt;"&amp;BF1)</f>
        <v>0</v>
      </c>
      <c r="BF20" s="650">
        <f>SUMIFS('Expenditure Breakdown'!$R$28:$R$35, 'Expenditure Breakdown'!$W$28:$W$35, "&gt;="&amp;BF1,'Expenditure Breakdown'!$W$28:$W$35, "&lt;"&amp;BG1)+SUMIFS('Expenditure Breakdown'!$R$50:$R$57, 'Expenditure Breakdown'!$W$50:$W$57, "&gt;="&amp;BF1,'Expenditure Breakdown'!$W$50:$W$57, "&lt;"&amp;BG1)+SUMIFS('Expenditure Breakdown'!$R$77:$R$84, 'Expenditure Breakdown'!$W$77:$W$84, "&gt;="&amp;BF1,'Expenditure Breakdown'!$W$77:$W$84, "&lt;"&amp;BG1)</f>
        <v>0</v>
      </c>
      <c r="BG20" s="650">
        <f>SUMIFS('Expenditure Breakdown'!$R$28:$R$35, 'Expenditure Breakdown'!$W$28:$W$35, "&gt;="&amp;BG1,'Expenditure Breakdown'!$W$28:$W$35, "&lt;"&amp;BH1)+SUMIFS('Expenditure Breakdown'!$R$50:$R$57, 'Expenditure Breakdown'!$W$50:$W$57, "&gt;="&amp;BG1,'Expenditure Breakdown'!$W$50:$W$57, "&lt;"&amp;BH1)+SUMIFS('Expenditure Breakdown'!$R$77:$R$84, 'Expenditure Breakdown'!$W$77:$W$84, "&gt;="&amp;BG1,'Expenditure Breakdown'!$W$77:$W$84, "&lt;"&amp;BH1)</f>
        <v>0</v>
      </c>
      <c r="BH20" s="650">
        <f>SUMIFS('Expenditure Breakdown'!$R$28:$R$35, 'Expenditure Breakdown'!$W$28:$W$35, "&gt;="&amp;BH1,'Expenditure Breakdown'!$W$28:$W$35, "&lt;"&amp;BI1)+SUMIFS('Expenditure Breakdown'!$R$50:$R$57, 'Expenditure Breakdown'!$W$50:$W$57, "&gt;="&amp;BH1,'Expenditure Breakdown'!$W$50:$W$57, "&lt;"&amp;BI1)+SUMIFS('Expenditure Breakdown'!$R$77:$R$84, 'Expenditure Breakdown'!$W$77:$W$84, "&gt;="&amp;BH1,'Expenditure Breakdown'!$W$77:$W$84, "&lt;"&amp;BI1)</f>
        <v>0</v>
      </c>
      <c r="BI20" s="650">
        <f>SUMIFS('Expenditure Breakdown'!$R$28:$R$35, 'Expenditure Breakdown'!$W$28:$W$35, "&gt;="&amp;BI1,'Expenditure Breakdown'!$W$28:$W$35, "&lt;"&amp;BJ1)+SUMIFS('Expenditure Breakdown'!$R$50:$R$57, 'Expenditure Breakdown'!$W$50:$W$57, "&gt;="&amp;BI1,'Expenditure Breakdown'!$W$50:$W$57, "&lt;"&amp;BJ1)+SUMIFS('Expenditure Breakdown'!$R$77:$R$84, 'Expenditure Breakdown'!$W$77:$W$84, "&gt;="&amp;BI1,'Expenditure Breakdown'!$W$77:$W$84, "&lt;"&amp;BJ1)</f>
        <v>0</v>
      </c>
      <c r="BJ20" s="650">
        <f>SUMIFS('Expenditure Breakdown'!$R$28:$R$35, 'Expenditure Breakdown'!$W$28:$W$35, "&gt;="&amp;BJ1,'Expenditure Breakdown'!$W$28:$W$35, "&lt;"&amp;BK1)+SUMIFS('Expenditure Breakdown'!$R$50:$R$57, 'Expenditure Breakdown'!$W$50:$W$57, "&gt;="&amp;BJ1,'Expenditure Breakdown'!$W$50:$W$57, "&lt;"&amp;BK1)+SUMIFS('Expenditure Breakdown'!$R$77:$R$84, 'Expenditure Breakdown'!$W$77:$W$84, "&gt;="&amp;BJ1,'Expenditure Breakdown'!$W$77:$W$84, "&lt;"&amp;BK1)</f>
        <v>0</v>
      </c>
      <c r="BK20" s="650">
        <f>SUMIFS('Expenditure Breakdown'!$R$28:$R$35, 'Expenditure Breakdown'!$W$28:$W$35, "&gt;="&amp;BK1,'Expenditure Breakdown'!$W$28:$W$35, "&lt;"&amp;BL1)+SUMIFS('Expenditure Breakdown'!$R$50:$R$57, 'Expenditure Breakdown'!$W$50:$W$57, "&gt;="&amp;BK1,'Expenditure Breakdown'!$W$50:$W$57, "&lt;"&amp;BL1)+SUMIFS('Expenditure Breakdown'!$R$77:$R$84, 'Expenditure Breakdown'!$W$77:$W$84, "&gt;="&amp;BK1,'Expenditure Breakdown'!$W$77:$W$84, "&lt;"&amp;BL1)</f>
        <v>0</v>
      </c>
      <c r="BL20" s="650">
        <f>SUMIFS('Expenditure Breakdown'!$R$28:$R$35, 'Expenditure Breakdown'!$W$28:$W$35, "&gt;="&amp;BL1,'Expenditure Breakdown'!$W$28:$W$35, "&lt;"&amp;BM1)+SUMIFS('Expenditure Breakdown'!$R$50:$R$57, 'Expenditure Breakdown'!$W$50:$W$57, "&gt;="&amp;BL1,'Expenditure Breakdown'!$W$50:$W$57, "&lt;"&amp;BM1)+SUMIFS('Expenditure Breakdown'!$R$77:$R$84, 'Expenditure Breakdown'!$W$77:$W$84, "&gt;="&amp;BL1,'Expenditure Breakdown'!$W$77:$W$84, "&lt;"&amp;BM1)</f>
        <v>0</v>
      </c>
      <c r="BM20" s="650">
        <f>SUMIFS('Expenditure Breakdown'!$R$28:$R$35, 'Expenditure Breakdown'!$W$28:$W$35, "&gt;="&amp;BM1,'Expenditure Breakdown'!$W$28:$W$35, "&lt;"&amp;BN1)+SUMIFS('Expenditure Breakdown'!$R$50:$R$57, 'Expenditure Breakdown'!$W$50:$W$57, "&gt;="&amp;BM1,'Expenditure Breakdown'!$W$50:$W$57, "&lt;"&amp;BN1)+SUMIFS('Expenditure Breakdown'!$R$77:$R$84, 'Expenditure Breakdown'!$W$77:$W$84, "&gt;="&amp;BM1,'Expenditure Breakdown'!$W$77:$W$84, "&lt;"&amp;BN1)</f>
        <v>0</v>
      </c>
      <c r="BN20" s="650">
        <f>SUMIFS('Expenditure Breakdown'!$R$28:$R$35, 'Expenditure Breakdown'!$W$28:$W$35, "&gt;="&amp;BN1,'Expenditure Breakdown'!$W$28:$W$35, "&lt;"&amp;BO1)+SUMIFS('Expenditure Breakdown'!$R$50:$R$57, 'Expenditure Breakdown'!$W$50:$W$57, "&gt;="&amp;BN1,'Expenditure Breakdown'!$W$50:$W$57, "&lt;"&amp;BO1)+SUMIFS('Expenditure Breakdown'!$R$77:$R$84, 'Expenditure Breakdown'!$W$77:$W$84, "&gt;="&amp;BN1,'Expenditure Breakdown'!$W$77:$W$84, "&lt;"&amp;BO1)</f>
        <v>0</v>
      </c>
      <c r="BO20" s="650">
        <f>SUMIFS('Expenditure Breakdown'!$R$28:$R$35, 'Expenditure Breakdown'!$W$28:$W$35, "&gt;="&amp;BO1,'Expenditure Breakdown'!$W$28:$W$35, "&lt;"&amp;BP1)+SUMIFS('Expenditure Breakdown'!$R$50:$R$57, 'Expenditure Breakdown'!$W$50:$W$57, "&gt;="&amp;BO1,'Expenditure Breakdown'!$W$50:$W$57, "&lt;"&amp;BP1)+SUMIFS('Expenditure Breakdown'!$R$77:$R$84, 'Expenditure Breakdown'!$W$77:$W$84, "&gt;="&amp;BO1,'Expenditure Breakdown'!$W$77:$W$84, "&lt;"&amp;BP1)</f>
        <v>0</v>
      </c>
      <c r="BP20" s="650">
        <f>SUMIFS('Expenditure Breakdown'!$R$28:$R$35, 'Expenditure Breakdown'!$W$28:$W$35, "&gt;="&amp;BP1,'Expenditure Breakdown'!$W$28:$W$35, "&lt;"&amp;BQ1)+SUMIFS('Expenditure Breakdown'!$R$50:$R$57, 'Expenditure Breakdown'!$W$50:$W$57, "&gt;="&amp;BP1,'Expenditure Breakdown'!$W$50:$W$57, "&lt;"&amp;BQ1)+SUMIFS('Expenditure Breakdown'!$R$77:$R$84, 'Expenditure Breakdown'!$W$77:$W$84, "&gt;="&amp;BP1,'Expenditure Breakdown'!$W$77:$W$84, "&lt;"&amp;BQ1)</f>
        <v>0</v>
      </c>
      <c r="BQ20" s="650">
        <f>SUMIFS('Expenditure Breakdown'!$R$28:$R$35, 'Expenditure Breakdown'!$W$28:$W$35, "&gt;="&amp;BQ1,'Expenditure Breakdown'!$W$28:$W$35, "&lt;"&amp;BR1)+SUMIFS('Expenditure Breakdown'!$R$50:$R$57, 'Expenditure Breakdown'!$W$50:$W$57, "&gt;="&amp;BQ1,'Expenditure Breakdown'!$W$50:$W$57, "&lt;"&amp;BR1)+SUMIFS('Expenditure Breakdown'!$R$77:$R$84, 'Expenditure Breakdown'!$W$77:$W$84, "&gt;="&amp;BQ1,'Expenditure Breakdown'!$W$77:$W$84, "&lt;"&amp;BR1)</f>
        <v>0</v>
      </c>
      <c r="BR20" s="650">
        <f>SUMIFS('Expenditure Breakdown'!$R$28:$R$35, 'Expenditure Breakdown'!$W$28:$W$35, "&gt;="&amp;BR1,'Expenditure Breakdown'!$W$28:$W$35, "&lt;"&amp;BS1)+SUMIFS('Expenditure Breakdown'!$R$50:$R$57, 'Expenditure Breakdown'!$W$50:$W$57, "&gt;="&amp;BR1,'Expenditure Breakdown'!$W$50:$W$57, "&lt;"&amp;BS1)+SUMIFS('Expenditure Breakdown'!$R$77:$R$84, 'Expenditure Breakdown'!$W$77:$W$84, "&gt;="&amp;BR1,'Expenditure Breakdown'!$W$77:$W$84, "&lt;"&amp;BS1)</f>
        <v>0</v>
      </c>
      <c r="BS20" s="650">
        <f>SUMIFS('Expenditure Breakdown'!$R$28:$R$35, 'Expenditure Breakdown'!$W$28:$W$35, "&gt;="&amp;BS1,'Expenditure Breakdown'!$W$28:$W$35, "&lt;"&amp;BT1)+SUMIFS('Expenditure Breakdown'!$R$50:$R$57, 'Expenditure Breakdown'!$W$50:$W$57, "&gt;="&amp;BS1,'Expenditure Breakdown'!$W$50:$W$57, "&lt;"&amp;BT1)+SUMIFS('Expenditure Breakdown'!$R$77:$R$84, 'Expenditure Breakdown'!$W$77:$W$84, "&gt;="&amp;BS1,'Expenditure Breakdown'!$W$77:$W$84, "&lt;"&amp;BT1)</f>
        <v>0</v>
      </c>
      <c r="BT20" s="650">
        <f>SUMIFS('Expenditure Breakdown'!$R$28:$R$35, 'Expenditure Breakdown'!$W$28:$W$35, "&gt;="&amp;BT1,'Expenditure Breakdown'!$W$28:$W$35, "&lt;"&amp;BU1)+SUMIFS('Expenditure Breakdown'!$R$50:$R$57, 'Expenditure Breakdown'!$W$50:$W$57, "&gt;="&amp;BT1,'Expenditure Breakdown'!$W$50:$W$57, "&lt;"&amp;BU1)+SUMIFS('Expenditure Breakdown'!$R$77:$R$84, 'Expenditure Breakdown'!$W$77:$W$84, "&gt;="&amp;BT1,'Expenditure Breakdown'!$W$77:$W$84, "&lt;"&amp;BU1)</f>
        <v>0</v>
      </c>
      <c r="BU20" s="650">
        <f>SUMIFS('Expenditure Breakdown'!$R$28:$R$35, 'Expenditure Breakdown'!$W$28:$W$35, "&gt;="&amp;BU1,'Expenditure Breakdown'!$W$28:$W$35, "&lt;"&amp;BV1)+SUMIFS('Expenditure Breakdown'!$R$50:$R$57, 'Expenditure Breakdown'!$W$50:$W$57, "&gt;="&amp;BU1,'Expenditure Breakdown'!$W$50:$W$57, "&lt;"&amp;BV1)+SUMIFS('Expenditure Breakdown'!$R$77:$R$84, 'Expenditure Breakdown'!$W$77:$W$84, "&gt;="&amp;BU1,'Expenditure Breakdown'!$W$77:$W$84, "&lt;"&amp;BV1)</f>
        <v>0</v>
      </c>
      <c r="BV20" s="650">
        <f>SUMIFS('Expenditure Breakdown'!$R$28:$R$35, 'Expenditure Breakdown'!$W$28:$W$35, "&gt;="&amp;BV1,'Expenditure Breakdown'!$W$28:$W$35, "&lt;"&amp;BW1)+SUMIFS('Expenditure Breakdown'!$R$50:$R$57, 'Expenditure Breakdown'!$W$50:$W$57, "&gt;="&amp;BV1,'Expenditure Breakdown'!$W$50:$W$57, "&lt;"&amp;BW1)+SUMIFS('Expenditure Breakdown'!$R$77:$R$84, 'Expenditure Breakdown'!$W$77:$W$84, "&gt;="&amp;BV1,'Expenditure Breakdown'!$W$77:$W$84, "&lt;"&amp;BW1)</f>
        <v>0</v>
      </c>
      <c r="BW20" s="650">
        <f>SUMIFS('Expenditure Breakdown'!$R$28:$R$35, 'Expenditure Breakdown'!$W$28:$W$35, "&gt;="&amp;BW1,'Expenditure Breakdown'!$W$28:$W$35, "&lt;"&amp;BX1)+SUMIFS('Expenditure Breakdown'!$R$50:$R$57, 'Expenditure Breakdown'!$W$50:$W$57, "&gt;="&amp;BW1,'Expenditure Breakdown'!$W$50:$W$57, "&lt;"&amp;BX1)+SUMIFS('Expenditure Breakdown'!$R$77:$R$84, 'Expenditure Breakdown'!$W$77:$W$84, "&gt;="&amp;BW1,'Expenditure Breakdown'!$W$77:$W$84, "&lt;"&amp;BX1)</f>
        <v>0</v>
      </c>
      <c r="BX20" s="650">
        <f>SUMIFS('Expenditure Breakdown'!$R$28:$R$35, 'Expenditure Breakdown'!$W$28:$W$35, "&gt;="&amp;BX1,'Expenditure Breakdown'!$W$28:$W$35, "&lt;"&amp;BY1)+SUMIFS('Expenditure Breakdown'!$R$50:$R$57, 'Expenditure Breakdown'!$W$50:$W$57, "&gt;="&amp;BX1,'Expenditure Breakdown'!$W$50:$W$57, "&lt;"&amp;BY1)+SUMIFS('Expenditure Breakdown'!$R$77:$R$84, 'Expenditure Breakdown'!$W$77:$W$84, "&gt;="&amp;BX1,'Expenditure Breakdown'!$W$77:$W$84, "&lt;"&amp;BY1)</f>
        <v>0</v>
      </c>
      <c r="BY20" s="650">
        <f>SUMIFS('Expenditure Breakdown'!$R$28:$R$35, 'Expenditure Breakdown'!$W$28:$W$35, "&gt;="&amp;BY1,'Expenditure Breakdown'!$W$28:$W$35, "&lt;"&amp;BZ1)+SUMIFS('Expenditure Breakdown'!$R$50:$R$57, 'Expenditure Breakdown'!$W$50:$W$57, "&gt;="&amp;BY1,'Expenditure Breakdown'!$W$50:$W$57, "&lt;"&amp;BZ1)+SUMIFS('Expenditure Breakdown'!$R$77:$R$84, 'Expenditure Breakdown'!$W$77:$W$84, "&gt;="&amp;BY1,'Expenditure Breakdown'!$W$77:$W$84, "&lt;"&amp;BZ1)</f>
        <v>0</v>
      </c>
      <c r="BZ20" s="650">
        <f>SUMIFS('Expenditure Breakdown'!$R$28:$R$35, 'Expenditure Breakdown'!$W$28:$W$35, "&gt;="&amp;BZ1,'Expenditure Breakdown'!$W$28:$W$35, "&lt;"&amp;CA1)+SUMIFS('Expenditure Breakdown'!$R$50:$R$57, 'Expenditure Breakdown'!$W$50:$W$57, "&gt;="&amp;BZ1,'Expenditure Breakdown'!$W$50:$W$57, "&lt;"&amp;CA1)+SUMIFS('Expenditure Breakdown'!$R$77:$R$84, 'Expenditure Breakdown'!$W$77:$W$84, "&gt;="&amp;BZ1,'Expenditure Breakdown'!$W$77:$W$84, "&lt;"&amp;CA1)</f>
        <v>0</v>
      </c>
      <c r="CA20" s="650">
        <f>SUMIFS('Expenditure Breakdown'!$R$28:$R$35, 'Expenditure Breakdown'!$W$28:$W$35, "&gt;="&amp;CA1,'Expenditure Breakdown'!$W$28:$W$35, "&lt;"&amp;CB1)+SUMIFS('Expenditure Breakdown'!$R$50:$R$57, 'Expenditure Breakdown'!$W$50:$W$57, "&gt;="&amp;CA1,'Expenditure Breakdown'!$W$50:$W$57, "&lt;"&amp;CB1)+SUMIFS('Expenditure Breakdown'!$R$77:$R$84, 'Expenditure Breakdown'!$W$77:$W$84, "&gt;="&amp;CA1,'Expenditure Breakdown'!$W$77:$W$84, "&lt;"&amp;CB1)</f>
        <v>0</v>
      </c>
      <c r="CB20" s="650">
        <f>SUMIFS('Expenditure Breakdown'!$R$28:$R$35, 'Expenditure Breakdown'!$W$28:$W$35, "&gt;="&amp;CB1,'Expenditure Breakdown'!$W$28:$W$35, "&lt;"&amp;CD1)+SUMIFS('Expenditure Breakdown'!$R$50:$R$57, 'Expenditure Breakdown'!$W$50:$W$57, "&gt;="&amp;CB1,'Expenditure Breakdown'!$W$50:$W$57, "&lt;"&amp;CD1)+SUMIFS('Expenditure Breakdown'!$R$77:$R$84, 'Expenditure Breakdown'!$W$77:$W$84, "&gt;="&amp;CB1,'Expenditure Breakdown'!$W$77:$W$84, "&lt;"&amp;CD1)</f>
        <v>0</v>
      </c>
      <c r="CC20" s="650">
        <f>SUMIFS('Expenditure Breakdown'!$R$28:$R$35, 'Expenditure Breakdown'!$W$28:$W$35, "&gt;="&amp;CC1,'Expenditure Breakdown'!$W$28:$W$35, "&lt;"&amp;CE1)+SUMIFS('Expenditure Breakdown'!$R$50:$R$57, 'Expenditure Breakdown'!$W$50:$W$57, "&gt;="&amp;CC1,'Expenditure Breakdown'!$W$50:$W$57, "&lt;"&amp;CE1)+SUMIFS('Expenditure Breakdown'!$R$77:$R$84, 'Expenditure Breakdown'!$W$77:$W$84, "&gt;="&amp;CC1,'Expenditure Breakdown'!$W$77:$W$84, "&lt;"&amp;CE1)</f>
        <v>0</v>
      </c>
    </row>
    <row r="21" spans="1:81">
      <c r="B21" t="s">
        <v>419</v>
      </c>
      <c r="E21" s="240"/>
      <c r="F21" s="650">
        <f>F20</f>
        <v>0</v>
      </c>
      <c r="G21" s="650">
        <f>G20+F21</f>
        <v>0</v>
      </c>
      <c r="H21" s="650">
        <f>H20+G21</f>
        <v>0</v>
      </c>
      <c r="I21" s="650">
        <f t="shared" ref="I21:J21" si="184">I20+H21</f>
        <v>0</v>
      </c>
      <c r="J21" s="650">
        <f t="shared" si="184"/>
        <v>0</v>
      </c>
      <c r="K21" s="650">
        <f t="shared" ref="K21" si="185">K20+J21</f>
        <v>0</v>
      </c>
      <c r="L21" s="650">
        <f t="shared" ref="L21" si="186">L20+K21</f>
        <v>0</v>
      </c>
      <c r="M21" s="650">
        <f t="shared" ref="M21" si="187">M20+L21</f>
        <v>0</v>
      </c>
      <c r="N21" s="650">
        <f t="shared" ref="N21" si="188">N20+M21</f>
        <v>0</v>
      </c>
      <c r="O21" s="650">
        <f t="shared" ref="O21" si="189">O20+N21</f>
        <v>0</v>
      </c>
      <c r="P21" s="650">
        <f t="shared" ref="P21" si="190">P20+O21</f>
        <v>45599.58</v>
      </c>
      <c r="Q21" s="650">
        <f t="shared" ref="Q21" si="191">Q20+P21</f>
        <v>45599.58</v>
      </c>
      <c r="R21" s="650">
        <f t="shared" ref="R21" si="192">R20+Q21</f>
        <v>113998.45</v>
      </c>
      <c r="S21" s="650">
        <f t="shared" ref="S21" si="193">S20+R21</f>
        <v>113998.45</v>
      </c>
      <c r="T21" s="650">
        <f t="shared" ref="T21" si="194">T20+S21</f>
        <v>113998.45</v>
      </c>
      <c r="U21" s="650">
        <f t="shared" ref="U21" si="195">U20+T21</f>
        <v>319196.56</v>
      </c>
      <c r="V21" s="650">
        <f t="shared" ref="V21" si="196">V20+U21</f>
        <v>319196.56</v>
      </c>
      <c r="W21" s="650">
        <f t="shared" ref="W21" si="197">W20+V21</f>
        <v>364796.14</v>
      </c>
      <c r="X21" s="650">
        <f t="shared" ref="X21" si="198">X20+W21</f>
        <v>364796.14</v>
      </c>
      <c r="Y21" s="650">
        <f t="shared" ref="Y21" si="199">Y20+X21</f>
        <v>364796.14</v>
      </c>
      <c r="Z21" s="650">
        <f t="shared" ref="Z21" si="200">Z20+Y21</f>
        <v>410395.72000000003</v>
      </c>
      <c r="AA21" s="650">
        <f t="shared" ref="AA21" si="201">AA20+Z21</f>
        <v>410395.72000000003</v>
      </c>
      <c r="AB21" s="650">
        <f t="shared" ref="AB21" si="202">AB20+AA21</f>
        <v>410395.72000000003</v>
      </c>
      <c r="AC21" s="650">
        <f t="shared" ref="AC21" si="203">AC20+AB21</f>
        <v>410395.72000000003</v>
      </c>
      <c r="AD21" s="650">
        <f t="shared" ref="AD21" si="204">AD20+AC21</f>
        <v>410395.72000000003</v>
      </c>
      <c r="AE21" s="650">
        <f t="shared" ref="AE21" si="205">AE20+AD21</f>
        <v>410395.72000000003</v>
      </c>
      <c r="AF21" s="650">
        <f t="shared" ref="AF21" si="206">AF20+AE21</f>
        <v>410395.72000000003</v>
      </c>
      <c r="AG21" s="650">
        <f t="shared" ref="AG21" si="207">AG20+AF21</f>
        <v>410395.72000000003</v>
      </c>
      <c r="AH21" s="650">
        <f t="shared" ref="AH21" si="208">AH20+AG21</f>
        <v>410395.72000000003</v>
      </c>
      <c r="AI21" s="650">
        <f t="shared" ref="AI21" si="209">AI20+AH21</f>
        <v>410395.72000000003</v>
      </c>
      <c r="AJ21" s="650">
        <f t="shared" ref="AJ21" si="210">AJ20+AI21</f>
        <v>433195.51</v>
      </c>
      <c r="AK21" s="650">
        <f t="shared" ref="AK21:BQ21" si="211">AK20+AJ21</f>
        <v>433195.51</v>
      </c>
      <c r="AL21" s="650">
        <f t="shared" si="211"/>
        <v>433195.51</v>
      </c>
      <c r="AM21" s="650">
        <f t="shared" si="211"/>
        <v>455995.3</v>
      </c>
      <c r="AN21" s="650">
        <f t="shared" si="211"/>
        <v>455995.3</v>
      </c>
      <c r="AO21" s="650">
        <f t="shared" si="211"/>
        <v>455995.3</v>
      </c>
      <c r="AP21" s="650">
        <f t="shared" si="211"/>
        <v>455995.3</v>
      </c>
      <c r="AQ21" s="650">
        <f t="shared" si="211"/>
        <v>455995.3</v>
      </c>
      <c r="AR21" s="650">
        <f t="shared" si="211"/>
        <v>455995.3</v>
      </c>
      <c r="AS21" s="650">
        <f t="shared" si="211"/>
        <v>455995.3</v>
      </c>
      <c r="AT21" s="650">
        <f t="shared" si="211"/>
        <v>455995.3</v>
      </c>
      <c r="AU21" s="650">
        <f t="shared" si="211"/>
        <v>455995.3</v>
      </c>
      <c r="AV21" s="650">
        <f t="shared" si="211"/>
        <v>455995.3</v>
      </c>
      <c r="AW21" s="650">
        <f t="shared" si="211"/>
        <v>455995.3</v>
      </c>
      <c r="AX21" s="650">
        <f t="shared" si="211"/>
        <v>455995.3</v>
      </c>
      <c r="AY21" s="650">
        <f t="shared" si="211"/>
        <v>455995.3</v>
      </c>
      <c r="AZ21" s="650">
        <f t="shared" si="211"/>
        <v>455995.3</v>
      </c>
      <c r="BA21" s="650">
        <f t="shared" si="211"/>
        <v>455995.3</v>
      </c>
      <c r="BB21" s="650">
        <f t="shared" si="211"/>
        <v>455995.3</v>
      </c>
      <c r="BC21" s="650">
        <f t="shared" si="211"/>
        <v>455995.3</v>
      </c>
      <c r="BD21" s="650">
        <f t="shared" si="211"/>
        <v>455995.3</v>
      </c>
      <c r="BE21" s="650">
        <f t="shared" si="211"/>
        <v>455995.3</v>
      </c>
      <c r="BF21" s="650">
        <f t="shared" si="211"/>
        <v>455995.3</v>
      </c>
      <c r="BG21" s="650">
        <f t="shared" si="211"/>
        <v>455995.3</v>
      </c>
      <c r="BH21" s="650">
        <f t="shared" si="211"/>
        <v>455995.3</v>
      </c>
      <c r="BI21" s="650">
        <f t="shared" si="211"/>
        <v>455995.3</v>
      </c>
      <c r="BJ21" s="650">
        <f t="shared" si="211"/>
        <v>455995.3</v>
      </c>
      <c r="BK21" s="650">
        <f t="shared" si="211"/>
        <v>455995.3</v>
      </c>
      <c r="BL21" s="650">
        <f t="shared" si="211"/>
        <v>455995.3</v>
      </c>
      <c r="BM21" s="650">
        <f t="shared" si="211"/>
        <v>455995.3</v>
      </c>
      <c r="BN21" s="650">
        <f t="shared" si="211"/>
        <v>455995.3</v>
      </c>
      <c r="BO21" s="650">
        <f t="shared" si="211"/>
        <v>455995.3</v>
      </c>
      <c r="BP21" s="650">
        <f t="shared" si="211"/>
        <v>455995.3</v>
      </c>
      <c r="BQ21" s="650">
        <f t="shared" si="211"/>
        <v>455995.3</v>
      </c>
      <c r="BR21" s="650">
        <f t="shared" ref="BR21:CC21" si="212">BR20+BQ21</f>
        <v>455995.3</v>
      </c>
      <c r="BS21" s="650">
        <f t="shared" si="212"/>
        <v>455995.3</v>
      </c>
      <c r="BT21" s="650">
        <f t="shared" si="212"/>
        <v>455995.3</v>
      </c>
      <c r="BU21" s="650">
        <f t="shared" si="212"/>
        <v>455995.3</v>
      </c>
      <c r="BV21" s="650">
        <f t="shared" si="212"/>
        <v>455995.3</v>
      </c>
      <c r="BW21" s="650">
        <f t="shared" si="212"/>
        <v>455995.3</v>
      </c>
      <c r="BX21" s="650">
        <f t="shared" si="212"/>
        <v>455995.3</v>
      </c>
      <c r="BY21" s="650">
        <f t="shared" si="212"/>
        <v>455995.3</v>
      </c>
      <c r="BZ21" s="650">
        <f t="shared" si="212"/>
        <v>455995.3</v>
      </c>
      <c r="CA21" s="650">
        <f t="shared" si="212"/>
        <v>455995.3</v>
      </c>
      <c r="CB21" s="650">
        <f t="shared" si="212"/>
        <v>455995.3</v>
      </c>
      <c r="CC21" s="650">
        <f t="shared" si="212"/>
        <v>455995.3</v>
      </c>
    </row>
    <row r="22" spans="1:81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H7" zoomScale="130" zoomScaleNormal="130" workbookViewId="0">
      <selection activeCell="Q28" sqref="Q28"/>
    </sheetView>
  </sheetViews>
  <sheetFormatPr defaultColWidth="12.5703125" defaultRowHeight="14.45"/>
  <cols>
    <col min="1" max="1" width="39.42578125" style="505" bestFit="1" customWidth="1"/>
    <col min="2" max="2" width="17.28515625" style="506" bestFit="1" customWidth="1"/>
    <col min="3" max="3" width="7.42578125" style="505" bestFit="1" customWidth="1"/>
    <col min="4" max="4" width="13" style="505" bestFit="1" customWidth="1"/>
    <col min="5" max="5" width="12" style="505" bestFit="1" customWidth="1"/>
    <col min="6" max="8" width="13.28515625" style="505" bestFit="1" customWidth="1"/>
    <col min="9" max="9" width="11.7109375" style="505" bestFit="1" customWidth="1"/>
    <col min="10" max="10" width="12" style="505" bestFit="1" customWidth="1"/>
    <col min="11" max="15" width="10.5703125" style="505" bestFit="1" customWidth="1"/>
    <col min="16" max="16" width="14.85546875" style="505" bestFit="1" customWidth="1"/>
    <col min="17" max="17" width="12.5703125" style="505" bestFit="1" customWidth="1"/>
    <col min="18" max="18" width="11" style="505" bestFit="1" customWidth="1"/>
    <col min="19" max="19" width="13.85546875" style="505" bestFit="1" customWidth="1"/>
    <col min="20" max="16384" width="12.5703125" style="505"/>
  </cols>
  <sheetData>
    <row r="1" spans="1:20">
      <c r="A1" s="531" t="s">
        <v>235</v>
      </c>
      <c r="B1" t="s">
        <v>420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1" t="s">
        <v>421</v>
      </c>
      <c r="B3" s="531" t="s">
        <v>422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1" t="s">
        <v>423</v>
      </c>
      <c r="B4"/>
      <c r="C4" t="s">
        <v>424</v>
      </c>
      <c r="D4" s="636">
        <v>45504</v>
      </c>
      <c r="E4" s="636">
        <v>45535</v>
      </c>
      <c r="F4" s="636">
        <v>45565</v>
      </c>
      <c r="G4" s="636">
        <v>45596</v>
      </c>
      <c r="H4" s="636">
        <v>45626</v>
      </c>
      <c r="I4" s="636">
        <v>45657</v>
      </c>
      <c r="J4" s="636">
        <v>45688</v>
      </c>
      <c r="K4" s="636">
        <v>45716</v>
      </c>
      <c r="L4" s="636">
        <v>45808</v>
      </c>
      <c r="M4" s="636">
        <v>45777</v>
      </c>
      <c r="N4" s="636">
        <v>45869</v>
      </c>
      <c r="O4" s="636">
        <v>45900</v>
      </c>
      <c r="P4" t="s">
        <v>425</v>
      </c>
      <c r="Q4"/>
      <c r="R4"/>
      <c r="S4"/>
      <c r="T4"/>
    </row>
    <row r="5" spans="1:20">
      <c r="A5" s="532" t="s">
        <v>424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/>
      <c r="R5"/>
      <c r="S5"/>
      <c r="T5"/>
    </row>
    <row r="6" spans="1:20">
      <c r="A6" s="532" t="s">
        <v>343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/>
      <c r="R6"/>
      <c r="S6"/>
      <c r="T6"/>
    </row>
    <row r="7" spans="1:20">
      <c r="A7" s="532" t="s">
        <v>378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/>
      <c r="R7"/>
      <c r="S7"/>
      <c r="T7"/>
    </row>
    <row r="8" spans="1:20">
      <c r="A8" s="532" t="s">
        <v>242</v>
      </c>
      <c r="B8" s="533"/>
      <c r="C8" s="533"/>
      <c r="D8" s="533">
        <v>792853.43022606324</v>
      </c>
      <c r="E8" s="533"/>
      <c r="F8" s="533"/>
      <c r="G8" s="533">
        <v>14183.254119263376</v>
      </c>
      <c r="H8" s="533">
        <v>35614.21</v>
      </c>
      <c r="I8" s="533"/>
      <c r="J8" s="533"/>
      <c r="K8" s="533"/>
      <c r="L8" s="533"/>
      <c r="M8" s="533"/>
      <c r="N8" s="533"/>
      <c r="O8" s="533"/>
      <c r="P8" s="533">
        <v>842650.89434532658</v>
      </c>
      <c r="Q8" s="533">
        <f t="shared" ref="Q8:Q20" si="0">SUM(F8:O8)</f>
        <v>49797.464119263372</v>
      </c>
      <c r="R8"/>
      <c r="S8"/>
      <c r="T8"/>
    </row>
    <row r="9" spans="1:20">
      <c r="A9" s="532" t="s">
        <v>263</v>
      </c>
      <c r="B9" s="533">
        <v>0</v>
      </c>
      <c r="C9" s="533"/>
      <c r="D9" s="533"/>
      <c r="E9" s="533"/>
      <c r="F9" s="533">
        <v>192434.14629999996</v>
      </c>
      <c r="G9" s="533"/>
      <c r="H9" s="533"/>
      <c r="I9" s="533"/>
      <c r="J9" s="533"/>
      <c r="K9" s="533"/>
      <c r="L9" s="533"/>
      <c r="M9" s="533"/>
      <c r="N9" s="533"/>
      <c r="O9" s="533"/>
      <c r="P9" s="533">
        <v>192434.14629999996</v>
      </c>
      <c r="Q9" s="533">
        <f t="shared" si="0"/>
        <v>192434.14629999996</v>
      </c>
      <c r="R9"/>
      <c r="S9"/>
      <c r="T9"/>
    </row>
    <row r="10" spans="1:20">
      <c r="A10" s="532" t="s">
        <v>270</v>
      </c>
      <c r="B10" s="533"/>
      <c r="C10" s="533"/>
      <c r="D10" s="533"/>
      <c r="E10" s="533"/>
      <c r="F10" s="533">
        <v>120898.84810971897</v>
      </c>
      <c r="G10" s="533">
        <v>886.51779028103726</v>
      </c>
      <c r="H10" s="533">
        <v>0</v>
      </c>
      <c r="I10" s="533">
        <v>0</v>
      </c>
      <c r="J10" s="533"/>
      <c r="K10" s="533"/>
      <c r="L10" s="533"/>
      <c r="M10" s="533"/>
      <c r="N10" s="533"/>
      <c r="O10" s="533"/>
      <c r="P10" s="533">
        <v>121785.3659</v>
      </c>
      <c r="Q10" s="533">
        <f t="shared" si="0"/>
        <v>121785.3659</v>
      </c>
      <c r="R10"/>
      <c r="S10"/>
      <c r="T10"/>
    </row>
    <row r="11" spans="1:20">
      <c r="A11" s="532" t="s">
        <v>288</v>
      </c>
      <c r="B11" s="533"/>
      <c r="C11" s="533">
        <v>0</v>
      </c>
      <c r="D11" s="533"/>
      <c r="E11" s="533"/>
      <c r="F11" s="533">
        <v>40053.716777941176</v>
      </c>
      <c r="G11" s="533">
        <v>233027.60141088231</v>
      </c>
      <c r="H11" s="533"/>
      <c r="I11" s="533"/>
      <c r="J11" s="533">
        <v>16021.486711176471</v>
      </c>
      <c r="K11" s="533"/>
      <c r="L11" s="533"/>
      <c r="M11" s="533"/>
      <c r="N11" s="533"/>
      <c r="O11" s="533"/>
      <c r="P11" s="533">
        <v>289102.80489999993</v>
      </c>
      <c r="Q11" s="533">
        <f t="shared" si="0"/>
        <v>289102.80489999993</v>
      </c>
      <c r="R11"/>
      <c r="S11"/>
      <c r="T11"/>
    </row>
    <row r="12" spans="1:20">
      <c r="A12" s="532" t="s">
        <v>320</v>
      </c>
      <c r="B12" s="533">
        <v>0</v>
      </c>
      <c r="C12" s="533"/>
      <c r="D12" s="533"/>
      <c r="E12" s="533">
        <v>42729.564722864452</v>
      </c>
      <c r="F12" s="533"/>
      <c r="G12" s="533">
        <v>5229.2951437038028</v>
      </c>
      <c r="H12" s="533">
        <v>11797.236875105962</v>
      </c>
      <c r="I12" s="533"/>
      <c r="J12" s="533"/>
      <c r="K12" s="533"/>
      <c r="L12" s="533"/>
      <c r="M12" s="533"/>
      <c r="N12" s="533"/>
      <c r="O12" s="533"/>
      <c r="P12" s="533">
        <v>59756.096741674213</v>
      </c>
      <c r="Q12" s="533">
        <f t="shared" si="0"/>
        <v>17026.532018809765</v>
      </c>
      <c r="R12"/>
      <c r="S12"/>
      <c r="T12"/>
    </row>
    <row r="13" spans="1:20">
      <c r="A13" s="532" t="s">
        <v>333</v>
      </c>
      <c r="B13" s="533">
        <v>0</v>
      </c>
      <c r="C13" s="533">
        <v>0</v>
      </c>
      <c r="D13" s="533"/>
      <c r="E13" s="533"/>
      <c r="F13" s="533">
        <v>110036.40243274302</v>
      </c>
      <c r="G13" s="533">
        <v>235436.00973809688</v>
      </c>
      <c r="H13" s="533"/>
      <c r="I13" s="533"/>
      <c r="J13" s="533">
        <v>25643.61548820528</v>
      </c>
      <c r="K13" s="533"/>
      <c r="L13" s="533">
        <v>139.85</v>
      </c>
      <c r="M13" s="533"/>
      <c r="N13" s="533"/>
      <c r="O13" s="533"/>
      <c r="P13" s="533">
        <v>371255.87765904516</v>
      </c>
      <c r="Q13" s="533">
        <f t="shared" si="0"/>
        <v>371255.87765904516</v>
      </c>
      <c r="R13"/>
      <c r="S13"/>
      <c r="T13"/>
    </row>
    <row r="14" spans="1:20">
      <c r="A14" s="532" t="s">
        <v>345</v>
      </c>
      <c r="B14" s="533"/>
      <c r="C14" s="533"/>
      <c r="D14" s="533"/>
      <c r="E14" s="533"/>
      <c r="F14" s="533"/>
      <c r="G14" s="533">
        <v>0</v>
      </c>
      <c r="H14" s="533">
        <v>43965.120000000003</v>
      </c>
      <c r="I14" s="533"/>
      <c r="J14" s="533"/>
      <c r="K14" s="533"/>
      <c r="L14" s="533"/>
      <c r="M14" s="533"/>
      <c r="N14" s="533"/>
      <c r="O14" s="533"/>
      <c r="P14" s="533">
        <v>43965.120000000003</v>
      </c>
      <c r="Q14" s="533">
        <f t="shared" si="0"/>
        <v>43965.120000000003</v>
      </c>
      <c r="R14" s="533"/>
      <c r="S14"/>
      <c r="T14"/>
    </row>
    <row r="15" spans="1:20">
      <c r="A15" s="532" t="s">
        <v>364</v>
      </c>
      <c r="B15" s="533"/>
      <c r="C15" s="533"/>
      <c r="D15" s="533"/>
      <c r="E15" s="533"/>
      <c r="F15" s="533">
        <v>61191.176464999997</v>
      </c>
      <c r="G15" s="533">
        <v>159097.05880900001</v>
      </c>
      <c r="H15" s="533"/>
      <c r="I15" s="533"/>
      <c r="J15" s="533">
        <v>24476.470585999999</v>
      </c>
      <c r="K15" s="533"/>
      <c r="L15" s="533"/>
      <c r="M15" s="533"/>
      <c r="N15" s="533"/>
      <c r="O15" s="533"/>
      <c r="P15" s="533">
        <v>244764.70586000002</v>
      </c>
      <c r="Q15" s="533">
        <f t="shared" si="0"/>
        <v>244764.70586000002</v>
      </c>
      <c r="R15"/>
      <c r="S15"/>
      <c r="T15"/>
    </row>
    <row r="16" spans="1:20">
      <c r="A16" s="532" t="s">
        <v>367</v>
      </c>
      <c r="B16" s="533">
        <v>0</v>
      </c>
      <c r="C16" s="533">
        <v>0</v>
      </c>
      <c r="D16" s="533"/>
      <c r="E16" s="533"/>
      <c r="F16" s="533">
        <v>9902.8896483886947</v>
      </c>
      <c r="G16" s="533">
        <v>30709.668233000004</v>
      </c>
      <c r="H16" s="533"/>
      <c r="I16" s="533"/>
      <c r="J16" s="533">
        <v>4512.5058820000004</v>
      </c>
      <c r="K16" s="533"/>
      <c r="L16" s="533"/>
      <c r="M16" s="533"/>
      <c r="N16" s="533"/>
      <c r="O16" s="533"/>
      <c r="P16" s="533">
        <v>45125.063763388694</v>
      </c>
      <c r="Q16" s="533">
        <f t="shared" si="0"/>
        <v>45125.063763388694</v>
      </c>
      <c r="R16"/>
      <c r="S16"/>
      <c r="T16"/>
    </row>
    <row r="17" spans="1:20">
      <c r="A17" s="532" t="s">
        <v>371</v>
      </c>
      <c r="B17" s="533">
        <v>0</v>
      </c>
      <c r="C17" s="533"/>
      <c r="D17" s="533"/>
      <c r="E17" s="533">
        <v>11462.155675412685</v>
      </c>
      <c r="F17" s="533"/>
      <c r="G17" s="533"/>
      <c r="H17" s="533">
        <v>93243.728137239988</v>
      </c>
      <c r="I17" s="533"/>
      <c r="J17" s="533"/>
      <c r="K17" s="533"/>
      <c r="L17" s="533"/>
      <c r="M17" s="533"/>
      <c r="N17" s="533"/>
      <c r="O17" s="533"/>
      <c r="P17" s="533">
        <v>104705.88381265267</v>
      </c>
      <c r="Q17" s="533">
        <f t="shared" si="0"/>
        <v>93243.728137239988</v>
      </c>
      <c r="R17"/>
      <c r="S17"/>
      <c r="T17"/>
    </row>
    <row r="18" spans="1:20">
      <c r="A18" s="532" t="s">
        <v>384</v>
      </c>
      <c r="B18" s="533"/>
      <c r="C18" s="533"/>
      <c r="D18" s="533"/>
      <c r="E18" s="533"/>
      <c r="F18" s="533"/>
      <c r="G18" s="533"/>
      <c r="H18" s="533">
        <v>185736.99650000001</v>
      </c>
      <c r="I18" s="533"/>
      <c r="J18" s="533"/>
      <c r="K18" s="533"/>
      <c r="L18" s="533"/>
      <c r="M18" s="533"/>
      <c r="N18" s="533"/>
      <c r="O18" s="533"/>
      <c r="P18" s="533">
        <v>185736.99650000001</v>
      </c>
      <c r="Q18" s="533">
        <f t="shared" si="0"/>
        <v>185736.99650000001</v>
      </c>
      <c r="R18"/>
      <c r="S18"/>
      <c r="T18"/>
    </row>
    <row r="19" spans="1:20">
      <c r="A19" s="532" t="s">
        <v>395</v>
      </c>
      <c r="B19" s="533"/>
      <c r="C19" s="533"/>
      <c r="D19" s="533"/>
      <c r="E19" s="533">
        <v>1000.1896209783999</v>
      </c>
      <c r="F19" s="533">
        <v>1154.7592974415215</v>
      </c>
      <c r="G19" s="533">
        <v>1393.1129142396371</v>
      </c>
      <c r="H19" s="533">
        <v>0</v>
      </c>
      <c r="I19" s="533"/>
      <c r="J19" s="533">
        <v>654.7688386803319</v>
      </c>
      <c r="K19" s="533">
        <v>697.46059172083278</v>
      </c>
      <c r="L19" s="533"/>
      <c r="M19" s="533"/>
      <c r="N19" s="533"/>
      <c r="O19" s="533"/>
      <c r="P19" s="533">
        <v>4900.2912630607234</v>
      </c>
      <c r="Q19" s="533">
        <f t="shared" si="0"/>
        <v>3900.1016420823235</v>
      </c>
      <c r="R19"/>
      <c r="S19"/>
      <c r="T19"/>
    </row>
    <row r="20" spans="1:20">
      <c r="A20" s="532" t="s">
        <v>398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 s="533">
        <f t="shared" si="0"/>
        <v>0</v>
      </c>
      <c r="R20"/>
      <c r="S20"/>
      <c r="T20"/>
    </row>
    <row r="21" spans="1:20">
      <c r="A21" s="532" t="s">
        <v>425</v>
      </c>
      <c r="B21" s="533">
        <v>0</v>
      </c>
      <c r="C21" s="533">
        <v>0</v>
      </c>
      <c r="D21" s="533">
        <v>792853.43022606324</v>
      </c>
      <c r="E21" s="533">
        <v>55191.910019255542</v>
      </c>
      <c r="F21" s="533">
        <v>535671.93903123343</v>
      </c>
      <c r="G21" s="533">
        <v>679962.51815846714</v>
      </c>
      <c r="H21" s="533">
        <v>370357.29151234595</v>
      </c>
      <c r="I21" s="533">
        <v>0</v>
      </c>
      <c r="J21" s="533">
        <v>71308.847506062084</v>
      </c>
      <c r="K21" s="533">
        <v>697.46059172083278</v>
      </c>
      <c r="L21" s="533">
        <v>139.85</v>
      </c>
      <c r="M21" s="533"/>
      <c r="N21" s="533"/>
      <c r="O21" s="533"/>
      <c r="P21" s="533">
        <v>2506183.2470451477</v>
      </c>
      <c r="Q21" s="533">
        <f>SUM(Q8:Q20)</f>
        <v>1658137.9067998293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33">
        <f>SUM(D21:E21)</f>
        <v>848045.34024531883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tabSelected="1" workbookViewId="0">
      <selection activeCell="M7" sqref="M7"/>
    </sheetView>
  </sheetViews>
  <sheetFormatPr defaultColWidth="8.28515625" defaultRowHeight="14.45"/>
  <cols>
    <col min="1" max="1" width="21.7109375" bestFit="1" customWidth="1"/>
    <col min="2" max="2" width="17.28515625" style="623" bestFit="1" customWidth="1"/>
    <col min="3" max="4" width="13" style="623" bestFit="1" customWidth="1"/>
    <col min="5" max="5" width="12" style="623" bestFit="1" customWidth="1"/>
    <col min="6" max="8" width="13.28515625" style="623" bestFit="1" customWidth="1"/>
    <col min="9" max="9" width="12.140625" style="623" bestFit="1" customWidth="1"/>
    <col min="10" max="10" width="12" bestFit="1" customWidth="1"/>
    <col min="11" max="11" width="10.5703125" bestFit="1" customWidth="1"/>
    <col min="12" max="12" width="10.85546875" bestFit="1" customWidth="1"/>
    <col min="13" max="13" width="12" bestFit="1" customWidth="1"/>
    <col min="14" max="14" width="10.85546875" bestFit="1" customWidth="1"/>
    <col min="15" max="15" width="12" bestFit="1" customWidth="1"/>
    <col min="16" max="16" width="11" bestFit="1" customWidth="1"/>
    <col min="17" max="17" width="14.85546875" bestFit="1" customWidth="1"/>
    <col min="18" max="18" width="15" bestFit="1" customWidth="1"/>
    <col min="19" max="19" width="13.28515625" bestFit="1" customWidth="1"/>
  </cols>
  <sheetData>
    <row r="3" spans="1:18">
      <c r="A3" s="531" t="s">
        <v>426</v>
      </c>
      <c r="B3" s="531" t="s">
        <v>422</v>
      </c>
      <c r="C3"/>
      <c r="D3"/>
      <c r="E3"/>
      <c r="F3"/>
      <c r="G3"/>
      <c r="H3"/>
      <c r="I3"/>
    </row>
    <row r="4" spans="1:18">
      <c r="A4" s="531" t="s">
        <v>423</v>
      </c>
      <c r="B4" t="s">
        <v>424</v>
      </c>
      <c r="C4"/>
      <c r="D4" s="636">
        <v>45504</v>
      </c>
      <c r="E4" s="636">
        <v>45535</v>
      </c>
      <c r="F4" s="636">
        <v>45565</v>
      </c>
      <c r="G4" s="636">
        <v>45596</v>
      </c>
      <c r="H4" s="636">
        <v>45626</v>
      </c>
      <c r="I4" s="636">
        <v>45657</v>
      </c>
      <c r="J4" s="636">
        <v>45688</v>
      </c>
      <c r="K4" s="636">
        <v>45716</v>
      </c>
      <c r="L4" s="636">
        <v>45777</v>
      </c>
      <c r="M4" s="636">
        <v>45808</v>
      </c>
      <c r="N4" s="636">
        <v>45869</v>
      </c>
      <c r="O4" s="636">
        <v>45900</v>
      </c>
      <c r="P4" s="636">
        <v>46053</v>
      </c>
      <c r="Q4" t="s">
        <v>425</v>
      </c>
    </row>
    <row r="5" spans="1:18">
      <c r="A5" s="532" t="s">
        <v>343</v>
      </c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7"/>
    </row>
    <row r="6" spans="1:18">
      <c r="A6" s="532" t="s">
        <v>378</v>
      </c>
      <c r="B6" s="637"/>
      <c r="C6" s="637"/>
      <c r="D6" s="637"/>
      <c r="E6" s="637">
        <v>31521.67</v>
      </c>
      <c r="F6" s="637"/>
      <c r="G6" s="637"/>
      <c r="H6" s="637">
        <v>31521.67</v>
      </c>
      <c r="I6" s="637"/>
      <c r="J6" s="637"/>
      <c r="K6" s="637"/>
      <c r="L6" s="637"/>
      <c r="M6" s="637"/>
      <c r="N6" s="637"/>
      <c r="O6" s="637"/>
      <c r="P6" s="637"/>
      <c r="Q6" s="637">
        <v>63043.34</v>
      </c>
    </row>
    <row r="7" spans="1:18">
      <c r="A7" s="532" t="s">
        <v>424</v>
      </c>
      <c r="B7" s="637"/>
      <c r="C7" s="637"/>
      <c r="D7" s="637"/>
      <c r="E7" s="637"/>
      <c r="F7" s="637"/>
      <c r="G7" s="637"/>
      <c r="H7" s="637"/>
      <c r="I7" s="637"/>
      <c r="J7" s="637"/>
      <c r="K7" s="637"/>
      <c r="L7" s="637"/>
      <c r="M7" s="637"/>
      <c r="N7" s="637"/>
      <c r="O7" s="637"/>
      <c r="P7" s="637"/>
      <c r="Q7" s="637"/>
    </row>
    <row r="8" spans="1:18">
      <c r="A8" s="532" t="s">
        <v>242</v>
      </c>
      <c r="B8" s="637"/>
      <c r="C8" s="637"/>
      <c r="D8" s="637">
        <v>636862.5</v>
      </c>
      <c r="E8" s="637"/>
      <c r="F8" s="637"/>
      <c r="G8" s="637">
        <v>10903</v>
      </c>
      <c r="H8" s="637"/>
      <c r="I8" s="637"/>
      <c r="J8" s="637"/>
      <c r="K8" s="637"/>
      <c r="L8" s="637"/>
      <c r="M8" s="637"/>
      <c r="N8" s="637"/>
      <c r="O8" s="637"/>
      <c r="P8" s="637"/>
      <c r="Q8" s="637">
        <v>647765.5</v>
      </c>
    </row>
    <row r="9" spans="1:18">
      <c r="A9" s="532" t="s">
        <v>263</v>
      </c>
      <c r="B9" s="637"/>
      <c r="C9" s="637"/>
      <c r="D9" s="637"/>
      <c r="E9" s="637"/>
      <c r="F9" s="637">
        <v>138845.23000000001</v>
      </c>
      <c r="G9" s="637"/>
      <c r="H9" s="637"/>
      <c r="I9" s="637"/>
      <c r="J9" s="637"/>
      <c r="K9" s="637"/>
      <c r="L9" s="637"/>
      <c r="M9" s="637"/>
      <c r="N9" s="637"/>
      <c r="O9" s="637"/>
      <c r="P9" s="637"/>
      <c r="Q9" s="637">
        <v>138845.23000000001</v>
      </c>
    </row>
    <row r="10" spans="1:18">
      <c r="A10" s="532" t="s">
        <v>270</v>
      </c>
      <c r="B10" s="637"/>
      <c r="C10" s="637"/>
      <c r="D10" s="637"/>
      <c r="E10" s="637"/>
      <c r="F10" s="637">
        <v>58349.4</v>
      </c>
      <c r="G10" s="637">
        <v>427.86</v>
      </c>
      <c r="H10" s="637">
        <v>123417.32</v>
      </c>
      <c r="I10" s="637">
        <v>-12270.36</v>
      </c>
      <c r="J10" s="637"/>
      <c r="K10" s="637"/>
      <c r="L10" s="637"/>
      <c r="M10" s="637"/>
      <c r="N10" s="637"/>
      <c r="O10" s="637"/>
      <c r="P10" s="637"/>
      <c r="Q10" s="637">
        <v>169924.22000000003</v>
      </c>
    </row>
    <row r="11" spans="1:18">
      <c r="A11" s="532" t="s">
        <v>288</v>
      </c>
      <c r="B11" s="637">
        <v>0</v>
      </c>
      <c r="C11" s="637"/>
      <c r="D11" s="637"/>
      <c r="E11" s="637"/>
      <c r="F11" s="637">
        <v>33562.5</v>
      </c>
      <c r="G11" s="637">
        <v>195262.5</v>
      </c>
      <c r="H11" s="637"/>
      <c r="I11" s="637"/>
      <c r="J11" s="637">
        <v>13425</v>
      </c>
      <c r="K11" s="637"/>
      <c r="L11" s="637"/>
      <c r="M11" s="637"/>
      <c r="N11" s="637"/>
      <c r="O11" s="637"/>
      <c r="P11" s="637"/>
      <c r="Q11" s="637">
        <v>242250</v>
      </c>
    </row>
    <row r="12" spans="1:18">
      <c r="A12" s="532" t="s">
        <v>320</v>
      </c>
      <c r="B12" s="637"/>
      <c r="C12" s="637"/>
      <c r="D12" s="637"/>
      <c r="E12" s="637">
        <v>57720.5</v>
      </c>
      <c r="F12" s="637"/>
      <c r="G12" s="637">
        <v>2562.5099999999998</v>
      </c>
      <c r="H12" s="637">
        <v>11169</v>
      </c>
      <c r="I12" s="637"/>
      <c r="J12" s="637"/>
      <c r="K12" s="637"/>
      <c r="L12" s="637"/>
      <c r="M12" s="637"/>
      <c r="N12" s="637"/>
      <c r="O12" s="637"/>
      <c r="P12" s="637"/>
      <c r="Q12" s="637">
        <v>71452.010000000009</v>
      </c>
    </row>
    <row r="13" spans="1:18">
      <c r="A13" s="532" t="s">
        <v>333</v>
      </c>
      <c r="B13" s="637">
        <v>0</v>
      </c>
      <c r="C13" s="637"/>
      <c r="D13" s="637"/>
      <c r="E13" s="637"/>
      <c r="F13" s="637">
        <v>62962.5</v>
      </c>
      <c r="G13" s="637">
        <v>134795.79999999999</v>
      </c>
      <c r="H13" s="637"/>
      <c r="I13" s="637"/>
      <c r="J13" s="637">
        <v>14673.2</v>
      </c>
      <c r="K13" s="637"/>
      <c r="L13" s="637"/>
      <c r="M13" s="637">
        <v>432.1</v>
      </c>
      <c r="N13" s="637"/>
      <c r="O13" s="637"/>
      <c r="P13" s="637"/>
      <c r="Q13" s="637">
        <v>212863.6</v>
      </c>
    </row>
    <row r="14" spans="1:18">
      <c r="A14" s="532" t="s">
        <v>345</v>
      </c>
      <c r="B14" s="637"/>
      <c r="C14" s="637"/>
      <c r="D14" s="637"/>
      <c r="E14" s="637"/>
      <c r="F14" s="637"/>
      <c r="G14" s="637">
        <v>140874.78</v>
      </c>
      <c r="H14" s="637"/>
      <c r="I14" s="637"/>
      <c r="J14" s="637">
        <v>8316</v>
      </c>
      <c r="K14" s="637"/>
      <c r="L14" s="637"/>
      <c r="M14" s="637"/>
      <c r="N14" s="637"/>
      <c r="O14" s="637">
        <v>9538.74</v>
      </c>
      <c r="P14" s="637"/>
      <c r="Q14" s="637">
        <v>158729.51999999999</v>
      </c>
      <c r="R14" s="637"/>
    </row>
    <row r="15" spans="1:18">
      <c r="A15" s="532" t="s">
        <v>364</v>
      </c>
      <c r="B15" s="637"/>
      <c r="C15" s="637"/>
      <c r="D15" s="637"/>
      <c r="E15" s="637"/>
      <c r="F15" s="637">
        <v>43753.45</v>
      </c>
      <c r="G15" s="637">
        <v>113758.97</v>
      </c>
      <c r="H15" s="637"/>
      <c r="I15" s="637"/>
      <c r="J15" s="637">
        <v>17501.38</v>
      </c>
      <c r="K15" s="637"/>
      <c r="L15" s="637"/>
      <c r="M15" s="637"/>
      <c r="N15" s="637"/>
      <c r="O15" s="637"/>
      <c r="P15" s="637"/>
      <c r="Q15" s="637">
        <v>175013.8</v>
      </c>
    </row>
    <row r="16" spans="1:18">
      <c r="A16" s="532" t="s">
        <v>367</v>
      </c>
      <c r="B16" s="637"/>
      <c r="C16" s="637"/>
      <c r="D16" s="637"/>
      <c r="E16" s="637"/>
      <c r="F16" s="637">
        <v>26941.75</v>
      </c>
      <c r="G16" s="637">
        <v>70048.55</v>
      </c>
      <c r="H16" s="637"/>
      <c r="I16" s="637"/>
      <c r="J16" s="637">
        <v>10776.7</v>
      </c>
      <c r="K16" s="637"/>
      <c r="L16" s="637"/>
      <c r="M16" s="637"/>
      <c r="N16" s="637"/>
      <c r="O16" s="637"/>
      <c r="P16" s="637"/>
      <c r="Q16" s="637">
        <v>107767</v>
      </c>
    </row>
    <row r="17" spans="1:17">
      <c r="A17" s="532" t="s">
        <v>371</v>
      </c>
      <c r="B17" s="637"/>
      <c r="C17" s="637"/>
      <c r="D17" s="637"/>
      <c r="E17" s="637">
        <v>2520</v>
      </c>
      <c r="F17" s="637"/>
      <c r="G17" s="637"/>
      <c r="H17" s="637">
        <v>11654.76</v>
      </c>
      <c r="I17" s="637"/>
      <c r="J17" s="637"/>
      <c r="K17" s="637"/>
      <c r="L17" s="637"/>
      <c r="M17" s="637"/>
      <c r="N17" s="637"/>
      <c r="O17" s="637"/>
      <c r="P17" s="637"/>
      <c r="Q17" s="637">
        <v>14174.76</v>
      </c>
    </row>
    <row r="18" spans="1:17">
      <c r="A18" s="532" t="s">
        <v>384</v>
      </c>
      <c r="B18" s="637"/>
      <c r="C18" s="637"/>
      <c r="D18" s="637"/>
      <c r="E18" s="637"/>
      <c r="F18" s="637"/>
      <c r="G18" s="637"/>
      <c r="H18" s="637">
        <v>30778.237542348252</v>
      </c>
      <c r="I18" s="637"/>
      <c r="J18" s="637"/>
      <c r="K18" s="637"/>
      <c r="L18" s="637"/>
      <c r="M18" s="637"/>
      <c r="N18" s="637"/>
      <c r="O18" s="637">
        <v>31621.762457651748</v>
      </c>
      <c r="P18" s="637"/>
      <c r="Q18" s="637">
        <v>62400</v>
      </c>
    </row>
    <row r="19" spans="1:17">
      <c r="A19" s="532" t="s">
        <v>395</v>
      </c>
      <c r="B19" s="637"/>
      <c r="C19" s="637"/>
      <c r="D19" s="637"/>
      <c r="E19" s="637">
        <v>1522.75</v>
      </c>
      <c r="F19" s="637">
        <v>1570.97</v>
      </c>
      <c r="G19" s="637">
        <v>1671</v>
      </c>
      <c r="H19" s="637">
        <v>0</v>
      </c>
      <c r="I19" s="637"/>
      <c r="J19" s="637">
        <v>1109.72</v>
      </c>
      <c r="K19" s="637">
        <v>423.22</v>
      </c>
      <c r="L19" s="637">
        <v>1087.98</v>
      </c>
      <c r="M19" s="637"/>
      <c r="N19" s="637"/>
      <c r="O19" s="637"/>
      <c r="P19" s="637"/>
      <c r="Q19" s="637">
        <v>7385.6400000000012</v>
      </c>
    </row>
    <row r="20" spans="1:17">
      <c r="A20" s="532" t="s">
        <v>398</v>
      </c>
      <c r="B20" s="637"/>
      <c r="C20" s="637"/>
      <c r="D20" s="637"/>
      <c r="E20" s="637"/>
      <c r="F20" s="637"/>
      <c r="G20" s="637"/>
      <c r="H20" s="637"/>
      <c r="I20" s="637"/>
      <c r="J20" s="637"/>
      <c r="K20" s="637"/>
      <c r="L20" s="637"/>
      <c r="M20" s="637">
        <v>32247.49</v>
      </c>
      <c r="N20" s="637">
        <v>9731.7099999999991</v>
      </c>
      <c r="O20" s="637"/>
      <c r="P20" s="637">
        <v>-9731.7099999999991</v>
      </c>
      <c r="Q20" s="637">
        <v>32247.489999999998</v>
      </c>
    </row>
    <row r="21" spans="1:17">
      <c r="A21" s="532" t="s">
        <v>425</v>
      </c>
      <c r="B21" s="637">
        <v>0</v>
      </c>
      <c r="C21" s="637"/>
      <c r="D21" s="637">
        <v>636862.5</v>
      </c>
      <c r="E21" s="637">
        <v>93284.92</v>
      </c>
      <c r="F21" s="637">
        <v>365985.8</v>
      </c>
      <c r="G21" s="637">
        <v>670304.97</v>
      </c>
      <c r="H21" s="637">
        <v>208540.98754234824</v>
      </c>
      <c r="I21" s="637">
        <v>-12270.36</v>
      </c>
      <c r="J21" s="637">
        <v>65802</v>
      </c>
      <c r="K21" s="637">
        <v>423.22</v>
      </c>
      <c r="L21" s="637">
        <v>1087.98</v>
      </c>
      <c r="M21" s="637">
        <v>32679.59</v>
      </c>
      <c r="N21" s="637">
        <v>9731.7099999999991</v>
      </c>
      <c r="O21" s="637">
        <v>41160.502457651746</v>
      </c>
      <c r="P21" s="637">
        <v>-9731.7099999999991</v>
      </c>
      <c r="Q21" s="637">
        <v>2103862.1100000003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1" t="s">
        <v>427</v>
      </c>
    </row>
    <row r="2" spans="1:4">
      <c r="A2" s="980"/>
      <c r="B2" s="980"/>
      <c r="C2" s="980"/>
      <c r="D2" s="71"/>
    </row>
    <row r="3" spans="1:4">
      <c r="A3" s="979" t="s">
        <v>428</v>
      </c>
      <c r="B3" s="979"/>
      <c r="C3" s="979"/>
      <c r="D3" s="112">
        <v>0.32</v>
      </c>
    </row>
    <row r="4" spans="1:4">
      <c r="A4" s="979" t="s">
        <v>429</v>
      </c>
      <c r="B4" s="979"/>
      <c r="C4" s="979"/>
      <c r="D4" s="112">
        <v>0.5</v>
      </c>
    </row>
    <row r="5" spans="1:4">
      <c r="A5" s="979" t="s">
        <v>430</v>
      </c>
      <c r="B5" s="979"/>
      <c r="C5" s="979"/>
      <c r="D5" s="112">
        <v>0.15</v>
      </c>
    </row>
    <row r="6" spans="1:4">
      <c r="A6" s="979" t="s">
        <v>431</v>
      </c>
      <c r="B6" s="979"/>
      <c r="C6" s="979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6"/>
  <cols>
    <col min="1" max="1" width="9.28515625" style="88"/>
    <col min="2" max="2" width="22.28515625" style="88" customWidth="1"/>
    <col min="3" max="3" width="4.28515625" style="88" customWidth="1"/>
    <col min="4" max="4" width="14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" style="88" bestFit="1" customWidth="1"/>
    <col min="9" max="9" width="6.28515625" style="88" customWidth="1"/>
    <col min="10" max="10" width="13.5703125" style="88" bestFit="1" customWidth="1"/>
    <col min="11" max="11" width="2.28515625" style="88" customWidth="1"/>
    <col min="12" max="12" width="14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8">
      <c r="B2" s="981" t="s">
        <v>432</v>
      </c>
      <c r="C2" s="981"/>
      <c r="D2" s="981"/>
      <c r="E2" s="981"/>
      <c r="F2" s="981"/>
      <c r="G2" s="981"/>
      <c r="H2" s="981"/>
      <c r="I2" s="981"/>
      <c r="J2" s="981"/>
      <c r="K2" s="981"/>
      <c r="L2" s="981"/>
      <c r="M2" s="981"/>
      <c r="N2" s="981"/>
    </row>
    <row r="4" spans="2:14" ht="12.95">
      <c r="B4" s="92" t="s">
        <v>433</v>
      </c>
      <c r="C4" s="86"/>
      <c r="D4" s="90" t="s">
        <v>434</v>
      </c>
      <c r="E4" s="95"/>
      <c r="F4" s="90" t="s">
        <v>435</v>
      </c>
      <c r="H4" s="90" t="s">
        <v>436</v>
      </c>
      <c r="I4" s="95"/>
      <c r="J4" s="90" t="s">
        <v>437</v>
      </c>
      <c r="L4" s="90" t="s">
        <v>436</v>
      </c>
      <c r="M4" s="90"/>
      <c r="N4" s="90" t="s">
        <v>438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439</v>
      </c>
      <c r="H7" s="99"/>
      <c r="I7" s="95"/>
      <c r="J7" s="107" t="s">
        <v>439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261</v>
      </c>
      <c r="C9" s="92"/>
      <c r="D9" s="90">
        <f>SUM(D10:D11)</f>
        <v>157796</v>
      </c>
      <c r="E9" s="95"/>
      <c r="F9" s="90">
        <f>SUM(F10:F13)</f>
        <v>0</v>
      </c>
      <c r="H9" s="106">
        <f>$D$9-F9</f>
        <v>157796</v>
      </c>
      <c r="I9" s="95"/>
      <c r="J9" s="90">
        <f>SUM(J10:J13)</f>
        <v>0</v>
      </c>
      <c r="L9" s="106">
        <f>$D$9-J9</f>
        <v>157796</v>
      </c>
      <c r="M9" s="106"/>
    </row>
    <row r="10" spans="2:14" ht="12.95">
      <c r="B10" s="108" t="s">
        <v>261</v>
      </c>
      <c r="C10" s="86"/>
      <c r="D10" s="89">
        <f>'Expenditure Breakdown'!G13</f>
        <v>157796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440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441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442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439</v>
      </c>
      <c r="H15" s="99"/>
      <c r="I15" s="95"/>
      <c r="J15" s="107" t="s">
        <v>439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443</v>
      </c>
      <c r="C17" s="92"/>
      <c r="D17" s="90">
        <f>SUM(D18:D19)</f>
        <v>99864</v>
      </c>
      <c r="E17" s="95"/>
      <c r="F17" s="90">
        <f>SUM(F18:F20)</f>
        <v>0</v>
      </c>
      <c r="H17" s="106">
        <f>$D$17- F17</f>
        <v>99864</v>
      </c>
      <c r="I17" s="95"/>
      <c r="J17" s="90">
        <f>SUM(J18:J20)</f>
        <v>0</v>
      </c>
      <c r="L17" s="106">
        <f>$D$17- J17</f>
        <v>99864</v>
      </c>
      <c r="M17" s="106"/>
    </row>
    <row r="18" spans="2:13">
      <c r="B18" s="108" t="s">
        <v>443</v>
      </c>
      <c r="C18" s="86"/>
      <c r="D18" s="89">
        <f>'Expenditure Breakdown'!G18</f>
        <v>99864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439</v>
      </c>
      <c r="H21" s="99"/>
      <c r="I21" s="95"/>
      <c r="J21" s="107" t="s">
        <v>439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444</v>
      </c>
      <c r="C23" s="92"/>
      <c r="D23" s="90">
        <f>SUM(D24:D25)</f>
        <v>98128</v>
      </c>
      <c r="E23" s="95"/>
      <c r="F23" s="90">
        <f>SUM(F24:F25)</f>
        <v>0</v>
      </c>
      <c r="H23" s="106">
        <f>$D$23- F23</f>
        <v>98128</v>
      </c>
      <c r="I23" s="95"/>
      <c r="J23" s="90">
        <f>SUM(J24:J25)</f>
        <v>0</v>
      </c>
      <c r="L23" s="106">
        <f>$D$23- J23</f>
        <v>98128</v>
      </c>
      <c r="M23" s="106"/>
    </row>
    <row r="24" spans="2:13">
      <c r="B24" s="108" t="s">
        <v>444</v>
      </c>
      <c r="C24" s="86"/>
      <c r="D24" s="89">
        <f>'Expenditure Breakdown'!G26</f>
        <v>98128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442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439</v>
      </c>
      <c r="H27" s="99"/>
      <c r="I27" s="95"/>
      <c r="J27" s="107" t="s">
        <v>439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Breakdown'!D37</f>
        <v>Smartlogger 3000</v>
      </c>
      <c r="C30" s="86"/>
      <c r="D30" s="89">
        <f>'Expenditure Breakdown'!G37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439</v>
      </c>
      <c r="H34" s="99"/>
      <c r="I34" s="95"/>
      <c r="J34" s="107" t="s">
        <v>439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446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327</v>
      </c>
      <c r="C37" s="86"/>
      <c r="D37" s="89">
        <f>'Expenditure Breakdown'!G68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451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2.6"/>
  <cols>
    <col min="1" max="1" width="9.28515625" style="88"/>
    <col min="2" max="2" width="22.28515625" style="88" customWidth="1"/>
    <col min="3" max="3" width="4.28515625" style="88" customWidth="1"/>
    <col min="4" max="4" width="14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28515625" style="88" bestFit="1" customWidth="1"/>
    <col min="9" max="9" width="2" style="88" customWidth="1"/>
    <col min="10" max="10" width="14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85546875" style="88" customWidth="1"/>
    <col min="15" max="15" width="14" style="88" bestFit="1" customWidth="1"/>
    <col min="16" max="16384" width="9.28515625" style="88"/>
  </cols>
  <sheetData>
    <row r="2" spans="2:15" s="94" customFormat="1" ht="18">
      <c r="B2" s="981" t="s">
        <v>453</v>
      </c>
      <c r="C2" s="981"/>
      <c r="D2" s="981"/>
      <c r="E2" s="981"/>
      <c r="F2" s="981"/>
      <c r="G2" s="981"/>
      <c r="H2" s="981"/>
      <c r="I2" s="981"/>
      <c r="J2" s="981"/>
      <c r="K2" s="981"/>
      <c r="L2" s="981"/>
      <c r="M2" s="981"/>
      <c r="N2" s="981"/>
      <c r="O2" s="981"/>
    </row>
    <row r="4" spans="2:15" ht="12.95">
      <c r="B4" s="92" t="s">
        <v>433</v>
      </c>
      <c r="C4" s="86"/>
      <c r="D4" s="90" t="s">
        <v>434</v>
      </c>
      <c r="E4" s="95"/>
      <c r="F4" s="95"/>
      <c r="G4" s="90" t="s">
        <v>454</v>
      </c>
      <c r="H4" s="96"/>
      <c r="J4" s="90" t="s">
        <v>436</v>
      </c>
      <c r="L4" s="90" t="s">
        <v>455</v>
      </c>
      <c r="M4" s="96"/>
      <c r="O4" s="90" t="s">
        <v>436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251</v>
      </c>
      <c r="C6" s="86"/>
      <c r="D6" s="89">
        <f>'Expenditure Breakdown'!AB8</f>
        <v>304429.82</v>
      </c>
      <c r="E6" s="95">
        <f>D6/(1000*'Project Plan'!$E$3)</f>
        <v>1.2177192800000001</v>
      </c>
      <c r="F6" s="95"/>
      <c r="G6" s="89">
        <v>277892.90999999997</v>
      </c>
      <c r="H6" s="96">
        <f>G6/('Project Plan'!$E$3*1000)</f>
        <v>1.11157164</v>
      </c>
      <c r="J6" s="99">
        <f>D6-G6</f>
        <v>26536.910000000033</v>
      </c>
      <c r="L6" s="89"/>
      <c r="M6" s="96">
        <f>L6/('Project Plan'!$E$3*1000)</f>
        <v>0</v>
      </c>
      <c r="O6" s="99">
        <f>D6-L6</f>
        <v>304429.82</v>
      </c>
    </row>
    <row r="7" spans="2:15" ht="12.95">
      <c r="B7" s="86" t="s">
        <v>254</v>
      </c>
      <c r="C7" s="86"/>
      <c r="D7" s="89">
        <f>'Expenditure Breakdown'!AB9</f>
        <v>116936.3</v>
      </c>
      <c r="E7" s="95">
        <f>D7/(1000*'Project Plan'!$E$3)</f>
        <v>0.46774520000000003</v>
      </c>
      <c r="F7" s="95"/>
      <c r="G7" s="89">
        <v>142158.25</v>
      </c>
      <c r="H7" s="96">
        <f>G7/('Project Plan'!$E$3*1000)</f>
        <v>0.56863300000000006</v>
      </c>
      <c r="J7" s="99">
        <f t="shared" ref="J7:J12" si="0">D7-G7</f>
        <v>-25221.949999999997</v>
      </c>
      <c r="L7" s="89"/>
      <c r="M7" s="96">
        <f>L7/('Project Plan'!$E$3*1000)</f>
        <v>0</v>
      </c>
      <c r="O7" s="99">
        <f t="shared" ref="O7:O12" si="1">D7-L7</f>
        <v>116936.3</v>
      </c>
    </row>
    <row r="8" spans="2:15" ht="12.95">
      <c r="B8" s="86" t="s">
        <v>256</v>
      </c>
      <c r="C8" s="86"/>
      <c r="D8" s="89">
        <f>'Expenditure Breakdown'!AB10</f>
        <v>145635</v>
      </c>
      <c r="E8" s="95">
        <f>D8/(1000*'Project Plan'!$E$3)</f>
        <v>0.58253999999999995</v>
      </c>
      <c r="F8" s="95"/>
      <c r="G8" s="89">
        <v>96174</v>
      </c>
      <c r="H8" s="96">
        <f>G8/('Project Plan'!$E$3*1000)</f>
        <v>0.38469599999999998</v>
      </c>
      <c r="J8" s="99">
        <f t="shared" si="0"/>
        <v>49461</v>
      </c>
      <c r="L8" s="89"/>
      <c r="M8" s="96">
        <f>L8/('Project Plan'!$E$3*1000)</f>
        <v>0</v>
      </c>
      <c r="O8" s="99">
        <f t="shared" si="1"/>
        <v>145635</v>
      </c>
    </row>
    <row r="9" spans="2:15" ht="12.95">
      <c r="B9" s="86" t="s">
        <v>258</v>
      </c>
      <c r="C9" s="86"/>
      <c r="D9" s="89">
        <f>'Expenditure Breakdown'!AB11</f>
        <v>62415</v>
      </c>
      <c r="E9" s="95">
        <f>D9/(1000*'Project Plan'!$E$3)</f>
        <v>0.24965999999999999</v>
      </c>
      <c r="F9" s="95"/>
      <c r="G9" s="89">
        <v>230160</v>
      </c>
      <c r="H9" s="96">
        <f>G9/('Project Plan'!$E$3*1000)</f>
        <v>0.92064000000000001</v>
      </c>
      <c r="J9" s="99">
        <f t="shared" si="0"/>
        <v>-167745</v>
      </c>
      <c r="L9" s="89"/>
      <c r="M9" s="96">
        <f>L9/('Project Plan'!$E$3*1000)</f>
        <v>0</v>
      </c>
      <c r="O9" s="99">
        <f t="shared" si="1"/>
        <v>62415</v>
      </c>
    </row>
    <row r="10" spans="2:15">
      <c r="B10" s="86" t="s">
        <v>260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456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255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266</v>
      </c>
      <c r="C13" s="86"/>
      <c r="D13" s="89">
        <f>'Expenditure Breakdown'!AB15</f>
        <v>29856.3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451</v>
      </c>
      <c r="C15" s="92"/>
      <c r="D15" s="90">
        <f>SUM(D6:D13)</f>
        <v>667772.42000000004</v>
      </c>
      <c r="E15" s="95"/>
      <c r="F15" s="95"/>
      <c r="G15" s="90">
        <f>SUM(G6:G13)</f>
        <v>775642.7699999999</v>
      </c>
      <c r="H15" s="96"/>
      <c r="J15" s="101">
        <f>SUM(J6:J14)</f>
        <v>-137726.64999999997</v>
      </c>
      <c r="L15" s="90">
        <f>SUM(L6:L13)</f>
        <v>0</v>
      </c>
      <c r="M15" s="96"/>
      <c r="O15" s="101">
        <f>SUM(O6:O14)</f>
        <v>637916.12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433</v>
      </c>
      <c r="C18" s="86"/>
      <c r="D18" s="90" t="s">
        <v>434</v>
      </c>
      <c r="E18" s="95"/>
      <c r="F18" s="95"/>
      <c r="G18" s="90" t="s">
        <v>457</v>
      </c>
      <c r="H18" s="96"/>
      <c r="J18" s="90" t="s">
        <v>436</v>
      </c>
      <c r="L18" s="90" t="s">
        <v>458</v>
      </c>
      <c r="M18" s="96"/>
      <c r="O18" s="90" t="s">
        <v>436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459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304429.82</v>
      </c>
    </row>
    <row r="21" spans="2:15" ht="12.95">
      <c r="B21" s="86" t="s">
        <v>460</v>
      </c>
      <c r="C21" s="86"/>
      <c r="D21" s="89">
        <f>'Expenditure Breakdown'!C57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116936.3</v>
      </c>
    </row>
    <row r="22" spans="2:15" ht="12.95">
      <c r="B22" s="86" t="s">
        <v>461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145635</v>
      </c>
    </row>
    <row r="23" spans="2:15" ht="12.95">
      <c r="B23" s="86" t="s">
        <v>462</v>
      </c>
      <c r="C23" s="86"/>
      <c r="D23" s="89">
        <f>SUM('Expenditure Breakdown'!G33:G34)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62415</v>
      </c>
    </row>
    <row r="24" spans="2:15">
      <c r="B24" s="86" t="s">
        <v>255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463</v>
      </c>
      <c r="C25" s="86"/>
      <c r="D25" s="89">
        <f>SUM('Expenditure Breakdown'!G86:G97)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260</v>
      </c>
      <c r="C26" s="86"/>
      <c r="D26" s="89">
        <f>'Expenditure Breakdown'!G99</f>
        <v>29856.3</v>
      </c>
      <c r="E26" s="98"/>
      <c r="F26" s="98"/>
      <c r="G26" s="89"/>
      <c r="H26" s="91"/>
      <c r="J26" s="99">
        <f t="shared" si="2"/>
        <v>29856.3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451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637916.12</v>
      </c>
    </row>
    <row r="32" spans="2:15" ht="13.5" thickBot="1">
      <c r="B32" s="102" t="s">
        <v>464</v>
      </c>
      <c r="C32" s="103"/>
      <c r="D32" s="103"/>
    </row>
    <row r="33" spans="2:4" ht="12.95" thickTop="1"/>
    <row r="34" spans="2:4">
      <c r="B34" s="88" t="s">
        <v>434</v>
      </c>
      <c r="D34" s="99">
        <f>D15</f>
        <v>667772.42000000004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667772.42000000004</v>
      </c>
    </row>
    <row r="41" spans="2:4" ht="12.95">
      <c r="B41" s="105"/>
      <c r="C41" s="105"/>
      <c r="D41" s="106"/>
    </row>
    <row r="42" spans="2:4">
      <c r="B42" s="86" t="s">
        <v>465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85546875" customWidth="1"/>
    <col min="2" max="2" width="8.28515625" bestFit="1" customWidth="1"/>
    <col min="3" max="3" width="4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983" t="str">
        <f>D15</f>
        <v>SA Metal - 22 Christiaan</v>
      </c>
      <c r="C1" s="983"/>
      <c r="D1" s="983"/>
      <c r="E1" s="982" t="s">
        <v>466</v>
      </c>
      <c r="F1" s="982"/>
      <c r="G1" s="982"/>
      <c r="H1" s="982"/>
      <c r="I1" s="982"/>
      <c r="J1" s="982"/>
      <c r="K1" s="77"/>
      <c r="L1" s="77"/>
      <c r="M1" s="77"/>
      <c r="N1" s="77"/>
    </row>
    <row r="2" spans="2:14" ht="6.75" customHeight="1"/>
    <row r="3" spans="2:14">
      <c r="B3" s="72" t="s">
        <v>467</v>
      </c>
      <c r="C3" s="72" t="s">
        <v>468</v>
      </c>
      <c r="D3" s="72" t="s">
        <v>469</v>
      </c>
      <c r="E3" s="78" t="s">
        <v>470</v>
      </c>
      <c r="F3" s="78" t="s">
        <v>471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- 22 Christiaan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16E7FF-C021-470C-8F87-274EF20CA7BB}"/>
</file>

<file path=customXml/itemProps2.xml><?xml version="1.0" encoding="utf-8"?>
<ds:datastoreItem xmlns:ds="http://schemas.openxmlformats.org/officeDocument/2006/customXml" ds:itemID="{6218EE42-1DB5-4CB4-B51E-30B5B7CF60AA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2026-02-11T08:14:46Z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