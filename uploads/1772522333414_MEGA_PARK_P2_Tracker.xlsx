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8" documentId="13_ncr:1_{D2F617B6-A72E-44B2-805B-0B28AB8D119F}" xr6:coauthVersionLast="47" xr6:coauthVersionMax="47" xr10:uidLastSave="{B7E4E58E-67F8-4055-9CEB-024F37CCAE68}"/>
  <bookViews>
    <workbookView xWindow="-110" yWindow="-110" windowWidth="19420" windowHeight="11500" tabRatio="742" firstSheet="2" activeTab="2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Data" sheetId="8" state="hidden" r:id="rId4"/>
    <sheet name="Expenditure Tracking" sheetId="3" r:id="rId5"/>
    <sheet name="Installer Payment Schedule" sheetId="14" state="hidden" r:id="rId6"/>
    <sheet name="Expenditure Breakdown" sheetId="4" r:id="rId7"/>
    <sheet name="Expenditure Breakdown-IDC" sheetId="15" state="hidden" r:id="rId8"/>
    <sheet name="Cashflow" sheetId="6" r:id="rId9"/>
    <sheet name="Chart2" sheetId="11" r:id="rId10"/>
    <sheet name="Finance (2)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Project_Size" localSheetId="11">'Certificate - Financial Close'!Projectsize</definedName>
    <definedName name="Project_Size" localSheetId="10">'Finance (2)'!Projectsize</definedName>
    <definedName name="Project_Size">Projectsize</definedName>
    <definedName name="Projectsize" localSheetId="11">#REF!</definedName>
    <definedName name="Projectsize" localSheetId="10">#REF!</definedName>
    <definedName name="Projectsize">'Project Margins'!$K$5</definedName>
    <definedName name="Security_Serv" localSheetId="11">#REF!</definedName>
    <definedName name="Security_Serv" localSheetId="10">#REF!</definedName>
    <definedName name="Security_Serv">#REF!</definedName>
    <definedName name="SSS" localSheetId="11">#REF!</definedName>
    <definedName name="SSS" localSheetId="10">#REF!</definedName>
    <definedName name="SSS">#REF!</definedName>
    <definedName name="USD_Z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" i="2" l="1"/>
  <c r="Q37" i="2" a="1"/>
  <c r="Q37" i="2" s="1"/>
  <c r="C4" i="16"/>
  <c r="Q188" i="4"/>
  <c r="Q187" i="4"/>
  <c r="AB4" i="13"/>
  <c r="L172" i="4"/>
  <c r="R185" i="4"/>
  <c r="Z19" i="13"/>
  <c r="AA19" i="13"/>
  <c r="AB19" i="13"/>
  <c r="AC19" i="13"/>
  <c r="Y3" i="13"/>
  <c r="Z3" i="13"/>
  <c r="AA3" i="13"/>
  <c r="AB3" i="13"/>
  <c r="AC3" i="13"/>
  <c r="Y4" i="13"/>
  <c r="Z4" i="13"/>
  <c r="AA4" i="13"/>
  <c r="AC4" i="13"/>
  <c r="U19" i="13"/>
  <c r="V19" i="13"/>
  <c r="W19" i="13"/>
  <c r="X19" i="13"/>
  <c r="Y19" i="13"/>
  <c r="T3" i="13"/>
  <c r="U3" i="13"/>
  <c r="V3" i="13"/>
  <c r="W3" i="13"/>
  <c r="X3" i="13"/>
  <c r="T4" i="13"/>
  <c r="U4" i="13"/>
  <c r="W4" i="13"/>
  <c r="X4" i="13"/>
  <c r="V4" i="13"/>
  <c r="Q28" i="4"/>
  <c r="Q52" i="4" l="1"/>
  <c r="Q51" i="4"/>
  <c r="L52" i="4"/>
  <c r="Q80" i="4"/>
  <c r="Q79" i="4"/>
  <c r="Q114" i="4"/>
  <c r="Q113" i="4"/>
  <c r="Q119" i="4"/>
  <c r="Q118" i="4"/>
  <c r="P18" i="13"/>
  <c r="AF18" i="13"/>
  <c r="D34" i="13"/>
  <c r="P12" i="4"/>
  <c r="Q171" i="4"/>
  <c r="P4" i="13" s="1"/>
  <c r="Q19" i="13"/>
  <c r="R19" i="13"/>
  <c r="S19" i="13"/>
  <c r="T19" i="13"/>
  <c r="O3" i="13"/>
  <c r="R3" i="13"/>
  <c r="S3" i="13"/>
  <c r="Q4" i="13"/>
  <c r="R4" i="13"/>
  <c r="S4" i="13"/>
  <c r="F25" i="5"/>
  <c r="F24" i="5"/>
  <c r="R153" i="4"/>
  <c r="Q96" i="4"/>
  <c r="Q95" i="4"/>
  <c r="F20" i="5"/>
  <c r="F16" i="5"/>
  <c r="F15" i="5"/>
  <c r="O88" i="4"/>
  <c r="Q88" i="4" s="1"/>
  <c r="F14" i="5" l="1"/>
  <c r="F13" i="5" l="1"/>
  <c r="Q11" i="4"/>
  <c r="Q135" i="4"/>
  <c r="Q89" i="4"/>
  <c r="Q90" i="4" s="1"/>
  <c r="Q111" i="4"/>
  <c r="Q108" i="4"/>
  <c r="H2" i="15"/>
  <c r="Q77" i="4"/>
  <c r="Q78" i="4" s="1"/>
  <c r="L78" i="4"/>
  <c r="Q94" i="4"/>
  <c r="Q60" i="4"/>
  <c r="E44" i="2"/>
  <c r="G44" i="2" s="1"/>
  <c r="K44" i="2"/>
  <c r="N19" i="13"/>
  <c r="O19" i="13"/>
  <c r="P19" i="13"/>
  <c r="L4" i="13"/>
  <c r="R100" i="4"/>
  <c r="Q100" i="4"/>
  <c r="Q99" i="4"/>
  <c r="K6" i="5"/>
  <c r="F17" i="5" l="1"/>
  <c r="J6" i="5"/>
  <c r="M19" i="13" l="1"/>
  <c r="G15" i="13"/>
  <c r="AF15" i="13" s="1"/>
  <c r="G12" i="13"/>
  <c r="AF12" i="13" s="1"/>
  <c r="Q44" i="4"/>
  <c r="Q43" i="4"/>
  <c r="Q55" i="4" l="1"/>
  <c r="Q54" i="4"/>
  <c r="Q29" i="4"/>
  <c r="U37" i="4"/>
  <c r="Q37" i="4"/>
  <c r="L17" i="13"/>
  <c r="AF17" i="13" s="1"/>
  <c r="F16" i="13"/>
  <c r="AF16" i="13" s="1"/>
  <c r="G13" i="13"/>
  <c r="AF13" i="13" s="1"/>
  <c r="L108" i="4"/>
  <c r="E19" i="13"/>
  <c r="H19" i="13"/>
  <c r="J19" i="13"/>
  <c r="D19" i="13"/>
  <c r="F14" i="13"/>
  <c r="E4" i="13"/>
  <c r="F4" i="13"/>
  <c r="G4" i="13"/>
  <c r="H4" i="13"/>
  <c r="I4" i="13"/>
  <c r="J4" i="13"/>
  <c r="D4" i="13"/>
  <c r="Q38" i="4" l="1"/>
  <c r="AF14" i="13"/>
  <c r="F19" i="13"/>
  <c r="K19" i="13"/>
  <c r="L19" i="13"/>
  <c r="G19" i="13"/>
  <c r="U38" i="4"/>
  <c r="V54" i="4"/>
  <c r="Q6" i="4"/>
  <c r="E32" i="5"/>
  <c r="E57" i="5"/>
  <c r="E58" i="5"/>
  <c r="Y2" i="13" l="1"/>
  <c r="Y5" i="13" s="1"/>
  <c r="Y8" i="13" s="1"/>
  <c r="Y10" i="13" s="1"/>
  <c r="Z2" i="13"/>
  <c r="Z5" i="13" s="1"/>
  <c r="Z8" i="13" s="1"/>
  <c r="Z10" i="13" s="1"/>
  <c r="AA2" i="13"/>
  <c r="AA5" i="13" s="1"/>
  <c r="AA8" i="13" s="1"/>
  <c r="AA10" i="13" s="1"/>
  <c r="AB2" i="13"/>
  <c r="AB5" i="13" s="1"/>
  <c r="AB8" i="13" s="1"/>
  <c r="AB10" i="13" s="1"/>
  <c r="AC2" i="13"/>
  <c r="AC5" i="13" s="1"/>
  <c r="AC8" i="13" s="1"/>
  <c r="AC10" i="13" s="1"/>
  <c r="U2" i="13"/>
  <c r="U5" i="13" s="1"/>
  <c r="U8" i="13" s="1"/>
  <c r="U10" i="13" s="1"/>
  <c r="X2" i="13"/>
  <c r="X5" i="13" s="1"/>
  <c r="X8" i="13" s="1"/>
  <c r="X10" i="13" s="1"/>
  <c r="V2" i="13"/>
  <c r="V5" i="13" s="1"/>
  <c r="V8" i="13" s="1"/>
  <c r="V10" i="13" s="1"/>
  <c r="W2" i="13"/>
  <c r="W5" i="13" s="1"/>
  <c r="W8" i="13" s="1"/>
  <c r="W10" i="13" s="1"/>
  <c r="T2" i="13"/>
  <c r="T5" i="13" s="1"/>
  <c r="T8" i="13" s="1"/>
  <c r="T10" i="13" s="1"/>
  <c r="S2" i="13"/>
  <c r="S5" i="13" s="1"/>
  <c r="S8" i="13" s="1"/>
  <c r="S10" i="13" s="1"/>
  <c r="R2" i="13"/>
  <c r="R5" i="13" s="1"/>
  <c r="R8" i="13" s="1"/>
  <c r="R10" i="13" s="1"/>
  <c r="R21" i="13" s="1"/>
  <c r="O2" i="13"/>
  <c r="M2" i="13"/>
  <c r="T6" i="4"/>
  <c r="T46" i="4"/>
  <c r="F57" i="2" l="1"/>
  <c r="F47" i="2"/>
  <c r="F42" i="2"/>
  <c r="F36" i="2"/>
  <c r="G30" i="2"/>
  <c r="F29" i="2"/>
  <c r="F22" i="2"/>
  <c r="G20" i="2"/>
  <c r="E25" i="2" s="1"/>
  <c r="G25" i="2" s="1"/>
  <c r="E26" i="2" s="1"/>
  <c r="G26" i="2" s="1"/>
  <c r="E27" i="2" s="1"/>
  <c r="G27" i="2" s="1"/>
  <c r="F19" i="2"/>
  <c r="E19" i="2"/>
  <c r="G17" i="2"/>
  <c r="G16" i="2"/>
  <c r="H13" i="5" s="1"/>
  <c r="G15" i="2"/>
  <c r="F14" i="2"/>
  <c r="E14" i="2"/>
  <c r="M117" i="4"/>
  <c r="O107" i="4"/>
  <c r="O106" i="4"/>
  <c r="O76" i="4"/>
  <c r="G14" i="2" l="1"/>
  <c r="R116" i="4"/>
  <c r="E31" i="2"/>
  <c r="G31" i="2" s="1"/>
  <c r="G19" i="2"/>
  <c r="Q116" i="4"/>
  <c r="Q117" i="4"/>
  <c r="V116" i="4" l="1"/>
  <c r="E37" i="2"/>
  <c r="E32" i="2"/>
  <c r="G23" i="2"/>
  <c r="H21" i="5" s="1"/>
  <c r="V88" i="4"/>
  <c r="Q76" i="4"/>
  <c r="F3" i="13"/>
  <c r="H3" i="13"/>
  <c r="D3" i="13"/>
  <c r="I2" i="13"/>
  <c r="J2" i="13"/>
  <c r="K2" i="13"/>
  <c r="D2" i="13"/>
  <c r="H2" i="13"/>
  <c r="Y11" i="4"/>
  <c r="Y15" i="4" s="1"/>
  <c r="Y26" i="4" s="1"/>
  <c r="B10" i="13"/>
  <c r="I19" i="13" l="1"/>
  <c r="H25" i="13" s="1"/>
  <c r="E24" i="2"/>
  <c r="G32" i="2"/>
  <c r="G37" i="2"/>
  <c r="H26" i="5" s="1"/>
  <c r="E33" i="2" l="1"/>
  <c r="E40" i="2"/>
  <c r="G40" i="2" s="1"/>
  <c r="E43" i="2" s="1"/>
  <c r="E38" i="2"/>
  <c r="G24" i="2"/>
  <c r="G22" i="2" s="1"/>
  <c r="E22" i="2"/>
  <c r="G38" i="2" l="1"/>
  <c r="G43" i="2"/>
  <c r="G33" i="2"/>
  <c r="C34" i="13"/>
  <c r="H5" i="13"/>
  <c r="H8" i="13" l="1"/>
  <c r="H10" i="13" s="1"/>
  <c r="H21" i="13" s="1"/>
  <c r="E45" i="2"/>
  <c r="E34" i="2"/>
  <c r="E39" i="2"/>
  <c r="L153" i="4"/>
  <c r="Q41" i="4"/>
  <c r="G34" i="2" l="1"/>
  <c r="G29" i="2" s="1"/>
  <c r="E29" i="2"/>
  <c r="G45" i="2"/>
  <c r="H27" i="5" s="1"/>
  <c r="E42" i="2"/>
  <c r="G39" i="2"/>
  <c r="G36" i="2" s="1"/>
  <c r="E36" i="2"/>
  <c r="H28" i="5" l="1"/>
  <c r="E58" i="2"/>
  <c r="G42" i="2"/>
  <c r="G34" i="4"/>
  <c r="K16" i="2"/>
  <c r="K17" i="2" s="1"/>
  <c r="K15" i="2"/>
  <c r="J142" i="4"/>
  <c r="G58" i="2" l="1"/>
  <c r="E57" i="2"/>
  <c r="J116" i="4"/>
  <c r="Z87" i="4"/>
  <c r="E49" i="4"/>
  <c r="E41" i="4"/>
  <c r="K20" i="2"/>
  <c r="K4" i="13" l="1"/>
  <c r="E50" i="2"/>
  <c r="G57" i="2"/>
  <c r="P34" i="4"/>
  <c r="K30" i="2"/>
  <c r="I31" i="2" s="1"/>
  <c r="I25" i="2"/>
  <c r="K25" i="2" s="1"/>
  <c r="I26" i="2" s="1"/>
  <c r="Z88" i="4"/>
  <c r="Z86" i="4"/>
  <c r="Z79" i="4"/>
  <c r="Q40" i="4"/>
  <c r="K31" i="2" l="1"/>
  <c r="I32" i="2" s="1"/>
  <c r="K32" i="2" s="1"/>
  <c r="I34" i="2"/>
  <c r="E48" i="2"/>
  <c r="G50" i="2"/>
  <c r="E52" i="2" s="1"/>
  <c r="G52" i="2" s="1"/>
  <c r="E53" i="2" s="1"/>
  <c r="G53" i="2" s="1"/>
  <c r="E54" i="2" s="1"/>
  <c r="G54" i="2" s="1"/>
  <c r="E55" i="2" s="1"/>
  <c r="G55" i="2" s="1"/>
  <c r="K26" i="2"/>
  <c r="K23" i="2"/>
  <c r="Q112" i="4"/>
  <c r="M3" i="13" s="1"/>
  <c r="G3" i="13"/>
  <c r="Q109" i="4"/>
  <c r="Q106" i="4"/>
  <c r="E3" i="13" s="1"/>
  <c r="P3" i="13" l="1"/>
  <c r="Q3" i="13"/>
  <c r="N3" i="13"/>
  <c r="I37" i="2"/>
  <c r="K37" i="2" s="1"/>
  <c r="L3" i="13"/>
  <c r="I3" i="13"/>
  <c r="J3" i="13"/>
  <c r="J5" i="13" s="1"/>
  <c r="K24" i="2"/>
  <c r="K27" i="2"/>
  <c r="K3" i="13"/>
  <c r="K5" i="13" s="1"/>
  <c r="G48" i="2"/>
  <c r="G47" i="2" s="1"/>
  <c r="E47" i="2"/>
  <c r="B3" i="13"/>
  <c r="I33" i="2"/>
  <c r="H40" i="4"/>
  <c r="J54" i="4"/>
  <c r="J155" i="4"/>
  <c r="G106" i="4"/>
  <c r="G76" i="4"/>
  <c r="G6" i="4"/>
  <c r="AF3" i="13" l="1"/>
  <c r="K8" i="13"/>
  <c r="K10" i="13" s="1"/>
  <c r="K21" i="13" s="1"/>
  <c r="J8" i="13"/>
  <c r="J10" i="13" s="1"/>
  <c r="J21" i="13" s="1"/>
  <c r="F2" i="13"/>
  <c r="V28" i="4"/>
  <c r="I40" i="2"/>
  <c r="K40" i="2" s="1"/>
  <c r="K33" i="2"/>
  <c r="K34" i="2" s="1"/>
  <c r="H41" i="4"/>
  <c r="I38" i="2"/>
  <c r="G11" i="4"/>
  <c r="J6" i="4" s="1"/>
  <c r="K43" i="2" l="1"/>
  <c r="I45" i="2" s="1"/>
  <c r="K38" i="2"/>
  <c r="I39" i="2" s="1"/>
  <c r="J14" i="2"/>
  <c r="M14" i="2" s="1"/>
  <c r="K45" i="2" l="1"/>
  <c r="K39" i="2"/>
  <c r="J19" i="2"/>
  <c r="M19" i="2" s="1"/>
  <c r="J22" i="2"/>
  <c r="M22" i="2" s="1"/>
  <c r="J29" i="2"/>
  <c r="M29" i="2" s="1"/>
  <c r="J36" i="2"/>
  <c r="M36" i="2" s="1"/>
  <c r="J42" i="2"/>
  <c r="J47" i="2"/>
  <c r="J57" i="2"/>
  <c r="M57" i="2" s="1"/>
  <c r="G24" i="3"/>
  <c r="V142" i="4"/>
  <c r="H19" i="3" s="1"/>
  <c r="V134" i="4"/>
  <c r="H18" i="3" s="1"/>
  <c r="H15" i="3"/>
  <c r="H13" i="3"/>
  <c r="J170" i="4"/>
  <c r="J144" i="4"/>
  <c r="J134" i="4"/>
  <c r="F18" i="3" s="1"/>
  <c r="J88" i="4"/>
  <c r="F13" i="3"/>
  <c r="J34" i="4"/>
  <c r="B171" i="4"/>
  <c r="B173" i="4" s="1"/>
  <c r="B135" i="4"/>
  <c r="L135" i="4" s="1"/>
  <c r="D16" i="3"/>
  <c r="D17" i="3"/>
  <c r="D18" i="3"/>
  <c r="D19" i="3"/>
  <c r="D20" i="3"/>
  <c r="D21" i="3"/>
  <c r="D22" i="3"/>
  <c r="B22" i="3"/>
  <c r="B21" i="3"/>
  <c r="B20" i="3"/>
  <c r="B19" i="3"/>
  <c r="B18" i="3"/>
  <c r="B17" i="3"/>
  <c r="B16" i="3"/>
  <c r="D9" i="3"/>
  <c r="D10" i="3"/>
  <c r="D11" i="3"/>
  <c r="D12" i="3"/>
  <c r="D13" i="3"/>
  <c r="D14" i="3"/>
  <c r="D15" i="3"/>
  <c r="B15" i="3"/>
  <c r="B14" i="3"/>
  <c r="B13" i="3"/>
  <c r="B12" i="3"/>
  <c r="B11" i="3"/>
  <c r="B10" i="3"/>
  <c r="B9" i="3"/>
  <c r="L25" i="4"/>
  <c r="L26" i="4"/>
  <c r="L28" i="4"/>
  <c r="L29" i="4"/>
  <c r="L31" i="4"/>
  <c r="L32" i="4"/>
  <c r="L34" i="4"/>
  <c r="L35" i="4"/>
  <c r="L37" i="4"/>
  <c r="L38" i="4"/>
  <c r="L40" i="4"/>
  <c r="L41" i="4"/>
  <c r="L49" i="4"/>
  <c r="L51" i="4"/>
  <c r="L54" i="4"/>
  <c r="L55" i="4"/>
  <c r="L57" i="4"/>
  <c r="L76" i="4"/>
  <c r="L77" i="4"/>
  <c r="L79" i="4"/>
  <c r="L86" i="4"/>
  <c r="L88" i="4"/>
  <c r="L91" i="4"/>
  <c r="L92" i="4"/>
  <c r="L104" i="4"/>
  <c r="L106" i="4"/>
  <c r="L107" i="4"/>
  <c r="L109" i="4"/>
  <c r="L110" i="4"/>
  <c r="L112" i="4"/>
  <c r="L113" i="4"/>
  <c r="L114" i="4"/>
  <c r="L134" i="4"/>
  <c r="L142" i="4"/>
  <c r="L144" i="4"/>
  <c r="L155" i="4"/>
  <c r="L168" i="4"/>
  <c r="L170" i="4"/>
  <c r="L6" i="4"/>
  <c r="I58" i="2" l="1"/>
  <c r="K58" i="2" s="1"/>
  <c r="I48" i="2"/>
  <c r="M12" i="2"/>
  <c r="P37" i="2" s="1" a="1"/>
  <c r="P37" i="2" s="1"/>
  <c r="F11" i="3"/>
  <c r="J18" i="3"/>
  <c r="L171" i="4"/>
  <c r="L173" i="4"/>
  <c r="B212" i="4"/>
  <c r="L212" i="4" s="1"/>
  <c r="B136" i="4"/>
  <c r="K61" i="2" l="1"/>
  <c r="I50" i="2"/>
  <c r="I51" i="2"/>
  <c r="K51" i="2" s="1"/>
  <c r="L136" i="4"/>
  <c r="B138" i="4"/>
  <c r="I62" i="2" l="1"/>
  <c r="B140" i="4"/>
  <c r="L140" i="4" s="1"/>
  <c r="L138" i="4"/>
  <c r="K62" i="2" l="1"/>
  <c r="I19" i="2"/>
  <c r="I63" i="2" l="1"/>
  <c r="G49" i="4"/>
  <c r="K63" i="2" l="1"/>
  <c r="H17" i="3"/>
  <c r="K14" i="2"/>
  <c r="G1" i="6"/>
  <c r="I64" i="2" l="1"/>
  <c r="H1" i="6"/>
  <c r="K19" i="2"/>
  <c r="K64" i="2" l="1"/>
  <c r="G9" i="6"/>
  <c r="I1" i="6"/>
  <c r="H9" i="6" s="1"/>
  <c r="I57" i="2"/>
  <c r="K22" i="2"/>
  <c r="I65" i="2" l="1"/>
  <c r="H3" i="6"/>
  <c r="J1" i="6"/>
  <c r="I3" i="6" s="1"/>
  <c r="K57" i="2"/>
  <c r="R41" i="4"/>
  <c r="I22" i="2"/>
  <c r="R54" i="4"/>
  <c r="V6" i="4"/>
  <c r="K65" i="2" l="1"/>
  <c r="G11" i="6"/>
  <c r="H11" i="6"/>
  <c r="I11" i="6"/>
  <c r="I9" i="6"/>
  <c r="K1" i="6"/>
  <c r="J3" i="6" s="1"/>
  <c r="K29" i="2"/>
  <c r="I29" i="2"/>
  <c r="H9" i="3"/>
  <c r="I66" i="2" l="1"/>
  <c r="J11" i="6"/>
  <c r="K11" i="6"/>
  <c r="J9" i="6"/>
  <c r="L1" i="6"/>
  <c r="K3" i="6"/>
  <c r="K36" i="2"/>
  <c r="I36" i="2"/>
  <c r="H10" i="3"/>
  <c r="G28" i="4"/>
  <c r="J28" i="4" s="1"/>
  <c r="K66" i="2" l="1"/>
  <c r="L11" i="6"/>
  <c r="K9" i="6"/>
  <c r="M1" i="6"/>
  <c r="L3" i="6"/>
  <c r="F10" i="3"/>
  <c r="J10" i="3" s="1"/>
  <c r="I67" i="2" l="1"/>
  <c r="M11" i="6"/>
  <c r="L9" i="6"/>
  <c r="N1" i="6"/>
  <c r="M3" i="6"/>
  <c r="H49" i="4"/>
  <c r="D6" i="7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 s="1"/>
  <c r="D20" i="7"/>
  <c r="F36" i="9"/>
  <c r="D37" i="9"/>
  <c r="D36" i="9" s="1"/>
  <c r="K67" i="2" l="1"/>
  <c r="K60" i="2" s="1"/>
  <c r="I60" i="2"/>
  <c r="M9" i="6"/>
  <c r="O1" i="6"/>
  <c r="N3" i="6"/>
  <c r="K50" i="2"/>
  <c r="K48" i="2"/>
  <c r="I42" i="2"/>
  <c r="D29" i="9"/>
  <c r="D9" i="9"/>
  <c r="J21" i="7"/>
  <c r="J22" i="7"/>
  <c r="B31" i="9"/>
  <c r="B30" i="9"/>
  <c r="H7" i="7"/>
  <c r="H8" i="7"/>
  <c r="H9" i="7"/>
  <c r="M9" i="7"/>
  <c r="M7" i="7"/>
  <c r="M8" i="7"/>
  <c r="D12" i="7"/>
  <c r="D11" i="7"/>
  <c r="D10" i="7"/>
  <c r="D8" i="7"/>
  <c r="D7" i="7"/>
  <c r="V34" i="4"/>
  <c r="H11" i="3" s="1"/>
  <c r="J11" i="3" s="1"/>
  <c r="G41" i="4"/>
  <c r="G40" i="4"/>
  <c r="O11" i="6" l="1"/>
  <c r="N11" i="6"/>
  <c r="N9" i="6"/>
  <c r="P1" i="6"/>
  <c r="J40" i="4"/>
  <c r="V155" i="4"/>
  <c r="H21" i="3" s="1"/>
  <c r="I52" i="2"/>
  <c r="K52" i="2" s="1"/>
  <c r="Z77" i="4"/>
  <c r="K42" i="2"/>
  <c r="D24" i="9"/>
  <c r="D23" i="9" s="1"/>
  <c r="D43" i="9" s="1"/>
  <c r="L36" i="9"/>
  <c r="O7" i="7"/>
  <c r="O21" i="7"/>
  <c r="O10" i="7"/>
  <c r="O24" i="7"/>
  <c r="O12" i="7"/>
  <c r="O26" i="7"/>
  <c r="O8" i="7"/>
  <c r="O22" i="7"/>
  <c r="J6" i="7"/>
  <c r="O20" i="7"/>
  <c r="O11" i="7"/>
  <c r="O25" i="7"/>
  <c r="D23" i="7"/>
  <c r="J10" i="7"/>
  <c r="O6" i="7"/>
  <c r="E7" i="7"/>
  <c r="J11" i="7"/>
  <c r="J7" i="7"/>
  <c r="D9" i="7"/>
  <c r="O23" i="7" s="1"/>
  <c r="E8" i="7"/>
  <c r="J12" i="7"/>
  <c r="J8" i="7"/>
  <c r="H22" i="7"/>
  <c r="M20" i="7"/>
  <c r="H20" i="7"/>
  <c r="M6" i="7"/>
  <c r="H6" i="7"/>
  <c r="L29" i="7"/>
  <c r="D38" i="7" s="1"/>
  <c r="G29" i="7"/>
  <c r="D37" i="7" s="1"/>
  <c r="I53" i="2" l="1"/>
  <c r="K53" i="2" s="1"/>
  <c r="I54" i="2" s="1"/>
  <c r="K54" i="2" s="1"/>
  <c r="I55" i="2" s="1"/>
  <c r="K55" i="2" s="1"/>
  <c r="O3" i="6"/>
  <c r="O9" i="6"/>
  <c r="Q1" i="6"/>
  <c r="P3" i="6"/>
  <c r="F9" i="6"/>
  <c r="H134" i="4"/>
  <c r="O29" i="7"/>
  <c r="E23" i="7"/>
  <c r="J23" i="7"/>
  <c r="L23" i="9"/>
  <c r="O9" i="7"/>
  <c r="J9" i="7"/>
  <c r="E9" i="7"/>
  <c r="Q11" i="6" l="1"/>
  <c r="P11" i="6"/>
  <c r="P9" i="6"/>
  <c r="R1" i="6"/>
  <c r="Q3" i="6"/>
  <c r="H16" i="6"/>
  <c r="I16" i="6"/>
  <c r="J16" i="6"/>
  <c r="K16" i="6"/>
  <c r="L16" i="6"/>
  <c r="M16" i="6"/>
  <c r="N16" i="6"/>
  <c r="O16" i="6"/>
  <c r="P16" i="6"/>
  <c r="G16" i="6"/>
  <c r="F16" i="6"/>
  <c r="H76" i="4"/>
  <c r="H106" i="4" s="1"/>
  <c r="H6" i="4"/>
  <c r="D15" i="10" a="1"/>
  <c r="D15" i="10" s="1"/>
  <c r="B1" i="10" s="1"/>
  <c r="L29" i="9"/>
  <c r="L15" i="7"/>
  <c r="D36" i="7" s="1"/>
  <c r="G15" i="7"/>
  <c r="D35" i="7" s="1"/>
  <c r="Q16" i="6" l="1"/>
  <c r="Q9" i="6"/>
  <c r="S1" i="6"/>
  <c r="R3" i="6"/>
  <c r="F17" i="6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H11" i="4"/>
  <c r="H118" i="4"/>
  <c r="H116" i="4"/>
  <c r="G86" i="4"/>
  <c r="F15" i="3"/>
  <c r="J15" i="3" s="1"/>
  <c r="Q17" i="6" l="1"/>
  <c r="R11" i="6"/>
  <c r="R9" i="6"/>
  <c r="T1" i="6"/>
  <c r="S3" i="6"/>
  <c r="S16" i="6"/>
  <c r="R16" i="6"/>
  <c r="H13" i="4"/>
  <c r="I5" i="13"/>
  <c r="V76" i="4"/>
  <c r="H14" i="3" s="1"/>
  <c r="H28" i="4"/>
  <c r="H34" i="4"/>
  <c r="L17" i="9"/>
  <c r="H17" i="9"/>
  <c r="R17" i="6" l="1"/>
  <c r="S11" i="6"/>
  <c r="S9" i="6"/>
  <c r="S17" i="6"/>
  <c r="U1" i="6"/>
  <c r="T16" i="6"/>
  <c r="T17" i="6" s="1"/>
  <c r="I8" i="13"/>
  <c r="I10" i="13" s="1"/>
  <c r="I21" i="13" s="1"/>
  <c r="H54" i="4"/>
  <c r="H29" i="4"/>
  <c r="J12" i="2"/>
  <c r="U11" i="6" l="1"/>
  <c r="T11" i="6"/>
  <c r="T3" i="6"/>
  <c r="T9" i="6"/>
  <c r="V1" i="6"/>
  <c r="H86" i="4"/>
  <c r="H107" i="4"/>
  <c r="F10" i="6"/>
  <c r="V11" i="6" l="1"/>
  <c r="U16" i="6"/>
  <c r="U17" i="6" s="1"/>
  <c r="U3" i="6"/>
  <c r="U9" i="6"/>
  <c r="W1" i="6"/>
  <c r="V3" i="6"/>
  <c r="V16" i="6"/>
  <c r="V17" i="6" s="1"/>
  <c r="D4" i="5"/>
  <c r="W11" i="6" l="1"/>
  <c r="V9" i="6"/>
  <c r="X1" i="6"/>
  <c r="W16" i="6"/>
  <c r="W17" i="6" s="1"/>
  <c r="F27" i="5"/>
  <c r="F28" i="5"/>
  <c r="F29" i="5"/>
  <c r="F26" i="5"/>
  <c r="F30" i="5"/>
  <c r="C3" i="6"/>
  <c r="D10" i="5"/>
  <c r="F6" i="6"/>
  <c r="F32" i="5" l="1"/>
  <c r="F4" i="5" s="1"/>
  <c r="W9" i="6"/>
  <c r="W3" i="6"/>
  <c r="Y1" i="6"/>
  <c r="X3" i="6"/>
  <c r="F22" i="3"/>
  <c r="G114" i="4"/>
  <c r="G110" i="4"/>
  <c r="G109" i="4"/>
  <c r="G107" i="4"/>
  <c r="Y11" i="6" l="1"/>
  <c r="X9" i="6"/>
  <c r="Z1" i="6"/>
  <c r="Y3" i="6"/>
  <c r="Y16" i="6"/>
  <c r="F58" i="5"/>
  <c r="H109" i="4"/>
  <c r="J106" i="4"/>
  <c r="F9" i="3"/>
  <c r="J9" i="3" s="1"/>
  <c r="Z11" i="6" l="1"/>
  <c r="Y9" i="6"/>
  <c r="AA1" i="6"/>
  <c r="Z3" i="6"/>
  <c r="Z16" i="6"/>
  <c r="L4" i="5"/>
  <c r="Q153" i="4"/>
  <c r="F54" i="5"/>
  <c r="F55" i="5"/>
  <c r="F52" i="5"/>
  <c r="F56" i="5"/>
  <c r="F53" i="5"/>
  <c r="V106" i="4"/>
  <c r="H16" i="3" s="1"/>
  <c r="H9" i="9"/>
  <c r="L9" i="9"/>
  <c r="L43" i="9" s="1"/>
  <c r="Z9" i="6" l="1"/>
  <c r="AB1" i="6"/>
  <c r="AA16" i="6"/>
  <c r="O4" i="13"/>
  <c r="O5" i="13" s="1"/>
  <c r="N4" i="13"/>
  <c r="M4" i="13"/>
  <c r="V144" i="4"/>
  <c r="H20" i="3" s="1"/>
  <c r="F57" i="5"/>
  <c r="AB11" i="6" l="1"/>
  <c r="AA11" i="6"/>
  <c r="AA9" i="6"/>
  <c r="AA3" i="6"/>
  <c r="AC1" i="6"/>
  <c r="AB16" i="6"/>
  <c r="M5" i="13"/>
  <c r="M8" i="13" s="1"/>
  <c r="M10" i="13" s="1"/>
  <c r="M21" i="13" s="1"/>
  <c r="F21" i="3"/>
  <c r="J21" i="3" s="1"/>
  <c r="F20" i="3"/>
  <c r="J20" i="3" s="1"/>
  <c r="F19" i="3"/>
  <c r="J19" i="3" s="1"/>
  <c r="J13" i="3"/>
  <c r="F16" i="3"/>
  <c r="J16" i="3" s="1"/>
  <c r="J76" i="4"/>
  <c r="F12" i="3"/>
  <c r="L2" i="1"/>
  <c r="L14" i="1" s="1"/>
  <c r="M2" i="1" l="1"/>
  <c r="M37" i="1" s="1"/>
  <c r="L24" i="1"/>
  <c r="AB3" i="6"/>
  <c r="AB9" i="6"/>
  <c r="AD1" i="6"/>
  <c r="AC11" i="6" s="1"/>
  <c r="AC3" i="6"/>
  <c r="AC16" i="6"/>
  <c r="H142" i="4"/>
  <c r="H136" i="4"/>
  <c r="F12" i="2"/>
  <c r="J2" i="4"/>
  <c r="Z76" i="4"/>
  <c r="Z105" i="4" s="1"/>
  <c r="Z106" i="4" s="1"/>
  <c r="Z107" i="4" s="1"/>
  <c r="J20" i="7"/>
  <c r="J29" i="7" s="1"/>
  <c r="F17" i="3"/>
  <c r="J17" i="3" s="1"/>
  <c r="F14" i="3"/>
  <c r="J14" i="3" s="1"/>
  <c r="L26" i="1"/>
  <c r="M45" i="1"/>
  <c r="M44" i="1"/>
  <c r="M43" i="1"/>
  <c r="M42" i="1"/>
  <c r="M39" i="1"/>
  <c r="M38" i="1"/>
  <c r="M29" i="1"/>
  <c r="M28" i="1"/>
  <c r="M27" i="1"/>
  <c r="M26" i="1"/>
  <c r="M25" i="1"/>
  <c r="M24" i="1"/>
  <c r="M7" i="1"/>
  <c r="M5" i="1"/>
  <c r="M13" i="1"/>
  <c r="M10" i="1"/>
  <c r="M16" i="1"/>
  <c r="N2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M11" i="1" l="1"/>
  <c r="M32" i="1"/>
  <c r="M6" i="1"/>
  <c r="M35" i="1"/>
  <c r="M22" i="1"/>
  <c r="M36" i="1"/>
  <c r="M9" i="1"/>
  <c r="M31" i="1"/>
  <c r="AD11" i="6"/>
  <c r="M14" i="1"/>
  <c r="M33" i="1"/>
  <c r="M4" i="1"/>
  <c r="M20" i="1"/>
  <c r="M19" i="1"/>
  <c r="M23" i="1"/>
  <c r="M3" i="1"/>
  <c r="M8" i="1"/>
  <c r="AC9" i="6"/>
  <c r="AE1" i="6"/>
  <c r="AD16" i="6"/>
  <c r="H110" i="4"/>
  <c r="E6" i="7"/>
  <c r="D15" i="7"/>
  <c r="D34" i="7" s="1"/>
  <c r="D40" i="7" s="1"/>
  <c r="B40" i="7" s="1"/>
  <c r="E20" i="7"/>
  <c r="D29" i="7"/>
  <c r="F5" i="3"/>
  <c r="F24" i="3" s="1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AE11" i="6" l="1"/>
  <c r="AD3" i="6"/>
  <c r="AD9" i="6"/>
  <c r="AF1" i="6"/>
  <c r="AE16" i="6"/>
  <c r="H114" i="4"/>
  <c r="D5" i="5"/>
  <c r="C5" i="6" s="1"/>
  <c r="D27" i="13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AE3" i="6" l="1"/>
  <c r="AE9" i="6"/>
  <c r="X5" i="6"/>
  <c r="AG1" i="6"/>
  <c r="T5" i="6"/>
  <c r="H5" i="6"/>
  <c r="AA5" i="6"/>
  <c r="K5" i="6"/>
  <c r="L5" i="6"/>
  <c r="N5" i="6"/>
  <c r="AC5" i="6"/>
  <c r="S5" i="6"/>
  <c r="Z5" i="6"/>
  <c r="U5" i="6"/>
  <c r="V5" i="6"/>
  <c r="J5" i="6"/>
  <c r="Y5" i="6"/>
  <c r="AB5" i="6"/>
  <c r="I5" i="6"/>
  <c r="M5" i="6"/>
  <c r="Q5" i="6"/>
  <c r="P5" i="6"/>
  <c r="AE5" i="6"/>
  <c r="R5" i="6"/>
  <c r="W5" i="6"/>
  <c r="AD5" i="6"/>
  <c r="O5" i="6"/>
  <c r="G5" i="6"/>
  <c r="F3" i="6"/>
  <c r="G3" i="6"/>
  <c r="C9" i="6"/>
  <c r="D6" i="5"/>
  <c r="D7" i="5" s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AG11" i="6" l="1"/>
  <c r="AF11" i="6"/>
  <c r="AF5" i="6"/>
  <c r="AF3" i="6"/>
  <c r="AF9" i="6"/>
  <c r="AF16" i="6"/>
  <c r="AH1" i="6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F4" i="6"/>
  <c r="F7" i="6" s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AG3" i="6" l="1"/>
  <c r="AF6" i="6"/>
  <c r="AG16" i="6"/>
  <c r="AG9" i="6"/>
  <c r="AI1" i="6"/>
  <c r="AH11" i="6" s="1"/>
  <c r="AG5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AG6" i="6" l="1"/>
  <c r="AH16" i="6"/>
  <c r="AH3" i="6"/>
  <c r="AH5" i="6"/>
  <c r="AH6" i="6" s="1"/>
  <c r="AH9" i="6"/>
  <c r="AJ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AI5" i="6" l="1"/>
  <c r="AI6" i="6" s="1"/>
  <c r="AI9" i="6"/>
  <c r="AK1" i="6"/>
  <c r="AJ3" i="6"/>
  <c r="AJ16" i="6"/>
  <c r="AJ5" i="6"/>
  <c r="AI3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AJ11" i="6" l="1"/>
  <c r="AJ6" i="6"/>
  <c r="AJ9" i="6"/>
  <c r="AL1" i="6"/>
  <c r="AK3" i="6"/>
  <c r="AK16" i="6"/>
  <c r="AK5" i="6"/>
  <c r="AK6" i="6" s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AK11" i="6" l="1"/>
  <c r="AK9" i="6"/>
  <c r="AM1" i="6"/>
  <c r="AL3" i="6"/>
  <c r="AL16" i="6"/>
  <c r="AL5" i="6"/>
  <c r="AL6" i="6" s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AM11" i="6" l="1"/>
  <c r="AL11" i="6"/>
  <c r="AL9" i="6"/>
  <c r="AN1" i="6"/>
  <c r="AM3" i="6"/>
  <c r="AM16" i="6"/>
  <c r="AM5" i="6"/>
  <c r="AM6" i="6" s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AN11" i="6" l="1"/>
  <c r="AM9" i="6"/>
  <c r="AO1" i="6"/>
  <c r="AN3" i="6" s="1"/>
  <c r="AN16" i="6"/>
  <c r="AN5" i="6"/>
  <c r="AN6" i="6" s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AO11" i="6" l="1"/>
  <c r="AN9" i="6"/>
  <c r="AP1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AO3" i="6" l="1"/>
  <c r="AO16" i="6"/>
  <c r="AO5" i="6"/>
  <c r="AO6" i="6" s="1"/>
  <c r="AO9" i="6"/>
  <c r="AQ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Q11" i="6" l="1"/>
  <c r="AP11" i="6"/>
  <c r="AP5" i="6"/>
  <c r="AP6" i="6" s="1"/>
  <c r="AP16" i="6"/>
  <c r="AP3" i="6"/>
  <c r="AP9" i="6"/>
  <c r="AR1" i="6"/>
  <c r="AQ16" i="6"/>
  <c r="AQ5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Q6" i="6" l="1"/>
  <c r="AQ3" i="6"/>
  <c r="AQ9" i="6"/>
  <c r="AS1" i="6"/>
  <c r="AR16" i="6"/>
  <c r="AR5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R6" i="6" l="1"/>
  <c r="AR11" i="6"/>
  <c r="AR9" i="6"/>
  <c r="AR3" i="6"/>
  <c r="AT1" i="6"/>
  <c r="AS16" i="6"/>
  <c r="AS5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S6" i="6" l="1"/>
  <c r="AS11" i="6"/>
  <c r="AS3" i="6"/>
  <c r="AS9" i="6"/>
  <c r="AU1" i="6"/>
  <c r="AT3" i="6"/>
  <c r="AT16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U11" i="6" l="1"/>
  <c r="AT11" i="6"/>
  <c r="AT9" i="6"/>
  <c r="AT5" i="6"/>
  <c r="AT6" i="6" s="1"/>
  <c r="AV1" i="6"/>
  <c r="AU16" i="6"/>
  <c r="AU3" i="6"/>
  <c r="AU5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U6" i="6" l="1"/>
  <c r="AU9" i="6"/>
  <c r="AW1" i="6"/>
  <c r="AV16" i="6"/>
  <c r="AV3" i="6"/>
  <c r="AV5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W11" i="6" l="1"/>
  <c r="AV11" i="6"/>
  <c r="AV6" i="6"/>
  <c r="AV9" i="6"/>
  <c r="AX1" i="6"/>
  <c r="AW5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W6" i="6" l="1"/>
  <c r="AW9" i="6"/>
  <c r="AW16" i="6"/>
  <c r="AY1" i="6"/>
  <c r="AX16" i="6"/>
  <c r="AW3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Y11" i="6" l="1"/>
  <c r="AX11" i="6"/>
  <c r="AX9" i="6"/>
  <c r="AZ1" i="6"/>
  <c r="AY3" i="6"/>
  <c r="AY5" i="6"/>
  <c r="AX3" i="6"/>
  <c r="AX5" i="6"/>
  <c r="AX6" i="6" s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Y16" i="6" l="1"/>
  <c r="AY9" i="6"/>
  <c r="BA1" i="6"/>
  <c r="AZ5" i="6"/>
  <c r="AY6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Z11" i="6" l="1"/>
  <c r="AZ9" i="6"/>
  <c r="AZ6" i="6"/>
  <c r="BB1" i="6"/>
  <c r="BA16" i="6"/>
  <c r="BA5" i="6"/>
  <c r="AZ16" i="6"/>
  <c r="AZ3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BB11" i="6" l="1"/>
  <c r="BA11" i="6"/>
  <c r="BA3" i="6"/>
  <c r="BA9" i="6"/>
  <c r="BC1" i="6"/>
  <c r="BB16" i="6"/>
  <c r="BB3" i="6"/>
  <c r="BB5" i="6"/>
  <c r="BA6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BC11" i="6" l="1"/>
  <c r="BB9" i="6"/>
  <c r="BD1" i="6"/>
  <c r="BC16" i="6"/>
  <c r="BC3" i="6"/>
  <c r="BC5" i="6"/>
  <c r="BB6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BC9" i="6" l="1"/>
  <c r="BE1" i="6"/>
  <c r="BD3" i="6"/>
  <c r="BD16" i="6"/>
  <c r="BD5" i="6"/>
  <c r="BC6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BD11" i="6" l="1"/>
  <c r="BD9" i="6"/>
  <c r="BF1" i="6"/>
  <c r="BE3" i="6"/>
  <c r="BE5" i="6"/>
  <c r="BD6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BE11" i="6" l="1"/>
  <c r="BE16" i="6"/>
  <c r="BE9" i="6"/>
  <c r="BE6" i="6"/>
  <c r="BG1" i="6"/>
  <c r="BF16" i="6"/>
  <c r="BF3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BF11" i="6" l="1"/>
  <c r="BF5" i="6"/>
  <c r="BF6" i="6" s="1"/>
  <c r="BF9" i="6"/>
  <c r="BH1" i="6"/>
  <c r="BG3" i="6"/>
  <c r="B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BH11" i="6" l="1"/>
  <c r="BG11" i="6"/>
  <c r="BG16" i="6"/>
  <c r="BG9" i="6"/>
  <c r="BG6" i="6"/>
  <c r="BI1" i="6"/>
  <c r="BH5" i="6"/>
  <c r="G10" i="6"/>
  <c r="H10" i="6" s="1"/>
  <c r="BI11" i="6" l="1"/>
  <c r="BH9" i="6"/>
  <c r="BJ1" i="6"/>
  <c r="BI3" i="6"/>
  <c r="BI5" i="6"/>
  <c r="BH3" i="6"/>
  <c r="BH16" i="6"/>
  <c r="BH6" i="6"/>
  <c r="I10" i="6"/>
  <c r="BJ11" i="6" l="1"/>
  <c r="BI9" i="6"/>
  <c r="BK1" i="6"/>
  <c r="BJ16" i="6"/>
  <c r="BJ3" i="6"/>
  <c r="BJ5" i="6"/>
  <c r="BI6" i="6"/>
  <c r="J10" i="6"/>
  <c r="BK11" i="6" l="1"/>
  <c r="BJ9" i="6"/>
  <c r="BJ6" i="6"/>
  <c r="BL1" i="6"/>
  <c r="K10" i="6"/>
  <c r="F29" i="9"/>
  <c r="H36" i="9"/>
  <c r="BK16" i="6" l="1"/>
  <c r="BK9" i="6"/>
  <c r="BM1" i="6"/>
  <c r="BL16" i="6"/>
  <c r="BL3" i="6"/>
  <c r="BK5" i="6"/>
  <c r="BK3" i="6"/>
  <c r="L10" i="6"/>
  <c r="H29" i="9"/>
  <c r="BM11" i="6" l="1"/>
  <c r="BL11" i="6"/>
  <c r="BL9" i="6"/>
  <c r="BK6" i="6"/>
  <c r="BL5" i="6"/>
  <c r="BN1" i="6"/>
  <c r="BM3" i="6"/>
  <c r="M10" i="6"/>
  <c r="G4" i="6"/>
  <c r="BN11" i="6" l="1"/>
  <c r="BM9" i="6"/>
  <c r="BM16" i="6"/>
  <c r="BO1" i="6"/>
  <c r="BN5" i="6"/>
  <c r="BL6" i="6"/>
  <c r="BM5" i="6"/>
  <c r="G7" i="6"/>
  <c r="H4" i="6"/>
  <c r="N10" i="6"/>
  <c r="H23" i="9"/>
  <c r="H43" i="9" s="1"/>
  <c r="BN9" i="6" l="1"/>
  <c r="BM6" i="6"/>
  <c r="BN6" i="6" s="1"/>
  <c r="BN3" i="6"/>
  <c r="BP1" i="6"/>
  <c r="BO3" i="6"/>
  <c r="BO5" i="6"/>
  <c r="O10" i="6"/>
  <c r="I4" i="6"/>
  <c r="H7" i="6"/>
  <c r="I14" i="2"/>
  <c r="BO11" i="6" l="1"/>
  <c r="BO9" i="6"/>
  <c r="BO6" i="6"/>
  <c r="BQ1" i="6"/>
  <c r="BP3" i="6"/>
  <c r="J4" i="6"/>
  <c r="I7" i="6"/>
  <c r="P10" i="6"/>
  <c r="I47" i="2"/>
  <c r="BP11" i="6" l="1"/>
  <c r="BP5" i="6"/>
  <c r="BP6" i="6" s="1"/>
  <c r="BP16" i="6"/>
  <c r="BP9" i="6"/>
  <c r="BR1" i="6"/>
  <c r="Q10" i="6"/>
  <c r="K4" i="6"/>
  <c r="J7" i="6"/>
  <c r="K47" i="2"/>
  <c r="BQ11" i="6" l="1"/>
  <c r="BQ16" i="6"/>
  <c r="BQ5" i="6"/>
  <c r="BQ6" i="6" s="1"/>
  <c r="BQ3" i="6"/>
  <c r="BQ9" i="6"/>
  <c r="BS1" i="6"/>
  <c r="L4" i="6"/>
  <c r="K7" i="6"/>
  <c r="R10" i="6"/>
  <c r="F11" i="6"/>
  <c r="BR5" i="6" l="1"/>
  <c r="D5" i="6" s="1"/>
  <c r="BS11" i="6"/>
  <c r="BR11" i="6"/>
  <c r="BR9" i="6"/>
  <c r="BR16" i="6"/>
  <c r="BT1" i="6"/>
  <c r="BS5" i="6"/>
  <c r="BS3" i="6"/>
  <c r="BS16" i="6"/>
  <c r="BR3" i="6"/>
  <c r="D3" i="6" s="1"/>
  <c r="S10" i="6"/>
  <c r="M4" i="6"/>
  <c r="L7" i="6"/>
  <c r="F12" i="6"/>
  <c r="BR6" i="6" l="1"/>
  <c r="BS6" i="6" s="1"/>
  <c r="BT11" i="6"/>
  <c r="BS9" i="6"/>
  <c r="BU1" i="6"/>
  <c r="BT16" i="6"/>
  <c r="BT5" i="6"/>
  <c r="M7" i="6"/>
  <c r="N4" i="6"/>
  <c r="T10" i="6"/>
  <c r="F14" i="6"/>
  <c r="G12" i="6"/>
  <c r="H12" i="6" s="1"/>
  <c r="BU11" i="6" l="1"/>
  <c r="BT6" i="6"/>
  <c r="BT9" i="6"/>
  <c r="BT3" i="6"/>
  <c r="BV1" i="6"/>
  <c r="BU5" i="6"/>
  <c r="BU3" i="6"/>
  <c r="BU16" i="6"/>
  <c r="I12" i="6"/>
  <c r="H14" i="6"/>
  <c r="N7" i="6"/>
  <c r="O4" i="6"/>
  <c r="U10" i="6"/>
  <c r="G14" i="6"/>
  <c r="BV11" i="6" l="1"/>
  <c r="BU6" i="6"/>
  <c r="BW1" i="6"/>
  <c r="BV9" i="6"/>
  <c r="BU9" i="6"/>
  <c r="BV5" i="6"/>
  <c r="BV16" i="6"/>
  <c r="BV3" i="6"/>
  <c r="V10" i="6"/>
  <c r="O7" i="6"/>
  <c r="P4" i="6"/>
  <c r="J12" i="6"/>
  <c r="I14" i="6"/>
  <c r="Z133" i="4"/>
  <c r="Z134" i="4" s="1"/>
  <c r="P49" i="4"/>
  <c r="BW11" i="6" l="1"/>
  <c r="BV6" i="6"/>
  <c r="BW3" i="6"/>
  <c r="BX1" i="6"/>
  <c r="BW16" i="6"/>
  <c r="BW5" i="6"/>
  <c r="K12" i="6"/>
  <c r="J14" i="6"/>
  <c r="Q4" i="6"/>
  <c r="P7" i="6"/>
  <c r="W10" i="6"/>
  <c r="Q49" i="4"/>
  <c r="X11" i="6" s="1"/>
  <c r="Q50" i="4"/>
  <c r="AI11" i="6" s="1"/>
  <c r="Q2" i="13"/>
  <c r="Q5" i="13" s="1"/>
  <c r="BW6" i="6" l="1"/>
  <c r="BX11" i="6"/>
  <c r="BY1" i="6"/>
  <c r="BX9" i="6"/>
  <c r="BX3" i="6"/>
  <c r="BX16" i="6"/>
  <c r="BX5" i="6"/>
  <c r="BW9" i="6"/>
  <c r="Q8" i="13"/>
  <c r="Q10" i="13" s="1"/>
  <c r="Q21" i="13" s="1"/>
  <c r="O8" i="13"/>
  <c r="O10" i="13" s="1"/>
  <c r="O21" i="13" s="1"/>
  <c r="P2" i="13"/>
  <c r="P5" i="13" s="1"/>
  <c r="N2" i="13"/>
  <c r="N5" i="13" s="1"/>
  <c r="BO16" i="6"/>
  <c r="BI16" i="6"/>
  <c r="AI16" i="6"/>
  <c r="BN16" i="6"/>
  <c r="X16" i="6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X10" i="6"/>
  <c r="Q7" i="6"/>
  <c r="R4" i="6"/>
  <c r="L12" i="6"/>
  <c r="K14" i="6"/>
  <c r="L2" i="13"/>
  <c r="L5" i="13" s="1"/>
  <c r="D32" i="13"/>
  <c r="G2" i="13"/>
  <c r="E2" i="13"/>
  <c r="V40" i="4"/>
  <c r="H12" i="3" s="1"/>
  <c r="B2" i="13"/>
  <c r="BX6" i="6" l="1"/>
  <c r="BY11" i="6"/>
  <c r="BZ1" i="6"/>
  <c r="BY3" i="6"/>
  <c r="BY16" i="6"/>
  <c r="BY5" i="6"/>
  <c r="AF2" i="13"/>
  <c r="P8" i="13"/>
  <c r="P10" i="13" s="1"/>
  <c r="P21" i="13" s="1"/>
  <c r="N8" i="13"/>
  <c r="N10" i="13" s="1"/>
  <c r="N21" i="13" s="1"/>
  <c r="L8" i="13"/>
  <c r="L10" i="13" s="1"/>
  <c r="L21" i="13" s="1"/>
  <c r="AI17" i="6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M12" i="6"/>
  <c r="L14" i="6"/>
  <c r="S4" i="6"/>
  <c r="R7" i="6"/>
  <c r="Y10" i="6"/>
  <c r="D16" i="6"/>
  <c r="F5" i="13"/>
  <c r="G5" i="13"/>
  <c r="E5" i="13"/>
  <c r="J12" i="3"/>
  <c r="BY6" i="6" l="1"/>
  <c r="BZ11" i="6"/>
  <c r="BY17" i="6"/>
  <c r="CA1" i="6"/>
  <c r="BZ3" i="6"/>
  <c r="BZ16" i="6"/>
  <c r="BZ5" i="6"/>
  <c r="BY9" i="6"/>
  <c r="H23" i="13"/>
  <c r="Z10" i="6"/>
  <c r="T4" i="6"/>
  <c r="S7" i="6"/>
  <c r="N12" i="6"/>
  <c r="M14" i="6"/>
  <c r="G8" i="13"/>
  <c r="G10" i="13" s="1"/>
  <c r="G21" i="13" s="1"/>
  <c r="F8" i="13"/>
  <c r="F10" i="13" s="1"/>
  <c r="F21" i="13" s="1"/>
  <c r="E8" i="13"/>
  <c r="E10" i="13" s="1"/>
  <c r="E21" i="13" s="1"/>
  <c r="D5" i="13"/>
  <c r="D8" i="13" s="1"/>
  <c r="D10" i="13" s="1"/>
  <c r="BZ6" i="6" l="1"/>
  <c r="BZ9" i="6"/>
  <c r="CA11" i="6"/>
  <c r="BZ17" i="6"/>
  <c r="CB1" i="6"/>
  <c r="CA3" i="6"/>
  <c r="CA16" i="6"/>
  <c r="CA5" i="6"/>
  <c r="O12" i="6"/>
  <c r="N14" i="6"/>
  <c r="U4" i="6"/>
  <c r="T7" i="6"/>
  <c r="AA10" i="6"/>
  <c r="D21" i="13"/>
  <c r="D28" i="13" s="1"/>
  <c r="D29" i="13" s="1"/>
  <c r="AF10" i="13"/>
  <c r="CA6" i="6" l="1"/>
  <c r="CA17" i="6"/>
  <c r="CB3" i="6"/>
  <c r="CC1" i="6"/>
  <c r="CB16" i="6"/>
  <c r="CB5" i="6"/>
  <c r="CB6" i="6" s="1"/>
  <c r="CA9" i="6"/>
  <c r="AB10" i="6"/>
  <c r="V4" i="6"/>
  <c r="U7" i="6"/>
  <c r="P12" i="6"/>
  <c r="O14" i="6"/>
  <c r="CB9" i="6" l="1"/>
  <c r="CB11" i="6"/>
  <c r="CB17" i="6"/>
  <c r="CD1" i="6"/>
  <c r="CC3" i="6"/>
  <c r="CC16" i="6"/>
  <c r="CC5" i="6"/>
  <c r="CC6" i="6" s="1"/>
  <c r="Q12" i="6"/>
  <c r="P14" i="6"/>
  <c r="W4" i="6"/>
  <c r="V7" i="6"/>
  <c r="AC10" i="6"/>
  <c r="CD11" i="6" l="1"/>
  <c r="CC11" i="6"/>
  <c r="CC17" i="6"/>
  <c r="CE1" i="6"/>
  <c r="CD3" i="6"/>
  <c r="CD16" i="6"/>
  <c r="CD5" i="6"/>
  <c r="CD6" i="6" s="1"/>
  <c r="CC9" i="6"/>
  <c r="AD10" i="6"/>
  <c r="X4" i="6"/>
  <c r="W7" i="6"/>
  <c r="R12" i="6"/>
  <c r="Q14" i="6"/>
  <c r="CE11" i="6" l="1"/>
  <c r="CD17" i="6"/>
  <c r="CE3" i="6"/>
  <c r="CF1" i="6"/>
  <c r="CE16" i="6"/>
  <c r="CE5" i="6"/>
  <c r="CE6" i="6" s="1"/>
  <c r="CD9" i="6"/>
  <c r="S12" i="6"/>
  <c r="R14" i="6"/>
  <c r="Y4" i="6"/>
  <c r="X7" i="6"/>
  <c r="AE10" i="6"/>
  <c r="CE9" i="6" l="1"/>
  <c r="CE17" i="6"/>
  <c r="CG1" i="6"/>
  <c r="CF3" i="6"/>
  <c r="CF16" i="6"/>
  <c r="CF5" i="6"/>
  <c r="CF6" i="6" s="1"/>
  <c r="AF10" i="6"/>
  <c r="Z4" i="6"/>
  <c r="Y7" i="6"/>
  <c r="T12" i="6"/>
  <c r="S14" i="6"/>
  <c r="CG11" i="6" l="1"/>
  <c r="CF11" i="6"/>
  <c r="CF17" i="6"/>
  <c r="CH1" i="6"/>
  <c r="CG3" i="6"/>
  <c r="CG16" i="6"/>
  <c r="CG5" i="6"/>
  <c r="CG6" i="6" s="1"/>
  <c r="CF9" i="6"/>
  <c r="U12" i="6"/>
  <c r="T14" i="6"/>
  <c r="Z7" i="6"/>
  <c r="AA4" i="6"/>
  <c r="AG10" i="6"/>
  <c r="CG17" i="6" l="1"/>
  <c r="CI1" i="6"/>
  <c r="CH3" i="6"/>
  <c r="CH16" i="6"/>
  <c r="CH5" i="6"/>
  <c r="CH6" i="6" s="1"/>
  <c r="CG9" i="6"/>
  <c r="AH10" i="6"/>
  <c r="AB4" i="6"/>
  <c r="AA7" i="6"/>
  <c r="V12" i="6"/>
  <c r="U14" i="6"/>
  <c r="CH11" i="6" l="1"/>
  <c r="CH17" i="6"/>
  <c r="CJ1" i="6"/>
  <c r="CI3" i="6"/>
  <c r="CI16" i="6"/>
  <c r="CI5" i="6"/>
  <c r="CI6" i="6" s="1"/>
  <c r="CH9" i="6"/>
  <c r="W12" i="6"/>
  <c r="V14" i="6"/>
  <c r="AB7" i="6"/>
  <c r="AC4" i="6"/>
  <c r="AI10" i="6"/>
  <c r="CI11" i="6" l="1"/>
  <c r="CI17" i="6"/>
  <c r="CJ3" i="6"/>
  <c r="CK1" i="6"/>
  <c r="CJ16" i="6"/>
  <c r="CJ5" i="6"/>
  <c r="CJ6" i="6" s="1"/>
  <c r="CI9" i="6"/>
  <c r="AC7" i="6"/>
  <c r="AD4" i="6"/>
  <c r="AJ10" i="6"/>
  <c r="X12" i="6"/>
  <c r="W14" i="6"/>
  <c r="CJ11" i="6" l="1"/>
  <c r="CJ17" i="6"/>
  <c r="CK3" i="6"/>
  <c r="CL1" i="6"/>
  <c r="CK16" i="6"/>
  <c r="CK5" i="6"/>
  <c r="CK6" i="6" s="1"/>
  <c r="CJ9" i="6"/>
  <c r="Y12" i="6"/>
  <c r="X14" i="6"/>
  <c r="AK10" i="6"/>
  <c r="AD7" i="6"/>
  <c r="AE4" i="6"/>
  <c r="CK9" i="6" l="1"/>
  <c r="CL11" i="6"/>
  <c r="CK11" i="6"/>
  <c r="CK17" i="6"/>
  <c r="CM1" i="6"/>
  <c r="CL3" i="6"/>
  <c r="CL16" i="6"/>
  <c r="CL5" i="6"/>
  <c r="CL6" i="6" s="1"/>
  <c r="AF4" i="6"/>
  <c r="AE7" i="6"/>
  <c r="AL10" i="6"/>
  <c r="Z12" i="6"/>
  <c r="Y14" i="6"/>
  <c r="CL17" i="6" l="1"/>
  <c r="CM3" i="6"/>
  <c r="CN1" i="6"/>
  <c r="CM16" i="6"/>
  <c r="CM5" i="6"/>
  <c r="CM6" i="6" s="1"/>
  <c r="CL9" i="6"/>
  <c r="AA12" i="6"/>
  <c r="Z14" i="6"/>
  <c r="AM10" i="6"/>
  <c r="AG4" i="6"/>
  <c r="AF7" i="6"/>
  <c r="CN11" i="6" l="1"/>
  <c r="CM11" i="6"/>
  <c r="CM17" i="6"/>
  <c r="CO1" i="6"/>
  <c r="CN3" i="6"/>
  <c r="CN16" i="6"/>
  <c r="CN5" i="6"/>
  <c r="CN6" i="6" s="1"/>
  <c r="CM9" i="6"/>
  <c r="AH4" i="6"/>
  <c r="AG7" i="6"/>
  <c r="AN10" i="6"/>
  <c r="AB12" i="6"/>
  <c r="AA14" i="6"/>
  <c r="CP1" i="6" l="1"/>
  <c r="CO11" i="6"/>
  <c r="CN17" i="6"/>
  <c r="CQ1" i="6"/>
  <c r="CP16" i="6"/>
  <c r="CP3" i="6"/>
  <c r="CP5" i="6"/>
  <c r="CP9" i="6"/>
  <c r="CO9" i="6"/>
  <c r="CO3" i="6"/>
  <c r="CO16" i="6"/>
  <c r="CO5" i="6"/>
  <c r="CO6" i="6" s="1"/>
  <c r="CN9" i="6"/>
  <c r="AC12" i="6"/>
  <c r="AB14" i="6"/>
  <c r="AO10" i="6"/>
  <c r="AI4" i="6"/>
  <c r="AH7" i="6"/>
  <c r="CP11" i="6" l="1"/>
  <c r="CO17" i="6"/>
  <c r="CP17" i="6" s="1"/>
  <c r="CP6" i="6"/>
  <c r="CQ16" i="6"/>
  <c r="CQ9" i="6"/>
  <c r="CQ5" i="6"/>
  <c r="CQ3" i="6"/>
  <c r="CR1" i="6"/>
  <c r="D9" i="6"/>
  <c r="AJ4" i="6"/>
  <c r="AI7" i="6"/>
  <c r="AP10" i="6"/>
  <c r="AD12" i="6"/>
  <c r="AC14" i="6"/>
  <c r="CQ6" i="6" l="1"/>
  <c r="CR11" i="6"/>
  <c r="CQ11" i="6"/>
  <c r="CQ17" i="6"/>
  <c r="CS1" i="6"/>
  <c r="CR9" i="6"/>
  <c r="CR3" i="6"/>
  <c r="CR16" i="6"/>
  <c r="CR5" i="6"/>
  <c r="CR6" i="6" s="1"/>
  <c r="AE12" i="6"/>
  <c r="AD14" i="6"/>
  <c r="AQ10" i="6"/>
  <c r="AK4" i="6"/>
  <c r="AJ7" i="6"/>
  <c r="CR17" i="6" l="1"/>
  <c r="CS5" i="6"/>
  <c r="CS6" i="6" s="1"/>
  <c r="CS3" i="6"/>
  <c r="CS16" i="6"/>
  <c r="CS17" i="6" s="1"/>
  <c r="CT1" i="6"/>
  <c r="CS9" i="6"/>
  <c r="AL4" i="6"/>
  <c r="AK7" i="6"/>
  <c r="AR10" i="6"/>
  <c r="AF12" i="6"/>
  <c r="AE14" i="6"/>
  <c r="CS11" i="6" l="1"/>
  <c r="CT16" i="6"/>
  <c r="CT17" i="6" s="1"/>
  <c r="CT3" i="6"/>
  <c r="CU1" i="6"/>
  <c r="CT9" i="6"/>
  <c r="CT5" i="6"/>
  <c r="CT6" i="6" s="1"/>
  <c r="AG12" i="6"/>
  <c r="AF14" i="6"/>
  <c r="AS10" i="6"/>
  <c r="AL7" i="6"/>
  <c r="AM4" i="6"/>
  <c r="CT11" i="6" l="1"/>
  <c r="CU9" i="6"/>
  <c r="CU3" i="6"/>
  <c r="CU5" i="6"/>
  <c r="CU6" i="6" s="1"/>
  <c r="CV1" i="6"/>
  <c r="CU11" i="6" s="1"/>
  <c r="CU16" i="6"/>
  <c r="CU17" i="6" s="1"/>
  <c r="AN4" i="6"/>
  <c r="AM7" i="6"/>
  <c r="AT10" i="6"/>
  <c r="AH12" i="6"/>
  <c r="AG14" i="6"/>
  <c r="CV9" i="6" l="1"/>
  <c r="CV3" i="6"/>
  <c r="CW1" i="6"/>
  <c r="CV5" i="6"/>
  <c r="CV6" i="6" s="1"/>
  <c r="CV16" i="6"/>
  <c r="CV17" i="6" s="1"/>
  <c r="AI12" i="6"/>
  <c r="AH14" i="6"/>
  <c r="AU10" i="6"/>
  <c r="AO4" i="6"/>
  <c r="AN7" i="6"/>
  <c r="CW3" i="6" l="1"/>
  <c r="CX1" i="6"/>
  <c r="CW5" i="6"/>
  <c r="CW6" i="6" s="1"/>
  <c r="CW9" i="6"/>
  <c r="CW16" i="6"/>
  <c r="CW17" i="6" s="1"/>
  <c r="AO7" i="6"/>
  <c r="AP4" i="6"/>
  <c r="AV10" i="6"/>
  <c r="AJ12" i="6"/>
  <c r="AI14" i="6"/>
  <c r="CW11" i="6" l="1"/>
  <c r="CX3" i="6"/>
  <c r="CY1" i="6"/>
  <c r="CX5" i="6"/>
  <c r="CX6" i="6" s="1"/>
  <c r="CX9" i="6"/>
  <c r="CX16" i="6"/>
  <c r="CX17" i="6" s="1"/>
  <c r="AK12" i="6"/>
  <c r="AJ14" i="6"/>
  <c r="AW10" i="6"/>
  <c r="AQ4" i="6"/>
  <c r="AP7" i="6"/>
  <c r="CX11" i="6" l="1"/>
  <c r="CZ1" i="6"/>
  <c r="CY3" i="6"/>
  <c r="CY16" i="6"/>
  <c r="CY17" i="6" s="1"/>
  <c r="CY5" i="6"/>
  <c r="CY6" i="6" s="1"/>
  <c r="CY9" i="6"/>
  <c r="AR4" i="6"/>
  <c r="AQ7" i="6"/>
  <c r="AX10" i="6"/>
  <c r="AL12" i="6"/>
  <c r="AK14" i="6"/>
  <c r="CY11" i="6" l="1"/>
  <c r="DA1" i="6"/>
  <c r="CZ3" i="6"/>
  <c r="CZ9" i="6"/>
  <c r="CZ5" i="6"/>
  <c r="CZ6" i="6" s="1"/>
  <c r="CZ16" i="6"/>
  <c r="CZ17" i="6" s="1"/>
  <c r="AM12" i="6"/>
  <c r="AL14" i="6"/>
  <c r="AY10" i="6"/>
  <c r="AS4" i="6"/>
  <c r="AR7" i="6"/>
  <c r="CZ11" i="6" l="1"/>
  <c r="DB1" i="6"/>
  <c r="DA5" i="6"/>
  <c r="DA6" i="6" s="1"/>
  <c r="DA16" i="6"/>
  <c r="DA17" i="6" s="1"/>
  <c r="DA9" i="6"/>
  <c r="DA3" i="6"/>
  <c r="AT4" i="6"/>
  <c r="AS7" i="6"/>
  <c r="AZ10" i="6"/>
  <c r="AN12" i="6"/>
  <c r="AM14" i="6"/>
  <c r="DB11" i="6" l="1"/>
  <c r="DA11" i="6"/>
  <c r="DB16" i="6"/>
  <c r="DB17" i="6" s="1"/>
  <c r="DC1" i="6"/>
  <c r="DB5" i="6"/>
  <c r="DB6" i="6" s="1"/>
  <c r="DB9" i="6"/>
  <c r="DB3" i="6"/>
  <c r="BA10" i="6"/>
  <c r="AO12" i="6"/>
  <c r="AN14" i="6"/>
  <c r="AU4" i="6"/>
  <c r="AT7" i="6"/>
  <c r="DC5" i="6" l="1"/>
  <c r="DC6" i="6" s="1"/>
  <c r="DD1" i="6"/>
  <c r="DC9" i="6"/>
  <c r="DC3" i="6"/>
  <c r="DC16" i="6"/>
  <c r="DC17" i="6" s="1"/>
  <c r="BB10" i="6"/>
  <c r="AV4" i="6"/>
  <c r="AU7" i="6"/>
  <c r="AP12" i="6"/>
  <c r="AO14" i="6"/>
  <c r="DD11" i="6" l="1"/>
  <c r="DC11" i="6"/>
  <c r="DD9" i="6"/>
  <c r="DD3" i="6"/>
  <c r="DE1" i="6"/>
  <c r="DD5" i="6"/>
  <c r="DD6" i="6" s="1"/>
  <c r="DD16" i="6"/>
  <c r="DD17" i="6" s="1"/>
  <c r="AQ12" i="6"/>
  <c r="AP14" i="6"/>
  <c r="AV7" i="6"/>
  <c r="AW4" i="6"/>
  <c r="BC10" i="6"/>
  <c r="DE11" i="6" l="1"/>
  <c r="DF1" i="6"/>
  <c r="DE5" i="6"/>
  <c r="DE6" i="6" s="1"/>
  <c r="DE9" i="6"/>
  <c r="DE3" i="6"/>
  <c r="DE16" i="6"/>
  <c r="DE17" i="6" s="1"/>
  <c r="BD10" i="6"/>
  <c r="AX4" i="6"/>
  <c r="AW7" i="6"/>
  <c r="AR12" i="6"/>
  <c r="AQ14" i="6"/>
  <c r="DF11" i="6" l="1"/>
  <c r="DG1" i="6"/>
  <c r="DF9" i="6"/>
  <c r="DF16" i="6"/>
  <c r="DF17" i="6" s="1"/>
  <c r="DF5" i="6"/>
  <c r="DF6" i="6" s="1"/>
  <c r="DF3" i="6"/>
  <c r="AX7" i="6"/>
  <c r="AY4" i="6"/>
  <c r="AS12" i="6"/>
  <c r="AR14" i="6"/>
  <c r="BE10" i="6"/>
  <c r="DG11" i="6" l="1"/>
  <c r="DH1" i="6"/>
  <c r="DG5" i="6"/>
  <c r="DG6" i="6" s="1"/>
  <c r="DG9" i="6"/>
  <c r="DG3" i="6"/>
  <c r="DG16" i="6"/>
  <c r="DG17" i="6" s="1"/>
  <c r="BF10" i="6"/>
  <c r="AT12" i="6"/>
  <c r="AS14" i="6"/>
  <c r="AZ4" i="6"/>
  <c r="AY7" i="6"/>
  <c r="DH11" i="6" l="1"/>
  <c r="DI1" i="6"/>
  <c r="DH9" i="6"/>
  <c r="DH3" i="6"/>
  <c r="DH16" i="6"/>
  <c r="DH17" i="6" s="1"/>
  <c r="DH5" i="6"/>
  <c r="DH6" i="6" s="1"/>
  <c r="AU12" i="6"/>
  <c r="AT14" i="6"/>
  <c r="BA4" i="6"/>
  <c r="AZ7" i="6"/>
  <c r="BG10" i="6"/>
  <c r="DI11" i="6" l="1"/>
  <c r="DJ1" i="6"/>
  <c r="DI5" i="6"/>
  <c r="DI6" i="6" s="1"/>
  <c r="DI16" i="6"/>
  <c r="DI17" i="6" s="1"/>
  <c r="DI9" i="6"/>
  <c r="DI3" i="6"/>
  <c r="BH10" i="6"/>
  <c r="BB4" i="6"/>
  <c r="BA7" i="6"/>
  <c r="AV12" i="6"/>
  <c r="AU14" i="6"/>
  <c r="DJ11" i="6" l="1"/>
  <c r="DJ5" i="6"/>
  <c r="DJ6" i="6" s="1"/>
  <c r="DJ16" i="6"/>
  <c r="DJ17" i="6" s="1"/>
  <c r="DK1" i="6"/>
  <c r="DJ3" i="6"/>
  <c r="DJ9" i="6"/>
  <c r="AW12" i="6"/>
  <c r="AV14" i="6"/>
  <c r="BB7" i="6"/>
  <c r="BC4" i="6"/>
  <c r="BI10" i="6"/>
  <c r="DK3" i="6" l="1"/>
  <c r="DL1" i="6"/>
  <c r="DK16" i="6"/>
  <c r="DK17" i="6" s="1"/>
  <c r="DK9" i="6"/>
  <c r="DK5" i="6"/>
  <c r="DK6" i="6" s="1"/>
  <c r="BJ10" i="6"/>
  <c r="BD4" i="6"/>
  <c r="BC7" i="6"/>
  <c r="AX12" i="6"/>
  <c r="AW14" i="6"/>
  <c r="DK11" i="6" l="1"/>
  <c r="DL9" i="6"/>
  <c r="DL3" i="6"/>
  <c r="DM1" i="6"/>
  <c r="DL5" i="6"/>
  <c r="DL6" i="6" s="1"/>
  <c r="DL16" i="6"/>
  <c r="DL17" i="6" s="1"/>
  <c r="AY12" i="6"/>
  <c r="AX14" i="6"/>
  <c r="BE4" i="6"/>
  <c r="BD7" i="6"/>
  <c r="BK10" i="6"/>
  <c r="DM11" i="6" l="1"/>
  <c r="DL11" i="6"/>
  <c r="DN1" i="6"/>
  <c r="DM5" i="6"/>
  <c r="DM6" i="6" s="1"/>
  <c r="DM3" i="6"/>
  <c r="DM16" i="6"/>
  <c r="DM17" i="6" s="1"/>
  <c r="DM9" i="6"/>
  <c r="BL10" i="6"/>
  <c r="BF4" i="6"/>
  <c r="BE7" i="6"/>
  <c r="AZ12" i="6"/>
  <c r="AY14" i="6"/>
  <c r="DN11" i="6" l="1"/>
  <c r="DO1" i="6"/>
  <c r="DN9" i="6"/>
  <c r="DN3" i="6"/>
  <c r="DN5" i="6"/>
  <c r="DN6" i="6" s="1"/>
  <c r="DN16" i="6"/>
  <c r="DN17" i="6" s="1"/>
  <c r="BA12" i="6"/>
  <c r="AZ14" i="6"/>
  <c r="BG4" i="6"/>
  <c r="BF7" i="6"/>
  <c r="BM10" i="6"/>
  <c r="DP1" i="6" l="1"/>
  <c r="DO5" i="6"/>
  <c r="DO6" i="6" s="1"/>
  <c r="DO16" i="6"/>
  <c r="DO17" i="6" s="1"/>
  <c r="DO9" i="6"/>
  <c r="DO3" i="6"/>
  <c r="BN10" i="6"/>
  <c r="BH4" i="6"/>
  <c r="BG7" i="6"/>
  <c r="BB12" i="6"/>
  <c r="BA14" i="6"/>
  <c r="DQ1" i="6" l="1"/>
  <c r="DP11" i="6" s="1"/>
  <c r="DO11" i="6"/>
  <c r="DP9" i="6"/>
  <c r="DP3" i="6"/>
  <c r="DP16" i="6"/>
  <c r="DP17" i="6" s="1"/>
  <c r="DP5" i="6"/>
  <c r="DP6" i="6" s="1"/>
  <c r="BC12" i="6"/>
  <c r="BB14" i="6"/>
  <c r="BH7" i="6"/>
  <c r="BI4" i="6"/>
  <c r="BO10" i="6"/>
  <c r="DQ17" i="6" l="1"/>
  <c r="DQ3" i="6"/>
  <c r="DQ9" i="6"/>
  <c r="DR1" i="6"/>
  <c r="DQ16" i="6"/>
  <c r="DQ11" i="6"/>
  <c r="DQ5" i="6"/>
  <c r="DQ6" i="6" s="1"/>
  <c r="BP10" i="6"/>
  <c r="BJ4" i="6"/>
  <c r="BI7" i="6"/>
  <c r="BD12" i="6"/>
  <c r="BC14" i="6"/>
  <c r="DR3" i="6" l="1"/>
  <c r="DR9" i="6"/>
  <c r="DS1" i="6"/>
  <c r="DR16" i="6"/>
  <c r="DR11" i="6"/>
  <c r="DR5" i="6"/>
  <c r="DR6" i="6" s="1"/>
  <c r="DR17" i="6"/>
  <c r="BE12" i="6"/>
  <c r="BD14" i="6"/>
  <c r="BJ7" i="6"/>
  <c r="BK4" i="6"/>
  <c r="BQ10" i="6"/>
  <c r="DS9" i="6" l="1"/>
  <c r="DT1" i="6"/>
  <c r="DS11" i="6" s="1"/>
  <c r="DS3" i="6"/>
  <c r="DS16" i="6"/>
  <c r="DS17" i="6" s="1"/>
  <c r="DS5" i="6"/>
  <c r="DS6" i="6" s="1"/>
  <c r="BR10" i="6"/>
  <c r="BL4" i="6"/>
  <c r="BK7" i="6"/>
  <c r="BF12" i="6"/>
  <c r="BE14" i="6"/>
  <c r="DT17" i="6" l="1"/>
  <c r="DU1" i="6"/>
  <c r="DT9" i="6"/>
  <c r="DT3" i="6"/>
  <c r="DT16" i="6"/>
  <c r="DT5" i="6"/>
  <c r="DT6" i="6" s="1"/>
  <c r="BM4" i="6"/>
  <c r="BL7" i="6"/>
  <c r="BS10" i="6"/>
  <c r="BG12" i="6"/>
  <c r="BF14" i="6"/>
  <c r="DU3" i="6" l="1"/>
  <c r="DV1" i="6"/>
  <c r="DU11" i="6" s="1"/>
  <c r="DU9" i="6"/>
  <c r="DU16" i="6"/>
  <c r="DU5" i="6"/>
  <c r="DU6" i="6" s="1"/>
  <c r="DU17" i="6"/>
  <c r="DT11" i="6"/>
  <c r="BH12" i="6"/>
  <c r="BG14" i="6"/>
  <c r="BT10" i="6"/>
  <c r="BM7" i="6"/>
  <c r="BN4" i="6"/>
  <c r="DV3" i="6" l="1"/>
  <c r="DW1" i="6"/>
  <c r="DV9" i="6"/>
  <c r="DV16" i="6"/>
  <c r="DV17" i="6" s="1"/>
  <c r="DV11" i="6"/>
  <c r="DV5" i="6"/>
  <c r="DV6" i="6" s="1"/>
  <c r="BN7" i="6"/>
  <c r="BO4" i="6"/>
  <c r="BU10" i="6"/>
  <c r="BI12" i="6"/>
  <c r="BH14" i="6"/>
  <c r="DW9" i="6" l="1"/>
  <c r="DX1" i="6"/>
  <c r="DW3" i="6"/>
  <c r="DW16" i="6"/>
  <c r="DW17" i="6" s="1"/>
  <c r="DW11" i="6"/>
  <c r="DW5" i="6"/>
  <c r="DW6" i="6" s="1"/>
  <c r="BJ12" i="6"/>
  <c r="BI14" i="6"/>
  <c r="BO7" i="6"/>
  <c r="BP4" i="6"/>
  <c r="BV10" i="6"/>
  <c r="BW10" i="6" s="1"/>
  <c r="DX9" i="6" l="1"/>
  <c r="DX3" i="6"/>
  <c r="DY1" i="6"/>
  <c r="DX16" i="6"/>
  <c r="DX17" i="6" s="1"/>
  <c r="DX11" i="6"/>
  <c r="DX5" i="6"/>
  <c r="DX6" i="6" s="1"/>
  <c r="BX10" i="6"/>
  <c r="BQ4" i="6"/>
  <c r="BP7" i="6"/>
  <c r="BK12" i="6"/>
  <c r="BJ14" i="6"/>
  <c r="DY9" i="6" l="1"/>
  <c r="DY3" i="6"/>
  <c r="DZ1" i="6"/>
  <c r="DY16" i="6"/>
  <c r="DY17" i="6" s="1"/>
  <c r="DY11" i="6"/>
  <c r="DY5" i="6"/>
  <c r="DY6" i="6" s="1"/>
  <c r="BY10" i="6"/>
  <c r="BR4" i="6"/>
  <c r="BQ7" i="6"/>
  <c r="BL12" i="6"/>
  <c r="BK14" i="6"/>
  <c r="EA1" i="6" l="1"/>
  <c r="DZ3" i="6"/>
  <c r="DZ9" i="6"/>
  <c r="DZ16" i="6"/>
  <c r="DZ17" i="6" s="1"/>
  <c r="DZ11" i="6"/>
  <c r="DZ5" i="6"/>
  <c r="DZ6" i="6" s="1"/>
  <c r="BZ10" i="6"/>
  <c r="BM12" i="6"/>
  <c r="BL14" i="6"/>
  <c r="BS4" i="6"/>
  <c r="BR7" i="6"/>
  <c r="EA17" i="6" l="1"/>
  <c r="EB1" i="6"/>
  <c r="EA9" i="6"/>
  <c r="EA3" i="6"/>
  <c r="EA16" i="6"/>
  <c r="EA11" i="6"/>
  <c r="EA5" i="6"/>
  <c r="EA6" i="6" s="1"/>
  <c r="CA10" i="6"/>
  <c r="BT4" i="6"/>
  <c r="BS7" i="6"/>
  <c r="BN12" i="6"/>
  <c r="BM14" i="6"/>
  <c r="EC1" i="6" l="1"/>
  <c r="EB9" i="6"/>
  <c r="EB3" i="6"/>
  <c r="EB16" i="6"/>
  <c r="EB17" i="6" s="1"/>
  <c r="EB11" i="6"/>
  <c r="EB5" i="6"/>
  <c r="EB6" i="6" s="1"/>
  <c r="CB10" i="6"/>
  <c r="BO12" i="6"/>
  <c r="BN14" i="6"/>
  <c r="BU4" i="6"/>
  <c r="BT7" i="6"/>
  <c r="ED1" i="6" l="1"/>
  <c r="EC3" i="6"/>
  <c r="EC9" i="6"/>
  <c r="EC16" i="6"/>
  <c r="EC17" i="6" s="1"/>
  <c r="EC11" i="6"/>
  <c r="EC5" i="6"/>
  <c r="EC6" i="6" s="1"/>
  <c r="CC10" i="6"/>
  <c r="BU7" i="6"/>
  <c r="BV4" i="6"/>
  <c r="BP12" i="6"/>
  <c r="BO14" i="6"/>
  <c r="ED3" i="6" l="1"/>
  <c r="EE1" i="6"/>
  <c r="ED9" i="6"/>
  <c r="ED16" i="6"/>
  <c r="ED17" i="6" s="1"/>
  <c r="ED11" i="6"/>
  <c r="ED5" i="6"/>
  <c r="ED6" i="6" s="1"/>
  <c r="BV7" i="6"/>
  <c r="BW4" i="6"/>
  <c r="CD10" i="6"/>
  <c r="BQ12" i="6"/>
  <c r="BP14" i="6"/>
  <c r="EE16" i="6" l="1"/>
  <c r="EE17" i="6" s="1"/>
  <c r="EF1" i="6"/>
  <c r="EE9" i="6"/>
  <c r="EE3" i="6"/>
  <c r="EE11" i="6"/>
  <c r="EE5" i="6"/>
  <c r="EE6" i="6" s="1"/>
  <c r="BW7" i="6"/>
  <c r="BX4" i="6"/>
  <c r="CE10" i="6"/>
  <c r="BR12" i="6"/>
  <c r="BQ14" i="6"/>
  <c r="EF9" i="6" l="1"/>
  <c r="EF3" i="6"/>
  <c r="EG1" i="6"/>
  <c r="EF11" i="6" s="1"/>
  <c r="EF16" i="6"/>
  <c r="EF17" i="6" s="1"/>
  <c r="EF5" i="6"/>
  <c r="EF6" i="6" s="1"/>
  <c r="BY4" i="6"/>
  <c r="BX7" i="6"/>
  <c r="CF10" i="6"/>
  <c r="BS12" i="6"/>
  <c r="BR14" i="6"/>
  <c r="EG9" i="6" l="1"/>
  <c r="EG3" i="6"/>
  <c r="EH1" i="6"/>
  <c r="EG11" i="6" s="1"/>
  <c r="EG16" i="6"/>
  <c r="EG17" i="6" s="1"/>
  <c r="EG5" i="6"/>
  <c r="EG6" i="6" s="1"/>
  <c r="BZ4" i="6"/>
  <c r="BY7" i="6"/>
  <c r="CG10" i="6"/>
  <c r="BT12" i="6"/>
  <c r="BS14" i="6"/>
  <c r="EH3" i="6" l="1"/>
  <c r="EH16" i="6"/>
  <c r="EH17" i="6" s="1"/>
  <c r="EH9" i="6"/>
  <c r="EI1" i="6"/>
  <c r="EH11" i="6"/>
  <c r="EH5" i="6"/>
  <c r="EH6" i="6" s="1"/>
  <c r="CA4" i="6"/>
  <c r="BZ7" i="6"/>
  <c r="CH10" i="6"/>
  <c r="BU12" i="6"/>
  <c r="BT14" i="6"/>
  <c r="EI3" i="6" l="1"/>
  <c r="EI16" i="6"/>
  <c r="EI17" i="6" s="1"/>
  <c r="EI9" i="6"/>
  <c r="EI11" i="6"/>
  <c r="EI5" i="6"/>
  <c r="EI6" i="6" s="1"/>
  <c r="CB4" i="6"/>
  <c r="CA7" i="6"/>
  <c r="CI10" i="6"/>
  <c r="BV12" i="6"/>
  <c r="BU14" i="6"/>
  <c r="CC4" i="6" l="1"/>
  <c r="CB7" i="6"/>
  <c r="BV14" i="6"/>
  <c r="BW12" i="6"/>
  <c r="CJ10" i="6"/>
  <c r="CD4" i="6" l="1"/>
  <c r="CC7" i="6"/>
  <c r="BX12" i="6"/>
  <c r="BW14" i="6"/>
  <c r="CK10" i="6"/>
  <c r="CE4" i="6" l="1"/>
  <c r="CD7" i="6"/>
  <c r="BY12" i="6"/>
  <c r="BX14" i="6"/>
  <c r="CL10" i="6"/>
  <c r="CF4" i="6" l="1"/>
  <c r="CE7" i="6"/>
  <c r="BZ12" i="6"/>
  <c r="BY14" i="6"/>
  <c r="CM10" i="6"/>
  <c r="CG4" i="6" l="1"/>
  <c r="CF7" i="6"/>
  <c r="CA12" i="6"/>
  <c r="BZ14" i="6"/>
  <c r="CN10" i="6"/>
  <c r="CH4" i="6" l="1"/>
  <c r="CG7" i="6"/>
  <c r="CB12" i="6"/>
  <c r="CA14" i="6"/>
  <c r="CO10" i="6"/>
  <c r="CP10" i="6" s="1"/>
  <c r="CQ10" i="6" l="1"/>
  <c r="CI4" i="6"/>
  <c r="CH7" i="6"/>
  <c r="CC12" i="6"/>
  <c r="CB14" i="6"/>
  <c r="CR10" i="6" l="1"/>
  <c r="CJ4" i="6"/>
  <c r="CI7" i="6"/>
  <c r="CD12" i="6"/>
  <c r="CC14" i="6"/>
  <c r="CS10" i="6" l="1"/>
  <c r="CK4" i="6"/>
  <c r="CJ7" i="6"/>
  <c r="CE12" i="6"/>
  <c r="CD14" i="6"/>
  <c r="CT10" i="6" l="1"/>
  <c r="CL4" i="6"/>
  <c r="CK7" i="6"/>
  <c r="CF12" i="6"/>
  <c r="CE14" i="6"/>
  <c r="CU10" i="6" l="1"/>
  <c r="CM4" i="6"/>
  <c r="CL7" i="6"/>
  <c r="CG12" i="6"/>
  <c r="CF14" i="6"/>
  <c r="CV10" i="6" l="1"/>
  <c r="CN4" i="6"/>
  <c r="CM7" i="6"/>
  <c r="CH12" i="6"/>
  <c r="CG14" i="6"/>
  <c r="CW10" i="6" l="1"/>
  <c r="CO4" i="6"/>
  <c r="CN7" i="6"/>
  <c r="CI12" i="6"/>
  <c r="CH14" i="6"/>
  <c r="CO7" i="6" l="1"/>
  <c r="CP4" i="6"/>
  <c r="CX10" i="6"/>
  <c r="CJ12" i="6"/>
  <c r="CI14" i="6"/>
  <c r="CY10" i="6" l="1"/>
  <c r="CP7" i="6"/>
  <c r="CQ4" i="6"/>
  <c r="CK12" i="6"/>
  <c r="CJ14" i="6"/>
  <c r="CZ10" i="6" l="1"/>
  <c r="CQ7" i="6"/>
  <c r="CR4" i="6"/>
  <c r="CL12" i="6"/>
  <c r="CK14" i="6"/>
  <c r="CR7" i="6" l="1"/>
  <c r="CS4" i="6"/>
  <c r="DA10" i="6"/>
  <c r="CM12" i="6"/>
  <c r="CL14" i="6"/>
  <c r="DB10" i="6" l="1"/>
  <c r="CS7" i="6"/>
  <c r="CT4" i="6"/>
  <c r="CN12" i="6"/>
  <c r="CM14" i="6"/>
  <c r="CT7" i="6" l="1"/>
  <c r="CU4" i="6"/>
  <c r="DC10" i="6"/>
  <c r="CO12" i="6"/>
  <c r="CN14" i="6"/>
  <c r="CO14" i="6" l="1"/>
  <c r="CP12" i="6"/>
  <c r="DD10" i="6"/>
  <c r="CU7" i="6"/>
  <c r="CV4" i="6"/>
  <c r="CV7" i="6" l="1"/>
  <c r="CW4" i="6"/>
  <c r="DE10" i="6"/>
  <c r="CQ12" i="6"/>
  <c r="CP14" i="6"/>
  <c r="CR12" i="6" l="1"/>
  <c r="CQ14" i="6"/>
  <c r="DF10" i="6"/>
  <c r="CW7" i="6"/>
  <c r="CX4" i="6"/>
  <c r="CY4" i="6" l="1"/>
  <c r="CX7" i="6"/>
  <c r="DG10" i="6"/>
  <c r="CS12" i="6"/>
  <c r="CR14" i="6"/>
  <c r="CT12" i="6" l="1"/>
  <c r="CS14" i="6"/>
  <c r="DH10" i="6"/>
  <c r="CY7" i="6"/>
  <c r="CZ4" i="6"/>
  <c r="CZ7" i="6" l="1"/>
  <c r="DA4" i="6"/>
  <c r="DI10" i="6"/>
  <c r="CU12" i="6"/>
  <c r="CT14" i="6"/>
  <c r="DJ10" i="6" l="1"/>
  <c r="CU14" i="6"/>
  <c r="DA7" i="6"/>
  <c r="DB4" i="6"/>
  <c r="DB7" i="6" l="1"/>
  <c r="DC4" i="6"/>
  <c r="DK10" i="6"/>
  <c r="DL10" i="6" l="1"/>
  <c r="DC7" i="6"/>
  <c r="DD4" i="6"/>
  <c r="DD7" i="6" l="1"/>
  <c r="DE4" i="6"/>
  <c r="DM10" i="6"/>
  <c r="DN10" i="6" l="1"/>
  <c r="DE7" i="6"/>
  <c r="DF4" i="6"/>
  <c r="DF7" i="6" l="1"/>
  <c r="DG4" i="6"/>
  <c r="DO10" i="6"/>
  <c r="DP10" i="6" l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DG7" i="6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B4" i="13"/>
  <c r="DP7" i="6" l="1"/>
  <c r="DQ4" i="6"/>
  <c r="B5" i="13"/>
  <c r="AF4" i="13"/>
  <c r="V170" i="4"/>
  <c r="CV11" i="6"/>
  <c r="DR4" i="6" l="1"/>
  <c r="DQ7" i="6"/>
  <c r="CV12" i="6"/>
  <c r="D11" i="6"/>
  <c r="V2" i="4"/>
  <c r="H22" i="3"/>
  <c r="DS4" i="6" l="1"/>
  <c r="DR7" i="6"/>
  <c r="H5" i="3"/>
  <c r="F5" i="5" s="1"/>
  <c r="J22" i="3"/>
  <c r="J5" i="3" s="1"/>
  <c r="CW12" i="6"/>
  <c r="CV14" i="6"/>
  <c r="DT4" i="6" l="1"/>
  <c r="DS7" i="6"/>
  <c r="H24" i="3"/>
  <c r="CX12" i="6"/>
  <c r="CW14" i="6"/>
  <c r="F6" i="5"/>
  <c r="F7" i="5" s="1"/>
  <c r="C11" i="6"/>
  <c r="L5" i="5"/>
  <c r="L6" i="5" s="1"/>
  <c r="DU4" i="6" l="1"/>
  <c r="DT7" i="6"/>
  <c r="CY12" i="6"/>
  <c r="CX14" i="6"/>
  <c r="DV4" i="6" l="1"/>
  <c r="DU7" i="6"/>
  <c r="CZ12" i="6"/>
  <c r="CY14" i="6"/>
  <c r="DW4" i="6" l="1"/>
  <c r="DV7" i="6"/>
  <c r="DA12" i="6"/>
  <c r="CZ14" i="6"/>
  <c r="DX4" i="6" l="1"/>
  <c r="DW7" i="6"/>
  <c r="DB12" i="6"/>
  <c r="DA14" i="6"/>
  <c r="DY4" i="6" l="1"/>
  <c r="DX7" i="6"/>
  <c r="DC12" i="6"/>
  <c r="DB14" i="6"/>
  <c r="DZ4" i="6" l="1"/>
  <c r="DY7" i="6"/>
  <c r="DD12" i="6"/>
  <c r="DC14" i="6"/>
  <c r="EA4" i="6" l="1"/>
  <c r="DZ7" i="6"/>
  <c r="DE12" i="6"/>
  <c r="DD14" i="6"/>
  <c r="EB4" i="6" l="1"/>
  <c r="EA7" i="6"/>
  <c r="DF12" i="6"/>
  <c r="DE14" i="6"/>
  <c r="EC4" i="6" l="1"/>
  <c r="EB7" i="6"/>
  <c r="DG12" i="6"/>
  <c r="DF14" i="6"/>
  <c r="ED4" i="6" l="1"/>
  <c r="EC7" i="6"/>
  <c r="DH12" i="6"/>
  <c r="DG14" i="6"/>
  <c r="EE4" i="6" l="1"/>
  <c r="ED7" i="6"/>
  <c r="DI12" i="6"/>
  <c r="DH14" i="6"/>
  <c r="EF4" i="6" l="1"/>
  <c r="EE7" i="6"/>
  <c r="DJ12" i="6"/>
  <c r="DI14" i="6"/>
  <c r="EG4" i="6" l="1"/>
  <c r="EF7" i="6"/>
  <c r="DK12" i="6"/>
  <c r="DJ14" i="6"/>
  <c r="EH4" i="6" l="1"/>
  <c r="EG7" i="6"/>
  <c r="DL12" i="6"/>
  <c r="DK14" i="6"/>
  <c r="EI4" i="6" l="1"/>
  <c r="EI7" i="6" s="1"/>
  <c r="EH7" i="6"/>
  <c r="DM12" i="6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H14" i="6" l="1"/>
  <c r="EI12" i="6"/>
  <c r="EI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Tasneema Van Harte</author>
    <author>Thami Cambalele</author>
    <author>Mizelda Isaacs</author>
    <author>tc={5675A69F-99C9-47F9-B367-CAF71D83586F}</author>
    <author>tc={CB9A4482-DBE2-4127-AC03-E948269AA0D6}</author>
    <author>tc={B67924EF-D951-46AA-9D4C-256ED5A84AAD}</author>
    <author>Tasneema van Harte</author>
    <author>tc={0F968B88-5509-42D4-B9CC-51245FEEF6E0}</author>
    <author>tc={ECAC1F96-24BB-4EFF-815C-C036D642F503}</author>
    <author>tc={8AADDCEB-B6A0-4DD1-B5D1-2F0D8215D642}</author>
    <author>tc={D32EA2E8-BAC1-4E37-A2A1-075A3500114B}</author>
  </authors>
  <commentList>
    <comment ref="Q6" authorId="0" shapeId="0" xr:uid="{3DA71DC1-934D-4AC4-AF3C-F2113F8537D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Q7" authorId="0" shapeId="0" xr:uid="{B5A65DCE-929A-49D7-B104-F10731E499C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8" authorId="0" shapeId="0" xr:uid="{4F12B93E-54A3-4AA7-A73E-0D4E44EDDBF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9" authorId="0" shapeId="0" xr:uid="{081E1A7D-C162-43CF-BF8F-EA870CBABAC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11" authorId="0" shapeId="0" xr:uid="{91095482-16E1-4E8B-A311-120700C80E0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Q20" authorId="1" shapeId="0" xr:uid="{0DE1E374-F768-4A3C-BA60-5FE8D68817E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NETTY CUSTOMS INV IS00014013</t>
        </r>
      </text>
    </comment>
    <comment ref="Q22" authorId="1" shapeId="0" xr:uid="{AC06BCAF-A431-4270-BAEE-F0B9CD16A6F6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INV06105539</t>
        </r>
      </text>
    </comment>
    <comment ref="Q24" authorId="1" shapeId="0" xr:uid="{CCA0C5B5-0FC3-44D6-8E36-E70B1BA5553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Q25" authorId="1" shapeId="0" xr:uid="{3A57A4B8-D4EA-4574-9258-D53A6E6EB1C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Q28" authorId="1" shapeId="0" xr:uid="{BDA02AA0-F0AE-4D01-9846-BAD4AA782FA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Q29" authorId="1" shapeId="0" xr:uid="{94F8E952-75ED-4C27-BC1D-E8C1D57C623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Q34" authorId="1" shapeId="0" xr:uid="{99D57532-BC3F-4C6C-A5E0-CDFC738B05D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IN109961</t>
        </r>
      </text>
    </comment>
    <comment ref="Q35" authorId="0" shapeId="0" xr:uid="{4638618B-60AA-441E-8DB3-9BD3F601292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Schletter Inv: IN109974</t>
        </r>
      </text>
    </comment>
    <comment ref="Q36" authorId="1" shapeId="0" xr:uid="{0CF5C49D-44F5-4A44-AF67-684DBEE0A984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IN110826</t>
        </r>
      </text>
    </comment>
    <comment ref="Q43" authorId="1" shapeId="0" xr:uid="{1FEAE265-95BF-4379-92B3-FCA8E42141D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Q44" authorId="1" shapeId="0" xr:uid="{2603F61E-71F5-4D80-B9E3-990A1FD7D8F2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Q46" authorId="1" shapeId="0" xr:uid="{C2F886E5-FE3B-4EF1-A9CA-E57746DACC0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7" authorId="1" shapeId="0" xr:uid="{514AFA79-7F52-488E-B128-7A2450A6F15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8" authorId="1" shapeId="0" xr:uid="{E1FB6C57-D8CC-4BA2-B9ED-EC47AD9CD05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9" authorId="0" shapeId="0" xr:uid="{6A1983C8-CA96-4A01-BDC1-83648CDF801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50" authorId="1" shapeId="0" xr:uid="{2A444151-4D34-4808-9C7C-22280E5F5839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51" authorId="2" shapeId="0" xr:uid="{C8B2C0FA-459C-48B2-BD34-2589C89F2984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
</t>
        </r>
      </text>
    </comment>
    <comment ref="T51" authorId="3" shapeId="0" xr:uid="{5675A69F-99C9-47F9-B367-CAF71D83586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 please capture this invoice here</t>
      </text>
    </comment>
    <comment ref="Q52" authorId="0" shapeId="0" xr:uid="{B03AC89B-9497-437B-B57D-B50739051E1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54" authorId="1" shapeId="0" xr:uid="{D71CB33C-5889-4C36-8CFE-C837F0D6962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Q55" authorId="1" shapeId="0" xr:uid="{EE54D436-D21B-4BB0-A923-A9D7036B20B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Q56" authorId="1" shapeId="0" xr:uid="{6677BF6F-4C49-40C0-B23B-44E51BB4DAC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517145</t>
        </r>
      </text>
    </comment>
    <comment ref="Q61" authorId="1" shapeId="0" xr:uid="{F10CD788-53CF-4A07-AADA-6EC68BF44C6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ACCUENERGY INV: ASAI-002453</t>
        </r>
      </text>
    </comment>
    <comment ref="Q65" authorId="0" shapeId="0" xr:uid="{06FED186-6C22-41F6-8887-3C9CBE00CCC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Takealot - Ord 126946613</t>
        </r>
      </text>
    </comment>
    <comment ref="Q67" authorId="0" shapeId="0" xr:uid="{403730F8-F6AF-4B73-A9C2-32DCDD2F135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Otto Inv: IO123446</t>
        </r>
      </text>
    </comment>
    <comment ref="Q69" authorId="0" shapeId="0" xr:uid="{FA6AFFDF-3209-4952-9BF8-0E9F8FC8CB6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Netty Customs Inv: SOQ284932</t>
        </r>
      </text>
    </comment>
    <comment ref="Q72" authorId="0" shapeId="0" xr:uid="{032BB8CE-BF5C-47E1-AD70-47804E34600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DSV Inv: 180066791</t>
        </r>
      </text>
    </comment>
    <comment ref="Q76" authorId="0" shapeId="0" xr:uid="{06D62142-7113-483E-A5CD-CF4FA6460C25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77" authorId="1" shapeId="0" xr:uid="{A6AEFA89-4DA7-49E5-AA00-CD422DF7721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78" authorId="0" shapeId="0" xr:uid="{5F92F4F4-65DA-4385-90E0-244939EDB41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79" authorId="2" shapeId="0" xr:uid="{F053609B-3E73-4F88-8B24-EBE5F2ACA251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80" authorId="0" shapeId="0" xr:uid="{103E94ED-DCEF-4C83-B43D-84796A74A76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81" authorId="0" shapeId="0" xr:uid="{B1F7B6BC-4417-4168-9530-C46A1C662AD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2" authorId="0" shapeId="0" xr:uid="{11855CE9-DF6E-4628-9B0F-A14DED195538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3" authorId="0" shapeId="0" xr:uid="{F0AAB1C4-3179-4450-9094-CA8500DDF849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4" authorId="1" shapeId="0" xr:uid="{BA7B78B2-8B02-46C1-B7E7-045B6183921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SWITCHBOARD - INV 2-SOI000216</t>
        </r>
      </text>
    </comment>
    <comment ref="Q88" authorId="1" shapeId="0" xr:uid="{F5F85984-54E9-489F-8077-8695695CF1B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Spear Holdco INV 4794/202405/52343/I</t>
        </r>
      </text>
    </comment>
    <comment ref="Q91" authorId="4" shapeId="0" xr:uid="{CB9A4482-DBE2-4127-AC03-E948269AA0D6}">
      <text>
        <t>[Threaded comment]
Your version of Excel allows you to read this threaded comment; however, any edits to it will get removed if the file is opened in a newer version of Excel. Learn more: https://go.microsoft.com/fwlink/?linkid=870924
Comment:
    Inv QU503456</t>
      </text>
    </comment>
    <comment ref="Q94" authorId="0" shapeId="0" xr:uid="{C1A6224E-31CB-42BB-8766-F76119B6A54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FDT Electrical Inv: 1555</t>
        </r>
      </text>
    </comment>
    <comment ref="Q95" authorId="2" shapeId="0" xr:uid="{35D9F315-1E8C-4229-9323-B3926F7EB46B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INV1618 - Only pay 50% of invoice</t>
        </r>
      </text>
    </comment>
    <comment ref="Q97" authorId="5" shapeId="0" xr:uid="{B67924EF-D951-46AA-9D4C-256ED5A84A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
</t>
      </text>
    </comment>
    <comment ref="Q98" authorId="1" shapeId="0" xr:uid="{A2609953-122A-4D1E-AD11-02D3163C4C9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BRICE &amp; CO INV BC/0061</t>
        </r>
      </text>
    </comment>
    <comment ref="Q101" authorId="1" shapeId="0" xr:uid="{EE4D7621-29A0-4FEB-9E40-8839FAEF592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ALL IN GLASS INV0000700</t>
        </r>
      </text>
    </comment>
    <comment ref="Q102" authorId="1" shapeId="0" xr:uid="{33E3D40C-ABC8-44AD-88DB-FDBAA3918F5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51763</t>
        </r>
      </text>
    </comment>
    <comment ref="Q106" authorId="0" shapeId="0" xr:uid="{56C916A1-F710-4AC6-B55C-220621F2285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107" authorId="1" shapeId="0" xr:uid="{F80A8F38-2CD7-4A8C-8DCB-D409EF3FA832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108" authorId="0" shapeId="0" xr:uid="{F23226FD-A95C-4A73-89B9-74487396375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109" authorId="1" shapeId="0" xr:uid="{06588FFB-AAC8-4E42-87A1-A66AC9B0E2E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SUB041P5</t>
        </r>
      </text>
    </comment>
    <comment ref="Q110" authorId="1" shapeId="0" xr:uid="{4E3326A0-3C1D-4635-9D5B-C0E18AFB70D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SUB041P4</t>
        </r>
      </text>
    </comment>
    <comment ref="Q111" authorId="0" shapeId="0" xr:uid="{264F16C3-16B9-4987-9A9C-CA83325C56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SUB041P4</t>
        </r>
      </text>
    </comment>
    <comment ref="Q112" authorId="2" shapeId="0" xr:uid="{DF883B05-9418-4A02-92D0-122101B5FFB8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SUB040P6</t>
        </r>
      </text>
    </comment>
    <comment ref="Q113" authorId="2" shapeId="0" xr:uid="{00566B58-E692-43FB-8A12-F32D53E99C54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 Inv: SUB041PS7</t>
        </r>
      </text>
    </comment>
    <comment ref="Q114" authorId="0" shapeId="0" xr:uid="{113FFAEA-8CAD-4A19-9B0E-60E1FAFA93D2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SUB041PS7</t>
        </r>
      </text>
    </comment>
    <comment ref="Q116" authorId="0" shapeId="0" xr:uid="{0C2FCD19-C30B-4881-AEB5-E7026FF1EB4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117" authorId="1" shapeId="0" xr:uid="{9C34B939-E077-4835-B9C1-6EFA94DE80D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118" authorId="2" shapeId="0" xr:uid="{49D7D279-2825-4A55-B58D-0241756DFCA2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119" authorId="0" shapeId="0" xr:uid="{8B664F62-2B92-4BE4-A6DB-5BD71425B9D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120" authorId="1" shapeId="0" xr:uid="{D7DB8E9C-E539-4981-B6CA-822E577307B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 INV06105539</t>
        </r>
      </text>
    </comment>
    <comment ref="Q121" authorId="2" shapeId="0" xr:uid="{DFF94573-DEC6-4311-B500-AED2B10E9C4B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SmartSolar: Inv SUB041P8
</t>
        </r>
      </text>
    </comment>
    <comment ref="Q125" authorId="0" shapeId="0" xr:uid="{F7A7F5E6-BC01-4D7D-9ADB-70DF8F90F15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Inv:4794/202312/1</t>
        </r>
      </text>
    </comment>
    <comment ref="Q126" authorId="0" shapeId="0" xr:uid="{46287193-C5F9-46F8-92FB-696CC56CAF5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Inv:4794/202311/1</t>
        </r>
      </text>
    </comment>
    <comment ref="Q127" authorId="0" shapeId="0" xr:uid="{94554ED2-CE46-433B-A87B-1B33C662CC2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4794/202310/1</t>
        </r>
      </text>
    </comment>
    <comment ref="Q128" authorId="0" shapeId="0" xr:uid="{D7B34D50-96DB-4D6D-8A5E-5710BF7F547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4794/202308/49750/I</t>
        </r>
      </text>
    </comment>
    <comment ref="Q129" authorId="1" shapeId="0" xr:uid="{5374B082-FDB0-47FA-9713-7F0BCB4ED6E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SPEAR REIT INV 4794/202401/1</t>
        </r>
      </text>
    </comment>
    <comment ref="Q131" authorId="0" shapeId="0" xr:uid="{78925F26-D124-4AC4-86DB-257A5963ABB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Inv:4794/202405/1</t>
        </r>
      </text>
    </comment>
    <comment ref="Q134" authorId="0" shapeId="0" xr:uid="{7A30E99C-4E97-4C8E-AC60-2E477D0415E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L &amp; B Consulting Inv: 1237</t>
        </r>
      </text>
    </comment>
    <comment ref="Q135" authorId="1" shapeId="0" xr:uid="{B41B58E0-2319-4A0F-B52E-B97F74AC7BE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MJ BLELOCH INV 1207</t>
        </r>
      </text>
    </comment>
    <comment ref="Q136" authorId="0" shapeId="0" xr:uid="{34E2B278-2D43-4831-B715-BD7B6B4A8BD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Reit Limited - Inv 3553/20110/42517</t>
        </r>
      </text>
    </comment>
    <comment ref="Q138" authorId="0" shapeId="0" xr:uid="{94B335B2-F06E-4074-8B02-7B86C5D0CEC3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Matriarch Inv: 1828</t>
        </r>
      </text>
    </comment>
    <comment ref="Q153" authorId="1" shapeId="0" xr:uid="{DC4A2B5C-288B-43DA-B75C-B76D50130C4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MATRIARCH INV-2439</t>
        </r>
      </text>
    </comment>
    <comment ref="Q183" authorId="6" shapeId="0" xr:uid="{F9B5068D-1543-4BFF-B86C-0A39478264C6}">
      <text>
        <r>
          <rPr>
            <sz val="11"/>
            <color theme="1"/>
            <rFont val="Calibri"/>
            <family val="2"/>
            <scheme val="minor"/>
          </rPr>
          <t>Tasneema van Harte:
Spear Reit inv: M00001/2024/11</t>
        </r>
      </text>
    </comment>
    <comment ref="Q184" authorId="6" shapeId="0" xr:uid="{C7C9828F-BBE7-495D-8FE1-05877F242C9D}">
      <text>
        <r>
          <rPr>
            <sz val="11"/>
            <color theme="1"/>
            <rFont val="Calibri"/>
            <family val="2"/>
            <scheme val="minor"/>
          </rPr>
          <t>Tasneema van Harte:
Menlo Inv: INV0002431</t>
        </r>
      </text>
    </comment>
    <comment ref="Q185" authorId="7" shapeId="0" xr:uid="{0F968B88-5509-42D4-B9CC-51245FEEF6E0}">
      <text>
        <t>[Threaded comment]
Your version of Excel allows you to read this threaded comment; however, any edits to it will get removed if the file is opened in a newer version of Excel. Learn more: https://go.microsoft.com/fwlink/?linkid=870924
Comment:
    Kathea Inv 519355</t>
      </text>
    </comment>
    <comment ref="Q186" authorId="8" shapeId="0" xr:uid="{ECAC1F96-24BB-4EFF-815C-C036D642F503}">
      <text>
        <t>[Threaded comment]
Your version of Excel allows you to read this threaded comment; however, any edits to it will get removed if the file is opened in a newer version of Excel. Learn more: https://go.microsoft.com/fwlink/?linkid=870924
Comment:
    De Kock &amp; Cronje DCI105610</t>
      </text>
    </comment>
    <comment ref="Q205" authorId="9" shapeId="0" xr:uid="{8AADDCEB-B6A0-4DD1-B5D1-2F0D8215D642}">
      <text>
        <t>[Threaded comment]
Your version of Excel allows you to read this threaded comment; however, any edits to it will get removed if the file is opened in a newer version of Excel. Learn more: https://go.microsoft.com/fwlink/?linkid=870924
Comment:
    SN Electrical - In EMG001</t>
      </text>
    </comment>
    <comment ref="Q206" authorId="6" shapeId="0" xr:uid="{E08C961D-5D08-492D-9721-15D33DA17664}">
      <text>
        <r>
          <rPr>
            <sz val="11"/>
            <color theme="1"/>
            <rFont val="Calibri"/>
            <family val="2"/>
            <scheme val="minor"/>
          </rPr>
          <t>Tasneema van Harte:
Accuenergy Inv: # ASAI-004314</t>
        </r>
      </text>
    </comment>
    <comment ref="Q207" authorId="6" shapeId="0" xr:uid="{6A12C98F-D46B-425E-A3B1-2A22FC0EAE73}">
      <text>
        <r>
          <rPr>
            <sz val="11"/>
            <color theme="1"/>
            <rFont val="Calibri"/>
            <family val="2"/>
            <scheme val="minor"/>
          </rPr>
          <t>Tasneema van Harte:
Cometel Inv: CEIN036764 + CEIN036802</t>
        </r>
      </text>
    </comment>
    <comment ref="Q208" authorId="6" shapeId="0" xr:uid="{ECEF3E78-46E1-4537-9AA1-5217EC48A6F2}">
      <text>
        <r>
          <rPr>
            <sz val="11"/>
            <color theme="1"/>
            <rFont val="Calibri"/>
            <family val="2"/>
            <scheme val="minor"/>
          </rPr>
          <t>Tasneema van Harte:
Kathea Energy Inv: 518991 + 518973</t>
        </r>
      </text>
    </comment>
    <comment ref="Q210" authorId="10" shapeId="0" xr:uid="{D32EA2E8-BAC1-4E37-A2A1-075A3500114B}">
      <text>
        <t>[Threaded comment]
Your version of Excel allows you to read this threaded comment; however, any edits to it will get removed if the file is opened in a newer version of Excel. Learn more: https://go.microsoft.com/fwlink/?linkid=870924
Comment:
    De Kock &amp; Cronje Inv DCI105609</t>
      </text>
    </comment>
    <comment ref="Q212" authorId="6" shapeId="0" xr:uid="{7EF17BDF-BDCE-4D63-9109-2ECE730D7900}">
      <text>
        <r>
          <rPr>
            <sz val="11"/>
            <color theme="1"/>
            <rFont val="Calibri"/>
            <family val="2"/>
            <scheme val="minor"/>
          </rPr>
          <t>Tasneema van Harte:
Front Line Electrical Inv: QTE99478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Tasneema Van Harte</author>
    <author>Thami Cambalele</author>
  </authors>
  <commentList>
    <comment ref="F6" authorId="0" shapeId="0" xr:uid="{C9CA6159-1678-4606-8984-EA9CC7CFD66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F7" authorId="0" shapeId="0" xr:uid="{B48EDDEE-6F42-4096-968F-5F75E1390EA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F10" authorId="1" shapeId="0" xr:uid="{7B585389-98A2-4472-8462-4CC5CBF61DF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NETTY CUSTOMS INV IS00014013</t>
        </r>
      </text>
    </comment>
    <comment ref="F11" authorId="1" shapeId="0" xr:uid="{9CE5EC54-782B-437D-B951-638E05A06404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INV06105539</t>
        </r>
      </text>
    </comment>
    <comment ref="F12" authorId="1" shapeId="0" xr:uid="{99A43F20-583E-4ADB-9540-6DA789C4476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F13" authorId="1" shapeId="0" xr:uid="{FF2C395F-5C82-4B59-9053-9BD038095AF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F15" authorId="1" shapeId="0" xr:uid="{F92F785B-1B5A-49C3-B76A-1F999CFA37C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F16" authorId="1" shapeId="0" xr:uid="{827007BA-8FD3-470D-95D2-BF1F70E2729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F18" authorId="1" shapeId="0" xr:uid="{5233FC6C-596C-42D2-9A5F-8A0C2E006EB6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IN109961</t>
        </r>
      </text>
    </comment>
    <comment ref="F19" authorId="0" shapeId="0" xr:uid="{99AF110E-60A5-43B1-9367-0CFADD4D16D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Schletter Inv: IN109974</t>
        </r>
      </text>
    </comment>
    <comment ref="F26" authorId="1" shapeId="0" xr:uid="{E9D7A1A0-DB13-4B20-AA97-B1C7BDCA269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F27" authorId="1" shapeId="0" xr:uid="{25FAFFDC-CD85-42DB-B92C-51CD0D3E177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F28" authorId="1" shapeId="0" xr:uid="{CD6E6210-A778-4E50-BD32-9E70651D93E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F29" authorId="1" shapeId="0" xr:uid="{8C38F386-1A93-47AD-82A5-C23325E1710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F30" authorId="0" shapeId="0" xr:uid="{96C0AFD7-0D9E-46C0-8920-48E932BA33F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31" authorId="1" shapeId="0" xr:uid="{00B0290B-B069-454A-B549-143F0B1584D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F34" authorId="1" shapeId="0" xr:uid="{20CAD762-DEFA-4BC5-9452-274A43E40C69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F35" authorId="1" shapeId="0" xr:uid="{D86499C6-1AB5-4E97-830F-DD9119AFD61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F36" authorId="1" shapeId="0" xr:uid="{E53D6620-08A3-4801-A988-80007D4F61F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517145</t>
        </r>
      </text>
    </comment>
    <comment ref="F42" authorId="0" shapeId="0" xr:uid="{A14A0021-FB2A-4B2E-8F23-01A9F6B45DA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Takealot - Ord 126946613</t>
        </r>
      </text>
    </comment>
    <comment ref="F43" authorId="0" shapeId="0" xr:uid="{1376618A-4E5B-4D9F-8178-76ABBB8F4E2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Otto Inv: IO123446</t>
        </r>
      </text>
    </comment>
    <comment ref="F44" authorId="0" shapeId="0" xr:uid="{7876AA8D-F45A-4316-B935-AB2D066ECEE8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Netty Customs Inv: SOQ284932</t>
        </r>
      </text>
    </comment>
    <comment ref="F49" authorId="0" shapeId="0" xr:uid="{121C23C0-ED81-45F7-90EC-69A80910926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50" authorId="1" shapeId="0" xr:uid="{CAC5459B-1496-4345-92F6-E149B74080A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51" authorId="0" shapeId="0" xr:uid="{E252DD3D-0D36-4568-9989-C95857E21B1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53" authorId="0" shapeId="0" xr:uid="{3A9B9790-917F-4FB1-B40D-D4EB3C98B5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4" authorId="0" shapeId="0" xr:uid="{2E979B04-1E8C-4744-8809-A461263FFA5F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5" authorId="0" shapeId="0" xr:uid="{F3B1D03E-6527-4E4E-A684-12CCE867323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6" authorId="1" shapeId="0" xr:uid="{223B18EA-94FF-4B8C-A724-2119A3939BD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SWITCHBOARD - INV 2-SOI000216</t>
        </r>
      </text>
    </comment>
    <comment ref="F60" authorId="0" shapeId="0" xr:uid="{806C6258-0B94-40C8-B99C-5BDFE93A466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FDT Electrical Inv: 1555</t>
        </r>
      </text>
    </comment>
    <comment ref="F61" authorId="1" shapeId="0" xr:uid="{45FC04BA-D963-42DE-A557-962684FFC8C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BRICE &amp; CO INV BC/0061</t>
        </r>
      </text>
    </comment>
    <comment ref="F64" authorId="1" shapeId="0" xr:uid="{42535543-1443-427D-98BC-4C6FFB13AF7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ALL IN GLASS INV0000700</t>
        </r>
      </text>
    </comment>
    <comment ref="F66" authorId="0" shapeId="0" xr:uid="{E347487C-D02C-42D6-8D5D-8B36808EC45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67" authorId="1" shapeId="0" xr:uid="{F91BC413-2794-4266-9896-B8967C017D0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SUB040P3</t>
        </r>
      </text>
    </comment>
    <comment ref="F68" authorId="1" shapeId="0" xr:uid="{98DC57B8-B262-4DCF-B90D-530F83E7E15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SUB040P3</t>
        </r>
      </text>
    </comment>
    <comment ref="F69" authorId="1" shapeId="0" xr:uid="{A8EF8ED8-97D6-404F-B742-688ED100F05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SUB041P5</t>
        </r>
      </text>
    </comment>
    <comment ref="F70" authorId="1" shapeId="0" xr:uid="{195CA9C0-0574-4A0F-8401-20F12829370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SUB041P4</t>
        </r>
      </text>
    </comment>
    <comment ref="F74" authorId="0" shapeId="0" xr:uid="{EBFC41D0-5A3C-4CC3-B350-448D76AD52AA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75" authorId="1" shapeId="0" xr:uid="{CE48250C-2E83-4039-B40A-FD912768267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77" authorId="1" shapeId="0" xr:uid="{DF189688-5D82-4419-982C-79EFDBE325E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 INV06105539</t>
        </r>
      </text>
    </comment>
    <comment ref="F80" authorId="0" shapeId="0" xr:uid="{BAAC833A-674D-4F6C-9223-877E945772CA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Inv:4794/202312/1</t>
        </r>
      </text>
    </comment>
    <comment ref="F81" authorId="0" shapeId="0" xr:uid="{99B4FF64-339A-4BBC-8FB6-66CA8984401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Inv:4794/202311/1</t>
        </r>
      </text>
    </comment>
    <comment ref="F82" authorId="0" shapeId="0" xr:uid="{E3DB9E95-35E7-46B9-B3AE-650CE3EDB9F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4794/202310/1</t>
        </r>
      </text>
    </comment>
    <comment ref="F83" authorId="0" shapeId="0" xr:uid="{74092271-EBDD-4714-9417-983B1FEADDD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4794/202308/49750/I</t>
        </r>
      </text>
    </comment>
    <comment ref="F85" authorId="0" shapeId="0" xr:uid="{802B98D8-C779-4AB7-8975-6FB43D3A0D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L &amp; B Consulting Inv: 1237</t>
        </r>
      </text>
    </comment>
    <comment ref="F87" authorId="0" shapeId="0" xr:uid="{9C866C31-6DE9-4761-8A8B-C57139A9E36F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Reit Limited - Inv 3553/20110/42517</t>
        </r>
      </text>
    </comment>
    <comment ref="F88" authorId="0" shapeId="0" xr:uid="{2652B85D-9117-448B-AE4D-7249F205BC72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Matriarch Inv: 1828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<sst xmlns="http://schemas.openxmlformats.org/spreadsheetml/2006/main" count="1007" uniqueCount="582">
  <si>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</si>
  <si>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</si>
  <si>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</si>
  <si>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</si>
  <si>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</si>
  <si>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</si>
  <si>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</si>
  <si>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</si>
  <si>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</si>
  <si>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</si>
  <si>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</si>
  <si>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</si>
  <si>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</si>
  <si>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</si>
  <si>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</si>
  <si>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</si>
  <si>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</si>
  <si>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</si>
  <si>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</si>
  <si>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</si>
  <si>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</si>
  <si>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</si>
  <si>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</si>
  <si>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</si>
  <si>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</si>
  <si>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</si>
  <si>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</si>
  <si>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</si>
  <si>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</si>
  <si>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</si>
  <si>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</si>
  <si>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</si>
  <si>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</si>
  <si>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</si>
  <si>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</si>
  <si>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</si>
  <si>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</si>
  <si>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</si>
  <si>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</si>
  <si>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</si>
  <si>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</si>
  <si>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</si>
  <si>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</si>
  <si>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</si>
  <si>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</si>
  <si>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</si>
  <si>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</si>
  <si>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</si>
  <si>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</si>
  <si>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</si>
  <si>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</si>
  <si>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</si>
  <si>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</si>
  <si>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</si>
  <si>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</si>
  <si>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</si>
  <si>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</si>
  <si>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</si>
  <si>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</si>
  <si>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</si>
  <si>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</si>
  <si>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>FR - Date</t>
  </si>
  <si>
    <t>2023 Rev &amp; COS RECOGNISED</t>
  </si>
  <si>
    <t>Planned Revenue</t>
  </si>
  <si>
    <t>Planned Expenditure</t>
  </si>
  <si>
    <t>Planned Profit</t>
  </si>
  <si>
    <t>Planned Margin</t>
  </si>
  <si>
    <t>CONTRACT</t>
  </si>
  <si>
    <t>[Finance only]</t>
  </si>
  <si>
    <t>No.</t>
  </si>
  <si>
    <t>PAYMENT MILESTONE</t>
  </si>
  <si>
    <t>%</t>
  </si>
  <si>
    <t>VALUE</t>
  </si>
  <si>
    <t>PLANNED PAYMENT DATE</t>
  </si>
  <si>
    <t>ACTUAL PAYMENT DATE</t>
  </si>
  <si>
    <t>INVOICE RAISED DATE</t>
  </si>
  <si>
    <t xml:space="preserve">MILESTONE NOTES </t>
  </si>
  <si>
    <t>Initial deposit</t>
  </si>
  <si>
    <t>004359</t>
  </si>
  <si>
    <t>Add notes relating to the payment / assessment of milestone, draw from EPC contract or CP</t>
  </si>
  <si>
    <t>Delivery of Main Equipment(Inverters &amp; BOS)</t>
  </si>
  <si>
    <t>Delivery of Main Equipment(Solar Panels)</t>
  </si>
  <si>
    <t>Installation Complete(Physical Completion)</t>
  </si>
  <si>
    <t>004409</t>
  </si>
  <si>
    <t>Commissioing Complete(Testing and Checks Complete)</t>
  </si>
  <si>
    <t>Handover complete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</si>
  <si>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</si>
  <si>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</si>
  <si>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</si>
  <si>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</si>
  <si>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</si>
  <si>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</si>
  <si>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</si>
  <si>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</si>
  <si>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</si>
  <si>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</si>
  <si>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</si>
  <si>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</si>
  <si>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</si>
  <si>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</si>
  <si>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</si>
  <si>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Mega Park Extension</t>
  </si>
  <si>
    <t>PROJECT SIZE (kWp)</t>
  </si>
  <si>
    <t>SITE ADDRESS</t>
  </si>
  <si>
    <t>17 Mill Rd, Unclear, Cape Town, 7530</t>
  </si>
  <si>
    <t>BUSINESS DEVELOPER</t>
  </si>
  <si>
    <t>Natasha Watkins Baker</t>
  </si>
  <si>
    <t>PROJECT MANAGERS</t>
  </si>
  <si>
    <t>Roedolph/Simon</t>
  </si>
  <si>
    <t>PROJECT COORDINATOR</t>
  </si>
  <si>
    <t>Refiloe Mohohlo</t>
  </si>
  <si>
    <t>INSTALLER</t>
  </si>
  <si>
    <t>Smart Solar</t>
  </si>
  <si>
    <t>CONTRACT VALUE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</si>
  <si>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</si>
  <si>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</si>
  <si>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</si>
  <si>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</si>
  <si>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</si>
  <si>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</si>
  <si>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</si>
  <si>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</si>
  <si>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</si>
  <si>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</si>
  <si>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Internal Handover</t>
  </si>
  <si>
    <t>1.2</t>
  </si>
  <si>
    <t>Internal kick off</t>
  </si>
  <si>
    <t>1.3</t>
  </si>
  <si>
    <t>Client kick off</t>
  </si>
  <si>
    <t>Site Establishment</t>
  </si>
  <si>
    <t>2.1</t>
  </si>
  <si>
    <t>Installer on site and roof assessment</t>
  </si>
  <si>
    <t>AC Installation</t>
  </si>
  <si>
    <t>3.1</t>
  </si>
  <si>
    <t>Inverters delivered</t>
  </si>
  <si>
    <t>3.2</t>
  </si>
  <si>
    <t>Inverters Mounted</t>
  </si>
  <si>
    <t>3.3</t>
  </si>
  <si>
    <t>Solar DB lead time</t>
  </si>
  <si>
    <t>3.4</t>
  </si>
  <si>
    <t>RT: too long need to push</t>
  </si>
  <si>
    <t>3.5</t>
  </si>
  <si>
    <t>AC Tie - in</t>
  </si>
  <si>
    <t>RV: Schedule PrEng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</si>
  <si>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</si>
  <si>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</si>
  <si>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</si>
  <si>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</si>
  <si>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</si>
  <si>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</si>
  <si>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</si>
  <si>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Cable Trays installation</t>
  </si>
  <si>
    <t>4.5</t>
  </si>
  <si>
    <t>DC Cabling</t>
  </si>
  <si>
    <t>Module installation</t>
  </si>
  <si>
    <t>5.1</t>
  </si>
  <si>
    <t>Module delivery - Batch 1</t>
  </si>
  <si>
    <t>RT: we need to start mounting in phases before all MS is complete</t>
  </si>
  <si>
    <t>Module delivery - Batch 2</t>
  </si>
  <si>
    <t>Module delivery - Batch 3</t>
  </si>
  <si>
    <t>Module mounting</t>
  </si>
  <si>
    <t>Commissioning</t>
  </si>
  <si>
    <t>6.1</t>
  </si>
  <si>
    <t>Cold commissioning</t>
  </si>
  <si>
    <t>6x inverters are switched on, not all of them have strings plugged in.</t>
  </si>
  <si>
    <t>Cold commissioning - Phased</t>
  </si>
  <si>
    <t>6.3</t>
  </si>
  <si>
    <t>Practical Completion</t>
  </si>
  <si>
    <t>Next 6x inverters to be switched.</t>
  </si>
  <si>
    <t>Project Closure</t>
  </si>
  <si>
    <t>7.1</t>
  </si>
  <si>
    <t>Equipment serial numbers</t>
  </si>
  <si>
    <t>7.2</t>
  </si>
  <si>
    <t>Fiber Installation</t>
  </si>
  <si>
    <t>7.4</t>
  </si>
  <si>
    <t>Snags completion - 1</t>
  </si>
  <si>
    <t>Snags completion - 2</t>
  </si>
  <si>
    <t>7.5</t>
  </si>
  <si>
    <t>System Performance Monitoring</t>
  </si>
  <si>
    <t>7.6</t>
  </si>
  <si>
    <t>Handover documentation</t>
  </si>
  <si>
    <t>7.7</t>
  </si>
  <si>
    <t>Handover to Client</t>
  </si>
  <si>
    <t>7.8</t>
  </si>
  <si>
    <t>Handover to O&amp;M</t>
  </si>
  <si>
    <t>QA Inspections</t>
  </si>
  <si>
    <t>8.1</t>
  </si>
  <si>
    <t>Inspection</t>
  </si>
  <si>
    <t>Public holidays</t>
  </si>
  <si>
    <t>Drop down list</t>
  </si>
  <si>
    <t>Approved</t>
  </si>
  <si>
    <t>Pending</t>
  </si>
  <si>
    <t>Declined</t>
  </si>
  <si>
    <t>Abanded</t>
  </si>
  <si>
    <t>Manual dates</t>
  </si>
  <si>
    <t xml:space="preserve">HIGH LEVEL PROJECT EXPENDITURE TRACKING </t>
  </si>
  <si>
    <t>Difference</t>
  </si>
  <si>
    <t>EXPENDITURE</t>
  </si>
  <si>
    <t>Item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</si>
  <si>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</si>
  <si>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</si>
  <si>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</si>
  <si>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</si>
  <si>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</si>
  <si>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PLANNED EXPENDITURE BREAKDOWN</t>
  </si>
  <si>
    <t>ACTUAL EXPENDITURE BREAKDOWN</t>
  </si>
  <si>
    <t xml:space="preserve">No. </t>
  </si>
  <si>
    <t>Product / Service</t>
  </si>
  <si>
    <t>Description of Work</t>
  </si>
  <si>
    <t>QTY</t>
  </si>
  <si>
    <t>Rate / Unit</t>
  </si>
  <si>
    <t>Budget Total</t>
  </si>
  <si>
    <t>Payment date</t>
  </si>
  <si>
    <t>Prodcut / Service</t>
  </si>
  <si>
    <t xml:space="preserve">Actual Total </t>
  </si>
  <si>
    <t>PO NUMBER</t>
  </si>
  <si>
    <r>
      <t xml:space="preserve">[Finance Only] </t>
    </r>
    <r>
      <rPr>
        <b/>
        <sz val="11"/>
        <rFont val="Proxima Nova Lt"/>
      </rPr>
      <t>INVOICE RECEIPT DATE</t>
    </r>
  </si>
  <si>
    <t>Panels</t>
  </si>
  <si>
    <t>Longi 455</t>
  </si>
  <si>
    <t>Jinko 550Wp</t>
  </si>
  <si>
    <t xml:space="preserve">RT: this is from the PO Dayne signed: </t>
  </si>
  <si>
    <t>Jinko ORDER 22 May</t>
  </si>
  <si>
    <t>USD/Wp FCA Walvis Bay</t>
  </si>
  <si>
    <t>Allocated to 26 Marine Drive</t>
  </si>
  <si>
    <t>Module delivery to site</t>
  </si>
  <si>
    <t>Shipping and Clearing</t>
  </si>
  <si>
    <t xml:space="preserve">USD RoE: </t>
  </si>
  <si>
    <t>as of 22 May</t>
  </si>
  <si>
    <t>per Wp</t>
  </si>
  <si>
    <t>Cash handling / Admin fees on</t>
  </si>
  <si>
    <t>Balance of order that went to Sable Square (6 Pallets)</t>
  </si>
  <si>
    <t xml:space="preserve">Jinko 550W </t>
  </si>
  <si>
    <t>Silver solutions - Forklift hire</t>
  </si>
  <si>
    <t>Delivery to storage</t>
  </si>
  <si>
    <t>Handling in/Handling out</t>
  </si>
  <si>
    <t>final price tbc once FEC booked</t>
  </si>
  <si>
    <t>Inverters</t>
  </si>
  <si>
    <t>SMA 110</t>
  </si>
  <si>
    <t>Huawei 100ktl - Deposit</t>
  </si>
  <si>
    <t>changed from 89000</t>
  </si>
  <si>
    <t>Huawei 100KTl - Balance</t>
  </si>
  <si>
    <t>Huawei 100KTl - Replace faulty Inverter</t>
  </si>
  <si>
    <t>Huawei 100KTl - RMA from Supplaier allocated to Stock</t>
  </si>
  <si>
    <t>Mounting Structures</t>
  </si>
  <si>
    <t>Lumax</t>
  </si>
  <si>
    <t>Schletter</t>
  </si>
  <si>
    <t>Schletter - Additional Clamps</t>
  </si>
  <si>
    <t>Stock allocated to Dekro Paint</t>
  </si>
  <si>
    <t>Received the stock back from Dekro Paint</t>
  </si>
  <si>
    <t>DC Equipment</t>
  </si>
  <si>
    <t xml:space="preserve">DC Cable </t>
  </si>
  <si>
    <t>DC Cable - Red - Delivered</t>
  </si>
  <si>
    <t>Rubicon Bulk Order</t>
  </si>
  <si>
    <t>Earth Cable</t>
  </si>
  <si>
    <t>DC Cable - Black - Delivered</t>
  </si>
  <si>
    <t>DC Cable - Zonn - Red</t>
  </si>
  <si>
    <t>DC Cable - Zonn - Black</t>
  </si>
  <si>
    <t>DC Cable - KBE - Red - Krannich</t>
  </si>
  <si>
    <t>DC Cable - KBE - Black - Krannich</t>
  </si>
  <si>
    <t>Earth clamp</t>
  </si>
  <si>
    <t>DC Equipment - Deposit</t>
  </si>
  <si>
    <t>DC Equipment - Onsite</t>
  </si>
  <si>
    <t>DC Equipment - Retention</t>
  </si>
  <si>
    <t>Monitoring</t>
  </si>
  <si>
    <t>Solarlog</t>
  </si>
  <si>
    <t>Smartlogger - Deposit</t>
  </si>
  <si>
    <t>Revenue Grade Meter</t>
  </si>
  <si>
    <t>Smartlogger - Balance</t>
  </si>
  <si>
    <t>Smartlogger Replacement</t>
  </si>
  <si>
    <t>Techsitter X2</t>
  </si>
  <si>
    <t>Techsitter Inv: MN8940233</t>
  </si>
  <si>
    <t>Shipping of Techsitters</t>
  </si>
  <si>
    <t>DSV Inv: 180047661</t>
  </si>
  <si>
    <t>SPD</t>
  </si>
  <si>
    <t>Plustead electrical Inv: 1001/97633203</t>
  </si>
  <si>
    <t xml:space="preserve">Techsitter </t>
  </si>
  <si>
    <t>Techsitter CTs</t>
  </si>
  <si>
    <t>CT's</t>
  </si>
  <si>
    <t>Accuenergy Inv: ASAI-002363</t>
  </si>
  <si>
    <t>UPS</t>
  </si>
  <si>
    <t>Roedolph Exp Claim</t>
  </si>
  <si>
    <t>Switch</t>
  </si>
  <si>
    <t>Accuenergy Inv: ASAI-002350</t>
  </si>
  <si>
    <t>Router</t>
  </si>
  <si>
    <t>Lithium Batteries</t>
  </si>
  <si>
    <t xml:space="preserve"> Takelot - Order 145230153</t>
  </si>
  <si>
    <t>Battery Charger UPS</t>
  </si>
  <si>
    <t>Current Automation Inv: SOQ294289</t>
  </si>
  <si>
    <t>Pyronometer</t>
  </si>
  <si>
    <t>Geosun Inv: 2366</t>
  </si>
  <si>
    <t xml:space="preserve">Delivery </t>
  </si>
  <si>
    <t>Power Supply</t>
  </si>
  <si>
    <t>Rogowski Coil Kit + Delivery</t>
  </si>
  <si>
    <t>Accuenergy Inv: 002453</t>
  </si>
  <si>
    <t>BUDGET</t>
  </si>
  <si>
    <t>Installer Allocation</t>
  </si>
  <si>
    <t>AC Equipment</t>
  </si>
  <si>
    <t>50% Deposit</t>
  </si>
  <si>
    <t>AC Equipment - Deposit</t>
  </si>
  <si>
    <t>AC Equipment - Onsite</t>
  </si>
  <si>
    <t>AC Equipment - Retention</t>
  </si>
  <si>
    <t>AC Labour</t>
  </si>
  <si>
    <t xml:space="preserve">Switch Board - PV DB </t>
  </si>
  <si>
    <t xml:space="preserve">Switch Board - Comms DB </t>
  </si>
  <si>
    <t>Switch Board - Site Work</t>
  </si>
  <si>
    <t>Switch Board - Cubicle</t>
  </si>
  <si>
    <t>TC: Added cost 24/10/2023</t>
  </si>
  <si>
    <t>RV: Switchboard absorbed the cost</t>
  </si>
  <si>
    <t>50% on site</t>
  </si>
  <si>
    <t>DC Labour</t>
  </si>
  <si>
    <t>Offloading</t>
  </si>
  <si>
    <t xml:space="preserve">Product Add On </t>
  </si>
  <si>
    <t>SCADA &amp; SSEG extras</t>
  </si>
  <si>
    <t>Metering &amp; SCADA &amp; SSEG extras</t>
  </si>
  <si>
    <t>PO3053-MGP-20240412</t>
  </si>
  <si>
    <t>Roof Access</t>
  </si>
  <si>
    <t>Fibre Installation 40% Deposit</t>
  </si>
  <si>
    <t>Comtel Inv: CEIN023698</t>
  </si>
  <si>
    <t>Fibre Installation 60% Balance</t>
  </si>
  <si>
    <t>CAPEX Expenditure</t>
  </si>
  <si>
    <t>Waterpoints</t>
  </si>
  <si>
    <t>PO3204-MGP-20240627</t>
  </si>
  <si>
    <t>Other</t>
  </si>
  <si>
    <t>Walkways, Inverter Cages, Warranty Extensions</t>
  </si>
  <si>
    <t>Cat Ladder, Inverter Cages</t>
  </si>
  <si>
    <t>Site Demob</t>
  </si>
  <si>
    <t>FDT Electric Aircon Installation 50% Deposit</t>
  </si>
  <si>
    <t>FDT Electric Aircon Installation 2nd Unit 50% Deposit</t>
  </si>
  <si>
    <t>PO3008-MGP-20240319</t>
  </si>
  <si>
    <t>Lester &amp; Co</t>
  </si>
  <si>
    <t>PO3092-MGP-20240507</t>
  </si>
  <si>
    <t>Brice &amp; Co. Inverter room modification &amp; Roof Gate</t>
  </si>
  <si>
    <t>Brice &amp; Co Inverter Steel Structure - Deposit</t>
  </si>
  <si>
    <t>Brice &amp; Co Inv: BC/0154</t>
  </si>
  <si>
    <t>Brice &amp; Co Inverter Steel Structure - Balance</t>
  </si>
  <si>
    <t>All in Glass Aluminium - Single Y Louvred door</t>
  </si>
  <si>
    <t>100KTL inverter to be replaced by RMA</t>
  </si>
  <si>
    <t>All in Glass Aluminium - Healt &amp; Safety File</t>
  </si>
  <si>
    <t>Lifelines, Temporary Walkboards</t>
  </si>
  <si>
    <t>RV: 75k removed</t>
  </si>
  <si>
    <t>Only services to be capture below, products above</t>
  </si>
  <si>
    <t>AC &amp; DC installation</t>
  </si>
  <si>
    <t>Upfront</t>
  </si>
  <si>
    <t>Less 15%</t>
  </si>
  <si>
    <t>AC Complete</t>
  </si>
  <si>
    <t>MS Complete - Partial</t>
  </si>
  <si>
    <t>R/Wp</t>
  </si>
  <si>
    <t>DC Complete</t>
  </si>
  <si>
    <t>Panels Complete</t>
  </si>
  <si>
    <t>AC Tie-In complete</t>
  </si>
  <si>
    <t>Installer Price</t>
  </si>
  <si>
    <t>Retention</t>
  </si>
  <si>
    <t>Site Logistics</t>
  </si>
  <si>
    <t>Scaffolding</t>
  </si>
  <si>
    <t>Site logistics - Smart Solar</t>
  </si>
  <si>
    <t>Site logistics - Deposit</t>
  </si>
  <si>
    <t>Site Logistics - Onsite</t>
  </si>
  <si>
    <t>Site logistics - Retention</t>
  </si>
  <si>
    <t>Site logistics</t>
  </si>
  <si>
    <t>Telehandler</t>
  </si>
  <si>
    <t xml:space="preserve">Forklift </t>
  </si>
  <si>
    <t>TC - 2023/10/26</t>
  </si>
  <si>
    <t>Telehandler Extra - VO Smart Solar</t>
  </si>
  <si>
    <t>Security</t>
  </si>
  <si>
    <t>Site logistics - EE</t>
  </si>
  <si>
    <t>Site Office</t>
  </si>
  <si>
    <t>Spear Inv:4794/202402/1</t>
  </si>
  <si>
    <t>Storage</t>
  </si>
  <si>
    <t>RV: Double check figures</t>
  </si>
  <si>
    <t>Due Dilligence</t>
  </si>
  <si>
    <t>Structural sign off</t>
  </si>
  <si>
    <t>Electrical Sign off</t>
  </si>
  <si>
    <t>TC: OG amount 26248,95</t>
  </si>
  <si>
    <t>SSEg Costs</t>
  </si>
  <si>
    <t>Red Team</t>
  </si>
  <si>
    <t>APEX Site software Upgrade</t>
  </si>
  <si>
    <t>PO3297-MGP-20240815 - RV Approved</t>
  </si>
  <si>
    <t>BDP Commission</t>
  </si>
  <si>
    <t xml:space="preserve">Dayne </t>
  </si>
  <si>
    <t xml:space="preserve">R1,10p/w - All In (DB Excl) </t>
  </si>
  <si>
    <t>Engineering</t>
  </si>
  <si>
    <t>EE Project Management</t>
  </si>
  <si>
    <t>Alex</t>
  </si>
  <si>
    <t>R1.20p/w - All in (DB Excl)</t>
  </si>
  <si>
    <t>Matriarch Defects Period</t>
  </si>
  <si>
    <t>General Expenses</t>
  </si>
  <si>
    <t>Car travel to site</t>
  </si>
  <si>
    <t>PO3042-MGP-20240408</t>
  </si>
  <si>
    <t>This is for R&amp;D and not an expense for the project. Captured under monitoring</t>
  </si>
  <si>
    <t>Service Add On</t>
  </si>
  <si>
    <t>Welcome Bonus</t>
  </si>
  <si>
    <t>Spear Holdco Inv: 4794/202405/52190/I</t>
  </si>
  <si>
    <t>Penalties - December 2023</t>
  </si>
  <si>
    <t>Spear Inv: M00002/2024/03</t>
  </si>
  <si>
    <t xml:space="preserve">Penalties - January 2024 </t>
  </si>
  <si>
    <t>Spear Inv:4794/202401/50984/I</t>
  </si>
  <si>
    <t>Provision for Construction Penalty</t>
  </si>
  <si>
    <t>Site Visits</t>
  </si>
  <si>
    <t>Penalty</t>
  </si>
  <si>
    <t>Smartlogger</t>
  </si>
  <si>
    <t>Kathea Support</t>
  </si>
  <si>
    <t>PO3759-MGP-20250321 - RV Approved</t>
  </si>
  <si>
    <t>De Kock &amp; Cronje - additional Labour</t>
  </si>
  <si>
    <t>PO3760-MGP-20250324 - RV Approved</t>
  </si>
  <si>
    <t>Supply, Install and Commission between
Plant, PPC, RTU and Control Centre - Deposit</t>
  </si>
  <si>
    <t>PO4372-MGP-20251015 - RV Approved</t>
  </si>
  <si>
    <t>Supply, Install and Commission between
Plant, PPC, RTU and Control Centre - Balance</t>
  </si>
  <si>
    <t>Encombi (2nd meter)</t>
  </si>
  <si>
    <t>PO3783-MGP-20250402 - MI Approved</t>
  </si>
  <si>
    <t>SN Electrcal - Installation of Encombi</t>
  </si>
  <si>
    <t>PO3781-MGP-20250328 - RV Approved</t>
  </si>
  <si>
    <t>Teltonika Port Switch</t>
  </si>
  <si>
    <t>Fiber Connections</t>
  </si>
  <si>
    <t>PO3554-MGP-20250122 - RV Approved</t>
  </si>
  <si>
    <t>Encombi</t>
  </si>
  <si>
    <t>PO3487-MGP-20241125 - RV Approved</t>
  </si>
  <si>
    <t>Jantiza - Kathea</t>
  </si>
  <si>
    <t>PO3483-MGP-20241125 - RV Approved</t>
  </si>
  <si>
    <t>MV CTs - De Kock &amp; Cronje</t>
  </si>
  <si>
    <t>PO3468-MEG-20241121 - RV Approved</t>
  </si>
  <si>
    <t>Switches - Fiber Compatible</t>
  </si>
  <si>
    <t>Comtel</t>
  </si>
  <si>
    <t>PO3484-MGP-20241125 - RV Approved</t>
  </si>
  <si>
    <t>Enclosure</t>
  </si>
  <si>
    <t>Frontline PI QTE99478</t>
  </si>
  <si>
    <t>PO3481-MGP-20241122 - RV Approved</t>
  </si>
  <si>
    <t>DIRECTORY &amp; COMMENTS (The below indicates the directory of the invoices for the associated material/service that incurred an expense during the project)</t>
  </si>
  <si>
    <t>Jinko 550W Solar Panel - Deposit</t>
  </si>
  <si>
    <t>IDC Funding\Busamed+Spear Round2\Busamed+Spear Shared Folder\7. Drawdown Requests\Mega Park Phase 2\Invoices\1. Panels</t>
  </si>
  <si>
    <t>Jinko 550W Solar Panel - Balance</t>
  </si>
  <si>
    <t>IDC Funding\Busamed+Spear Round2\Busamed+Spear Shared Folder\7. Drawdown Requests\Mega Park Phase 2\Invoices\2. Inverters</t>
  </si>
  <si>
    <t>IDC Funding\Busamed+Spear Round2\Busamed+Spear Shared Folder\7. Drawdown Requests\Mega Park Phase 2\Invoices\3. Balance of System</t>
  </si>
  <si>
    <t>DC Equipment - Subcontractor</t>
  </si>
  <si>
    <t>IDC Funding\Busamed+Spear Round2\Busamed+Spear Shared Folder\7. Drawdown Requests\Mega Park Phase 2\Invoices\4. Subcontractors</t>
  </si>
  <si>
    <t>Comms</t>
  </si>
  <si>
    <t>Ethernet Switches</t>
  </si>
  <si>
    <t>AC Equipment-Subcontractor</t>
  </si>
  <si>
    <t>Site logistics - Subcontractor</t>
  </si>
  <si>
    <t>Site logistics - Emergent</t>
  </si>
  <si>
    <t>Site Office - August</t>
  </si>
  <si>
    <t>Site Office - September</t>
  </si>
  <si>
    <t>Site Office - October</t>
  </si>
  <si>
    <t>Site Office - November</t>
  </si>
  <si>
    <t>Site Office - December</t>
  </si>
  <si>
    <t>Welcome Bonus - 1</t>
  </si>
  <si>
    <t>Welcome Bonus - 2</t>
  </si>
  <si>
    <t>[RT: Double Check the first date is always a MONDAY]</t>
  </si>
  <si>
    <t>CHECK</t>
  </si>
  <si>
    <t xml:space="preserve">Planned Revenue - Cumulative </t>
  </si>
  <si>
    <t xml:space="preserve">Planned Expenditure - Cumulative </t>
  </si>
  <si>
    <t xml:space="preserve">PLANNED CashFlow </t>
  </si>
  <si>
    <t>Actual + Forecast Revenue</t>
  </si>
  <si>
    <t xml:space="preserve">Actual + Forecast Revenue - Cumulative </t>
  </si>
  <si>
    <t>Actual + Forecast Expenditure</t>
  </si>
  <si>
    <t xml:space="preserve">Actual + Forecast Expenditure - Cumulative </t>
  </si>
  <si>
    <t xml:space="preserve">ACTUAL CashFlow </t>
  </si>
  <si>
    <t>Installer Expenditure</t>
  </si>
  <si>
    <t>Installer Expenditure - Cumulative</t>
  </si>
  <si>
    <t>Equipment</t>
  </si>
  <si>
    <t>Other Expenses</t>
  </si>
  <si>
    <t>Forecasted Expenses</t>
  </si>
  <si>
    <t>Proportion of Exp recognised compared to forecasted expense</t>
  </si>
  <si>
    <t>Forecasted Revenue for Services</t>
  </si>
  <si>
    <t>Revenue to be recognised</t>
  </si>
  <si>
    <t>Rev Recognised for Panels</t>
  </si>
  <si>
    <t>Rev Recognised for Inverters</t>
  </si>
  <si>
    <t>Rev Recognised for AC Equipment</t>
  </si>
  <si>
    <t>Rev Recognised for DC Equipment</t>
  </si>
  <si>
    <t>Rev Recognised for Mounting Structure</t>
  </si>
  <si>
    <t>Rev Recognised for  Monitoring</t>
  </si>
  <si>
    <t>Rev Recognised for Other Equipment (Inverter Cage + Walkways + Warranty Extension)</t>
  </si>
  <si>
    <t>Allocated to I/S</t>
  </si>
  <si>
    <t>Total Revenue</t>
  </si>
  <si>
    <t>Recognised</t>
  </si>
  <si>
    <t>SP</t>
  </si>
  <si>
    <t>P</t>
  </si>
  <si>
    <t>CP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</si>
  <si>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</si>
  <si>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</si>
  <si>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</si>
  <si>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</si>
  <si>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</si>
  <si>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</si>
  <si>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</si>
  <si>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</si>
  <si>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</si>
  <si>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</si>
  <si>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</si>
  <si>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</si>
  <si>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</si>
  <si>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</si>
  <si>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</si>
  <si>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</si>
  <si>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</si>
  <si>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</si>
  <si>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</si>
  <si>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</si>
  <si>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</si>
  <si>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</si>
  <si>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</si>
  <si>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</si>
  <si>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</si>
  <si>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</si>
  <si>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</si>
  <si>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</si>
  <si>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</si>
  <si>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</si>
  <si>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</si>
  <si>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</si>
  <si>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</si>
  <si>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</si>
  <si>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</si>
  <si>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</si>
  <si>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</si>
  <si>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</si>
  <si>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</si>
  <si>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</si>
  <si>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</si>
  <si>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</si>
  <si>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</si>
  <si>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</si>
  <si>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</si>
  <si>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</si>
  <si>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</si>
  <si>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</si>
  <si>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</si>
  <si>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</si>
  <si>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</si>
  <si>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</si>
  <si>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</si>
  <si>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</si>
  <si>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</si>
  <si>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</si>
  <si>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</si>
  <si>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&gt;Installer Name 1&lt;</t>
  </si>
  <si>
    <t>&gt;Installer Name 2&lt;</t>
  </si>
  <si>
    <t>AC installation</t>
  </si>
  <si>
    <t>AC equipment</t>
  </si>
  <si>
    <t>DC installation</t>
  </si>
  <si>
    <t>DC equipment</t>
  </si>
  <si>
    <t>Panel lifting equipment</t>
  </si>
  <si>
    <t>&gt;Installer Name 3&lt;</t>
  </si>
  <si>
    <t>&gt;Installer Name 4&lt;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</si>
  <si>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</si>
  <si>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</si>
  <si>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</si>
  <si>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</si>
  <si>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</si>
  <si>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</si>
  <si>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</si>
  <si>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</si>
  <si>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</si>
  <si>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</si>
  <si>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</si>
  <si>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</si>
  <si>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</si>
  <si>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</si>
  <si>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</si>
  <si>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</si>
  <si>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</si>
  <si>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</si>
  <si>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</si>
  <si>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</si>
  <si>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Phase:</t>
  </si>
  <si>
    <t>DLP</t>
  </si>
  <si>
    <t>SSEG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</si>
  <si>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</si>
  <si>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</si>
  <si>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</si>
  <si>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</si>
  <si>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</si>
  <si>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</si>
  <si>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</si>
  <si>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</si>
  <si>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</si>
  <si>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Control Phil Submission</t>
  </si>
  <si>
    <t>Control Phil Approval</t>
  </si>
  <si>
    <t>Onsite Meeting - SCADA &amp; Control Stakeholders</t>
  </si>
  <si>
    <t>Control Phil Pre-Approval</t>
  </si>
  <si>
    <t>Implementation</t>
  </si>
  <si>
    <t>Testing &amp; Monitoring</t>
  </si>
  <si>
    <t>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</si>
</sst>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&quot;R&quot;* #,##0.0000_-;\-&quot;R&quot;* #,##0.0000_-;_-&quot;R&quot;* &quot;-&quot;????_-;_-@_-"/>
    <numFmt numFmtId="172" formatCode="0.00000"/>
    <numFmt numFmtId="173" formatCode="0.00000%"/>
  </numFmts>
  <fonts count="6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7030A0"/>
      <name val="Proxima Nova Lt"/>
    </font>
    <font>
      <sz val="11"/>
      <color rgb="FF00B050"/>
      <name val="Proxima Nova Lt"/>
    </font>
    <font>
      <sz val="11"/>
      <color rgb="FF0070C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Proxima Nova Lt"/>
    </font>
    <font>
      <b/>
      <sz val="18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9FF66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7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2" borderId="0" xfId="0" applyFill="1"/>
    <xf numFmtId="16" fontId="0" fillId="2" borderId="0" xfId="0" applyNumberFormat="1" applyFill="1"/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6" fillId="7" borderId="0" xfId="0" applyFont="1" applyFill="1"/>
    <xf numFmtId="0" fontId="21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6" fillId="0" borderId="0" xfId="0" applyFont="1"/>
    <xf numFmtId="166" fontId="6" fillId="7" borderId="0" xfId="0" applyNumberFormat="1" applyFont="1" applyFill="1"/>
    <xf numFmtId="0" fontId="21" fillId="0" borderId="0" xfId="0" applyFont="1" applyAlignment="1">
      <alignment horizontal="center"/>
    </xf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0" xfId="0" applyFont="1"/>
    <xf numFmtId="164" fontId="26" fillId="7" borderId="0" xfId="1" applyFont="1" applyFill="1"/>
    <xf numFmtId="166" fontId="26" fillId="7" borderId="0" xfId="0" applyNumberFormat="1" applyFont="1" applyFill="1"/>
    <xf numFmtId="0" fontId="27" fillId="7" borderId="0" xfId="0" applyFont="1" applyFill="1" applyAlignment="1">
      <alignment horizontal="left"/>
    </xf>
    <xf numFmtId="0" fontId="26" fillId="0" borderId="0" xfId="0" applyFont="1" applyAlignment="1">
      <alignment horizontal="center"/>
    </xf>
    <xf numFmtId="9" fontId="29" fillId="0" borderId="2" xfId="0" applyNumberFormat="1" applyFont="1" applyBorder="1" applyAlignment="1">
      <alignment horizontal="center"/>
    </xf>
    <xf numFmtId="166" fontId="29" fillId="0" borderId="2" xfId="0" applyNumberFormat="1" applyFont="1" applyBorder="1"/>
    <xf numFmtId="15" fontId="29" fillId="0" borderId="2" xfId="0" applyNumberFormat="1" applyFont="1" applyBorder="1" applyAlignment="1">
      <alignment horizontal="center"/>
    </xf>
    <xf numFmtId="9" fontId="26" fillId="7" borderId="0" xfId="0" applyNumberFormat="1" applyFont="1" applyFill="1" applyAlignment="1">
      <alignment horizontal="center"/>
    </xf>
    <xf numFmtId="15" fontId="26" fillId="7" borderId="0" xfId="0" applyNumberFormat="1" applyFont="1" applyFill="1" applyAlignment="1">
      <alignment horizontal="center"/>
    </xf>
    <xf numFmtId="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/>
    <xf numFmtId="166" fontId="30" fillId="7" borderId="0" xfId="0" applyNumberFormat="1" applyFont="1" applyFill="1"/>
    <xf numFmtId="0" fontId="27" fillId="9" borderId="2" xfId="0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9" fontId="31" fillId="0" borderId="2" xfId="0" applyNumberFormat="1" applyFont="1" applyBorder="1" applyAlignment="1">
      <alignment horizontal="center"/>
    </xf>
    <xf numFmtId="166" fontId="31" fillId="0" borderId="2" xfId="0" applyNumberFormat="1" applyFont="1" applyBorder="1"/>
    <xf numFmtId="0" fontId="31" fillId="0" borderId="1" xfId="0" applyFont="1" applyBorder="1" applyAlignment="1">
      <alignment horizontal="center"/>
    </xf>
    <xf numFmtId="9" fontId="31" fillId="0" borderId="1" xfId="0" applyNumberFormat="1" applyFont="1" applyBorder="1" applyAlignment="1">
      <alignment horizontal="center"/>
    </xf>
    <xf numFmtId="166" fontId="31" fillId="0" borderId="1" xfId="0" applyNumberFormat="1" applyFont="1" applyBorder="1"/>
    <xf numFmtId="0" fontId="26" fillId="5" borderId="11" xfId="0" applyFont="1" applyFill="1" applyBorder="1" applyAlignment="1">
      <alignment horizontal="center"/>
    </xf>
    <xf numFmtId="0" fontId="26" fillId="5" borderId="16" xfId="0" applyFont="1" applyFill="1" applyBorder="1"/>
    <xf numFmtId="9" fontId="26" fillId="5" borderId="16" xfId="0" applyNumberFormat="1" applyFont="1" applyFill="1" applyBorder="1" applyAlignment="1">
      <alignment horizontal="center"/>
    </xf>
    <xf numFmtId="166" fontId="26" fillId="5" borderId="17" xfId="0" applyNumberFormat="1" applyFont="1" applyFill="1" applyBorder="1"/>
    <xf numFmtId="166" fontId="6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21" fillId="9" borderId="19" xfId="0" applyFont="1" applyFill="1" applyBorder="1" applyAlignment="1">
      <alignment horizontal="center"/>
    </xf>
    <xf numFmtId="0" fontId="21" fillId="9" borderId="22" xfId="0" applyFont="1" applyFill="1" applyBorder="1" applyAlignment="1">
      <alignment horizontal="center"/>
    </xf>
    <xf numFmtId="0" fontId="21" fillId="9" borderId="24" xfId="0" applyFont="1" applyFill="1" applyBorder="1" applyAlignment="1">
      <alignment horizontal="center"/>
    </xf>
    <xf numFmtId="0" fontId="7" fillId="7" borderId="0" xfId="0" applyFont="1" applyFill="1"/>
    <xf numFmtId="0" fontId="7" fillId="9" borderId="2" xfId="1" applyNumberFormat="1" applyFont="1" applyFill="1" applyBorder="1" applyAlignment="1">
      <alignment horizontal="center" vertical="center"/>
    </xf>
    <xf numFmtId="0" fontId="23" fillId="7" borderId="0" xfId="0" applyFont="1" applyFill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21" fillId="7" borderId="0" xfId="0" applyFont="1" applyFill="1"/>
    <xf numFmtId="0" fontId="33" fillId="7" borderId="0" xfId="0" applyFont="1" applyFill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1" fillId="7" borderId="2" xfId="0" applyFont="1" applyFill="1" applyBorder="1" applyAlignment="1">
      <alignment horizontal="center"/>
    </xf>
    <xf numFmtId="15" fontId="21" fillId="7" borderId="2" xfId="0" applyNumberFormat="1" applyFont="1" applyFill="1" applyBorder="1" applyAlignment="1">
      <alignment horizontal="center"/>
    </xf>
    <xf numFmtId="0" fontId="33" fillId="7" borderId="2" xfId="0" applyFont="1" applyFill="1" applyBorder="1"/>
    <xf numFmtId="0" fontId="32" fillId="7" borderId="0" xfId="0" applyFont="1" applyFill="1" applyAlignment="1">
      <alignment horizontal="center"/>
    </xf>
    <xf numFmtId="0" fontId="5" fillId="7" borderId="0" xfId="0" applyFont="1" applyFill="1"/>
    <xf numFmtId="15" fontId="25" fillId="7" borderId="2" xfId="0" applyNumberFormat="1" applyFont="1" applyFill="1" applyBorder="1" applyAlignment="1">
      <alignment horizontal="center"/>
    </xf>
    <xf numFmtId="0" fontId="6" fillId="7" borderId="2" xfId="0" applyFont="1" applyFill="1" applyBorder="1"/>
    <xf numFmtId="0" fontId="6" fillId="0" borderId="0" xfId="0" applyFont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7" fillId="7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26" fillId="7" borderId="0" xfId="0" applyFont="1" applyFill="1" applyProtection="1">
      <protection locked="0"/>
    </xf>
    <xf numFmtId="166" fontId="26" fillId="7" borderId="2" xfId="0" applyNumberFormat="1" applyFont="1" applyFill="1" applyBorder="1"/>
    <xf numFmtId="166" fontId="22" fillId="7" borderId="0" xfId="0" applyNumberFormat="1" applyFont="1" applyFill="1"/>
    <xf numFmtId="0" fontId="26" fillId="7" borderId="0" xfId="0" applyFont="1" applyFill="1" applyAlignment="1" applyProtection="1">
      <alignment horizontal="left" vertical="center"/>
      <protection locked="0"/>
    </xf>
    <xf numFmtId="166" fontId="28" fillId="7" borderId="0" xfId="0" applyNumberFormat="1" applyFont="1" applyFill="1"/>
    <xf numFmtId="0" fontId="6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7" fillId="0" borderId="43" xfId="0" applyFont="1" applyBorder="1" applyAlignment="1" applyProtection="1">
      <alignment horizontal="center" vertical="center"/>
      <protection locked="0"/>
    </xf>
    <xf numFmtId="167" fontId="23" fillId="0" borderId="43" xfId="0" applyNumberFormat="1" applyFont="1" applyBorder="1" applyAlignment="1" applyProtection="1">
      <alignment horizontal="center" vertical="center" wrapText="1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Protection="1"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5" fillId="10" borderId="2" xfId="0" applyNumberFormat="1" applyFont="1" applyFill="1" applyBorder="1"/>
    <xf numFmtId="14" fontId="5" fillId="10" borderId="32" xfId="0" applyNumberFormat="1" applyFont="1" applyFill="1" applyBorder="1"/>
    <xf numFmtId="167" fontId="6" fillId="7" borderId="0" xfId="0" applyNumberFormat="1" applyFont="1" applyFill="1"/>
    <xf numFmtId="167" fontId="13" fillId="10" borderId="2" xfId="0" applyNumberFormat="1" applyFont="1" applyFill="1" applyBorder="1" applyAlignment="1">
      <alignment horizontal="center" vertical="center"/>
    </xf>
    <xf numFmtId="0" fontId="36" fillId="10" borderId="2" xfId="0" applyFont="1" applyFill="1" applyBorder="1" applyProtection="1">
      <protection locked="0"/>
    </xf>
    <xf numFmtId="0" fontId="36" fillId="10" borderId="2" xfId="0" applyFont="1" applyFill="1" applyBorder="1" applyAlignment="1" applyProtection="1">
      <alignment horizontal="center" vertical="center"/>
      <protection locked="0"/>
    </xf>
    <xf numFmtId="14" fontId="5" fillId="10" borderId="32" xfId="0" applyNumberFormat="1" applyFont="1" applyFill="1" applyBorder="1" applyAlignment="1">
      <alignment horizontal="center"/>
    </xf>
    <xf numFmtId="14" fontId="37" fillId="10" borderId="32" xfId="0" applyNumberFormat="1" applyFont="1" applyFill="1" applyBorder="1"/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4" fontId="13" fillId="10" borderId="32" xfId="0" applyNumberFormat="1" applyFont="1" applyFill="1" applyBorder="1"/>
    <xf numFmtId="0" fontId="6" fillId="10" borderId="2" xfId="0" applyFont="1" applyFill="1" applyBorder="1" applyAlignment="1" applyProtection="1">
      <alignment horizontal="center"/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/>
    <xf numFmtId="14" fontId="5" fillId="10" borderId="36" xfId="0" applyNumberFormat="1" applyFont="1" applyFill="1" applyBorder="1"/>
    <xf numFmtId="167" fontId="13" fillId="10" borderId="35" xfId="0" applyNumberFormat="1" applyFont="1" applyFill="1" applyBorder="1" applyAlignment="1">
      <alignment horizontal="center" vertical="center"/>
    </xf>
    <xf numFmtId="14" fontId="13" fillId="10" borderId="36" xfId="0" applyNumberFormat="1" applyFont="1" applyFill="1" applyBorder="1"/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167" fontId="5" fillId="11" borderId="38" xfId="0" applyNumberFormat="1" applyFont="1" applyFill="1" applyBorder="1"/>
    <xf numFmtId="14" fontId="5" fillId="11" borderId="39" xfId="0" applyNumberFormat="1" applyFont="1" applyFill="1" applyBorder="1"/>
    <xf numFmtId="14" fontId="13" fillId="11" borderId="39" xfId="0" applyNumberFormat="1" applyFont="1" applyFill="1" applyBorder="1"/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167" fontId="5" fillId="11" borderId="2" xfId="0" applyNumberFormat="1" applyFont="1" applyFill="1" applyBorder="1"/>
    <xf numFmtId="14" fontId="5" fillId="11" borderId="32" xfId="0" applyNumberFormat="1" applyFont="1" applyFill="1" applyBorder="1"/>
    <xf numFmtId="167" fontId="13" fillId="11" borderId="2" xfId="0" applyNumberFormat="1" applyFont="1" applyFill="1" applyBorder="1" applyAlignment="1">
      <alignment horizontal="center" vertical="center"/>
    </xf>
    <xf numFmtId="14" fontId="13" fillId="11" borderId="32" xfId="0" applyNumberFormat="1" applyFont="1" applyFill="1" applyBorder="1"/>
    <xf numFmtId="167" fontId="40" fillId="11" borderId="2" xfId="0" applyNumberFormat="1" applyFont="1" applyFill="1" applyBorder="1" applyAlignment="1" applyProtection="1">
      <alignment horizontal="left" vertical="center"/>
      <protection locked="0"/>
    </xf>
    <xf numFmtId="14" fontId="39" fillId="11" borderId="32" xfId="0" applyNumberFormat="1" applyFont="1" applyFill="1" applyBorder="1"/>
    <xf numFmtId="14" fontId="37" fillId="11" borderId="32" xfId="0" applyNumberFormat="1" applyFont="1" applyFill="1" applyBorder="1"/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167" fontId="5" fillId="11" borderId="2" xfId="0" applyNumberFormat="1" applyFont="1" applyFill="1" applyBorder="1" applyProtection="1">
      <protection locked="0"/>
    </xf>
    <xf numFmtId="0" fontId="21" fillId="11" borderId="31" xfId="0" applyFont="1" applyFill="1" applyBorder="1"/>
    <xf numFmtId="0" fontId="6" fillId="11" borderId="2" xfId="0" applyFont="1" applyFill="1" applyBorder="1"/>
    <xf numFmtId="0" fontId="6" fillId="11" borderId="2" xfId="0" applyFont="1" applyFill="1" applyBorder="1" applyAlignment="1">
      <alignment horizontal="center" vertical="center"/>
    </xf>
    <xf numFmtId="14" fontId="38" fillId="11" borderId="32" xfId="0" applyNumberFormat="1" applyFont="1" applyFill="1" applyBorder="1"/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4" fontId="5" fillId="11" borderId="36" xfId="0" applyNumberFormat="1" applyFont="1" applyFill="1" applyBorder="1"/>
    <xf numFmtId="167" fontId="13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/>
    <xf numFmtId="0" fontId="42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10" borderId="27" xfId="0" applyFont="1" applyFill="1" applyBorder="1" applyAlignment="1" applyProtection="1">
      <alignment horizontal="center"/>
      <protection locked="0"/>
    </xf>
    <xf numFmtId="0" fontId="31" fillId="7" borderId="0" xfId="0" applyFont="1" applyFill="1"/>
    <xf numFmtId="14" fontId="5" fillId="10" borderId="46" xfId="0" applyNumberFormat="1" applyFont="1" applyFill="1" applyBorder="1"/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9" fontId="6" fillId="10" borderId="38" xfId="2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/>
    <xf numFmtId="14" fontId="5" fillId="10" borderId="39" xfId="0" applyNumberFormat="1" applyFont="1" applyFill="1" applyBorder="1"/>
    <xf numFmtId="0" fontId="36" fillId="10" borderId="35" xfId="0" applyFont="1" applyFill="1" applyBorder="1" applyProtection="1">
      <protection locked="0"/>
    </xf>
    <xf numFmtId="0" fontId="36" fillId="10" borderId="35" xfId="0" applyFont="1" applyFill="1" applyBorder="1" applyAlignment="1" applyProtection="1">
      <alignment horizontal="center" vertic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>
      <alignment horizontal="center"/>
    </xf>
    <xf numFmtId="0" fontId="6" fillId="10" borderId="35" xfId="0" applyFont="1" applyFill="1" applyBorder="1" applyProtection="1">
      <protection locked="0"/>
    </xf>
    <xf numFmtId="14" fontId="37" fillId="10" borderId="36" xfId="0" applyNumberFormat="1" applyFont="1" applyFill="1" applyBorder="1"/>
    <xf numFmtId="0" fontId="6" fillId="10" borderId="38" xfId="0" applyFont="1" applyFill="1" applyBorder="1" applyAlignment="1" applyProtection="1">
      <alignment horizontal="center"/>
      <protection locked="0"/>
    </xf>
    <xf numFmtId="14" fontId="13" fillId="10" borderId="46" xfId="0" applyNumberFormat="1" applyFont="1" applyFill="1" applyBorder="1"/>
    <xf numFmtId="0" fontId="6" fillId="10" borderId="35" xfId="0" applyFont="1" applyFill="1" applyBorder="1" applyAlignment="1" applyProtection="1">
      <alignment horizontal="center"/>
      <protection locked="0"/>
    </xf>
    <xf numFmtId="14" fontId="13" fillId="10" borderId="39" xfId="0" applyNumberFormat="1" applyFont="1" applyFill="1" applyBorder="1"/>
    <xf numFmtId="0" fontId="21" fillId="11" borderId="33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/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/>
    <xf numFmtId="167" fontId="13" fillId="11" borderId="35" xfId="0" applyNumberFormat="1" applyFont="1" applyFill="1" applyBorder="1" applyAlignment="1">
      <alignment horizontal="center" vertical="center"/>
    </xf>
    <xf numFmtId="14" fontId="37" fillId="11" borderId="36" xfId="0" applyNumberFormat="1" applyFont="1" applyFill="1" applyBorder="1"/>
    <xf numFmtId="0" fontId="6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167" fontId="5" fillId="11" borderId="38" xfId="0" applyNumberFormat="1" applyFont="1" applyFill="1" applyBorder="1" applyProtection="1">
      <protection locked="0"/>
    </xf>
    <xf numFmtId="167" fontId="5" fillId="11" borderId="35" xfId="0" applyNumberFormat="1" applyFont="1" applyFill="1" applyBorder="1" applyProtection="1">
      <protection locked="0"/>
    </xf>
    <xf numFmtId="14" fontId="13" fillId="11" borderId="36" xfId="0" applyNumberFormat="1" applyFont="1" applyFill="1" applyBorder="1"/>
    <xf numFmtId="166" fontId="6" fillId="11" borderId="38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/>
    <xf numFmtId="0" fontId="6" fillId="11" borderId="5" xfId="0" applyFont="1" applyFill="1" applyBorder="1"/>
    <xf numFmtId="166" fontId="6" fillId="11" borderId="27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/>
    <xf numFmtId="0" fontId="6" fillId="11" borderId="0" xfId="0" applyFont="1" applyFill="1"/>
    <xf numFmtId="0" fontId="21" fillId="11" borderId="49" xfId="0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Protection="1"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166" fontId="6" fillId="11" borderId="50" xfId="0" applyNumberFormat="1" applyFont="1" applyFill="1" applyBorder="1" applyAlignment="1" applyProtection="1">
      <alignment horizontal="center"/>
      <protection locked="0"/>
    </xf>
    <xf numFmtId="167" fontId="5" fillId="11" borderId="50" xfId="0" applyNumberFormat="1" applyFont="1" applyFill="1" applyBorder="1"/>
    <xf numFmtId="167" fontId="5" fillId="11" borderId="8" xfId="0" applyNumberFormat="1" applyFont="1" applyFill="1" applyBorder="1"/>
    <xf numFmtId="0" fontId="6" fillId="11" borderId="8" xfId="0" applyFont="1" applyFill="1" applyBorder="1"/>
    <xf numFmtId="167" fontId="13" fillId="11" borderId="50" xfId="0" applyNumberFormat="1" applyFont="1" applyFill="1" applyBorder="1" applyAlignment="1">
      <alignment horizontal="center" vertical="center"/>
    </xf>
    <xf numFmtId="14" fontId="38" fillId="11" borderId="36" xfId="0" applyNumberFormat="1" applyFont="1" applyFill="1" applyBorder="1"/>
    <xf numFmtId="9" fontId="6" fillId="11" borderId="2" xfId="0" applyNumberFormat="1" applyFont="1" applyFill="1" applyBorder="1" applyAlignment="1">
      <alignment horizontal="center" vertical="center"/>
    </xf>
    <xf numFmtId="0" fontId="21" fillId="11" borderId="34" xfId="0" applyFont="1" applyFill="1" applyBorder="1"/>
    <xf numFmtId="0" fontId="6" fillId="11" borderId="35" xfId="0" applyFont="1" applyFill="1" applyBorder="1"/>
    <xf numFmtId="0" fontId="6" fillId="11" borderId="35" xfId="0" applyFont="1" applyFill="1" applyBorder="1" applyAlignment="1">
      <alignment horizontal="center" vertical="center"/>
    </xf>
    <xf numFmtId="0" fontId="6" fillId="11" borderId="35" xfId="0" applyFont="1" applyFill="1" applyBorder="1" applyAlignment="1">
      <alignment horizontal="center"/>
    </xf>
    <xf numFmtId="166" fontId="6" fillId="11" borderId="35" xfId="0" applyNumberFormat="1" applyFont="1" applyFill="1" applyBorder="1"/>
    <xf numFmtId="9" fontId="6" fillId="11" borderId="35" xfId="0" applyNumberFormat="1" applyFont="1" applyFill="1" applyBorder="1" applyAlignment="1">
      <alignment horizontal="center" vertical="center"/>
    </xf>
    <xf numFmtId="167" fontId="13" fillId="11" borderId="8" xfId="0" applyNumberFormat="1" applyFont="1" applyFill="1" applyBorder="1"/>
    <xf numFmtId="167" fontId="5" fillId="10" borderId="5" xfId="0" applyNumberFormat="1" applyFont="1" applyFill="1" applyBorder="1"/>
    <xf numFmtId="167" fontId="6" fillId="10" borderId="5" xfId="0" applyNumberFormat="1" applyFont="1" applyFill="1" applyBorder="1"/>
    <xf numFmtId="167" fontId="5" fillId="10" borderId="0" xfId="0" applyNumberFormat="1" applyFont="1" applyFill="1"/>
    <xf numFmtId="0" fontId="6" fillId="10" borderId="0" xfId="0" applyFont="1" applyFill="1"/>
    <xf numFmtId="167" fontId="5" fillId="10" borderId="8" xfId="0" applyNumberFormat="1" applyFont="1" applyFill="1" applyBorder="1"/>
    <xf numFmtId="0" fontId="6" fillId="10" borderId="8" xfId="0" applyFont="1" applyFill="1" applyBorder="1"/>
    <xf numFmtId="0" fontId="21" fillId="11" borderId="42" xfId="0" applyFont="1" applyFill="1" applyBorder="1" applyAlignment="1" applyProtection="1">
      <alignment horizontal="center"/>
      <protection locked="0"/>
    </xf>
    <xf numFmtId="0" fontId="6" fillId="11" borderId="43" xfId="0" applyFont="1" applyFill="1" applyBorder="1" applyProtection="1">
      <protection locked="0"/>
    </xf>
    <xf numFmtId="0" fontId="6" fillId="11" borderId="43" xfId="0" applyFont="1" applyFill="1" applyBorder="1" applyAlignment="1" applyProtection="1">
      <alignment horizontal="center" vertical="center"/>
      <protection locked="0"/>
    </xf>
    <xf numFmtId="167" fontId="5" fillId="11" borderId="43" xfId="0" applyNumberFormat="1" applyFont="1" applyFill="1" applyBorder="1" applyProtection="1">
      <protection locked="0"/>
    </xf>
    <xf numFmtId="14" fontId="5" fillId="11" borderId="44" xfId="0" applyNumberFormat="1" applyFont="1" applyFill="1" applyBorder="1"/>
    <xf numFmtId="0" fontId="6" fillId="11" borderId="43" xfId="0" applyFont="1" applyFill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5" fillId="13" borderId="38" xfId="0" applyNumberFormat="1" applyFont="1" applyFill="1" applyBorder="1"/>
    <xf numFmtId="14" fontId="5" fillId="13" borderId="39" xfId="0" applyNumberFormat="1" applyFont="1" applyFill="1" applyBorder="1"/>
    <xf numFmtId="167" fontId="5" fillId="13" borderId="5" xfId="0" applyNumberFormat="1" applyFont="1" applyFill="1" applyBorder="1"/>
    <xf numFmtId="0" fontId="6" fillId="13" borderId="5" xfId="0" applyFont="1" applyFill="1" applyBorder="1"/>
    <xf numFmtId="14" fontId="39" fillId="13" borderId="39" xfId="0" applyNumberFormat="1" applyFont="1" applyFill="1" applyBorder="1"/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/>
    <xf numFmtId="14" fontId="5" fillId="13" borderId="32" xfId="0" applyNumberFormat="1" applyFont="1" applyFill="1" applyBorder="1"/>
    <xf numFmtId="167" fontId="5" fillId="13" borderId="0" xfId="0" applyNumberFormat="1" applyFont="1" applyFill="1"/>
    <xf numFmtId="0" fontId="6" fillId="13" borderId="0" xfId="0" applyFont="1" applyFill="1"/>
    <xf numFmtId="14" fontId="39" fillId="13" borderId="32" xfId="0" applyNumberFormat="1" applyFont="1" applyFill="1" applyBorder="1"/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/>
    <xf numFmtId="14" fontId="5" fillId="13" borderId="36" xfId="0" applyNumberFormat="1" applyFont="1" applyFill="1" applyBorder="1"/>
    <xf numFmtId="167" fontId="5" fillId="13" borderId="8" xfId="0" applyNumberFormat="1" applyFont="1" applyFill="1" applyBorder="1"/>
    <xf numFmtId="0" fontId="6" fillId="13" borderId="8" xfId="0" applyFont="1" applyFill="1" applyBorder="1"/>
    <xf numFmtId="0" fontId="21" fillId="0" borderId="47" xfId="0" applyFont="1" applyBorder="1"/>
    <xf numFmtId="0" fontId="6" fillId="0" borderId="3" xfId="0" applyFont="1" applyBorder="1"/>
    <xf numFmtId="167" fontId="6" fillId="0" borderId="3" xfId="0" applyNumberFormat="1" applyFont="1" applyBorder="1"/>
    <xf numFmtId="167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4" fontId="5" fillId="0" borderId="48" xfId="0" applyNumberFormat="1" applyFont="1" applyBorder="1"/>
    <xf numFmtId="0" fontId="13" fillId="0" borderId="3" xfId="0" applyFont="1" applyBorder="1" applyAlignment="1">
      <alignment horizontal="center" vertical="center"/>
    </xf>
    <xf numFmtId="14" fontId="38" fillId="0" borderId="48" xfId="0" applyNumberFormat="1" applyFont="1" applyBorder="1"/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/>
    <xf numFmtId="167" fontId="5" fillId="0" borderId="0" xfId="0" applyNumberFormat="1" applyFont="1"/>
    <xf numFmtId="167" fontId="13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6" fillId="0" borderId="3" xfId="0" applyNumberFormat="1" applyFont="1" applyBorder="1"/>
    <xf numFmtId="166" fontId="13" fillId="0" borderId="3" xfId="0" applyNumberFormat="1" applyFont="1" applyBorder="1" applyAlignment="1">
      <alignment horizontal="center" vertical="center"/>
    </xf>
    <xf numFmtId="14" fontId="13" fillId="0" borderId="48" xfId="0" applyNumberFormat="1" applyFont="1" applyBorder="1"/>
    <xf numFmtId="167" fontId="13" fillId="0" borderId="0" xfId="0" applyNumberFormat="1" applyFont="1"/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14" fontId="39" fillId="0" borderId="48" xfId="0" applyNumberFormat="1" applyFont="1" applyBorder="1"/>
    <xf numFmtId="0" fontId="36" fillId="0" borderId="3" xfId="0" applyFont="1" applyBorder="1" applyAlignment="1" applyProtection="1">
      <alignment horizontal="left" vertical="center"/>
      <protection locked="0"/>
    </xf>
    <xf numFmtId="14" fontId="37" fillId="0" borderId="48" xfId="0" applyNumberFormat="1" applyFont="1" applyBorder="1"/>
    <xf numFmtId="167" fontId="13" fillId="0" borderId="0" xfId="0" applyNumberFormat="1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Protection="1">
      <protection locked="0"/>
    </xf>
    <xf numFmtId="167" fontId="13" fillId="0" borderId="3" xfId="0" applyNumberFormat="1" applyFont="1" applyBorder="1" applyAlignment="1" applyProtection="1">
      <alignment horizontal="center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9" fontId="6" fillId="13" borderId="29" xfId="0" applyNumberFormat="1" applyFont="1" applyFill="1" applyBorder="1" applyAlignment="1" applyProtection="1">
      <alignment horizontal="center" vertical="center"/>
      <protection locked="0"/>
    </xf>
    <xf numFmtId="9" fontId="6" fillId="13" borderId="29" xfId="0" applyNumberFormat="1" applyFont="1" applyFill="1" applyBorder="1" applyAlignment="1" applyProtection="1">
      <alignment horizontal="center"/>
      <protection locked="0"/>
    </xf>
    <xf numFmtId="167" fontId="5" fillId="13" borderId="29" xfId="0" applyNumberFormat="1" applyFont="1" applyFill="1" applyBorder="1"/>
    <xf numFmtId="14" fontId="5" fillId="13" borderId="30" xfId="0" applyNumberFormat="1" applyFont="1" applyFill="1" applyBorder="1"/>
    <xf numFmtId="167" fontId="13" fillId="13" borderId="5" xfId="0" applyNumberFormat="1" applyFont="1" applyFill="1" applyBorder="1"/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167" fontId="5" fillId="13" borderId="1" xfId="0" applyNumberFormat="1" applyFont="1" applyFill="1" applyBorder="1"/>
    <xf numFmtId="14" fontId="5" fillId="13" borderId="41" xfId="0" applyNumberFormat="1" applyFont="1" applyFill="1" applyBorder="1"/>
    <xf numFmtId="14" fontId="13" fillId="13" borderId="41" xfId="0" applyNumberFormat="1" applyFont="1" applyFill="1" applyBorder="1"/>
    <xf numFmtId="167" fontId="13" fillId="13" borderId="0" xfId="0" applyNumberFormat="1" applyFont="1" applyFill="1"/>
    <xf numFmtId="14" fontId="13" fillId="13" borderId="36" xfId="0" applyNumberFormat="1" applyFont="1" applyFill="1" applyBorder="1"/>
    <xf numFmtId="167" fontId="13" fillId="13" borderId="8" xfId="0" applyNumberFormat="1" applyFont="1" applyFill="1" applyBorder="1"/>
    <xf numFmtId="0" fontId="6" fillId="7" borderId="0" xfId="0" applyFont="1" applyFill="1" applyAlignment="1">
      <alignment vertical="center"/>
    </xf>
    <xf numFmtId="0" fontId="7" fillId="7" borderId="12" xfId="0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167" fontId="7" fillId="0" borderId="18" xfId="0" applyNumberFormat="1" applyFont="1" applyBorder="1" applyAlignment="1">
      <alignment vertical="center"/>
    </xf>
    <xf numFmtId="167" fontId="7" fillId="0" borderId="14" xfId="0" applyNumberFormat="1" applyFont="1" applyBorder="1" applyAlignment="1">
      <alignment horizontal="center" vertical="center"/>
    </xf>
    <xf numFmtId="167" fontId="6" fillId="7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34" fillId="7" borderId="2" xfId="0" applyFont="1" applyFill="1" applyBorder="1"/>
    <xf numFmtId="0" fontId="6" fillId="13" borderId="38" xfId="0" applyFont="1" applyFill="1" applyBorder="1"/>
    <xf numFmtId="167" fontId="6" fillId="13" borderId="38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2" xfId="0" applyFont="1" applyFill="1" applyBorder="1"/>
    <xf numFmtId="167" fontId="6" fillId="13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2" xfId="0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35" xfId="0" applyFont="1" applyFill="1" applyBorder="1"/>
    <xf numFmtId="167" fontId="6" fillId="13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167" fontId="13" fillId="11" borderId="8" xfId="0" applyNumberFormat="1" applyFont="1" applyFill="1" applyBorder="1" applyProtection="1">
      <protection locked="0"/>
    </xf>
    <xf numFmtId="167" fontId="5" fillId="10" borderId="38" xfId="0" applyNumberFormat="1" applyFont="1" applyFill="1" applyBorder="1" applyProtection="1">
      <protection locked="0"/>
    </xf>
    <xf numFmtId="167" fontId="5" fillId="10" borderId="5" xfId="0" applyNumberFormat="1" applyFont="1" applyFill="1" applyBorder="1" applyProtection="1">
      <protection locked="0"/>
    </xf>
    <xf numFmtId="0" fontId="6" fillId="10" borderId="5" xfId="0" applyFont="1" applyFill="1" applyBorder="1"/>
    <xf numFmtId="167" fontId="5" fillId="10" borderId="2" xfId="0" applyNumberFormat="1" applyFont="1" applyFill="1" applyBorder="1" applyProtection="1">
      <protection locked="0"/>
    </xf>
    <xf numFmtId="167" fontId="5" fillId="10" borderId="0" xfId="0" applyNumberFormat="1" applyFont="1" applyFill="1" applyProtection="1">
      <protection locked="0"/>
    </xf>
    <xf numFmtId="167" fontId="5" fillId="10" borderId="27" xfId="0" applyNumberFormat="1" applyFont="1" applyFill="1" applyBorder="1" applyProtection="1">
      <protection locked="0"/>
    </xf>
    <xf numFmtId="167" fontId="13" fillId="10" borderId="0" xfId="0" applyNumberFormat="1" applyFont="1" applyFill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167" fontId="5" fillId="10" borderId="35" xfId="0" applyNumberFormat="1" applyFont="1" applyFill="1" applyBorder="1" applyProtection="1">
      <protection locked="0"/>
    </xf>
    <xf numFmtId="167" fontId="5" fillId="10" borderId="8" xfId="0" applyNumberFormat="1" applyFont="1" applyFill="1" applyBorder="1" applyProtection="1">
      <protection locked="0"/>
    </xf>
    <xf numFmtId="167" fontId="13" fillId="10" borderId="35" xfId="0" applyNumberFormat="1" applyFont="1" applyFill="1" applyBorder="1" applyAlignment="1" applyProtection="1">
      <alignment horizontal="center" vertical="center"/>
      <protection locked="0"/>
    </xf>
    <xf numFmtId="167" fontId="13" fillId="10" borderId="8" xfId="0" applyNumberFormat="1" applyFont="1" applyFill="1" applyBorder="1" applyProtection="1">
      <protection locked="0"/>
    </xf>
    <xf numFmtId="0" fontId="21" fillId="10" borderId="42" xfId="0" applyFont="1" applyFill="1" applyBorder="1" applyAlignment="1" applyProtection="1">
      <alignment horizontal="center"/>
      <protection locked="0"/>
    </xf>
    <xf numFmtId="0" fontId="6" fillId="10" borderId="43" xfId="0" applyFont="1" applyFill="1" applyBorder="1" applyProtection="1">
      <protection locked="0"/>
    </xf>
    <xf numFmtId="0" fontId="6" fillId="10" borderId="43" xfId="0" applyFont="1" applyFill="1" applyBorder="1" applyAlignment="1" applyProtection="1">
      <alignment horizontal="center" vertical="center"/>
      <protection locked="0"/>
    </xf>
    <xf numFmtId="9" fontId="6" fillId="10" borderId="43" xfId="0" applyNumberFormat="1" applyFont="1" applyFill="1" applyBorder="1" applyAlignment="1" applyProtection="1">
      <alignment horizontal="center"/>
      <protection locked="0"/>
    </xf>
    <xf numFmtId="167" fontId="5" fillId="10" borderId="43" xfId="0" applyNumberFormat="1" applyFont="1" applyFill="1" applyBorder="1" applyProtection="1">
      <protection locked="0"/>
    </xf>
    <xf numFmtId="14" fontId="5" fillId="10" borderId="44" xfId="0" applyNumberFormat="1" applyFont="1" applyFill="1" applyBorder="1"/>
    <xf numFmtId="167" fontId="5" fillId="10" borderId="16" xfId="0" applyNumberFormat="1" applyFont="1" applyFill="1" applyBorder="1" applyProtection="1">
      <protection locked="0"/>
    </xf>
    <xf numFmtId="167" fontId="7" fillId="10" borderId="12" xfId="0" applyNumberFormat="1" applyFont="1" applyFill="1" applyBorder="1" applyAlignment="1">
      <alignment vertical="center"/>
    </xf>
    <xf numFmtId="0" fontId="6" fillId="10" borderId="16" xfId="0" applyFont="1" applyFill="1" applyBorder="1"/>
    <xf numFmtId="14" fontId="13" fillId="10" borderId="44" xfId="0" applyNumberFormat="1" applyFont="1" applyFill="1" applyBorder="1"/>
    <xf numFmtId="167" fontId="13" fillId="10" borderId="16" xfId="0" applyNumberFormat="1" applyFont="1" applyFill="1" applyBorder="1" applyProtection="1">
      <protection locked="0"/>
    </xf>
    <xf numFmtId="167" fontId="5" fillId="11" borderId="5" xfId="0" applyNumberFormat="1" applyFont="1" applyFill="1" applyBorder="1" applyProtection="1">
      <protection locked="0"/>
    </xf>
    <xf numFmtId="169" fontId="7" fillId="11" borderId="5" xfId="0" applyNumberFormat="1" applyFont="1" applyFill="1" applyBorder="1" applyProtection="1">
      <protection locked="0"/>
    </xf>
    <xf numFmtId="167" fontId="5" fillId="11" borderId="0" xfId="0" applyNumberFormat="1" applyFont="1" applyFill="1" applyProtection="1">
      <protection locked="0"/>
    </xf>
    <xf numFmtId="169" fontId="7" fillId="11" borderId="0" xfId="0" applyNumberFormat="1" applyFont="1" applyFill="1" applyProtection="1">
      <protection locked="0"/>
    </xf>
    <xf numFmtId="167" fontId="5" fillId="11" borderId="8" xfId="0" applyNumberFormat="1" applyFont="1" applyFill="1" applyBorder="1" applyProtection="1">
      <protection locked="0"/>
    </xf>
    <xf numFmtId="169" fontId="7" fillId="11" borderId="8" xfId="0" applyNumberFormat="1" applyFont="1" applyFill="1" applyBorder="1" applyProtection="1">
      <protection locked="0"/>
    </xf>
    <xf numFmtId="167" fontId="5" fillId="11" borderId="16" xfId="0" applyNumberFormat="1" applyFont="1" applyFill="1" applyBorder="1" applyProtection="1">
      <protection locked="0"/>
    </xf>
    <xf numFmtId="167" fontId="7" fillId="11" borderId="12" xfId="0" applyNumberFormat="1" applyFont="1" applyFill="1" applyBorder="1" applyAlignment="1">
      <alignment vertical="center"/>
    </xf>
    <xf numFmtId="0" fontId="6" fillId="11" borderId="16" xfId="0" applyFont="1" applyFill="1" applyBorder="1"/>
    <xf numFmtId="167" fontId="13" fillId="11" borderId="5" xfId="0" applyNumberFormat="1" applyFont="1" applyFill="1" applyBorder="1" applyProtection="1">
      <protection locked="0"/>
    </xf>
    <xf numFmtId="167" fontId="13" fillId="11" borderId="0" xfId="0" applyNumberFormat="1" applyFont="1" applyFill="1" applyProtection="1">
      <protection locked="0"/>
    </xf>
    <xf numFmtId="167" fontId="7" fillId="0" borderId="12" xfId="0" applyNumberFormat="1" applyFont="1" applyBorder="1" applyAlignment="1">
      <alignment vertical="center"/>
    </xf>
    <xf numFmtId="166" fontId="6" fillId="0" borderId="3" xfId="0" applyNumberFormat="1" applyFont="1" applyBorder="1" applyAlignment="1" applyProtection="1">
      <alignment horizontal="center"/>
      <protection locked="0"/>
    </xf>
    <xf numFmtId="166" fontId="6" fillId="7" borderId="0" xfId="3" applyFont="1" applyFill="1" applyBorder="1"/>
    <xf numFmtId="0" fontId="43" fillId="7" borderId="51" xfId="0" applyFont="1" applyFill="1" applyBorder="1"/>
    <xf numFmtId="0" fontId="44" fillId="7" borderId="0" xfId="0" applyFont="1" applyFill="1" applyAlignment="1">
      <alignment horizontal="right"/>
    </xf>
    <xf numFmtId="166" fontId="44" fillId="7" borderId="0" xfId="0" applyNumberFormat="1" applyFont="1" applyFill="1"/>
    <xf numFmtId="16" fontId="45" fillId="0" borderId="0" xfId="0" applyNumberFormat="1" applyFont="1" applyAlignment="1">
      <alignment horizontal="right"/>
    </xf>
    <xf numFmtId="0" fontId="0" fillId="5" borderId="0" xfId="0" applyFill="1"/>
    <xf numFmtId="0" fontId="18" fillId="5" borderId="0" xfId="0" applyFont="1" applyFill="1"/>
    <xf numFmtId="166" fontId="11" fillId="7" borderId="12" xfId="0" applyNumberFormat="1" applyFont="1" applyFill="1" applyBorder="1"/>
    <xf numFmtId="0" fontId="27" fillId="9" borderId="12" xfId="0" applyFont="1" applyFill="1" applyBorder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167" fontId="5" fillId="10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9" borderId="2" xfId="1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wrapText="1"/>
    </xf>
    <xf numFmtId="15" fontId="21" fillId="7" borderId="2" xfId="0" applyNumberFormat="1" applyFont="1" applyFill="1" applyBorder="1" applyAlignment="1">
      <alignment horizontal="center" wrapText="1"/>
    </xf>
    <xf numFmtId="15" fontId="25" fillId="7" borderId="2" xfId="0" applyNumberFormat="1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0" fontId="6" fillId="7" borderId="2" xfId="0" applyFont="1" applyFill="1" applyBorder="1" applyAlignment="1">
      <alignment horizontal="center"/>
    </xf>
    <xf numFmtId="0" fontId="24" fillId="7" borderId="0" xfId="0" applyFont="1" applyFill="1"/>
    <xf numFmtId="166" fontId="7" fillId="7" borderId="0" xfId="0" applyNumberFormat="1" applyFont="1" applyFill="1" applyAlignment="1">
      <alignment horizontal="center"/>
    </xf>
    <xf numFmtId="0" fontId="7" fillId="7" borderId="2" xfId="0" applyFont="1" applyFill="1" applyBorder="1" applyAlignment="1">
      <alignment horizontal="center" wrapText="1"/>
    </xf>
    <xf numFmtId="0" fontId="4" fillId="9" borderId="21" xfId="0" applyFont="1" applyFill="1" applyBorder="1" applyAlignment="1">
      <alignment horizontal="right"/>
    </xf>
    <xf numFmtId="0" fontId="46" fillId="7" borderId="0" xfId="0" applyFont="1" applyFill="1"/>
    <xf numFmtId="0" fontId="4" fillId="9" borderId="23" xfId="0" applyFont="1" applyFill="1" applyBorder="1" applyAlignment="1">
      <alignment horizontal="right"/>
    </xf>
    <xf numFmtId="0" fontId="46" fillId="9" borderId="0" xfId="0" applyFont="1" applyFill="1" applyAlignment="1">
      <alignment horizontal="center"/>
    </xf>
    <xf numFmtId="0" fontId="46" fillId="9" borderId="0" xfId="0" applyFont="1" applyFill="1"/>
    <xf numFmtId="0" fontId="46" fillId="9" borderId="23" xfId="0" applyFont="1" applyFill="1" applyBorder="1"/>
    <xf numFmtId="0" fontId="4" fillId="9" borderId="26" xfId="0" applyFont="1" applyFill="1" applyBorder="1" applyAlignment="1">
      <alignment horizontal="right"/>
    </xf>
    <xf numFmtId="0" fontId="6" fillId="2" borderId="0" xfId="0" applyFont="1" applyFill="1"/>
    <xf numFmtId="0" fontId="6" fillId="2" borderId="0" xfId="0" applyFont="1" applyFill="1" applyAlignment="1" applyProtection="1">
      <alignment horizont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>
      <alignment vertical="center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5" fillId="2" borderId="0" xfId="0" applyNumberFormat="1" applyFont="1" applyFill="1" applyProtection="1"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>
      <alignment vertical="center"/>
    </xf>
    <xf numFmtId="0" fontId="6" fillId="2" borderId="5" xfId="0" applyFont="1" applyFill="1" applyBorder="1"/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167" fontId="6" fillId="2" borderId="0" xfId="0" applyNumberFormat="1" applyFont="1" applyFill="1" applyAlignment="1" applyProtection="1">
      <alignment wrapText="1"/>
      <protection locked="0"/>
    </xf>
    <xf numFmtId="15" fontId="0" fillId="0" borderId="2" xfId="0" applyNumberFormat="1" applyBorder="1"/>
    <xf numFmtId="0" fontId="17" fillId="2" borderId="0" xfId="0" applyFont="1" applyFill="1" applyAlignment="1">
      <alignment horizontal="center"/>
    </xf>
    <xf numFmtId="16" fontId="45" fillId="2" borderId="0" xfId="0" applyNumberFormat="1" applyFont="1" applyFill="1" applyAlignment="1">
      <alignment horizontal="right"/>
    </xf>
    <xf numFmtId="166" fontId="0" fillId="2" borderId="2" xfId="0" applyNumberFormat="1" applyFill="1" applyBorder="1"/>
    <xf numFmtId="0" fontId="0" fillId="2" borderId="2" xfId="0" applyFill="1" applyBorder="1"/>
    <xf numFmtId="0" fontId="0" fillId="5" borderId="2" xfId="0" applyFill="1" applyBorder="1"/>
    <xf numFmtId="15" fontId="0" fillId="5" borderId="2" xfId="0" applyNumberFormat="1" applyFill="1" applyBorder="1"/>
    <xf numFmtId="0" fontId="17" fillId="2" borderId="15" xfId="0" applyFont="1" applyFill="1" applyBorder="1"/>
    <xf numFmtId="0" fontId="0" fillId="8" borderId="15" xfId="0" applyFill="1" applyBorder="1"/>
    <xf numFmtId="0" fontId="0" fillId="9" borderId="15" xfId="0" applyFill="1" applyBorder="1"/>
    <xf numFmtId="0" fontId="0" fillId="14" borderId="15" xfId="0" applyFill="1" applyBorder="1"/>
    <xf numFmtId="166" fontId="0" fillId="14" borderId="2" xfId="0" applyNumberFormat="1" applyFill="1" applyBorder="1"/>
    <xf numFmtId="166" fontId="0" fillId="9" borderId="2" xfId="0" applyNumberFormat="1" applyFill="1" applyBorder="1"/>
    <xf numFmtId="166" fontId="0" fillId="8" borderId="2" xfId="0" applyNumberFormat="1" applyFill="1" applyBorder="1"/>
    <xf numFmtId="0" fontId="0" fillId="5" borderId="15" xfId="0" applyFill="1" applyBorder="1" applyAlignment="1">
      <alignment horizontal="right"/>
    </xf>
    <xf numFmtId="166" fontId="31" fillId="7" borderId="0" xfId="0" applyNumberFormat="1" applyFont="1" applyFill="1"/>
    <xf numFmtId="0" fontId="35" fillId="0" borderId="2" xfId="0" applyFont="1" applyBorder="1"/>
    <xf numFmtId="166" fontId="35" fillId="0" borderId="2" xfId="0" applyNumberFormat="1" applyFont="1" applyBorder="1"/>
    <xf numFmtId="10" fontId="35" fillId="0" borderId="2" xfId="0" applyNumberFormat="1" applyFont="1" applyBorder="1"/>
    <xf numFmtId="0" fontId="0" fillId="15" borderId="15" xfId="0" applyFill="1" applyBorder="1"/>
    <xf numFmtId="166" fontId="0" fillId="15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3" fontId="0" fillId="14" borderId="2" xfId="0" applyNumberFormat="1" applyFill="1" applyBorder="1" applyAlignment="1">
      <alignment horizontal="right"/>
    </xf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3" fontId="0" fillId="9" borderId="2" xfId="0" applyNumberFormat="1" applyFill="1" applyBorder="1" applyAlignment="1">
      <alignment horizontal="right"/>
    </xf>
    <xf numFmtId="3" fontId="0" fillId="15" borderId="2" xfId="0" applyNumberFormat="1" applyFill="1" applyBorder="1" applyAlignment="1">
      <alignment horizontal="right"/>
    </xf>
    <xf numFmtId="0" fontId="26" fillId="7" borderId="0" xfId="0" applyFont="1" applyFill="1" applyAlignment="1">
      <alignment horizontal="left"/>
    </xf>
    <xf numFmtId="0" fontId="29" fillId="7" borderId="0" xfId="0" applyFont="1" applyFill="1" applyAlignment="1">
      <alignment horizontal="left"/>
    </xf>
    <xf numFmtId="166" fontId="31" fillId="7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0" fontId="26" fillId="2" borderId="0" xfId="0" applyFont="1" applyFill="1"/>
    <xf numFmtId="0" fontId="7" fillId="2" borderId="0" xfId="0" applyFont="1" applyFill="1"/>
    <xf numFmtId="0" fontId="24" fillId="2" borderId="0" xfId="0" applyFont="1" applyFill="1"/>
    <xf numFmtId="0" fontId="21" fillId="2" borderId="0" xfId="0" applyFont="1" applyFill="1"/>
    <xf numFmtId="0" fontId="7" fillId="0" borderId="0" xfId="0" applyFont="1" applyAlignment="1">
      <alignment horizontal="center"/>
    </xf>
    <xf numFmtId="166" fontId="31" fillId="7" borderId="2" xfId="0" applyNumberFormat="1" applyFont="1" applyFill="1" applyBorder="1"/>
    <xf numFmtId="166" fontId="38" fillId="7" borderId="2" xfId="0" applyNumberFormat="1" applyFont="1" applyFill="1" applyBorder="1" applyAlignment="1">
      <alignment vertical="center"/>
    </xf>
    <xf numFmtId="0" fontId="26" fillId="2" borderId="0" xfId="0" applyFont="1" applyFill="1" applyAlignment="1">
      <alignment horizontal="center"/>
    </xf>
    <xf numFmtId="166" fontId="30" fillId="2" borderId="0" xfId="0" applyNumberFormat="1" applyFont="1" applyFill="1"/>
    <xf numFmtId="15" fontId="29" fillId="0" borderId="2" xfId="0" applyNumberFormat="1" applyFont="1" applyBorder="1" applyAlignment="1">
      <alignment horizontal="left"/>
    </xf>
    <xf numFmtId="0" fontId="29" fillId="12" borderId="0" xfId="0" applyFont="1" applyFill="1" applyAlignment="1">
      <alignment horizontal="left" wrapText="1"/>
    </xf>
    <xf numFmtId="0" fontId="30" fillId="2" borderId="0" xfId="0" applyFont="1" applyFill="1" applyAlignment="1">
      <alignment horizontal="left" wrapText="1"/>
    </xf>
    <xf numFmtId="0" fontId="27" fillId="9" borderId="10" xfId="0" applyFont="1" applyFill="1" applyBorder="1"/>
    <xf numFmtId="0" fontId="27" fillId="9" borderId="15" xfId="0" applyFont="1" applyFill="1" applyBorder="1"/>
    <xf numFmtId="0" fontId="31" fillId="0" borderId="1" xfId="0" applyFont="1" applyBorder="1"/>
    <xf numFmtId="0" fontId="31" fillId="0" borderId="2" xfId="0" applyFont="1" applyBorder="1"/>
    <xf numFmtId="166" fontId="13" fillId="10" borderId="2" xfId="3" applyFont="1" applyFill="1" applyBorder="1" applyProtection="1">
      <protection locked="0"/>
    </xf>
    <xf numFmtId="167" fontId="13" fillId="11" borderId="2" xfId="0" applyNumberFormat="1" applyFont="1" applyFill="1" applyBorder="1" applyAlignment="1" applyProtection="1">
      <alignment horizontal="left" vertical="center"/>
      <protection locked="0"/>
    </xf>
    <xf numFmtId="166" fontId="13" fillId="11" borderId="2" xfId="0" applyNumberFormat="1" applyFont="1" applyFill="1" applyBorder="1" applyAlignment="1" applyProtection="1">
      <alignment horizontal="left" vertical="center"/>
      <protection locked="0"/>
    </xf>
    <xf numFmtId="0" fontId="27" fillId="9" borderId="2" xfId="0" applyFont="1" applyFill="1" applyBorder="1" applyAlignment="1">
      <alignment horizontal="center" wrapText="1"/>
    </xf>
    <xf numFmtId="0" fontId="26" fillId="7" borderId="0" xfId="0" applyFont="1" applyFill="1" applyAlignment="1">
      <alignment wrapText="1"/>
    </xf>
    <xf numFmtId="0" fontId="49" fillId="0" borderId="0" xfId="0" applyFont="1"/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vertical="center"/>
      <protection locked="0"/>
    </xf>
    <xf numFmtId="167" fontId="7" fillId="0" borderId="43" xfId="0" applyNumberFormat="1" applyFont="1" applyBorder="1" applyAlignment="1" applyProtection="1">
      <alignment vertical="center" wrapText="1"/>
      <protection locked="0"/>
    </xf>
    <xf numFmtId="167" fontId="7" fillId="0" borderId="44" xfId="0" applyNumberFormat="1" applyFont="1" applyBorder="1" applyAlignment="1" applyProtection="1">
      <alignment vertical="center" wrapText="1"/>
      <protection locked="0"/>
    </xf>
    <xf numFmtId="167" fontId="7" fillId="7" borderId="0" xfId="0" applyNumberFormat="1" applyFont="1" applyFill="1" applyAlignment="1" applyProtection="1">
      <alignment vertical="center" wrapText="1"/>
      <protection locked="0"/>
    </xf>
    <xf numFmtId="167" fontId="11" fillId="0" borderId="12" xfId="0" applyNumberFormat="1" applyFont="1" applyBorder="1" applyAlignment="1" applyProtection="1">
      <alignment vertical="center" wrapText="1"/>
      <protection locked="0"/>
    </xf>
    <xf numFmtId="9" fontId="50" fillId="0" borderId="2" xfId="0" applyNumberFormat="1" applyFont="1" applyBorder="1"/>
    <xf numFmtId="0" fontId="23" fillId="7" borderId="0" xfId="0" applyFont="1" applyFill="1" applyAlignment="1">
      <alignment horizontal="center"/>
    </xf>
    <xf numFmtId="167" fontId="23" fillId="0" borderId="44" xfId="0" applyNumberFormat="1" applyFont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>
      <alignment vertical="top"/>
    </xf>
    <xf numFmtId="0" fontId="29" fillId="6" borderId="0" xfId="0" applyFont="1" applyFill="1" applyAlignment="1">
      <alignment horizontal="left"/>
    </xf>
    <xf numFmtId="0" fontId="26" fillId="6" borderId="0" xfId="0" applyFont="1" applyFill="1" applyAlignment="1">
      <alignment horizontal="left"/>
    </xf>
    <xf numFmtId="0" fontId="13" fillId="11" borderId="35" xfId="0" applyFont="1" applyFill="1" applyBorder="1" applyAlignment="1" applyProtection="1">
      <alignment horizontal="left" vertical="center"/>
      <protection locked="0"/>
    </xf>
    <xf numFmtId="10" fontId="35" fillId="6" borderId="2" xfId="0" applyNumberFormat="1" applyFont="1" applyFill="1" applyBorder="1"/>
    <xf numFmtId="14" fontId="5" fillId="10" borderId="39" xfId="0" applyNumberFormat="1" applyFont="1" applyFill="1" applyBorder="1" applyAlignment="1">
      <alignment horizontal="right"/>
    </xf>
    <xf numFmtId="14" fontId="5" fillId="10" borderId="32" xfId="0" applyNumberFormat="1" applyFont="1" applyFill="1" applyBorder="1" applyAlignment="1">
      <alignment horizontal="right"/>
    </xf>
    <xf numFmtId="166" fontId="6" fillId="6" borderId="0" xfId="3" applyFont="1" applyFill="1" applyBorder="1"/>
    <xf numFmtId="166" fontId="6" fillId="13" borderId="38" xfId="3" applyFont="1" applyFill="1" applyBorder="1" applyAlignment="1" applyProtection="1">
      <alignment horizontal="center"/>
      <protection locked="0"/>
    </xf>
    <xf numFmtId="9" fontId="6" fillId="11" borderId="53" xfId="0" applyNumberFormat="1" applyFont="1" applyFill="1" applyBorder="1" applyAlignment="1" applyProtection="1">
      <alignment horizontal="center"/>
      <protection locked="0"/>
    </xf>
    <xf numFmtId="9" fontId="6" fillId="11" borderId="10" xfId="0" applyNumberFormat="1" applyFont="1" applyFill="1" applyBorder="1" applyAlignment="1" applyProtection="1">
      <alignment horizontal="center"/>
      <protection locked="0"/>
    </xf>
    <xf numFmtId="9" fontId="6" fillId="11" borderId="54" xfId="0" applyNumberFormat="1" applyFont="1" applyFill="1" applyBorder="1" applyAlignment="1" applyProtection="1">
      <alignment horizontal="center"/>
      <protection locked="0"/>
    </xf>
    <xf numFmtId="167" fontId="13" fillId="11" borderId="0" xfId="0" applyNumberFormat="1" applyFont="1" applyFill="1"/>
    <xf numFmtId="0" fontId="23" fillId="16" borderId="19" xfId="0" applyFont="1" applyFill="1" applyBorder="1"/>
    <xf numFmtId="0" fontId="7" fillId="16" borderId="21" xfId="0" applyFont="1" applyFill="1" applyBorder="1"/>
    <xf numFmtId="0" fontId="7" fillId="16" borderId="22" xfId="0" applyFont="1" applyFill="1" applyBorder="1"/>
    <xf numFmtId="166" fontId="7" fillId="16" borderId="23" xfId="0" applyNumberFormat="1" applyFont="1" applyFill="1" applyBorder="1"/>
    <xf numFmtId="166" fontId="7" fillId="16" borderId="26" xfId="0" applyNumberFormat="1" applyFont="1" applyFill="1" applyBorder="1"/>
    <xf numFmtId="166" fontId="51" fillId="16" borderId="23" xfId="0" applyNumberFormat="1" applyFont="1" applyFill="1" applyBorder="1"/>
    <xf numFmtId="0" fontId="7" fillId="16" borderId="24" xfId="0" applyFont="1" applyFill="1" applyBorder="1"/>
    <xf numFmtId="0" fontId="23" fillId="17" borderId="19" xfId="0" applyFont="1" applyFill="1" applyBorder="1"/>
    <xf numFmtId="0" fontId="7" fillId="17" borderId="21" xfId="0" applyFont="1" applyFill="1" applyBorder="1"/>
    <xf numFmtId="0" fontId="7" fillId="17" borderId="22" xfId="0" applyFont="1" applyFill="1" applyBorder="1"/>
    <xf numFmtId="166" fontId="7" fillId="17" borderId="23" xfId="0" applyNumberFormat="1" applyFont="1" applyFill="1" applyBorder="1"/>
    <xf numFmtId="166" fontId="7" fillId="17" borderId="26" xfId="0" applyNumberFormat="1" applyFont="1" applyFill="1" applyBorder="1"/>
    <xf numFmtId="0" fontId="7" fillId="17" borderId="24" xfId="0" applyFont="1" applyFill="1" applyBorder="1"/>
    <xf numFmtId="0" fontId="13" fillId="7" borderId="0" xfId="0" applyFont="1" applyFill="1"/>
    <xf numFmtId="0" fontId="26" fillId="7" borderId="2" xfId="0" applyFont="1" applyFill="1" applyBorder="1"/>
    <xf numFmtId="166" fontId="26" fillId="0" borderId="2" xfId="0" applyNumberFormat="1" applyFont="1" applyBorder="1"/>
    <xf numFmtId="10" fontId="26" fillId="7" borderId="2" xfId="0" applyNumberFormat="1" applyFont="1" applyFill="1" applyBorder="1"/>
    <xf numFmtId="167" fontId="13" fillId="13" borderId="1" xfId="0" applyNumberFormat="1" applyFont="1" applyFill="1" applyBorder="1"/>
    <xf numFmtId="167" fontId="13" fillId="10" borderId="43" xfId="0" applyNumberFormat="1" applyFont="1" applyFill="1" applyBorder="1" applyProtection="1">
      <protection locked="0"/>
    </xf>
    <xf numFmtId="0" fontId="6" fillId="6" borderId="0" xfId="0" applyFont="1" applyFill="1"/>
    <xf numFmtId="166" fontId="6" fillId="18" borderId="0" xfId="0" applyNumberFormat="1" applyFont="1" applyFill="1"/>
    <xf numFmtId="166" fontId="13" fillId="10" borderId="2" xfId="0" applyNumberFormat="1" applyFont="1" applyFill="1" applyBorder="1" applyAlignment="1" applyProtection="1">
      <alignment horizontal="center"/>
      <protection locked="0"/>
    </xf>
    <xf numFmtId="166" fontId="13" fillId="10" borderId="35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/>
    <xf numFmtId="167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6" fillId="13" borderId="1" xfId="0" applyFont="1" applyFill="1" applyBorder="1" applyAlignment="1" applyProtection="1">
      <alignment horizontal="center"/>
      <protection locked="0"/>
    </xf>
    <xf numFmtId="167" fontId="13" fillId="13" borderId="1" xfId="0" applyNumberFormat="1" applyFont="1" applyFill="1" applyBorder="1" applyAlignment="1">
      <alignment horizontal="center" vertical="center"/>
    </xf>
    <xf numFmtId="14" fontId="39" fillId="13" borderId="41" xfId="0" applyNumberFormat="1" applyFont="1" applyFill="1" applyBorder="1"/>
    <xf numFmtId="0" fontId="6" fillId="6" borderId="38" xfId="0" applyFont="1" applyFill="1" applyBorder="1" applyProtection="1">
      <protection locked="0"/>
    </xf>
    <xf numFmtId="0" fontId="6" fillId="6" borderId="38" xfId="0" applyFont="1" applyFill="1" applyBorder="1" applyAlignment="1" applyProtection="1">
      <alignment horizontal="center" vertical="center"/>
      <protection locked="0"/>
    </xf>
    <xf numFmtId="0" fontId="6" fillId="6" borderId="38" xfId="0" applyFont="1" applyFill="1" applyBorder="1" applyAlignment="1" applyProtection="1">
      <alignment horizontal="center"/>
      <protection locked="0"/>
    </xf>
    <xf numFmtId="14" fontId="13" fillId="13" borderId="32" xfId="0" applyNumberFormat="1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15" fontId="21" fillId="12" borderId="2" xfId="0" applyNumberFormat="1" applyFont="1" applyFill="1" applyBorder="1" applyAlignment="1">
      <alignment horizontal="center" wrapText="1"/>
    </xf>
    <xf numFmtId="9" fontId="6" fillId="10" borderId="38" xfId="0" applyNumberFormat="1" applyFont="1" applyFill="1" applyBorder="1" applyAlignment="1" applyProtection="1">
      <alignment horizontal="center" vertical="center"/>
      <protection locked="0"/>
    </xf>
    <xf numFmtId="9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13" fillId="10" borderId="27" xfId="0" applyNumberFormat="1" applyFont="1" applyFill="1" applyBorder="1" applyProtection="1">
      <protection locked="0"/>
    </xf>
    <xf numFmtId="0" fontId="13" fillId="7" borderId="0" xfId="0" applyFont="1" applyFill="1" applyAlignment="1">
      <alignment vertical="center"/>
    </xf>
    <xf numFmtId="0" fontId="13" fillId="2" borderId="0" xfId="0" applyFont="1" applyFill="1"/>
    <xf numFmtId="0" fontId="13" fillId="7" borderId="0" xfId="0" applyFont="1" applyFill="1" applyAlignment="1">
      <alignment horizontal="right"/>
    </xf>
    <xf numFmtId="0" fontId="13" fillId="0" borderId="0" xfId="0" applyFont="1"/>
    <xf numFmtId="0" fontId="21" fillId="11" borderId="47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0" fontId="6" fillId="11" borderId="3" xfId="0" applyFont="1" applyFill="1" applyBorder="1" applyAlignment="1" applyProtection="1">
      <alignment horizontal="center"/>
      <protection locked="0"/>
    </xf>
    <xf numFmtId="167" fontId="5" fillId="11" borderId="3" xfId="0" applyNumberFormat="1" applyFont="1" applyFill="1" applyBorder="1" applyProtection="1">
      <protection locked="0"/>
    </xf>
    <xf numFmtId="14" fontId="5" fillId="11" borderId="48" xfId="0" applyNumberFormat="1" applyFont="1" applyFill="1" applyBorder="1"/>
    <xf numFmtId="167" fontId="7" fillId="11" borderId="18" xfId="0" applyNumberFormat="1" applyFont="1" applyFill="1" applyBorder="1" applyAlignment="1">
      <alignment vertical="center"/>
    </xf>
    <xf numFmtId="14" fontId="13" fillId="11" borderId="48" xfId="0" applyNumberFormat="1" applyFont="1" applyFill="1" applyBorder="1"/>
    <xf numFmtId="9" fontId="6" fillId="7" borderId="0" xfId="2" applyFont="1" applyFill="1" applyAlignment="1">
      <alignment horizontal="center" vertical="center"/>
    </xf>
    <xf numFmtId="9" fontId="7" fillId="7" borderId="0" xfId="2" applyFont="1" applyFill="1" applyAlignment="1">
      <alignment horizontal="center" vertical="center"/>
    </xf>
    <xf numFmtId="9" fontId="27" fillId="9" borderId="2" xfId="2" applyFont="1" applyFill="1" applyBorder="1" applyAlignment="1">
      <alignment horizontal="center" vertical="center"/>
    </xf>
    <xf numFmtId="9" fontId="27" fillId="7" borderId="0" xfId="2" applyFont="1" applyFill="1" applyAlignment="1">
      <alignment horizontal="center" vertical="center"/>
    </xf>
    <xf numFmtId="9" fontId="21" fillId="7" borderId="0" xfId="2" applyFont="1" applyFill="1" applyAlignment="1">
      <alignment horizontal="center" vertical="center"/>
    </xf>
    <xf numFmtId="9" fontId="6" fillId="2" borderId="0" xfId="2" applyFont="1" applyFill="1" applyAlignment="1">
      <alignment horizontal="center" vertical="center"/>
    </xf>
    <xf numFmtId="9" fontId="7" fillId="9" borderId="1" xfId="2" applyFont="1" applyFill="1" applyBorder="1" applyAlignment="1">
      <alignment horizontal="center" vertical="center"/>
    </xf>
    <xf numFmtId="9" fontId="7" fillId="9" borderId="27" xfId="2" applyFont="1" applyFill="1" applyBorder="1" applyAlignment="1">
      <alignment horizontal="center" vertical="center"/>
    </xf>
    <xf numFmtId="9" fontId="7" fillId="7" borderId="25" xfId="2" applyFont="1" applyFill="1" applyBorder="1" applyAlignment="1">
      <alignment horizontal="center" vertical="center"/>
    </xf>
    <xf numFmtId="9" fontId="54" fillId="0" borderId="0" xfId="2" applyFont="1" applyAlignment="1">
      <alignment horizontal="center"/>
    </xf>
    <xf numFmtId="167" fontId="13" fillId="7" borderId="0" xfId="0" applyNumberFormat="1" applyFont="1" applyFill="1" applyAlignment="1">
      <alignment horizontal="center" vertical="center"/>
    </xf>
    <xf numFmtId="167" fontId="13" fillId="7" borderId="0" xfId="0" applyNumberFormat="1" applyFont="1" applyFill="1"/>
    <xf numFmtId="166" fontId="13" fillId="7" borderId="0" xfId="0" applyNumberFormat="1" applyFont="1" applyFill="1"/>
    <xf numFmtId="0" fontId="48" fillId="0" borderId="11" xfId="0" applyFont="1" applyBorder="1" applyProtection="1">
      <protection locked="0"/>
    </xf>
    <xf numFmtId="0" fontId="48" fillId="0" borderId="16" xfId="0" applyFont="1" applyBorder="1" applyProtection="1">
      <protection locked="0"/>
    </xf>
    <xf numFmtId="0" fontId="48" fillId="0" borderId="5" xfId="0" applyFont="1" applyBorder="1" applyProtection="1">
      <protection locked="0"/>
    </xf>
    <xf numFmtId="0" fontId="48" fillId="0" borderId="6" xfId="0" applyFont="1" applyBorder="1" applyProtection="1">
      <protection locked="0"/>
    </xf>
    <xf numFmtId="167" fontId="5" fillId="13" borderId="1" xfId="0" applyNumberFormat="1" applyFont="1" applyFill="1" applyBorder="1" applyAlignment="1">
      <alignment horizontal="center" vertical="center"/>
    </xf>
    <xf numFmtId="0" fontId="55" fillId="0" borderId="0" xfId="0" applyFont="1"/>
    <xf numFmtId="164" fontId="55" fillId="0" borderId="0" xfId="1" applyFont="1"/>
    <xf numFmtId="14" fontId="55" fillId="0" borderId="0" xfId="0" applyNumberFormat="1" applyFont="1"/>
    <xf numFmtId="0" fontId="54" fillId="0" borderId="0" xfId="0" applyFont="1"/>
    <xf numFmtId="164" fontId="54" fillId="0" borderId="0" xfId="1" applyFont="1"/>
    <xf numFmtId="164" fontId="54" fillId="0" borderId="0" xfId="0" applyNumberFormat="1" applyFont="1"/>
    <xf numFmtId="164" fontId="54" fillId="0" borderId="58" xfId="1" applyFont="1" applyBorder="1"/>
    <xf numFmtId="0" fontId="54" fillId="0" borderId="0" xfId="0" applyFont="1" applyAlignment="1">
      <alignment wrapText="1"/>
    </xf>
    <xf numFmtId="164" fontId="55" fillId="0" borderId="58" xfId="1" applyFont="1" applyBorder="1"/>
    <xf numFmtId="4" fontId="54" fillId="0" borderId="0" xfId="0" applyNumberFormat="1" applyFont="1"/>
    <xf numFmtId="171" fontId="6" fillId="6" borderId="0" xfId="0" applyNumberFormat="1" applyFont="1" applyFill="1"/>
    <xf numFmtId="0" fontId="7" fillId="6" borderId="0" xfId="0" quotePrefix="1" applyFont="1" applyFill="1"/>
    <xf numFmtId="0" fontId="23" fillId="6" borderId="0" xfId="0" applyFont="1" applyFill="1" applyAlignment="1">
      <alignment horizontal="right"/>
    </xf>
    <xf numFmtId="172" fontId="6" fillId="6" borderId="0" xfId="0" applyNumberFormat="1" applyFont="1" applyFill="1"/>
    <xf numFmtId="0" fontId="27" fillId="7" borderId="2" xfId="0" applyFont="1" applyFill="1" applyBorder="1" applyAlignment="1">
      <alignment horizontal="center"/>
    </xf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 vertical="center"/>
    </xf>
    <xf numFmtId="166" fontId="6" fillId="11" borderId="3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/>
    <xf numFmtId="14" fontId="5" fillId="11" borderId="41" xfId="0" applyNumberFormat="1" applyFont="1" applyFill="1" applyBorder="1"/>
    <xf numFmtId="0" fontId="21" fillId="11" borderId="40" xfId="0" applyFont="1" applyFill="1" applyBorder="1"/>
    <xf numFmtId="9" fontId="6" fillId="11" borderId="1" xfId="0" applyNumberFormat="1" applyFont="1" applyFill="1" applyBorder="1" applyAlignment="1">
      <alignment horizontal="center" vertical="center"/>
    </xf>
    <xf numFmtId="14" fontId="13" fillId="11" borderId="41" xfId="0" applyNumberFormat="1" applyFont="1" applyFill="1" applyBorder="1"/>
    <xf numFmtId="167" fontId="13" fillId="11" borderId="38" xfId="0" applyNumberFormat="1" applyFont="1" applyFill="1" applyBorder="1" applyAlignment="1" applyProtection="1">
      <alignment horizontal="center" vertical="center"/>
      <protection locked="0"/>
    </xf>
    <xf numFmtId="166" fontId="13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13" fillId="11" borderId="1" xfId="0" applyNumberFormat="1" applyFont="1" applyFill="1" applyBorder="1" applyAlignment="1">
      <alignment horizontal="center" vertical="center"/>
    </xf>
    <xf numFmtId="9" fontId="6" fillId="10" borderId="35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 vertic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167" fontId="5" fillId="10" borderId="38" xfId="0" applyNumberFormat="1" applyFont="1" applyFill="1" applyBorder="1" applyAlignment="1">
      <alignment horizontal="center" vertical="center"/>
    </xf>
    <xf numFmtId="167" fontId="5" fillId="11" borderId="38" xfId="0" applyNumberFormat="1" applyFont="1" applyFill="1" applyBorder="1" applyAlignment="1">
      <alignment horizontal="center" vertical="center"/>
    </xf>
    <xf numFmtId="167" fontId="5" fillId="11" borderId="2" xfId="0" applyNumberFormat="1" applyFont="1" applyFill="1" applyBorder="1" applyAlignment="1">
      <alignment horizontal="center" vertical="center"/>
    </xf>
    <xf numFmtId="166" fontId="5" fillId="10" borderId="38" xfId="0" applyNumberFormat="1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 vertical="center"/>
      <protection locked="0"/>
    </xf>
    <xf numFmtId="167" fontId="5" fillId="10" borderId="39" xfId="0" applyNumberFormat="1" applyFont="1" applyFill="1" applyBorder="1"/>
    <xf numFmtId="167" fontId="39" fillId="11" borderId="32" xfId="0" applyNumberFormat="1" applyFont="1" applyFill="1" applyBorder="1"/>
    <xf numFmtId="167" fontId="5" fillId="11" borderId="4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/>
    <xf numFmtId="0" fontId="5" fillId="10" borderId="2" xfId="0" applyFont="1" applyFill="1" applyBorder="1" applyAlignment="1" applyProtection="1">
      <alignment horizontal="center" vertical="center"/>
      <protection locked="0"/>
    </xf>
    <xf numFmtId="0" fontId="56" fillId="6" borderId="2" xfId="0" applyFont="1" applyFill="1" applyBorder="1" applyAlignment="1">
      <alignment horizontal="center" wrapText="1"/>
    </xf>
    <xf numFmtId="15" fontId="56" fillId="6" borderId="2" xfId="0" applyNumberFormat="1" applyFont="1" applyFill="1" applyBorder="1" applyAlignment="1">
      <alignment horizontal="center" wrapText="1"/>
    </xf>
    <xf numFmtId="167" fontId="5" fillId="10" borderId="2" xfId="0" applyNumberFormat="1" applyFont="1" applyFill="1" applyBorder="1" applyAlignment="1" applyProtection="1">
      <alignment horizontal="center" vertical="center"/>
      <protection locked="0"/>
    </xf>
    <xf numFmtId="164" fontId="54" fillId="0" borderId="59" xfId="1" applyFont="1" applyBorder="1"/>
    <xf numFmtId="0" fontId="7" fillId="16" borderId="0" xfId="0" applyFont="1" applyFill="1"/>
    <xf numFmtId="166" fontId="7" fillId="16" borderId="0" xfId="0" applyNumberFormat="1" applyFont="1" applyFill="1"/>
    <xf numFmtId="167" fontId="5" fillId="11" borderId="1" xfId="0" applyNumberFormat="1" applyFont="1" applyFill="1" applyBorder="1" applyAlignment="1">
      <alignment horizontal="center" vertical="center"/>
    </xf>
    <xf numFmtId="167" fontId="5" fillId="13" borderId="2" xfId="0" applyNumberFormat="1" applyFont="1" applyFill="1" applyBorder="1" applyAlignment="1">
      <alignment horizontal="center" vertical="center"/>
    </xf>
    <xf numFmtId="167" fontId="5" fillId="11" borderId="27" xfId="0" applyNumberFormat="1" applyFont="1" applyFill="1" applyBorder="1" applyAlignment="1">
      <alignment horizontal="center" vertical="center"/>
    </xf>
    <xf numFmtId="14" fontId="5" fillId="11" borderId="56" xfId="0" applyNumberFormat="1" applyFont="1" applyFill="1" applyBorder="1"/>
    <xf numFmtId="167" fontId="5" fillId="13" borderId="35" xfId="0" applyNumberFormat="1" applyFont="1" applyFill="1" applyBorder="1" applyAlignment="1">
      <alignment horizontal="center" vertical="center"/>
    </xf>
    <xf numFmtId="167" fontId="5" fillId="10" borderId="27" xfId="0" applyNumberFormat="1" applyFont="1" applyFill="1" applyBorder="1" applyAlignment="1">
      <alignment horizontal="center" vertical="center"/>
    </xf>
    <xf numFmtId="0" fontId="26" fillId="7" borderId="0" xfId="0" applyFont="1" applyFill="1" applyAlignment="1" applyProtection="1">
      <alignment wrapText="1"/>
      <protection locked="0"/>
    </xf>
    <xf numFmtId="164" fontId="26" fillId="7" borderId="2" xfId="1" applyFont="1" applyFill="1" applyBorder="1" applyProtection="1">
      <protection locked="0"/>
    </xf>
    <xf numFmtId="166" fontId="26" fillId="7" borderId="2" xfId="0" applyNumberFormat="1" applyFont="1" applyFill="1" applyBorder="1" applyProtection="1">
      <protection locked="0"/>
    </xf>
    <xf numFmtId="166" fontId="5" fillId="10" borderId="27" xfId="0" applyNumberFormat="1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0" fontId="6" fillId="13" borderId="50" xfId="0" applyFont="1" applyFill="1" applyBorder="1" applyAlignment="1" applyProtection="1">
      <alignment horizontal="left" vertical="center"/>
      <protection locked="0"/>
    </xf>
    <xf numFmtId="0" fontId="6" fillId="13" borderId="50" xfId="0" applyFont="1" applyFill="1" applyBorder="1"/>
    <xf numFmtId="167" fontId="6" fillId="13" borderId="50" xfId="0" applyNumberFormat="1" applyFont="1" applyFill="1" applyBorder="1" applyAlignment="1" applyProtection="1">
      <alignment horizontal="center" vertical="center"/>
      <protection locked="0"/>
    </xf>
    <xf numFmtId="0" fontId="6" fillId="13" borderId="50" xfId="0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>
      <alignment horizontal="center" vertical="center"/>
    </xf>
    <xf numFmtId="14" fontId="6" fillId="11" borderId="32" xfId="0" applyNumberFormat="1" applyFont="1" applyFill="1" applyBorder="1"/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Protection="1"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67" fontId="5" fillId="13" borderId="25" xfId="0" applyNumberFormat="1" applyFont="1" applyFill="1" applyBorder="1" applyProtection="1">
      <protection locked="0"/>
    </xf>
    <xf numFmtId="167" fontId="5" fillId="13" borderId="59" xfId="0" applyNumberFormat="1" applyFont="1" applyFill="1" applyBorder="1" applyProtection="1"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Protection="1">
      <protection locked="0"/>
    </xf>
    <xf numFmtId="14" fontId="5" fillId="10" borderId="41" xfId="0" applyNumberFormat="1" applyFont="1" applyFill="1" applyBorder="1"/>
    <xf numFmtId="14" fontId="13" fillId="10" borderId="41" xfId="0" applyNumberFormat="1" applyFont="1" applyFill="1" applyBorder="1"/>
    <xf numFmtId="0" fontId="5" fillId="7" borderId="0" xfId="0" applyFont="1" applyFill="1" applyAlignment="1">
      <alignment horizontal="center" vertical="center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67" fontId="11" fillId="0" borderId="44" xfId="0" applyNumberFormat="1" applyFont="1" applyBorder="1" applyAlignment="1" applyProtection="1">
      <alignment vertical="center" wrapText="1"/>
      <protection locked="0"/>
    </xf>
    <xf numFmtId="167" fontId="5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57" fillId="0" borderId="5" xfId="0" applyFont="1" applyBorder="1" applyProtection="1">
      <protection locked="0"/>
    </xf>
    <xf numFmtId="167" fontId="5" fillId="11" borderId="38" xfId="0" applyNumberFormat="1" applyFont="1" applyFill="1" applyBorder="1" applyAlignment="1" applyProtection="1">
      <alignment horizontal="center" vertical="center"/>
      <protection locked="0"/>
    </xf>
    <xf numFmtId="167" fontId="5" fillId="2" borderId="0" xfId="0" applyNumberFormat="1" applyFont="1" applyFill="1" applyAlignment="1" applyProtection="1">
      <alignment horizontal="center" vertical="center"/>
      <protection locked="0"/>
    </xf>
    <xf numFmtId="167" fontId="5" fillId="7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11" borderId="61" xfId="0" applyFont="1" applyFill="1" applyBorder="1" applyAlignment="1" applyProtection="1">
      <alignment horizontal="center"/>
      <protection locked="0"/>
    </xf>
    <xf numFmtId="0" fontId="21" fillId="11" borderId="62" xfId="0" applyFont="1" applyFill="1" applyBorder="1" applyAlignment="1" applyProtection="1">
      <alignment horizontal="center"/>
      <protection locked="0"/>
    </xf>
    <xf numFmtId="9" fontId="6" fillId="11" borderId="63" xfId="0" applyNumberFormat="1" applyFont="1" applyFill="1" applyBorder="1" applyProtection="1">
      <protection locked="0"/>
    </xf>
    <xf numFmtId="9" fontId="6" fillId="11" borderId="15" xfId="0" applyNumberFormat="1" applyFont="1" applyFill="1" applyBorder="1" applyProtection="1">
      <protection locked="0"/>
    </xf>
    <xf numFmtId="0" fontId="5" fillId="10" borderId="1" xfId="0" applyFont="1" applyFill="1" applyBorder="1" applyProtection="1"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9" fontId="6" fillId="10" borderId="1" xfId="2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>
      <alignment horizontal="center" vertical="center"/>
    </xf>
    <xf numFmtId="0" fontId="21" fillId="0" borderId="28" xfId="0" applyFont="1" applyBorder="1"/>
    <xf numFmtId="0" fontId="6" fillId="0" borderId="29" xfId="0" applyFont="1" applyBorder="1"/>
    <xf numFmtId="167" fontId="6" fillId="0" borderId="29" xfId="0" applyNumberFormat="1" applyFont="1" applyBorder="1"/>
    <xf numFmtId="167" fontId="6" fillId="0" borderId="29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14" fontId="5" fillId="0" borderId="30" xfId="0" applyNumberFormat="1" applyFont="1" applyBorder="1"/>
    <xf numFmtId="0" fontId="6" fillId="0" borderId="13" xfId="0" applyFont="1" applyBorder="1" applyAlignment="1">
      <alignment vertical="center"/>
    </xf>
    <xf numFmtId="0" fontId="6" fillId="0" borderId="5" xfId="0" applyFont="1" applyBorder="1"/>
    <xf numFmtId="167" fontId="5" fillId="11" borderId="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 applyProtection="1">
      <alignment horizontal="center"/>
      <protection locked="0"/>
    </xf>
    <xf numFmtId="0" fontId="6" fillId="0" borderId="29" xfId="0" applyFont="1" applyBorder="1" applyProtection="1"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166" fontId="6" fillId="0" borderId="29" xfId="0" applyNumberFormat="1" applyFont="1" applyBorder="1" applyAlignment="1" applyProtection="1">
      <alignment horizontal="center"/>
      <protection locked="0"/>
    </xf>
    <xf numFmtId="167" fontId="5" fillId="0" borderId="29" xfId="0" applyNumberFormat="1" applyFont="1" applyBorder="1" applyAlignment="1">
      <alignment horizontal="center" vertical="center"/>
    </xf>
    <xf numFmtId="0" fontId="21" fillId="11" borderId="40" xfId="0" applyFont="1" applyFill="1" applyBorder="1" applyAlignment="1">
      <alignment horizontal="center"/>
    </xf>
    <xf numFmtId="0" fontId="21" fillId="11" borderId="37" xfId="0" applyFont="1" applyFill="1" applyBorder="1" applyAlignment="1">
      <alignment horizontal="center"/>
    </xf>
    <xf numFmtId="0" fontId="6" fillId="11" borderId="38" xfId="0" applyFont="1" applyFill="1" applyBorder="1"/>
    <xf numFmtId="9" fontId="6" fillId="11" borderId="38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6" fontId="5" fillId="0" borderId="29" xfId="0" applyNumberFormat="1" applyFont="1" applyBorder="1" applyAlignment="1">
      <alignment horizontal="center" vertical="center"/>
    </xf>
    <xf numFmtId="0" fontId="6" fillId="13" borderId="3" xfId="0" applyFont="1" applyFill="1" applyBorder="1" applyAlignment="1" applyProtection="1">
      <alignment horizontal="left" vertical="center"/>
      <protection locked="0"/>
    </xf>
    <xf numFmtId="0" fontId="6" fillId="13" borderId="3" xfId="0" applyFont="1" applyFill="1" applyBorder="1"/>
    <xf numFmtId="167" fontId="6" fillId="13" borderId="3" xfId="0" applyNumberFormat="1" applyFont="1" applyFill="1" applyBorder="1" applyAlignment="1" applyProtection="1">
      <alignment horizontal="center" vertical="center"/>
      <protection locked="0"/>
    </xf>
    <xf numFmtId="0" fontId="6" fillId="13" borderId="3" xfId="0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 applyAlignment="1">
      <alignment horizontal="center" vertical="center"/>
    </xf>
    <xf numFmtId="14" fontId="5" fillId="13" borderId="48" xfId="0" applyNumberFormat="1" applyFont="1" applyFill="1" applyBorder="1"/>
    <xf numFmtId="0" fontId="6" fillId="0" borderId="29" xfId="0" applyFont="1" applyBorder="1" applyAlignment="1" applyProtection="1">
      <alignment horizontal="left" vertical="center"/>
      <protection locked="0"/>
    </xf>
    <xf numFmtId="167" fontId="6" fillId="0" borderId="29" xfId="0" applyNumberFormat="1" applyFont="1" applyBorder="1" applyProtection="1">
      <protection locked="0"/>
    </xf>
    <xf numFmtId="167" fontId="6" fillId="0" borderId="29" xfId="0" applyNumberFormat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/>
      <protection locked="0"/>
    </xf>
    <xf numFmtId="167" fontId="7" fillId="0" borderId="13" xfId="0" applyNumberFormat="1" applyFont="1" applyBorder="1" applyAlignment="1">
      <alignment vertical="center"/>
    </xf>
    <xf numFmtId="0" fontId="36" fillId="0" borderId="29" xfId="0" applyFont="1" applyBorder="1" applyAlignment="1" applyProtection="1">
      <alignment horizontal="left" vertical="center"/>
      <protection locked="0"/>
    </xf>
    <xf numFmtId="9" fontId="6" fillId="0" borderId="29" xfId="0" applyNumberFormat="1" applyFont="1" applyBorder="1" applyProtection="1">
      <protection locked="0"/>
    </xf>
    <xf numFmtId="9" fontId="6" fillId="0" borderId="29" xfId="0" applyNumberFormat="1" applyFont="1" applyBorder="1" applyAlignment="1" applyProtection="1">
      <alignment horizontal="center" vertical="center"/>
      <protection locked="0"/>
    </xf>
    <xf numFmtId="9" fontId="6" fillId="0" borderId="29" xfId="0" applyNumberFormat="1" applyFont="1" applyBorder="1" applyAlignment="1" applyProtection="1">
      <alignment horizont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0" fontId="6" fillId="10" borderId="3" xfId="0" applyFont="1" applyFill="1" applyBorder="1" applyAlignment="1" applyProtection="1">
      <alignment horizontal="center"/>
      <protection locked="0"/>
    </xf>
    <xf numFmtId="166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/>
    <xf numFmtId="9" fontId="6" fillId="11" borderId="19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/>
    <xf numFmtId="0" fontId="21" fillId="0" borderId="42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left" vertical="center"/>
      <protection locked="0"/>
    </xf>
    <xf numFmtId="9" fontId="6" fillId="0" borderId="43" xfId="0" applyNumberFormat="1" applyFont="1" applyBorder="1" applyProtection="1">
      <protection locked="0"/>
    </xf>
    <xf numFmtId="9" fontId="6" fillId="0" borderId="43" xfId="0" applyNumberFormat="1" applyFont="1" applyBorder="1" applyAlignment="1" applyProtection="1">
      <alignment horizontal="center" vertical="center"/>
      <protection locked="0"/>
    </xf>
    <xf numFmtId="9" fontId="6" fillId="0" borderId="43" xfId="0" applyNumberFormat="1" applyFont="1" applyBorder="1" applyAlignment="1" applyProtection="1">
      <alignment horizontal="center"/>
      <protection locked="0"/>
    </xf>
    <xf numFmtId="167" fontId="5" fillId="0" borderId="43" xfId="0" applyNumberFormat="1" applyFont="1" applyBorder="1" applyAlignment="1">
      <alignment horizontal="center" vertical="center"/>
    </xf>
    <xf numFmtId="14" fontId="5" fillId="0" borderId="44" xfId="0" applyNumberFormat="1" applyFont="1" applyBorder="1"/>
    <xf numFmtId="0" fontId="6" fillId="0" borderId="12" xfId="0" applyFont="1" applyBorder="1" applyAlignment="1">
      <alignment vertical="center"/>
    </xf>
    <xf numFmtId="0" fontId="6" fillId="0" borderId="16" xfId="0" applyFont="1" applyBorder="1"/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67" fontId="5" fillId="0" borderId="29" xfId="0" applyNumberFormat="1" applyFont="1" applyBorder="1" applyAlignment="1" applyProtection="1">
      <alignment horizontal="center" vertical="center"/>
      <protection locked="0"/>
    </xf>
    <xf numFmtId="167" fontId="7" fillId="0" borderId="13" xfId="0" applyNumberFormat="1" applyFont="1" applyBorder="1" applyAlignment="1">
      <alignment horizontal="center" vertical="center"/>
    </xf>
    <xf numFmtId="0" fontId="6" fillId="7" borderId="5" xfId="0" applyFont="1" applyFill="1" applyBorder="1"/>
    <xf numFmtId="0" fontId="5" fillId="7" borderId="5" xfId="0" applyFont="1" applyFill="1" applyBorder="1"/>
    <xf numFmtId="0" fontId="21" fillId="11" borderId="65" xfId="0" applyFont="1" applyFill="1" applyBorder="1" applyAlignment="1" applyProtection="1">
      <alignment horizontal="center"/>
      <protection locked="0"/>
    </xf>
    <xf numFmtId="9" fontId="6" fillId="11" borderId="21" xfId="0" applyNumberFormat="1" applyFont="1" applyFill="1" applyBorder="1" applyProtection="1"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>
      <alignment horizontal="center" vertical="center"/>
    </xf>
    <xf numFmtId="14" fontId="5" fillId="11" borderId="30" xfId="0" applyNumberFormat="1" applyFont="1" applyFill="1" applyBorder="1"/>
    <xf numFmtId="167" fontId="11" fillId="0" borderId="12" xfId="0" applyNumberFormat="1" applyFont="1" applyBorder="1" applyAlignment="1" applyProtection="1">
      <alignment horizontal="left" vertical="center" wrapText="1"/>
      <protection locked="0"/>
    </xf>
    <xf numFmtId="0" fontId="23" fillId="7" borderId="66" xfId="0" applyFont="1" applyFill="1" applyBorder="1" applyAlignment="1">
      <alignment horizontal="left" vertical="center"/>
    </xf>
    <xf numFmtId="0" fontId="23" fillId="2" borderId="66" xfId="0" applyFont="1" applyFill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7" borderId="6" xfId="0" applyFont="1" applyFill="1" applyBorder="1" applyAlignment="1">
      <alignment horizontal="left" vertical="center"/>
    </xf>
    <xf numFmtId="167" fontId="5" fillId="13" borderId="50" xfId="0" applyNumberFormat="1" applyFont="1" applyFill="1" applyBorder="1" applyAlignment="1">
      <alignment horizontal="center" vertical="center"/>
    </xf>
    <xf numFmtId="14" fontId="5" fillId="13" borderId="60" xfId="0" applyNumberFormat="1" applyFont="1" applyFill="1" applyBorder="1"/>
    <xf numFmtId="0" fontId="32" fillId="0" borderId="2" xfId="0" applyFont="1" applyBorder="1" applyAlignment="1">
      <alignment horizontal="center"/>
    </xf>
    <xf numFmtId="0" fontId="23" fillId="17" borderId="22" xfId="0" applyFont="1" applyFill="1" applyBorder="1"/>
    <xf numFmtId="0" fontId="7" fillId="17" borderId="23" xfId="0" applyFont="1" applyFill="1" applyBorder="1"/>
    <xf numFmtId="0" fontId="21" fillId="13" borderId="47" xfId="0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9" fontId="6" fillId="13" borderId="3" xfId="0" applyNumberFormat="1" applyFont="1" applyFill="1" applyBorder="1" applyAlignment="1" applyProtection="1">
      <alignment horizontal="center" vertical="center"/>
      <protection locked="0"/>
    </xf>
    <xf numFmtId="9" fontId="6" fillId="13" borderId="3" xfId="0" applyNumberFormat="1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/>
    <xf numFmtId="14" fontId="13" fillId="13" borderId="2" xfId="0" applyNumberFormat="1" applyFont="1" applyFill="1" applyBorder="1"/>
    <xf numFmtId="14" fontId="13" fillId="13" borderId="19" xfId="0" applyNumberFormat="1" applyFont="1" applyFill="1" applyBorder="1"/>
    <xf numFmtId="9" fontId="6" fillId="10" borderId="27" xfId="2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>
      <alignment horizontal="right"/>
    </xf>
    <xf numFmtId="167" fontId="6" fillId="10" borderId="0" xfId="0" applyNumberFormat="1" applyFont="1" applyFill="1"/>
    <xf numFmtId="167" fontId="5" fillId="10" borderId="46" xfId="0" applyNumberFormat="1" applyFont="1" applyFill="1" applyBorder="1"/>
    <xf numFmtId="0" fontId="43" fillId="7" borderId="0" xfId="0" applyFont="1" applyFill="1"/>
    <xf numFmtId="14" fontId="5" fillId="13" borderId="2" xfId="0" applyNumberFormat="1" applyFont="1" applyFill="1" applyBorder="1"/>
    <xf numFmtId="0" fontId="6" fillId="0" borderId="2" xfId="0" applyFont="1" applyBorder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14" fontId="5" fillId="13" borderId="15" xfId="0" applyNumberFormat="1" applyFont="1" applyFill="1" applyBorder="1"/>
    <xf numFmtId="15" fontId="31" fillId="0" borderId="2" xfId="0" quotePrefix="1" applyNumberFormat="1" applyFont="1" applyBorder="1" applyAlignment="1">
      <alignment horizontal="center"/>
    </xf>
    <xf numFmtId="14" fontId="5" fillId="10" borderId="67" xfId="0" applyNumberFormat="1" applyFont="1" applyFill="1" applyBorder="1"/>
    <xf numFmtId="14" fontId="5" fillId="10" borderId="68" xfId="0" applyNumberFormat="1" applyFont="1" applyFill="1" applyBorder="1"/>
    <xf numFmtId="166" fontId="6" fillId="13" borderId="29" xfId="3" applyFont="1" applyFill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>
      <alignment horizontal="center"/>
    </xf>
    <xf numFmtId="165" fontId="26" fillId="7" borderId="0" xfId="0" applyNumberFormat="1" applyFont="1" applyFill="1"/>
    <xf numFmtId="173" fontId="26" fillId="7" borderId="0" xfId="2" applyNumberFormat="1" applyFont="1" applyFill="1"/>
    <xf numFmtId="167" fontId="5" fillId="10" borderId="1" xfId="0" applyNumberFormat="1" applyFont="1" applyFill="1" applyBorder="1" applyAlignment="1" applyProtection="1">
      <alignment horizontal="center" vertical="center"/>
      <protection locked="0"/>
    </xf>
    <xf numFmtId="167" fontId="5" fillId="6" borderId="27" xfId="0" applyNumberFormat="1" applyFont="1" applyFill="1" applyBorder="1" applyAlignment="1">
      <alignment horizontal="center" vertical="center"/>
    </xf>
    <xf numFmtId="14" fontId="5" fillId="6" borderId="32" xfId="0" applyNumberFormat="1" applyFont="1" applyFill="1" applyBorder="1"/>
    <xf numFmtId="167" fontId="5" fillId="6" borderId="38" xfId="0" applyNumberFormat="1" applyFont="1" applyFill="1" applyBorder="1" applyAlignment="1" applyProtection="1">
      <alignment horizontal="center" vertical="center"/>
      <protection locked="0"/>
    </xf>
    <xf numFmtId="14" fontId="5" fillId="6" borderId="39" xfId="0" applyNumberFormat="1" applyFont="1" applyFill="1" applyBorder="1"/>
    <xf numFmtId="14" fontId="5" fillId="13" borderId="55" xfId="0" applyNumberFormat="1" applyFont="1" applyFill="1" applyBorder="1"/>
    <xf numFmtId="167" fontId="5" fillId="6" borderId="27" xfId="0" applyNumberFormat="1" applyFont="1" applyFill="1" applyBorder="1" applyAlignment="1" applyProtection="1">
      <alignment horizontal="center" vertical="center"/>
      <protection locked="0"/>
    </xf>
    <xf numFmtId="14" fontId="5" fillId="6" borderId="46" xfId="0" applyNumberFormat="1" applyFont="1" applyFill="1" applyBorder="1"/>
    <xf numFmtId="14" fontId="5" fillId="11" borderId="46" xfId="0" applyNumberFormat="1" applyFont="1" applyFill="1" applyBorder="1"/>
    <xf numFmtId="167" fontId="5" fillId="10" borderId="27" xfId="0" applyNumberFormat="1" applyFont="1" applyFill="1" applyBorder="1"/>
    <xf numFmtId="2" fontId="37" fillId="10" borderId="32" xfId="0" applyNumberFormat="1" applyFont="1" applyFill="1" applyBorder="1"/>
    <xf numFmtId="2" fontId="6" fillId="10" borderId="2" xfId="2" applyNumberFormat="1" applyFont="1" applyFill="1" applyBorder="1" applyAlignment="1" applyProtection="1">
      <alignment horizontal="center"/>
      <protection locked="0"/>
    </xf>
    <xf numFmtId="0" fontId="26" fillId="0" borderId="10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46" fillId="9" borderId="22" xfId="0" applyFont="1" applyFill="1" applyBorder="1" applyAlignment="1">
      <alignment horizontal="left"/>
    </xf>
    <xf numFmtId="0" fontId="46" fillId="9" borderId="0" xfId="0" applyFont="1" applyFill="1" applyAlignment="1">
      <alignment horizontal="left"/>
    </xf>
    <xf numFmtId="0" fontId="46" fillId="9" borderId="23" xfId="0" applyFont="1" applyFill="1" applyBorder="1" applyAlignment="1">
      <alignment horizontal="left"/>
    </xf>
    <xf numFmtId="0" fontId="7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9" fontId="6" fillId="6" borderId="1" xfId="0" applyNumberFormat="1" applyFont="1" applyFill="1" applyBorder="1" applyProtection="1">
      <protection locked="0"/>
    </xf>
    <xf numFmtId="14" fontId="5" fillId="11" borderId="67" xfId="0" applyNumberFormat="1" applyFont="1" applyFill="1" applyBorder="1"/>
    <xf numFmtId="167" fontId="7" fillId="11" borderId="18" xfId="0" applyNumberFormat="1" applyFont="1" applyFill="1" applyBorder="1" applyAlignment="1">
      <alignment horizontal="center" vertical="center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 vertical="center"/>
      <protection locked="0"/>
    </xf>
    <xf numFmtId="0" fontId="6" fillId="11" borderId="3" xfId="0" applyFont="1" applyFill="1" applyBorder="1"/>
    <xf numFmtId="0" fontId="6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/>
    </xf>
    <xf numFmtId="166" fontId="6" fillId="11" borderId="3" xfId="0" applyNumberFormat="1" applyFont="1" applyFill="1" applyBorder="1"/>
    <xf numFmtId="167" fontId="5" fillId="11" borderId="35" xfId="0" applyNumberFormat="1" applyFont="1" applyFill="1" applyBorder="1" applyAlignment="1">
      <alignment horizontal="center" vertical="center"/>
    </xf>
    <xf numFmtId="164" fontId="55" fillId="0" borderId="0" xfId="1" applyFont="1" applyBorder="1"/>
    <xf numFmtId="166" fontId="6" fillId="11" borderId="35" xfId="3" applyFont="1" applyFill="1" applyBorder="1" applyAlignment="1" applyProtection="1">
      <alignment horizontal="center" vertical="center"/>
      <protection locked="0"/>
    </xf>
    <xf numFmtId="14" fontId="58" fillId="11" borderId="57" xfId="0" applyNumberFormat="1" applyFont="1" applyFill="1" applyBorder="1"/>
    <xf numFmtId="14" fontId="58" fillId="11" borderId="32" xfId="0" applyNumberFormat="1" applyFont="1" applyFill="1" applyBorder="1"/>
    <xf numFmtId="167" fontId="58" fillId="11" borderId="27" xfId="0" applyNumberFormat="1" applyFont="1" applyFill="1" applyBorder="1" applyAlignment="1">
      <alignment horizontal="center" vertical="center"/>
    </xf>
    <xf numFmtId="167" fontId="13" fillId="11" borderId="1" xfId="0" applyNumberFormat="1" applyFont="1" applyFill="1" applyBorder="1" applyAlignment="1" applyProtection="1">
      <alignment horizontal="center" vertical="center"/>
      <protection locked="0"/>
    </xf>
    <xf numFmtId="169" fontId="23" fillId="11" borderId="0" xfId="0" applyNumberFormat="1" applyFont="1" applyFill="1" applyProtection="1">
      <protection locked="0"/>
    </xf>
    <xf numFmtId="0" fontId="21" fillId="11" borderId="0" xfId="0" applyFont="1" applyFill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0" fontId="6" fillId="11" borderId="0" xfId="0" applyFont="1" applyFill="1" applyAlignment="1" applyProtection="1">
      <alignment horizontal="center" vertical="center"/>
      <protection locked="0"/>
    </xf>
    <xf numFmtId="0" fontId="6" fillId="11" borderId="0" xfId="0" applyFont="1" applyFill="1" applyAlignment="1" applyProtection="1">
      <alignment horizontal="center"/>
      <protection locked="0"/>
    </xf>
    <xf numFmtId="14" fontId="5" fillId="11" borderId="0" xfId="0" applyNumberFormat="1" applyFont="1" applyFill="1"/>
    <xf numFmtId="167" fontId="13" fillId="11" borderId="0" xfId="0" applyNumberFormat="1" applyFont="1" applyFill="1" applyAlignment="1" applyProtection="1">
      <alignment horizontal="center" vertical="center"/>
      <protection locked="0"/>
    </xf>
    <xf numFmtId="14" fontId="13" fillId="11" borderId="0" xfId="0" applyNumberFormat="1" applyFont="1" applyFill="1"/>
    <xf numFmtId="14" fontId="38" fillId="11" borderId="0" xfId="0" applyNumberFormat="1" applyFont="1" applyFill="1"/>
    <xf numFmtId="167" fontId="58" fillId="11" borderId="35" xfId="0" applyNumberFormat="1" applyFont="1" applyFill="1" applyBorder="1" applyAlignment="1" applyProtection="1">
      <alignment horizontal="center" vertical="center"/>
      <protection locked="0"/>
    </xf>
    <xf numFmtId="14" fontId="58" fillId="11" borderId="41" xfId="0" applyNumberFormat="1" applyFont="1" applyFill="1" applyBorder="1"/>
    <xf numFmtId="167" fontId="58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0" applyNumberFormat="1" applyFont="1" applyFill="1" applyBorder="1" applyAlignment="1" applyProtection="1">
      <alignment horizontal="center"/>
      <protection locked="0"/>
    </xf>
    <xf numFmtId="164" fontId="54" fillId="0" borderId="0" xfId="1" applyFont="1" applyBorder="1"/>
    <xf numFmtId="0" fontId="6" fillId="11" borderId="1" xfId="0" applyFont="1" applyFill="1" applyBorder="1" applyAlignment="1" applyProtection="1">
      <alignment wrapText="1"/>
      <protection locked="0"/>
    </xf>
    <xf numFmtId="166" fontId="6" fillId="11" borderId="1" xfId="3" applyFont="1" applyFill="1" applyBorder="1" applyAlignment="1" applyProtection="1">
      <alignment horizontal="center" vertic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0" fontId="21" fillId="11" borderId="40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vertical="center"/>
      <protection locked="0"/>
    </xf>
    <xf numFmtId="0" fontId="60" fillId="0" borderId="0" xfId="0" applyFont="1" applyAlignment="1">
      <alignment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/>
    <xf numFmtId="0" fontId="61" fillId="0" borderId="2" xfId="0" applyFont="1" applyBorder="1" applyAlignment="1">
      <alignment vertical="center" wrapText="1"/>
    </xf>
    <xf numFmtId="0" fontId="64" fillId="0" borderId="2" xfId="0" applyFont="1" applyBorder="1" applyAlignment="1">
      <alignment vertical="center" wrapText="1"/>
    </xf>
    <xf numFmtId="15" fontId="61" fillId="0" borderId="2" xfId="0" applyNumberFormat="1" applyFont="1" applyBorder="1" applyAlignment="1">
      <alignment vertical="center" wrapText="1"/>
    </xf>
    <xf numFmtId="0" fontId="7" fillId="6" borderId="0" xfId="0" applyFont="1" applyFill="1" applyAlignment="1">
      <alignment horizontal="right"/>
    </xf>
    <xf numFmtId="0" fontId="7" fillId="6" borderId="0" xfId="0" applyFont="1" applyFill="1"/>
    <xf numFmtId="0" fontId="13" fillId="7" borderId="51" xfId="0" applyFont="1" applyFill="1" applyBorder="1" applyAlignment="1">
      <alignment horizontal="left" vertical="center"/>
    </xf>
    <xf numFmtId="14" fontId="5" fillId="13" borderId="1" xfId="0" applyNumberFormat="1" applyFont="1" applyFill="1" applyBorder="1" applyAlignment="1">
      <alignment horizontal="left" vertical="center"/>
    </xf>
    <xf numFmtId="14" fontId="5" fillId="13" borderId="27" xfId="0" applyNumberFormat="1" applyFont="1" applyFill="1" applyBorder="1" applyAlignment="1">
      <alignment horizontal="left" vertical="center"/>
    </xf>
    <xf numFmtId="167" fontId="7" fillId="10" borderId="13" xfId="0" applyNumberFormat="1" applyFont="1" applyFill="1" applyBorder="1" applyAlignment="1">
      <alignment horizontal="center" vertical="center"/>
    </xf>
    <xf numFmtId="167" fontId="7" fillId="10" borderId="18" xfId="0" applyNumberFormat="1" applyFont="1" applyFill="1" applyBorder="1" applyAlignment="1">
      <alignment horizontal="center" vertical="center"/>
    </xf>
    <xf numFmtId="167" fontId="7" fillId="10" borderId="14" xfId="0" applyNumberFormat="1" applyFont="1" applyFill="1" applyBorder="1" applyAlignment="1">
      <alignment horizontal="center" vertical="center"/>
    </xf>
    <xf numFmtId="167" fontId="7" fillId="11" borderId="13" xfId="0" applyNumberFormat="1" applyFont="1" applyFill="1" applyBorder="1" applyAlignment="1">
      <alignment horizontal="center" vertical="center"/>
    </xf>
    <xf numFmtId="167" fontId="7" fillId="11" borderId="18" xfId="0" applyNumberFormat="1" applyFont="1" applyFill="1" applyBorder="1" applyAlignment="1">
      <alignment horizontal="center" vertical="center"/>
    </xf>
    <xf numFmtId="167" fontId="7" fillId="11" borderId="14" xfId="0" applyNumberFormat="1" applyFont="1" applyFill="1" applyBorder="1" applyAlignment="1">
      <alignment horizontal="center" vertical="center"/>
    </xf>
    <xf numFmtId="167" fontId="7" fillId="13" borderId="13" xfId="0" applyNumberFormat="1" applyFont="1" applyFill="1" applyBorder="1" applyAlignment="1">
      <alignment horizontal="center" vertical="center"/>
    </xf>
    <xf numFmtId="167" fontId="7" fillId="13" borderId="18" xfId="0" applyNumberFormat="1" applyFont="1" applyFill="1" applyBorder="1" applyAlignment="1">
      <alignment horizontal="center" vertical="center"/>
    </xf>
    <xf numFmtId="167" fontId="7" fillId="13" borderId="14" xfId="0" applyNumberFormat="1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6" fillId="8" borderId="17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6" xfId="0" applyFont="1" applyFill="1" applyBorder="1" applyAlignment="1">
      <alignment horizontal="center"/>
    </xf>
    <xf numFmtId="167" fontId="7" fillId="13" borderId="66" xfId="0" applyNumberFormat="1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6" fillId="0" borderId="2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/>
    </xf>
    <xf numFmtId="0" fontId="26" fillId="0" borderId="15" xfId="0" applyFont="1" applyBorder="1" applyAlignment="1">
      <alignment horizontal="left"/>
    </xf>
    <xf numFmtId="0" fontId="26" fillId="0" borderId="10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6" fillId="9" borderId="19" xfId="0" applyFont="1" applyFill="1" applyBorder="1" applyAlignment="1">
      <alignment horizontal="left"/>
    </xf>
    <xf numFmtId="0" fontId="46" fillId="9" borderId="20" xfId="0" applyFont="1" applyFill="1" applyBorder="1" applyAlignment="1">
      <alignment horizontal="left"/>
    </xf>
    <xf numFmtId="0" fontId="46" fillId="9" borderId="21" xfId="0" applyFont="1" applyFill="1" applyBorder="1" applyAlignment="1">
      <alignment horizontal="left"/>
    </xf>
    <xf numFmtId="0" fontId="46" fillId="9" borderId="22" xfId="0" applyFont="1" applyFill="1" applyBorder="1" applyAlignment="1">
      <alignment horizontal="left"/>
    </xf>
    <xf numFmtId="0" fontId="46" fillId="9" borderId="0" xfId="0" applyFont="1" applyFill="1" applyAlignment="1">
      <alignment horizontal="left"/>
    </xf>
    <xf numFmtId="0" fontId="46" fillId="9" borderId="23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170" fontId="46" fillId="9" borderId="24" xfId="0" applyNumberFormat="1" applyFont="1" applyFill="1" applyBorder="1" applyAlignment="1">
      <alignment horizontal="left" vertical="center"/>
    </xf>
    <xf numFmtId="170" fontId="46" fillId="9" borderId="25" xfId="0" applyNumberFormat="1" applyFont="1" applyFill="1" applyBorder="1" applyAlignment="1">
      <alignment horizontal="left" vertical="center"/>
    </xf>
    <xf numFmtId="170" fontId="46" fillId="9" borderId="26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23" fillId="10" borderId="13" xfId="0" applyFont="1" applyFill="1" applyBorder="1" applyAlignment="1">
      <alignment horizontal="left" vertical="center"/>
    </xf>
    <xf numFmtId="0" fontId="23" fillId="10" borderId="18" xfId="0" applyFont="1" applyFill="1" applyBorder="1" applyAlignment="1">
      <alignment horizontal="left" vertical="center"/>
    </xf>
    <xf numFmtId="0" fontId="23" fillId="10" borderId="14" xfId="0" applyFont="1" applyFill="1" applyBorder="1" applyAlignment="1">
      <alignment horizontal="left" vertical="center"/>
    </xf>
    <xf numFmtId="0" fontId="23" fillId="11" borderId="13" xfId="0" applyFont="1" applyFill="1" applyBorder="1" applyAlignment="1">
      <alignment horizontal="left" vertical="center"/>
    </xf>
    <xf numFmtId="0" fontId="23" fillId="11" borderId="18" xfId="0" applyFont="1" applyFill="1" applyBorder="1" applyAlignment="1">
      <alignment horizontal="left" vertical="center"/>
    </xf>
    <xf numFmtId="0" fontId="23" fillId="11" borderId="14" xfId="0" applyFont="1" applyFill="1" applyBorder="1" applyAlignment="1">
      <alignment horizontal="left" vertical="center"/>
    </xf>
    <xf numFmtId="166" fontId="23" fillId="11" borderId="13" xfId="0" applyNumberFormat="1" applyFont="1" applyFill="1" applyBorder="1" applyAlignment="1">
      <alignment horizontal="left" vertical="center"/>
    </xf>
    <xf numFmtId="166" fontId="23" fillId="11" borderId="18" xfId="0" applyNumberFormat="1" applyFont="1" applyFill="1" applyBorder="1" applyAlignment="1">
      <alignment horizontal="left" vertical="center"/>
    </xf>
    <xf numFmtId="166" fontId="23" fillId="11" borderId="14" xfId="0" applyNumberFormat="1" applyFont="1" applyFill="1" applyBorder="1" applyAlignment="1">
      <alignment horizontal="left" vertical="center"/>
    </xf>
    <xf numFmtId="0" fontId="47" fillId="2" borderId="52" xfId="0" applyFont="1" applyFill="1" applyBorder="1" applyAlignment="1">
      <alignment horizontal="center" vertical="center" textRotation="90"/>
    </xf>
    <xf numFmtId="0" fontId="61" fillId="0" borderId="2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3" fillId="0" borderId="2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1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9933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9933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chartsheet" Target="chartsheets/sheet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2000" b="1"/>
              <a:t>Project Plan: xxxxxx 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90433611156346"/>
          <c:y val="0.21343234810026163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'Project Plan'!$E$2:$H$2</c:f>
              <c:strCache>
                <c:ptCount val="1"/>
                <c:pt idx="0">
                  <c:v>Mega Park Extension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Plan'!$C$14:$C$58</c:f>
              <c:strCache>
                <c:ptCount val="45"/>
                <c:pt idx="0">
                  <c:v>Project Initiation</c:v>
                </c:pt>
                <c:pt idx="1">
                  <c:v>Internal Handover</c:v>
                </c:pt>
                <c:pt idx="2">
                  <c:v>Internal kick off</c:v>
                </c:pt>
                <c:pt idx="3">
                  <c:v>Client kick off</c:v>
                </c:pt>
                <c:pt idx="5">
                  <c:v>Site Establishment</c:v>
                </c:pt>
                <c:pt idx="6">
                  <c:v>Installer on site and roof assessment</c:v>
                </c:pt>
                <c:pt idx="8">
                  <c:v>AC Installation</c:v>
                </c:pt>
                <c:pt idx="9">
                  <c:v>Inverters delivered</c:v>
                </c:pt>
                <c:pt idx="10">
                  <c:v>Inverters Mounted</c:v>
                </c:pt>
                <c:pt idx="11">
                  <c:v>Solar DB lead time</c:v>
                </c:pt>
                <c:pt idx="12">
                  <c:v>AC Works</c:v>
                </c:pt>
                <c:pt idx="13">
                  <c:v>AC Tie - in</c:v>
                </c:pt>
                <c:pt idx="15">
                  <c:v>DC Works</c:v>
                </c:pt>
                <c:pt idx="16">
                  <c:v>Mounting Structure delivered</c:v>
                </c:pt>
                <c:pt idx="17">
                  <c:v>Mounting Structure installation</c:v>
                </c:pt>
                <c:pt idx="18">
                  <c:v>DC Cable delivered</c:v>
                </c:pt>
                <c:pt idx="19">
                  <c:v>DC Cable Trays installation</c:v>
                </c:pt>
                <c:pt idx="20">
                  <c:v>DC Cabling</c:v>
                </c:pt>
                <c:pt idx="22">
                  <c:v>Module installation</c:v>
                </c:pt>
                <c:pt idx="23">
                  <c:v>Module delivery - Batch 1</c:v>
                </c:pt>
                <c:pt idx="24">
                  <c:v>Module delivery - Batch 2</c:v>
                </c:pt>
                <c:pt idx="25">
                  <c:v>Module delivery - Batch 3</c:v>
                </c:pt>
                <c:pt idx="26">
                  <c:v>Module mounting</c:v>
                </c:pt>
                <c:pt idx="28">
                  <c:v>Commissioning</c:v>
                </c:pt>
                <c:pt idx="29">
                  <c:v>Cold commissioning</c:v>
                </c:pt>
                <c:pt idx="30">
                  <c:v>Cold commissioning - Phased</c:v>
                </c:pt>
                <c:pt idx="31">
                  <c:v>Practical Completion</c:v>
                </c:pt>
                <c:pt idx="33">
                  <c:v>Project Closure</c:v>
                </c:pt>
                <c:pt idx="34">
                  <c:v>Equipment serial numbers</c:v>
                </c:pt>
                <c:pt idx="35">
                  <c:v>Fiber Installation</c:v>
                </c:pt>
                <c:pt idx="36">
                  <c:v>Snags completion - 1</c:v>
                </c:pt>
                <c:pt idx="37">
                  <c:v>Snags completion - 2</c:v>
                </c:pt>
                <c:pt idx="38">
                  <c:v>System Performance Monitoring</c:v>
                </c:pt>
                <c:pt idx="39">
                  <c:v>Handover documentation</c:v>
                </c:pt>
                <c:pt idx="40">
                  <c:v>Handover to Client</c:v>
                </c:pt>
                <c:pt idx="41">
                  <c:v>Handover to O&amp;M</c:v>
                </c:pt>
                <c:pt idx="43">
                  <c:v>QA Inspections</c:v>
                </c:pt>
                <c:pt idx="44">
                  <c:v>Inspection</c:v>
                </c:pt>
              </c:strCache>
            </c:strRef>
          </c:cat>
          <c:val>
            <c:numRef>
              <c:f>'Project Plan'!$I$14:$I$58</c:f>
              <c:numCache>
                <c:formatCode>d\-mmm\-yy</c:formatCode>
                <c:ptCount val="45"/>
                <c:pt idx="0">
                  <c:v>44798</c:v>
                </c:pt>
                <c:pt idx="1">
                  <c:v>44798</c:v>
                </c:pt>
                <c:pt idx="2">
                  <c:v>44963</c:v>
                </c:pt>
                <c:pt idx="3">
                  <c:v>45061</c:v>
                </c:pt>
                <c:pt idx="5">
                  <c:v>45096</c:v>
                </c:pt>
                <c:pt idx="6">
                  <c:v>45096</c:v>
                </c:pt>
                <c:pt idx="8">
                  <c:v>45092</c:v>
                </c:pt>
                <c:pt idx="9">
                  <c:v>45153</c:v>
                </c:pt>
                <c:pt idx="10">
                  <c:v>45261</c:v>
                </c:pt>
                <c:pt idx="11">
                  <c:v>45092</c:v>
                </c:pt>
                <c:pt idx="12">
                  <c:v>45195</c:v>
                </c:pt>
                <c:pt idx="13">
                  <c:v>45223</c:v>
                </c:pt>
                <c:pt idx="15">
                  <c:v>45099</c:v>
                </c:pt>
                <c:pt idx="16">
                  <c:v>45099</c:v>
                </c:pt>
                <c:pt idx="17">
                  <c:v>45100</c:v>
                </c:pt>
                <c:pt idx="18">
                  <c:v>45170</c:v>
                </c:pt>
                <c:pt idx="19">
                  <c:v>45173</c:v>
                </c:pt>
                <c:pt idx="20">
                  <c:v>45145</c:v>
                </c:pt>
                <c:pt idx="22">
                  <c:v>45170</c:v>
                </c:pt>
                <c:pt idx="23">
                  <c:v>45170</c:v>
                </c:pt>
                <c:pt idx="24">
                  <c:v>45180</c:v>
                </c:pt>
                <c:pt idx="25">
                  <c:v>45188</c:v>
                </c:pt>
                <c:pt idx="26">
                  <c:v>45174</c:v>
                </c:pt>
                <c:pt idx="28">
                  <c:v>45317</c:v>
                </c:pt>
                <c:pt idx="29">
                  <c:v>45317</c:v>
                </c:pt>
                <c:pt idx="30">
                  <c:v>45321</c:v>
                </c:pt>
                <c:pt idx="31">
                  <c:v>45324</c:v>
                </c:pt>
                <c:pt idx="33">
                  <c:v>45330</c:v>
                </c:pt>
                <c:pt idx="34">
                  <c:v>45330</c:v>
                </c:pt>
                <c:pt idx="35">
                  <c:v>45356</c:v>
                </c:pt>
                <c:pt idx="36">
                  <c:v>45352</c:v>
                </c:pt>
                <c:pt idx="37">
                  <c:v>45397</c:v>
                </c:pt>
                <c:pt idx="38">
                  <c:v>45380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3">
                  <c:v>45333</c:v>
                </c:pt>
                <c:pt idx="44">
                  <c:v>45333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0-4C01-9EA7-9AB2BC32A846}"/>
            </c:ext>
          </c:extLst>
        </c:ser>
        <c:ser>
          <c:idx val="0"/>
          <c:order val="1"/>
          <c:tx>
            <c:v>Duration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'Project Plan'!$C$14:$C$58</c:f>
              <c:strCache>
                <c:ptCount val="45"/>
                <c:pt idx="0">
                  <c:v>Project Initiation</c:v>
                </c:pt>
                <c:pt idx="1">
                  <c:v>Internal Handover</c:v>
                </c:pt>
                <c:pt idx="2">
                  <c:v>Internal kick off</c:v>
                </c:pt>
                <c:pt idx="3">
                  <c:v>Client kick off</c:v>
                </c:pt>
                <c:pt idx="5">
                  <c:v>Site Establishment</c:v>
                </c:pt>
                <c:pt idx="6">
                  <c:v>Installer on site and roof assessment</c:v>
                </c:pt>
                <c:pt idx="8">
                  <c:v>AC Installation</c:v>
                </c:pt>
                <c:pt idx="9">
                  <c:v>Inverters delivered</c:v>
                </c:pt>
                <c:pt idx="10">
                  <c:v>Inverters Mounted</c:v>
                </c:pt>
                <c:pt idx="11">
                  <c:v>Solar DB lead time</c:v>
                </c:pt>
                <c:pt idx="12">
                  <c:v>AC Works</c:v>
                </c:pt>
                <c:pt idx="13">
                  <c:v>AC Tie - in</c:v>
                </c:pt>
                <c:pt idx="15">
                  <c:v>DC Works</c:v>
                </c:pt>
                <c:pt idx="16">
                  <c:v>Mounting Structure delivered</c:v>
                </c:pt>
                <c:pt idx="17">
                  <c:v>Mounting Structure installation</c:v>
                </c:pt>
                <c:pt idx="18">
                  <c:v>DC Cable delivered</c:v>
                </c:pt>
                <c:pt idx="19">
                  <c:v>DC Cable Trays installation</c:v>
                </c:pt>
                <c:pt idx="20">
                  <c:v>DC Cabling</c:v>
                </c:pt>
                <c:pt idx="22">
                  <c:v>Module installation</c:v>
                </c:pt>
                <c:pt idx="23">
                  <c:v>Module delivery - Batch 1</c:v>
                </c:pt>
                <c:pt idx="24">
                  <c:v>Module delivery - Batch 2</c:v>
                </c:pt>
                <c:pt idx="25">
                  <c:v>Module delivery - Batch 3</c:v>
                </c:pt>
                <c:pt idx="26">
                  <c:v>Module mounting</c:v>
                </c:pt>
                <c:pt idx="28">
                  <c:v>Commissioning</c:v>
                </c:pt>
                <c:pt idx="29">
                  <c:v>Cold commissioning</c:v>
                </c:pt>
                <c:pt idx="30">
                  <c:v>Cold commissioning - Phased</c:v>
                </c:pt>
                <c:pt idx="31">
                  <c:v>Practical Completion</c:v>
                </c:pt>
                <c:pt idx="33">
                  <c:v>Project Closure</c:v>
                </c:pt>
                <c:pt idx="34">
                  <c:v>Equipment serial numbers</c:v>
                </c:pt>
                <c:pt idx="35">
                  <c:v>Fiber Installation</c:v>
                </c:pt>
                <c:pt idx="36">
                  <c:v>Snags completion - 1</c:v>
                </c:pt>
                <c:pt idx="37">
                  <c:v>Snags completion - 2</c:v>
                </c:pt>
                <c:pt idx="38">
                  <c:v>System Performance Monitoring</c:v>
                </c:pt>
                <c:pt idx="39">
                  <c:v>Handover documentation</c:v>
                </c:pt>
                <c:pt idx="40">
                  <c:v>Handover to Client</c:v>
                </c:pt>
                <c:pt idx="41">
                  <c:v>Handover to O&amp;M</c:v>
                </c:pt>
                <c:pt idx="43">
                  <c:v>QA Inspections</c:v>
                </c:pt>
                <c:pt idx="44">
                  <c:v>Inspection</c:v>
                </c:pt>
              </c:strCache>
            </c:strRef>
          </c:cat>
          <c:val>
            <c:numRef>
              <c:f>'Project Plan'!$J$14:$J$58</c:f>
              <c:numCache>
                <c:formatCode>General</c:formatCode>
                <c:ptCount val="4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3</c:v>
                </c:pt>
                <c:pt idx="6">
                  <c:v>3</c:v>
                </c:pt>
                <c:pt idx="8">
                  <c:v>179</c:v>
                </c:pt>
                <c:pt idx="9">
                  <c:v>1</c:v>
                </c:pt>
                <c:pt idx="10">
                  <c:v>4</c:v>
                </c:pt>
                <c:pt idx="11">
                  <c:v>73</c:v>
                </c:pt>
                <c:pt idx="12">
                  <c:v>100</c:v>
                </c:pt>
                <c:pt idx="13">
                  <c:v>1</c:v>
                </c:pt>
                <c:pt idx="15">
                  <c:v>155</c:v>
                </c:pt>
                <c:pt idx="16">
                  <c:v>1</c:v>
                </c:pt>
                <c:pt idx="17">
                  <c:v>50</c:v>
                </c:pt>
                <c:pt idx="18">
                  <c:v>1</c:v>
                </c:pt>
                <c:pt idx="19">
                  <c:v>72</c:v>
                </c:pt>
                <c:pt idx="20">
                  <c:v>31</c:v>
                </c:pt>
                <c:pt idx="22">
                  <c:v>51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48</c:v>
                </c:pt>
                <c:pt idx="28">
                  <c:v>6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3">
                  <c:v>58</c:v>
                </c:pt>
                <c:pt idx="34">
                  <c:v>1</c:v>
                </c:pt>
                <c:pt idx="35">
                  <c:v>15</c:v>
                </c:pt>
                <c:pt idx="36">
                  <c:v>20</c:v>
                </c:pt>
                <c:pt idx="37">
                  <c:v>20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3">
                  <c:v>15</c:v>
                </c:pt>
                <c:pt idx="4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0-4C01-9EA7-9AB2BC32A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>
          <a:alpha val="92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Cashflow!$F$4:$BR$4</c:f>
              <c:numCache>
                <c:formatCode>#,##0</c:formatCode>
                <c:ptCount val="65"/>
                <c:pt idx="0">
                  <c:v>0</c:v>
                </c:pt>
                <c:pt idx="1">
                  <c:v>10469504.38486355</c:v>
                </c:pt>
                <c:pt idx="2">
                  <c:v>10469504.38486355</c:v>
                </c:pt>
                <c:pt idx="3">
                  <c:v>10469504.38486355</c:v>
                </c:pt>
                <c:pt idx="4">
                  <c:v>10469504.38486355</c:v>
                </c:pt>
                <c:pt idx="5">
                  <c:v>10469504.38486355</c:v>
                </c:pt>
                <c:pt idx="6">
                  <c:v>10469504.38486355</c:v>
                </c:pt>
                <c:pt idx="7">
                  <c:v>10469504.38486355</c:v>
                </c:pt>
                <c:pt idx="8">
                  <c:v>10469504.38486355</c:v>
                </c:pt>
                <c:pt idx="9">
                  <c:v>10469504.38486355</c:v>
                </c:pt>
                <c:pt idx="10">
                  <c:v>10469504.38486355</c:v>
                </c:pt>
                <c:pt idx="11">
                  <c:v>10469504.38486355</c:v>
                </c:pt>
                <c:pt idx="12">
                  <c:v>10469504.38486355</c:v>
                </c:pt>
                <c:pt idx="13">
                  <c:v>10469504.38486355</c:v>
                </c:pt>
                <c:pt idx="14">
                  <c:v>10469504.38486355</c:v>
                </c:pt>
                <c:pt idx="15">
                  <c:v>10469504.38486355</c:v>
                </c:pt>
                <c:pt idx="16">
                  <c:v>10469504.38486355</c:v>
                </c:pt>
                <c:pt idx="17">
                  <c:v>10469504.38486355</c:v>
                </c:pt>
                <c:pt idx="18">
                  <c:v>10469504.38486355</c:v>
                </c:pt>
                <c:pt idx="19">
                  <c:v>10469504.38486355</c:v>
                </c:pt>
                <c:pt idx="20">
                  <c:v>10469504.38486355</c:v>
                </c:pt>
                <c:pt idx="21">
                  <c:v>10469504.38486355</c:v>
                </c:pt>
                <c:pt idx="22">
                  <c:v>10469504.38486355</c:v>
                </c:pt>
                <c:pt idx="23">
                  <c:v>10469504.38486355</c:v>
                </c:pt>
                <c:pt idx="24">
                  <c:v>10469504.38486355</c:v>
                </c:pt>
                <c:pt idx="25">
                  <c:v>10469504.38486355</c:v>
                </c:pt>
                <c:pt idx="26">
                  <c:v>15704256.577295318</c:v>
                </c:pt>
                <c:pt idx="27">
                  <c:v>15704256.577295318</c:v>
                </c:pt>
                <c:pt idx="28">
                  <c:v>15704256.577295318</c:v>
                </c:pt>
                <c:pt idx="29">
                  <c:v>15704256.577295318</c:v>
                </c:pt>
                <c:pt idx="30">
                  <c:v>15704256.577295318</c:v>
                </c:pt>
                <c:pt idx="31">
                  <c:v>15704256.577295318</c:v>
                </c:pt>
                <c:pt idx="32">
                  <c:v>15704256.577295318</c:v>
                </c:pt>
                <c:pt idx="33">
                  <c:v>15704256.577295318</c:v>
                </c:pt>
                <c:pt idx="34">
                  <c:v>17798157.454268027</c:v>
                </c:pt>
                <c:pt idx="35">
                  <c:v>17798157.454268027</c:v>
                </c:pt>
                <c:pt idx="36">
                  <c:v>17798157.454268027</c:v>
                </c:pt>
                <c:pt idx="37">
                  <c:v>17798157.454268027</c:v>
                </c:pt>
                <c:pt idx="38">
                  <c:v>17798157.454268027</c:v>
                </c:pt>
                <c:pt idx="39">
                  <c:v>17798157.454268027</c:v>
                </c:pt>
                <c:pt idx="40">
                  <c:v>17798157.454268027</c:v>
                </c:pt>
                <c:pt idx="41">
                  <c:v>17798157.454268027</c:v>
                </c:pt>
                <c:pt idx="42">
                  <c:v>17798157.454268027</c:v>
                </c:pt>
                <c:pt idx="43">
                  <c:v>17798157.454268027</c:v>
                </c:pt>
                <c:pt idx="44">
                  <c:v>17798157.454268027</c:v>
                </c:pt>
                <c:pt idx="45">
                  <c:v>17798157.454268027</c:v>
                </c:pt>
                <c:pt idx="46">
                  <c:v>17798157.454268027</c:v>
                </c:pt>
                <c:pt idx="47">
                  <c:v>17798157.454268027</c:v>
                </c:pt>
                <c:pt idx="48">
                  <c:v>17798157.454268027</c:v>
                </c:pt>
                <c:pt idx="49">
                  <c:v>17798157.454268027</c:v>
                </c:pt>
                <c:pt idx="50">
                  <c:v>19892058.331240736</c:v>
                </c:pt>
                <c:pt idx="51">
                  <c:v>19892058.331240736</c:v>
                </c:pt>
                <c:pt idx="52">
                  <c:v>19892058.331240736</c:v>
                </c:pt>
                <c:pt idx="53">
                  <c:v>19892058.331240736</c:v>
                </c:pt>
                <c:pt idx="54">
                  <c:v>19892058.331240736</c:v>
                </c:pt>
                <c:pt idx="55">
                  <c:v>19892058.331240736</c:v>
                </c:pt>
                <c:pt idx="56">
                  <c:v>20939008.769727092</c:v>
                </c:pt>
                <c:pt idx="57">
                  <c:v>20939008.769727092</c:v>
                </c:pt>
                <c:pt idx="58">
                  <c:v>20939008.769727092</c:v>
                </c:pt>
                <c:pt idx="59">
                  <c:v>20939008.769727092</c:v>
                </c:pt>
                <c:pt idx="60">
                  <c:v>20939008.769727092</c:v>
                </c:pt>
                <c:pt idx="61">
                  <c:v>20939008.769727092</c:v>
                </c:pt>
                <c:pt idx="62">
                  <c:v>20939008.769727092</c:v>
                </c:pt>
                <c:pt idx="63">
                  <c:v>20939008.769727092</c:v>
                </c:pt>
                <c:pt idx="64">
                  <c:v>20939008.769727092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Cashflow!$F$6:$BR$6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897757.52333333332</c:v>
                </c:pt>
                <c:pt idx="5">
                  <c:v>897757.52333333332</c:v>
                </c:pt>
                <c:pt idx="6">
                  <c:v>897757.52333333332</c:v>
                </c:pt>
                <c:pt idx="7">
                  <c:v>901324.52333333332</c:v>
                </c:pt>
                <c:pt idx="8">
                  <c:v>901324.52333333332</c:v>
                </c:pt>
                <c:pt idx="9">
                  <c:v>901324.52333333332</c:v>
                </c:pt>
                <c:pt idx="10">
                  <c:v>901324.52333333332</c:v>
                </c:pt>
                <c:pt idx="11">
                  <c:v>901324.52333333332</c:v>
                </c:pt>
                <c:pt idx="12">
                  <c:v>901324.52333333332</c:v>
                </c:pt>
                <c:pt idx="13">
                  <c:v>5431324.5233333334</c:v>
                </c:pt>
                <c:pt idx="14">
                  <c:v>5431324.5233333334</c:v>
                </c:pt>
                <c:pt idx="15">
                  <c:v>5431324.5233333334</c:v>
                </c:pt>
                <c:pt idx="16">
                  <c:v>5431324.5233333334</c:v>
                </c:pt>
                <c:pt idx="17">
                  <c:v>5431324.5233333334</c:v>
                </c:pt>
                <c:pt idx="18">
                  <c:v>6393179.8523333333</c:v>
                </c:pt>
                <c:pt idx="19">
                  <c:v>7253620.4333333336</c:v>
                </c:pt>
                <c:pt idx="20">
                  <c:v>7253620.4333333336</c:v>
                </c:pt>
                <c:pt idx="21">
                  <c:v>7253620.4333333336</c:v>
                </c:pt>
                <c:pt idx="22">
                  <c:v>7253620.4333333336</c:v>
                </c:pt>
                <c:pt idx="23">
                  <c:v>15522564.662333334</c:v>
                </c:pt>
                <c:pt idx="24">
                  <c:v>15522564.662333334</c:v>
                </c:pt>
                <c:pt idx="25">
                  <c:v>16563564.662333334</c:v>
                </c:pt>
                <c:pt idx="26">
                  <c:v>16563564.662333334</c:v>
                </c:pt>
                <c:pt idx="27">
                  <c:v>16563564.662333334</c:v>
                </c:pt>
                <c:pt idx="28">
                  <c:v>16563564.662333334</c:v>
                </c:pt>
                <c:pt idx="29">
                  <c:v>16563564.662333334</c:v>
                </c:pt>
                <c:pt idx="30">
                  <c:v>16563564.662333334</c:v>
                </c:pt>
                <c:pt idx="31">
                  <c:v>16563564.662333334</c:v>
                </c:pt>
                <c:pt idx="32">
                  <c:v>16563564.662333334</c:v>
                </c:pt>
                <c:pt idx="33">
                  <c:v>16563564.662333334</c:v>
                </c:pt>
                <c:pt idx="34">
                  <c:v>17769140.351333335</c:v>
                </c:pt>
                <c:pt idx="35">
                  <c:v>17769140.351333335</c:v>
                </c:pt>
                <c:pt idx="36">
                  <c:v>17769140.351333335</c:v>
                </c:pt>
                <c:pt idx="37">
                  <c:v>17769140.351333335</c:v>
                </c:pt>
                <c:pt idx="38">
                  <c:v>17769140.351333335</c:v>
                </c:pt>
                <c:pt idx="39">
                  <c:v>17769140.351333335</c:v>
                </c:pt>
                <c:pt idx="40">
                  <c:v>17769140.351333335</c:v>
                </c:pt>
                <c:pt idx="41">
                  <c:v>17769140.351333335</c:v>
                </c:pt>
                <c:pt idx="42">
                  <c:v>17769140.351333335</c:v>
                </c:pt>
                <c:pt idx="43">
                  <c:v>18018361.151333336</c:v>
                </c:pt>
                <c:pt idx="44">
                  <c:v>18018361.151333336</c:v>
                </c:pt>
                <c:pt idx="45">
                  <c:v>18018361.151333336</c:v>
                </c:pt>
                <c:pt idx="46">
                  <c:v>18018361.151333336</c:v>
                </c:pt>
                <c:pt idx="47">
                  <c:v>18018361.151333336</c:v>
                </c:pt>
                <c:pt idx="48">
                  <c:v>18018361.151333336</c:v>
                </c:pt>
                <c:pt idx="49">
                  <c:v>18516802.751333337</c:v>
                </c:pt>
                <c:pt idx="50">
                  <c:v>18516802.751333337</c:v>
                </c:pt>
                <c:pt idx="51">
                  <c:v>18516802.751333337</c:v>
                </c:pt>
                <c:pt idx="52">
                  <c:v>18516802.751333337</c:v>
                </c:pt>
                <c:pt idx="53">
                  <c:v>18682949.951333337</c:v>
                </c:pt>
                <c:pt idx="54">
                  <c:v>18682949.951333337</c:v>
                </c:pt>
                <c:pt idx="55">
                  <c:v>18682949.951333337</c:v>
                </c:pt>
                <c:pt idx="56">
                  <c:v>18682949.951333337</c:v>
                </c:pt>
                <c:pt idx="57">
                  <c:v>18682949.951333337</c:v>
                </c:pt>
                <c:pt idx="58">
                  <c:v>18682949.951333337</c:v>
                </c:pt>
                <c:pt idx="59">
                  <c:v>18682949.951333337</c:v>
                </c:pt>
                <c:pt idx="60">
                  <c:v>18682949.951333337</c:v>
                </c:pt>
                <c:pt idx="61">
                  <c:v>18682949.951333337</c:v>
                </c:pt>
                <c:pt idx="62">
                  <c:v>18682949.951333337</c:v>
                </c:pt>
                <c:pt idx="63">
                  <c:v>18682949.951333337</c:v>
                </c:pt>
                <c:pt idx="64">
                  <c:v>18682949.951333337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Cashflow!$F$7:$BR$7</c:f>
              <c:numCache>
                <c:formatCode>#,##0</c:formatCode>
                <c:ptCount val="65"/>
                <c:pt idx="0">
                  <c:v>0</c:v>
                </c:pt>
                <c:pt idx="1">
                  <c:v>10469504.38486355</c:v>
                </c:pt>
                <c:pt idx="2">
                  <c:v>10469504.38486355</c:v>
                </c:pt>
                <c:pt idx="3">
                  <c:v>10469504.38486355</c:v>
                </c:pt>
                <c:pt idx="4">
                  <c:v>9571746.8615302164</c:v>
                </c:pt>
                <c:pt idx="5">
                  <c:v>9571746.8615302164</c:v>
                </c:pt>
                <c:pt idx="6">
                  <c:v>9571746.8615302164</c:v>
                </c:pt>
                <c:pt idx="7">
                  <c:v>9568179.8615302164</c:v>
                </c:pt>
                <c:pt idx="8">
                  <c:v>9568179.8615302164</c:v>
                </c:pt>
                <c:pt idx="9">
                  <c:v>9568179.8615302164</c:v>
                </c:pt>
                <c:pt idx="10">
                  <c:v>9568179.8615302164</c:v>
                </c:pt>
                <c:pt idx="11">
                  <c:v>9568179.8615302164</c:v>
                </c:pt>
                <c:pt idx="12">
                  <c:v>9568179.8615302164</c:v>
                </c:pt>
                <c:pt idx="13">
                  <c:v>5038179.8615302164</c:v>
                </c:pt>
                <c:pt idx="14">
                  <c:v>5038179.8615302164</c:v>
                </c:pt>
                <c:pt idx="15">
                  <c:v>5038179.8615302164</c:v>
                </c:pt>
                <c:pt idx="16">
                  <c:v>5038179.8615302164</c:v>
                </c:pt>
                <c:pt idx="17">
                  <c:v>5038179.8615302164</c:v>
                </c:pt>
                <c:pt idx="18">
                  <c:v>4076324.5325302165</c:v>
                </c:pt>
                <c:pt idx="19">
                  <c:v>3215883.9515302163</c:v>
                </c:pt>
                <c:pt idx="20">
                  <c:v>3215883.9515302163</c:v>
                </c:pt>
                <c:pt idx="21">
                  <c:v>3215883.9515302163</c:v>
                </c:pt>
                <c:pt idx="22">
                  <c:v>3215883.9515302163</c:v>
                </c:pt>
                <c:pt idx="23">
                  <c:v>-5053060.277469784</c:v>
                </c:pt>
                <c:pt idx="24">
                  <c:v>-5053060.277469784</c:v>
                </c:pt>
                <c:pt idx="25">
                  <c:v>-6094060.277469784</c:v>
                </c:pt>
                <c:pt idx="26">
                  <c:v>-859308.08503801562</c:v>
                </c:pt>
                <c:pt idx="27">
                  <c:v>-859308.08503801562</c:v>
                </c:pt>
                <c:pt idx="28">
                  <c:v>-859308.08503801562</c:v>
                </c:pt>
                <c:pt idx="29">
                  <c:v>-859308.08503801562</c:v>
                </c:pt>
                <c:pt idx="30">
                  <c:v>-859308.08503801562</c:v>
                </c:pt>
                <c:pt idx="31">
                  <c:v>-859308.08503801562</c:v>
                </c:pt>
                <c:pt idx="32">
                  <c:v>-859308.08503801562</c:v>
                </c:pt>
                <c:pt idx="33">
                  <c:v>-859308.08503801562</c:v>
                </c:pt>
                <c:pt idx="34">
                  <c:v>29017.102934692055</c:v>
                </c:pt>
                <c:pt idx="35">
                  <c:v>29017.102934692055</c:v>
                </c:pt>
                <c:pt idx="36">
                  <c:v>29017.102934692055</c:v>
                </c:pt>
                <c:pt idx="37">
                  <c:v>29017.102934692055</c:v>
                </c:pt>
                <c:pt idx="38">
                  <c:v>29017.102934692055</c:v>
                </c:pt>
                <c:pt idx="39">
                  <c:v>29017.102934692055</c:v>
                </c:pt>
                <c:pt idx="40">
                  <c:v>29017.102934692055</c:v>
                </c:pt>
                <c:pt idx="41">
                  <c:v>29017.102934692055</c:v>
                </c:pt>
                <c:pt idx="42">
                  <c:v>29017.102934692055</c:v>
                </c:pt>
                <c:pt idx="43">
                  <c:v>-220203.69706530869</c:v>
                </c:pt>
                <c:pt idx="44">
                  <c:v>-220203.69706530869</c:v>
                </c:pt>
                <c:pt idx="45">
                  <c:v>-220203.69706530869</c:v>
                </c:pt>
                <c:pt idx="46">
                  <c:v>-220203.69706530869</c:v>
                </c:pt>
                <c:pt idx="47">
                  <c:v>-220203.69706530869</c:v>
                </c:pt>
                <c:pt idx="48">
                  <c:v>-220203.69706530869</c:v>
                </c:pt>
                <c:pt idx="49">
                  <c:v>-718645.29706531018</c:v>
                </c:pt>
                <c:pt idx="50">
                  <c:v>1375255.5799073987</c:v>
                </c:pt>
                <c:pt idx="51">
                  <c:v>1375255.5799073987</c:v>
                </c:pt>
                <c:pt idx="52">
                  <c:v>1375255.5799073987</c:v>
                </c:pt>
                <c:pt idx="53">
                  <c:v>1209108.3799073994</c:v>
                </c:pt>
                <c:pt idx="54">
                  <c:v>1209108.3799073994</c:v>
                </c:pt>
                <c:pt idx="55">
                  <c:v>1209108.3799073994</c:v>
                </c:pt>
                <c:pt idx="56">
                  <c:v>2256058.8183937557</c:v>
                </c:pt>
                <c:pt idx="57">
                  <c:v>2256058.8183937557</c:v>
                </c:pt>
                <c:pt idx="58">
                  <c:v>2256058.8183937557</c:v>
                </c:pt>
                <c:pt idx="59">
                  <c:v>2256058.8183937557</c:v>
                </c:pt>
                <c:pt idx="60">
                  <c:v>2256058.8183937557</c:v>
                </c:pt>
                <c:pt idx="61">
                  <c:v>2256058.8183937557</c:v>
                </c:pt>
                <c:pt idx="62">
                  <c:v>2256058.8183937557</c:v>
                </c:pt>
                <c:pt idx="63">
                  <c:v>2256058.8183937557</c:v>
                </c:pt>
                <c:pt idx="64">
                  <c:v>2256058.8183937557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Forecast Revenue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Cashflow!$F$10:$BR$10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2204986.2369565219</c:v>
                </c:pt>
                <c:pt idx="61">
                  <c:v>3944116.6717391307</c:v>
                </c:pt>
                <c:pt idx="62">
                  <c:v>10900638.410869567</c:v>
                </c:pt>
                <c:pt idx="63">
                  <c:v>14378899.280434784</c:v>
                </c:pt>
                <c:pt idx="64">
                  <c:v>15704256.577295318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Forecast Expenditure</c:v>
                </c:pt>
              </c:strCache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Cashflow!$F$12:$BR$12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11750</c:v>
                </c:pt>
                <c:pt idx="5">
                  <c:v>11750</c:v>
                </c:pt>
                <c:pt idx="6">
                  <c:v>11750</c:v>
                </c:pt>
                <c:pt idx="7">
                  <c:v>11750</c:v>
                </c:pt>
                <c:pt idx="8">
                  <c:v>11750</c:v>
                </c:pt>
                <c:pt idx="9">
                  <c:v>11989.13</c:v>
                </c:pt>
                <c:pt idx="10">
                  <c:v>11989.13</c:v>
                </c:pt>
                <c:pt idx="11">
                  <c:v>11989.13</c:v>
                </c:pt>
                <c:pt idx="12">
                  <c:v>11989.13</c:v>
                </c:pt>
                <c:pt idx="13">
                  <c:v>11989.13</c:v>
                </c:pt>
                <c:pt idx="14">
                  <c:v>11989.13</c:v>
                </c:pt>
                <c:pt idx="15">
                  <c:v>15776.05</c:v>
                </c:pt>
                <c:pt idx="16">
                  <c:v>15776.05</c:v>
                </c:pt>
                <c:pt idx="17">
                  <c:v>16491.329999999998</c:v>
                </c:pt>
                <c:pt idx="18">
                  <c:v>1546319.0462675707</c:v>
                </c:pt>
                <c:pt idx="19">
                  <c:v>1581916.5562675707</c:v>
                </c:pt>
                <c:pt idx="20">
                  <c:v>1587244.9462675706</c:v>
                </c:pt>
                <c:pt idx="21">
                  <c:v>1587351.6662675706</c:v>
                </c:pt>
                <c:pt idx="22">
                  <c:v>1587351.6662675706</c:v>
                </c:pt>
                <c:pt idx="23">
                  <c:v>1590320.9762675706</c:v>
                </c:pt>
                <c:pt idx="24">
                  <c:v>1595825.7562675707</c:v>
                </c:pt>
                <c:pt idx="25">
                  <c:v>1599892.7862675707</c:v>
                </c:pt>
                <c:pt idx="26">
                  <c:v>1984302.7862675707</c:v>
                </c:pt>
                <c:pt idx="27">
                  <c:v>2091924.6862675706</c:v>
                </c:pt>
                <c:pt idx="28">
                  <c:v>2096941.5062675707</c:v>
                </c:pt>
                <c:pt idx="29">
                  <c:v>2990185.5062675709</c:v>
                </c:pt>
                <c:pt idx="30">
                  <c:v>2991910.106267571</c:v>
                </c:pt>
                <c:pt idx="31">
                  <c:v>2991910.106267571</c:v>
                </c:pt>
                <c:pt idx="32">
                  <c:v>2991910.106267571</c:v>
                </c:pt>
                <c:pt idx="33">
                  <c:v>3560923.626267571</c:v>
                </c:pt>
                <c:pt idx="34">
                  <c:v>4634765.7262675706</c:v>
                </c:pt>
                <c:pt idx="35">
                  <c:v>4634765.7262675706</c:v>
                </c:pt>
                <c:pt idx="36">
                  <c:v>4634765.7262675706</c:v>
                </c:pt>
                <c:pt idx="37">
                  <c:v>4646881.3562675705</c:v>
                </c:pt>
                <c:pt idx="38">
                  <c:v>4701266.0562675707</c:v>
                </c:pt>
                <c:pt idx="39">
                  <c:v>4701405.2562675709</c:v>
                </c:pt>
                <c:pt idx="40">
                  <c:v>4999484.1162675712</c:v>
                </c:pt>
                <c:pt idx="41">
                  <c:v>5005343.4962675711</c:v>
                </c:pt>
                <c:pt idx="42">
                  <c:v>5008448.3962675715</c:v>
                </c:pt>
                <c:pt idx="43">
                  <c:v>5204843.416267572</c:v>
                </c:pt>
                <c:pt idx="44">
                  <c:v>5204843.416267572</c:v>
                </c:pt>
                <c:pt idx="45">
                  <c:v>5256063.416267572</c:v>
                </c:pt>
                <c:pt idx="46">
                  <c:v>5256063.416267572</c:v>
                </c:pt>
                <c:pt idx="47">
                  <c:v>5256063.416267572</c:v>
                </c:pt>
                <c:pt idx="48">
                  <c:v>5256063.416267572</c:v>
                </c:pt>
                <c:pt idx="49">
                  <c:v>5256063.416267572</c:v>
                </c:pt>
                <c:pt idx="50">
                  <c:v>5389341.8780067023</c:v>
                </c:pt>
                <c:pt idx="51">
                  <c:v>5486426.7722675717</c:v>
                </c:pt>
                <c:pt idx="52">
                  <c:v>5490235.5322675714</c:v>
                </c:pt>
                <c:pt idx="53">
                  <c:v>5662679.3322675712</c:v>
                </c:pt>
                <c:pt idx="54">
                  <c:v>6042306.1565190312</c:v>
                </c:pt>
                <c:pt idx="55">
                  <c:v>6145956.5891277269</c:v>
                </c:pt>
                <c:pt idx="56">
                  <c:v>6146905.3891277267</c:v>
                </c:pt>
                <c:pt idx="57">
                  <c:v>6146905.3891277267</c:v>
                </c:pt>
                <c:pt idx="58">
                  <c:v>7028077.3611277267</c:v>
                </c:pt>
                <c:pt idx="59">
                  <c:v>8672766.7511277273</c:v>
                </c:pt>
                <c:pt idx="60">
                  <c:v>13100897.341284407</c:v>
                </c:pt>
                <c:pt idx="61">
                  <c:v>13177941.708675712</c:v>
                </c:pt>
                <c:pt idx="62">
                  <c:v>13453541.708675712</c:v>
                </c:pt>
                <c:pt idx="63">
                  <c:v>13453610.358675713</c:v>
                </c:pt>
                <c:pt idx="64">
                  <c:v>13568305.402524348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Cashflow!$F$14:$BR$14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-11750</c:v>
                </c:pt>
                <c:pt idx="5">
                  <c:v>-11750</c:v>
                </c:pt>
                <c:pt idx="6">
                  <c:v>-11750</c:v>
                </c:pt>
                <c:pt idx="7">
                  <c:v>-11750</c:v>
                </c:pt>
                <c:pt idx="8">
                  <c:v>-11750</c:v>
                </c:pt>
                <c:pt idx="9">
                  <c:v>-11989.13</c:v>
                </c:pt>
                <c:pt idx="10">
                  <c:v>-11989.13</c:v>
                </c:pt>
                <c:pt idx="11">
                  <c:v>-11989.13</c:v>
                </c:pt>
                <c:pt idx="12">
                  <c:v>-11989.13</c:v>
                </c:pt>
                <c:pt idx="13">
                  <c:v>-11989.13</c:v>
                </c:pt>
                <c:pt idx="14">
                  <c:v>-11989.13</c:v>
                </c:pt>
                <c:pt idx="15">
                  <c:v>-15776.05</c:v>
                </c:pt>
                <c:pt idx="16">
                  <c:v>-15776.05</c:v>
                </c:pt>
                <c:pt idx="17">
                  <c:v>-16491.329999999998</c:v>
                </c:pt>
                <c:pt idx="18">
                  <c:v>-1546319.0462675707</c:v>
                </c:pt>
                <c:pt idx="19">
                  <c:v>-1581916.5562675707</c:v>
                </c:pt>
                <c:pt idx="20">
                  <c:v>-1587244.9462675706</c:v>
                </c:pt>
                <c:pt idx="21">
                  <c:v>-1587351.6662675706</c:v>
                </c:pt>
                <c:pt idx="22">
                  <c:v>-1587351.6662675706</c:v>
                </c:pt>
                <c:pt idx="23">
                  <c:v>-1590320.9762675706</c:v>
                </c:pt>
                <c:pt idx="24">
                  <c:v>-1595825.7562675707</c:v>
                </c:pt>
                <c:pt idx="25">
                  <c:v>-1599892.7862675707</c:v>
                </c:pt>
                <c:pt idx="26">
                  <c:v>-1984302.7862675707</c:v>
                </c:pt>
                <c:pt idx="27">
                  <c:v>-2091924.6862675706</c:v>
                </c:pt>
                <c:pt idx="28">
                  <c:v>-2096941.5062675707</c:v>
                </c:pt>
                <c:pt idx="29">
                  <c:v>-2990185.5062675709</c:v>
                </c:pt>
                <c:pt idx="30">
                  <c:v>-2991910.106267571</c:v>
                </c:pt>
                <c:pt idx="31">
                  <c:v>-2991910.106267571</c:v>
                </c:pt>
                <c:pt idx="32">
                  <c:v>-2991910.106267571</c:v>
                </c:pt>
                <c:pt idx="33">
                  <c:v>-3560923.626267571</c:v>
                </c:pt>
                <c:pt idx="34">
                  <c:v>-4634765.7262675706</c:v>
                </c:pt>
                <c:pt idx="35">
                  <c:v>-4634765.7262675706</c:v>
                </c:pt>
                <c:pt idx="36">
                  <c:v>-4634765.7262675706</c:v>
                </c:pt>
                <c:pt idx="37">
                  <c:v>-4646881.3562675705</c:v>
                </c:pt>
                <c:pt idx="38">
                  <c:v>-4701266.0562675707</c:v>
                </c:pt>
                <c:pt idx="39">
                  <c:v>-4701405.2562675709</c:v>
                </c:pt>
                <c:pt idx="40">
                  <c:v>-4999484.1162675712</c:v>
                </c:pt>
                <c:pt idx="41">
                  <c:v>-5005343.4962675711</c:v>
                </c:pt>
                <c:pt idx="42">
                  <c:v>-5008448.3962675715</c:v>
                </c:pt>
                <c:pt idx="43">
                  <c:v>-5204843.416267572</c:v>
                </c:pt>
                <c:pt idx="44">
                  <c:v>-5204843.416267572</c:v>
                </c:pt>
                <c:pt idx="45">
                  <c:v>-5256063.416267572</c:v>
                </c:pt>
                <c:pt idx="46">
                  <c:v>-5256063.416267572</c:v>
                </c:pt>
                <c:pt idx="47">
                  <c:v>-5256063.416267572</c:v>
                </c:pt>
                <c:pt idx="48">
                  <c:v>-5256063.416267572</c:v>
                </c:pt>
                <c:pt idx="49">
                  <c:v>-5256063.416267572</c:v>
                </c:pt>
                <c:pt idx="50">
                  <c:v>-5389341.8780067023</c:v>
                </c:pt>
                <c:pt idx="51">
                  <c:v>-5486426.7722675717</c:v>
                </c:pt>
                <c:pt idx="52">
                  <c:v>-5490235.5322675714</c:v>
                </c:pt>
                <c:pt idx="53">
                  <c:v>-5662679.3322675712</c:v>
                </c:pt>
                <c:pt idx="54">
                  <c:v>-6042306.1565190312</c:v>
                </c:pt>
                <c:pt idx="55">
                  <c:v>-6145956.5891277269</c:v>
                </c:pt>
                <c:pt idx="56">
                  <c:v>-6146905.3891277267</c:v>
                </c:pt>
                <c:pt idx="57">
                  <c:v>-6146905.3891277267</c:v>
                </c:pt>
                <c:pt idx="58">
                  <c:v>-7028077.3611277267</c:v>
                </c:pt>
                <c:pt idx="59">
                  <c:v>-8672766.7511277273</c:v>
                </c:pt>
                <c:pt idx="60">
                  <c:v>-10895911.104327885</c:v>
                </c:pt>
                <c:pt idx="61">
                  <c:v>-9233825.0369365811</c:v>
                </c:pt>
                <c:pt idx="62">
                  <c:v>-2552903.2978061456</c:v>
                </c:pt>
                <c:pt idx="63">
                  <c:v>925288.92175907083</c:v>
                </c:pt>
                <c:pt idx="64">
                  <c:v>2135951.1747709699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17874708476692"/>
          <c:y val="0.3101161496804824"/>
          <c:w val="0.16029317816211389"/>
          <c:h val="0.37772076383960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10"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182562</xdr:colOff>
      <xdr:row>1</xdr:row>
      <xdr:rowOff>162277</xdr:rowOff>
    </xdr:from>
    <xdr:to>
      <xdr:col>12</xdr:col>
      <xdr:colOff>688052</xdr:colOff>
      <xdr:row>7</xdr:row>
      <xdr:rowOff>141768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0062" y="217840"/>
          <a:ext cx="3437603" cy="857061"/>
        </a:xfrm>
        <a:prstGeom prst="rect">
          <a:avLst/>
        </a:prstGeom>
      </xdr:spPr>
    </xdr:pic>
    <xdr:clientData/>
  </xdr:twoCellAnchor>
  <xdr:twoCellAnchor>
    <xdr:from>
      <xdr:col>16</xdr:col>
      <xdr:colOff>451924</xdr:colOff>
      <xdr:row>2</xdr:row>
      <xdr:rowOff>12783</xdr:rowOff>
    </xdr:from>
    <xdr:to>
      <xdr:col>37</xdr:col>
      <xdr:colOff>131250</xdr:colOff>
      <xdr:row>53</xdr:row>
      <xdr:rowOff>29851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0777CC-1ED2-4D8C-868A-D5351A5EA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13</xdr:col>
      <xdr:colOff>19051</xdr:colOff>
      <xdr:row>12</xdr:row>
      <xdr:rowOff>85725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FE550C49-4659-BB1E-BB47-2E6FF85AF20F}"/>
            </a:ext>
          </a:extLst>
        </xdr:cNvPr>
        <xdr:cNvGrpSpPr/>
      </xdr:nvGrpSpPr>
      <xdr:grpSpPr>
        <a:xfrm>
          <a:off x="1" y="0"/>
          <a:ext cx="7943850" cy="2295525"/>
          <a:chOff x="0" y="0"/>
          <a:chExt cx="9705975" cy="338137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CE35DBB4-4000-C2FC-B14E-3BD73514245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571500"/>
            <a:ext cx="9705975" cy="561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23EFEAD-4BEB-66AE-ACA7-142FE5933F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114425"/>
            <a:ext cx="9705975" cy="523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9CDE0537-0D3D-6BFC-E1EB-CC35BB2F73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609725"/>
            <a:ext cx="9705975" cy="12763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86C06153-4FED-3450-08EF-685B0474D8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2857500"/>
            <a:ext cx="9705975" cy="523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4E28AB56-CC7F-D55B-6105-87F8879202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0"/>
            <a:ext cx="9705975" cy="5905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6480" cy="62890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589802D-240E-45BF-BDC2-7D08A976B9F0}" userId="mizelda@emergentenergy.co.za" providerId="PeoplePicker"/>
  <person displayName="Mizelda Isaacs" id="{DE07AE27-D021-421E-9BD8-C60F77D8B79C}" userId="S::mizelda@emergentenergy.co.za::3a5c2ad2-993e-4fe1-a333-48e19c6adda8" providerId="AD"/>
  <person displayName="Johannes Potgieter" id="{6E6BF908-4A0D-46E5-AB7F-A679CBF9CA3B}" userId="S::johannes@emergentenergy.co.za::ebfc203a-7452-4ef3-9e97-736da20b03b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51" dT="2024-06-26T13:32:58.28" personId="{6E6BF908-4A0D-46E5-AB7F-A679CBF9CA3B}" id="{5675A69F-99C9-47F9-B367-CAF71D83586F}">
    <text>@Mizelda Isaacs  please capture this invoice here</text>
    <mentions>
      <mention mentionpersonId="{4589802D-240E-45BF-BDC2-7D08A976B9F0}" mentionId="{2FC79054-D1EB-49BD-8D9F-57ABA2260534}" startIndex="0" length="15"/>
    </mentions>
  </threadedComment>
  <threadedComment ref="Q91" dT="2024-06-28T12:46:42.94" personId="{DE07AE27-D021-421E-9BD8-C60F77D8B79C}" id="{CB9A4482-DBE2-4127-AC03-E948269AA0D6}">
    <text>Inv QU503456</text>
  </threadedComment>
  <threadedComment ref="Q97" dT="2024-05-16T08:27:03.87" personId="{DE07AE27-D021-421E-9BD8-C60F77D8B79C}" id="{B67924EF-D951-46AA-9D4C-256ED5A84AAD}">
    <text xml:space="preserve">Invoice
</text>
  </threadedComment>
  <threadedComment ref="Q185" dT="2025-04-01T06:19:47.54" personId="{DE07AE27-D021-421E-9BD8-C60F77D8B79C}" id="{0F968B88-5509-42D4-B9CC-51245FEEF6E0}">
    <text>Kathea Inv 519355</text>
  </threadedComment>
  <threadedComment ref="Q186" dT="2025-04-01T06:32:58.50" personId="{DE07AE27-D021-421E-9BD8-C60F77D8B79C}" id="{ECAC1F96-24BB-4EFF-815C-C036D642F503}">
    <text>De Kock &amp; Cronje DCI105610</text>
  </threadedComment>
  <threadedComment ref="Q205" dT="2025-04-01T07:07:30.34" personId="{DE07AE27-D021-421E-9BD8-C60F77D8B79C}" id="{8AADDCEB-B6A0-4DD1-B5D1-2F0D8215D642}">
    <text>SN Electrical - In EMG001</text>
  </threadedComment>
  <threadedComment ref="Q210" dT="2025-04-01T07:12:31.06" personId="{DE07AE27-D021-421E-9BD8-C60F77D8B79C}" id="{D32EA2E8-BAC1-4E37-A2A1-075A3500114B}">
    <text>De Kock &amp; Cronje Inv DCI105609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5429687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54296875" style="24" customWidth="1"/>
    <col min="10" max="10" width="47.54296875" style="24" bestFit="1" customWidth="1"/>
    <col min="11" max="11" width="6.5429687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19" t="s">
        <v>57</v>
      </c>
      <c r="E47" s="919"/>
      <c r="F47" s="920"/>
      <c r="G47" s="67"/>
      <c r="I47" s="68"/>
      <c r="J47" s="68"/>
    </row>
    <row r="48" spans="1:49" ht="14.5" thickBot="1">
      <c r="C48" s="69">
        <v>44014</v>
      </c>
      <c r="D48" s="921"/>
      <c r="E48" s="921"/>
      <c r="F48" s="92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9" priority="1" operator="equal">
      <formula>3</formula>
    </cfRule>
    <cfRule type="cellIs" dxfId="28" priority="2" operator="equal">
      <formula>1</formula>
    </cfRule>
    <cfRule type="cellIs" dxfId="27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9"/>
  <sheetViews>
    <sheetView zoomScaleNormal="100" workbookViewId="0">
      <selection activeCell="D4" sqref="D4"/>
    </sheetView>
  </sheetViews>
  <sheetFormatPr defaultColWidth="8.54296875" defaultRowHeight="12.5"/>
  <cols>
    <col min="1" max="1" width="5.54296875" style="94" customWidth="1"/>
    <col min="2" max="2" width="4.453125" style="101" customWidth="1"/>
    <col min="3" max="3" width="19.54296875" style="97" customWidth="1"/>
    <col min="4" max="4" width="17.453125" style="97" bestFit="1" customWidth="1"/>
    <col min="5" max="5" width="7.453125" style="97" customWidth="1"/>
    <col min="6" max="6" width="17.453125" style="97" bestFit="1" customWidth="1"/>
    <col min="7" max="7" width="4.54296875" style="97" customWidth="1"/>
    <col min="8" max="8" width="15.54296875" style="97" customWidth="1"/>
    <col min="9" max="9" width="1.54296875" style="94" customWidth="1"/>
    <col min="10" max="10" width="15.54296875" style="94" customWidth="1"/>
    <col min="11" max="11" width="14.453125" style="97" bestFit="1" customWidth="1"/>
    <col min="12" max="12" width="15.453125" style="97" customWidth="1"/>
    <col min="13" max="13" width="5.453125" style="97" customWidth="1"/>
    <col min="14" max="14" width="116.453125" style="97" customWidth="1"/>
    <col min="15" max="15" width="4.453125" style="97" customWidth="1"/>
    <col min="16" max="16" width="14.453125" style="97" customWidth="1"/>
    <col min="17" max="17" width="10.453125" style="94" bestFit="1" customWidth="1"/>
    <col min="18" max="19" width="8.54296875" style="94"/>
    <col min="20" max="20" width="5.54296875" style="94" bestFit="1" customWidth="1"/>
    <col min="21" max="21" width="14.54296875" style="94" bestFit="1" customWidth="1"/>
    <col min="22" max="22" width="8.54296875" style="94"/>
    <col min="23" max="23" width="14.453125" style="94" bestFit="1" customWidth="1"/>
    <col min="24" max="24" width="8.54296875" style="97"/>
    <col min="25" max="25" width="12.54296875" style="97" bestFit="1" customWidth="1"/>
    <col min="26" max="16384" width="8.54296875" style="97"/>
  </cols>
  <sheetData>
    <row r="1" spans="2:26" s="94" customFormat="1" ht="14.25" customHeight="1">
      <c r="B1" s="95"/>
    </row>
    <row r="2" spans="2:26" s="94" customFormat="1" ht="14.25" customHeight="1">
      <c r="B2" s="100" t="s">
        <v>58</v>
      </c>
      <c r="C2" s="100"/>
      <c r="D2" s="100"/>
      <c r="E2" s="100"/>
      <c r="F2" s="100"/>
      <c r="G2" s="100"/>
      <c r="H2" s="100"/>
      <c r="I2" s="100"/>
      <c r="J2" s="100"/>
      <c r="K2" s="100"/>
      <c r="N2" s="100"/>
      <c r="O2" s="100"/>
    </row>
    <row r="3" spans="2:26" s="94" customFormat="1" ht="25.5">
      <c r="B3" s="95"/>
      <c r="D3" s="647" t="s">
        <v>59</v>
      </c>
      <c r="F3" s="647" t="s">
        <v>60</v>
      </c>
      <c r="H3" s="580" t="s">
        <v>61</v>
      </c>
      <c r="J3" s="692" t="s">
        <v>62</v>
      </c>
      <c r="K3" s="148" t="s">
        <v>59</v>
      </c>
      <c r="L3" s="148" t="s">
        <v>60</v>
      </c>
    </row>
    <row r="4" spans="2:26" ht="13">
      <c r="B4" s="96">
        <v>1</v>
      </c>
      <c r="C4" s="502" t="s">
        <v>63</v>
      </c>
      <c r="D4" s="503">
        <f>'Project Plan'!E9</f>
        <v>20939008.769727092</v>
      </c>
      <c r="E4" s="231"/>
      <c r="F4" s="503">
        <f>F32</f>
        <v>20939008.769727096</v>
      </c>
      <c r="G4" s="94"/>
      <c r="H4" s="581">
        <v>20939008.769727092</v>
      </c>
      <c r="J4" s="693">
        <v>12809925.715386992</v>
      </c>
      <c r="K4" s="694">
        <v>8129083.0543400999</v>
      </c>
      <c r="L4" s="693">
        <f>F4-J4</f>
        <v>8129083.0543401036</v>
      </c>
      <c r="M4" s="98"/>
      <c r="N4" s="94"/>
      <c r="O4" s="94"/>
      <c r="P4" s="99"/>
      <c r="X4" s="94"/>
      <c r="Y4" s="94"/>
      <c r="Z4" s="94"/>
    </row>
    <row r="5" spans="2:26" ht="15" customHeight="1">
      <c r="B5" s="96">
        <v>2</v>
      </c>
      <c r="C5" s="502" t="s">
        <v>64</v>
      </c>
      <c r="D5" s="503">
        <f>+'Expenditure Tracking'!F5</f>
        <v>18682949.951333337</v>
      </c>
      <c r="E5" s="231"/>
      <c r="F5" s="503">
        <f>+'Expenditure Tracking'!H5</f>
        <v>19234297.270437386</v>
      </c>
      <c r="G5" s="94"/>
      <c r="H5" s="149">
        <v>18820454.021009043</v>
      </c>
      <c r="J5" s="693">
        <v>11843152.742675705</v>
      </c>
      <c r="K5" s="694">
        <v>6186351.0683333334</v>
      </c>
      <c r="L5" s="693">
        <f>F5-J5</f>
        <v>7391144.527761681</v>
      </c>
      <c r="M5" s="94"/>
      <c r="N5" s="94"/>
      <c r="O5" s="94"/>
      <c r="P5" s="99"/>
      <c r="X5" s="94"/>
      <c r="Y5" s="94"/>
      <c r="Z5" s="94"/>
    </row>
    <row r="6" spans="2:26" ht="15" customHeight="1">
      <c r="B6" s="96">
        <v>3</v>
      </c>
      <c r="C6" s="502" t="s">
        <v>65</v>
      </c>
      <c r="D6" s="503">
        <f>+D4-D5</f>
        <v>2256058.8183937557</v>
      </c>
      <c r="E6" s="231"/>
      <c r="F6" s="503">
        <f>+F4-F5</f>
        <v>1704711.4992897101</v>
      </c>
      <c r="G6" s="94"/>
      <c r="H6" s="149">
        <v>2118554.7487180494</v>
      </c>
      <c r="J6" s="693">
        <f>J4-J5</f>
        <v>966772.97271128744</v>
      </c>
      <c r="K6" s="693">
        <f t="shared" ref="K6:L6" si="0">K4-K5</f>
        <v>1942731.9860067666</v>
      </c>
      <c r="L6" s="693">
        <f t="shared" si="0"/>
        <v>737938.52657842264</v>
      </c>
      <c r="M6" s="94"/>
      <c r="N6" s="94"/>
      <c r="O6" s="94"/>
      <c r="P6" s="94"/>
      <c r="X6" s="94"/>
      <c r="Y6" s="94"/>
      <c r="Z6" s="94"/>
    </row>
    <row r="7" spans="2:26" ht="15" customHeight="1">
      <c r="B7" s="96">
        <v>4</v>
      </c>
      <c r="C7" s="502" t="s">
        <v>66</v>
      </c>
      <c r="D7" s="504">
        <f>+D6/D4</f>
        <v>0.10774429884453217</v>
      </c>
      <c r="E7" s="231"/>
      <c r="F7" s="557">
        <f>+F6/F4</f>
        <v>8.1413189995618307E-2</v>
      </c>
      <c r="G7" s="94"/>
      <c r="H7" s="582">
        <v>0.10117741350684106</v>
      </c>
      <c r="K7" s="94"/>
      <c r="L7" s="94"/>
      <c r="M7" s="94"/>
      <c r="N7" s="94"/>
      <c r="O7" s="94"/>
      <c r="P7" s="94"/>
      <c r="X7" s="94"/>
      <c r="Y7" s="94"/>
      <c r="Z7" s="94"/>
    </row>
    <row r="8" spans="2:26" ht="9" customHeight="1">
      <c r="B8" s="95"/>
      <c r="C8" s="94"/>
      <c r="D8" s="94"/>
      <c r="E8" s="94"/>
      <c r="F8" s="94"/>
      <c r="G8" s="94"/>
      <c r="H8" s="94"/>
      <c r="K8" s="94"/>
      <c r="L8" s="94"/>
      <c r="M8" s="94"/>
      <c r="N8" s="94"/>
      <c r="O8" s="94"/>
      <c r="P8" s="94"/>
      <c r="X8" s="94"/>
      <c r="Y8" s="94"/>
      <c r="Z8" s="94"/>
    </row>
    <row r="9" spans="2:26" ht="9.75" customHeight="1">
      <c r="B9" s="95"/>
      <c r="C9" s="94"/>
      <c r="D9" s="94"/>
      <c r="E9" s="94"/>
      <c r="F9" s="94"/>
      <c r="G9" s="94"/>
      <c r="H9" s="99"/>
      <c r="K9" s="94"/>
      <c r="L9" s="94"/>
      <c r="M9" s="94"/>
      <c r="N9" s="94"/>
      <c r="O9" s="94"/>
      <c r="P9" s="94"/>
      <c r="X9" s="94"/>
      <c r="Y9" s="94"/>
      <c r="Z9" s="94"/>
    </row>
    <row r="10" spans="2:26" ht="13">
      <c r="B10" s="100" t="s">
        <v>67</v>
      </c>
      <c r="C10" s="94"/>
      <c r="D10" s="99">
        <f>+D4/'Project Plan'!E3/1000</f>
        <v>11.96562649347522</v>
      </c>
      <c r="E10" s="94"/>
      <c r="F10" s="94"/>
      <c r="G10" s="94"/>
      <c r="H10" s="94"/>
      <c r="K10" s="94"/>
      <c r="L10" s="94"/>
      <c r="M10" s="94"/>
      <c r="N10" s="94"/>
      <c r="O10" s="94"/>
      <c r="P10" s="94"/>
      <c r="Q10" s="100"/>
      <c r="X10" s="94"/>
      <c r="Y10" s="94"/>
      <c r="Z10" s="94"/>
    </row>
    <row r="11" spans="2:26" ht="14.25" customHeight="1">
      <c r="B11" s="95"/>
      <c r="C11" s="94"/>
      <c r="D11" s="94"/>
      <c r="E11" s="94"/>
      <c r="F11" s="94"/>
      <c r="G11" s="94"/>
      <c r="H11" s="94"/>
      <c r="K11" s="94"/>
      <c r="L11" s="551" t="s">
        <v>68</v>
      </c>
      <c r="M11" s="94"/>
      <c r="N11" s="94"/>
      <c r="O11" s="94"/>
      <c r="P11" s="94"/>
      <c r="Q11" s="101"/>
      <c r="R11" s="97"/>
      <c r="S11" s="97"/>
      <c r="X11" s="94"/>
      <c r="Y11" s="94"/>
      <c r="Z11" s="94"/>
    </row>
    <row r="12" spans="2:26" ht="26">
      <c r="B12" s="110" t="s">
        <v>69</v>
      </c>
      <c r="C12" s="531" t="s">
        <v>70</v>
      </c>
      <c r="D12" s="532"/>
      <c r="E12" s="110" t="s">
        <v>71</v>
      </c>
      <c r="F12" s="110" t="s">
        <v>72</v>
      </c>
      <c r="G12" s="94"/>
      <c r="H12" s="538" t="s">
        <v>73</v>
      </c>
      <c r="I12" s="539"/>
      <c r="J12" s="538" t="s">
        <v>74</v>
      </c>
      <c r="K12" s="539"/>
      <c r="L12" s="538" t="s">
        <v>75</v>
      </c>
      <c r="M12" s="94"/>
      <c r="N12" s="110" t="s">
        <v>76</v>
      </c>
      <c r="O12" s="94"/>
      <c r="P12" s="94"/>
      <c r="X12" s="94"/>
      <c r="Y12" s="94"/>
      <c r="Z12" s="94"/>
    </row>
    <row r="13" spans="2:26" ht="12.75" customHeight="1">
      <c r="B13" s="96">
        <v>1</v>
      </c>
      <c r="C13" s="923" t="s">
        <v>77</v>
      </c>
      <c r="D13" s="923"/>
      <c r="E13" s="112">
        <v>0.3</v>
      </c>
      <c r="F13" s="113">
        <f>535734.1725/1.15</f>
        <v>465855.80217391305</v>
      </c>
      <c r="G13" s="231"/>
      <c r="H13" s="836">
        <f>+'Project Plan'!G16+7</f>
        <v>44971</v>
      </c>
      <c r="I13" s="231"/>
      <c r="J13" s="836">
        <v>45386</v>
      </c>
      <c r="K13" s="94"/>
      <c r="L13" s="832" t="s">
        <v>78</v>
      </c>
      <c r="M13" s="94"/>
      <c r="N13" s="528" t="s">
        <v>79</v>
      </c>
      <c r="O13" s="94"/>
      <c r="P13" s="94"/>
      <c r="X13" s="94"/>
      <c r="Y13" s="94"/>
      <c r="Z13" s="94"/>
    </row>
    <row r="14" spans="2:26" ht="12.75" customHeight="1">
      <c r="B14" s="96"/>
      <c r="C14" s="851"/>
      <c r="D14" s="852"/>
      <c r="E14" s="112"/>
      <c r="F14" s="113">
        <f>2000000/1.15</f>
        <v>1739130.4347826089</v>
      </c>
      <c r="G14" s="231"/>
      <c r="H14" s="836">
        <v>44971</v>
      </c>
      <c r="I14" s="231"/>
      <c r="J14" s="836">
        <v>45387</v>
      </c>
      <c r="K14" s="94"/>
      <c r="L14" s="832" t="s">
        <v>78</v>
      </c>
      <c r="M14" s="94"/>
      <c r="N14" s="528"/>
      <c r="O14" s="94"/>
      <c r="P14" s="94"/>
      <c r="X14" s="94"/>
      <c r="Y14" s="94"/>
      <c r="Z14" s="94"/>
    </row>
    <row r="15" spans="2:26" ht="12.75" customHeight="1">
      <c r="B15" s="96"/>
      <c r="C15" s="851"/>
      <c r="D15" s="852"/>
      <c r="E15" s="112"/>
      <c r="F15" s="113">
        <f>2000000/1.15</f>
        <v>1739130.4347826089</v>
      </c>
      <c r="G15" s="231"/>
      <c r="H15" s="836">
        <v>44971</v>
      </c>
      <c r="I15" s="231"/>
      <c r="J15" s="836">
        <v>45392</v>
      </c>
      <c r="K15" s="94"/>
      <c r="L15" s="832" t="s">
        <v>78</v>
      </c>
      <c r="M15" s="94"/>
      <c r="N15" s="528"/>
      <c r="O15" s="94"/>
      <c r="P15" s="94"/>
      <c r="X15" s="94"/>
      <c r="Y15" s="94"/>
      <c r="Z15" s="94"/>
    </row>
    <row r="16" spans="2:26" ht="12.75" customHeight="1">
      <c r="B16" s="96"/>
      <c r="C16" s="851"/>
      <c r="D16" s="852"/>
      <c r="E16" s="112"/>
      <c r="F16" s="113">
        <f>2000000/1.15</f>
        <v>1739130.4347826089</v>
      </c>
      <c r="G16" s="231"/>
      <c r="H16" s="836">
        <v>44971</v>
      </c>
      <c r="I16" s="231"/>
      <c r="J16" s="836">
        <v>45397</v>
      </c>
      <c r="K16" s="94"/>
      <c r="L16" s="832" t="s">
        <v>78</v>
      </c>
      <c r="M16" s="94"/>
      <c r="N16" s="528"/>
      <c r="O16" s="94"/>
      <c r="P16" s="94"/>
      <c r="X16" s="94"/>
      <c r="Y16" s="94"/>
      <c r="Z16" s="94"/>
    </row>
    <row r="17" spans="2:26" ht="12.75" customHeight="1">
      <c r="B17" s="96"/>
      <c r="C17" s="851"/>
      <c r="D17" s="852"/>
      <c r="E17" s="112"/>
      <c r="F17" s="113">
        <f>6281702.63091813-F13-F14-F15-F16</f>
        <v>598455.52439639019</v>
      </c>
      <c r="G17" s="231"/>
      <c r="H17" s="836">
        <v>44971</v>
      </c>
      <c r="I17" s="231"/>
      <c r="J17" s="836">
        <v>45398</v>
      </c>
      <c r="K17" s="94"/>
      <c r="L17" s="832" t="s">
        <v>78</v>
      </c>
      <c r="M17" s="94"/>
      <c r="N17" s="528"/>
      <c r="O17" s="94"/>
      <c r="P17" s="94"/>
      <c r="X17" s="94"/>
      <c r="Y17" s="94"/>
      <c r="Z17" s="94"/>
    </row>
    <row r="18" spans="2:26" ht="12.75" customHeight="1">
      <c r="B18" s="96">
        <v>2</v>
      </c>
      <c r="C18" s="926" t="s">
        <v>80</v>
      </c>
      <c r="D18" s="927"/>
      <c r="E18" s="112">
        <v>0.2</v>
      </c>
      <c r="F18" s="113">
        <v>1140674.9103862187</v>
      </c>
      <c r="G18" s="231"/>
      <c r="H18" s="836">
        <v>44970</v>
      </c>
      <c r="I18" s="231"/>
      <c r="J18" s="836">
        <v>45398</v>
      </c>
      <c r="K18" s="99"/>
      <c r="L18" s="832" t="s">
        <v>78</v>
      </c>
      <c r="M18" s="94"/>
      <c r="N18" s="528"/>
      <c r="O18" s="94"/>
      <c r="P18" s="94"/>
      <c r="X18" s="94"/>
      <c r="Y18" s="94"/>
      <c r="Z18" s="94"/>
    </row>
    <row r="19" spans="2:26" ht="12.75" customHeight="1">
      <c r="B19" s="96"/>
      <c r="C19" s="851"/>
      <c r="D19" s="852"/>
      <c r="E19" s="112"/>
      <c r="F19" s="113">
        <v>1739130.4347826089</v>
      </c>
      <c r="G19" s="231"/>
      <c r="H19" s="836">
        <v>44970</v>
      </c>
      <c r="I19" s="231"/>
      <c r="J19" s="836">
        <v>45399</v>
      </c>
      <c r="K19" s="99"/>
      <c r="L19" s="832" t="s">
        <v>78</v>
      </c>
      <c r="M19" s="94"/>
      <c r="N19" s="528"/>
      <c r="O19" s="94"/>
      <c r="P19" s="94"/>
      <c r="X19" s="94"/>
      <c r="Y19" s="94"/>
      <c r="Z19" s="94"/>
    </row>
    <row r="20" spans="2:26" ht="12.75" customHeight="1">
      <c r="B20" s="96"/>
      <c r="C20" s="851"/>
      <c r="D20" s="852"/>
      <c r="E20" s="112"/>
      <c r="F20" s="113">
        <f>4187801.75394542-F18-F19</f>
        <v>1307996.4087765925</v>
      </c>
      <c r="G20" s="231"/>
      <c r="H20" s="836">
        <v>44970</v>
      </c>
      <c r="I20" s="231"/>
      <c r="J20" s="836">
        <v>45401</v>
      </c>
      <c r="K20" s="99"/>
      <c r="L20" s="832" t="s">
        <v>78</v>
      </c>
      <c r="M20" s="94"/>
      <c r="N20" s="528"/>
      <c r="O20" s="94"/>
      <c r="P20" s="94"/>
      <c r="X20" s="94"/>
      <c r="Y20" s="94"/>
      <c r="Z20" s="94"/>
    </row>
    <row r="21" spans="2:26" ht="12.75" customHeight="1">
      <c r="B21" s="96">
        <v>3</v>
      </c>
      <c r="C21" s="926" t="s">
        <v>81</v>
      </c>
      <c r="D21" s="927"/>
      <c r="E21" s="112">
        <v>0.25</v>
      </c>
      <c r="F21" s="113">
        <v>431134.02600601641</v>
      </c>
      <c r="G21" s="231"/>
      <c r="H21" s="836">
        <f>+'Project Plan'!G23+7+30</f>
        <v>45148</v>
      </c>
      <c r="I21" s="231"/>
      <c r="J21" s="836">
        <v>45401</v>
      </c>
      <c r="K21" s="94"/>
      <c r="L21" s="832" t="s">
        <v>78</v>
      </c>
      <c r="M21" s="94"/>
      <c r="N21" s="104"/>
      <c r="O21" s="94"/>
      <c r="P21" s="94"/>
      <c r="X21" s="94"/>
      <c r="Y21" s="94"/>
      <c r="Z21" s="94"/>
    </row>
    <row r="22" spans="2:26" ht="12.75" customHeight="1">
      <c r="B22" s="96"/>
      <c r="C22" s="851"/>
      <c r="D22" s="852"/>
      <c r="E22" s="112"/>
      <c r="F22" s="113">
        <v>1739130.4347826089</v>
      </c>
      <c r="G22" s="231"/>
      <c r="H22" s="836">
        <v>45148</v>
      </c>
      <c r="I22" s="231"/>
      <c r="J22" s="836">
        <v>45407</v>
      </c>
      <c r="K22" s="94"/>
      <c r="L22" s="832" t="s">
        <v>78</v>
      </c>
      <c r="M22" s="94"/>
      <c r="N22" s="104"/>
      <c r="O22" s="94"/>
      <c r="P22" s="94"/>
      <c r="X22" s="94"/>
      <c r="Y22" s="94"/>
      <c r="Z22" s="94"/>
    </row>
    <row r="23" spans="2:26" ht="12.75" customHeight="1">
      <c r="B23" s="96"/>
      <c r="C23" s="851"/>
      <c r="D23" s="852"/>
      <c r="E23" s="112"/>
      <c r="F23" s="113">
        <v>1739130.4347826089</v>
      </c>
      <c r="G23" s="231"/>
      <c r="H23" s="836">
        <v>45148</v>
      </c>
      <c r="I23" s="231"/>
      <c r="J23" s="836">
        <v>45408</v>
      </c>
      <c r="K23" s="94"/>
      <c r="L23" s="832" t="s">
        <v>78</v>
      </c>
      <c r="M23" s="94"/>
      <c r="N23" s="104"/>
      <c r="O23" s="94"/>
      <c r="P23" s="94"/>
      <c r="X23" s="94"/>
      <c r="Y23" s="94"/>
      <c r="Z23" s="94"/>
    </row>
    <row r="24" spans="2:26" ht="12.75" customHeight="1">
      <c r="B24" s="96"/>
      <c r="C24" s="851"/>
      <c r="D24" s="852"/>
      <c r="E24" s="112"/>
      <c r="F24" s="113">
        <f>1000000/1.15</f>
        <v>869565.21739130444</v>
      </c>
      <c r="G24" s="231"/>
      <c r="H24" s="836">
        <v>45148</v>
      </c>
      <c r="I24" s="231"/>
      <c r="J24" s="836">
        <v>45411</v>
      </c>
      <c r="K24" s="94"/>
      <c r="L24" s="832" t="s">
        <v>78</v>
      </c>
      <c r="M24" s="94"/>
      <c r="N24" s="104"/>
      <c r="O24" s="94"/>
      <c r="P24" s="94"/>
      <c r="X24" s="94"/>
      <c r="Y24" s="94"/>
      <c r="Z24" s="94"/>
    </row>
    <row r="25" spans="2:26" ht="12.75" customHeight="1">
      <c r="B25" s="96"/>
      <c r="C25" s="851"/>
      <c r="D25" s="852"/>
      <c r="E25" s="112"/>
      <c r="F25" s="113">
        <f>5234752.19243177-F21-F22-F23-F24</f>
        <v>455792.07946923119</v>
      </c>
      <c r="G25" s="231"/>
      <c r="H25" s="836">
        <v>45148</v>
      </c>
      <c r="I25" s="231"/>
      <c r="J25" s="836">
        <v>45412</v>
      </c>
      <c r="L25" s="832" t="s">
        <v>78</v>
      </c>
      <c r="M25" s="94"/>
      <c r="N25" s="104"/>
      <c r="O25" s="94"/>
      <c r="P25" s="94"/>
      <c r="X25" s="94"/>
      <c r="Y25" s="94"/>
      <c r="Z25" s="94"/>
    </row>
    <row r="26" spans="2:26">
      <c r="B26" s="96">
        <v>4</v>
      </c>
      <c r="C26" s="926" t="s">
        <v>82</v>
      </c>
      <c r="D26" s="927"/>
      <c r="E26" s="102">
        <v>0.1</v>
      </c>
      <c r="F26" s="103">
        <f t="shared" ref="F26:F27" si="1">$D$4*E26</f>
        <v>2093900.8769727093</v>
      </c>
      <c r="G26" s="94"/>
      <c r="H26" s="104">
        <f>+'Project Plan'!G37+7+30</f>
        <v>45205</v>
      </c>
      <c r="J26" s="104">
        <v>45473</v>
      </c>
      <c r="K26" s="94"/>
      <c r="L26" s="832" t="s">
        <v>83</v>
      </c>
      <c r="M26" s="94"/>
      <c r="N26" s="104"/>
      <c r="O26" s="94"/>
      <c r="P26" s="94"/>
      <c r="X26" s="94"/>
      <c r="Y26" s="94"/>
      <c r="Z26" s="94"/>
    </row>
    <row r="27" spans="2:26">
      <c r="B27" s="96">
        <v>5</v>
      </c>
      <c r="C27" s="923" t="s">
        <v>84</v>
      </c>
      <c r="D27" s="923"/>
      <c r="E27" s="102">
        <v>0.1</v>
      </c>
      <c r="F27" s="103">
        <f t="shared" si="1"/>
        <v>2093900.8769727093</v>
      </c>
      <c r="G27" s="94"/>
      <c r="H27" s="104">
        <f>+'Project Plan'!G45+7+30</f>
        <v>45318</v>
      </c>
      <c r="I27" s="97"/>
      <c r="J27" s="104">
        <v>45473</v>
      </c>
      <c r="K27" s="94"/>
      <c r="L27" s="832" t="s">
        <v>83</v>
      </c>
      <c r="M27" s="94"/>
      <c r="N27" s="104"/>
      <c r="O27" s="94"/>
      <c r="P27" s="94"/>
      <c r="X27" s="94"/>
      <c r="Y27" s="94"/>
      <c r="Z27" s="94"/>
    </row>
    <row r="28" spans="2:26" ht="12.75" customHeight="1">
      <c r="B28" s="96">
        <v>6</v>
      </c>
      <c r="C28" s="923" t="s">
        <v>85</v>
      </c>
      <c r="D28" s="923"/>
      <c r="E28" s="102">
        <v>0.05</v>
      </c>
      <c r="F28" s="103">
        <f t="shared" ref="F28:F30" si="2">$D$4*E28</f>
        <v>1046950.4384863547</v>
      </c>
      <c r="G28" s="94"/>
      <c r="H28" s="104">
        <f>+H27+7+30</f>
        <v>45355</v>
      </c>
      <c r="J28" s="104">
        <v>45473</v>
      </c>
      <c r="K28" s="94"/>
      <c r="L28" s="832" t="s">
        <v>83</v>
      </c>
      <c r="M28" s="94"/>
      <c r="N28" s="104"/>
      <c r="O28" s="94"/>
      <c r="P28" s="94"/>
      <c r="X28" s="94"/>
      <c r="Y28" s="94"/>
      <c r="Z28" s="94"/>
    </row>
    <row r="29" spans="2:26" hidden="1">
      <c r="B29" s="96">
        <v>6</v>
      </c>
      <c r="C29" s="923"/>
      <c r="D29" s="923"/>
      <c r="E29" s="102">
        <v>0</v>
      </c>
      <c r="F29" s="103">
        <f t="shared" si="2"/>
        <v>0</v>
      </c>
      <c r="G29" s="94"/>
      <c r="H29" s="104"/>
      <c r="I29" s="97"/>
      <c r="J29" s="104"/>
      <c r="K29" s="94"/>
      <c r="L29" s="104"/>
      <c r="M29" s="94"/>
      <c r="N29" s="528"/>
      <c r="O29" s="94"/>
      <c r="P29" s="94"/>
      <c r="X29" s="94"/>
      <c r="Y29" s="94"/>
      <c r="Z29" s="94"/>
    </row>
    <row r="30" spans="2:26" hidden="1">
      <c r="B30" s="96">
        <v>7</v>
      </c>
      <c r="C30" s="924" t="s">
        <v>86</v>
      </c>
      <c r="D30" s="925"/>
      <c r="E30" s="102">
        <v>0</v>
      </c>
      <c r="F30" s="103">
        <f t="shared" si="2"/>
        <v>0</v>
      </c>
      <c r="G30" s="94"/>
      <c r="H30" s="104"/>
      <c r="J30" s="104"/>
      <c r="K30" s="94"/>
      <c r="L30" s="104"/>
      <c r="M30" s="94"/>
      <c r="N30" s="104"/>
      <c r="O30" s="94"/>
      <c r="P30" s="94"/>
      <c r="X30" s="94"/>
      <c r="Y30" s="94"/>
      <c r="Z30" s="94"/>
    </row>
    <row r="31" spans="2:26" s="94" customFormat="1" ht="9" customHeight="1">
      <c r="B31" s="95"/>
      <c r="E31" s="105"/>
      <c r="F31" s="99"/>
      <c r="H31" s="106"/>
    </row>
    <row r="32" spans="2:26" s="94" customFormat="1" ht="13">
      <c r="B32" s="95"/>
      <c r="E32" s="107">
        <f>SUM(E13:E30)</f>
        <v>1</v>
      </c>
      <c r="F32" s="108">
        <f>SUM(F13:F30)</f>
        <v>20939008.769727096</v>
      </c>
    </row>
    <row r="33" spans="2:10" s="519" customFormat="1" ht="25.5" customHeight="1">
      <c r="B33" s="526"/>
      <c r="F33" s="527"/>
    </row>
    <row r="34" spans="2:10" s="94" customFormat="1" ht="24.75" customHeight="1">
      <c r="B34" s="553" t="s">
        <v>87</v>
      </c>
      <c r="C34" s="529" t="s">
        <v>88</v>
      </c>
      <c r="D34" s="529"/>
      <c r="F34" s="109"/>
    </row>
    <row r="35" spans="2:10" s="94" customFormat="1">
      <c r="C35" s="514" t="s">
        <v>89</v>
      </c>
      <c r="D35" s="513"/>
      <c r="F35" s="501"/>
    </row>
    <row r="36" spans="2:10" s="94" customFormat="1">
      <c r="C36" s="514" t="s">
        <v>90</v>
      </c>
      <c r="D36" s="513"/>
    </row>
    <row r="37" spans="2:10" s="94" customFormat="1">
      <c r="C37" s="554" t="s">
        <v>91</v>
      </c>
      <c r="D37" s="555"/>
    </row>
    <row r="38" spans="2:10" s="94" customFormat="1">
      <c r="C38" s="515" t="s">
        <v>92</v>
      </c>
      <c r="D38" s="513"/>
      <c r="J38" s="837"/>
    </row>
    <row r="39" spans="2:10" s="94" customFormat="1">
      <c r="B39" s="95"/>
      <c r="C39" s="515" t="s">
        <v>93</v>
      </c>
      <c r="D39" s="513"/>
      <c r="J39" s="838"/>
    </row>
    <row r="40" spans="2:10" s="94" customFormat="1">
      <c r="B40" s="95"/>
      <c r="C40" s="94" t="s">
        <v>94</v>
      </c>
    </row>
    <row r="41" spans="2:10" s="94" customFormat="1" ht="27.75" customHeight="1">
      <c r="B41" s="95"/>
      <c r="C41" s="530" t="s">
        <v>95</v>
      </c>
      <c r="D41" s="530"/>
      <c r="F41" s="501"/>
    </row>
    <row r="42" spans="2:10" s="94" customFormat="1">
      <c r="B42" s="95"/>
      <c r="F42" s="109"/>
    </row>
    <row r="43" spans="2:10" s="94" customFormat="1">
      <c r="B43" s="95"/>
      <c r="F43" s="109"/>
    </row>
    <row r="44" spans="2:10" s="94" customFormat="1">
      <c r="B44" s="95"/>
      <c r="F44" s="109"/>
    </row>
    <row r="45" spans="2:10" s="94" customFormat="1">
      <c r="B45" s="95"/>
      <c r="F45" s="109"/>
    </row>
    <row r="46" spans="2:10" s="94" customFormat="1">
      <c r="B46" s="95"/>
    </row>
    <row r="47" spans="2:10" s="94" customFormat="1">
      <c r="B47" s="95"/>
    </row>
    <row r="48" spans="2:10" s="94" customFormat="1">
      <c r="B48" s="95"/>
    </row>
    <row r="49" spans="2:6" s="94" customFormat="1" ht="12.75" hidden="1" customHeight="1">
      <c r="B49" s="95"/>
    </row>
    <row r="50" spans="2:6" s="94" customFormat="1" ht="12.75" hidden="1" customHeight="1">
      <c r="B50" s="95"/>
    </row>
    <row r="51" spans="2:6" s="94" customFormat="1" ht="13.5" hidden="1" customHeight="1">
      <c r="B51" s="110" t="s">
        <v>69</v>
      </c>
      <c r="C51" s="531" t="s">
        <v>70</v>
      </c>
      <c r="D51" s="532"/>
      <c r="E51" s="110" t="s">
        <v>71</v>
      </c>
      <c r="F51" s="110" t="s">
        <v>72</v>
      </c>
    </row>
    <row r="52" spans="2:6" s="94" customFormat="1" ht="12.75" hidden="1" customHeight="1">
      <c r="B52" s="111">
        <v>1</v>
      </c>
      <c r="C52" s="534" t="s">
        <v>96</v>
      </c>
      <c r="D52" s="534"/>
      <c r="E52" s="112">
        <v>0.35</v>
      </c>
      <c r="F52" s="113">
        <f>$F$58*E52</f>
        <v>7328653.0694044828</v>
      </c>
    </row>
    <row r="53" spans="2:6" s="94" customFormat="1" ht="12.75" hidden="1" customHeight="1">
      <c r="B53" s="111">
        <v>2</v>
      </c>
      <c r="C53" s="534" t="s">
        <v>97</v>
      </c>
      <c r="D53" s="534"/>
      <c r="E53" s="112">
        <v>0.3</v>
      </c>
      <c r="F53" s="113">
        <f t="shared" ref="F53:F56" si="3">$F$58*E53</f>
        <v>6281702.6309181284</v>
      </c>
    </row>
    <row r="54" spans="2:6" s="94" customFormat="1" ht="12.75" hidden="1" customHeight="1">
      <c r="B54" s="111">
        <v>3</v>
      </c>
      <c r="C54" s="534" t="s">
        <v>98</v>
      </c>
      <c r="D54" s="534"/>
      <c r="E54" s="112">
        <v>0.2</v>
      </c>
      <c r="F54" s="113">
        <f t="shared" si="3"/>
        <v>4187801.7539454196</v>
      </c>
    </row>
    <row r="55" spans="2:6" s="94" customFormat="1" ht="12.75" hidden="1" customHeight="1">
      <c r="B55" s="111">
        <v>4</v>
      </c>
      <c r="C55" s="534" t="s">
        <v>99</v>
      </c>
      <c r="D55" s="534"/>
      <c r="E55" s="112">
        <v>0.1</v>
      </c>
      <c r="F55" s="113">
        <f t="shared" si="3"/>
        <v>2093900.8769727098</v>
      </c>
    </row>
    <row r="56" spans="2:6" s="94" customFormat="1" ht="13.5" hidden="1" customHeight="1" thickBot="1">
      <c r="B56" s="114">
        <v>5</v>
      </c>
      <c r="C56" s="533" t="s">
        <v>54</v>
      </c>
      <c r="D56" s="533"/>
      <c r="E56" s="115">
        <v>0.05</v>
      </c>
      <c r="F56" s="116">
        <f t="shared" si="3"/>
        <v>1046950.4384863549</v>
      </c>
    </row>
    <row r="57" spans="2:6" s="94" customFormat="1" ht="13.5" hidden="1" customHeight="1" thickBot="1">
      <c r="B57" s="117"/>
      <c r="C57" s="118" t="s">
        <v>100</v>
      </c>
      <c r="D57" s="118"/>
      <c r="E57" s="119">
        <f>SUM(E52:E56)</f>
        <v>0.99999999999999989</v>
      </c>
      <c r="F57" s="120">
        <f>SUM(F52:F56)</f>
        <v>20939008.769727096</v>
      </c>
    </row>
    <row r="58" spans="2:6" s="94" customFormat="1" ht="12.75" hidden="1" customHeight="1">
      <c r="B58" s="95"/>
      <c r="E58" s="105">
        <f>SUM(E52:E56)</f>
        <v>0.99999999999999989</v>
      </c>
      <c r="F58" s="99">
        <f>F32</f>
        <v>20939008.769727096</v>
      </c>
    </row>
    <row r="59" spans="2:6" s="94" customFormat="1" ht="12.75" hidden="1" customHeight="1">
      <c r="B59" s="95"/>
    </row>
    <row r="60" spans="2:6" s="94" customFormat="1">
      <c r="B60" s="95"/>
    </row>
    <row r="61" spans="2:6" s="94" customFormat="1">
      <c r="B61" s="95"/>
    </row>
    <row r="62" spans="2:6" s="94" customFormat="1">
      <c r="B62" s="95"/>
    </row>
    <row r="63" spans="2:6" s="94" customFormat="1">
      <c r="B63" s="95"/>
    </row>
    <row r="64" spans="2:6" s="94" customFormat="1">
      <c r="B64" s="95"/>
    </row>
    <row r="65" spans="2:2" s="94" customFormat="1">
      <c r="B65" s="95"/>
    </row>
    <row r="66" spans="2:2" s="94" customFormat="1">
      <c r="B66" s="95"/>
    </row>
    <row r="67" spans="2:2" s="94" customFormat="1">
      <c r="B67" s="95"/>
    </row>
    <row r="68" spans="2:2" s="94" customFormat="1">
      <c r="B68" s="95"/>
    </row>
    <row r="69" spans="2:2" s="94" customFormat="1">
      <c r="B69" s="95"/>
    </row>
    <row r="70" spans="2:2" s="94" customFormat="1">
      <c r="B70" s="95"/>
    </row>
    <row r="71" spans="2:2" s="94" customFormat="1">
      <c r="B71" s="95"/>
    </row>
    <row r="72" spans="2:2" s="94" customFormat="1">
      <c r="B72" s="95"/>
    </row>
    <row r="73" spans="2:2" s="94" customFormat="1">
      <c r="B73" s="95"/>
    </row>
    <row r="74" spans="2:2" s="94" customFormat="1">
      <c r="B74" s="95"/>
    </row>
    <row r="75" spans="2:2" s="94" customFormat="1">
      <c r="B75" s="95"/>
    </row>
    <row r="76" spans="2:2" s="94" customFormat="1">
      <c r="B76" s="95"/>
    </row>
    <row r="77" spans="2:2" s="94" customFormat="1">
      <c r="B77" s="95"/>
    </row>
    <row r="78" spans="2:2" s="94" customFormat="1">
      <c r="B78" s="95"/>
    </row>
    <row r="79" spans="2:2" s="94" customFormat="1">
      <c r="B79" s="95"/>
    </row>
    <row r="80" spans="2:2" s="94" customFormat="1">
      <c r="B80" s="95"/>
    </row>
    <row r="81" spans="2:2" s="94" customFormat="1">
      <c r="B81" s="95"/>
    </row>
    <row r="82" spans="2:2" s="94" customFormat="1">
      <c r="B82" s="95"/>
    </row>
    <row r="83" spans="2:2" s="94" customFormat="1">
      <c r="B83" s="95"/>
    </row>
    <row r="84" spans="2:2" s="94" customFormat="1">
      <c r="B84" s="95"/>
    </row>
    <row r="85" spans="2:2" s="94" customFormat="1">
      <c r="B85" s="95"/>
    </row>
    <row r="86" spans="2:2" s="94" customFormat="1">
      <c r="B86" s="95"/>
    </row>
    <row r="87" spans="2:2" s="94" customFormat="1">
      <c r="B87" s="95"/>
    </row>
    <row r="88" spans="2:2" s="94" customFormat="1">
      <c r="B88" s="95"/>
    </row>
    <row r="89" spans="2:2" s="94" customFormat="1">
      <c r="B89" s="95"/>
    </row>
    <row r="90" spans="2:2" s="94" customFormat="1">
      <c r="B90" s="95"/>
    </row>
    <row r="91" spans="2:2" s="94" customFormat="1">
      <c r="B91" s="95"/>
    </row>
    <row r="92" spans="2:2" s="94" customFormat="1">
      <c r="B92" s="95"/>
    </row>
    <row r="93" spans="2:2" s="94" customFormat="1">
      <c r="B93" s="95"/>
    </row>
    <row r="94" spans="2:2" s="94" customFormat="1">
      <c r="B94" s="95"/>
    </row>
    <row r="95" spans="2:2" s="94" customFormat="1">
      <c r="B95" s="95"/>
    </row>
    <row r="96" spans="2:2" s="94" customFormat="1">
      <c r="B96" s="95"/>
    </row>
    <row r="97" spans="2:2" s="94" customFormat="1">
      <c r="B97" s="95"/>
    </row>
    <row r="98" spans="2:2" s="94" customFormat="1">
      <c r="B98" s="95"/>
    </row>
    <row r="99" spans="2:2" s="94" customFormat="1">
      <c r="B99" s="95"/>
    </row>
    <row r="100" spans="2:2" s="94" customFormat="1">
      <c r="B100" s="95"/>
    </row>
    <row r="101" spans="2:2" s="94" customFormat="1">
      <c r="B101" s="95"/>
    </row>
    <row r="102" spans="2:2" s="94" customFormat="1">
      <c r="B102" s="95"/>
    </row>
    <row r="103" spans="2:2" s="94" customFormat="1">
      <c r="B103" s="95"/>
    </row>
    <row r="104" spans="2:2" s="94" customFormat="1">
      <c r="B104" s="95"/>
    </row>
    <row r="105" spans="2:2" s="94" customFormat="1">
      <c r="B105" s="95"/>
    </row>
    <row r="106" spans="2:2" s="94" customFormat="1">
      <c r="B106" s="95"/>
    </row>
    <row r="107" spans="2:2" s="94" customFormat="1">
      <c r="B107" s="95"/>
    </row>
    <row r="108" spans="2:2" s="94" customFormat="1">
      <c r="B108" s="95"/>
    </row>
    <row r="109" spans="2:2" s="94" customFormat="1">
      <c r="B109" s="95"/>
    </row>
    <row r="110" spans="2:2" s="94" customFormat="1">
      <c r="B110" s="95"/>
    </row>
    <row r="111" spans="2:2" s="94" customFormat="1">
      <c r="B111" s="95"/>
    </row>
    <row r="112" spans="2:2" s="94" customFormat="1">
      <c r="B112" s="95"/>
    </row>
    <row r="113" spans="2:2" s="94" customFormat="1">
      <c r="B113" s="95"/>
    </row>
    <row r="114" spans="2:2" s="94" customFormat="1">
      <c r="B114" s="95"/>
    </row>
    <row r="115" spans="2:2" s="94" customFormat="1">
      <c r="B115" s="95"/>
    </row>
    <row r="116" spans="2:2" s="94" customFormat="1">
      <c r="B116" s="95"/>
    </row>
    <row r="117" spans="2:2" s="94" customFormat="1">
      <c r="B117" s="95"/>
    </row>
    <row r="118" spans="2:2" s="94" customFormat="1">
      <c r="B118" s="95"/>
    </row>
    <row r="119" spans="2:2" s="94" customFormat="1">
      <c r="B119" s="95"/>
    </row>
    <row r="120" spans="2:2" s="94" customFormat="1">
      <c r="B120" s="95"/>
    </row>
    <row r="121" spans="2:2" s="94" customFormat="1">
      <c r="B121" s="95"/>
    </row>
    <row r="122" spans="2:2" s="94" customFormat="1">
      <c r="B122" s="95"/>
    </row>
    <row r="123" spans="2:2" s="94" customFormat="1">
      <c r="B123" s="95"/>
    </row>
    <row r="124" spans="2:2" s="94" customFormat="1">
      <c r="B124" s="95"/>
    </row>
    <row r="125" spans="2:2" s="94" customFormat="1">
      <c r="B125" s="95"/>
    </row>
    <row r="126" spans="2:2" s="94" customFormat="1">
      <c r="B126" s="95"/>
    </row>
    <row r="127" spans="2:2" s="94" customFormat="1">
      <c r="B127" s="95"/>
    </row>
    <row r="128" spans="2:2" s="94" customFormat="1">
      <c r="B128" s="95"/>
    </row>
    <row r="129" spans="2:2" s="94" customFormat="1">
      <c r="B129" s="95"/>
    </row>
    <row r="130" spans="2:2" s="94" customFormat="1">
      <c r="B130" s="95"/>
    </row>
    <row r="131" spans="2:2" s="94" customFormat="1">
      <c r="B131" s="95"/>
    </row>
    <row r="132" spans="2:2" s="94" customFormat="1">
      <c r="B132" s="95"/>
    </row>
    <row r="133" spans="2:2" s="94" customFormat="1">
      <c r="B133" s="95"/>
    </row>
    <row r="134" spans="2:2" s="94" customFormat="1">
      <c r="B134" s="95"/>
    </row>
    <row r="135" spans="2:2" s="94" customFormat="1">
      <c r="B135" s="95"/>
    </row>
    <row r="136" spans="2:2" s="94" customFormat="1">
      <c r="B136" s="95"/>
    </row>
    <row r="137" spans="2:2" s="94" customFormat="1">
      <c r="B137" s="95"/>
    </row>
    <row r="138" spans="2:2" s="94" customFormat="1">
      <c r="B138" s="95"/>
    </row>
    <row r="139" spans="2:2" s="94" customFormat="1">
      <c r="B139" s="95"/>
    </row>
    <row r="140" spans="2:2" s="94" customFormat="1">
      <c r="B140" s="95"/>
    </row>
    <row r="141" spans="2:2" s="94" customFormat="1">
      <c r="B141" s="95"/>
    </row>
    <row r="142" spans="2:2" s="94" customFormat="1">
      <c r="B142" s="95"/>
    </row>
    <row r="143" spans="2:2" s="94" customFormat="1">
      <c r="B143" s="95"/>
    </row>
    <row r="144" spans="2:2" s="94" customFormat="1">
      <c r="B144" s="95"/>
    </row>
    <row r="145" spans="2:2" s="94" customFormat="1">
      <c r="B145" s="95"/>
    </row>
    <row r="146" spans="2:2" s="94" customFormat="1">
      <c r="B146" s="95"/>
    </row>
    <row r="147" spans="2:2" s="94" customFormat="1">
      <c r="B147" s="95"/>
    </row>
    <row r="148" spans="2:2" s="94" customFormat="1">
      <c r="B148" s="95"/>
    </row>
    <row r="149" spans="2:2" s="94" customFormat="1">
      <c r="B149" s="95"/>
    </row>
    <row r="150" spans="2:2" s="94" customFormat="1">
      <c r="B150" s="95"/>
    </row>
    <row r="151" spans="2:2" s="94" customFormat="1">
      <c r="B151" s="95"/>
    </row>
    <row r="152" spans="2:2" s="94" customFormat="1">
      <c r="B152" s="95"/>
    </row>
    <row r="153" spans="2:2" s="94" customFormat="1">
      <c r="B153" s="95"/>
    </row>
    <row r="154" spans="2:2" s="94" customFormat="1">
      <c r="B154" s="95"/>
    </row>
    <row r="155" spans="2:2" s="94" customFormat="1">
      <c r="B155" s="95"/>
    </row>
    <row r="156" spans="2:2" s="94" customFormat="1">
      <c r="B156" s="95"/>
    </row>
    <row r="157" spans="2:2" s="94" customFormat="1">
      <c r="B157" s="95"/>
    </row>
    <row r="158" spans="2:2" s="94" customFormat="1">
      <c r="B158" s="95"/>
    </row>
    <row r="159" spans="2:2" s="94" customFormat="1">
      <c r="B159" s="95"/>
    </row>
    <row r="160" spans="2:2" s="94" customFormat="1">
      <c r="B160" s="95"/>
    </row>
    <row r="161" spans="2:2" s="94" customFormat="1">
      <c r="B161" s="95"/>
    </row>
    <row r="162" spans="2:2" s="94" customFormat="1">
      <c r="B162" s="95"/>
    </row>
    <row r="163" spans="2:2" s="94" customFormat="1">
      <c r="B163" s="95"/>
    </row>
    <row r="164" spans="2:2" s="94" customFormat="1">
      <c r="B164" s="95"/>
    </row>
    <row r="165" spans="2:2" s="94" customFormat="1">
      <c r="B165" s="95"/>
    </row>
    <row r="166" spans="2:2" s="94" customFormat="1">
      <c r="B166" s="95"/>
    </row>
    <row r="167" spans="2:2" s="94" customFormat="1">
      <c r="B167" s="95"/>
    </row>
    <row r="168" spans="2:2" s="94" customFormat="1">
      <c r="B168" s="95"/>
    </row>
    <row r="169" spans="2:2" s="94" customFormat="1">
      <c r="B169" s="95"/>
    </row>
    <row r="170" spans="2:2" s="94" customFormat="1">
      <c r="B170" s="95"/>
    </row>
    <row r="171" spans="2:2" s="94" customFormat="1">
      <c r="B171" s="95"/>
    </row>
    <row r="172" spans="2:2" s="94" customFormat="1">
      <c r="B172" s="95"/>
    </row>
    <row r="173" spans="2:2" s="94" customFormat="1">
      <c r="B173" s="95"/>
    </row>
    <row r="174" spans="2:2" s="94" customFormat="1">
      <c r="B174" s="95"/>
    </row>
    <row r="175" spans="2:2" s="94" customFormat="1">
      <c r="B175" s="95"/>
    </row>
    <row r="176" spans="2:2" s="94" customFormat="1">
      <c r="B176" s="95"/>
    </row>
    <row r="177" spans="2:2" s="94" customFormat="1">
      <c r="B177" s="95"/>
    </row>
    <row r="178" spans="2:2" s="94" customFormat="1">
      <c r="B178" s="95"/>
    </row>
    <row r="179" spans="2:2" s="94" customFormat="1">
      <c r="B179" s="95"/>
    </row>
    <row r="180" spans="2:2" s="94" customFormat="1">
      <c r="B180" s="95"/>
    </row>
    <row r="181" spans="2:2" s="94" customFormat="1">
      <c r="B181" s="95"/>
    </row>
    <row r="182" spans="2:2" s="94" customFormat="1">
      <c r="B182" s="95"/>
    </row>
    <row r="183" spans="2:2" s="94" customFormat="1">
      <c r="B183" s="95"/>
    </row>
    <row r="184" spans="2:2" s="94" customFormat="1">
      <c r="B184" s="95"/>
    </row>
    <row r="185" spans="2:2" s="94" customFormat="1">
      <c r="B185" s="95"/>
    </row>
    <row r="186" spans="2:2" s="94" customFormat="1">
      <c r="B186" s="95"/>
    </row>
    <row r="187" spans="2:2" s="94" customFormat="1">
      <c r="B187" s="95"/>
    </row>
    <row r="188" spans="2:2" s="94" customFormat="1">
      <c r="B188" s="95"/>
    </row>
    <row r="189" spans="2:2" s="94" customFormat="1">
      <c r="B189" s="95"/>
    </row>
    <row r="190" spans="2:2" s="94" customFormat="1">
      <c r="B190" s="95"/>
    </row>
    <row r="191" spans="2:2" s="94" customFormat="1">
      <c r="B191" s="95"/>
    </row>
    <row r="192" spans="2:2" s="94" customFormat="1">
      <c r="B192" s="95"/>
    </row>
    <row r="193" spans="2:2" s="94" customFormat="1">
      <c r="B193" s="95"/>
    </row>
    <row r="194" spans="2:2" s="94" customFormat="1">
      <c r="B194" s="95"/>
    </row>
    <row r="195" spans="2:2" s="94" customFormat="1">
      <c r="B195" s="95"/>
    </row>
    <row r="196" spans="2:2" s="94" customFormat="1">
      <c r="B196" s="95"/>
    </row>
    <row r="197" spans="2:2" s="94" customFormat="1">
      <c r="B197" s="95"/>
    </row>
    <row r="198" spans="2:2" s="94" customFormat="1">
      <c r="B198" s="95"/>
    </row>
    <row r="199" spans="2:2" s="94" customFormat="1">
      <c r="B199" s="95"/>
    </row>
    <row r="200" spans="2:2" s="94" customFormat="1">
      <c r="B200" s="95"/>
    </row>
    <row r="201" spans="2:2" s="94" customFormat="1">
      <c r="B201" s="95"/>
    </row>
    <row r="202" spans="2:2" s="94" customFormat="1">
      <c r="B202" s="95"/>
    </row>
    <row r="203" spans="2:2" s="94" customFormat="1">
      <c r="B203" s="95"/>
    </row>
    <row r="204" spans="2:2" s="94" customFormat="1">
      <c r="B204" s="95"/>
    </row>
    <row r="205" spans="2:2" s="94" customFormat="1">
      <c r="B205" s="95"/>
    </row>
    <row r="206" spans="2:2" s="94" customFormat="1">
      <c r="B206" s="95"/>
    </row>
    <row r="207" spans="2:2" s="94" customFormat="1">
      <c r="B207" s="95"/>
    </row>
    <row r="208" spans="2:2" s="94" customFormat="1">
      <c r="B208" s="95"/>
    </row>
    <row r="209" spans="2:2" s="94" customFormat="1">
      <c r="B209" s="95"/>
    </row>
    <row r="210" spans="2:2" s="94" customFormat="1">
      <c r="B210" s="95"/>
    </row>
    <row r="211" spans="2:2" s="94" customFormat="1">
      <c r="B211" s="95"/>
    </row>
    <row r="212" spans="2:2" s="94" customFormat="1">
      <c r="B212" s="95"/>
    </row>
    <row r="213" spans="2:2" s="94" customFormat="1">
      <c r="B213" s="95"/>
    </row>
    <row r="214" spans="2:2" s="94" customFormat="1">
      <c r="B214" s="95"/>
    </row>
    <row r="215" spans="2:2" s="94" customFormat="1">
      <c r="B215" s="95"/>
    </row>
    <row r="216" spans="2:2" s="94" customFormat="1">
      <c r="B216" s="95"/>
    </row>
    <row r="217" spans="2:2" s="94" customFormat="1">
      <c r="B217" s="95"/>
    </row>
    <row r="218" spans="2:2" s="94" customFormat="1">
      <c r="B218" s="95"/>
    </row>
    <row r="219" spans="2:2" s="94" customFormat="1">
      <c r="B219" s="95"/>
    </row>
    <row r="220" spans="2:2" s="94" customFormat="1">
      <c r="B220" s="95"/>
    </row>
    <row r="221" spans="2:2" s="94" customFormat="1">
      <c r="B221" s="95"/>
    </row>
    <row r="222" spans="2:2" s="94" customFormat="1">
      <c r="B222" s="95"/>
    </row>
    <row r="223" spans="2:2" s="94" customFormat="1">
      <c r="B223" s="95"/>
    </row>
    <row r="224" spans="2:2" s="94" customFormat="1">
      <c r="B224" s="95"/>
    </row>
    <row r="225" spans="2:2" s="94" customFormat="1">
      <c r="B225" s="95"/>
    </row>
    <row r="226" spans="2:2" s="94" customFormat="1">
      <c r="B226" s="95"/>
    </row>
    <row r="227" spans="2:2" s="94" customFormat="1">
      <c r="B227" s="95"/>
    </row>
    <row r="228" spans="2:2" s="94" customFormat="1">
      <c r="B228" s="95"/>
    </row>
    <row r="229" spans="2:2" s="94" customFormat="1">
      <c r="B229" s="95"/>
    </row>
  </sheetData>
  <mergeCells count="8">
    <mergeCell ref="C27:D27"/>
    <mergeCell ref="C30:D30"/>
    <mergeCell ref="C13:D13"/>
    <mergeCell ref="C21:D21"/>
    <mergeCell ref="C26:D26"/>
    <mergeCell ref="C28:D28"/>
    <mergeCell ref="C29:D29"/>
    <mergeCell ref="C18:D18"/>
  </mergeCells>
  <conditionalFormatting sqref="F32">
    <cfRule type="cellIs" dxfId="26" priority="1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/>
  <dimension ref="A1:AA270"/>
  <sheetViews>
    <sheetView tabSelected="1" topLeftCell="A42" zoomScaleNormal="100" workbookViewId="0">
      <selection activeCell="K61" sqref="K61"/>
    </sheetView>
  </sheetViews>
  <sheetFormatPr defaultColWidth="8.54296875" defaultRowHeight="14"/>
  <cols>
    <col min="1" max="1" width="1.54296875" style="88" customWidth="1"/>
    <col min="2" max="2" width="4.54296875" style="93" customWidth="1"/>
    <col min="3" max="3" width="50.08984375" style="91" customWidth="1"/>
    <col min="4" max="4" width="3.453125" style="88" customWidth="1"/>
    <col min="5" max="5" width="14.453125" style="91" customWidth="1"/>
    <col min="6" max="6" width="10.54296875" style="121" customWidth="1"/>
    <col min="7" max="7" width="13.54296875" style="142" customWidth="1"/>
    <col min="8" max="8" width="5.54296875" style="88" customWidth="1"/>
    <col min="9" max="9" width="13.54296875" style="88" customWidth="1"/>
    <col min="10" max="10" width="11.453125" style="122" customWidth="1"/>
    <col min="11" max="11" width="14.54296875" style="88" customWidth="1"/>
    <col min="12" max="12" width="2.453125" style="88" customWidth="1"/>
    <col min="13" max="13" width="12.453125" style="615" customWidth="1"/>
    <col min="14" max="14" width="2.54296875" style="88" customWidth="1"/>
    <col min="15" max="15" width="55.54296875" style="88" bestFit="1" customWidth="1"/>
    <col min="16" max="16" width="5.453125" style="468" customWidth="1"/>
    <col min="17" max="24" width="8.54296875" style="88"/>
    <col min="25" max="16384" width="8.54296875" style="91"/>
  </cols>
  <sheetData>
    <row r="1" spans="2:27" s="88" customFormat="1" ht="4.5" customHeight="1">
      <c r="B1" s="89"/>
      <c r="F1" s="121"/>
      <c r="G1" s="122"/>
      <c r="J1" s="122"/>
      <c r="M1" s="615"/>
      <c r="P1" s="468"/>
    </row>
    <row r="2" spans="2:27">
      <c r="B2" s="123"/>
      <c r="C2" s="461" t="s">
        <v>0</v>
      </c>
      <c r="D2" s="462"/>
      <c r="E2" s="931" t="s">
        <v>101</v>
      </c>
      <c r="F2" s="932"/>
      <c r="G2" s="932"/>
      <c r="H2" s="933"/>
    </row>
    <row r="3" spans="2:27" s="88" customFormat="1">
      <c r="B3" s="124"/>
      <c r="C3" s="463" t="s">
        <v>102</v>
      </c>
      <c r="D3" s="462"/>
      <c r="E3" s="853">
        <v>1749.93</v>
      </c>
      <c r="F3" s="464"/>
      <c r="G3" s="465"/>
      <c r="H3" s="466"/>
      <c r="J3" s="122"/>
      <c r="M3" s="615"/>
      <c r="P3" s="468"/>
    </row>
    <row r="4" spans="2:27" s="88" customFormat="1">
      <c r="B4" s="124"/>
      <c r="C4" s="463" t="s">
        <v>103</v>
      </c>
      <c r="D4" s="462"/>
      <c r="E4" s="934" t="s">
        <v>104</v>
      </c>
      <c r="F4" s="935"/>
      <c r="G4" s="935"/>
      <c r="H4" s="936"/>
      <c r="J4" s="122"/>
      <c r="M4" s="615"/>
      <c r="P4" s="468"/>
    </row>
    <row r="5" spans="2:27" s="88" customFormat="1">
      <c r="B5" s="124"/>
      <c r="C5" s="463" t="s">
        <v>105</v>
      </c>
      <c r="D5" s="462"/>
      <c r="E5" s="934" t="s">
        <v>106</v>
      </c>
      <c r="F5" s="935"/>
      <c r="G5" s="935"/>
      <c r="H5" s="936"/>
      <c r="J5" s="122"/>
      <c r="M5" s="615"/>
      <c r="P5" s="468"/>
    </row>
    <row r="6" spans="2:27" s="88" customFormat="1">
      <c r="B6" s="124"/>
      <c r="C6" s="463" t="s">
        <v>107</v>
      </c>
      <c r="D6" s="462"/>
      <c r="E6" s="934" t="s">
        <v>108</v>
      </c>
      <c r="F6" s="935"/>
      <c r="G6" s="935"/>
      <c r="H6" s="936"/>
      <c r="J6" s="122"/>
      <c r="M6" s="615"/>
      <c r="P6" s="468"/>
    </row>
    <row r="7" spans="2:27" s="88" customFormat="1" hidden="1">
      <c r="B7" s="124"/>
      <c r="C7" s="463" t="s">
        <v>109</v>
      </c>
      <c r="D7" s="462"/>
      <c r="E7" s="934" t="s">
        <v>110</v>
      </c>
      <c r="F7" s="935"/>
      <c r="G7" s="935"/>
      <c r="H7" s="936"/>
      <c r="J7" s="122"/>
      <c r="M7" s="615"/>
      <c r="P7" s="468"/>
    </row>
    <row r="8" spans="2:27" s="88" customFormat="1">
      <c r="B8" s="124"/>
      <c r="C8" s="463" t="s">
        <v>111</v>
      </c>
      <c r="D8" s="462"/>
      <c r="E8" s="853" t="s">
        <v>112</v>
      </c>
      <c r="F8" s="464"/>
      <c r="G8" s="854"/>
      <c r="H8" s="855"/>
      <c r="J8" s="122"/>
      <c r="M8" s="615"/>
      <c r="P8" s="468"/>
    </row>
    <row r="9" spans="2:27">
      <c r="B9" s="125"/>
      <c r="C9" s="467" t="s">
        <v>113</v>
      </c>
      <c r="D9" s="462"/>
      <c r="E9" s="939">
        <v>20939008.769727092</v>
      </c>
      <c r="F9" s="940"/>
      <c r="G9" s="940"/>
      <c r="H9" s="941"/>
    </row>
    <row r="10" spans="2:27" s="88" customFormat="1">
      <c r="B10" s="89"/>
      <c r="C10" s="899" t="s">
        <v>563</v>
      </c>
      <c r="D10" s="585"/>
      <c r="E10" s="900" t="s">
        <v>564</v>
      </c>
      <c r="F10" s="121"/>
      <c r="G10" s="90"/>
      <c r="J10" s="122"/>
      <c r="M10" s="615"/>
      <c r="P10" s="468"/>
    </row>
    <row r="11" spans="2:27" ht="30" customHeight="1">
      <c r="B11" s="928" t="s">
        <v>69</v>
      </c>
      <c r="C11" s="929" t="s">
        <v>114</v>
      </c>
      <c r="E11" s="942" t="s">
        <v>115</v>
      </c>
      <c r="F11" s="450" t="s">
        <v>116</v>
      </c>
      <c r="G11" s="942" t="s">
        <v>117</v>
      </c>
      <c r="H11" s="121"/>
      <c r="I11" s="942" t="s">
        <v>118</v>
      </c>
      <c r="J11" s="450" t="s">
        <v>116</v>
      </c>
      <c r="K11" s="942" t="s">
        <v>119</v>
      </c>
      <c r="M11" s="621" t="s">
        <v>120</v>
      </c>
      <c r="O11" s="937" t="s">
        <v>121</v>
      </c>
      <c r="Y11" s="88"/>
      <c r="Z11" s="88"/>
      <c r="AA11" s="88"/>
    </row>
    <row r="12" spans="2:27">
      <c r="B12" s="929"/>
      <c r="C12" s="930"/>
      <c r="E12" s="943"/>
      <c r="F12" s="451">
        <f>G45-E20</f>
        <v>185</v>
      </c>
      <c r="G12" s="943"/>
      <c r="H12" s="121"/>
      <c r="I12" s="943"/>
      <c r="J12" s="127">
        <f>K45-I20</f>
        <v>234</v>
      </c>
      <c r="K12" s="943"/>
      <c r="M12" s="622">
        <f>AVERAGE(M14,M19,M22,M29,M36,M42,M47,M57)</f>
        <v>1</v>
      </c>
      <c r="N12" s="128"/>
      <c r="O12" s="938"/>
      <c r="Y12" s="88"/>
      <c r="Z12" s="88"/>
      <c r="AA12" s="88"/>
    </row>
    <row r="13" spans="2:27" s="88" customFormat="1" ht="4.5" customHeight="1">
      <c r="B13" s="89"/>
      <c r="E13" s="455"/>
      <c r="F13" s="455"/>
      <c r="G13" s="455"/>
      <c r="H13" s="121"/>
      <c r="I13" s="457"/>
      <c r="J13" s="457"/>
      <c r="K13" s="457"/>
      <c r="M13" s="615"/>
      <c r="P13" s="468"/>
    </row>
    <row r="14" spans="2:27" s="126" customFormat="1">
      <c r="B14" s="129">
        <v>1</v>
      </c>
      <c r="C14" s="130" t="s">
        <v>122</v>
      </c>
      <c r="E14" s="598">
        <f>MIN(E15:E17)</f>
        <v>44798</v>
      </c>
      <c r="F14" s="460">
        <f>SUM(F15:F17)</f>
        <v>3</v>
      </c>
      <c r="G14" s="598">
        <f>MAX(G15:G17)</f>
        <v>45062</v>
      </c>
      <c r="H14" s="90"/>
      <c r="I14" s="598">
        <f>MIN(I15:I17)</f>
        <v>44798</v>
      </c>
      <c r="J14" s="460">
        <f>SUM(J15:J17)</f>
        <v>3</v>
      </c>
      <c r="K14" s="598">
        <f>MAX(K15:K17)</f>
        <v>45062</v>
      </c>
      <c r="M14" s="623">
        <f>(J15*M15+J16*M16+J17*M17)/J14</f>
        <v>1</v>
      </c>
      <c r="N14" s="458"/>
      <c r="O14" s="132"/>
      <c r="P14" s="520"/>
    </row>
    <row r="15" spans="2:27" s="88" customFormat="1">
      <c r="B15" s="133" t="s">
        <v>123</v>
      </c>
      <c r="C15" s="134" t="s">
        <v>124</v>
      </c>
      <c r="E15" s="453">
        <v>44798</v>
      </c>
      <c r="F15" s="452">
        <v>1</v>
      </c>
      <c r="G15" s="453">
        <f>WORKDAY.INTL(E15,F15,1,Data!$C$3:$C$14)</f>
        <v>44799</v>
      </c>
      <c r="H15" s="121"/>
      <c r="I15" s="453">
        <v>44798</v>
      </c>
      <c r="J15" s="452">
        <v>1</v>
      </c>
      <c r="K15" s="453">
        <f>WORKDAY.INTL(I15,J15,1,Data!$C$3:$C$14)</f>
        <v>44799</v>
      </c>
      <c r="M15" s="617">
        <v>1</v>
      </c>
      <c r="N15" s="131"/>
      <c r="O15" s="137"/>
      <c r="P15" s="468"/>
    </row>
    <row r="16" spans="2:27" s="88" customFormat="1">
      <c r="B16" s="133" t="s">
        <v>125</v>
      </c>
      <c r="C16" s="134" t="s">
        <v>126</v>
      </c>
      <c r="E16" s="453">
        <v>44963</v>
      </c>
      <c r="F16" s="452">
        <v>1</v>
      </c>
      <c r="G16" s="453">
        <f>WORKDAY.INTL(E16,F16,1,Data!$C$3:$C$14)</f>
        <v>44964</v>
      </c>
      <c r="H16" s="121"/>
      <c r="I16" s="453">
        <v>44963</v>
      </c>
      <c r="J16" s="452">
        <v>1</v>
      </c>
      <c r="K16" s="453">
        <f>WORKDAY.INTL(I16,J16,1,Data!$C$3:$C$14)</f>
        <v>44964</v>
      </c>
      <c r="M16" s="617">
        <v>1</v>
      </c>
      <c r="N16" s="131"/>
      <c r="O16" s="137"/>
      <c r="P16" s="468"/>
    </row>
    <row r="17" spans="2:27" s="88" customFormat="1">
      <c r="B17" s="133" t="s">
        <v>127</v>
      </c>
      <c r="C17" s="134" t="s">
        <v>128</v>
      </c>
      <c r="E17" s="453">
        <v>45061</v>
      </c>
      <c r="F17" s="452">
        <v>1</v>
      </c>
      <c r="G17" s="453">
        <f>WORKDAY.INTL(E17,F17,1,Data!$C$3:$C$14)</f>
        <v>45062</v>
      </c>
      <c r="H17" s="121"/>
      <c r="I17" s="453">
        <v>45061</v>
      </c>
      <c r="J17" s="452">
        <v>1</v>
      </c>
      <c r="K17" s="453">
        <f>WORKDAY.INTL(I17,J17,1,Data!$C$3:$C$14)</f>
        <v>45062</v>
      </c>
      <c r="M17" s="617">
        <v>1</v>
      </c>
      <c r="N17" s="131"/>
      <c r="O17" s="137"/>
      <c r="P17" s="468"/>
    </row>
    <row r="18" spans="2:27" s="88" customFormat="1" ht="7.5" customHeight="1">
      <c r="B18" s="89"/>
      <c r="E18" s="457"/>
      <c r="F18" s="457"/>
      <c r="G18" s="457"/>
      <c r="H18" s="121"/>
      <c r="I18" s="457"/>
      <c r="J18" s="457"/>
      <c r="K18" s="457"/>
      <c r="M18" s="615"/>
      <c r="P18" s="468"/>
    </row>
    <row r="19" spans="2:27" s="126" customFormat="1">
      <c r="B19" s="129">
        <v>2</v>
      </c>
      <c r="C19" s="130" t="s">
        <v>129</v>
      </c>
      <c r="E19" s="598">
        <f>MIN(E20:E21)</f>
        <v>45096</v>
      </c>
      <c r="F19" s="460">
        <f>SUM(F20:F21)</f>
        <v>2</v>
      </c>
      <c r="G19" s="598">
        <f>MAX(G20)</f>
        <v>45098</v>
      </c>
      <c r="H19" s="90"/>
      <c r="I19" s="598">
        <f>MIN(I20:I21)</f>
        <v>45096</v>
      </c>
      <c r="J19" s="460">
        <f>SUM(J20:J21)</f>
        <v>3</v>
      </c>
      <c r="K19" s="598">
        <f>MAX(K20)</f>
        <v>45099</v>
      </c>
      <c r="M19" s="616">
        <f>(J20*M20)/J19</f>
        <v>1</v>
      </c>
      <c r="N19" s="458"/>
      <c r="O19" s="132"/>
      <c r="P19" s="521"/>
      <c r="Q19" s="458"/>
      <c r="R19" s="458"/>
      <c r="S19" s="458"/>
      <c r="T19" s="458"/>
      <c r="U19" s="458"/>
      <c r="V19" s="458"/>
      <c r="W19" s="458"/>
      <c r="X19" s="458"/>
      <c r="Y19" s="458"/>
      <c r="Z19" s="458"/>
      <c r="AA19" s="458"/>
    </row>
    <row r="20" spans="2:27" s="88" customFormat="1">
      <c r="B20" s="133" t="s">
        <v>130</v>
      </c>
      <c r="C20" s="134" t="s">
        <v>131</v>
      </c>
      <c r="E20" s="599">
        <v>45096</v>
      </c>
      <c r="F20" s="452">
        <v>2</v>
      </c>
      <c r="G20" s="453">
        <f>WORKDAY.INTL(E20,F20,1,Data!$C$3:$C$14)</f>
        <v>45098</v>
      </c>
      <c r="H20" s="121"/>
      <c r="I20" s="599">
        <v>45096</v>
      </c>
      <c r="J20" s="452">
        <v>3</v>
      </c>
      <c r="K20" s="453">
        <f>WORKDAY.INTL(I20,J20,1,Data!$C$3:$C$14)</f>
        <v>45099</v>
      </c>
      <c r="M20" s="617">
        <v>1</v>
      </c>
      <c r="N20" s="131"/>
      <c r="O20" s="137"/>
      <c r="P20" s="522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 spans="2:27" s="88" customFormat="1" ht="6.75" customHeight="1">
      <c r="B21" s="138"/>
      <c r="C21" s="139"/>
      <c r="E21" s="136"/>
      <c r="F21" s="135"/>
      <c r="G21" s="136"/>
      <c r="H21" s="121"/>
      <c r="I21" s="136"/>
      <c r="J21" s="135"/>
      <c r="K21" s="136"/>
      <c r="M21" s="618"/>
      <c r="N21" s="131"/>
      <c r="O21" s="132"/>
      <c r="P21" s="522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</row>
    <row r="22" spans="2:27" s="126" customFormat="1">
      <c r="B22" s="129">
        <v>3</v>
      </c>
      <c r="C22" s="130" t="s">
        <v>132</v>
      </c>
      <c r="E22" s="598">
        <f>MIN(E23:E27)</f>
        <v>45091</v>
      </c>
      <c r="F22" s="460">
        <f>SUM(F23:F27)</f>
        <v>90</v>
      </c>
      <c r="G22" s="598">
        <f>MAX(G23:G27)</f>
        <v>45204</v>
      </c>
      <c r="H22" s="459"/>
      <c r="I22" s="598">
        <f>MIN(I23:I27)</f>
        <v>45092</v>
      </c>
      <c r="J22" s="460">
        <f>SUM(J23:J27)</f>
        <v>179</v>
      </c>
      <c r="K22" s="598">
        <f>MAX(K23:K27)</f>
        <v>45335</v>
      </c>
      <c r="M22" s="623">
        <f>(J23*M23+J24*M24+J25*M25+J26*M26+J27*M27)/J22</f>
        <v>1</v>
      </c>
      <c r="N22" s="458"/>
      <c r="O22" s="132"/>
      <c r="P22" s="521"/>
      <c r="Q22" s="458"/>
      <c r="R22" s="458"/>
      <c r="S22" s="458"/>
      <c r="T22" s="458"/>
      <c r="U22" s="458"/>
      <c r="V22" s="458"/>
      <c r="W22" s="458"/>
      <c r="X22" s="458"/>
      <c r="Y22" s="458"/>
      <c r="Z22" s="458"/>
      <c r="AA22" s="458"/>
    </row>
    <row r="23" spans="2:27" s="88" customFormat="1">
      <c r="B23" s="133" t="s">
        <v>133</v>
      </c>
      <c r="C23" s="134" t="s">
        <v>134</v>
      </c>
      <c r="E23" s="453">
        <v>45110</v>
      </c>
      <c r="F23" s="452">
        <v>1</v>
      </c>
      <c r="G23" s="453">
        <f>+F23+E23</f>
        <v>45111</v>
      </c>
      <c r="H23" s="121"/>
      <c r="I23" s="453">
        <v>45153</v>
      </c>
      <c r="J23" s="452">
        <v>1</v>
      </c>
      <c r="K23" s="453">
        <f>+J23+I23</f>
        <v>45154</v>
      </c>
      <c r="M23" s="617">
        <v>1</v>
      </c>
      <c r="N23" s="131"/>
      <c r="O23" s="137"/>
      <c r="P23" s="522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</row>
    <row r="24" spans="2:27" s="88" customFormat="1">
      <c r="B24" s="133" t="s">
        <v>135</v>
      </c>
      <c r="C24" s="134" t="s">
        <v>136</v>
      </c>
      <c r="E24" s="453">
        <f>WORKDAY.INTL(G23,0,1,Data!$C$3:$C$14)</f>
        <v>45111</v>
      </c>
      <c r="F24" s="452">
        <v>8</v>
      </c>
      <c r="G24" s="453">
        <f>WORKDAY.INTL(E24,F24,1,Data!$C$3:$C$14)</f>
        <v>45121</v>
      </c>
      <c r="H24" s="121"/>
      <c r="I24" s="453">
        <v>45261</v>
      </c>
      <c r="J24" s="452">
        <v>4</v>
      </c>
      <c r="K24" s="453">
        <f>WORKDAY.INTL(I24,J24,1,Data!$C$3:$C$14)</f>
        <v>45267</v>
      </c>
      <c r="M24" s="617">
        <v>1</v>
      </c>
      <c r="N24" s="131"/>
      <c r="O24" s="137"/>
      <c r="P24" s="522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</row>
    <row r="25" spans="2:27" s="88" customFormat="1">
      <c r="B25" s="133" t="s">
        <v>137</v>
      </c>
      <c r="C25" s="134" t="s">
        <v>138</v>
      </c>
      <c r="E25" s="453">
        <f>+G20-7</f>
        <v>45091</v>
      </c>
      <c r="F25" s="452">
        <v>40</v>
      </c>
      <c r="G25" s="453">
        <f>WORKDAY.INTL(E25,F25,1,Data!$C$3:$C$14)</f>
        <v>45147</v>
      </c>
      <c r="H25" s="121"/>
      <c r="I25" s="453">
        <f>+K20-7</f>
        <v>45092</v>
      </c>
      <c r="J25" s="452">
        <v>73</v>
      </c>
      <c r="K25" s="453">
        <f>WORKDAY.INTL(I25,J25,1,Data!$C$3:$C$14)</f>
        <v>45195</v>
      </c>
      <c r="M25" s="617">
        <v>1</v>
      </c>
      <c r="N25" s="131"/>
      <c r="O25" s="137"/>
      <c r="P25" s="522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</row>
    <row r="26" spans="2:27" s="88" customFormat="1">
      <c r="B26" s="133" t="s">
        <v>139</v>
      </c>
      <c r="C26" s="134" t="s">
        <v>40</v>
      </c>
      <c r="E26" s="453">
        <f>WORKDAY.INTL(G25,0,1,Data!$C$3:$C$14)</f>
        <v>45147</v>
      </c>
      <c r="F26" s="452">
        <v>40</v>
      </c>
      <c r="G26" s="453">
        <f>WORKDAY.INTL(E26,F26,1,Data!$C$3:$C$14)</f>
        <v>45203</v>
      </c>
      <c r="H26" s="121"/>
      <c r="I26" s="453">
        <f>K25</f>
        <v>45195</v>
      </c>
      <c r="J26" s="680">
        <v>100</v>
      </c>
      <c r="K26" s="453">
        <f>WORKDAY.INTL(I26,J26,1,Data!$C$3:$C$14)</f>
        <v>45335</v>
      </c>
      <c r="M26" s="617">
        <v>1</v>
      </c>
      <c r="N26" s="131"/>
      <c r="O26" s="137" t="s">
        <v>140</v>
      </c>
      <c r="P26" s="522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</row>
    <row r="27" spans="2:27" s="88" customFormat="1">
      <c r="B27" s="133" t="s">
        <v>141</v>
      </c>
      <c r="C27" s="134" t="s">
        <v>142</v>
      </c>
      <c r="E27" s="456">
        <f>G26</f>
        <v>45203</v>
      </c>
      <c r="F27" s="452">
        <v>1</v>
      </c>
      <c r="G27" s="453">
        <f>WORKDAY.INTL(E27,F27,1,Data!$C$3:$C$14)</f>
        <v>45204</v>
      </c>
      <c r="H27" s="121"/>
      <c r="I27" s="456">
        <v>45223</v>
      </c>
      <c r="J27" s="452">
        <v>1</v>
      </c>
      <c r="K27" s="453">
        <f>WORKDAY.INTL(I27,J27,1,Data!$C$3:$C$14)</f>
        <v>45224</v>
      </c>
      <c r="M27" s="617">
        <v>1</v>
      </c>
      <c r="N27" s="131"/>
      <c r="O27" s="137" t="s">
        <v>143</v>
      </c>
      <c r="P27" s="522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</row>
    <row r="28" spans="2:27" s="88" customFormat="1" ht="4.5" customHeight="1">
      <c r="B28" s="138"/>
      <c r="C28" s="139"/>
      <c r="E28" s="136"/>
      <c r="F28" s="135"/>
      <c r="G28" s="136"/>
      <c r="H28" s="121"/>
      <c r="I28" s="136"/>
      <c r="J28" s="135"/>
      <c r="K28" s="136"/>
      <c r="M28" s="618"/>
      <c r="N28" s="131"/>
      <c r="O28" s="132"/>
      <c r="P28" s="522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</row>
    <row r="29" spans="2:27" s="126" customFormat="1">
      <c r="B29" s="129">
        <v>4</v>
      </c>
      <c r="C29" s="130" t="s">
        <v>34</v>
      </c>
      <c r="E29" s="598">
        <f>MIN(E30:E34)</f>
        <v>45096</v>
      </c>
      <c r="F29" s="460">
        <f>SUM(F30:F34)</f>
        <v>103</v>
      </c>
      <c r="G29" s="598">
        <f>MAX(G30:G34)</f>
        <v>45239</v>
      </c>
      <c r="H29" s="459"/>
      <c r="I29" s="598">
        <f>MIN(I30:I34)</f>
        <v>45099</v>
      </c>
      <c r="J29" s="460">
        <f>SUM(J30:J34)</f>
        <v>155</v>
      </c>
      <c r="K29" s="598">
        <f>MAX(K30:K34)</f>
        <v>45273</v>
      </c>
      <c r="M29" s="623">
        <f>(J30*M30+J31*M31+J32*M32+J33*M33+J34*M34)/J29</f>
        <v>1</v>
      </c>
      <c r="N29" s="458"/>
      <c r="O29" s="132"/>
      <c r="P29" s="521"/>
      <c r="Q29" s="458"/>
      <c r="R29" s="458"/>
      <c r="S29" s="458"/>
      <c r="T29" s="458"/>
      <c r="U29" s="458"/>
      <c r="V29" s="458"/>
      <c r="W29" s="458"/>
      <c r="X29" s="458"/>
      <c r="Y29" s="458"/>
      <c r="Z29" s="458"/>
      <c r="AA29" s="458"/>
    </row>
    <row r="30" spans="2:27" s="88" customFormat="1">
      <c r="B30" s="133" t="s">
        <v>144</v>
      </c>
      <c r="C30" s="134" t="s">
        <v>145</v>
      </c>
      <c r="E30" s="453">
        <v>45096</v>
      </c>
      <c r="F30" s="135">
        <v>1</v>
      </c>
      <c r="G30" s="453">
        <f>WORKDAY.INTL(E30,F30,1,Data!$C$3:$C$14)</f>
        <v>45097</v>
      </c>
      <c r="H30" s="121"/>
      <c r="I30" s="453">
        <v>45099</v>
      </c>
      <c r="J30" s="135">
        <v>1</v>
      </c>
      <c r="K30" s="453">
        <f>WORKDAY.INTL(I30,J30,1,Data!$C$3:$C$14)</f>
        <v>45100</v>
      </c>
      <c r="M30" s="617">
        <v>1</v>
      </c>
      <c r="N30" s="131"/>
      <c r="O30" s="137"/>
      <c r="P30" s="522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</row>
    <row r="31" spans="2:27" s="88" customFormat="1">
      <c r="B31" s="133" t="s">
        <v>146</v>
      </c>
      <c r="C31" s="134" t="s">
        <v>147</v>
      </c>
      <c r="E31" s="453">
        <f>WORKDAY.INTL(G30,0,1,Data!$C$3:$C$14)</f>
        <v>45097</v>
      </c>
      <c r="F31" s="135">
        <v>50</v>
      </c>
      <c r="G31" s="453">
        <f>WORKDAY.INTL(E31,F31,1,Data!$C$3:$C$14)</f>
        <v>45167</v>
      </c>
      <c r="H31" s="121"/>
      <c r="I31" s="453">
        <f>WORKDAY.INTL(K30,0,1,Data!$C$3:$C$14)</f>
        <v>45100</v>
      </c>
      <c r="J31" s="135">
        <v>50</v>
      </c>
      <c r="K31" s="681">
        <f>WORKDAY.INTL(I31,J31,1,Data!$C$3:$C$14)</f>
        <v>45170</v>
      </c>
      <c r="M31" s="617">
        <v>1</v>
      </c>
      <c r="N31" s="131"/>
      <c r="O31" s="137"/>
      <c r="P31" s="522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</row>
    <row r="32" spans="2:27" s="88" customFormat="1">
      <c r="B32" s="133" t="s">
        <v>148</v>
      </c>
      <c r="C32" s="134" t="s">
        <v>149</v>
      </c>
      <c r="E32" s="453">
        <f t="shared" ref="E32:E34" si="0">+G31</f>
        <v>45167</v>
      </c>
      <c r="F32" s="135">
        <v>1</v>
      </c>
      <c r="G32" s="453">
        <f>WORKDAY.INTL(E32,F32,1,Data!$C$3:$C$14)</f>
        <v>45168</v>
      </c>
      <c r="H32" s="121"/>
      <c r="I32" s="453">
        <f t="shared" ref="I32:I33" si="1">+K31</f>
        <v>45170</v>
      </c>
      <c r="J32" s="135">
        <v>1</v>
      </c>
      <c r="K32" s="453">
        <f>WORKDAY.INTL(I32,J32,1,Data!$C$3:$C$14)</f>
        <v>45173</v>
      </c>
      <c r="M32" s="617">
        <v>1</v>
      </c>
      <c r="N32" s="131"/>
      <c r="O32" s="137"/>
      <c r="P32" s="522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</row>
    <row r="33" spans="2:27" s="88" customFormat="1">
      <c r="B33" s="133" t="s">
        <v>150</v>
      </c>
      <c r="C33" s="134" t="s">
        <v>151</v>
      </c>
      <c r="E33" s="453">
        <f t="shared" si="0"/>
        <v>45168</v>
      </c>
      <c r="F33" s="135">
        <v>30</v>
      </c>
      <c r="G33" s="453">
        <f>WORKDAY.INTL(E33,F33,1,Data!$C$3:$C$14)</f>
        <v>45210</v>
      </c>
      <c r="H33" s="121"/>
      <c r="I33" s="453">
        <f t="shared" si="1"/>
        <v>45173</v>
      </c>
      <c r="J33" s="135">
        <v>72</v>
      </c>
      <c r="K33" s="453">
        <f>WORKDAY.INTL(I33,J33,1,Data!$C$3:$C$14)</f>
        <v>45273</v>
      </c>
      <c r="M33" s="617">
        <v>1</v>
      </c>
      <c r="N33" s="131"/>
      <c r="O33" s="137"/>
      <c r="P33" s="522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</row>
    <row r="34" spans="2:27" s="88" customFormat="1">
      <c r="B34" s="133" t="s">
        <v>152</v>
      </c>
      <c r="C34" s="134" t="s">
        <v>153</v>
      </c>
      <c r="E34" s="453">
        <f t="shared" si="0"/>
        <v>45210</v>
      </c>
      <c r="F34" s="135">
        <v>21</v>
      </c>
      <c r="G34" s="453">
        <f>WORKDAY.INTL(E34,F34,1,Data!$C$3:$C$14)</f>
        <v>45239</v>
      </c>
      <c r="H34" s="121"/>
      <c r="I34" s="453">
        <f>+I31+45</f>
        <v>45145</v>
      </c>
      <c r="J34" s="135">
        <v>31</v>
      </c>
      <c r="K34" s="453">
        <f>WORKDAY.INTL(I34,J34,1,Data!$C$3:$C$14)</f>
        <v>45188</v>
      </c>
      <c r="M34" s="617">
        <v>1</v>
      </c>
      <c r="N34" s="131"/>
      <c r="O34" s="137"/>
      <c r="P34" s="522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</row>
    <row r="35" spans="2:27" s="88" customFormat="1" ht="4.5" customHeight="1">
      <c r="B35" s="138"/>
      <c r="C35" s="139"/>
      <c r="E35" s="136"/>
      <c r="F35" s="135"/>
      <c r="G35" s="136"/>
      <c r="H35" s="121"/>
      <c r="I35" s="136"/>
      <c r="J35" s="135"/>
      <c r="K35" s="136"/>
      <c r="M35" s="618"/>
      <c r="N35" s="131"/>
      <c r="O35" s="132"/>
      <c r="P35" s="522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</row>
    <row r="36" spans="2:27" s="126" customFormat="1">
      <c r="B36" s="129">
        <v>5</v>
      </c>
      <c r="C36" s="130" t="s">
        <v>154</v>
      </c>
      <c r="E36" s="598">
        <f>MIN(E37:E40)</f>
        <v>45167</v>
      </c>
      <c r="F36" s="460">
        <f>SUM(F37:F41)</f>
        <v>73</v>
      </c>
      <c r="G36" s="598">
        <f>MAX(G37:G40)</f>
        <v>45267</v>
      </c>
      <c r="H36" s="90"/>
      <c r="I36" s="598">
        <f>MIN(I37:I40)</f>
        <v>45170</v>
      </c>
      <c r="J36" s="460">
        <f>SUM(J37:J41)</f>
        <v>51</v>
      </c>
      <c r="K36" s="598">
        <f>MAX(K37:K40)</f>
        <v>45240</v>
      </c>
      <c r="M36" s="623">
        <f>(J37*M37+J38*M38+J39*M39+J40*M40)/J36</f>
        <v>1</v>
      </c>
      <c r="N36" s="458"/>
      <c r="O36" s="132"/>
      <c r="P36" s="521"/>
      <c r="Q36" s="458"/>
      <c r="R36" s="458"/>
      <c r="S36" s="458"/>
      <c r="T36" s="458"/>
      <c r="U36" s="458"/>
      <c r="V36" s="458"/>
      <c r="W36" s="458"/>
      <c r="X36" s="458"/>
      <c r="Y36" s="458"/>
      <c r="Z36" s="458"/>
      <c r="AA36" s="458"/>
    </row>
    <row r="37" spans="2:27" s="88" customFormat="1">
      <c r="B37" s="133" t="s">
        <v>155</v>
      </c>
      <c r="C37" s="134" t="s">
        <v>156</v>
      </c>
      <c r="E37" s="454">
        <f>+G31</f>
        <v>45167</v>
      </c>
      <c r="F37" s="452">
        <v>1</v>
      </c>
      <c r="G37" s="453">
        <f>WORKDAY.INTL(E37,F37,1,Data!$C$3:$C$14)</f>
        <v>45168</v>
      </c>
      <c r="H37" s="121"/>
      <c r="I37" s="681">
        <f>+K31</f>
        <v>45170</v>
      </c>
      <c r="J37" s="452">
        <v>1</v>
      </c>
      <c r="K37" s="453">
        <f>WORKDAY.INTL(I37,J37,1,Data!$C$3:$C$14)</f>
        <v>45173</v>
      </c>
      <c r="M37" s="617">
        <v>1</v>
      </c>
      <c r="N37" s="131"/>
      <c r="O37" s="137" t="s">
        <v>157</v>
      </c>
      <c r="P37" s="522" t="str" cm="1">
        <f t="array" ref="P37">_xlfn.LET(_xlpm.w,$B$10:$B$53,_xlpm.r,$M$10:$M$53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Q37" s="131" t="str" cm="1">
        <f t="array" ref="Q37">_xlfn.LET(_xlpm.w,$B$10:$B$53,_xlpm.r,$N$10:$N$53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</row>
    <row r="38" spans="2:27" s="88" customFormat="1">
      <c r="B38" s="133">
        <v>5.2</v>
      </c>
      <c r="C38" s="134" t="s">
        <v>158</v>
      </c>
      <c r="E38" s="454">
        <f>+G37+7</f>
        <v>45175</v>
      </c>
      <c r="F38" s="452">
        <v>1</v>
      </c>
      <c r="G38" s="453">
        <f>WORKDAY.INTL(E38,F38,1,Data!$C$3:$C$14)</f>
        <v>45176</v>
      </c>
      <c r="H38" s="121"/>
      <c r="I38" s="454">
        <f>+K37+7</f>
        <v>45180</v>
      </c>
      <c r="J38" s="452">
        <v>1</v>
      </c>
      <c r="K38" s="453">
        <f>WORKDAY.INTL(I38,J38,1,Data!$C$3:$C$14)</f>
        <v>45181</v>
      </c>
      <c r="M38" s="617">
        <v>1</v>
      </c>
      <c r="N38" s="131"/>
      <c r="O38" s="137"/>
      <c r="P38" s="522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</row>
    <row r="39" spans="2:27" s="88" customFormat="1">
      <c r="B39" s="133">
        <v>5.3</v>
      </c>
      <c r="C39" s="134" t="s">
        <v>159</v>
      </c>
      <c r="E39" s="454">
        <f>+G38+7</f>
        <v>45183</v>
      </c>
      <c r="F39" s="452">
        <v>1</v>
      </c>
      <c r="G39" s="453">
        <f>WORKDAY.INTL(E39,F39,1,Data!$C$3:$C$14)</f>
        <v>45184</v>
      </c>
      <c r="H39" s="121"/>
      <c r="I39" s="454">
        <f>+K38+7</f>
        <v>45188</v>
      </c>
      <c r="J39" s="452">
        <v>1</v>
      </c>
      <c r="K39" s="453">
        <f>WORKDAY.INTL(I39,J39,1,Data!$C$3:$C$14)</f>
        <v>45189</v>
      </c>
      <c r="M39" s="617">
        <v>1</v>
      </c>
      <c r="N39" s="131"/>
      <c r="O39" s="137"/>
      <c r="P39" s="522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</row>
    <row r="40" spans="2:27" s="88" customFormat="1">
      <c r="B40" s="133">
        <v>5.4</v>
      </c>
      <c r="C40" s="134" t="s">
        <v>160</v>
      </c>
      <c r="E40" s="454">
        <f>WORKDAY.INTL(G37,0,1,Data!$C$3:$C$14)+1</f>
        <v>45169</v>
      </c>
      <c r="F40" s="452">
        <v>70</v>
      </c>
      <c r="G40" s="453">
        <f>WORKDAY.INTL(E40,F40,1,Data!$C$3:$C$14)</f>
        <v>45267</v>
      </c>
      <c r="H40" s="121"/>
      <c r="I40" s="454">
        <f>WORKDAY.INTL(K37,0,1,Data!$C$3:$C$14)+1</f>
        <v>45174</v>
      </c>
      <c r="J40" s="680">
        <v>48</v>
      </c>
      <c r="K40" s="453">
        <f>WORKDAY.INTL(I40,J40,1,Data!$C$3:$C$14)</f>
        <v>45240</v>
      </c>
      <c r="M40" s="617">
        <v>1</v>
      </c>
      <c r="N40" s="131"/>
      <c r="O40" s="137" t="s">
        <v>140</v>
      </c>
      <c r="P40" s="522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</row>
    <row r="41" spans="2:27" s="88" customFormat="1" ht="4.5" customHeight="1">
      <c r="B41" s="89"/>
      <c r="E41" s="135"/>
      <c r="F41" s="457"/>
      <c r="G41" s="135"/>
      <c r="H41" s="121"/>
      <c r="I41" s="135"/>
      <c r="J41" s="457"/>
      <c r="K41" s="135"/>
      <c r="L41" s="131"/>
      <c r="M41" s="619"/>
      <c r="N41" s="131"/>
      <c r="O41" s="131"/>
      <c r="P41" s="522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</row>
    <row r="42" spans="2:27" s="126" customFormat="1">
      <c r="B42" s="129">
        <v>6</v>
      </c>
      <c r="C42" s="130" t="s">
        <v>161</v>
      </c>
      <c r="E42" s="598">
        <f>MIN(E43:E45)</f>
        <v>0</v>
      </c>
      <c r="F42" s="460">
        <f>SUM(F43:F46)</f>
        <v>13</v>
      </c>
      <c r="G42" s="598">
        <f>MAX(G43:G45)</f>
        <v>45281</v>
      </c>
      <c r="H42" s="90"/>
      <c r="I42" s="598">
        <f>MIN(I43:I45)</f>
        <v>45317</v>
      </c>
      <c r="J42" s="460">
        <f>SUM(J43:J46)</f>
        <v>6</v>
      </c>
      <c r="K42" s="598">
        <f>MAX(K43:K45)</f>
        <v>45330</v>
      </c>
      <c r="M42" s="616">
        <v>1</v>
      </c>
      <c r="N42" s="458"/>
      <c r="O42" s="132"/>
      <c r="P42" s="521"/>
      <c r="Q42" s="458"/>
      <c r="R42" s="458"/>
      <c r="S42" s="458"/>
      <c r="T42" s="458"/>
      <c r="U42" s="458"/>
      <c r="V42" s="458"/>
      <c r="W42" s="458"/>
      <c r="X42" s="458"/>
      <c r="Y42" s="458"/>
      <c r="Z42" s="458"/>
      <c r="AA42" s="458"/>
    </row>
    <row r="43" spans="2:27" s="88" customFormat="1">
      <c r="B43" s="133" t="s">
        <v>162</v>
      </c>
      <c r="C43" s="141" t="s">
        <v>163</v>
      </c>
      <c r="E43" s="454">
        <f>WORKDAY.INTL(G40,0,1,Data!$C$3:$C$14)</f>
        <v>45267</v>
      </c>
      <c r="F43" s="452">
        <v>3</v>
      </c>
      <c r="G43" s="453">
        <f>WORKDAY.INTL(E43,F43,1,Data!$C$3:$C$14)</f>
        <v>45272</v>
      </c>
      <c r="H43" s="121"/>
      <c r="I43" s="454">
        <v>45317</v>
      </c>
      <c r="J43" s="452">
        <v>1</v>
      </c>
      <c r="K43" s="453">
        <f>WORKDAY.INTL(I43,J43,1,Data!$C$3:$C$14)</f>
        <v>45320</v>
      </c>
      <c r="M43" s="617">
        <v>1</v>
      </c>
      <c r="N43" s="131"/>
      <c r="O43" s="137" t="s">
        <v>164</v>
      </c>
      <c r="P43" s="522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</row>
    <row r="44" spans="2:27" s="88" customFormat="1">
      <c r="B44" s="133">
        <v>6.2</v>
      </c>
      <c r="C44" s="141" t="s">
        <v>165</v>
      </c>
      <c r="E44" s="454">
        <f>WORKDAY.INTL(G41,0,1,Data!$C$3:$C$14)</f>
        <v>0</v>
      </c>
      <c r="F44" s="452">
        <v>3</v>
      </c>
      <c r="G44" s="453">
        <f>WORKDAY.INTL(E44,F44,1,Data!$C$3:$C$14)</f>
        <v>4</v>
      </c>
      <c r="H44" s="121"/>
      <c r="I44" s="454">
        <v>45321</v>
      </c>
      <c r="J44" s="452">
        <v>1</v>
      </c>
      <c r="K44" s="453">
        <f>WORKDAY.INTL(I44,J44,1,Data!$C$3:$C$14)</f>
        <v>45322</v>
      </c>
      <c r="M44" s="617">
        <v>1</v>
      </c>
      <c r="N44" s="131"/>
      <c r="O44" s="137"/>
      <c r="P44" s="522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</row>
    <row r="45" spans="2:27" s="88" customFormat="1">
      <c r="B45" s="133" t="s">
        <v>166</v>
      </c>
      <c r="C45" s="141" t="s">
        <v>167</v>
      </c>
      <c r="E45" s="454">
        <f>WORKDAY.INTL(G43,0,1,Data!$C$3:$C$14)</f>
        <v>45272</v>
      </c>
      <c r="F45" s="452">
        <v>7</v>
      </c>
      <c r="G45" s="453">
        <f>WORKDAY.INTL(E45,F45,1,Data!$C$3:$C$14)</f>
        <v>45281</v>
      </c>
      <c r="H45" s="121"/>
      <c r="I45" s="454">
        <f>WORKDAY.INTL(K43,0,1,Data!$C$3:$C$14)+4</f>
        <v>45324</v>
      </c>
      <c r="J45" s="452">
        <v>4</v>
      </c>
      <c r="K45" s="453">
        <f>WORKDAY.INTL(I45,J45,1,Data!$C$3:$C$14)</f>
        <v>45330</v>
      </c>
      <c r="M45" s="617">
        <v>1</v>
      </c>
      <c r="N45" s="131"/>
      <c r="O45" s="137" t="s">
        <v>168</v>
      </c>
      <c r="P45" s="522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</row>
    <row r="46" spans="2:27" s="88" customFormat="1" ht="4.5" customHeight="1">
      <c r="B46" s="89"/>
      <c r="E46" s="135"/>
      <c r="F46" s="457"/>
      <c r="G46" s="135"/>
      <c r="H46" s="121"/>
      <c r="I46" s="135"/>
      <c r="J46" s="457"/>
      <c r="K46" s="135"/>
      <c r="L46" s="131"/>
      <c r="M46" s="619"/>
      <c r="N46" s="131"/>
      <c r="O46" s="131"/>
      <c r="P46" s="522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</row>
    <row r="47" spans="2:27" s="126" customFormat="1">
      <c r="B47" s="129">
        <v>7</v>
      </c>
      <c r="C47" s="130" t="s">
        <v>169</v>
      </c>
      <c r="E47" s="598">
        <f>MIN(E48:E55)</f>
        <v>45302</v>
      </c>
      <c r="F47" s="460">
        <f>SUM(F48:F53)</f>
        <v>12</v>
      </c>
      <c r="G47" s="598">
        <f>MAX(G48:G55)</f>
        <v>45322</v>
      </c>
      <c r="H47" s="90"/>
      <c r="I47" s="598">
        <f>MIN(I48:I55)</f>
        <v>45330</v>
      </c>
      <c r="J47" s="460">
        <f>SUM(J48:J53)</f>
        <v>58</v>
      </c>
      <c r="K47" s="598">
        <f>MAX(K48:K55)</f>
        <v>45425</v>
      </c>
      <c r="M47" s="623">
        <v>1</v>
      </c>
      <c r="N47" s="458"/>
      <c r="O47" s="132"/>
      <c r="P47" s="521"/>
      <c r="Q47" s="458"/>
      <c r="R47" s="458"/>
      <c r="S47" s="458"/>
      <c r="T47" s="458"/>
      <c r="U47" s="458"/>
      <c r="V47" s="458"/>
      <c r="W47" s="458"/>
      <c r="X47" s="458"/>
      <c r="Y47" s="458"/>
      <c r="Z47" s="458"/>
      <c r="AA47" s="458"/>
    </row>
    <row r="48" spans="2:27" s="88" customFormat="1">
      <c r="B48" s="811" t="s">
        <v>170</v>
      </c>
      <c r="C48" s="141" t="s">
        <v>171</v>
      </c>
      <c r="E48" s="454">
        <f>WORKDAY.INTL(E50,0,1,Data!$C$3:$C$14)</f>
        <v>45302</v>
      </c>
      <c r="F48" s="452">
        <v>0</v>
      </c>
      <c r="G48" s="454">
        <f>WORKDAY.INTL(E48,F48,1,Data!$C$3:$C$14)</f>
        <v>45302</v>
      </c>
      <c r="H48" s="121"/>
      <c r="I48" s="454">
        <f>WORKDAY.INTL(K45,0,1,Data!$C$3:$C$14)</f>
        <v>45330</v>
      </c>
      <c r="J48" s="452">
        <v>1</v>
      </c>
      <c r="K48" s="454">
        <f>WORKDAY.INTL(I48,J48,1,Data!$C$3:$C$14)</f>
        <v>45331</v>
      </c>
      <c r="M48" s="617">
        <v>1</v>
      </c>
      <c r="N48" s="131"/>
      <c r="O48" s="137"/>
      <c r="P48" s="522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</row>
    <row r="49" spans="2:27" s="88" customFormat="1">
      <c r="B49" s="811" t="s">
        <v>172</v>
      </c>
      <c r="C49" s="827" t="s">
        <v>173</v>
      </c>
      <c r="D49" s="91"/>
      <c r="E49" s="828"/>
      <c r="F49" s="829"/>
      <c r="G49" s="828"/>
      <c r="H49" s="830"/>
      <c r="I49" s="828">
        <v>45356</v>
      </c>
      <c r="J49" s="829">
        <v>15</v>
      </c>
      <c r="K49" s="828">
        <v>45377</v>
      </c>
      <c r="M49" s="617">
        <v>1</v>
      </c>
      <c r="N49" s="131"/>
      <c r="O49" s="137"/>
      <c r="P49" s="522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</row>
    <row r="50" spans="2:27" s="88" customFormat="1">
      <c r="B50" s="811" t="s">
        <v>174</v>
      </c>
      <c r="C50" s="141" t="s">
        <v>175</v>
      </c>
      <c r="E50" s="454">
        <f>WORKDAY.INTL(G58,0,1,Data!$C$3:$C$14)</f>
        <v>45302</v>
      </c>
      <c r="F50" s="452">
        <v>3</v>
      </c>
      <c r="G50" s="454">
        <f>WORKDAY.INTL(E50,F50,1,Data!$C$3:$C$14)</f>
        <v>45307</v>
      </c>
      <c r="H50" s="121"/>
      <c r="I50" s="454">
        <f>WORKDAY.INTL(K58,0,1,Data!$C$3:$C$14)</f>
        <v>45352</v>
      </c>
      <c r="J50" s="452">
        <v>20</v>
      </c>
      <c r="K50" s="454">
        <f>WORKDAY.INTL(I50,J50,1,Data!$C$3:$C$14)</f>
        <v>45380</v>
      </c>
      <c r="M50" s="617">
        <v>1</v>
      </c>
      <c r="N50" s="131"/>
      <c r="O50" s="137"/>
      <c r="P50" s="522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</row>
    <row r="51" spans="2:27" s="88" customFormat="1">
      <c r="B51" s="811" t="s">
        <v>174</v>
      </c>
      <c r="C51" s="141" t="s">
        <v>176</v>
      </c>
      <c r="E51" s="454"/>
      <c r="F51" s="452"/>
      <c r="G51" s="454"/>
      <c r="H51" s="121"/>
      <c r="I51" s="454">
        <f>WORKDAY.INTL(K58,0,1,Data!$C$3:$C$14)+45</f>
        <v>45397</v>
      </c>
      <c r="J51" s="452">
        <v>20</v>
      </c>
      <c r="K51" s="454">
        <f>WORKDAY.INTL(I51,J51,1,Data!$C$3:$C$14)</f>
        <v>45425</v>
      </c>
      <c r="M51" s="617">
        <v>1</v>
      </c>
      <c r="N51" s="131"/>
      <c r="O51" s="137"/>
      <c r="P51" s="522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</row>
    <row r="52" spans="2:27" s="88" customFormat="1">
      <c r="B52" s="811" t="s">
        <v>177</v>
      </c>
      <c r="C52" s="141" t="s">
        <v>178</v>
      </c>
      <c r="E52" s="454">
        <f>WORKDAY.INTL(G50,0,1,Data!$C$3:$C$14)</f>
        <v>45307</v>
      </c>
      <c r="F52" s="452">
        <v>7</v>
      </c>
      <c r="G52" s="454">
        <f>WORKDAY.INTL(E52,F52,1,Data!$C$3:$C$14)</f>
        <v>45316</v>
      </c>
      <c r="H52" s="121"/>
      <c r="I52" s="454">
        <f>WORKDAY.INTL(K50,0,1,Data!$C$3:$C$14)</f>
        <v>45380</v>
      </c>
      <c r="J52" s="452">
        <v>1</v>
      </c>
      <c r="K52" s="454">
        <f>WORKDAY.INTL(I52,J52,1,Data!$C$3:$C$14)</f>
        <v>45383</v>
      </c>
      <c r="M52" s="617">
        <v>1</v>
      </c>
      <c r="N52" s="131"/>
      <c r="O52" s="137"/>
      <c r="P52" s="522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</row>
    <row r="53" spans="2:27" s="88" customFormat="1">
      <c r="B53" s="811" t="s">
        <v>179</v>
      </c>
      <c r="C53" s="141" t="s">
        <v>180</v>
      </c>
      <c r="E53" s="454">
        <f>WORKDAY.INTL(G52,0,1,Data!$C$3:$C$14)</f>
        <v>45316</v>
      </c>
      <c r="F53" s="452">
        <v>2</v>
      </c>
      <c r="G53" s="454">
        <f>WORKDAY.INTL(E53,F53,1,Data!$C$3:$C$14)</f>
        <v>45320</v>
      </c>
      <c r="H53" s="121"/>
      <c r="I53" s="454">
        <f>WORKDAY.INTL(K52,0,1,Data!$C$3:$C$14)+8</f>
        <v>45391</v>
      </c>
      <c r="J53" s="452">
        <v>1</v>
      </c>
      <c r="K53" s="454">
        <f>WORKDAY.INTL(I53,J53,1,Data!$C$3:$C$14)</f>
        <v>45392</v>
      </c>
      <c r="M53" s="617">
        <v>1</v>
      </c>
      <c r="N53" s="131"/>
      <c r="O53" s="137"/>
      <c r="P53" s="522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</row>
    <row r="54" spans="2:27" s="88" customFormat="1">
      <c r="B54" s="811" t="s">
        <v>181</v>
      </c>
      <c r="C54" s="141" t="s">
        <v>182</v>
      </c>
      <c r="E54" s="454">
        <f>WORKDAY.INTL(G53,0,1,Data!$C$3:$C$14)</f>
        <v>45320</v>
      </c>
      <c r="F54" s="452">
        <v>1</v>
      </c>
      <c r="G54" s="454">
        <f>WORKDAY.INTL(E54,F54,1,Data!$C$3:$C$14)</f>
        <v>45321</v>
      </c>
      <c r="H54" s="121"/>
      <c r="I54" s="454">
        <f>WORKDAY.INTL(K53,0,1,Data!$C$3:$C$14)</f>
        <v>45392</v>
      </c>
      <c r="J54" s="452">
        <v>1</v>
      </c>
      <c r="K54" s="454">
        <f>WORKDAY.INTL(I54,J54,1,Data!$C$3:$C$14)</f>
        <v>45393</v>
      </c>
      <c r="M54" s="617">
        <v>1</v>
      </c>
      <c r="N54" s="131"/>
      <c r="O54" s="137"/>
      <c r="P54" s="522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</row>
    <row r="55" spans="2:27" s="88" customFormat="1">
      <c r="B55" s="811" t="s">
        <v>183</v>
      </c>
      <c r="C55" s="141" t="s">
        <v>184</v>
      </c>
      <c r="E55" s="454">
        <f>WORKDAY.INTL(G54,0,1,Data!$C$3:$C$14)</f>
        <v>45321</v>
      </c>
      <c r="F55" s="452">
        <v>1</v>
      </c>
      <c r="G55" s="454">
        <f>WORKDAY.INTL(E55,F55,1,Data!$C$3:$C$14)</f>
        <v>45322</v>
      </c>
      <c r="H55" s="121"/>
      <c r="I55" s="454">
        <f>WORKDAY.INTL(K54,0,1,Data!$C$3:$C$14)</f>
        <v>45393</v>
      </c>
      <c r="J55" s="452">
        <v>1</v>
      </c>
      <c r="K55" s="454">
        <f>WORKDAY.INTL(I55,J55,1,Data!$C$3:$C$14)</f>
        <v>45394</v>
      </c>
      <c r="M55" s="617">
        <v>1</v>
      </c>
      <c r="N55" s="131"/>
      <c r="O55" s="137"/>
      <c r="P55" s="522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</row>
    <row r="56" spans="2:27" s="88" customFormat="1" ht="4.5" customHeight="1">
      <c r="B56" s="89"/>
      <c r="E56" s="135"/>
      <c r="F56" s="457"/>
      <c r="G56" s="135"/>
      <c r="H56" s="121"/>
      <c r="I56" s="135"/>
      <c r="J56" s="457"/>
      <c r="K56" s="135"/>
      <c r="L56" s="131"/>
      <c r="M56" s="619"/>
      <c r="N56" s="131"/>
      <c r="O56" s="131"/>
      <c r="P56" s="522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</row>
    <row r="57" spans="2:27" s="126" customFormat="1">
      <c r="B57" s="129">
        <v>8</v>
      </c>
      <c r="C57" s="130" t="s">
        <v>185</v>
      </c>
      <c r="E57" s="598">
        <f>MIN(E58)</f>
        <v>45302</v>
      </c>
      <c r="F57" s="460">
        <f>SUM(F58)</f>
        <v>1</v>
      </c>
      <c r="G57" s="598">
        <f>MAX(G58)</f>
        <v>45302</v>
      </c>
      <c r="H57" s="90"/>
      <c r="I57" s="598">
        <f>MIN(I58)</f>
        <v>45333</v>
      </c>
      <c r="J57" s="460">
        <f>SUM(J58)</f>
        <v>15</v>
      </c>
      <c r="K57" s="598">
        <f>MAX(K58)</f>
        <v>45352</v>
      </c>
      <c r="M57" s="616">
        <f>(J58*M58)/J57</f>
        <v>1</v>
      </c>
      <c r="N57" s="458"/>
      <c r="O57" s="132"/>
      <c r="P57" s="521"/>
      <c r="Q57" s="458"/>
      <c r="R57" s="458"/>
      <c r="S57" s="458"/>
      <c r="T57" s="458"/>
      <c r="U57" s="458"/>
      <c r="V57" s="458"/>
      <c r="W57" s="458"/>
      <c r="X57" s="458"/>
      <c r="Y57" s="458"/>
      <c r="Z57" s="458"/>
      <c r="AA57" s="458"/>
    </row>
    <row r="58" spans="2:27">
      <c r="B58" s="133" t="s">
        <v>186</v>
      </c>
      <c r="C58" s="141" t="s">
        <v>187</v>
      </c>
      <c r="E58" s="140">
        <f>+G45+21</f>
        <v>45302</v>
      </c>
      <c r="F58" s="135">
        <v>1</v>
      </c>
      <c r="G58" s="140">
        <f>WORKDAY.INTL(E58,0,1,Data!$C$3:$C$14)</f>
        <v>45302</v>
      </c>
      <c r="H58" s="121"/>
      <c r="I58" s="140">
        <f>+K45+3</f>
        <v>45333</v>
      </c>
      <c r="J58" s="135">
        <v>15</v>
      </c>
      <c r="K58" s="140">
        <f>WORKDAY.INTL(I58,J58,1,Data!$C$3:$C$14)</f>
        <v>45352</v>
      </c>
      <c r="M58" s="617">
        <v>1</v>
      </c>
      <c r="N58" s="131"/>
      <c r="O58" s="137"/>
      <c r="X58" s="91"/>
    </row>
    <row r="59" spans="2:27" s="88" customFormat="1" ht="4.5" customHeight="1">
      <c r="B59" s="89"/>
      <c r="E59" s="135"/>
      <c r="F59" s="457"/>
      <c r="G59" s="135"/>
      <c r="H59" s="121"/>
      <c r="I59" s="135"/>
      <c r="J59" s="457"/>
      <c r="K59" s="135"/>
      <c r="L59" s="131"/>
      <c r="M59" s="619"/>
      <c r="N59" s="131"/>
      <c r="O59" s="137"/>
      <c r="P59" s="522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</row>
    <row r="60" spans="2:27">
      <c r="B60" s="129">
        <v>9</v>
      </c>
      <c r="C60" s="130" t="s">
        <v>565</v>
      </c>
      <c r="D60" s="126"/>
      <c r="E60" s="598"/>
      <c r="F60" s="460"/>
      <c r="G60" s="598"/>
      <c r="H60" s="90"/>
      <c r="I60" s="598">
        <f>MIN(I61:I69)</f>
        <v>46064</v>
      </c>
      <c r="J60" s="460">
        <f>SUM(J61:J67)</f>
        <v>56</v>
      </c>
      <c r="K60" s="598">
        <f>MAX(K61:K69)</f>
        <v>46142</v>
      </c>
      <c r="L60" s="126"/>
      <c r="M60" s="623">
        <v>1</v>
      </c>
      <c r="N60" s="131"/>
      <c r="O60" s="137"/>
      <c r="X60" s="91"/>
    </row>
    <row r="61" spans="2:27">
      <c r="B61" s="811" t="s">
        <v>566</v>
      </c>
      <c r="C61" s="141" t="s">
        <v>575</v>
      </c>
      <c r="E61" s="454"/>
      <c r="F61" s="452"/>
      <c r="G61" s="454"/>
      <c r="H61" s="121"/>
      <c r="I61" s="454">
        <v>46064</v>
      </c>
      <c r="J61" s="452">
        <v>17</v>
      </c>
      <c r="K61" s="454">
        <f>WORKDAY.INTL(I61,J61,1,Data!$C$3:$C$14)</f>
        <v>46087</v>
      </c>
      <c r="M61" s="617">
        <v>0</v>
      </c>
      <c r="N61" s="131"/>
      <c r="O61" s="137"/>
      <c r="X61" s="91"/>
    </row>
    <row r="62" spans="2:27">
      <c r="B62" s="811" t="s">
        <v>567</v>
      </c>
      <c r="C62" s="141" t="s">
        <v>578</v>
      </c>
      <c r="D62" s="91"/>
      <c r="E62" s="828"/>
      <c r="F62" s="829"/>
      <c r="G62" s="828"/>
      <c r="H62" s="830"/>
      <c r="I62" s="454">
        <f>WORKDAY.INTL(K61,0,1,Data!$C$3:$C$14)</f>
        <v>46087</v>
      </c>
      <c r="J62" s="829">
        <v>15</v>
      </c>
      <c r="K62" s="454">
        <f>WORKDAY.INTL(I62,J62,1,Data!$C$3:$C$14)</f>
        <v>46108</v>
      </c>
      <c r="M62" s="617">
        <v>0</v>
      </c>
      <c r="N62" s="131"/>
      <c r="O62" s="137"/>
      <c r="X62" s="91"/>
    </row>
    <row r="63" spans="2:27">
      <c r="B63" s="811" t="s">
        <v>568</v>
      </c>
      <c r="C63" s="141" t="s">
        <v>577</v>
      </c>
      <c r="D63" s="91"/>
      <c r="E63" s="828"/>
      <c r="F63" s="829"/>
      <c r="G63" s="828"/>
      <c r="H63" s="830"/>
      <c r="I63" s="454">
        <f>WORKDAY.INTL(K62,0,1,Data!$C$3:$C$14)</f>
        <v>46108</v>
      </c>
      <c r="J63" s="829">
        <v>2</v>
      </c>
      <c r="K63" s="454">
        <f>WORKDAY.INTL(I63,J63,1,Data!$C$3:$C$14)</f>
        <v>46112</v>
      </c>
      <c r="M63" s="617">
        <v>0</v>
      </c>
      <c r="N63" s="131"/>
      <c r="O63" s="137"/>
      <c r="X63" s="91"/>
    </row>
    <row r="64" spans="2:27">
      <c r="B64" s="811" t="s">
        <v>569</v>
      </c>
      <c r="C64" s="141" t="s">
        <v>576</v>
      </c>
      <c r="E64" s="454"/>
      <c r="F64" s="452"/>
      <c r="G64" s="454"/>
      <c r="H64" s="121"/>
      <c r="I64" s="454">
        <f>WORKDAY.INTL(K63,0,1,Data!$C$3:$C$14)</f>
        <v>46112</v>
      </c>
      <c r="J64" s="452">
        <v>10</v>
      </c>
      <c r="K64" s="454">
        <f>WORKDAY.INTL(I64,J64,1,Data!$C$3:$C$14)</f>
        <v>46126</v>
      </c>
      <c r="M64" s="617">
        <v>0</v>
      </c>
      <c r="N64" s="131"/>
      <c r="O64" s="137"/>
      <c r="X64" s="91"/>
    </row>
    <row r="65" spans="2:24">
      <c r="B65" s="811" t="s">
        <v>570</v>
      </c>
      <c r="C65" s="141" t="s">
        <v>579</v>
      </c>
      <c r="E65" s="454"/>
      <c r="F65" s="452"/>
      <c r="G65" s="454"/>
      <c r="H65" s="121"/>
      <c r="I65" s="454">
        <f>WORKDAY.INTL(K64,0,1,Data!$C$3:$C$14)</f>
        <v>46126</v>
      </c>
      <c r="J65" s="452">
        <v>5</v>
      </c>
      <c r="K65" s="454">
        <f>WORKDAY.INTL(I65,J65,1,Data!$C$3:$C$14)</f>
        <v>46133</v>
      </c>
      <c r="M65" s="617">
        <v>0</v>
      </c>
      <c r="N65" s="131"/>
      <c r="O65" s="137"/>
      <c r="X65" s="91"/>
    </row>
    <row r="66" spans="2:24">
      <c r="B66" s="811" t="s">
        <v>571</v>
      </c>
      <c r="C66" s="141" t="s">
        <v>580</v>
      </c>
      <c r="E66" s="454"/>
      <c r="F66" s="452"/>
      <c r="G66" s="454"/>
      <c r="H66" s="121"/>
      <c r="I66" s="454">
        <f>WORKDAY.INTL(K65,0,1,Data!$C$3:$C$14)</f>
        <v>46133</v>
      </c>
      <c r="J66" s="452">
        <v>5</v>
      </c>
      <c r="K66" s="454">
        <f>WORKDAY.INTL(I66,J66,1,Data!$C$3:$C$14)</f>
        <v>46140</v>
      </c>
      <c r="M66" s="617">
        <v>0</v>
      </c>
      <c r="N66" s="131"/>
      <c r="O66" s="137"/>
      <c r="X66" s="91"/>
    </row>
    <row r="67" spans="2:24">
      <c r="B67" s="811" t="s">
        <v>572</v>
      </c>
      <c r="C67" s="141" t="s">
        <v>581</v>
      </c>
      <c r="E67" s="454"/>
      <c r="F67" s="452"/>
      <c r="G67" s="454"/>
      <c r="H67" s="121"/>
      <c r="I67" s="454">
        <f>WORKDAY.INTL(K66,0,1,Data!$C$3:$C$14)</f>
        <v>46140</v>
      </c>
      <c r="J67" s="452">
        <v>2</v>
      </c>
      <c r="K67" s="454">
        <f>WORKDAY.INTL(I67,J67,1,Data!$C$3:$C$14)</f>
        <v>46142</v>
      </c>
      <c r="M67" s="617">
        <v>0</v>
      </c>
      <c r="N67" s="131"/>
      <c r="O67" s="137"/>
      <c r="X67" s="91"/>
    </row>
    <row r="68" spans="2:24">
      <c r="B68" s="811" t="s">
        <v>573</v>
      </c>
      <c r="C68" s="141"/>
      <c r="E68" s="454"/>
      <c r="F68" s="452"/>
      <c r="G68" s="454"/>
      <c r="H68" s="121"/>
      <c r="I68" s="454"/>
      <c r="J68" s="452"/>
      <c r="K68" s="828"/>
      <c r="M68" s="617"/>
      <c r="N68" s="131"/>
      <c r="O68" s="137"/>
      <c r="X68" s="91"/>
    </row>
    <row r="69" spans="2:24">
      <c r="B69" s="811" t="s">
        <v>574</v>
      </c>
      <c r="C69" s="141"/>
      <c r="E69" s="454"/>
      <c r="F69" s="452"/>
      <c r="G69" s="454"/>
      <c r="H69" s="121"/>
      <c r="I69" s="454"/>
      <c r="J69" s="452"/>
      <c r="K69" s="828"/>
      <c r="M69" s="617"/>
      <c r="N69" s="131"/>
      <c r="O69" s="137"/>
      <c r="X69" s="91"/>
    </row>
    <row r="70" spans="2:24" s="468" customFormat="1">
      <c r="B70" s="517"/>
      <c r="E70" s="518"/>
      <c r="F70" s="516"/>
      <c r="J70" s="516"/>
      <c r="M70" s="620"/>
    </row>
    <row r="71" spans="2:24">
      <c r="B71" s="89"/>
      <c r="C71" s="88"/>
      <c r="E71" s="121"/>
      <c r="F71" s="122"/>
      <c r="G71" s="88"/>
      <c r="X71" s="91"/>
    </row>
    <row r="72" spans="2:24">
      <c r="B72" s="89"/>
      <c r="C72" s="88"/>
      <c r="E72" s="121"/>
      <c r="F72" s="122"/>
      <c r="G72" s="88"/>
      <c r="X72" s="91"/>
    </row>
    <row r="73" spans="2:24">
      <c r="B73" s="89"/>
      <c r="C73" s="88"/>
      <c r="E73" s="121"/>
      <c r="F73" s="122"/>
      <c r="G73" s="88"/>
      <c r="X73" s="91"/>
    </row>
    <row r="74" spans="2:24">
      <c r="B74" s="89"/>
      <c r="C74" s="88"/>
      <c r="E74" s="88"/>
      <c r="G74" s="122"/>
    </row>
    <row r="75" spans="2:24">
      <c r="B75" s="89"/>
      <c r="C75" s="88"/>
      <c r="E75" s="88"/>
      <c r="G75" s="122"/>
    </row>
    <row r="76" spans="2:24">
      <c r="B76" s="89"/>
      <c r="C76" s="88"/>
      <c r="E76" s="88"/>
      <c r="G76" s="122"/>
    </row>
    <row r="77" spans="2:24">
      <c r="B77" s="89"/>
      <c r="C77" s="88"/>
      <c r="E77" s="88"/>
      <c r="G77" s="122"/>
    </row>
    <row r="78" spans="2:24">
      <c r="B78" s="89"/>
      <c r="C78" s="88"/>
      <c r="E78" s="88"/>
      <c r="G78" s="122"/>
    </row>
    <row r="79" spans="2:24">
      <c r="B79" s="89"/>
      <c r="C79" s="88"/>
      <c r="E79" s="88"/>
      <c r="G79" s="122"/>
    </row>
    <row r="80" spans="2:24">
      <c r="B80" s="89"/>
      <c r="C80" s="88"/>
      <c r="E80" s="88"/>
      <c r="G80" s="122"/>
    </row>
    <row r="81" spans="2:7">
      <c r="B81" s="89"/>
      <c r="C81" s="88"/>
      <c r="E81" s="88"/>
      <c r="G81" s="122"/>
    </row>
    <row r="82" spans="2:7">
      <c r="B82" s="89"/>
      <c r="C82" s="88"/>
      <c r="E82" s="88"/>
      <c r="G82" s="122"/>
    </row>
    <row r="83" spans="2:7">
      <c r="B83" s="89"/>
      <c r="C83" s="88"/>
      <c r="E83" s="88"/>
      <c r="G83" s="122"/>
    </row>
    <row r="84" spans="2:7">
      <c r="B84" s="89"/>
      <c r="C84" s="88"/>
      <c r="E84" s="88"/>
      <c r="G84" s="122"/>
    </row>
    <row r="85" spans="2:7">
      <c r="B85" s="89"/>
      <c r="C85" s="88"/>
      <c r="E85" s="88"/>
      <c r="G85" s="122"/>
    </row>
    <row r="86" spans="2:7">
      <c r="B86" s="89"/>
      <c r="C86" s="88"/>
      <c r="E86" s="88"/>
      <c r="G86" s="122"/>
    </row>
    <row r="87" spans="2:7">
      <c r="B87" s="89"/>
      <c r="C87" s="88"/>
      <c r="E87" s="88"/>
      <c r="G87" s="122"/>
    </row>
    <row r="88" spans="2:7">
      <c r="B88" s="89"/>
      <c r="C88" s="88"/>
      <c r="E88" s="88"/>
      <c r="G88" s="122"/>
    </row>
    <row r="89" spans="2:7">
      <c r="B89" s="89"/>
      <c r="C89" s="88"/>
      <c r="E89" s="88"/>
      <c r="G89" s="122"/>
    </row>
    <row r="90" spans="2:7">
      <c r="B90" s="89"/>
      <c r="C90" s="88"/>
      <c r="E90" s="88"/>
      <c r="G90" s="122"/>
    </row>
    <row r="91" spans="2:7">
      <c r="B91" s="89"/>
      <c r="C91" s="88"/>
      <c r="E91" s="88"/>
      <c r="G91" s="122"/>
    </row>
    <row r="92" spans="2:7">
      <c r="B92" s="89"/>
      <c r="C92" s="88"/>
      <c r="E92" s="88"/>
      <c r="G92" s="122"/>
    </row>
    <row r="93" spans="2:7">
      <c r="B93" s="89"/>
      <c r="C93" s="88"/>
      <c r="E93" s="88"/>
      <c r="G93" s="122"/>
    </row>
    <row r="94" spans="2:7">
      <c r="B94" s="89"/>
      <c r="C94" s="88"/>
      <c r="E94" s="88"/>
      <c r="G94" s="122"/>
    </row>
    <row r="95" spans="2:7">
      <c r="B95" s="89"/>
      <c r="C95" s="88"/>
      <c r="E95" s="88"/>
      <c r="G95" s="122"/>
    </row>
    <row r="96" spans="2:7">
      <c r="B96" s="89"/>
      <c r="C96" s="88"/>
      <c r="E96" s="88"/>
      <c r="G96" s="122"/>
    </row>
    <row r="97" spans="2:7">
      <c r="B97" s="89"/>
      <c r="C97" s="88"/>
      <c r="E97" s="88"/>
      <c r="G97" s="122"/>
    </row>
    <row r="98" spans="2:7">
      <c r="B98" s="89"/>
      <c r="C98" s="88"/>
      <c r="E98" s="88"/>
      <c r="G98" s="122"/>
    </row>
    <row r="99" spans="2:7">
      <c r="B99" s="89"/>
      <c r="C99" s="88"/>
      <c r="E99" s="88"/>
      <c r="G99" s="122"/>
    </row>
    <row r="100" spans="2:7">
      <c r="B100" s="89"/>
      <c r="C100" s="88"/>
      <c r="E100" s="88"/>
      <c r="G100" s="122"/>
    </row>
    <row r="101" spans="2:7">
      <c r="B101" s="89"/>
      <c r="C101" s="88"/>
      <c r="E101" s="88"/>
      <c r="G101" s="122"/>
    </row>
    <row r="102" spans="2:7">
      <c r="B102" s="89"/>
      <c r="C102" s="88"/>
      <c r="E102" s="88"/>
      <c r="G102" s="122"/>
    </row>
    <row r="103" spans="2:7">
      <c r="B103" s="89"/>
      <c r="C103" s="88"/>
      <c r="E103" s="88"/>
      <c r="G103" s="122"/>
    </row>
    <row r="104" spans="2:7">
      <c r="B104" s="89"/>
      <c r="C104" s="88"/>
      <c r="E104" s="88"/>
      <c r="G104" s="122"/>
    </row>
    <row r="105" spans="2:7">
      <c r="B105" s="89"/>
      <c r="C105" s="88"/>
      <c r="E105" s="88"/>
      <c r="G105" s="122"/>
    </row>
    <row r="106" spans="2:7">
      <c r="B106" s="89"/>
      <c r="C106" s="88"/>
      <c r="E106" s="88"/>
      <c r="G106" s="122"/>
    </row>
    <row r="107" spans="2:7">
      <c r="B107" s="89"/>
      <c r="C107" s="88"/>
      <c r="E107" s="88"/>
      <c r="G107" s="122"/>
    </row>
    <row r="108" spans="2:7">
      <c r="B108" s="89"/>
      <c r="C108" s="88"/>
      <c r="E108" s="88"/>
      <c r="G108" s="122"/>
    </row>
    <row r="109" spans="2:7">
      <c r="B109" s="89"/>
      <c r="C109" s="88"/>
      <c r="E109" s="88"/>
      <c r="G109" s="122"/>
    </row>
    <row r="110" spans="2:7">
      <c r="B110" s="89"/>
      <c r="C110" s="88"/>
      <c r="E110" s="88"/>
      <c r="G110" s="122"/>
    </row>
    <row r="111" spans="2:7">
      <c r="B111" s="89"/>
      <c r="C111" s="88"/>
      <c r="E111" s="88"/>
      <c r="G111" s="122"/>
    </row>
    <row r="112" spans="2:7">
      <c r="B112" s="89"/>
      <c r="C112" s="88"/>
      <c r="E112" s="88"/>
      <c r="G112" s="122"/>
    </row>
    <row r="113" spans="2:7">
      <c r="B113" s="89"/>
      <c r="C113" s="88"/>
      <c r="E113" s="88"/>
      <c r="G113" s="122"/>
    </row>
    <row r="114" spans="2:7">
      <c r="B114" s="89"/>
      <c r="C114" s="88"/>
      <c r="E114" s="88"/>
      <c r="G114" s="122"/>
    </row>
    <row r="115" spans="2:7">
      <c r="B115" s="89"/>
      <c r="C115" s="88"/>
      <c r="E115" s="88"/>
      <c r="G115" s="122"/>
    </row>
    <row r="116" spans="2:7">
      <c r="B116" s="89"/>
      <c r="C116" s="88"/>
      <c r="E116" s="88"/>
      <c r="G116" s="122"/>
    </row>
    <row r="117" spans="2:7">
      <c r="B117" s="89"/>
      <c r="C117" s="88"/>
      <c r="E117" s="88"/>
      <c r="G117" s="122"/>
    </row>
    <row r="118" spans="2:7">
      <c r="B118" s="89"/>
      <c r="C118" s="88"/>
      <c r="E118" s="88"/>
      <c r="G118" s="122"/>
    </row>
    <row r="119" spans="2:7">
      <c r="B119" s="89"/>
      <c r="C119" s="88"/>
      <c r="E119" s="88"/>
      <c r="G119" s="122"/>
    </row>
    <row r="120" spans="2:7">
      <c r="B120" s="89"/>
      <c r="C120" s="88"/>
      <c r="E120" s="88"/>
      <c r="G120" s="122"/>
    </row>
    <row r="121" spans="2:7">
      <c r="B121" s="89"/>
      <c r="C121" s="88"/>
      <c r="E121" s="88"/>
      <c r="G121" s="122"/>
    </row>
    <row r="122" spans="2:7">
      <c r="B122" s="89"/>
      <c r="C122" s="88"/>
      <c r="E122" s="88"/>
      <c r="G122" s="122"/>
    </row>
    <row r="123" spans="2:7">
      <c r="B123" s="89"/>
      <c r="C123" s="88"/>
      <c r="E123" s="88"/>
      <c r="G123" s="122"/>
    </row>
    <row r="124" spans="2:7">
      <c r="B124" s="89"/>
      <c r="C124" s="88"/>
      <c r="E124" s="88"/>
      <c r="G124" s="122"/>
    </row>
    <row r="125" spans="2:7">
      <c r="B125" s="89"/>
      <c r="C125" s="88"/>
      <c r="E125" s="88"/>
      <c r="G125" s="122"/>
    </row>
    <row r="126" spans="2:7">
      <c r="B126" s="89"/>
      <c r="C126" s="88"/>
      <c r="E126" s="88"/>
      <c r="G126" s="122"/>
    </row>
    <row r="127" spans="2:7">
      <c r="B127" s="89"/>
      <c r="C127" s="88"/>
      <c r="E127" s="88"/>
      <c r="G127" s="122"/>
    </row>
    <row r="128" spans="2:7">
      <c r="B128" s="89"/>
      <c r="C128" s="88"/>
      <c r="E128" s="88"/>
      <c r="G128" s="122"/>
    </row>
    <row r="129" spans="2:7">
      <c r="B129" s="89"/>
      <c r="C129" s="88"/>
      <c r="E129" s="88"/>
      <c r="G129" s="122"/>
    </row>
    <row r="130" spans="2:7">
      <c r="B130" s="89"/>
      <c r="C130" s="88"/>
      <c r="E130" s="88"/>
      <c r="G130" s="122"/>
    </row>
    <row r="131" spans="2:7">
      <c r="B131" s="89"/>
      <c r="C131" s="88"/>
      <c r="E131" s="88"/>
      <c r="G131" s="122"/>
    </row>
    <row r="132" spans="2:7">
      <c r="B132" s="89"/>
      <c r="C132" s="88"/>
      <c r="E132" s="88"/>
      <c r="G132" s="122"/>
    </row>
    <row r="133" spans="2:7">
      <c r="B133" s="89"/>
      <c r="C133" s="88"/>
      <c r="E133" s="88"/>
      <c r="G133" s="122"/>
    </row>
    <row r="134" spans="2:7">
      <c r="B134" s="89"/>
      <c r="C134" s="88"/>
      <c r="E134" s="88"/>
      <c r="G134" s="122"/>
    </row>
    <row r="135" spans="2:7">
      <c r="B135" s="89"/>
      <c r="C135" s="88"/>
      <c r="E135" s="88"/>
      <c r="G135" s="122"/>
    </row>
    <row r="136" spans="2:7">
      <c r="B136" s="89"/>
      <c r="C136" s="88"/>
      <c r="E136" s="88"/>
      <c r="G136" s="122"/>
    </row>
    <row r="137" spans="2:7">
      <c r="B137" s="89"/>
      <c r="C137" s="88"/>
      <c r="E137" s="88"/>
      <c r="G137" s="122"/>
    </row>
    <row r="138" spans="2:7">
      <c r="B138" s="89"/>
      <c r="C138" s="88"/>
      <c r="E138" s="88"/>
      <c r="G138" s="122"/>
    </row>
    <row r="139" spans="2:7">
      <c r="B139" s="89"/>
      <c r="C139" s="88"/>
      <c r="E139" s="88"/>
      <c r="G139" s="122"/>
    </row>
    <row r="140" spans="2:7">
      <c r="B140" s="89"/>
      <c r="C140" s="88"/>
      <c r="E140" s="88"/>
      <c r="G140" s="122"/>
    </row>
    <row r="141" spans="2:7">
      <c r="B141" s="89"/>
      <c r="C141" s="88"/>
      <c r="E141" s="88"/>
      <c r="G141" s="122"/>
    </row>
    <row r="142" spans="2:7">
      <c r="B142" s="89"/>
      <c r="C142" s="88"/>
      <c r="E142" s="88"/>
      <c r="G142" s="122"/>
    </row>
    <row r="143" spans="2:7">
      <c r="B143" s="89"/>
      <c r="C143" s="88"/>
      <c r="E143" s="88"/>
      <c r="G143" s="122"/>
    </row>
    <row r="144" spans="2:7">
      <c r="B144" s="89"/>
      <c r="C144" s="88"/>
      <c r="E144" s="88"/>
      <c r="G144" s="122"/>
    </row>
    <row r="145" spans="2:7">
      <c r="B145" s="89"/>
      <c r="C145" s="88"/>
      <c r="E145" s="88"/>
      <c r="G145" s="122"/>
    </row>
    <row r="146" spans="2:7">
      <c r="B146" s="89"/>
      <c r="C146" s="88"/>
      <c r="E146" s="88"/>
      <c r="G146" s="122"/>
    </row>
    <row r="147" spans="2:7">
      <c r="B147" s="89"/>
      <c r="C147" s="88"/>
      <c r="E147" s="88"/>
      <c r="G147" s="122"/>
    </row>
    <row r="148" spans="2:7">
      <c r="B148" s="89"/>
      <c r="C148" s="88"/>
      <c r="E148" s="88"/>
      <c r="G148" s="122"/>
    </row>
    <row r="149" spans="2:7">
      <c r="B149" s="89"/>
      <c r="C149" s="88"/>
      <c r="E149" s="88"/>
      <c r="G149" s="122"/>
    </row>
    <row r="150" spans="2:7">
      <c r="B150" s="89"/>
      <c r="C150" s="88"/>
      <c r="E150" s="88"/>
      <c r="G150" s="122"/>
    </row>
    <row r="151" spans="2:7">
      <c r="B151" s="89"/>
      <c r="C151" s="88"/>
      <c r="E151" s="88"/>
      <c r="G151" s="122"/>
    </row>
    <row r="152" spans="2:7">
      <c r="B152" s="89"/>
      <c r="C152" s="88"/>
      <c r="E152" s="88"/>
      <c r="G152" s="122"/>
    </row>
    <row r="153" spans="2:7">
      <c r="B153" s="89"/>
      <c r="C153" s="88"/>
      <c r="E153" s="88"/>
      <c r="G153" s="122"/>
    </row>
    <row r="154" spans="2:7">
      <c r="B154" s="89"/>
      <c r="C154" s="88"/>
      <c r="E154" s="88"/>
      <c r="G154" s="122"/>
    </row>
    <row r="155" spans="2:7">
      <c r="B155" s="89"/>
      <c r="C155" s="88"/>
      <c r="E155" s="88"/>
      <c r="G155" s="122"/>
    </row>
    <row r="156" spans="2:7">
      <c r="B156" s="89"/>
      <c r="C156" s="88"/>
      <c r="E156" s="88"/>
      <c r="G156" s="122"/>
    </row>
    <row r="157" spans="2:7">
      <c r="B157" s="89"/>
      <c r="C157" s="88"/>
      <c r="E157" s="88"/>
      <c r="G157" s="122"/>
    </row>
    <row r="158" spans="2:7">
      <c r="B158" s="89"/>
      <c r="C158" s="88"/>
      <c r="E158" s="88"/>
      <c r="G158" s="122"/>
    </row>
    <row r="159" spans="2:7">
      <c r="B159" s="89"/>
      <c r="C159" s="88"/>
      <c r="E159" s="88"/>
      <c r="G159" s="122"/>
    </row>
    <row r="160" spans="2:7">
      <c r="B160" s="89"/>
      <c r="C160" s="88"/>
      <c r="E160" s="88"/>
      <c r="G160" s="122"/>
    </row>
    <row r="161" spans="2:7">
      <c r="B161" s="89"/>
      <c r="C161" s="88"/>
      <c r="E161" s="88"/>
      <c r="G161" s="122"/>
    </row>
    <row r="162" spans="2:7">
      <c r="B162" s="89"/>
      <c r="C162" s="88"/>
      <c r="E162" s="88"/>
      <c r="G162" s="122"/>
    </row>
    <row r="163" spans="2:7">
      <c r="B163" s="89"/>
      <c r="C163" s="88"/>
      <c r="E163" s="88"/>
      <c r="G163" s="122"/>
    </row>
    <row r="164" spans="2:7">
      <c r="B164" s="89"/>
      <c r="C164" s="88"/>
      <c r="E164" s="88"/>
      <c r="G164" s="122"/>
    </row>
    <row r="165" spans="2:7">
      <c r="B165" s="89"/>
      <c r="C165" s="88"/>
      <c r="E165" s="88"/>
      <c r="G165" s="122"/>
    </row>
    <row r="166" spans="2:7">
      <c r="B166" s="89"/>
      <c r="C166" s="88"/>
      <c r="E166" s="88"/>
      <c r="G166" s="122"/>
    </row>
    <row r="167" spans="2:7">
      <c r="B167" s="89"/>
      <c r="C167" s="88"/>
      <c r="E167" s="88"/>
      <c r="G167" s="122"/>
    </row>
    <row r="168" spans="2:7">
      <c r="B168" s="89"/>
      <c r="C168" s="88"/>
      <c r="E168" s="88"/>
      <c r="G168" s="122"/>
    </row>
    <row r="169" spans="2:7">
      <c r="B169" s="89"/>
      <c r="C169" s="88"/>
      <c r="E169" s="88"/>
      <c r="G169" s="122"/>
    </row>
    <row r="170" spans="2:7">
      <c r="B170" s="89"/>
      <c r="C170" s="88"/>
      <c r="E170" s="88"/>
      <c r="G170" s="122"/>
    </row>
    <row r="171" spans="2:7">
      <c r="B171" s="89"/>
      <c r="C171" s="88"/>
      <c r="E171" s="88"/>
      <c r="G171" s="122"/>
    </row>
    <row r="172" spans="2:7">
      <c r="B172" s="89"/>
      <c r="C172" s="88"/>
      <c r="E172" s="88"/>
      <c r="G172" s="122"/>
    </row>
    <row r="173" spans="2:7">
      <c r="B173" s="89"/>
      <c r="C173" s="88"/>
      <c r="E173" s="88"/>
      <c r="G173" s="122"/>
    </row>
    <row r="174" spans="2:7">
      <c r="B174" s="89"/>
      <c r="C174" s="88"/>
      <c r="E174" s="88"/>
      <c r="G174" s="122"/>
    </row>
    <row r="175" spans="2:7">
      <c r="B175" s="89"/>
      <c r="C175" s="88"/>
      <c r="E175" s="88"/>
      <c r="G175" s="122"/>
    </row>
    <row r="176" spans="2:7">
      <c r="B176" s="89"/>
      <c r="C176" s="88"/>
      <c r="E176" s="88"/>
      <c r="G176" s="122"/>
    </row>
    <row r="177" spans="2:7">
      <c r="B177" s="89"/>
      <c r="C177" s="88"/>
      <c r="E177" s="88"/>
      <c r="G177" s="122"/>
    </row>
    <row r="178" spans="2:7">
      <c r="B178" s="89"/>
      <c r="C178" s="88"/>
      <c r="E178" s="88"/>
      <c r="G178" s="122"/>
    </row>
    <row r="179" spans="2:7">
      <c r="B179" s="89"/>
      <c r="C179" s="88"/>
      <c r="E179" s="88"/>
      <c r="G179" s="122"/>
    </row>
    <row r="180" spans="2:7">
      <c r="B180" s="89"/>
      <c r="C180" s="88"/>
      <c r="E180" s="88"/>
      <c r="G180" s="122"/>
    </row>
    <row r="181" spans="2:7">
      <c r="B181" s="89"/>
      <c r="C181" s="88"/>
      <c r="E181" s="88"/>
      <c r="G181" s="122"/>
    </row>
    <row r="182" spans="2:7">
      <c r="B182" s="89"/>
      <c r="C182" s="88"/>
      <c r="E182" s="88"/>
      <c r="G182" s="122"/>
    </row>
    <row r="183" spans="2:7">
      <c r="B183" s="89"/>
      <c r="C183" s="88"/>
      <c r="E183" s="88"/>
      <c r="G183" s="122"/>
    </row>
    <row r="184" spans="2:7">
      <c r="B184" s="89"/>
      <c r="C184" s="88"/>
      <c r="E184" s="88"/>
      <c r="G184" s="122"/>
    </row>
    <row r="185" spans="2:7">
      <c r="B185" s="89"/>
      <c r="C185" s="88"/>
      <c r="E185" s="88"/>
      <c r="G185" s="122"/>
    </row>
    <row r="186" spans="2:7">
      <c r="B186" s="89"/>
      <c r="C186" s="88"/>
      <c r="E186" s="88"/>
      <c r="G186" s="122"/>
    </row>
    <row r="187" spans="2:7">
      <c r="B187" s="89"/>
      <c r="C187" s="88"/>
      <c r="E187" s="88"/>
      <c r="G187" s="122"/>
    </row>
    <row r="188" spans="2:7">
      <c r="B188" s="89"/>
      <c r="C188" s="88"/>
      <c r="E188" s="88"/>
      <c r="G188" s="122"/>
    </row>
    <row r="189" spans="2:7">
      <c r="B189" s="89"/>
      <c r="C189" s="88"/>
      <c r="E189" s="88"/>
      <c r="G189" s="122"/>
    </row>
    <row r="190" spans="2:7">
      <c r="B190" s="89"/>
      <c r="C190" s="88"/>
      <c r="E190" s="88"/>
      <c r="G190" s="122"/>
    </row>
    <row r="191" spans="2:7">
      <c r="B191" s="89"/>
      <c r="C191" s="88"/>
      <c r="E191" s="88"/>
      <c r="G191" s="122"/>
    </row>
    <row r="192" spans="2:7">
      <c r="B192" s="89"/>
      <c r="C192" s="88"/>
      <c r="E192" s="88"/>
      <c r="G192" s="122"/>
    </row>
    <row r="193" spans="2:7">
      <c r="B193" s="89"/>
      <c r="C193" s="88"/>
      <c r="E193" s="88"/>
      <c r="G193" s="122"/>
    </row>
    <row r="194" spans="2:7">
      <c r="B194" s="89"/>
      <c r="C194" s="88"/>
      <c r="E194" s="88"/>
      <c r="G194" s="122"/>
    </row>
    <row r="195" spans="2:7">
      <c r="B195" s="89"/>
      <c r="C195" s="88"/>
      <c r="E195" s="88"/>
      <c r="G195" s="122"/>
    </row>
    <row r="196" spans="2:7">
      <c r="B196" s="89"/>
      <c r="C196" s="88"/>
      <c r="E196" s="88"/>
      <c r="G196" s="122"/>
    </row>
    <row r="197" spans="2:7">
      <c r="B197" s="89"/>
      <c r="C197" s="88"/>
      <c r="E197" s="88"/>
      <c r="G197" s="122"/>
    </row>
    <row r="198" spans="2:7">
      <c r="B198" s="89"/>
      <c r="C198" s="88"/>
      <c r="E198" s="88"/>
      <c r="G198" s="122"/>
    </row>
    <row r="199" spans="2:7">
      <c r="B199" s="89"/>
      <c r="C199" s="88"/>
      <c r="E199" s="88"/>
      <c r="G199" s="122"/>
    </row>
    <row r="200" spans="2:7">
      <c r="B200" s="89"/>
      <c r="C200" s="88"/>
      <c r="E200" s="88"/>
      <c r="G200" s="122"/>
    </row>
    <row r="201" spans="2:7">
      <c r="B201" s="89"/>
      <c r="C201" s="88"/>
      <c r="E201" s="88"/>
      <c r="G201" s="122"/>
    </row>
    <row r="202" spans="2:7">
      <c r="B202" s="89"/>
      <c r="C202" s="88"/>
      <c r="E202" s="88"/>
      <c r="G202" s="122"/>
    </row>
    <row r="203" spans="2:7">
      <c r="B203" s="89"/>
      <c r="C203" s="88"/>
      <c r="E203" s="88"/>
      <c r="G203" s="122"/>
    </row>
    <row r="204" spans="2:7">
      <c r="B204" s="89"/>
      <c r="C204" s="88"/>
      <c r="E204" s="88"/>
      <c r="G204" s="122"/>
    </row>
    <row r="205" spans="2:7">
      <c r="B205" s="89"/>
      <c r="C205" s="88"/>
      <c r="E205" s="88"/>
      <c r="G205" s="122"/>
    </row>
    <row r="206" spans="2:7">
      <c r="B206" s="89"/>
      <c r="C206" s="88"/>
      <c r="E206" s="88"/>
      <c r="G206" s="122"/>
    </row>
    <row r="207" spans="2:7">
      <c r="B207" s="89"/>
      <c r="C207" s="88"/>
      <c r="E207" s="88"/>
      <c r="G207" s="122"/>
    </row>
    <row r="208" spans="2:7">
      <c r="B208" s="89"/>
      <c r="C208" s="88"/>
      <c r="E208" s="88"/>
      <c r="G208" s="122"/>
    </row>
    <row r="209" spans="2:7">
      <c r="B209" s="89"/>
      <c r="C209" s="88"/>
      <c r="E209" s="88"/>
      <c r="G209" s="122"/>
    </row>
    <row r="210" spans="2:7">
      <c r="B210" s="89"/>
      <c r="C210" s="88"/>
      <c r="E210" s="88"/>
      <c r="G210" s="122"/>
    </row>
    <row r="211" spans="2:7">
      <c r="B211" s="89"/>
      <c r="C211" s="88"/>
      <c r="E211" s="88"/>
      <c r="G211" s="122"/>
    </row>
    <row r="212" spans="2:7">
      <c r="B212" s="89"/>
      <c r="C212" s="88"/>
      <c r="E212" s="88"/>
      <c r="G212" s="122"/>
    </row>
    <row r="213" spans="2:7">
      <c r="B213" s="89"/>
      <c r="C213" s="88"/>
      <c r="E213" s="88"/>
      <c r="G213" s="122"/>
    </row>
    <row r="214" spans="2:7">
      <c r="B214" s="89"/>
      <c r="C214" s="88"/>
      <c r="E214" s="88"/>
      <c r="G214" s="122"/>
    </row>
    <row r="215" spans="2:7">
      <c r="B215" s="89"/>
      <c r="C215" s="88"/>
      <c r="E215" s="88"/>
      <c r="G215" s="122"/>
    </row>
    <row r="216" spans="2:7">
      <c r="B216" s="89"/>
      <c r="C216" s="88"/>
      <c r="E216" s="88"/>
      <c r="G216" s="122"/>
    </row>
    <row r="217" spans="2:7">
      <c r="B217" s="89"/>
      <c r="C217" s="88"/>
      <c r="E217" s="88"/>
      <c r="G217" s="122"/>
    </row>
    <row r="218" spans="2:7">
      <c r="B218" s="89"/>
      <c r="C218" s="88"/>
      <c r="E218" s="88"/>
      <c r="G218" s="122"/>
    </row>
    <row r="219" spans="2:7">
      <c r="B219" s="89"/>
      <c r="C219" s="88"/>
      <c r="E219" s="88"/>
      <c r="G219" s="122"/>
    </row>
    <row r="220" spans="2:7">
      <c r="B220" s="89"/>
      <c r="C220" s="88"/>
      <c r="E220" s="88"/>
      <c r="G220" s="122"/>
    </row>
    <row r="221" spans="2:7">
      <c r="B221" s="89"/>
      <c r="C221" s="88"/>
      <c r="E221" s="88"/>
      <c r="G221" s="122"/>
    </row>
    <row r="222" spans="2:7">
      <c r="B222" s="89"/>
      <c r="C222" s="88"/>
      <c r="E222" s="88"/>
      <c r="G222" s="122"/>
    </row>
    <row r="223" spans="2:7">
      <c r="B223" s="89"/>
      <c r="C223" s="88"/>
      <c r="E223" s="88"/>
      <c r="G223" s="122"/>
    </row>
    <row r="224" spans="2:7">
      <c r="B224" s="89"/>
      <c r="C224" s="88"/>
      <c r="E224" s="88"/>
      <c r="G224" s="122"/>
    </row>
    <row r="225" spans="2:7">
      <c r="B225" s="89"/>
      <c r="C225" s="88"/>
      <c r="E225" s="88"/>
      <c r="G225" s="122"/>
    </row>
    <row r="226" spans="2:7">
      <c r="B226" s="89"/>
      <c r="C226" s="88"/>
      <c r="E226" s="88"/>
      <c r="G226" s="122"/>
    </row>
    <row r="227" spans="2:7">
      <c r="B227" s="89"/>
      <c r="C227" s="88"/>
      <c r="E227" s="88"/>
      <c r="G227" s="122"/>
    </row>
    <row r="228" spans="2:7">
      <c r="B228" s="89"/>
      <c r="C228" s="88"/>
      <c r="E228" s="88"/>
      <c r="G228" s="122"/>
    </row>
    <row r="229" spans="2:7">
      <c r="B229" s="89"/>
      <c r="C229" s="88"/>
      <c r="E229" s="88"/>
      <c r="G229" s="122"/>
    </row>
    <row r="230" spans="2:7">
      <c r="B230" s="89"/>
      <c r="C230" s="88"/>
      <c r="E230" s="88"/>
      <c r="G230" s="122"/>
    </row>
    <row r="231" spans="2:7">
      <c r="B231" s="89"/>
      <c r="C231" s="88"/>
      <c r="E231" s="88"/>
      <c r="G231" s="122"/>
    </row>
    <row r="232" spans="2:7">
      <c r="B232" s="89"/>
      <c r="C232" s="88"/>
      <c r="E232" s="88"/>
      <c r="G232" s="122"/>
    </row>
    <row r="233" spans="2:7">
      <c r="B233" s="89"/>
      <c r="C233" s="88"/>
      <c r="E233" s="88"/>
      <c r="G233" s="122"/>
    </row>
    <row r="234" spans="2:7">
      <c r="B234" s="89"/>
      <c r="C234" s="88"/>
      <c r="E234" s="88"/>
      <c r="G234" s="122"/>
    </row>
    <row r="235" spans="2:7">
      <c r="B235" s="89"/>
      <c r="C235" s="88"/>
      <c r="E235" s="88"/>
      <c r="G235" s="122"/>
    </row>
    <row r="236" spans="2:7">
      <c r="B236" s="89"/>
      <c r="C236" s="88"/>
      <c r="E236" s="88"/>
      <c r="G236" s="122"/>
    </row>
    <row r="237" spans="2:7">
      <c r="B237" s="89"/>
      <c r="C237" s="88"/>
      <c r="E237" s="88"/>
      <c r="G237" s="122"/>
    </row>
    <row r="238" spans="2:7">
      <c r="B238" s="89"/>
      <c r="C238" s="88"/>
      <c r="E238" s="88"/>
      <c r="G238" s="122"/>
    </row>
    <row r="239" spans="2:7">
      <c r="B239" s="89"/>
      <c r="C239" s="88"/>
      <c r="E239" s="88"/>
      <c r="G239" s="122"/>
    </row>
    <row r="240" spans="2:7">
      <c r="B240" s="89"/>
      <c r="C240" s="88"/>
      <c r="E240" s="88"/>
      <c r="G240" s="122"/>
    </row>
    <row r="241" spans="2:7">
      <c r="B241" s="89"/>
      <c r="C241" s="88"/>
      <c r="E241" s="88"/>
      <c r="G241" s="122"/>
    </row>
    <row r="242" spans="2:7">
      <c r="B242" s="89"/>
      <c r="C242" s="88"/>
      <c r="E242" s="88"/>
      <c r="G242" s="122"/>
    </row>
    <row r="243" spans="2:7">
      <c r="B243" s="89"/>
      <c r="C243" s="88"/>
      <c r="E243" s="88"/>
      <c r="G243" s="122"/>
    </row>
    <row r="244" spans="2:7">
      <c r="B244" s="89"/>
      <c r="C244" s="88"/>
      <c r="E244" s="88"/>
      <c r="G244" s="122"/>
    </row>
    <row r="245" spans="2:7">
      <c r="B245" s="89"/>
      <c r="C245" s="88"/>
      <c r="E245" s="88"/>
      <c r="G245" s="122"/>
    </row>
    <row r="246" spans="2:7">
      <c r="B246" s="89"/>
      <c r="C246" s="88"/>
      <c r="E246" s="88"/>
      <c r="G246" s="122"/>
    </row>
    <row r="247" spans="2:7">
      <c r="B247" s="89"/>
      <c r="C247" s="88"/>
      <c r="E247" s="88"/>
      <c r="G247" s="122"/>
    </row>
    <row r="248" spans="2:7">
      <c r="B248" s="89"/>
      <c r="C248" s="88"/>
      <c r="E248" s="88"/>
      <c r="G248" s="122"/>
    </row>
    <row r="249" spans="2:7">
      <c r="B249" s="89"/>
      <c r="C249" s="88"/>
      <c r="E249" s="88"/>
      <c r="G249" s="122"/>
    </row>
    <row r="250" spans="2:7">
      <c r="B250" s="89"/>
      <c r="C250" s="88"/>
      <c r="E250" s="88"/>
      <c r="G250" s="122"/>
    </row>
    <row r="251" spans="2:7">
      <c r="B251" s="89"/>
      <c r="C251" s="88"/>
      <c r="E251" s="88"/>
      <c r="G251" s="122"/>
    </row>
    <row r="252" spans="2:7">
      <c r="B252" s="89"/>
      <c r="C252" s="88"/>
      <c r="E252" s="88"/>
      <c r="G252" s="122"/>
    </row>
    <row r="253" spans="2:7">
      <c r="B253" s="89"/>
      <c r="C253" s="88"/>
      <c r="E253" s="88"/>
      <c r="G253" s="122"/>
    </row>
    <row r="254" spans="2:7">
      <c r="B254" s="89"/>
      <c r="C254" s="88"/>
      <c r="E254" s="88"/>
      <c r="G254" s="122"/>
    </row>
    <row r="255" spans="2:7">
      <c r="B255" s="89"/>
      <c r="C255" s="88"/>
      <c r="E255" s="88"/>
      <c r="G255" s="122"/>
    </row>
    <row r="256" spans="2:7">
      <c r="B256" s="89"/>
      <c r="C256" s="88"/>
      <c r="E256" s="88"/>
      <c r="G256" s="122"/>
    </row>
    <row r="257" spans="2:7">
      <c r="B257" s="89"/>
      <c r="C257" s="88"/>
      <c r="E257" s="88"/>
      <c r="G257" s="122"/>
    </row>
    <row r="258" spans="2:7">
      <c r="B258" s="89"/>
      <c r="C258" s="88"/>
      <c r="E258" s="88"/>
      <c r="G258" s="122"/>
    </row>
    <row r="259" spans="2:7">
      <c r="B259" s="89"/>
      <c r="C259" s="88"/>
      <c r="E259" s="88"/>
      <c r="G259" s="122"/>
    </row>
    <row r="260" spans="2:7">
      <c r="B260" s="89"/>
      <c r="C260" s="88"/>
      <c r="E260" s="88"/>
      <c r="G260" s="122"/>
    </row>
    <row r="261" spans="2:7">
      <c r="B261" s="89"/>
      <c r="C261" s="88"/>
      <c r="E261" s="88"/>
      <c r="G261" s="122"/>
    </row>
    <row r="262" spans="2:7">
      <c r="B262" s="89"/>
      <c r="C262" s="88"/>
      <c r="E262" s="88"/>
      <c r="G262" s="122"/>
    </row>
    <row r="263" spans="2:7">
      <c r="B263" s="89"/>
      <c r="C263" s="88"/>
      <c r="E263" s="88"/>
      <c r="G263" s="122"/>
    </row>
    <row r="264" spans="2:7">
      <c r="B264" s="89"/>
      <c r="C264" s="88"/>
      <c r="E264" s="88"/>
      <c r="G264" s="122"/>
    </row>
    <row r="265" spans="2:7">
      <c r="B265" s="89"/>
      <c r="C265" s="88"/>
      <c r="E265" s="88"/>
      <c r="G265" s="122"/>
    </row>
    <row r="266" spans="2:7">
      <c r="B266" s="89"/>
      <c r="C266" s="88"/>
      <c r="E266" s="88"/>
      <c r="G266" s="122"/>
    </row>
    <row r="267" spans="2:7">
      <c r="B267" s="89"/>
      <c r="C267" s="88"/>
      <c r="E267" s="88"/>
      <c r="G267" s="122"/>
    </row>
    <row r="268" spans="2:7">
      <c r="B268" s="89"/>
      <c r="C268" s="88"/>
      <c r="E268" s="88"/>
      <c r="G268" s="122"/>
    </row>
    <row r="269" spans="2:7">
      <c r="B269" s="89"/>
      <c r="C269" s="88"/>
      <c r="E269" s="88"/>
      <c r="G269" s="122"/>
    </row>
    <row r="270" spans="2:7">
      <c r="B270" s="89"/>
      <c r="C270" s="88"/>
      <c r="E270" s="88"/>
      <c r="G270" s="122"/>
    </row>
  </sheetData>
  <mergeCells count="13">
    <mergeCell ref="O11:O12"/>
    <mergeCell ref="E9:H9"/>
    <mergeCell ref="E7:H7"/>
    <mergeCell ref="E11:E12"/>
    <mergeCell ref="G11:G12"/>
    <mergeCell ref="I11:I12"/>
    <mergeCell ref="K11:K12"/>
    <mergeCell ref="B11:B12"/>
    <mergeCell ref="C11:C12"/>
    <mergeCell ref="E2:H2"/>
    <mergeCell ref="E4:H4"/>
    <mergeCell ref="E5:H5"/>
    <mergeCell ref="E6:H6"/>
  </mergeCells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H22" sqref="H22"/>
    </sheetView>
  </sheetViews>
  <sheetFormatPr defaultColWidth="9.453125" defaultRowHeight="12.5"/>
  <cols>
    <col min="1" max="2" width="9.453125" style="75"/>
    <col min="3" max="3" width="13.54296875" style="75" bestFit="1" customWidth="1"/>
    <col min="4" max="5" width="9.453125" style="75"/>
    <col min="6" max="6" width="12.54296875" style="75" bestFit="1" customWidth="1"/>
    <col min="7" max="7" width="1.54296875" style="75" customWidth="1"/>
    <col min="8" max="8" width="11.54296875" style="75" bestFit="1" customWidth="1"/>
    <col min="9" max="16384" width="9.453125" style="75"/>
  </cols>
  <sheetData>
    <row r="1" spans="3:8" ht="13" thickBot="1"/>
    <row r="2" spans="3:8" ht="13" thickBot="1">
      <c r="C2" s="85" t="s">
        <v>188</v>
      </c>
      <c r="F2" s="85" t="s">
        <v>189</v>
      </c>
    </row>
    <row r="3" spans="3:8">
      <c r="C3" s="81">
        <v>44197</v>
      </c>
      <c r="F3" s="83" t="s">
        <v>190</v>
      </c>
    </row>
    <row r="4" spans="3:8">
      <c r="C4" s="81">
        <v>44277</v>
      </c>
      <c r="F4" s="83" t="s">
        <v>191</v>
      </c>
    </row>
    <row r="5" spans="3:8">
      <c r="C5" s="81">
        <v>44288</v>
      </c>
      <c r="F5" s="83" t="s">
        <v>192</v>
      </c>
    </row>
    <row r="6" spans="3:8" ht="13" thickBot="1">
      <c r="C6" s="81">
        <v>44291</v>
      </c>
      <c r="F6" s="84" t="s">
        <v>193</v>
      </c>
    </row>
    <row r="7" spans="3:8">
      <c r="C7" s="81">
        <v>44313</v>
      </c>
    </row>
    <row r="8" spans="3:8">
      <c r="C8" s="81">
        <v>44317</v>
      </c>
    </row>
    <row r="9" spans="3:8">
      <c r="C9" s="81">
        <v>44363</v>
      </c>
    </row>
    <row r="10" spans="3:8">
      <c r="C10" s="81">
        <v>44417</v>
      </c>
    </row>
    <row r="11" spans="3:8">
      <c r="C11" s="81">
        <v>44463</v>
      </c>
    </row>
    <row r="12" spans="3:8">
      <c r="C12" s="81">
        <v>44546</v>
      </c>
    </row>
    <row r="13" spans="3:8">
      <c r="C13" s="81">
        <v>44555</v>
      </c>
      <c r="F13" s="87"/>
      <c r="H13" s="75" t="s">
        <v>194</v>
      </c>
    </row>
    <row r="14" spans="3:8" ht="13" thickBot="1">
      <c r="C14" s="82">
        <v>44556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5"/>
  <sheetViews>
    <sheetView zoomScale="104" zoomScaleNormal="130" workbookViewId="0">
      <pane ySplit="7" topLeftCell="A8" activePane="bottomLeft" state="frozen"/>
      <selection activeCell="D30" sqref="D30"/>
      <selection pane="bottomLeft" activeCell="B2" sqref="B2:L2"/>
    </sheetView>
  </sheetViews>
  <sheetFormatPr defaultColWidth="8.54296875" defaultRowHeight="14"/>
  <cols>
    <col min="1" max="1" width="1.54296875" style="91" customWidth="1"/>
    <col min="2" max="2" width="8.54296875" style="142"/>
    <col min="3" max="3" width="2.453125" style="142" customWidth="1"/>
    <col min="4" max="4" width="21.453125" style="91" customWidth="1"/>
    <col min="5" max="5" width="1.54296875" style="91" customWidth="1"/>
    <col min="6" max="6" width="17.54296875" style="91" bestFit="1" customWidth="1"/>
    <col min="7" max="7" width="1.54296875" style="91" customWidth="1"/>
    <col min="8" max="8" width="18.453125" style="91" customWidth="1"/>
    <col min="9" max="9" width="3.54296875" style="91" customWidth="1"/>
    <col min="10" max="10" width="16" style="91" bestFit="1" customWidth="1"/>
    <col min="11" max="11" width="2" style="91" customWidth="1"/>
    <col min="12" max="12" width="53.453125" style="91" customWidth="1"/>
    <col min="13" max="16384" width="8.54296875" style="91"/>
  </cols>
  <sheetData>
    <row r="1" spans="1:12" ht="6.75" customHeight="1">
      <c r="A1" s="88"/>
      <c r="B1" s="122"/>
      <c r="C1" s="122"/>
      <c r="D1" s="88"/>
      <c r="E1" s="88"/>
      <c r="F1" s="88"/>
      <c r="G1" s="88"/>
      <c r="H1" s="88"/>
      <c r="I1" s="88"/>
      <c r="J1" s="88"/>
      <c r="K1" s="88"/>
      <c r="L1" s="88"/>
    </row>
    <row r="2" spans="1:12">
      <c r="A2" s="88"/>
      <c r="B2" s="944" t="s">
        <v>195</v>
      </c>
      <c r="C2" s="944"/>
      <c r="D2" s="944"/>
      <c r="E2" s="944"/>
      <c r="F2" s="944"/>
      <c r="G2" s="944"/>
      <c r="H2" s="944"/>
      <c r="I2" s="944"/>
      <c r="J2" s="944"/>
      <c r="K2" s="944"/>
      <c r="L2" s="944"/>
    </row>
    <row r="3" spans="1:12" ht="6.75" customHeight="1">
      <c r="A3" s="88"/>
      <c r="B3" s="122"/>
      <c r="C3" s="122"/>
      <c r="D3" s="88"/>
      <c r="E3" s="88"/>
      <c r="F3" s="88"/>
      <c r="G3" s="88"/>
      <c r="H3" s="88"/>
      <c r="I3" s="88"/>
      <c r="J3" s="88"/>
      <c r="K3" s="88"/>
      <c r="L3" s="88"/>
    </row>
    <row r="4" spans="1:12" ht="14.5" thickBot="1">
      <c r="A4" s="88"/>
      <c r="B4" s="945"/>
      <c r="C4" s="945"/>
      <c r="D4" s="945"/>
      <c r="E4" s="857"/>
      <c r="F4" s="90" t="s">
        <v>59</v>
      </c>
      <c r="G4" s="88"/>
      <c r="H4" s="90" t="s">
        <v>60</v>
      </c>
      <c r="I4" s="88"/>
      <c r="J4" s="523" t="s">
        <v>196</v>
      </c>
      <c r="K4" s="88"/>
      <c r="L4" s="88"/>
    </row>
    <row r="5" spans="1:12" ht="14.5" thickBot="1">
      <c r="A5" s="88"/>
      <c r="B5" s="946" t="s">
        <v>197</v>
      </c>
      <c r="C5" s="946"/>
      <c r="D5" s="946"/>
      <c r="E5" s="857"/>
      <c r="F5" s="446">
        <f>SUM(F9:F22)</f>
        <v>18682949.951333337</v>
      </c>
      <c r="G5" s="139"/>
      <c r="H5" s="446">
        <f>SUM(H9:H22)</f>
        <v>19234297.270437386</v>
      </c>
      <c r="I5" s="88"/>
      <c r="J5" s="525">
        <f>SUM(J9:J22)</f>
        <v>-551347.31910405587</v>
      </c>
      <c r="K5" s="88"/>
      <c r="L5" s="88"/>
    </row>
    <row r="6" spans="1:12" ht="6.75" customHeight="1" thickBot="1">
      <c r="A6" s="88"/>
      <c r="B6" s="856"/>
      <c r="C6" s="856"/>
      <c r="D6" s="856"/>
      <c r="E6" s="856"/>
      <c r="F6" s="88"/>
      <c r="G6" s="88"/>
      <c r="H6" s="88"/>
      <c r="I6" s="88"/>
      <c r="J6" s="88"/>
      <c r="K6" s="88"/>
      <c r="L6" s="88"/>
    </row>
    <row r="7" spans="1:12" ht="26.5" thickBot="1">
      <c r="A7" s="88"/>
      <c r="B7" s="447" t="s">
        <v>69</v>
      </c>
      <c r="C7" s="145"/>
      <c r="D7" s="447" t="s">
        <v>198</v>
      </c>
      <c r="E7" s="145"/>
      <c r="F7" s="448" t="s">
        <v>199</v>
      </c>
      <c r="G7" s="146"/>
      <c r="H7" s="448" t="s">
        <v>200</v>
      </c>
      <c r="I7" s="146"/>
      <c r="J7" s="448" t="s">
        <v>201</v>
      </c>
      <c r="K7" s="145"/>
      <c r="L7" s="447" t="s">
        <v>202</v>
      </c>
    </row>
    <row r="8" spans="1:12" ht="6.75" customHeight="1">
      <c r="A8" s="88"/>
      <c r="B8" s="122"/>
      <c r="C8" s="122"/>
      <c r="D8" s="88"/>
      <c r="E8" s="88"/>
      <c r="F8" s="88"/>
      <c r="G8" s="88"/>
      <c r="H8" s="88"/>
      <c r="I8" s="88"/>
      <c r="J8" s="88"/>
      <c r="K8" s="88"/>
      <c r="L8" s="88"/>
    </row>
    <row r="9" spans="1:12">
      <c r="A9" s="88"/>
      <c r="B9" s="147">
        <f>'Expenditure Breakdown'!B6</f>
        <v>1</v>
      </c>
      <c r="D9" s="389" t="str">
        <f>'Expenditure Breakdown'!C6</f>
        <v>Panels</v>
      </c>
      <c r="E9" s="148"/>
      <c r="F9" s="149">
        <f>'Expenditure Breakdown'!J6</f>
        <v>8604405.8100000005</v>
      </c>
      <c r="G9" s="94"/>
      <c r="H9" s="149">
        <f>'Expenditure Breakdown'!V6</f>
        <v>7861415.2826757105</v>
      </c>
      <c r="I9" s="99"/>
      <c r="J9" s="524">
        <f>F9-H9</f>
        <v>742990.52732429001</v>
      </c>
      <c r="K9" s="150"/>
      <c r="L9" s="141"/>
    </row>
    <row r="10" spans="1:12">
      <c r="A10" s="88"/>
      <c r="B10" s="147">
        <f>'Expenditure Breakdown'!B28</f>
        <v>2</v>
      </c>
      <c r="D10" s="389" t="str">
        <f>'Expenditure Breakdown'!C28</f>
        <v>Inverters</v>
      </c>
      <c r="E10" s="148"/>
      <c r="F10" s="149">
        <f>+'Expenditure Breakdown'!J28</f>
        <v>1020000</v>
      </c>
      <c r="G10" s="94"/>
      <c r="H10" s="149">
        <f>+'Expenditure Breakdown'!V28</f>
        <v>1056455</v>
      </c>
      <c r="I10" s="99"/>
      <c r="J10" s="524">
        <f t="shared" ref="J10:J22" si="0">F10-H10</f>
        <v>-36455</v>
      </c>
      <c r="K10" s="150"/>
      <c r="L10" s="141"/>
    </row>
    <row r="11" spans="1:12">
      <c r="A11" s="88"/>
      <c r="B11" s="147">
        <f>'Expenditure Breakdown'!B34</f>
        <v>3</v>
      </c>
      <c r="D11" s="389" t="str">
        <f>'Expenditure Breakdown'!C34</f>
        <v>Mounting Structures</v>
      </c>
      <c r="E11" s="151"/>
      <c r="F11" s="149">
        <f>+'Expenditure Breakdown'!J34</f>
        <v>524979</v>
      </c>
      <c r="G11" s="94"/>
      <c r="H11" s="149">
        <f>+'Expenditure Breakdown'!V34</f>
        <v>351446.8</v>
      </c>
      <c r="I11" s="99"/>
      <c r="J11" s="524">
        <f t="shared" si="0"/>
        <v>173532.2</v>
      </c>
      <c r="K11" s="150"/>
      <c r="L11" s="141"/>
    </row>
    <row r="12" spans="1:12">
      <c r="A12" s="88"/>
      <c r="B12" s="147">
        <f>'Expenditure Breakdown'!B40</f>
        <v>4</v>
      </c>
      <c r="D12" s="389" t="str">
        <f>'Expenditure Breakdown'!C40</f>
        <v>DC Equipment</v>
      </c>
      <c r="E12" s="151"/>
      <c r="F12" s="149">
        <f>+'Expenditure Breakdown'!J40</f>
        <v>637505.76000000013</v>
      </c>
      <c r="G12" s="94"/>
      <c r="H12" s="149">
        <f>+'Expenditure Breakdown'!V40</f>
        <v>1160597.76</v>
      </c>
      <c r="I12" s="99"/>
      <c r="J12" s="524">
        <f t="shared" si="0"/>
        <v>-523091.99999999988</v>
      </c>
      <c r="K12" s="150"/>
      <c r="L12" s="141"/>
    </row>
    <row r="13" spans="1:12">
      <c r="A13" s="88"/>
      <c r="B13" s="147">
        <f>'Expenditure Breakdown'!B54</f>
        <v>5</v>
      </c>
      <c r="D13" s="389" t="str">
        <f>'Expenditure Breakdown'!C54</f>
        <v>Monitoring</v>
      </c>
      <c r="E13" s="151"/>
      <c r="F13" s="149">
        <f>+'Expenditure Breakdown'!J54</f>
        <v>24567</v>
      </c>
      <c r="G13" s="94"/>
      <c r="H13" s="149">
        <f>+'Expenditure Breakdown'!V54</f>
        <v>102506.59999999998</v>
      </c>
      <c r="I13" s="99"/>
      <c r="J13" s="524">
        <f t="shared" si="0"/>
        <v>-77939.599999999977</v>
      </c>
      <c r="K13" s="150"/>
      <c r="L13" s="141"/>
    </row>
    <row r="14" spans="1:12">
      <c r="A14" s="88"/>
      <c r="B14" s="147">
        <f>'Expenditure Breakdown'!B76</f>
        <v>6</v>
      </c>
      <c r="D14" s="389" t="str">
        <f>'Expenditure Breakdown'!C76</f>
        <v>AC Equipment</v>
      </c>
      <c r="E14" s="151"/>
      <c r="F14" s="149">
        <f>+'Expenditure Breakdown'!J76</f>
        <v>637698.25799999991</v>
      </c>
      <c r="G14" s="94"/>
      <c r="H14" s="149">
        <f>+'Expenditure Breakdown'!V76</f>
        <v>954731.35000000009</v>
      </c>
      <c r="I14" s="99"/>
      <c r="J14" s="524">
        <f t="shared" si="0"/>
        <v>-317033.09200000018</v>
      </c>
      <c r="K14" s="150"/>
      <c r="L14" s="141"/>
    </row>
    <row r="15" spans="1:12">
      <c r="A15" s="88"/>
      <c r="B15" s="147">
        <f>'Expenditure Breakdown'!B88</f>
        <v>7</v>
      </c>
      <c r="D15" s="389" t="str">
        <f>'Expenditure Breakdown'!C88</f>
        <v xml:space="preserve">Product Add On </v>
      </c>
      <c r="E15" s="151"/>
      <c r="F15" s="149">
        <f>'Expenditure Breakdown'!J88</f>
        <v>4530000</v>
      </c>
      <c r="G15" s="94"/>
      <c r="H15" s="149">
        <f>'Expenditure Breakdown'!V88</f>
        <v>625278.52391304355</v>
      </c>
      <c r="I15" s="99"/>
      <c r="J15" s="524">
        <f t="shared" si="0"/>
        <v>3904721.4760869564</v>
      </c>
      <c r="K15" s="150"/>
      <c r="L15" s="141"/>
    </row>
    <row r="16" spans="1:12">
      <c r="A16" s="88"/>
      <c r="B16" s="147">
        <f>'Expenditure Breakdown'!B106</f>
        <v>8</v>
      </c>
      <c r="D16" s="389" t="str">
        <f>'Expenditure Breakdown'!C106</f>
        <v>AC &amp; DC installation</v>
      </c>
      <c r="E16" s="151"/>
      <c r="F16" s="149">
        <f>+'Expenditure Breakdown'!J106</f>
        <v>1661472</v>
      </c>
      <c r="G16" s="94"/>
      <c r="H16" s="149">
        <f>+'Expenditure Breakdown'!V106</f>
        <v>1378000</v>
      </c>
      <c r="I16" s="99"/>
      <c r="J16" s="524">
        <f t="shared" si="0"/>
        <v>283472</v>
      </c>
      <c r="K16" s="150"/>
      <c r="L16" s="141"/>
    </row>
    <row r="17" spans="1:12">
      <c r="A17" s="88"/>
      <c r="B17" s="147">
        <f>'Expenditure Breakdown'!B116</f>
        <v>9</v>
      </c>
      <c r="D17" s="389" t="str">
        <f>'Expenditure Breakdown'!C116</f>
        <v>Site Logistics</v>
      </c>
      <c r="E17" s="148"/>
      <c r="F17" s="149">
        <f>+'Expenditure Breakdown'!J116</f>
        <v>289840.03333333333</v>
      </c>
      <c r="G17" s="94"/>
      <c r="H17" s="149">
        <f>+'Expenditure Breakdown'!V116</f>
        <v>143094.85999999996</v>
      </c>
      <c r="I17" s="99"/>
      <c r="J17" s="524">
        <f t="shared" si="0"/>
        <v>146745.17333333337</v>
      </c>
      <c r="K17" s="150"/>
      <c r="L17" s="141"/>
    </row>
    <row r="18" spans="1:12">
      <c r="A18" s="88"/>
      <c r="B18" s="147">
        <f>'Expenditure Breakdown'!B134</f>
        <v>10</v>
      </c>
      <c r="D18" s="389" t="str">
        <f>'Expenditure Breakdown'!C134</f>
        <v>Due Dilligence</v>
      </c>
      <c r="E18" s="148"/>
      <c r="F18" s="149">
        <f>'Expenditure Breakdown'!J134</f>
        <v>78746.850000000006</v>
      </c>
      <c r="G18" s="94"/>
      <c r="H18" s="149">
        <f>'Expenditure Breakdown'!V134</f>
        <v>54897.75</v>
      </c>
      <c r="I18" s="99"/>
      <c r="J18" s="524">
        <f t="shared" si="0"/>
        <v>23849.100000000006</v>
      </c>
      <c r="K18" s="150"/>
      <c r="L18" s="141"/>
    </row>
    <row r="19" spans="1:12">
      <c r="A19" s="88"/>
      <c r="B19" s="147">
        <f>'Expenditure Breakdown'!B142</f>
        <v>11</v>
      </c>
      <c r="D19" s="389" t="str">
        <f>'Expenditure Breakdown'!C142</f>
        <v>BDP Commission</v>
      </c>
      <c r="E19" s="148"/>
      <c r="F19" s="149">
        <f>+'Expenditure Breakdown'!J142</f>
        <v>0</v>
      </c>
      <c r="G19" s="94"/>
      <c r="H19" s="149">
        <f>+'Expenditure Breakdown'!V142</f>
        <v>0</v>
      </c>
      <c r="I19" s="99"/>
      <c r="J19" s="524">
        <f t="shared" si="0"/>
        <v>0</v>
      </c>
      <c r="K19" s="150"/>
      <c r="L19" s="141"/>
    </row>
    <row r="20" spans="1:12">
      <c r="A20" s="88"/>
      <c r="B20" s="147">
        <f>'Expenditure Breakdown'!B144</f>
        <v>12</v>
      </c>
      <c r="D20" s="389" t="str">
        <f>'Expenditure Breakdown'!C144</f>
        <v>Engineering</v>
      </c>
      <c r="E20" s="148"/>
      <c r="F20" s="149">
        <f>+'Expenditure Breakdown'!J144</f>
        <v>661555.24</v>
      </c>
      <c r="G20" s="94"/>
      <c r="H20" s="149">
        <f>+'Expenditure Breakdown'!V144</f>
        <v>133516.32384863548</v>
      </c>
      <c r="I20" s="99"/>
      <c r="J20" s="524">
        <f t="shared" si="0"/>
        <v>528038.91615136457</v>
      </c>
      <c r="K20" s="150"/>
      <c r="L20" s="141"/>
    </row>
    <row r="21" spans="1:12">
      <c r="A21" s="88"/>
      <c r="B21" s="147">
        <f>'Expenditure Breakdown'!B155</f>
        <v>13</v>
      </c>
      <c r="D21" s="389" t="str">
        <f>'Expenditure Breakdown'!C155</f>
        <v>General Expenses</v>
      </c>
      <c r="E21" s="148"/>
      <c r="F21" s="149">
        <f>+'Expenditure Breakdown'!J155</f>
        <v>12180</v>
      </c>
      <c r="G21" s="94"/>
      <c r="H21" s="149">
        <f>+'Expenditure Breakdown'!V155</f>
        <v>5372.6</v>
      </c>
      <c r="I21" s="99"/>
      <c r="J21" s="524">
        <f t="shared" si="0"/>
        <v>6807.4</v>
      </c>
      <c r="K21" s="150"/>
      <c r="L21" s="141"/>
    </row>
    <row r="22" spans="1:12">
      <c r="A22" s="88"/>
      <c r="B22" s="147">
        <f>'Expenditure Breakdown'!B170</f>
        <v>14</v>
      </c>
      <c r="D22" s="389" t="str">
        <f>'Expenditure Breakdown'!C170</f>
        <v>Service Add On</v>
      </c>
      <c r="E22" s="148"/>
      <c r="F22" s="149">
        <f>+'Expenditure Breakdown'!J170</f>
        <v>0</v>
      </c>
      <c r="G22" s="94"/>
      <c r="H22" s="149">
        <f>+'Expenditure Breakdown'!V170</f>
        <v>5406984.4199999999</v>
      </c>
      <c r="I22" s="99"/>
      <c r="J22" s="524">
        <f t="shared" si="0"/>
        <v>-5406984.4199999999</v>
      </c>
      <c r="K22" s="150"/>
      <c r="L22" s="141"/>
    </row>
    <row r="23" spans="1:12" ht="6.75" customHeight="1">
      <c r="A23" s="88"/>
      <c r="B23" s="95"/>
      <c r="C23" s="95"/>
      <c r="D23" s="94"/>
      <c r="E23" s="94"/>
      <c r="F23" s="94"/>
      <c r="G23" s="94"/>
      <c r="H23" s="99"/>
      <c r="I23" s="99"/>
      <c r="J23" s="99"/>
      <c r="K23" s="150"/>
      <c r="L23" s="88"/>
    </row>
    <row r="24" spans="1:12" ht="15" customHeight="1">
      <c r="A24" s="88"/>
      <c r="B24" s="95"/>
      <c r="C24" s="95"/>
      <c r="D24" s="441" t="s">
        <v>203</v>
      </c>
      <c r="E24" s="94"/>
      <c r="F24" s="442">
        <f>'Expenditure Breakdown'!J2-F5</f>
        <v>0</v>
      </c>
      <c r="G24" s="442" t="e">
        <f>'Expenditure Breakdown'!#REF!-G5</f>
        <v>#REF!</v>
      </c>
      <c r="H24" s="442">
        <f>'Expenditure Breakdown'!V2-H5</f>
        <v>0</v>
      </c>
      <c r="I24" s="99"/>
      <c r="J24" s="152"/>
      <c r="K24" s="150"/>
      <c r="L24" s="88"/>
    </row>
    <row r="25" spans="1:12" s="468" customFormat="1">
      <c r="B25" s="516"/>
      <c r="C25" s="516"/>
    </row>
    <row r="26" spans="1:12">
      <c r="A26" s="88"/>
      <c r="B26" s="122"/>
      <c r="C26" s="122"/>
      <c r="D26" s="88"/>
      <c r="E26" s="88"/>
      <c r="F26" s="88"/>
      <c r="G26" s="88"/>
      <c r="H26" s="88"/>
      <c r="I26" s="88"/>
      <c r="J26" s="88"/>
      <c r="K26" s="88"/>
      <c r="L26" s="88"/>
    </row>
    <row r="27" spans="1:12">
      <c r="A27" s="88"/>
      <c r="B27" s="122"/>
      <c r="C27" s="122"/>
      <c r="D27" s="88"/>
      <c r="E27" s="88"/>
      <c r="F27" s="88"/>
      <c r="G27" s="88"/>
      <c r="H27" s="88"/>
      <c r="I27" s="88"/>
      <c r="J27" s="88"/>
      <c r="K27" s="88"/>
      <c r="L27" s="88"/>
    </row>
    <row r="28" spans="1:12">
      <c r="A28" s="88"/>
      <c r="B28" s="122"/>
      <c r="C28" s="122"/>
      <c r="D28" s="88"/>
      <c r="E28" s="88"/>
      <c r="F28" s="88"/>
      <c r="G28" s="88"/>
      <c r="H28" s="88"/>
      <c r="I28" s="88"/>
      <c r="J28" s="88"/>
      <c r="K28" s="88"/>
      <c r="L28" s="88"/>
    </row>
    <row r="29" spans="1:12">
      <c r="A29" s="88"/>
      <c r="B29" s="122"/>
      <c r="C29" s="122"/>
      <c r="D29" s="88"/>
      <c r="E29" s="88"/>
      <c r="F29" s="88"/>
      <c r="G29" s="88"/>
      <c r="H29" s="88"/>
      <c r="I29" s="88"/>
      <c r="J29" s="88"/>
      <c r="K29" s="88"/>
      <c r="L29" s="88"/>
    </row>
    <row r="30" spans="1:12">
      <c r="A30" s="88"/>
      <c r="B30" s="122"/>
      <c r="C30" s="122"/>
      <c r="D30" s="88"/>
      <c r="E30" s="88"/>
      <c r="F30" s="88"/>
      <c r="G30" s="88"/>
      <c r="H30" s="88"/>
      <c r="I30" s="88"/>
      <c r="J30" s="88"/>
      <c r="K30" s="88"/>
      <c r="L30" s="88"/>
    </row>
    <row r="31" spans="1:12">
      <c r="A31" s="88"/>
      <c r="B31" s="122"/>
      <c r="C31" s="122"/>
      <c r="D31" s="88"/>
      <c r="E31" s="88"/>
      <c r="F31" s="88"/>
      <c r="G31" s="88"/>
      <c r="H31" s="88"/>
      <c r="I31" s="88"/>
      <c r="J31" s="88"/>
      <c r="K31" s="88"/>
      <c r="L31" s="88"/>
    </row>
    <row r="32" spans="1:12">
      <c r="A32" s="88"/>
      <c r="B32" s="122"/>
      <c r="C32" s="122"/>
      <c r="D32" s="88"/>
      <c r="E32" s="88"/>
      <c r="F32" s="88"/>
      <c r="G32" s="88"/>
      <c r="H32" s="88"/>
      <c r="I32" s="88"/>
      <c r="J32" s="88"/>
      <c r="K32" s="88"/>
      <c r="L32" s="88"/>
    </row>
    <row r="33" spans="1:12">
      <c r="A33" s="88"/>
      <c r="B33" s="122"/>
      <c r="C33" s="122"/>
      <c r="D33" s="88"/>
      <c r="E33" s="88"/>
      <c r="F33" s="88"/>
      <c r="G33" s="88"/>
      <c r="H33" s="88"/>
      <c r="I33" s="88"/>
      <c r="J33" s="88"/>
      <c r="K33" s="88"/>
      <c r="L33" s="88"/>
    </row>
    <row r="34" spans="1:12">
      <c r="A34" s="88"/>
      <c r="B34" s="122"/>
      <c r="C34" s="122"/>
      <c r="D34" s="88"/>
      <c r="E34" s="88"/>
      <c r="F34" s="88"/>
      <c r="G34" s="88"/>
      <c r="H34" s="88"/>
      <c r="I34" s="88"/>
      <c r="J34" s="88"/>
      <c r="K34" s="88"/>
      <c r="L34" s="88"/>
    </row>
    <row r="35" spans="1:12">
      <c r="A35" s="88"/>
      <c r="B35" s="122"/>
      <c r="C35" s="122"/>
      <c r="D35" s="88"/>
      <c r="E35" s="88"/>
      <c r="F35" s="88"/>
      <c r="G35" s="88"/>
      <c r="H35" s="88"/>
      <c r="I35" s="88"/>
      <c r="J35" s="88"/>
      <c r="K35" s="88"/>
      <c r="L35" s="88"/>
    </row>
    <row r="36" spans="1:12">
      <c r="A36" s="88"/>
      <c r="B36" s="122"/>
      <c r="C36" s="122"/>
      <c r="D36" s="88"/>
      <c r="E36" s="88"/>
      <c r="F36" s="88"/>
      <c r="G36" s="88"/>
      <c r="H36" s="88"/>
      <c r="I36" s="88"/>
      <c r="J36" s="88"/>
      <c r="K36" s="88"/>
      <c r="L36" s="88"/>
    </row>
    <row r="37" spans="1:12">
      <c r="A37" s="88"/>
      <c r="B37" s="122"/>
      <c r="C37" s="122"/>
      <c r="D37" s="88"/>
      <c r="E37" s="88"/>
      <c r="F37" s="88"/>
      <c r="G37" s="88"/>
      <c r="H37" s="88"/>
      <c r="I37" s="88"/>
      <c r="J37" s="88"/>
      <c r="K37" s="88"/>
      <c r="L37" s="88"/>
    </row>
    <row r="38" spans="1:12" s="88" customFormat="1">
      <c r="B38" s="122"/>
      <c r="C38" s="122"/>
    </row>
    <row r="39" spans="1:12" s="88" customFormat="1">
      <c r="B39" s="122"/>
      <c r="C39" s="122"/>
    </row>
    <row r="40" spans="1:12" s="88" customFormat="1">
      <c r="B40" s="122"/>
      <c r="C40" s="122"/>
    </row>
    <row r="41" spans="1:12" s="88" customFormat="1">
      <c r="B41" s="122"/>
      <c r="C41" s="122"/>
    </row>
    <row r="42" spans="1:12" s="88" customFormat="1">
      <c r="B42" s="122"/>
      <c r="C42" s="122"/>
    </row>
    <row r="43" spans="1:12" s="88" customFormat="1">
      <c r="B43" s="122"/>
      <c r="C43" s="122"/>
    </row>
    <row r="44" spans="1:12" s="88" customFormat="1">
      <c r="B44" s="122"/>
      <c r="C44" s="122"/>
    </row>
    <row r="45" spans="1:12" s="88" customFormat="1">
      <c r="B45" s="122"/>
      <c r="C45" s="122"/>
    </row>
    <row r="46" spans="1:12" s="88" customFormat="1">
      <c r="B46" s="122"/>
      <c r="C46" s="122"/>
    </row>
    <row r="47" spans="1:12" s="88" customFormat="1">
      <c r="B47" s="122"/>
      <c r="C47" s="122"/>
    </row>
    <row r="48" spans="1:12" s="88" customFormat="1">
      <c r="B48" s="122"/>
      <c r="C48" s="122"/>
    </row>
    <row r="49" spans="2:3" s="88" customFormat="1">
      <c r="B49" s="122"/>
      <c r="C49" s="122"/>
    </row>
    <row r="50" spans="2:3" s="88" customFormat="1">
      <c r="B50" s="122"/>
      <c r="C50" s="122"/>
    </row>
    <row r="51" spans="2:3" s="88" customFormat="1">
      <c r="B51" s="122"/>
      <c r="C51" s="122"/>
    </row>
    <row r="52" spans="2:3" s="88" customFormat="1">
      <c r="B52" s="122"/>
      <c r="C52" s="122"/>
    </row>
    <row r="53" spans="2:3" s="88" customFormat="1">
      <c r="B53" s="122"/>
      <c r="C53" s="122"/>
    </row>
    <row r="54" spans="2:3" s="88" customFormat="1">
      <c r="B54" s="122"/>
      <c r="C54" s="122"/>
    </row>
    <row r="55" spans="2:3" s="88" customFormat="1">
      <c r="B55" s="122"/>
      <c r="C55" s="122"/>
    </row>
    <row r="56" spans="2:3" s="88" customFormat="1">
      <c r="B56" s="122"/>
      <c r="C56" s="122"/>
    </row>
    <row r="57" spans="2:3" s="88" customFormat="1">
      <c r="B57" s="122"/>
      <c r="C57" s="122"/>
    </row>
    <row r="58" spans="2:3" s="88" customFormat="1">
      <c r="B58" s="122"/>
      <c r="C58" s="122"/>
    </row>
    <row r="59" spans="2:3" s="88" customFormat="1">
      <c r="B59" s="122"/>
      <c r="C59" s="122"/>
    </row>
    <row r="60" spans="2:3" s="88" customFormat="1">
      <c r="B60" s="122"/>
      <c r="C60" s="122"/>
    </row>
    <row r="61" spans="2:3" s="88" customFormat="1">
      <c r="B61" s="122"/>
      <c r="C61" s="122"/>
    </row>
    <row r="62" spans="2:3" s="88" customFormat="1">
      <c r="B62" s="122"/>
      <c r="C62" s="122"/>
    </row>
    <row r="63" spans="2:3" s="88" customFormat="1">
      <c r="B63" s="122"/>
      <c r="C63" s="122"/>
    </row>
    <row r="64" spans="2:3" s="88" customFormat="1">
      <c r="B64" s="122"/>
      <c r="C64" s="122"/>
    </row>
    <row r="65" spans="2:3" s="88" customFormat="1">
      <c r="B65" s="122"/>
      <c r="C65" s="122"/>
    </row>
    <row r="66" spans="2:3" s="88" customFormat="1">
      <c r="B66" s="122"/>
      <c r="C66" s="122"/>
    </row>
    <row r="67" spans="2:3" s="88" customFormat="1">
      <c r="B67" s="122"/>
      <c r="C67" s="122"/>
    </row>
    <row r="68" spans="2:3" s="88" customFormat="1">
      <c r="B68" s="122"/>
      <c r="C68" s="122"/>
    </row>
    <row r="69" spans="2:3" s="88" customFormat="1">
      <c r="B69" s="122"/>
      <c r="C69" s="122"/>
    </row>
    <row r="70" spans="2:3" s="88" customFormat="1">
      <c r="B70" s="122"/>
      <c r="C70" s="122"/>
    </row>
    <row r="71" spans="2:3" s="88" customFormat="1">
      <c r="B71" s="122"/>
      <c r="C71" s="122"/>
    </row>
    <row r="72" spans="2:3" s="88" customFormat="1">
      <c r="B72" s="122"/>
      <c r="C72" s="122"/>
    </row>
    <row r="73" spans="2:3" s="88" customFormat="1">
      <c r="B73" s="122"/>
      <c r="C73" s="122"/>
    </row>
    <row r="74" spans="2:3" s="88" customFormat="1">
      <c r="B74" s="122"/>
      <c r="C74" s="122"/>
    </row>
    <row r="75" spans="2:3" s="88" customFormat="1">
      <c r="B75" s="122"/>
      <c r="C75" s="122"/>
    </row>
    <row r="76" spans="2:3" s="88" customFormat="1">
      <c r="B76" s="122"/>
      <c r="C76" s="122"/>
    </row>
    <row r="77" spans="2:3" s="88" customFormat="1">
      <c r="B77" s="122"/>
      <c r="C77" s="122"/>
    </row>
    <row r="78" spans="2:3" s="88" customFormat="1">
      <c r="B78" s="122"/>
      <c r="C78" s="122"/>
    </row>
    <row r="79" spans="2:3" s="88" customFormat="1">
      <c r="B79" s="122"/>
      <c r="C79" s="122"/>
    </row>
    <row r="80" spans="2:3" s="88" customFormat="1">
      <c r="B80" s="122"/>
      <c r="C80" s="122"/>
    </row>
    <row r="81" spans="2:3" s="88" customFormat="1">
      <c r="B81" s="122"/>
      <c r="C81" s="122"/>
    </row>
    <row r="82" spans="2:3" s="88" customFormat="1">
      <c r="B82" s="122"/>
      <c r="C82" s="122"/>
    </row>
    <row r="83" spans="2:3" s="88" customFormat="1">
      <c r="B83" s="122"/>
      <c r="C83" s="122"/>
    </row>
    <row r="84" spans="2:3" s="88" customFormat="1">
      <c r="B84" s="122"/>
      <c r="C84" s="122"/>
    </row>
    <row r="85" spans="2:3" s="88" customFormat="1">
      <c r="B85" s="122"/>
      <c r="C85" s="122"/>
    </row>
    <row r="86" spans="2:3" s="88" customFormat="1">
      <c r="B86" s="122"/>
      <c r="C86" s="122"/>
    </row>
    <row r="87" spans="2:3" s="88" customFormat="1">
      <c r="B87" s="122"/>
      <c r="C87" s="122"/>
    </row>
    <row r="88" spans="2:3" s="88" customFormat="1">
      <c r="B88" s="122"/>
      <c r="C88" s="122"/>
    </row>
    <row r="89" spans="2:3" s="88" customFormat="1">
      <c r="B89" s="122"/>
      <c r="C89" s="122"/>
    </row>
    <row r="90" spans="2:3" s="88" customFormat="1">
      <c r="B90" s="122"/>
      <c r="C90" s="122"/>
    </row>
    <row r="91" spans="2:3" s="88" customFormat="1">
      <c r="B91" s="122"/>
      <c r="C91" s="122"/>
    </row>
    <row r="92" spans="2:3" s="88" customFormat="1">
      <c r="B92" s="122"/>
      <c r="C92" s="122"/>
    </row>
    <row r="93" spans="2:3" s="88" customFormat="1">
      <c r="B93" s="122"/>
      <c r="C93" s="122"/>
    </row>
    <row r="94" spans="2:3" s="88" customFormat="1">
      <c r="B94" s="122"/>
      <c r="C94" s="122"/>
    </row>
    <row r="95" spans="2:3" s="88" customFormat="1">
      <c r="B95" s="122"/>
      <c r="C95" s="122"/>
    </row>
    <row r="96" spans="2:3" s="88" customFormat="1">
      <c r="B96" s="122"/>
      <c r="C96" s="122"/>
    </row>
    <row r="97" spans="2:3" s="88" customFormat="1">
      <c r="B97" s="122"/>
      <c r="C97" s="122"/>
    </row>
    <row r="98" spans="2:3" s="88" customFormat="1">
      <c r="B98" s="122"/>
      <c r="C98" s="122"/>
    </row>
    <row r="99" spans="2:3" s="88" customFormat="1">
      <c r="B99" s="122"/>
      <c r="C99" s="122"/>
    </row>
    <row r="100" spans="2:3" s="88" customFormat="1">
      <c r="B100" s="122"/>
      <c r="C100" s="122"/>
    </row>
    <row r="101" spans="2:3" s="88" customFormat="1">
      <c r="B101" s="122"/>
      <c r="C101" s="122"/>
    </row>
    <row r="102" spans="2:3" s="88" customFormat="1">
      <c r="B102" s="122"/>
      <c r="C102" s="122"/>
    </row>
    <row r="103" spans="2:3" s="88" customFormat="1">
      <c r="B103" s="122"/>
      <c r="C103" s="122"/>
    </row>
    <row r="104" spans="2:3" s="88" customFormat="1">
      <c r="B104" s="122"/>
      <c r="C104" s="122"/>
    </row>
    <row r="105" spans="2:3" s="88" customFormat="1">
      <c r="B105" s="122"/>
      <c r="C105" s="122"/>
    </row>
    <row r="106" spans="2:3" s="88" customFormat="1">
      <c r="B106" s="122"/>
      <c r="C106" s="122"/>
    </row>
    <row r="107" spans="2:3" s="88" customFormat="1">
      <c r="B107" s="122"/>
      <c r="C107" s="122"/>
    </row>
    <row r="108" spans="2:3" s="88" customFormat="1">
      <c r="B108" s="122"/>
      <c r="C108" s="122"/>
    </row>
    <row r="109" spans="2:3" s="88" customFormat="1">
      <c r="B109" s="122"/>
      <c r="C109" s="122"/>
    </row>
    <row r="110" spans="2:3" s="88" customFormat="1">
      <c r="B110" s="122"/>
      <c r="C110" s="122"/>
    </row>
    <row r="111" spans="2:3" s="88" customFormat="1">
      <c r="B111" s="122"/>
      <c r="C111" s="122"/>
    </row>
    <row r="112" spans="2:3" s="88" customFormat="1">
      <c r="B112" s="122"/>
      <c r="C112" s="122"/>
    </row>
    <row r="113" spans="2:3" s="88" customFormat="1">
      <c r="B113" s="122"/>
      <c r="C113" s="122"/>
    </row>
    <row r="114" spans="2:3" s="88" customFormat="1">
      <c r="B114" s="122"/>
      <c r="C114" s="122"/>
    </row>
    <row r="115" spans="2:3" s="88" customFormat="1">
      <c r="B115" s="122"/>
      <c r="C115" s="122"/>
    </row>
    <row r="116" spans="2:3" s="88" customFormat="1">
      <c r="B116" s="122"/>
      <c r="C116" s="122"/>
    </row>
    <row r="117" spans="2:3" s="88" customFormat="1">
      <c r="B117" s="122"/>
      <c r="C117" s="122"/>
    </row>
    <row r="118" spans="2:3" s="88" customFormat="1">
      <c r="B118" s="122"/>
      <c r="C118" s="122"/>
    </row>
    <row r="119" spans="2:3" s="88" customFormat="1">
      <c r="B119" s="122"/>
      <c r="C119" s="122"/>
    </row>
    <row r="120" spans="2:3" s="88" customFormat="1">
      <c r="B120" s="122"/>
      <c r="C120" s="122"/>
    </row>
    <row r="121" spans="2:3" s="88" customFormat="1">
      <c r="B121" s="122"/>
      <c r="C121" s="122"/>
    </row>
    <row r="122" spans="2:3" s="88" customFormat="1">
      <c r="B122" s="122"/>
      <c r="C122" s="122"/>
    </row>
    <row r="123" spans="2:3" s="88" customFormat="1">
      <c r="B123" s="122"/>
      <c r="C123" s="122"/>
    </row>
    <row r="124" spans="2:3" s="88" customFormat="1">
      <c r="B124" s="122"/>
      <c r="C124" s="122"/>
    </row>
    <row r="125" spans="2:3" s="88" customFormat="1">
      <c r="B125" s="122"/>
      <c r="C125" s="122"/>
    </row>
    <row r="126" spans="2:3" s="88" customFormat="1">
      <c r="B126" s="122"/>
      <c r="C126" s="122"/>
    </row>
    <row r="127" spans="2:3" s="88" customFormat="1">
      <c r="B127" s="122"/>
      <c r="C127" s="122"/>
    </row>
    <row r="128" spans="2:3" s="88" customFormat="1">
      <c r="B128" s="122"/>
      <c r="C128" s="122"/>
    </row>
    <row r="129" spans="2:3" s="88" customFormat="1">
      <c r="B129" s="122"/>
      <c r="C129" s="122"/>
    </row>
    <row r="130" spans="2:3" s="88" customFormat="1">
      <c r="B130" s="122"/>
      <c r="C130" s="122"/>
    </row>
    <row r="131" spans="2:3" s="88" customFormat="1">
      <c r="B131" s="122"/>
      <c r="C131" s="122"/>
    </row>
    <row r="132" spans="2:3" s="88" customFormat="1">
      <c r="B132" s="122"/>
      <c r="C132" s="122"/>
    </row>
    <row r="133" spans="2:3" s="88" customFormat="1">
      <c r="B133" s="122"/>
      <c r="C133" s="122"/>
    </row>
    <row r="134" spans="2:3" s="88" customFormat="1">
      <c r="B134" s="122"/>
      <c r="C134" s="122"/>
    </row>
    <row r="135" spans="2:3" s="88" customFormat="1">
      <c r="B135" s="122"/>
      <c r="C135" s="122"/>
    </row>
    <row r="136" spans="2:3" s="88" customFormat="1">
      <c r="B136" s="122"/>
      <c r="C136" s="122"/>
    </row>
    <row r="137" spans="2:3" s="88" customFormat="1">
      <c r="B137" s="122"/>
      <c r="C137" s="122"/>
    </row>
    <row r="138" spans="2:3" s="88" customFormat="1">
      <c r="B138" s="122"/>
      <c r="C138" s="122"/>
    </row>
    <row r="139" spans="2:3" s="88" customFormat="1">
      <c r="B139" s="122"/>
      <c r="C139" s="122"/>
    </row>
    <row r="140" spans="2:3" s="88" customFormat="1">
      <c r="B140" s="122"/>
      <c r="C140" s="122"/>
    </row>
    <row r="141" spans="2:3" s="88" customFormat="1">
      <c r="B141" s="122"/>
      <c r="C141" s="122"/>
    </row>
    <row r="142" spans="2:3" s="88" customFormat="1">
      <c r="B142" s="122"/>
      <c r="C142" s="122"/>
    </row>
    <row r="143" spans="2:3" s="88" customFormat="1">
      <c r="B143" s="122"/>
      <c r="C143" s="122"/>
    </row>
    <row r="144" spans="2:3" s="88" customFormat="1">
      <c r="B144" s="122"/>
      <c r="C144" s="122"/>
    </row>
    <row r="145" spans="2:3" s="88" customFormat="1">
      <c r="B145" s="122"/>
      <c r="C145" s="122"/>
    </row>
    <row r="146" spans="2:3" s="88" customFormat="1">
      <c r="B146" s="122"/>
      <c r="C146" s="122"/>
    </row>
    <row r="147" spans="2:3" s="88" customFormat="1">
      <c r="B147" s="122"/>
      <c r="C147" s="122"/>
    </row>
    <row r="148" spans="2:3" s="88" customFormat="1">
      <c r="B148" s="122"/>
      <c r="C148" s="122"/>
    </row>
    <row r="149" spans="2:3" s="88" customFormat="1">
      <c r="B149" s="122"/>
      <c r="C149" s="122"/>
    </row>
    <row r="150" spans="2:3" s="88" customFormat="1">
      <c r="B150" s="122"/>
      <c r="C150" s="122"/>
    </row>
    <row r="151" spans="2:3" s="88" customFormat="1">
      <c r="B151" s="122"/>
      <c r="C151" s="122"/>
    </row>
    <row r="152" spans="2:3" s="88" customFormat="1">
      <c r="B152" s="122"/>
      <c r="C152" s="122"/>
    </row>
    <row r="153" spans="2:3" s="88" customFormat="1">
      <c r="B153" s="122"/>
      <c r="C153" s="122"/>
    </row>
    <row r="154" spans="2:3" s="88" customFormat="1">
      <c r="B154" s="122"/>
      <c r="C154" s="122"/>
    </row>
    <row r="155" spans="2:3" s="88" customFormat="1">
      <c r="B155" s="122"/>
      <c r="C155" s="122"/>
    </row>
    <row r="156" spans="2:3" s="88" customFormat="1">
      <c r="B156" s="122"/>
      <c r="C156" s="122"/>
    </row>
    <row r="157" spans="2:3" s="88" customFormat="1">
      <c r="B157" s="122"/>
      <c r="C157" s="122"/>
    </row>
    <row r="158" spans="2:3" s="88" customFormat="1">
      <c r="B158" s="122"/>
      <c r="C158" s="122"/>
    </row>
    <row r="159" spans="2:3" s="88" customFormat="1">
      <c r="B159" s="122"/>
      <c r="C159" s="122"/>
    </row>
    <row r="160" spans="2:3" s="88" customFormat="1">
      <c r="B160" s="122"/>
      <c r="C160" s="122"/>
    </row>
    <row r="161" spans="2:3" s="88" customFormat="1">
      <c r="B161" s="122"/>
      <c r="C161" s="122"/>
    </row>
    <row r="162" spans="2:3" s="88" customFormat="1">
      <c r="B162" s="122"/>
      <c r="C162" s="122"/>
    </row>
    <row r="163" spans="2:3" s="88" customFormat="1">
      <c r="B163" s="122"/>
      <c r="C163" s="122"/>
    </row>
    <row r="164" spans="2:3" s="88" customFormat="1">
      <c r="B164" s="122"/>
      <c r="C164" s="122"/>
    </row>
    <row r="165" spans="2:3" s="88" customFormat="1">
      <c r="B165" s="122"/>
      <c r="C165" s="122"/>
    </row>
    <row r="166" spans="2:3" s="88" customFormat="1">
      <c r="B166" s="122"/>
      <c r="C166" s="122"/>
    </row>
    <row r="167" spans="2:3" s="88" customFormat="1">
      <c r="B167" s="122"/>
      <c r="C167" s="122"/>
    </row>
    <row r="168" spans="2:3" s="88" customFormat="1">
      <c r="B168" s="122"/>
      <c r="C168" s="122"/>
    </row>
    <row r="169" spans="2:3" s="88" customFormat="1">
      <c r="B169" s="122"/>
      <c r="C169" s="122"/>
    </row>
    <row r="170" spans="2:3" s="88" customFormat="1">
      <c r="B170" s="122"/>
      <c r="C170" s="122"/>
    </row>
    <row r="171" spans="2:3" s="88" customFormat="1">
      <c r="B171" s="122"/>
      <c r="C171" s="122"/>
    </row>
    <row r="172" spans="2:3" s="88" customFormat="1">
      <c r="B172" s="122"/>
      <c r="C172" s="122"/>
    </row>
    <row r="173" spans="2:3" s="88" customFormat="1">
      <c r="B173" s="122"/>
      <c r="C173" s="122"/>
    </row>
    <row r="174" spans="2:3" s="88" customFormat="1">
      <c r="B174" s="122"/>
      <c r="C174" s="122"/>
    </row>
    <row r="175" spans="2:3" s="88" customFormat="1">
      <c r="B175" s="122"/>
      <c r="C175" s="122"/>
    </row>
    <row r="176" spans="2:3" s="88" customFormat="1">
      <c r="B176" s="122"/>
      <c r="C176" s="122"/>
    </row>
    <row r="177" spans="2:3" s="88" customFormat="1">
      <c r="B177" s="122"/>
      <c r="C177" s="122"/>
    </row>
    <row r="178" spans="2:3" s="88" customFormat="1">
      <c r="B178" s="122"/>
      <c r="C178" s="122"/>
    </row>
    <row r="179" spans="2:3" s="88" customFormat="1">
      <c r="B179" s="122"/>
      <c r="C179" s="122"/>
    </row>
    <row r="180" spans="2:3" s="88" customFormat="1">
      <c r="B180" s="122"/>
      <c r="C180" s="122"/>
    </row>
    <row r="181" spans="2:3" s="88" customFormat="1">
      <c r="B181" s="122"/>
      <c r="C181" s="122"/>
    </row>
    <row r="182" spans="2:3" s="88" customFormat="1">
      <c r="B182" s="122"/>
      <c r="C182" s="122"/>
    </row>
    <row r="183" spans="2:3" s="88" customFormat="1">
      <c r="B183" s="122"/>
      <c r="C183" s="122"/>
    </row>
    <row r="184" spans="2:3" s="88" customFormat="1">
      <c r="B184" s="122"/>
      <c r="C184" s="122"/>
    </row>
    <row r="185" spans="2:3" s="88" customFormat="1">
      <c r="B185" s="122"/>
      <c r="C185" s="122"/>
    </row>
    <row r="186" spans="2:3" s="88" customFormat="1">
      <c r="B186" s="122"/>
      <c r="C186" s="122"/>
    </row>
    <row r="187" spans="2:3" s="88" customFormat="1">
      <c r="B187" s="122"/>
      <c r="C187" s="122"/>
    </row>
    <row r="188" spans="2:3" s="88" customFormat="1">
      <c r="B188" s="122"/>
      <c r="C188" s="122"/>
    </row>
    <row r="189" spans="2:3" s="88" customFormat="1">
      <c r="B189" s="122"/>
      <c r="C189" s="122"/>
    </row>
    <row r="190" spans="2:3" s="88" customFormat="1">
      <c r="B190" s="122"/>
      <c r="C190" s="122"/>
    </row>
    <row r="191" spans="2:3" s="88" customFormat="1">
      <c r="B191" s="122"/>
      <c r="C191" s="122"/>
    </row>
    <row r="192" spans="2:3" s="88" customFormat="1">
      <c r="B192" s="122"/>
      <c r="C192" s="122"/>
    </row>
    <row r="193" spans="2:3" s="88" customFormat="1">
      <c r="B193" s="122"/>
      <c r="C193" s="122"/>
    </row>
    <row r="194" spans="2:3" s="88" customFormat="1">
      <c r="B194" s="122"/>
      <c r="C194" s="122"/>
    </row>
    <row r="195" spans="2:3" s="88" customFormat="1">
      <c r="B195" s="122"/>
      <c r="C195" s="122"/>
    </row>
  </sheetData>
  <mergeCells count="3">
    <mergeCell ref="B2:L2"/>
    <mergeCell ref="B4:D4"/>
    <mergeCell ref="B5:D5"/>
  </mergeCells>
  <conditionalFormatting sqref="F24">
    <cfRule type="cellIs" dxfId="25" priority="2" operator="notEqual">
      <formula>0</formula>
    </cfRule>
  </conditionalFormatting>
  <conditionalFormatting sqref="H24">
    <cfRule type="cellIs" dxfId="24" priority="1" operator="notEqual">
      <formula>0</formula>
    </cfRule>
  </conditionalFormatting>
  <conditionalFormatting sqref="J5 J9:J22">
    <cfRule type="cellIs" dxfId="23" priority="3" operator="lessThan">
      <formula>0</formula>
    </cfRule>
    <cfRule type="cellIs" dxfId="22" priority="4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E64E-91D4-412D-9941-318348CEB59E}">
  <sheetPr codeName="Sheet6"/>
  <dimension ref="A1"/>
  <sheetViews>
    <sheetView workbookViewId="0">
      <selection activeCell="O13" sqref="O13"/>
    </sheetView>
  </sheetViews>
  <sheetFormatPr defaultRowHeight="14.5"/>
  <sheetData/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7"/>
  <dimension ref="A1:AO573"/>
  <sheetViews>
    <sheetView topLeftCell="K1" zoomScale="70" zoomScaleNormal="70" workbookViewId="0">
      <pane ySplit="4" topLeftCell="A178" activePane="bottomLeft" state="frozen"/>
      <selection pane="bottomLeft" activeCell="O6" sqref="O6"/>
    </sheetView>
  </sheetViews>
  <sheetFormatPr defaultColWidth="8.54296875" defaultRowHeight="14"/>
  <cols>
    <col min="1" max="1" width="2.453125" style="88" hidden="1" customWidth="1"/>
    <col min="2" max="2" width="5.453125" style="91" hidden="1" customWidth="1"/>
    <col min="3" max="3" width="22.453125" style="91" hidden="1" customWidth="1"/>
    <col min="4" max="4" width="45" style="91" hidden="1" customWidth="1"/>
    <col min="5" max="5" width="7.54296875" style="212" hidden="1" customWidth="1"/>
    <col min="6" max="6" width="13.54296875" style="142" hidden="1" customWidth="1"/>
    <col min="7" max="7" width="17.54296875" style="91" hidden="1" customWidth="1"/>
    <col min="8" max="8" width="12.54296875" style="91" hidden="1" customWidth="1"/>
    <col min="9" max="9" width="2.54296875" style="88" hidden="1" customWidth="1"/>
    <col min="10" max="10" width="19.54296875" style="388" hidden="1" customWidth="1"/>
    <col min="11" max="11" width="5.453125" style="88" customWidth="1"/>
    <col min="12" max="12" width="5.453125" style="91" bestFit="1" customWidth="1"/>
    <col min="13" max="13" width="20.453125" style="91" customWidth="1"/>
    <col min="14" max="14" width="53" style="91" bestFit="1" customWidth="1"/>
    <col min="15" max="15" width="17" style="212" customWidth="1"/>
    <col min="16" max="16" width="19.453125" style="142" customWidth="1"/>
    <col min="17" max="17" width="22.54296875" style="213" customWidth="1"/>
    <col min="18" max="18" width="12.54296875" style="214" bestFit="1" customWidth="1"/>
    <col min="19" max="19" width="1.54296875" style="88" customWidth="1"/>
    <col min="20" max="20" width="38" style="214" bestFit="1" customWidth="1"/>
    <col min="21" max="21" width="19.453125" style="214" customWidth="1"/>
    <col min="22" max="22" width="20.453125" style="91" bestFit="1" customWidth="1"/>
    <col min="23" max="23" width="69.81640625" style="579" bestFit="1" customWidth="1"/>
    <col min="24" max="24" width="6.453125" style="88" customWidth="1"/>
    <col min="25" max="25" width="24.453125" style="88" customWidth="1"/>
    <col min="26" max="26" width="19.54296875" style="88" customWidth="1"/>
    <col min="27" max="27" width="8.54296875" style="88" customWidth="1"/>
    <col min="28" max="41" width="8.54296875" style="88"/>
    <col min="42" max="16384" width="8.54296875" style="91"/>
  </cols>
  <sheetData>
    <row r="1" spans="1:41" s="88" customFormat="1" ht="6" customHeight="1" thickBot="1">
      <c r="E1" s="153"/>
      <c r="F1" s="122"/>
      <c r="J1" s="382"/>
      <c r="O1" s="153"/>
      <c r="P1" s="122"/>
      <c r="Q1" s="154"/>
      <c r="R1" s="139"/>
      <c r="T1" s="139"/>
      <c r="U1" s="139"/>
      <c r="W1" s="579"/>
    </row>
    <row r="2" spans="1:41" ht="21.75" customHeight="1" thickBot="1">
      <c r="B2" s="913" t="s">
        <v>204</v>
      </c>
      <c r="C2" s="914"/>
      <c r="D2" s="914"/>
      <c r="E2" s="914"/>
      <c r="F2" s="914"/>
      <c r="G2" s="914"/>
      <c r="H2" s="915"/>
      <c r="J2" s="437">
        <f>SUM(J6:J214)</f>
        <v>18682949.951333337</v>
      </c>
      <c r="L2" s="916" t="s">
        <v>205</v>
      </c>
      <c r="M2" s="917"/>
      <c r="N2" s="917"/>
      <c r="O2" s="917"/>
      <c r="P2" s="917"/>
      <c r="Q2" s="917"/>
      <c r="R2" s="915"/>
      <c r="T2" s="88"/>
      <c r="U2" s="88"/>
      <c r="V2" s="437">
        <f>SUM(V6:V214)</f>
        <v>19234297.270437386</v>
      </c>
      <c r="W2" s="579" t="s">
        <v>121</v>
      </c>
    </row>
    <row r="3" spans="1:41" s="88" customFormat="1" ht="7.5" customHeight="1" thickBot="1">
      <c r="E3" s="153"/>
      <c r="F3" s="122"/>
      <c r="J3" s="382"/>
      <c r="O3" s="153"/>
      <c r="P3" s="122"/>
      <c r="Q3" s="154"/>
      <c r="R3" s="139"/>
      <c r="T3" s="139"/>
      <c r="U3" s="139"/>
      <c r="W3" s="579"/>
    </row>
    <row r="4" spans="1:41" s="388" customFormat="1" ht="42.5" thickBot="1">
      <c r="A4" s="382"/>
      <c r="B4" s="544" t="s">
        <v>206</v>
      </c>
      <c r="C4" s="545" t="s">
        <v>207</v>
      </c>
      <c r="D4" s="545" t="s">
        <v>208</v>
      </c>
      <c r="E4" s="155" t="s">
        <v>209</v>
      </c>
      <c r="F4" s="155" t="s">
        <v>210</v>
      </c>
      <c r="G4" s="546" t="s">
        <v>211</v>
      </c>
      <c r="H4" s="547" t="s">
        <v>212</v>
      </c>
      <c r="I4" s="548"/>
      <c r="J4" s="383" t="s">
        <v>100</v>
      </c>
      <c r="K4" s="382"/>
      <c r="L4" s="544" t="s">
        <v>206</v>
      </c>
      <c r="M4" s="545" t="s">
        <v>213</v>
      </c>
      <c r="N4" s="545" t="s">
        <v>208</v>
      </c>
      <c r="O4" s="155" t="s">
        <v>209</v>
      </c>
      <c r="P4" s="155" t="s">
        <v>210</v>
      </c>
      <c r="Q4" s="156" t="s">
        <v>214</v>
      </c>
      <c r="R4" s="547" t="s">
        <v>212</v>
      </c>
      <c r="S4" s="548"/>
      <c r="T4" s="549" t="s">
        <v>215</v>
      </c>
      <c r="U4" s="552" t="s">
        <v>216</v>
      </c>
      <c r="V4" s="383" t="s">
        <v>100</v>
      </c>
      <c r="W4" s="603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  <c r="AI4" s="382"/>
      <c r="AJ4" s="382"/>
      <c r="AK4" s="382"/>
      <c r="AL4" s="382"/>
      <c r="AM4" s="382"/>
      <c r="AN4" s="382"/>
      <c r="AO4" s="382"/>
    </row>
    <row r="5" spans="1:41" s="468" customFormat="1" ht="7.5" customHeight="1" thickBot="1">
      <c r="B5" s="474"/>
      <c r="C5" s="475"/>
      <c r="D5" s="475"/>
      <c r="E5" s="476"/>
      <c r="F5" s="477"/>
      <c r="G5" s="478"/>
      <c r="H5" s="479"/>
      <c r="I5" s="480"/>
      <c r="J5" s="481"/>
      <c r="K5" s="482"/>
      <c r="L5" s="474"/>
      <c r="M5" s="475"/>
      <c r="N5" s="475"/>
      <c r="O5" s="476"/>
      <c r="P5" s="477"/>
      <c r="Q5" s="483"/>
      <c r="R5" s="484"/>
      <c r="S5" s="485"/>
      <c r="T5" s="484"/>
      <c r="U5" s="484"/>
      <c r="V5" s="481"/>
      <c r="W5" s="604"/>
    </row>
    <row r="6" spans="1:41" ht="14.25" customHeight="1" thickBot="1">
      <c r="B6" s="233">
        <v>1</v>
      </c>
      <c r="C6" s="234" t="s">
        <v>217</v>
      </c>
      <c r="D6" s="234" t="s">
        <v>218</v>
      </c>
      <c r="E6" s="235">
        <v>3846</v>
      </c>
      <c r="F6" s="236">
        <v>0.1</v>
      </c>
      <c r="G6" s="237">
        <f>$C$11*F6</f>
        <v>860440.58100000012</v>
      </c>
      <c r="H6" s="558">
        <f>'Project Plan'!G20</f>
        <v>45098</v>
      </c>
      <c r="I6" s="290"/>
      <c r="J6" s="904">
        <f>SUM(G6:G26)</f>
        <v>8604405.8100000005</v>
      </c>
      <c r="K6" s="291"/>
      <c r="L6" s="233">
        <f>B6</f>
        <v>1</v>
      </c>
      <c r="M6" s="234" t="s">
        <v>217</v>
      </c>
      <c r="N6" s="234" t="s">
        <v>219</v>
      </c>
      <c r="O6" s="235">
        <v>3182</v>
      </c>
      <c r="P6" s="236">
        <v>0.1</v>
      </c>
      <c r="Q6" s="670">
        <f>+N11*P6</f>
        <v>799123.4462675706</v>
      </c>
      <c r="R6" s="238">
        <v>45090</v>
      </c>
      <c r="S6" s="290"/>
      <c r="T6" s="675">
        <f>Q6+Q11</f>
        <v>2093284.6164242506</v>
      </c>
      <c r="U6" s="833">
        <v>45107</v>
      </c>
      <c r="V6" s="904">
        <f>SUM(Q6:Q26)</f>
        <v>7861415.2826757105</v>
      </c>
      <c r="X6" s="645" t="s">
        <v>220</v>
      </c>
      <c r="Y6" s="644" t="s">
        <v>221</v>
      </c>
      <c r="AD6" s="440"/>
    </row>
    <row r="7" spans="1:41" ht="14.25" customHeight="1" thickBot="1">
      <c r="B7" s="169"/>
      <c r="C7" s="170"/>
      <c r="D7" s="170"/>
      <c r="E7" s="171"/>
      <c r="F7" s="821"/>
      <c r="G7" s="237"/>
      <c r="H7" s="822"/>
      <c r="I7" s="292"/>
      <c r="J7" s="905"/>
      <c r="K7" s="823"/>
      <c r="L7" s="169">
        <v>1</v>
      </c>
      <c r="M7" s="170" t="s">
        <v>217</v>
      </c>
      <c r="N7" s="170"/>
      <c r="O7" s="171"/>
      <c r="P7" s="821"/>
      <c r="Q7" s="691">
        <v>379626.82425146003</v>
      </c>
      <c r="R7" s="232">
        <v>45344</v>
      </c>
      <c r="S7" s="292"/>
      <c r="T7" s="824"/>
      <c r="U7" s="834">
        <v>45107</v>
      </c>
      <c r="V7" s="905"/>
      <c r="X7" s="645"/>
      <c r="Y7" s="644"/>
      <c r="AD7" s="825"/>
    </row>
    <row r="8" spans="1:41" ht="14.25" customHeight="1" thickBot="1">
      <c r="B8" s="169"/>
      <c r="C8" s="170"/>
      <c r="D8" s="170"/>
      <c r="E8" s="171"/>
      <c r="F8" s="821"/>
      <c r="G8" s="237"/>
      <c r="H8" s="822"/>
      <c r="I8" s="292"/>
      <c r="J8" s="905"/>
      <c r="K8" s="823"/>
      <c r="L8" s="169">
        <v>1</v>
      </c>
      <c r="M8" s="170" t="s">
        <v>217</v>
      </c>
      <c r="N8" s="170"/>
      <c r="O8" s="171"/>
      <c r="P8" s="821"/>
      <c r="Q8" s="691">
        <v>881171.97199999995</v>
      </c>
      <c r="R8" s="232">
        <v>45373</v>
      </c>
      <c r="S8" s="292"/>
      <c r="T8" s="824"/>
      <c r="U8" s="232">
        <v>45107</v>
      </c>
      <c r="V8" s="905"/>
      <c r="X8" s="645"/>
      <c r="Y8" s="644"/>
      <c r="AD8" s="825"/>
    </row>
    <row r="9" spans="1:41" ht="14.25" customHeight="1" thickBot="1">
      <c r="B9" s="169"/>
      <c r="C9" s="170"/>
      <c r="D9" s="170"/>
      <c r="E9" s="171"/>
      <c r="F9" s="821"/>
      <c r="G9" s="237"/>
      <c r="H9" s="822"/>
      <c r="I9" s="292"/>
      <c r="J9" s="905"/>
      <c r="K9" s="823"/>
      <c r="L9" s="169">
        <v>1</v>
      </c>
      <c r="M9" s="170" t="s">
        <v>217</v>
      </c>
      <c r="N9" s="170"/>
      <c r="O9" s="171"/>
      <c r="P9" s="821"/>
      <c r="Q9" s="691">
        <v>1554041.55</v>
      </c>
      <c r="R9" s="232">
        <v>45376</v>
      </c>
      <c r="S9" s="292"/>
      <c r="T9" s="824"/>
      <c r="U9" s="232">
        <v>45107</v>
      </c>
      <c r="V9" s="905"/>
      <c r="X9" s="645"/>
      <c r="Y9" s="644"/>
      <c r="AD9" s="825"/>
    </row>
    <row r="10" spans="1:41" ht="14.25" customHeight="1" thickBot="1">
      <c r="B10" s="169"/>
      <c r="C10" s="170"/>
      <c r="D10" s="170"/>
      <c r="E10" s="171"/>
      <c r="F10" s="821"/>
      <c r="G10" s="237"/>
      <c r="H10" s="822"/>
      <c r="I10" s="292"/>
      <c r="J10" s="905"/>
      <c r="K10" s="823"/>
      <c r="L10" s="169">
        <v>1</v>
      </c>
      <c r="M10" s="170" t="s">
        <v>217</v>
      </c>
      <c r="N10" s="170"/>
      <c r="O10" s="171"/>
      <c r="P10" s="821"/>
      <c r="Q10" s="691">
        <v>3083109.5</v>
      </c>
      <c r="R10" s="232">
        <v>45384</v>
      </c>
      <c r="S10" s="292"/>
      <c r="T10" s="824"/>
      <c r="U10" s="232">
        <v>45107</v>
      </c>
      <c r="V10" s="905"/>
      <c r="X10" s="645"/>
      <c r="Y10" s="644"/>
      <c r="AD10" s="825"/>
    </row>
    <row r="11" spans="1:41" ht="15" customHeight="1">
      <c r="B11" s="157">
        <v>1</v>
      </c>
      <c r="C11" s="535">
        <v>8604405.8100000005</v>
      </c>
      <c r="D11" s="165">
        <v>7265214</v>
      </c>
      <c r="E11" s="166"/>
      <c r="F11" s="160">
        <v>0.9</v>
      </c>
      <c r="G11" s="237">
        <f>$C$11*F11</f>
        <v>7743965.2290000003</v>
      </c>
      <c r="H11" s="559">
        <f>H6+30</f>
        <v>45128</v>
      </c>
      <c r="I11" s="292"/>
      <c r="J11" s="905"/>
      <c r="K11" s="293"/>
      <c r="L11" s="169">
        <v>1</v>
      </c>
      <c r="M11" s="170" t="s">
        <v>217</v>
      </c>
      <c r="N11" s="158">
        <v>7991234.4626757056</v>
      </c>
      <c r="O11" s="159"/>
      <c r="P11" s="160">
        <v>0.9</v>
      </c>
      <c r="Q11" s="840">
        <f>7192111.01640814-Q7-Q8-Q9-Q10</f>
        <v>1294161.17015668</v>
      </c>
      <c r="R11" s="841">
        <v>45384</v>
      </c>
      <c r="S11" s="293"/>
      <c r="T11" s="168"/>
      <c r="U11" s="162">
        <v>45107</v>
      </c>
      <c r="V11" s="905"/>
      <c r="Y11" s="646">
        <f>117849/(930*550)</f>
        <v>0.23039882697947214</v>
      </c>
      <c r="Z11" s="585" t="s">
        <v>222</v>
      </c>
    </row>
    <row r="12" spans="1:41" ht="15" customHeight="1">
      <c r="B12" s="157"/>
      <c r="C12" s="535"/>
      <c r="D12" s="165"/>
      <c r="E12" s="166"/>
      <c r="F12" s="160"/>
      <c r="G12" s="848"/>
      <c r="H12" s="559"/>
      <c r="I12" s="292"/>
      <c r="J12" s="905"/>
      <c r="K12" s="293"/>
      <c r="L12" s="169">
        <v>1</v>
      </c>
      <c r="M12" s="170" t="s">
        <v>217</v>
      </c>
      <c r="N12" s="158" t="s">
        <v>223</v>
      </c>
      <c r="O12" s="159">
        <v>-75</v>
      </c>
      <c r="P12" s="850">
        <f>Q12/O12</f>
        <v>2511.39</v>
      </c>
      <c r="Q12" s="840">
        <v>-188354.25</v>
      </c>
      <c r="R12" s="841">
        <v>45443</v>
      </c>
      <c r="S12" s="293"/>
      <c r="T12" s="849"/>
      <c r="U12" s="162">
        <v>45443</v>
      </c>
      <c r="V12" s="905"/>
      <c r="Y12" s="646"/>
      <c r="Z12" s="585"/>
    </row>
    <row r="13" spans="1:41" ht="15" customHeight="1">
      <c r="B13" s="157">
        <v>1</v>
      </c>
      <c r="C13" s="165"/>
      <c r="D13" s="158" t="s">
        <v>224</v>
      </c>
      <c r="E13" s="166"/>
      <c r="F13" s="160"/>
      <c r="G13" s="449">
        <v>0</v>
      </c>
      <c r="H13" s="559">
        <f>H11</f>
        <v>45128</v>
      </c>
      <c r="I13" s="292"/>
      <c r="J13" s="905"/>
      <c r="K13" s="293"/>
      <c r="L13" s="169">
        <v>1</v>
      </c>
      <c r="M13" s="541" t="s">
        <v>217</v>
      </c>
      <c r="N13" s="158" t="s">
        <v>225</v>
      </c>
      <c r="O13" s="166"/>
      <c r="P13" s="160"/>
      <c r="Q13" s="449">
        <v>39939.25</v>
      </c>
      <c r="R13" s="162">
        <v>45199</v>
      </c>
      <c r="S13" s="293"/>
      <c r="T13" s="168"/>
      <c r="U13" s="162">
        <v>45169</v>
      </c>
      <c r="V13" s="905"/>
      <c r="X13" s="605" t="s">
        <v>226</v>
      </c>
      <c r="Y13" s="560">
        <v>19.5</v>
      </c>
      <c r="Z13" s="439" t="s">
        <v>227</v>
      </c>
    </row>
    <row r="14" spans="1:41" ht="15" customHeight="1">
      <c r="B14" s="157"/>
      <c r="C14" s="165"/>
      <c r="D14" s="158"/>
      <c r="E14" s="166"/>
      <c r="F14" s="160"/>
      <c r="G14" s="449"/>
      <c r="H14" s="559"/>
      <c r="I14" s="292"/>
      <c r="J14" s="905"/>
      <c r="K14" s="293"/>
      <c r="L14" s="157">
        <v>1</v>
      </c>
      <c r="M14" s="541" t="s">
        <v>217</v>
      </c>
      <c r="N14" s="158"/>
      <c r="O14" s="166"/>
      <c r="P14" s="160"/>
      <c r="Q14" s="449">
        <v>3997.4300000000003</v>
      </c>
      <c r="R14" s="162">
        <v>45139</v>
      </c>
      <c r="S14" s="293"/>
      <c r="T14" s="168"/>
      <c r="U14" s="162">
        <v>45169</v>
      </c>
      <c r="V14" s="905"/>
      <c r="X14" s="605"/>
      <c r="Y14" s="560"/>
      <c r="Z14" s="439"/>
    </row>
    <row r="15" spans="1:41" ht="15" customHeight="1">
      <c r="B15" s="157">
        <v>1</v>
      </c>
      <c r="C15" s="165"/>
      <c r="D15" s="165"/>
      <c r="E15" s="166"/>
      <c r="F15" s="160"/>
      <c r="G15" s="161"/>
      <c r="H15" s="167"/>
      <c r="I15" s="292"/>
      <c r="J15" s="905"/>
      <c r="K15" s="293"/>
      <c r="L15" s="157">
        <v>1</v>
      </c>
      <c r="M15" s="541" t="s">
        <v>217</v>
      </c>
      <c r="N15" s="158" t="s">
        <v>225</v>
      </c>
      <c r="O15" s="166"/>
      <c r="P15" s="160"/>
      <c r="Q15" s="164"/>
      <c r="R15" s="172"/>
      <c r="S15" s="293"/>
      <c r="T15" s="168"/>
      <c r="U15" s="172"/>
      <c r="V15" s="905"/>
      <c r="Y15" s="643">
        <f>(Y11)*Y13</f>
        <v>4.4927771260997069</v>
      </c>
      <c r="Z15" s="88" t="s">
        <v>228</v>
      </c>
    </row>
    <row r="16" spans="1:41" ht="15" customHeight="1">
      <c r="B16" s="157"/>
      <c r="C16" s="165"/>
      <c r="D16" s="165" t="s">
        <v>229</v>
      </c>
      <c r="E16" s="166"/>
      <c r="F16" s="160"/>
      <c r="G16" s="161"/>
      <c r="H16" s="167"/>
      <c r="I16" s="292"/>
      <c r="J16" s="905"/>
      <c r="K16" s="293"/>
      <c r="L16" s="157">
        <v>1</v>
      </c>
      <c r="M16" s="541" t="s">
        <v>217</v>
      </c>
      <c r="N16" s="158"/>
      <c r="O16" s="166"/>
      <c r="P16" s="160"/>
      <c r="Q16" s="164"/>
      <c r="R16" s="172"/>
      <c r="S16" s="293"/>
      <c r="T16" s="168"/>
      <c r="U16" s="168"/>
      <c r="V16" s="905"/>
      <c r="Y16" s="643"/>
    </row>
    <row r="17" spans="1:41" ht="15" customHeight="1">
      <c r="B17" s="157"/>
      <c r="C17" s="165"/>
      <c r="D17" s="165"/>
      <c r="E17" s="166"/>
      <c r="F17" s="160"/>
      <c r="G17" s="161"/>
      <c r="H17" s="167"/>
      <c r="I17" s="292"/>
      <c r="J17" s="905"/>
      <c r="K17" s="293"/>
      <c r="L17" s="157">
        <v>1</v>
      </c>
      <c r="M17" s="541" t="s">
        <v>217</v>
      </c>
      <c r="N17" s="158" t="s">
        <v>230</v>
      </c>
      <c r="O17" s="166"/>
      <c r="P17" s="160"/>
      <c r="Q17" s="164"/>
      <c r="R17" s="172"/>
      <c r="S17" s="293"/>
      <c r="T17" s="168"/>
      <c r="U17" s="168"/>
      <c r="V17" s="905"/>
      <c r="Y17" s="643"/>
    </row>
    <row r="18" spans="1:41" ht="15" customHeight="1">
      <c r="B18" s="157"/>
      <c r="C18" s="165"/>
      <c r="D18" s="165"/>
      <c r="E18" s="166"/>
      <c r="F18" s="160"/>
      <c r="G18" s="161"/>
      <c r="H18" s="167"/>
      <c r="I18" s="292"/>
      <c r="J18" s="905"/>
      <c r="K18" s="293"/>
      <c r="L18" s="157">
        <v>1</v>
      </c>
      <c r="M18" s="541" t="s">
        <v>217</v>
      </c>
      <c r="N18" s="158" t="s">
        <v>231</v>
      </c>
      <c r="O18" s="679">
        <v>186</v>
      </c>
      <c r="P18" s="160"/>
      <c r="Q18" s="164"/>
      <c r="R18" s="172"/>
      <c r="S18" s="293"/>
      <c r="T18" s="168"/>
      <c r="U18" s="168"/>
      <c r="V18" s="905"/>
      <c r="Y18" s="643"/>
    </row>
    <row r="19" spans="1:41" ht="15" customHeight="1">
      <c r="B19" s="157"/>
      <c r="C19" s="165"/>
      <c r="D19" s="165"/>
      <c r="E19" s="166"/>
      <c r="F19" s="160"/>
      <c r="G19" s="161"/>
      <c r="H19" s="167"/>
      <c r="I19" s="292"/>
      <c r="J19" s="905"/>
      <c r="K19" s="293"/>
      <c r="L19" s="157">
        <v>1</v>
      </c>
      <c r="M19" s="541" t="s">
        <v>217</v>
      </c>
      <c r="N19" s="158"/>
      <c r="O19" s="166"/>
      <c r="P19" s="160"/>
      <c r="Q19" s="164"/>
      <c r="R19" s="172"/>
      <c r="S19" s="293"/>
      <c r="T19" s="168"/>
      <c r="U19" s="168"/>
      <c r="V19" s="905"/>
      <c r="Y19" s="643"/>
    </row>
    <row r="20" spans="1:41" ht="15" customHeight="1">
      <c r="B20" s="157"/>
      <c r="C20" s="165"/>
      <c r="D20" s="165"/>
      <c r="E20" s="166"/>
      <c r="F20" s="160"/>
      <c r="G20" s="161"/>
      <c r="H20" s="167"/>
      <c r="I20" s="292"/>
      <c r="J20" s="905"/>
      <c r="K20" s="293"/>
      <c r="L20" s="157">
        <v>1</v>
      </c>
      <c r="M20" s="541" t="s">
        <v>217</v>
      </c>
      <c r="N20" s="158" t="s">
        <v>229</v>
      </c>
      <c r="O20" s="166"/>
      <c r="P20" s="160"/>
      <c r="Q20" s="449">
        <v>5328.39</v>
      </c>
      <c r="R20" s="162">
        <v>45105</v>
      </c>
      <c r="S20" s="293"/>
      <c r="T20" s="168"/>
      <c r="U20" s="162">
        <v>45107</v>
      </c>
      <c r="V20" s="905"/>
      <c r="Y20" s="643"/>
    </row>
    <row r="21" spans="1:41" ht="15" customHeight="1">
      <c r="B21" s="157"/>
      <c r="C21" s="165"/>
      <c r="D21" s="165"/>
      <c r="E21" s="166"/>
      <c r="F21" s="160"/>
      <c r="G21" s="161"/>
      <c r="H21" s="167"/>
      <c r="I21" s="292"/>
      <c r="J21" s="905"/>
      <c r="K21" s="293"/>
      <c r="L21" s="157">
        <v>1</v>
      </c>
      <c r="M21" s="541" t="s">
        <v>217</v>
      </c>
      <c r="N21" s="158"/>
      <c r="O21" s="166"/>
      <c r="P21" s="160"/>
      <c r="Q21" s="164"/>
      <c r="R21" s="172"/>
      <c r="S21" s="293"/>
      <c r="T21" s="168"/>
      <c r="U21" s="168"/>
      <c r="V21" s="905"/>
      <c r="Y21" s="643"/>
    </row>
    <row r="22" spans="1:41" ht="15" customHeight="1">
      <c r="B22" s="157"/>
      <c r="C22" s="165"/>
      <c r="D22" s="165"/>
      <c r="E22" s="166"/>
      <c r="F22" s="160"/>
      <c r="G22" s="161"/>
      <c r="H22" s="167"/>
      <c r="I22" s="292"/>
      <c r="J22" s="905"/>
      <c r="K22" s="293"/>
      <c r="L22" s="157">
        <v>1</v>
      </c>
      <c r="M22" s="541" t="s">
        <v>217</v>
      </c>
      <c r="N22" s="158" t="s">
        <v>232</v>
      </c>
      <c r="O22" s="166"/>
      <c r="P22" s="160"/>
      <c r="Q22" s="449">
        <v>4300</v>
      </c>
      <c r="R22" s="162">
        <v>45225</v>
      </c>
      <c r="S22" s="293"/>
      <c r="T22" s="168"/>
      <c r="U22" s="162">
        <v>45230</v>
      </c>
      <c r="V22" s="905"/>
      <c r="Y22" s="643"/>
    </row>
    <row r="23" spans="1:41" ht="15" customHeight="1">
      <c r="B23" s="157"/>
      <c r="C23" s="165"/>
      <c r="D23" s="165"/>
      <c r="E23" s="166"/>
      <c r="F23" s="160"/>
      <c r="G23" s="161"/>
      <c r="H23" s="167"/>
      <c r="I23" s="292"/>
      <c r="J23" s="905"/>
      <c r="K23" s="293"/>
      <c r="L23" s="157">
        <v>1</v>
      </c>
      <c r="M23" s="541" t="s">
        <v>217</v>
      </c>
      <c r="N23" s="158"/>
      <c r="O23" s="166"/>
      <c r="P23" s="160"/>
      <c r="Q23" s="164"/>
      <c r="R23" s="172"/>
      <c r="S23" s="293"/>
      <c r="T23" s="168"/>
      <c r="U23" s="168"/>
      <c r="V23" s="905"/>
      <c r="Y23" s="643"/>
    </row>
    <row r="24" spans="1:41" ht="15" customHeight="1">
      <c r="B24" s="157"/>
      <c r="C24" s="165"/>
      <c r="D24" s="165"/>
      <c r="E24" s="166"/>
      <c r="F24" s="160"/>
      <c r="G24" s="161"/>
      <c r="H24" s="167"/>
      <c r="I24" s="292"/>
      <c r="J24" s="905"/>
      <c r="K24" s="293"/>
      <c r="L24" s="157">
        <v>1</v>
      </c>
      <c r="M24" s="541" t="s">
        <v>217</v>
      </c>
      <c r="N24" s="158" t="s">
        <v>233</v>
      </c>
      <c r="O24" s="166"/>
      <c r="P24" s="160"/>
      <c r="Q24" s="449">
        <v>4550</v>
      </c>
      <c r="R24" s="162">
        <v>45246</v>
      </c>
      <c r="S24" s="293"/>
      <c r="T24" s="168"/>
      <c r="U24" s="162">
        <v>45230</v>
      </c>
      <c r="V24" s="905"/>
      <c r="Y24" s="643"/>
    </row>
    <row r="25" spans="1:41" ht="15" customHeight="1">
      <c r="B25" s="157">
        <v>1</v>
      </c>
      <c r="C25" s="165"/>
      <c r="D25" s="165"/>
      <c r="E25" s="166"/>
      <c r="F25" s="160"/>
      <c r="G25" s="161"/>
      <c r="H25" s="167"/>
      <c r="I25" s="292"/>
      <c r="J25" s="905"/>
      <c r="K25" s="293"/>
      <c r="L25" s="157">
        <f t="shared" ref="L25:L144" si="0">B25</f>
        <v>1</v>
      </c>
      <c r="M25" s="541" t="s">
        <v>217</v>
      </c>
      <c r="N25" s="158" t="s">
        <v>234</v>
      </c>
      <c r="O25" s="166"/>
      <c r="P25" s="160"/>
      <c r="Q25" s="449">
        <v>420</v>
      </c>
      <c r="R25" s="162">
        <v>45246</v>
      </c>
      <c r="S25" s="293"/>
      <c r="T25" s="168"/>
      <c r="U25" s="162">
        <v>45230</v>
      </c>
      <c r="V25" s="905"/>
      <c r="Y25" s="92"/>
    </row>
    <row r="26" spans="1:41" ht="15" customHeight="1" thickBot="1">
      <c r="B26" s="174">
        <v>1</v>
      </c>
      <c r="C26" s="239"/>
      <c r="D26" s="239"/>
      <c r="E26" s="240"/>
      <c r="F26" s="241"/>
      <c r="G26" s="175"/>
      <c r="H26" s="242"/>
      <c r="I26" s="294"/>
      <c r="J26" s="906"/>
      <c r="K26" s="295"/>
      <c r="L26" s="174">
        <f t="shared" si="0"/>
        <v>1</v>
      </c>
      <c r="M26" s="542" t="s">
        <v>217</v>
      </c>
      <c r="N26" s="243"/>
      <c r="O26" s="240"/>
      <c r="P26" s="241"/>
      <c r="Q26" s="177"/>
      <c r="R26" s="178"/>
      <c r="S26" s="295"/>
      <c r="T26" s="244"/>
      <c r="U26" s="178"/>
      <c r="V26" s="906"/>
      <c r="Y26" s="586">
        <f>+'Project Plan'!E3*Y15*1000</f>
        <v>7862045.476275661</v>
      </c>
      <c r="Z26" s="88" t="s">
        <v>235</v>
      </c>
    </row>
    <row r="27" spans="1:41" ht="14.5" thickBot="1">
      <c r="A27" s="91"/>
      <c r="B27" s="331"/>
      <c r="C27" s="332"/>
      <c r="D27" s="333"/>
      <c r="E27" s="334"/>
      <c r="F27" s="335"/>
      <c r="G27" s="332"/>
      <c r="H27" s="336"/>
      <c r="I27" s="91"/>
      <c r="J27" s="384"/>
      <c r="K27" s="91"/>
      <c r="L27" s="331"/>
      <c r="M27" s="332"/>
      <c r="N27" s="333"/>
      <c r="O27" s="334"/>
      <c r="P27" s="335"/>
      <c r="Q27" s="337"/>
      <c r="R27" s="350"/>
      <c r="S27" s="91"/>
      <c r="T27" s="338"/>
      <c r="U27" s="338"/>
      <c r="V27" s="384"/>
      <c r="W27" s="606"/>
      <c r="X27" s="91"/>
      <c r="Y27" s="92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</row>
    <row r="28" spans="1:41" ht="14.25" customHeight="1">
      <c r="B28" s="179">
        <v>2</v>
      </c>
      <c r="C28" s="261" t="s">
        <v>236</v>
      </c>
      <c r="D28" s="261" t="s">
        <v>237</v>
      </c>
      <c r="E28" s="262">
        <v>12</v>
      </c>
      <c r="F28" s="267">
        <v>85000</v>
      </c>
      <c r="G28" s="184">
        <f>E28*F28</f>
        <v>1020000</v>
      </c>
      <c r="H28" s="185">
        <f>'Project Plan'!G23+30</f>
        <v>45141</v>
      </c>
      <c r="I28" s="268"/>
      <c r="J28" s="907">
        <f>SUM(G28:G32)</f>
        <v>1020000</v>
      </c>
      <c r="K28" s="269"/>
      <c r="L28" s="179">
        <f t="shared" si="0"/>
        <v>2</v>
      </c>
      <c r="M28" s="261" t="s">
        <v>236</v>
      </c>
      <c r="N28" s="261" t="s">
        <v>238</v>
      </c>
      <c r="O28" s="262">
        <v>12</v>
      </c>
      <c r="P28" s="267">
        <v>89060</v>
      </c>
      <c r="Q28" s="184">
        <f>O28*P28*0.1</f>
        <v>106872</v>
      </c>
      <c r="R28" s="193">
        <v>45155</v>
      </c>
      <c r="S28" s="271"/>
      <c r="T28" s="206"/>
      <c r="U28" s="193">
        <v>45169</v>
      </c>
      <c r="V28" s="907">
        <f>SUM(Q28:Q32)</f>
        <v>1056455</v>
      </c>
      <c r="W28" s="579" t="s">
        <v>239</v>
      </c>
    </row>
    <row r="29" spans="1:41" ht="15" customHeight="1">
      <c r="B29" s="249">
        <v>2</v>
      </c>
      <c r="C29" s="259"/>
      <c r="D29" s="259"/>
      <c r="E29" s="260"/>
      <c r="F29" s="270"/>
      <c r="G29" s="250"/>
      <c r="H29" s="193">
        <f>H28</f>
        <v>45141</v>
      </c>
      <c r="I29" s="271"/>
      <c r="J29" s="908"/>
      <c r="K29" s="272"/>
      <c r="L29" s="249">
        <f t="shared" si="0"/>
        <v>2</v>
      </c>
      <c r="M29" s="259" t="s">
        <v>236</v>
      </c>
      <c r="N29" s="259" t="s">
        <v>240</v>
      </c>
      <c r="O29" s="260"/>
      <c r="P29" s="270"/>
      <c r="Q29" s="688">
        <f>O28*P28*0.9</f>
        <v>961848</v>
      </c>
      <c r="R29" s="193">
        <v>45202</v>
      </c>
      <c r="S29" s="271"/>
      <c r="T29" s="206"/>
      <c r="U29" s="193">
        <v>45169</v>
      </c>
      <c r="V29" s="908"/>
    </row>
    <row r="30" spans="1:41" ht="15" customHeight="1">
      <c r="B30" s="249"/>
      <c r="C30" s="259"/>
      <c r="D30" s="259"/>
      <c r="E30" s="260"/>
      <c r="F30" s="270"/>
      <c r="G30" s="250"/>
      <c r="H30" s="193"/>
      <c r="I30" s="271"/>
      <c r="J30" s="908"/>
      <c r="K30" s="272"/>
      <c r="L30" s="249">
        <v>2</v>
      </c>
      <c r="M30" s="259" t="s">
        <v>236</v>
      </c>
      <c r="N30" s="259" t="s">
        <v>241</v>
      </c>
      <c r="O30" s="260"/>
      <c r="P30" s="270"/>
      <c r="Q30" s="688">
        <v>76795</v>
      </c>
      <c r="R30" s="871">
        <v>45474</v>
      </c>
      <c r="S30" s="271"/>
      <c r="T30" s="206"/>
      <c r="U30" s="193">
        <v>45443</v>
      </c>
      <c r="V30" s="908"/>
    </row>
    <row r="31" spans="1:41" ht="15" customHeight="1">
      <c r="B31" s="249">
        <v>2</v>
      </c>
      <c r="C31" s="259"/>
      <c r="D31" s="259"/>
      <c r="E31" s="260"/>
      <c r="F31" s="270"/>
      <c r="G31" s="250"/>
      <c r="H31" s="193"/>
      <c r="I31" s="271"/>
      <c r="J31" s="908"/>
      <c r="K31" s="272"/>
      <c r="L31" s="249">
        <f t="shared" si="0"/>
        <v>2</v>
      </c>
      <c r="M31" s="259" t="s">
        <v>236</v>
      </c>
      <c r="N31" s="259" t="s">
        <v>242</v>
      </c>
      <c r="O31" s="260"/>
      <c r="P31" s="270"/>
      <c r="Q31" s="872">
        <v>-89060</v>
      </c>
      <c r="R31" s="871">
        <v>45535</v>
      </c>
      <c r="S31" s="271"/>
      <c r="T31" s="206"/>
      <c r="U31" s="871">
        <v>45535</v>
      </c>
      <c r="V31" s="908"/>
    </row>
    <row r="32" spans="1:41" ht="15" customHeight="1" thickBot="1">
      <c r="B32" s="273">
        <v>2</v>
      </c>
      <c r="C32" s="274"/>
      <c r="D32" s="274"/>
      <c r="E32" s="275"/>
      <c r="F32" s="276"/>
      <c r="G32" s="277"/>
      <c r="H32" s="210"/>
      <c r="I32" s="278"/>
      <c r="J32" s="909"/>
      <c r="K32" s="279"/>
      <c r="L32" s="273">
        <f t="shared" si="0"/>
        <v>2</v>
      </c>
      <c r="M32" s="274" t="s">
        <v>236</v>
      </c>
      <c r="N32" s="274"/>
      <c r="O32" s="275"/>
      <c r="P32" s="276"/>
      <c r="Q32" s="280"/>
      <c r="R32" s="266"/>
      <c r="S32" s="278"/>
      <c r="T32" s="281"/>
      <c r="U32" s="281"/>
      <c r="V32" s="909"/>
    </row>
    <row r="33" spans="1:41" ht="14.5" thickBot="1">
      <c r="A33" s="91"/>
      <c r="B33" s="339"/>
      <c r="C33" s="360"/>
      <c r="D33" s="360"/>
      <c r="E33" s="361"/>
      <c r="F33" s="438"/>
      <c r="G33" s="344"/>
      <c r="H33" s="336"/>
      <c r="I33" s="345"/>
      <c r="J33" s="384"/>
      <c r="K33" s="91"/>
      <c r="L33" s="339"/>
      <c r="M33" s="360"/>
      <c r="N33" s="360"/>
      <c r="O33" s="361"/>
      <c r="P33" s="438"/>
      <c r="Q33" s="346"/>
      <c r="R33" s="350"/>
      <c r="S33" s="345"/>
      <c r="T33" s="338"/>
      <c r="U33" s="338"/>
      <c r="V33" s="384"/>
      <c r="W33" s="606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</row>
    <row r="34" spans="1:41" ht="14.25" customHeight="1">
      <c r="B34" s="302">
        <v>3</v>
      </c>
      <c r="C34" s="303" t="s">
        <v>243</v>
      </c>
      <c r="D34" s="304" t="s">
        <v>244</v>
      </c>
      <c r="E34" s="305"/>
      <c r="F34" s="306"/>
      <c r="G34" s="307">
        <f>+'Project Plan'!E3*0.3*1000</f>
        <v>524979</v>
      </c>
      <c r="H34" s="308">
        <f>'Project Plan'!G30+30</f>
        <v>45127</v>
      </c>
      <c r="I34" s="309"/>
      <c r="J34" s="910">
        <f>SUM(G34:G38)</f>
        <v>524979</v>
      </c>
      <c r="K34" s="310"/>
      <c r="L34" s="302">
        <f t="shared" si="0"/>
        <v>3</v>
      </c>
      <c r="M34" s="303" t="s">
        <v>243</v>
      </c>
      <c r="N34" s="304" t="s">
        <v>245</v>
      </c>
      <c r="O34" s="305"/>
      <c r="P34" s="561">
        <f>Q34/'Project Plan'!E3/1000</f>
        <v>0.18316275508163185</v>
      </c>
      <c r="Q34" s="237">
        <v>320522</v>
      </c>
      <c r="R34" s="308">
        <v>45148</v>
      </c>
      <c r="S34" s="309"/>
      <c r="T34" s="311"/>
      <c r="U34" s="308">
        <v>45107</v>
      </c>
      <c r="V34" s="910">
        <f>SUM(Q34:Q38)</f>
        <v>351446.8</v>
      </c>
    </row>
    <row r="35" spans="1:41" ht="14.25" customHeight="1">
      <c r="B35" s="312">
        <v>3</v>
      </c>
      <c r="C35" s="313"/>
      <c r="D35" s="314"/>
      <c r="E35" s="315"/>
      <c r="F35" s="316"/>
      <c r="G35" s="317"/>
      <c r="H35" s="318"/>
      <c r="I35" s="319"/>
      <c r="J35" s="911"/>
      <c r="K35" s="320"/>
      <c r="L35" s="312">
        <f t="shared" si="0"/>
        <v>3</v>
      </c>
      <c r="M35" s="313" t="s">
        <v>243</v>
      </c>
      <c r="N35" s="314"/>
      <c r="O35" s="315"/>
      <c r="P35" s="316"/>
      <c r="Q35" s="449">
        <v>24371</v>
      </c>
      <c r="R35" s="318">
        <v>45148</v>
      </c>
      <c r="S35" s="319"/>
      <c r="T35" s="321"/>
      <c r="U35" s="318">
        <v>45107</v>
      </c>
      <c r="V35" s="911"/>
    </row>
    <row r="36" spans="1:41" ht="14.25" customHeight="1">
      <c r="B36" s="312"/>
      <c r="C36" s="313"/>
      <c r="D36" s="314"/>
      <c r="E36" s="315"/>
      <c r="F36" s="316"/>
      <c r="G36" s="317"/>
      <c r="H36" s="318"/>
      <c r="I36" s="319"/>
      <c r="J36" s="911"/>
      <c r="K36" s="320"/>
      <c r="L36" s="312"/>
      <c r="M36" s="313" t="s">
        <v>243</v>
      </c>
      <c r="N36" s="314" t="s">
        <v>246</v>
      </c>
      <c r="O36" s="315"/>
      <c r="P36" s="316"/>
      <c r="Q36" s="449">
        <v>6553.8</v>
      </c>
      <c r="R36" s="318">
        <v>45351</v>
      </c>
      <c r="S36" s="379"/>
      <c r="T36" s="597"/>
      <c r="U36" s="318">
        <v>45351</v>
      </c>
      <c r="V36" s="911"/>
    </row>
    <row r="37" spans="1:41" ht="14.25" customHeight="1">
      <c r="B37" s="312">
        <v>3</v>
      </c>
      <c r="C37" s="313"/>
      <c r="D37" s="314"/>
      <c r="E37" s="315"/>
      <c r="F37" s="316"/>
      <c r="G37" s="317"/>
      <c r="H37" s="318"/>
      <c r="I37" s="319"/>
      <c r="J37" s="911"/>
      <c r="K37" s="320"/>
      <c r="L37" s="312">
        <f t="shared" si="0"/>
        <v>3</v>
      </c>
      <c r="M37" s="313" t="s">
        <v>243</v>
      </c>
      <c r="N37" s="314" t="s">
        <v>247</v>
      </c>
      <c r="O37" s="315"/>
      <c r="P37" s="316"/>
      <c r="Q37" s="687">
        <f>18280.34*-1</f>
        <v>-18280.34</v>
      </c>
      <c r="R37" s="318">
        <v>45138</v>
      </c>
      <c r="S37" s="319"/>
      <c r="T37" s="318"/>
      <c r="U37" s="318">
        <f>U35</f>
        <v>45107</v>
      </c>
      <c r="V37" s="911"/>
    </row>
    <row r="38" spans="1:41" ht="15" customHeight="1" thickBot="1">
      <c r="B38" s="322">
        <v>3</v>
      </c>
      <c r="C38" s="323"/>
      <c r="D38" s="324"/>
      <c r="E38" s="325"/>
      <c r="F38" s="326"/>
      <c r="G38" s="327"/>
      <c r="H38" s="328"/>
      <c r="I38" s="329"/>
      <c r="J38" s="912"/>
      <c r="K38" s="330"/>
      <c r="L38" s="322">
        <f t="shared" si="0"/>
        <v>3</v>
      </c>
      <c r="M38" s="323" t="s">
        <v>243</v>
      </c>
      <c r="N38" s="324" t="s">
        <v>248</v>
      </c>
      <c r="O38" s="325"/>
      <c r="P38" s="326"/>
      <c r="Q38" s="690">
        <f>Q37*-1</f>
        <v>18280.34</v>
      </c>
      <c r="R38" s="328">
        <v>45138</v>
      </c>
      <c r="S38" s="329"/>
      <c r="T38" s="328"/>
      <c r="U38" s="328">
        <f>U37</f>
        <v>45107</v>
      </c>
      <c r="V38" s="912"/>
    </row>
    <row r="39" spans="1:41" ht="14.5" thickBot="1">
      <c r="A39" s="91"/>
      <c r="B39" s="339"/>
      <c r="C39" s="340"/>
      <c r="D39" s="341"/>
      <c r="E39" s="342"/>
      <c r="F39" s="343"/>
      <c r="G39" s="344"/>
      <c r="H39" s="336"/>
      <c r="I39" s="345"/>
      <c r="J39" s="384"/>
      <c r="K39" s="91"/>
      <c r="L39" s="339"/>
      <c r="M39" s="340"/>
      <c r="N39" s="341"/>
      <c r="O39" s="342"/>
      <c r="P39" s="343"/>
      <c r="Q39" s="346"/>
      <c r="R39" s="350"/>
      <c r="S39" s="345"/>
      <c r="T39" s="338"/>
      <c r="U39" s="338"/>
      <c r="V39" s="384"/>
      <c r="W39" s="606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</row>
    <row r="40" spans="1:41" ht="14.25" customHeight="1" thickBot="1">
      <c r="B40" s="179">
        <v>4</v>
      </c>
      <c r="C40" s="180" t="s">
        <v>249</v>
      </c>
      <c r="D40" s="180" t="s">
        <v>250</v>
      </c>
      <c r="E40" s="262">
        <v>29292</v>
      </c>
      <c r="F40" s="267">
        <v>11.28</v>
      </c>
      <c r="G40" s="184">
        <f>E40*F40</f>
        <v>330413.76</v>
      </c>
      <c r="H40" s="185">
        <f>+'Project Plan'!K32+30</f>
        <v>45203</v>
      </c>
      <c r="I40" s="268"/>
      <c r="J40" s="907">
        <f>SUM(G40:G51)</f>
        <v>637505.76000000013</v>
      </c>
      <c r="K40" s="269"/>
      <c r="L40" s="179">
        <f t="shared" si="0"/>
        <v>4</v>
      </c>
      <c r="M40" s="180" t="s">
        <v>249</v>
      </c>
      <c r="N40" s="180" t="s">
        <v>251</v>
      </c>
      <c r="O40" s="262">
        <v>20000</v>
      </c>
      <c r="P40" s="267">
        <v>13.92</v>
      </c>
      <c r="Q40" s="184">
        <f>O40*P40</f>
        <v>278400</v>
      </c>
      <c r="R40" s="185">
        <v>45169</v>
      </c>
      <c r="S40" s="268"/>
      <c r="T40" s="185" t="s">
        <v>252</v>
      </c>
      <c r="U40" s="185">
        <v>45169</v>
      </c>
      <c r="V40" s="907">
        <f>SUM(Q40:Q51)</f>
        <v>1160597.76</v>
      </c>
    </row>
    <row r="41" spans="1:41" ht="15" customHeight="1">
      <c r="B41" s="187">
        <v>4</v>
      </c>
      <c r="C41" s="188"/>
      <c r="D41" s="204" t="s">
        <v>253</v>
      </c>
      <c r="E41" s="200">
        <f>+E40</f>
        <v>29292</v>
      </c>
      <c r="F41" s="270">
        <v>10.3</v>
      </c>
      <c r="G41" s="192">
        <f t="shared" ref="G41:G49" si="1">E41*F41</f>
        <v>301707.60000000003</v>
      </c>
      <c r="H41" s="193">
        <f>+H40</f>
        <v>45203</v>
      </c>
      <c r="I41" s="271"/>
      <c r="J41" s="908"/>
      <c r="K41" s="272"/>
      <c r="L41" s="187">
        <f t="shared" si="0"/>
        <v>4</v>
      </c>
      <c r="M41" s="188" t="s">
        <v>249</v>
      </c>
      <c r="N41" s="204" t="s">
        <v>254</v>
      </c>
      <c r="O41" s="200">
        <v>20000</v>
      </c>
      <c r="P41" s="270">
        <v>13.92</v>
      </c>
      <c r="Q41" s="672">
        <f>O41*P41</f>
        <v>278400</v>
      </c>
      <c r="R41" s="193">
        <f>R40</f>
        <v>45169</v>
      </c>
      <c r="S41" s="271"/>
      <c r="T41" s="185" t="s">
        <v>252</v>
      </c>
      <c r="U41" s="193">
        <v>45169</v>
      </c>
      <c r="V41" s="908"/>
    </row>
    <row r="42" spans="1:41" ht="15" customHeight="1">
      <c r="B42" s="187"/>
      <c r="C42" s="188"/>
      <c r="D42" s="204"/>
      <c r="E42" s="200"/>
      <c r="F42" s="270"/>
      <c r="G42" s="192"/>
      <c r="H42" s="193"/>
      <c r="I42" s="271"/>
      <c r="J42" s="908"/>
      <c r="K42" s="272"/>
      <c r="L42" s="187"/>
      <c r="M42" s="188"/>
      <c r="N42" s="204"/>
      <c r="O42" s="200"/>
      <c r="P42" s="270"/>
      <c r="Q42" s="194"/>
      <c r="R42" s="195"/>
      <c r="S42" s="271"/>
      <c r="T42" s="197"/>
      <c r="U42" s="197"/>
      <c r="V42" s="908"/>
    </row>
    <row r="43" spans="1:41" ht="15" customHeight="1">
      <c r="B43" s="187"/>
      <c r="C43" s="188"/>
      <c r="D43" s="204"/>
      <c r="E43" s="200"/>
      <c r="F43" s="270"/>
      <c r="G43" s="192"/>
      <c r="H43" s="193"/>
      <c r="I43" s="271"/>
      <c r="J43" s="908"/>
      <c r="K43" s="272"/>
      <c r="L43" s="187"/>
      <c r="M43" s="188" t="s">
        <v>249</v>
      </c>
      <c r="N43" s="204" t="s">
        <v>255</v>
      </c>
      <c r="O43" s="200">
        <v>3500</v>
      </c>
      <c r="P43" s="270">
        <v>15.47</v>
      </c>
      <c r="Q43" s="672">
        <f>O43*P43</f>
        <v>54145</v>
      </c>
      <c r="R43" s="193">
        <v>45205</v>
      </c>
      <c r="S43" s="271"/>
      <c r="T43" s="197"/>
      <c r="U43" s="193">
        <v>45169</v>
      </c>
      <c r="V43" s="908"/>
    </row>
    <row r="44" spans="1:41" ht="15" customHeight="1">
      <c r="B44" s="187"/>
      <c r="C44" s="188"/>
      <c r="D44" s="204"/>
      <c r="E44" s="200"/>
      <c r="F44" s="270"/>
      <c r="G44" s="192"/>
      <c r="H44" s="193"/>
      <c r="I44" s="271"/>
      <c r="J44" s="908"/>
      <c r="K44" s="272"/>
      <c r="L44" s="187"/>
      <c r="M44" s="188" t="s">
        <v>249</v>
      </c>
      <c r="N44" s="204" t="s">
        <v>256</v>
      </c>
      <c r="O44" s="200">
        <v>3500</v>
      </c>
      <c r="P44" s="270">
        <v>14.6</v>
      </c>
      <c r="Q44" s="672">
        <f>O44*P44</f>
        <v>51100</v>
      </c>
      <c r="R44" s="193">
        <v>45205</v>
      </c>
      <c r="S44" s="271"/>
      <c r="T44" s="197"/>
      <c r="U44" s="193">
        <v>45169</v>
      </c>
      <c r="V44" s="908"/>
    </row>
    <row r="45" spans="1:41" ht="15" customHeight="1">
      <c r="B45" s="187"/>
      <c r="C45" s="188"/>
      <c r="D45" s="204"/>
      <c r="E45" s="200"/>
      <c r="F45" s="270"/>
      <c r="G45" s="192"/>
      <c r="H45" s="193"/>
      <c r="I45" s="271"/>
      <c r="J45" s="908"/>
      <c r="K45" s="272"/>
      <c r="L45" s="187"/>
      <c r="M45" s="188"/>
      <c r="N45" s="204"/>
      <c r="O45" s="200"/>
      <c r="P45" s="270"/>
      <c r="Q45" s="194"/>
      <c r="R45" s="195"/>
      <c r="S45" s="271"/>
      <c r="T45" s="197"/>
      <c r="U45" s="197"/>
      <c r="V45" s="908"/>
    </row>
    <row r="46" spans="1:41" ht="15" customHeight="1">
      <c r="B46" s="187"/>
      <c r="C46" s="188"/>
      <c r="D46" s="204"/>
      <c r="E46" s="200"/>
      <c r="F46" s="270"/>
      <c r="G46" s="192"/>
      <c r="H46" s="193"/>
      <c r="I46" s="271"/>
      <c r="J46" s="908"/>
      <c r="K46" s="272"/>
      <c r="L46" s="187"/>
      <c r="M46" s="188" t="s">
        <v>249</v>
      </c>
      <c r="N46" s="204" t="s">
        <v>257</v>
      </c>
      <c r="O46" s="200">
        <v>3000</v>
      </c>
      <c r="P46" s="270">
        <v>14.28</v>
      </c>
      <c r="Q46" s="672">
        <v>42841.93</v>
      </c>
      <c r="R46" s="193">
        <v>45243</v>
      </c>
      <c r="S46" s="271"/>
      <c r="T46" s="676">
        <f>SUM(Q46:Q47)</f>
        <v>85683.86</v>
      </c>
      <c r="U46" s="193">
        <v>45230</v>
      </c>
      <c r="V46" s="908"/>
    </row>
    <row r="47" spans="1:41" ht="15" customHeight="1">
      <c r="B47" s="187"/>
      <c r="C47" s="188"/>
      <c r="D47" s="204"/>
      <c r="E47" s="200"/>
      <c r="F47" s="270"/>
      <c r="G47" s="192"/>
      <c r="H47" s="193"/>
      <c r="I47" s="271"/>
      <c r="J47" s="908"/>
      <c r="K47" s="272"/>
      <c r="L47" s="187"/>
      <c r="M47" s="188" t="s">
        <v>249</v>
      </c>
      <c r="N47" s="204" t="s">
        <v>258</v>
      </c>
      <c r="O47" s="200">
        <v>3000</v>
      </c>
      <c r="P47" s="270">
        <v>14.28</v>
      </c>
      <c r="Q47" s="672">
        <v>42841.93</v>
      </c>
      <c r="R47" s="193">
        <v>45243</v>
      </c>
      <c r="S47" s="271"/>
      <c r="T47" s="197"/>
      <c r="U47" s="193">
        <v>45230</v>
      </c>
      <c r="V47" s="908"/>
    </row>
    <row r="48" spans="1:41" ht="15" customHeight="1">
      <c r="B48" s="187"/>
      <c r="C48" s="188"/>
      <c r="D48" s="204"/>
      <c r="E48" s="200"/>
      <c r="F48" s="270"/>
      <c r="G48" s="192"/>
      <c r="H48" s="193"/>
      <c r="I48" s="271"/>
      <c r="J48" s="908"/>
      <c r="K48" s="272"/>
      <c r="L48" s="187"/>
      <c r="M48" s="188"/>
      <c r="N48" s="204"/>
      <c r="O48" s="200"/>
      <c r="P48" s="270"/>
      <c r="Q48" s="672">
        <v>725</v>
      </c>
      <c r="R48" s="193">
        <v>45243</v>
      </c>
      <c r="S48" s="271"/>
      <c r="T48" s="197"/>
      <c r="U48" s="193">
        <v>45230</v>
      </c>
      <c r="V48" s="908"/>
    </row>
    <row r="49" spans="1:41" ht="15" customHeight="1">
      <c r="B49" s="187">
        <v>4</v>
      </c>
      <c r="C49" s="204"/>
      <c r="D49" s="204" t="s">
        <v>259</v>
      </c>
      <c r="E49" s="205">
        <f>+E6/10</f>
        <v>384.6</v>
      </c>
      <c r="F49" s="270">
        <v>14</v>
      </c>
      <c r="G49" s="192">
        <f t="shared" si="1"/>
        <v>5384.4000000000005</v>
      </c>
      <c r="H49" s="193">
        <f>H41</f>
        <v>45203</v>
      </c>
      <c r="I49" s="272"/>
      <c r="J49" s="908"/>
      <c r="K49" s="272"/>
      <c r="L49" s="203">
        <f t="shared" si="0"/>
        <v>4</v>
      </c>
      <c r="M49" s="204" t="s">
        <v>249</v>
      </c>
      <c r="N49" s="204" t="s">
        <v>260</v>
      </c>
      <c r="O49" s="282">
        <v>0.5</v>
      </c>
      <c r="P49" s="270">
        <f>Z113</f>
        <v>420555</v>
      </c>
      <c r="Q49" s="672">
        <f>+$P$49*O49</f>
        <v>210277.5</v>
      </c>
      <c r="R49" s="193">
        <v>45092</v>
      </c>
      <c r="S49" s="271"/>
      <c r="T49" s="195"/>
      <c r="U49" s="193">
        <v>45107</v>
      </c>
      <c r="V49" s="908"/>
    </row>
    <row r="50" spans="1:41" ht="15" customHeight="1">
      <c r="B50" s="187"/>
      <c r="C50" s="648"/>
      <c r="D50" s="648"/>
      <c r="E50" s="649"/>
      <c r="F50" s="650"/>
      <c r="G50" s="651"/>
      <c r="H50" s="652"/>
      <c r="I50" s="272"/>
      <c r="J50" s="908"/>
      <c r="K50" s="272"/>
      <c r="L50" s="653">
        <v>4</v>
      </c>
      <c r="M50" s="204" t="s">
        <v>249</v>
      </c>
      <c r="N50" s="204" t="s">
        <v>261</v>
      </c>
      <c r="O50" s="654">
        <v>0.4</v>
      </c>
      <c r="P50" s="270"/>
      <c r="Q50" s="672">
        <f t="shared" ref="Q50" si="2">+$P$49*O50</f>
        <v>168222</v>
      </c>
      <c r="R50" s="652">
        <v>45169</v>
      </c>
      <c r="S50" s="271"/>
      <c r="T50" s="655"/>
      <c r="U50" s="652">
        <v>45169</v>
      </c>
      <c r="V50" s="908"/>
    </row>
    <row r="51" spans="1:41" ht="15" customHeight="1" thickBot="1">
      <c r="B51" s="187">
        <v>4</v>
      </c>
      <c r="C51" s="284"/>
      <c r="D51" s="284"/>
      <c r="E51" s="285"/>
      <c r="F51" s="286"/>
      <c r="G51" s="287"/>
      <c r="H51" s="210"/>
      <c r="I51" s="279"/>
      <c r="J51" s="909"/>
      <c r="K51" s="279"/>
      <c r="L51" s="283">
        <f t="shared" si="0"/>
        <v>4</v>
      </c>
      <c r="M51" s="284" t="s">
        <v>249</v>
      </c>
      <c r="N51" s="204" t="s">
        <v>262</v>
      </c>
      <c r="O51" s="288">
        <v>0.1</v>
      </c>
      <c r="P51" s="270">
        <v>42055.5</v>
      </c>
      <c r="Q51" s="672">
        <f>P51*0.8</f>
        <v>33644.400000000001</v>
      </c>
      <c r="R51" s="210">
        <v>45484</v>
      </c>
      <c r="S51" s="289"/>
      <c r="T51" s="266"/>
      <c r="U51" s="210">
        <v>45473</v>
      </c>
      <c r="V51" s="909"/>
    </row>
    <row r="52" spans="1:41" ht="15" customHeight="1" thickBot="1">
      <c r="B52" s="607"/>
      <c r="C52" s="863"/>
      <c r="D52" s="863"/>
      <c r="E52" s="864"/>
      <c r="F52" s="865"/>
      <c r="G52" s="866"/>
      <c r="H52" s="612"/>
      <c r="I52" s="272"/>
      <c r="J52" s="860"/>
      <c r="K52" s="272"/>
      <c r="L52" s="283">
        <f t="shared" ref="L52" si="3">B52</f>
        <v>0</v>
      </c>
      <c r="M52" s="284" t="s">
        <v>249</v>
      </c>
      <c r="N52" s="204" t="s">
        <v>262</v>
      </c>
      <c r="O52" s="288"/>
      <c r="P52" s="270"/>
      <c r="Q52" s="672">
        <f>P51*0.2</f>
        <v>8411.1</v>
      </c>
      <c r="R52" s="210">
        <v>45519</v>
      </c>
      <c r="S52" s="565"/>
      <c r="T52" s="614"/>
      <c r="U52" s="612">
        <v>45473</v>
      </c>
      <c r="V52" s="860"/>
    </row>
    <row r="53" spans="1:41" ht="14.5" thickBot="1">
      <c r="A53" s="91"/>
      <c r="B53" s="331"/>
      <c r="C53" s="332"/>
      <c r="D53" s="332"/>
      <c r="E53" s="347"/>
      <c r="F53" s="335"/>
      <c r="G53" s="348"/>
      <c r="H53" s="336"/>
      <c r="I53" s="91"/>
      <c r="J53" s="384"/>
      <c r="K53" s="91"/>
      <c r="L53" s="331"/>
      <c r="M53" s="332"/>
      <c r="N53" s="332"/>
      <c r="O53" s="347"/>
      <c r="P53" s="335"/>
      <c r="Q53" s="349"/>
      <c r="R53" s="350"/>
      <c r="S53" s="351"/>
      <c r="T53" s="350"/>
      <c r="U53" s="350"/>
      <c r="V53" s="384"/>
      <c r="W53" s="606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</row>
    <row r="54" spans="1:41" ht="14.25" customHeight="1">
      <c r="B54" s="302">
        <v>5</v>
      </c>
      <c r="C54" s="303" t="s">
        <v>263</v>
      </c>
      <c r="D54" s="390" t="s">
        <v>264</v>
      </c>
      <c r="E54" s="391"/>
      <c r="F54" s="392"/>
      <c r="G54" s="307">
        <v>21000</v>
      </c>
      <c r="H54" s="308">
        <f>H28</f>
        <v>45141</v>
      </c>
      <c r="I54" s="393"/>
      <c r="J54" s="910">
        <f>SUM(G54:G74)</f>
        <v>24567</v>
      </c>
      <c r="K54" s="310"/>
      <c r="L54" s="302">
        <f t="shared" si="0"/>
        <v>5</v>
      </c>
      <c r="M54" s="303" t="s">
        <v>263</v>
      </c>
      <c r="N54" s="390" t="s">
        <v>265</v>
      </c>
      <c r="O54" s="391"/>
      <c r="P54" s="392"/>
      <c r="Q54" s="307">
        <f>7499*0.1</f>
        <v>749.90000000000009</v>
      </c>
      <c r="R54" s="308">
        <f>R28</f>
        <v>45155</v>
      </c>
      <c r="S54" s="393"/>
      <c r="T54" s="311"/>
      <c r="U54" s="308">
        <v>45169</v>
      </c>
      <c r="V54" s="910">
        <f>SUM(Q54:Q74)</f>
        <v>102506.59999999998</v>
      </c>
    </row>
    <row r="55" spans="1:41" ht="14.25" customHeight="1">
      <c r="B55" s="312">
        <v>5</v>
      </c>
      <c r="C55" s="313"/>
      <c r="D55" s="394" t="s">
        <v>266</v>
      </c>
      <c r="E55" s="395"/>
      <c r="F55" s="396"/>
      <c r="G55" s="317">
        <v>3567</v>
      </c>
      <c r="H55" s="318">
        <v>45014</v>
      </c>
      <c r="I55" s="397"/>
      <c r="J55" s="911"/>
      <c r="K55" s="320"/>
      <c r="L55" s="312">
        <f t="shared" si="0"/>
        <v>5</v>
      </c>
      <c r="M55" s="313" t="s">
        <v>263</v>
      </c>
      <c r="N55" s="394" t="s">
        <v>267</v>
      </c>
      <c r="O55" s="395"/>
      <c r="P55" s="396"/>
      <c r="Q55" s="687">
        <f>7499*0.9</f>
        <v>6749.1</v>
      </c>
      <c r="R55" s="318">
        <v>45202</v>
      </c>
      <c r="S55" s="397"/>
      <c r="T55" s="321"/>
      <c r="U55" s="318">
        <v>45169</v>
      </c>
      <c r="V55" s="911"/>
      <c r="W55" s="128"/>
      <c r="X55" s="128"/>
      <c r="Y55" s="579"/>
      <c r="Z55" s="579"/>
      <c r="AA55" s="579"/>
      <c r="AB55" s="579"/>
      <c r="AC55" s="579"/>
    </row>
    <row r="56" spans="1:41" ht="14.25" customHeight="1">
      <c r="B56" s="312"/>
      <c r="C56" s="313"/>
      <c r="D56" s="394"/>
      <c r="E56" s="395"/>
      <c r="F56" s="396"/>
      <c r="G56" s="317"/>
      <c r="H56" s="318"/>
      <c r="I56" s="397"/>
      <c r="J56" s="911"/>
      <c r="K56" s="320"/>
      <c r="L56" s="312">
        <v>5</v>
      </c>
      <c r="M56" s="313" t="s">
        <v>263</v>
      </c>
      <c r="N56" s="394" t="s">
        <v>268</v>
      </c>
      <c r="O56" s="395"/>
      <c r="P56" s="396"/>
      <c r="Q56" s="687">
        <v>9011</v>
      </c>
      <c r="R56" s="318">
        <v>45351</v>
      </c>
      <c r="S56" s="397"/>
      <c r="T56" s="321"/>
      <c r="U56" s="318">
        <v>45322</v>
      </c>
      <c r="V56" s="911"/>
      <c r="W56" s="128"/>
      <c r="X56" s="128"/>
      <c r="Y56" s="579"/>
      <c r="Z56" s="579"/>
      <c r="AA56" s="579"/>
      <c r="AB56" s="579"/>
      <c r="AC56" s="579"/>
    </row>
    <row r="57" spans="1:41" ht="14.25" customHeight="1">
      <c r="B57" s="312">
        <v>5</v>
      </c>
      <c r="C57" s="313"/>
      <c r="D57" s="394"/>
      <c r="E57" s="395"/>
      <c r="F57" s="396"/>
      <c r="G57" s="317"/>
      <c r="H57" s="318"/>
      <c r="I57" s="397"/>
      <c r="J57" s="911"/>
      <c r="K57" s="320"/>
      <c r="L57" s="312">
        <f t="shared" si="0"/>
        <v>5</v>
      </c>
      <c r="M57" s="313" t="s">
        <v>263</v>
      </c>
      <c r="N57" s="394" t="s">
        <v>269</v>
      </c>
      <c r="O57" s="395"/>
      <c r="P57" s="396"/>
      <c r="Q57" s="687">
        <v>26788</v>
      </c>
      <c r="R57" s="318">
        <v>45350</v>
      </c>
      <c r="S57" s="397"/>
      <c r="T57" s="318" t="s">
        <v>270</v>
      </c>
      <c r="U57" s="318">
        <v>45322</v>
      </c>
      <c r="V57" s="911"/>
    </row>
    <row r="58" spans="1:41" ht="14.25" customHeight="1">
      <c r="B58" s="371"/>
      <c r="C58" s="372"/>
      <c r="D58" s="589"/>
      <c r="E58" s="590"/>
      <c r="F58" s="591"/>
      <c r="G58" s="376"/>
      <c r="H58" s="377"/>
      <c r="I58" s="397"/>
      <c r="J58" s="911"/>
      <c r="K58" s="320"/>
      <c r="L58" s="312">
        <v>5</v>
      </c>
      <c r="M58" s="313" t="s">
        <v>263</v>
      </c>
      <c r="N58" s="589" t="s">
        <v>271</v>
      </c>
      <c r="O58" s="590"/>
      <c r="P58" s="591"/>
      <c r="Q58" s="632">
        <v>242.39</v>
      </c>
      <c r="R58" s="318">
        <v>45351</v>
      </c>
      <c r="S58" s="397"/>
      <c r="T58" s="377" t="s">
        <v>272</v>
      </c>
      <c r="U58" s="318">
        <v>45322</v>
      </c>
      <c r="V58" s="911"/>
    </row>
    <row r="59" spans="1:41" ht="14.25" customHeight="1">
      <c r="B59" s="371"/>
      <c r="C59" s="372"/>
      <c r="D59" s="589"/>
      <c r="E59" s="590"/>
      <c r="F59" s="591"/>
      <c r="G59" s="376"/>
      <c r="H59" s="377"/>
      <c r="I59" s="397"/>
      <c r="J59" s="911"/>
      <c r="K59" s="320"/>
      <c r="L59" s="312">
        <v>5</v>
      </c>
      <c r="M59" s="313" t="s">
        <v>263</v>
      </c>
      <c r="N59" s="589" t="s">
        <v>273</v>
      </c>
      <c r="O59" s="590"/>
      <c r="P59" s="591"/>
      <c r="Q59" s="632">
        <v>1655</v>
      </c>
      <c r="R59" s="377">
        <v>45176</v>
      </c>
      <c r="S59" s="397"/>
      <c r="T59" s="377" t="s">
        <v>274</v>
      </c>
      <c r="U59" s="318">
        <v>45176</v>
      </c>
      <c r="V59" s="911"/>
    </row>
    <row r="60" spans="1:41" ht="14.25" customHeight="1">
      <c r="B60" s="371"/>
      <c r="C60" s="372"/>
      <c r="D60" s="589"/>
      <c r="E60" s="590"/>
      <c r="F60" s="591"/>
      <c r="G60" s="376"/>
      <c r="H60" s="377"/>
      <c r="I60" s="397"/>
      <c r="J60" s="911"/>
      <c r="K60" s="320"/>
      <c r="L60" s="312">
        <v>5</v>
      </c>
      <c r="M60" s="372" t="s">
        <v>263</v>
      </c>
      <c r="N60" s="589" t="s">
        <v>275</v>
      </c>
      <c r="O60" s="668">
        <v>0</v>
      </c>
      <c r="P60" s="710">
        <v>15000</v>
      </c>
      <c r="Q60" s="592">
        <f>O60*P60</f>
        <v>0</v>
      </c>
      <c r="R60" s="378"/>
      <c r="S60" s="397"/>
      <c r="T60" s="593"/>
      <c r="U60" s="597"/>
      <c r="V60" s="911"/>
    </row>
    <row r="61" spans="1:41" ht="14.25" customHeight="1">
      <c r="B61" s="371"/>
      <c r="C61" s="372"/>
      <c r="D61" s="589"/>
      <c r="E61" s="590"/>
      <c r="F61" s="591"/>
      <c r="G61" s="376"/>
      <c r="H61" s="377"/>
      <c r="I61" s="397"/>
      <c r="J61" s="911"/>
      <c r="K61" s="320"/>
      <c r="L61" s="312">
        <v>5</v>
      </c>
      <c r="M61" s="372" t="s">
        <v>263</v>
      </c>
      <c r="N61" s="589" t="s">
        <v>276</v>
      </c>
      <c r="O61" s="590"/>
      <c r="P61" s="591"/>
      <c r="Q61" s="632">
        <v>9006.66</v>
      </c>
      <c r="R61" s="377">
        <v>45351</v>
      </c>
      <c r="S61" s="397"/>
      <c r="T61" s="593"/>
      <c r="U61" s="318">
        <v>45322</v>
      </c>
      <c r="V61" s="911"/>
    </row>
    <row r="62" spans="1:41" ht="14.25" customHeight="1">
      <c r="B62" s="371"/>
      <c r="C62" s="372"/>
      <c r="D62" s="589"/>
      <c r="E62" s="590"/>
      <c r="F62" s="591"/>
      <c r="G62" s="376"/>
      <c r="H62" s="377"/>
      <c r="I62" s="397"/>
      <c r="J62" s="911"/>
      <c r="K62" s="320"/>
      <c r="L62" s="312">
        <v>5</v>
      </c>
      <c r="M62" s="372" t="s">
        <v>263</v>
      </c>
      <c r="N62" s="589" t="s">
        <v>277</v>
      </c>
      <c r="O62" s="590"/>
      <c r="P62" s="591"/>
      <c r="Q62" s="632">
        <v>4910</v>
      </c>
      <c r="R62" s="377">
        <v>45338</v>
      </c>
      <c r="S62" s="397"/>
      <c r="T62" s="377" t="s">
        <v>278</v>
      </c>
      <c r="U62" s="318">
        <v>45322</v>
      </c>
      <c r="V62" s="911"/>
    </row>
    <row r="63" spans="1:41" ht="14.25" customHeight="1">
      <c r="B63" s="371"/>
      <c r="C63" s="372"/>
      <c r="D63" s="589"/>
      <c r="E63" s="590"/>
      <c r="F63" s="591"/>
      <c r="G63" s="376"/>
      <c r="H63" s="377"/>
      <c r="I63" s="397"/>
      <c r="J63" s="911"/>
      <c r="K63" s="320"/>
      <c r="L63" s="312">
        <v>5</v>
      </c>
      <c r="M63" s="372" t="s">
        <v>263</v>
      </c>
      <c r="N63" s="589" t="s">
        <v>279</v>
      </c>
      <c r="O63" s="590"/>
      <c r="P63" s="591"/>
      <c r="Q63" s="632">
        <v>2082.61</v>
      </c>
      <c r="R63" s="377">
        <v>45096</v>
      </c>
      <c r="S63" s="397"/>
      <c r="T63" s="377"/>
      <c r="U63" s="377">
        <v>45107</v>
      </c>
      <c r="V63" s="911"/>
    </row>
    <row r="64" spans="1:41" ht="14.25" customHeight="1">
      <c r="B64" s="371"/>
      <c r="C64" s="372"/>
      <c r="D64" s="589"/>
      <c r="E64" s="590"/>
      <c r="F64" s="591"/>
      <c r="G64" s="376"/>
      <c r="H64" s="377"/>
      <c r="I64" s="397"/>
      <c r="J64" s="911"/>
      <c r="K64" s="320"/>
      <c r="L64" s="312">
        <v>5</v>
      </c>
      <c r="M64" s="372" t="s">
        <v>263</v>
      </c>
      <c r="N64" s="589"/>
      <c r="O64" s="590"/>
      <c r="P64" s="591"/>
      <c r="Q64" s="632">
        <v>1999.13</v>
      </c>
      <c r="R64" s="377">
        <v>45330</v>
      </c>
      <c r="S64" s="397"/>
      <c r="T64" s="377" t="s">
        <v>280</v>
      </c>
      <c r="U64" s="377">
        <v>45322</v>
      </c>
      <c r="V64" s="911"/>
    </row>
    <row r="65" spans="1:41" ht="14.25" customHeight="1">
      <c r="B65" s="371"/>
      <c r="C65" s="372"/>
      <c r="D65" s="589"/>
      <c r="E65" s="590"/>
      <c r="F65" s="591"/>
      <c r="G65" s="376"/>
      <c r="H65" s="377"/>
      <c r="I65" s="397"/>
      <c r="J65" s="911"/>
      <c r="K65" s="320"/>
      <c r="L65" s="312">
        <v>5</v>
      </c>
      <c r="M65" s="372" t="s">
        <v>263</v>
      </c>
      <c r="N65" s="589" t="s">
        <v>281</v>
      </c>
      <c r="O65" s="590"/>
      <c r="P65" s="591"/>
      <c r="Q65" s="632">
        <v>239.13</v>
      </c>
      <c r="R65" s="377">
        <v>45031</v>
      </c>
      <c r="S65" s="397"/>
      <c r="T65" s="593"/>
      <c r="U65" s="377">
        <v>45077</v>
      </c>
      <c r="V65" s="911"/>
    </row>
    <row r="66" spans="1:41" ht="14.25" customHeight="1">
      <c r="B66" s="371"/>
      <c r="C66" s="372"/>
      <c r="D66" s="589"/>
      <c r="E66" s="590"/>
      <c r="F66" s="591"/>
      <c r="G66" s="376"/>
      <c r="H66" s="377"/>
      <c r="I66" s="397"/>
      <c r="J66" s="911"/>
      <c r="K66" s="320"/>
      <c r="L66" s="312">
        <v>5</v>
      </c>
      <c r="M66" s="372" t="s">
        <v>263</v>
      </c>
      <c r="N66" s="589"/>
      <c r="O66" s="590"/>
      <c r="P66" s="591"/>
      <c r="Q66" s="632">
        <v>6225</v>
      </c>
      <c r="R66" s="377">
        <v>45338</v>
      </c>
      <c r="S66" s="397"/>
      <c r="T66" s="377" t="s">
        <v>282</v>
      </c>
      <c r="U66" s="377">
        <v>45322</v>
      </c>
      <c r="V66" s="911"/>
    </row>
    <row r="67" spans="1:41" ht="14.25" customHeight="1">
      <c r="B67" s="371"/>
      <c r="C67" s="372"/>
      <c r="D67" s="589"/>
      <c r="E67" s="590"/>
      <c r="F67" s="591"/>
      <c r="G67" s="376"/>
      <c r="H67" s="377"/>
      <c r="I67" s="397"/>
      <c r="J67" s="911"/>
      <c r="K67" s="320"/>
      <c r="L67" s="312">
        <v>5</v>
      </c>
      <c r="M67" s="372" t="s">
        <v>263</v>
      </c>
      <c r="N67" s="589" t="s">
        <v>283</v>
      </c>
      <c r="O67" s="668">
        <v>1</v>
      </c>
      <c r="P67" s="667">
        <v>2694</v>
      </c>
      <c r="Q67" s="632">
        <v>2969.31</v>
      </c>
      <c r="R67" s="377">
        <v>45127</v>
      </c>
      <c r="S67" s="397"/>
      <c r="T67" s="593"/>
      <c r="U67" s="377">
        <v>45138</v>
      </c>
      <c r="V67" s="911"/>
    </row>
    <row r="68" spans="1:41" ht="14.25" customHeight="1">
      <c r="B68" s="371"/>
      <c r="C68" s="372"/>
      <c r="D68" s="589"/>
      <c r="E68" s="590"/>
      <c r="F68" s="591"/>
      <c r="G68" s="376"/>
      <c r="H68" s="377"/>
      <c r="I68" s="397"/>
      <c r="J68" s="911"/>
      <c r="K68" s="320"/>
      <c r="L68" s="312">
        <v>5</v>
      </c>
      <c r="M68" s="372" t="s">
        <v>263</v>
      </c>
      <c r="N68" s="589" t="s">
        <v>284</v>
      </c>
      <c r="O68" s="668"/>
      <c r="P68" s="667"/>
      <c r="Q68" s="632">
        <v>2606.09</v>
      </c>
      <c r="R68" s="377">
        <v>45313</v>
      </c>
      <c r="S68" s="397"/>
      <c r="T68" s="377" t="s">
        <v>285</v>
      </c>
      <c r="U68" s="377">
        <v>45322</v>
      </c>
      <c r="V68" s="911"/>
    </row>
    <row r="69" spans="1:41" ht="14.25" customHeight="1">
      <c r="B69" s="371"/>
      <c r="C69" s="372"/>
      <c r="D69" s="589"/>
      <c r="E69" s="590"/>
      <c r="F69" s="591"/>
      <c r="G69" s="376"/>
      <c r="H69" s="377"/>
      <c r="I69" s="397"/>
      <c r="J69" s="911"/>
      <c r="K69" s="320"/>
      <c r="L69" s="312">
        <v>5</v>
      </c>
      <c r="M69" s="372" t="s">
        <v>263</v>
      </c>
      <c r="N69" s="589" t="s">
        <v>286</v>
      </c>
      <c r="O69" s="668"/>
      <c r="P69" s="667"/>
      <c r="Q69" s="632">
        <v>1039</v>
      </c>
      <c r="R69" s="377">
        <v>45148</v>
      </c>
      <c r="S69" s="397"/>
      <c r="T69" s="593"/>
      <c r="U69" s="377">
        <v>45169</v>
      </c>
      <c r="V69" s="911"/>
    </row>
    <row r="70" spans="1:41" ht="14.25" customHeight="1">
      <c r="B70" s="371"/>
      <c r="C70" s="372"/>
      <c r="D70" s="589"/>
      <c r="E70" s="590"/>
      <c r="F70" s="591"/>
      <c r="G70" s="376"/>
      <c r="H70" s="377"/>
      <c r="I70" s="397"/>
      <c r="J70" s="911"/>
      <c r="K70" s="320"/>
      <c r="L70" s="312">
        <v>5</v>
      </c>
      <c r="M70" s="372" t="s">
        <v>263</v>
      </c>
      <c r="N70" s="589"/>
      <c r="O70" s="668"/>
      <c r="P70" s="667"/>
      <c r="Q70" s="632">
        <v>2463</v>
      </c>
      <c r="R70" s="377">
        <v>45316</v>
      </c>
      <c r="S70" s="397"/>
      <c r="T70" s="377" t="s">
        <v>287</v>
      </c>
      <c r="U70" s="377">
        <v>45322</v>
      </c>
      <c r="V70" s="911"/>
    </row>
    <row r="71" spans="1:41" ht="15" customHeight="1" thickBot="1">
      <c r="B71" s="322">
        <v>5</v>
      </c>
      <c r="C71" s="323"/>
      <c r="D71" s="398"/>
      <c r="E71" s="399"/>
      <c r="F71" s="400"/>
      <c r="G71" s="327"/>
      <c r="H71" s="328"/>
      <c r="I71" s="401"/>
      <c r="J71" s="911"/>
      <c r="K71" s="330"/>
      <c r="L71" s="312">
        <v>5</v>
      </c>
      <c r="M71" s="313" t="s">
        <v>263</v>
      </c>
      <c r="N71" s="394" t="s">
        <v>288</v>
      </c>
      <c r="O71" s="395"/>
      <c r="P71" s="396"/>
      <c r="Q71" s="687">
        <v>11667.2</v>
      </c>
      <c r="R71" s="318">
        <v>45428</v>
      </c>
      <c r="S71" s="711"/>
      <c r="T71" s="318" t="s">
        <v>289</v>
      </c>
      <c r="U71" s="318">
        <v>45412</v>
      </c>
      <c r="V71" s="911"/>
    </row>
    <row r="72" spans="1:41" ht="15" customHeight="1" thickBot="1">
      <c r="B72" s="322">
        <v>5</v>
      </c>
      <c r="C72" s="323"/>
      <c r="D72" s="398"/>
      <c r="E72" s="399"/>
      <c r="F72" s="400"/>
      <c r="G72" s="327"/>
      <c r="H72" s="328"/>
      <c r="I72" s="401"/>
      <c r="J72" s="911"/>
      <c r="K72" s="330"/>
      <c r="L72" s="312">
        <v>5</v>
      </c>
      <c r="M72" s="313" t="s">
        <v>263</v>
      </c>
      <c r="N72" s="394" t="s">
        <v>290</v>
      </c>
      <c r="O72" s="395"/>
      <c r="P72" s="396"/>
      <c r="Q72" s="687">
        <v>433.29</v>
      </c>
      <c r="R72" s="318">
        <v>45443</v>
      </c>
      <c r="S72" s="712"/>
      <c r="T72" s="321"/>
      <c r="U72" s="318">
        <v>45412</v>
      </c>
      <c r="V72" s="911"/>
    </row>
    <row r="73" spans="1:41" ht="15" customHeight="1" thickBot="1">
      <c r="B73" s="322">
        <v>5</v>
      </c>
      <c r="C73" s="323"/>
      <c r="D73" s="398"/>
      <c r="E73" s="399"/>
      <c r="F73" s="400"/>
      <c r="G73" s="327"/>
      <c r="H73" s="328"/>
      <c r="I73" s="401"/>
      <c r="J73" s="911"/>
      <c r="K73" s="330"/>
      <c r="L73" s="312">
        <v>5</v>
      </c>
      <c r="M73" s="313" t="s">
        <v>263</v>
      </c>
      <c r="N73" s="394" t="s">
        <v>291</v>
      </c>
      <c r="O73" s="395"/>
      <c r="P73" s="396"/>
      <c r="Q73" s="687">
        <v>1201.79</v>
      </c>
      <c r="R73" s="318">
        <v>45330</v>
      </c>
      <c r="S73" s="401"/>
      <c r="T73" s="810" t="s">
        <v>280</v>
      </c>
      <c r="U73" s="810">
        <v>45322</v>
      </c>
      <c r="V73" s="911"/>
    </row>
    <row r="74" spans="1:41" ht="15" customHeight="1" thickBot="1">
      <c r="B74" s="322">
        <v>5</v>
      </c>
      <c r="C74" s="323"/>
      <c r="D74" s="398"/>
      <c r="E74" s="399"/>
      <c r="F74" s="400"/>
      <c r="G74" s="327"/>
      <c r="H74" s="328"/>
      <c r="I74" s="401"/>
      <c r="J74" s="912"/>
      <c r="K74" s="330"/>
      <c r="L74" s="312">
        <v>5</v>
      </c>
      <c r="M74" s="699" t="s">
        <v>263</v>
      </c>
      <c r="N74" s="700" t="s">
        <v>292</v>
      </c>
      <c r="O74" s="701"/>
      <c r="P74" s="702"/>
      <c r="Q74" s="809">
        <v>10469</v>
      </c>
      <c r="R74" s="810">
        <v>45351</v>
      </c>
      <c r="S74" s="401"/>
      <c r="T74" s="810" t="s">
        <v>293</v>
      </c>
      <c r="U74" s="810">
        <v>45322</v>
      </c>
      <c r="V74" s="912"/>
    </row>
    <row r="75" spans="1:41" ht="14.5" thickBot="1">
      <c r="A75" s="91"/>
      <c r="B75" s="339"/>
      <c r="C75" s="340"/>
      <c r="D75" s="352"/>
      <c r="E75" s="353"/>
      <c r="F75" s="354"/>
      <c r="G75" s="344"/>
      <c r="H75" s="336"/>
      <c r="I75" s="355"/>
      <c r="J75" s="385"/>
      <c r="K75" s="91"/>
      <c r="L75" s="339"/>
      <c r="M75" s="340"/>
      <c r="N75" s="352"/>
      <c r="O75" s="353"/>
      <c r="P75" s="354"/>
      <c r="Q75" s="346"/>
      <c r="R75" s="350"/>
      <c r="S75" s="355"/>
      <c r="T75" s="356"/>
      <c r="U75" s="356"/>
      <c r="V75" s="385"/>
      <c r="W75" s="606"/>
      <c r="X75" s="91"/>
      <c r="Y75" s="566" t="s">
        <v>294</v>
      </c>
      <c r="Z75" s="567" t="s">
        <v>295</v>
      </c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</row>
    <row r="76" spans="1:41" ht="14.25" customHeight="1">
      <c r="B76" s="179">
        <v>6</v>
      </c>
      <c r="C76" s="180" t="s">
        <v>296</v>
      </c>
      <c r="D76" s="181" t="s">
        <v>297</v>
      </c>
      <c r="E76" s="182"/>
      <c r="F76" s="183">
        <v>0.5</v>
      </c>
      <c r="G76" s="184">
        <f>$C$86*F76</f>
        <v>318849.12899999996</v>
      </c>
      <c r="H76" s="185">
        <f>'Project Plan'!G20-5</f>
        <v>45093</v>
      </c>
      <c r="I76" s="268"/>
      <c r="J76" s="907">
        <f>SUM(G76:G86)</f>
        <v>637698.25799999991</v>
      </c>
      <c r="K76" s="269"/>
      <c r="L76" s="179">
        <f t="shared" si="0"/>
        <v>6</v>
      </c>
      <c r="M76" s="180" t="s">
        <v>296</v>
      </c>
      <c r="N76" s="181" t="s">
        <v>298</v>
      </c>
      <c r="O76" s="669">
        <f>Z112</f>
        <v>388553.54</v>
      </c>
      <c r="P76" s="183">
        <v>0.5</v>
      </c>
      <c r="Q76" s="671">
        <f>+O76*0.5</f>
        <v>194276.77</v>
      </c>
      <c r="R76" s="185">
        <v>45092</v>
      </c>
      <c r="S76" s="268"/>
      <c r="T76" s="186"/>
      <c r="U76" s="185">
        <v>45107</v>
      </c>
      <c r="V76" s="907">
        <f>SUM(Q76:Q86)</f>
        <v>954731.35000000009</v>
      </c>
      <c r="Y76" s="568" t="s">
        <v>296</v>
      </c>
      <c r="Z76" s="569">
        <f>+J76</f>
        <v>637698.25799999991</v>
      </c>
    </row>
    <row r="77" spans="1:41" ht="14.25" customHeight="1">
      <c r="B77" s="187">
        <v>6</v>
      </c>
      <c r="C77" s="188"/>
      <c r="D77" s="189"/>
      <c r="E77" s="190"/>
      <c r="F77" s="191"/>
      <c r="G77" s="192"/>
      <c r="H77" s="193"/>
      <c r="I77" s="271"/>
      <c r="J77" s="908"/>
      <c r="K77" s="272"/>
      <c r="L77" s="187">
        <f t="shared" si="0"/>
        <v>6</v>
      </c>
      <c r="M77" s="188" t="s">
        <v>296</v>
      </c>
      <c r="N77" s="189" t="s">
        <v>299</v>
      </c>
      <c r="O77" s="190"/>
      <c r="P77" s="191">
        <v>0.4</v>
      </c>
      <c r="Q77" s="672">
        <f>100000/1.15</f>
        <v>86956.521739130447</v>
      </c>
      <c r="R77" s="193">
        <v>45317</v>
      </c>
      <c r="S77" s="271"/>
      <c r="T77" s="195"/>
      <c r="U77" s="193">
        <v>45291</v>
      </c>
      <c r="V77" s="908"/>
      <c r="Y77" s="568" t="s">
        <v>249</v>
      </c>
      <c r="Z77" s="569">
        <f>+G41+G49</f>
        <v>307092.00000000006</v>
      </c>
    </row>
    <row r="78" spans="1:41" ht="14.25" customHeight="1">
      <c r="B78" s="187"/>
      <c r="C78" s="188"/>
      <c r="D78" s="189"/>
      <c r="E78" s="190"/>
      <c r="F78" s="191"/>
      <c r="G78" s="192"/>
      <c r="H78" s="193"/>
      <c r="I78" s="271"/>
      <c r="J78" s="908"/>
      <c r="K78" s="272"/>
      <c r="L78" s="187">
        <f t="shared" si="0"/>
        <v>0</v>
      </c>
      <c r="M78" s="188" t="s">
        <v>296</v>
      </c>
      <c r="N78" s="189" t="s">
        <v>299</v>
      </c>
      <c r="O78" s="190"/>
      <c r="P78" s="191"/>
      <c r="Q78" s="672">
        <f>155421.416-Q77</f>
        <v>68464.894260869551</v>
      </c>
      <c r="R78" s="193">
        <v>45323</v>
      </c>
      <c r="S78" s="271"/>
      <c r="T78" s="195"/>
      <c r="U78" s="193">
        <v>45291</v>
      </c>
      <c r="V78" s="908"/>
      <c r="Y78" s="568"/>
      <c r="Z78" s="569"/>
    </row>
    <row r="79" spans="1:41" ht="14.25" customHeight="1">
      <c r="B79" s="187">
        <v>6</v>
      </c>
      <c r="C79" s="188"/>
      <c r="D79" s="189"/>
      <c r="E79" s="190"/>
      <c r="F79" s="191"/>
      <c r="G79" s="192"/>
      <c r="H79" s="193"/>
      <c r="I79" s="271"/>
      <c r="J79" s="908"/>
      <c r="K79" s="272"/>
      <c r="L79" s="187">
        <f t="shared" si="0"/>
        <v>6</v>
      </c>
      <c r="M79" s="188" t="s">
        <v>296</v>
      </c>
      <c r="N79" s="189" t="s">
        <v>300</v>
      </c>
      <c r="O79" s="862">
        <v>38855.353999999999</v>
      </c>
      <c r="P79" s="191">
        <v>0.1</v>
      </c>
      <c r="Q79" s="672">
        <f>O79*0.8</f>
        <v>31084.283200000002</v>
      </c>
      <c r="R79" s="193">
        <v>45484</v>
      </c>
      <c r="S79" s="271"/>
      <c r="T79" s="195"/>
      <c r="U79" s="193">
        <v>45473</v>
      </c>
      <c r="V79" s="908"/>
      <c r="Y79" s="568" t="s">
        <v>301</v>
      </c>
      <c r="Z79" s="569">
        <f>+C107</f>
        <v>437482.5</v>
      </c>
    </row>
    <row r="80" spans="1:41" ht="14.25" customHeight="1">
      <c r="B80" s="658"/>
      <c r="C80" s="659"/>
      <c r="D80" s="660"/>
      <c r="E80" s="661"/>
      <c r="F80" s="662"/>
      <c r="G80" s="651"/>
      <c r="H80" s="652"/>
      <c r="I80" s="271"/>
      <c r="J80" s="908"/>
      <c r="K80" s="272"/>
      <c r="L80" s="658"/>
      <c r="M80" s="659"/>
      <c r="N80" s="660"/>
      <c r="O80" s="661"/>
      <c r="P80" s="662"/>
      <c r="Q80" s="686">
        <f>O79*0.2</f>
        <v>7771.0708000000004</v>
      </c>
      <c r="R80" s="652">
        <v>45519</v>
      </c>
      <c r="S80" s="271"/>
      <c r="T80" s="655"/>
      <c r="U80" s="193">
        <v>45473</v>
      </c>
      <c r="V80" s="908"/>
      <c r="Y80" s="568"/>
      <c r="Z80" s="569"/>
    </row>
    <row r="81" spans="1:41" ht="14.25" customHeight="1">
      <c r="B81" s="658"/>
      <c r="C81" s="659"/>
      <c r="D81" s="660"/>
      <c r="E81" s="661"/>
      <c r="F81" s="662"/>
      <c r="G81" s="651"/>
      <c r="H81" s="652"/>
      <c r="I81" s="271"/>
      <c r="J81" s="908"/>
      <c r="K81" s="272"/>
      <c r="L81" s="658"/>
      <c r="M81" s="659"/>
      <c r="N81" s="660" t="s">
        <v>302</v>
      </c>
      <c r="O81" s="661"/>
      <c r="P81" s="662"/>
      <c r="Q81" s="686">
        <v>434902.77</v>
      </c>
      <c r="R81" s="652">
        <v>45198</v>
      </c>
      <c r="S81" s="271"/>
      <c r="T81" s="655"/>
      <c r="U81" s="652">
        <v>45138</v>
      </c>
      <c r="V81" s="908"/>
      <c r="Y81" s="568"/>
      <c r="Z81" s="569"/>
    </row>
    <row r="82" spans="1:41" ht="14.25" customHeight="1">
      <c r="B82" s="658"/>
      <c r="C82" s="659"/>
      <c r="D82" s="660"/>
      <c r="E82" s="661"/>
      <c r="F82" s="662"/>
      <c r="G82" s="651"/>
      <c r="H82" s="652"/>
      <c r="I82" s="271"/>
      <c r="J82" s="908"/>
      <c r="K82" s="272"/>
      <c r="L82" s="658"/>
      <c r="M82" s="659"/>
      <c r="N82" s="660" t="s">
        <v>303</v>
      </c>
      <c r="O82" s="661"/>
      <c r="P82" s="662"/>
      <c r="Q82" s="686">
        <v>6757.02</v>
      </c>
      <c r="R82" s="652">
        <v>45198</v>
      </c>
      <c r="S82" s="271"/>
      <c r="T82" s="655"/>
      <c r="U82" s="652">
        <v>45138</v>
      </c>
      <c r="V82" s="908"/>
      <c r="Y82" s="568"/>
      <c r="Z82" s="569"/>
    </row>
    <row r="83" spans="1:41" ht="14.25" customHeight="1">
      <c r="B83" s="658"/>
      <c r="C83" s="659"/>
      <c r="D83" s="660"/>
      <c r="E83" s="661"/>
      <c r="F83" s="662"/>
      <c r="G83" s="651"/>
      <c r="H83" s="652"/>
      <c r="I83" s="271"/>
      <c r="J83" s="908"/>
      <c r="K83" s="272"/>
      <c r="L83" s="658"/>
      <c r="M83" s="659"/>
      <c r="N83" s="660" t="s">
        <v>304</v>
      </c>
      <c r="O83" s="661"/>
      <c r="P83" s="662"/>
      <c r="Q83" s="686">
        <v>87414.48</v>
      </c>
      <c r="R83" s="652">
        <v>45198</v>
      </c>
      <c r="S83" s="271"/>
      <c r="T83" s="655"/>
      <c r="U83" s="652">
        <v>45138</v>
      </c>
      <c r="V83" s="908"/>
      <c r="Y83" s="568"/>
      <c r="Z83" s="569"/>
    </row>
    <row r="84" spans="1:41" ht="14.25" customHeight="1">
      <c r="B84" s="658"/>
      <c r="C84" s="659"/>
      <c r="D84" s="660"/>
      <c r="E84" s="661"/>
      <c r="F84" s="662"/>
      <c r="G84" s="651"/>
      <c r="H84" s="652"/>
      <c r="I84" s="271"/>
      <c r="J84" s="908"/>
      <c r="K84" s="272"/>
      <c r="L84" s="658"/>
      <c r="M84" s="659"/>
      <c r="N84" s="660" t="s">
        <v>305</v>
      </c>
      <c r="O84" s="661"/>
      <c r="P84" s="662"/>
      <c r="Q84" s="686">
        <v>37103.54</v>
      </c>
      <c r="R84" s="652">
        <v>45231</v>
      </c>
      <c r="S84" s="271"/>
      <c r="T84" s="655"/>
      <c r="U84" s="652">
        <v>45230</v>
      </c>
      <c r="V84" s="908"/>
      <c r="W84" s="579" t="s">
        <v>306</v>
      </c>
      <c r="Y84" s="568"/>
      <c r="Z84" s="569"/>
    </row>
    <row r="85" spans="1:41" ht="14.25" customHeight="1">
      <c r="B85" s="658"/>
      <c r="C85" s="659"/>
      <c r="D85" s="660"/>
      <c r="E85" s="661"/>
      <c r="F85" s="662"/>
      <c r="G85" s="651"/>
      <c r="H85" s="652"/>
      <c r="I85" s="271"/>
      <c r="J85" s="908"/>
      <c r="K85" s="272"/>
      <c r="L85" s="658"/>
      <c r="M85" s="659"/>
      <c r="N85" s="660"/>
      <c r="O85" s="661"/>
      <c r="P85" s="662"/>
      <c r="Q85" s="663"/>
      <c r="R85" s="655"/>
      <c r="S85" s="271"/>
      <c r="T85" s="655"/>
      <c r="U85" s="655"/>
      <c r="V85" s="908"/>
      <c r="W85" s="579" t="s">
        <v>307</v>
      </c>
      <c r="Y85" s="568"/>
      <c r="Z85" s="569"/>
    </row>
    <row r="86" spans="1:41" ht="15" customHeight="1" thickBot="1">
      <c r="B86" s="251">
        <v>6</v>
      </c>
      <c r="C86" s="556">
        <v>637698.25799999991</v>
      </c>
      <c r="D86" s="253" t="s">
        <v>308</v>
      </c>
      <c r="E86" s="254"/>
      <c r="F86" s="255">
        <v>0.5</v>
      </c>
      <c r="G86" s="256">
        <f>$C$86*F86</f>
        <v>318849.12899999996</v>
      </c>
      <c r="H86" s="210">
        <f>'Project Plan'!G26</f>
        <v>45203</v>
      </c>
      <c r="I86" s="278"/>
      <c r="J86" s="909"/>
      <c r="K86" s="279"/>
      <c r="L86" s="251">
        <f t="shared" si="0"/>
        <v>6</v>
      </c>
      <c r="M86" s="543" t="s">
        <v>296</v>
      </c>
      <c r="N86" s="253"/>
      <c r="O86" s="254"/>
      <c r="P86" s="255"/>
      <c r="Q86" s="257"/>
      <c r="R86" s="266"/>
      <c r="S86" s="289"/>
      <c r="T86" s="266"/>
      <c r="U86" s="266"/>
      <c r="V86" s="909"/>
      <c r="Y86" s="568" t="s">
        <v>309</v>
      </c>
      <c r="Z86" s="569">
        <f>+C109</f>
        <v>1223989.5000000002</v>
      </c>
    </row>
    <row r="87" spans="1:41" ht="14.5" thickBot="1">
      <c r="A87" s="91"/>
      <c r="B87" s="339"/>
      <c r="C87" s="357"/>
      <c r="D87" s="341"/>
      <c r="E87" s="342"/>
      <c r="F87" s="343"/>
      <c r="G87" s="344"/>
      <c r="H87" s="336"/>
      <c r="I87" s="345"/>
      <c r="J87" s="384"/>
      <c r="K87" s="91"/>
      <c r="L87" s="339"/>
      <c r="M87" s="357"/>
      <c r="N87" s="341"/>
      <c r="O87" s="342"/>
      <c r="P87" s="343"/>
      <c r="Q87" s="346"/>
      <c r="R87" s="350"/>
      <c r="S87" s="351"/>
      <c r="T87" s="350"/>
      <c r="U87" s="350"/>
      <c r="V87" s="384"/>
      <c r="W87" s="606"/>
      <c r="X87" s="91"/>
      <c r="Y87" s="568" t="s">
        <v>310</v>
      </c>
      <c r="Z87" s="569">
        <f>+G122</f>
        <v>8500</v>
      </c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</row>
    <row r="88" spans="1:41" ht="14.25" customHeight="1">
      <c r="B88" s="364">
        <v>7</v>
      </c>
      <c r="C88" s="303" t="s">
        <v>311</v>
      </c>
      <c r="D88" s="365" t="s">
        <v>312</v>
      </c>
      <c r="E88" s="366"/>
      <c r="F88" s="367"/>
      <c r="G88" s="368">
        <v>280000</v>
      </c>
      <c r="H88" s="369">
        <v>45054</v>
      </c>
      <c r="I88" s="309"/>
      <c r="J88" s="910">
        <f>SUM(G88:G104)</f>
        <v>4530000</v>
      </c>
      <c r="K88" s="310"/>
      <c r="L88" s="364">
        <f t="shared" si="0"/>
        <v>7</v>
      </c>
      <c r="M88" s="303" t="s">
        <v>311</v>
      </c>
      <c r="N88" s="365" t="s">
        <v>313</v>
      </c>
      <c r="O88" s="835">
        <f xml:space="preserve"> 323886.66/1.15</f>
        <v>281640.57391304348</v>
      </c>
      <c r="P88" s="367"/>
      <c r="Q88" s="376">
        <f>O88</f>
        <v>281640.57391304348</v>
      </c>
      <c r="R88" s="369">
        <v>45435</v>
      </c>
      <c r="S88" s="370"/>
      <c r="T88" s="819" t="s">
        <v>314</v>
      </c>
      <c r="U88" s="844">
        <v>45443</v>
      </c>
      <c r="V88" s="910">
        <f>SUM(Q88:Q104)</f>
        <v>625278.52391304355</v>
      </c>
      <c r="W88" s="128"/>
      <c r="X88" s="128"/>
      <c r="Y88" s="568" t="s">
        <v>315</v>
      </c>
      <c r="Z88" s="569">
        <f>+G116+G118</f>
        <v>92066.7</v>
      </c>
    </row>
    <row r="89" spans="1:41" ht="14.25" customHeight="1">
      <c r="B89" s="814"/>
      <c r="C89" s="758"/>
      <c r="D89" s="815"/>
      <c r="E89" s="816"/>
      <c r="F89" s="817"/>
      <c r="G89" s="818"/>
      <c r="H89" s="763"/>
      <c r="I89" s="319"/>
      <c r="J89" s="911"/>
      <c r="K89" s="320"/>
      <c r="L89" s="814"/>
      <c r="M89" s="758"/>
      <c r="N89" s="314" t="s">
        <v>316</v>
      </c>
      <c r="O89" s="315"/>
      <c r="P89" s="316"/>
      <c r="Q89" s="317">
        <f>47816.52/1.15</f>
        <v>41579.582608695651</v>
      </c>
      <c r="R89" s="826">
        <v>45351</v>
      </c>
      <c r="S89" s="379"/>
      <c r="T89" s="902" t="s">
        <v>317</v>
      </c>
      <c r="U89" s="831">
        <v>45351</v>
      </c>
      <c r="V89" s="918"/>
      <c r="W89" s="128"/>
      <c r="X89" s="128"/>
      <c r="Y89" s="568"/>
      <c r="Z89" s="569"/>
    </row>
    <row r="90" spans="1:41" ht="14.25" customHeight="1" thickBot="1">
      <c r="B90" s="814"/>
      <c r="C90" s="758"/>
      <c r="D90" s="815"/>
      <c r="E90" s="816"/>
      <c r="F90" s="817"/>
      <c r="G90" s="818"/>
      <c r="H90" s="763"/>
      <c r="I90" s="319"/>
      <c r="J90" s="911"/>
      <c r="K90" s="320"/>
      <c r="L90" s="814"/>
      <c r="M90" s="758"/>
      <c r="N90" s="314" t="s">
        <v>318</v>
      </c>
      <c r="O90" s="315"/>
      <c r="P90" s="316"/>
      <c r="Q90" s="317">
        <f>103948.95-Q89</f>
        <v>62369.367391304346</v>
      </c>
      <c r="R90" s="826">
        <v>45394</v>
      </c>
      <c r="S90" s="379"/>
      <c r="T90" s="903"/>
      <c r="U90" s="831">
        <v>45351</v>
      </c>
      <c r="V90" s="918"/>
      <c r="W90" s="128"/>
      <c r="X90" s="128"/>
      <c r="Y90" s="568"/>
      <c r="Z90" s="569"/>
    </row>
    <row r="91" spans="1:41" ht="14.25" customHeight="1">
      <c r="B91" s="371">
        <v>7</v>
      </c>
      <c r="C91" s="372"/>
      <c r="D91" s="373" t="s">
        <v>319</v>
      </c>
      <c r="E91" s="374"/>
      <c r="F91" s="375"/>
      <c r="G91" s="376">
        <v>4000000</v>
      </c>
      <c r="H91" s="377">
        <v>45054</v>
      </c>
      <c r="I91" s="319"/>
      <c r="J91" s="911"/>
      <c r="K91" s="320"/>
      <c r="L91" s="371">
        <f t="shared" si="0"/>
        <v>7</v>
      </c>
      <c r="M91" s="372" t="s">
        <v>311</v>
      </c>
      <c r="N91" s="858" t="s">
        <v>320</v>
      </c>
      <c r="O91" s="374"/>
      <c r="P91" s="375"/>
      <c r="Q91" s="376">
        <v>21664</v>
      </c>
      <c r="R91" s="377">
        <v>45484</v>
      </c>
      <c r="S91" s="379"/>
      <c r="T91" s="820" t="s">
        <v>321</v>
      </c>
      <c r="U91" s="844">
        <v>45473</v>
      </c>
      <c r="V91" s="918"/>
      <c r="Y91" s="568" t="s">
        <v>322</v>
      </c>
      <c r="Z91" s="569">
        <v>0</v>
      </c>
    </row>
    <row r="92" spans="1:41" ht="14.25" customHeight="1">
      <c r="B92" s="371">
        <v>7</v>
      </c>
      <c r="C92" s="372"/>
      <c r="D92" s="373" t="s">
        <v>323</v>
      </c>
      <c r="E92" s="374"/>
      <c r="F92" s="375"/>
      <c r="G92" s="376">
        <v>250000</v>
      </c>
      <c r="H92" s="377">
        <v>45054</v>
      </c>
      <c r="I92" s="319"/>
      <c r="J92" s="911"/>
      <c r="K92" s="320"/>
      <c r="L92" s="371">
        <f t="shared" si="0"/>
        <v>7</v>
      </c>
      <c r="M92" s="372" t="s">
        <v>311</v>
      </c>
      <c r="N92" s="373" t="s">
        <v>324</v>
      </c>
      <c r="O92" s="374"/>
      <c r="P92" s="375"/>
      <c r="Q92" s="376"/>
      <c r="R92" s="377"/>
      <c r="S92" s="379"/>
      <c r="T92" s="378"/>
      <c r="U92" s="378"/>
      <c r="V92" s="911"/>
      <c r="Y92" s="568" t="s">
        <v>322</v>
      </c>
      <c r="Z92" s="569">
        <v>0</v>
      </c>
    </row>
    <row r="93" spans="1:41" ht="14.25" customHeight="1">
      <c r="B93" s="371"/>
      <c r="C93" s="372"/>
      <c r="D93" s="373"/>
      <c r="E93" s="374"/>
      <c r="F93" s="375"/>
      <c r="G93" s="376"/>
      <c r="H93" s="377"/>
      <c r="I93" s="319"/>
      <c r="J93" s="911"/>
      <c r="K93" s="320"/>
      <c r="L93" s="371"/>
      <c r="M93" s="372"/>
      <c r="N93" s="373" t="s">
        <v>325</v>
      </c>
      <c r="O93" s="374"/>
      <c r="P93" s="375"/>
      <c r="Q93" s="583"/>
      <c r="R93" s="378"/>
      <c r="S93" s="379"/>
      <c r="T93" s="378"/>
      <c r="U93" s="378"/>
      <c r="V93" s="911"/>
      <c r="Y93" s="568"/>
      <c r="Z93" s="569"/>
    </row>
    <row r="94" spans="1:41" ht="14.25" customHeight="1">
      <c r="B94" s="371"/>
      <c r="C94" s="372"/>
      <c r="D94" s="373"/>
      <c r="E94" s="374"/>
      <c r="F94" s="375"/>
      <c r="G94" s="376"/>
      <c r="H94" s="377"/>
      <c r="I94" s="319"/>
      <c r="J94" s="911"/>
      <c r="K94" s="320"/>
      <c r="L94" s="371"/>
      <c r="M94" s="372"/>
      <c r="N94" s="373" t="s">
        <v>326</v>
      </c>
      <c r="O94" s="374"/>
      <c r="P94" s="375"/>
      <c r="Q94" s="376">
        <f>14310*2</f>
        <v>28620</v>
      </c>
      <c r="R94" s="377">
        <v>45320</v>
      </c>
      <c r="S94" s="379"/>
      <c r="T94" s="378"/>
      <c r="U94" s="377">
        <v>45322</v>
      </c>
      <c r="V94" s="911"/>
      <c r="Y94" s="568"/>
      <c r="Z94" s="569"/>
    </row>
    <row r="95" spans="1:41" ht="14.25" customHeight="1">
      <c r="B95" s="371"/>
      <c r="C95" s="372"/>
      <c r="D95" s="373"/>
      <c r="E95" s="374"/>
      <c r="F95" s="375"/>
      <c r="G95" s="376"/>
      <c r="H95" s="377"/>
      <c r="I95" s="319"/>
      <c r="J95" s="911"/>
      <c r="K95" s="320"/>
      <c r="L95" s="371"/>
      <c r="M95" s="372"/>
      <c r="N95" s="373" t="s">
        <v>327</v>
      </c>
      <c r="O95" s="374"/>
      <c r="P95" s="375"/>
      <c r="Q95" s="376">
        <f>29350/2</f>
        <v>14675</v>
      </c>
      <c r="R95" s="377">
        <v>45376</v>
      </c>
      <c r="S95" s="379"/>
      <c r="T95" s="378" t="s">
        <v>328</v>
      </c>
      <c r="U95" s="377">
        <v>45382</v>
      </c>
      <c r="V95" s="911"/>
      <c r="Y95" s="568"/>
      <c r="Z95" s="569"/>
    </row>
    <row r="96" spans="1:41" ht="14.25" customHeight="1">
      <c r="B96" s="371"/>
      <c r="C96" s="372"/>
      <c r="D96" s="373"/>
      <c r="E96" s="374"/>
      <c r="F96" s="375"/>
      <c r="G96" s="376"/>
      <c r="H96" s="377"/>
      <c r="I96" s="319"/>
      <c r="J96" s="911"/>
      <c r="K96" s="320"/>
      <c r="L96" s="371"/>
      <c r="M96" s="372"/>
      <c r="N96" s="373"/>
      <c r="O96" s="374"/>
      <c r="P96" s="375"/>
      <c r="Q96" s="376">
        <f>29350/2</f>
        <v>14675</v>
      </c>
      <c r="R96" s="377">
        <v>45394</v>
      </c>
      <c r="S96" s="379"/>
      <c r="T96" s="378"/>
      <c r="U96" s="377">
        <v>45382</v>
      </c>
      <c r="V96" s="911"/>
      <c r="Y96" s="568"/>
      <c r="Z96" s="569"/>
    </row>
    <row r="97" spans="1:41" ht="14.25" customHeight="1">
      <c r="B97" s="371"/>
      <c r="C97" s="372"/>
      <c r="D97" s="373"/>
      <c r="E97" s="374"/>
      <c r="F97" s="375"/>
      <c r="G97" s="376"/>
      <c r="H97" s="377"/>
      <c r="I97" s="319"/>
      <c r="J97" s="911"/>
      <c r="K97" s="320"/>
      <c r="L97" s="371"/>
      <c r="M97" s="372"/>
      <c r="N97" s="373" t="s">
        <v>329</v>
      </c>
      <c r="O97" s="374"/>
      <c r="P97" s="375"/>
      <c r="Q97" s="376">
        <v>2850</v>
      </c>
      <c r="R97" s="377">
        <v>45428</v>
      </c>
      <c r="S97" s="379"/>
      <c r="T97" s="378"/>
      <c r="U97" s="377">
        <v>45443</v>
      </c>
      <c r="V97" s="911"/>
      <c r="W97" s="579" t="s">
        <v>330</v>
      </c>
      <c r="Y97" s="568"/>
      <c r="Z97" s="569"/>
    </row>
    <row r="98" spans="1:41" ht="14.25" customHeight="1">
      <c r="B98" s="371"/>
      <c r="C98" s="372"/>
      <c r="D98" s="373"/>
      <c r="E98" s="374"/>
      <c r="F98" s="375"/>
      <c r="G98" s="376"/>
      <c r="H98" s="377"/>
      <c r="I98" s="319"/>
      <c r="J98" s="911"/>
      <c r="K98" s="320"/>
      <c r="L98" s="371"/>
      <c r="M98" s="372"/>
      <c r="N98" s="373" t="s">
        <v>331</v>
      </c>
      <c r="O98" s="374"/>
      <c r="P98" s="375"/>
      <c r="Q98" s="376">
        <v>29745</v>
      </c>
      <c r="R98" s="377">
        <v>45099</v>
      </c>
      <c r="S98" s="319"/>
      <c r="T98" s="378"/>
      <c r="U98" s="377">
        <v>45107</v>
      </c>
      <c r="V98" s="911"/>
      <c r="Y98" s="568"/>
      <c r="Z98" s="569"/>
    </row>
    <row r="99" spans="1:41" ht="14.25" customHeight="1">
      <c r="B99" s="371"/>
      <c r="C99" s="372"/>
      <c r="D99" s="373"/>
      <c r="E99" s="374"/>
      <c r="F99" s="375"/>
      <c r="G99" s="376"/>
      <c r="H99" s="377"/>
      <c r="I99" s="319"/>
      <c r="J99" s="911"/>
      <c r="K99" s="320"/>
      <c r="L99" s="371"/>
      <c r="M99" s="372"/>
      <c r="N99" s="373" t="s">
        <v>332</v>
      </c>
      <c r="O99" s="374"/>
      <c r="P99" s="375"/>
      <c r="Q99" s="376">
        <f>39885*0.5</f>
        <v>19942.5</v>
      </c>
      <c r="R99" s="377">
        <v>45316</v>
      </c>
      <c r="S99" s="379"/>
      <c r="T99" s="377" t="s">
        <v>333</v>
      </c>
      <c r="U99" s="377">
        <v>45260</v>
      </c>
      <c r="V99" s="911"/>
      <c r="Y99" s="568"/>
      <c r="Z99" s="569"/>
    </row>
    <row r="100" spans="1:41" ht="14.25" customHeight="1">
      <c r="B100" s="371"/>
      <c r="C100" s="372"/>
      <c r="D100" s="373"/>
      <c r="E100" s="374"/>
      <c r="F100" s="375"/>
      <c r="G100" s="376"/>
      <c r="H100" s="377"/>
      <c r="I100" s="319"/>
      <c r="J100" s="911"/>
      <c r="K100" s="320"/>
      <c r="L100" s="371"/>
      <c r="M100" s="372"/>
      <c r="N100" s="373" t="s">
        <v>334</v>
      </c>
      <c r="O100" s="374"/>
      <c r="P100" s="375"/>
      <c r="Q100" s="376">
        <f>39885*0.5</f>
        <v>19942.5</v>
      </c>
      <c r="R100" s="377">
        <f>R99</f>
        <v>45316</v>
      </c>
      <c r="S100" s="379"/>
      <c r="T100" s="377" t="s">
        <v>333</v>
      </c>
      <c r="U100" s="377">
        <v>45260</v>
      </c>
      <c r="V100" s="911"/>
      <c r="Y100" s="568"/>
      <c r="Z100" s="569"/>
    </row>
    <row r="101" spans="1:41" ht="14.25" customHeight="1">
      <c r="B101" s="371"/>
      <c r="C101" s="372"/>
      <c r="D101" s="373"/>
      <c r="E101" s="374"/>
      <c r="F101" s="375"/>
      <c r="G101" s="376"/>
      <c r="H101" s="377"/>
      <c r="I101" s="319"/>
      <c r="J101" s="911"/>
      <c r="K101" s="320"/>
      <c r="L101" s="371"/>
      <c r="M101" s="372"/>
      <c r="N101" s="373" t="s">
        <v>335</v>
      </c>
      <c r="O101" s="374"/>
      <c r="P101" s="375"/>
      <c r="Q101" s="376">
        <v>10780</v>
      </c>
      <c r="R101" s="377">
        <v>45282</v>
      </c>
      <c r="S101" s="379"/>
      <c r="T101" s="378"/>
      <c r="U101" s="377">
        <v>45260</v>
      </c>
      <c r="V101" s="911"/>
      <c r="Y101" s="568"/>
      <c r="Z101" s="569"/>
    </row>
    <row r="102" spans="1:41" ht="14.25" customHeight="1">
      <c r="B102" s="371"/>
      <c r="C102" s="372"/>
      <c r="D102" s="373"/>
      <c r="E102" s="374"/>
      <c r="F102" s="375"/>
      <c r="G102" s="376"/>
      <c r="H102" s="377"/>
      <c r="I102" s="319"/>
      <c r="J102" s="911"/>
      <c r="K102" s="320"/>
      <c r="L102" s="371"/>
      <c r="M102" s="372"/>
      <c r="N102" s="373" t="s">
        <v>336</v>
      </c>
      <c r="O102" s="374"/>
      <c r="P102" s="375"/>
      <c r="Q102" s="376">
        <v>76795</v>
      </c>
      <c r="R102" s="377">
        <v>45474</v>
      </c>
      <c r="S102" s="379"/>
      <c r="T102" s="378"/>
      <c r="U102" s="377">
        <v>45443</v>
      </c>
      <c r="V102" s="911"/>
      <c r="Y102" s="568"/>
      <c r="Z102" s="569"/>
    </row>
    <row r="103" spans="1:41" ht="14.25" customHeight="1">
      <c r="B103" s="371"/>
      <c r="C103" s="372"/>
      <c r="D103" s="373"/>
      <c r="E103" s="374"/>
      <c r="F103" s="375"/>
      <c r="G103" s="376"/>
      <c r="H103" s="377"/>
      <c r="I103" s="319"/>
      <c r="J103" s="911"/>
      <c r="K103" s="320"/>
      <c r="L103" s="371"/>
      <c r="M103" s="372"/>
      <c r="N103" s="373" t="s">
        <v>337</v>
      </c>
      <c r="O103" s="374"/>
      <c r="P103" s="375"/>
      <c r="Q103" s="583">
        <v>0</v>
      </c>
      <c r="R103" s="378"/>
      <c r="S103" s="379"/>
      <c r="T103" s="378"/>
      <c r="U103" s="378"/>
      <c r="V103" s="911"/>
      <c r="Y103" s="568"/>
      <c r="Z103" s="569"/>
    </row>
    <row r="104" spans="1:41" ht="15" customHeight="1" thickBot="1">
      <c r="B104" s="322">
        <v>7</v>
      </c>
      <c r="C104" s="323"/>
      <c r="D104" s="324"/>
      <c r="E104" s="325"/>
      <c r="F104" s="326"/>
      <c r="G104" s="327"/>
      <c r="H104" s="328"/>
      <c r="I104" s="329"/>
      <c r="J104" s="912"/>
      <c r="K104" s="330"/>
      <c r="L104" s="322">
        <f t="shared" si="0"/>
        <v>7</v>
      </c>
      <c r="M104" s="323" t="s">
        <v>311</v>
      </c>
      <c r="N104" s="664" t="s">
        <v>338</v>
      </c>
      <c r="O104" s="665"/>
      <c r="P104" s="666"/>
      <c r="Q104" s="696">
        <v>0</v>
      </c>
      <c r="R104" s="328"/>
      <c r="S104" s="381"/>
      <c r="T104" s="380"/>
      <c r="U104" s="328"/>
      <c r="V104" s="912"/>
      <c r="W104" s="579" t="s">
        <v>339</v>
      </c>
      <c r="Y104" s="568" t="s">
        <v>322</v>
      </c>
      <c r="Z104" s="570">
        <v>0</v>
      </c>
    </row>
    <row r="105" spans="1:41" ht="22.5" customHeight="1" thickBot="1">
      <c r="A105" s="91"/>
      <c r="B105" s="628" t="s">
        <v>340</v>
      </c>
      <c r="C105" s="629"/>
      <c r="D105" s="629"/>
      <c r="E105" s="629"/>
      <c r="F105" s="629"/>
      <c r="G105" s="629"/>
      <c r="H105" s="629"/>
      <c r="I105" s="629"/>
      <c r="J105" s="629"/>
      <c r="K105" s="629"/>
      <c r="L105" s="630"/>
      <c r="M105" s="630"/>
      <c r="N105" s="630"/>
      <c r="O105" s="630"/>
      <c r="P105" s="630"/>
      <c r="Q105" s="630"/>
      <c r="R105" s="630"/>
      <c r="S105" s="630"/>
      <c r="T105" s="630"/>
      <c r="U105" s="630"/>
      <c r="V105" s="631"/>
      <c r="W105" s="606"/>
      <c r="X105" s="91"/>
      <c r="Y105" s="568" t="s">
        <v>100</v>
      </c>
      <c r="Z105" s="569">
        <f>SUM(Z76:Z104)</f>
        <v>2706828.9580000006</v>
      </c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</row>
    <row r="106" spans="1:41" ht="14.25" customHeight="1">
      <c r="B106" s="179">
        <v>8</v>
      </c>
      <c r="C106" s="180" t="s">
        <v>341</v>
      </c>
      <c r="D106" s="181" t="s">
        <v>342</v>
      </c>
      <c r="E106" s="182"/>
      <c r="F106" s="183">
        <v>0.3</v>
      </c>
      <c r="G106" s="184">
        <f>($C$107+$C$109)*F106</f>
        <v>498441.60000000003</v>
      </c>
      <c r="H106" s="185">
        <f>H76</f>
        <v>45093</v>
      </c>
      <c r="I106" s="268"/>
      <c r="J106" s="907">
        <f>SUM(G106:G114)</f>
        <v>1661472</v>
      </c>
      <c r="K106" s="269"/>
      <c r="L106" s="179">
        <f t="shared" si="0"/>
        <v>8</v>
      </c>
      <c r="M106" s="180" t="s">
        <v>341</v>
      </c>
      <c r="N106" s="181" t="s">
        <v>342</v>
      </c>
      <c r="O106" s="656">
        <f>Z114</f>
        <v>360000</v>
      </c>
      <c r="P106" s="562">
        <v>0.2</v>
      </c>
      <c r="Q106" s="671">
        <f>+($O$106+$O$107)*P106</f>
        <v>275600</v>
      </c>
      <c r="R106" s="678">
        <v>45092</v>
      </c>
      <c r="S106" s="268"/>
      <c r="T106" s="186"/>
      <c r="U106" s="185">
        <v>45107</v>
      </c>
      <c r="V106" s="907">
        <f>SUM(Q106:Q114)</f>
        <v>1378000</v>
      </c>
      <c r="Y106" s="568" t="s">
        <v>343</v>
      </c>
      <c r="Z106" s="571">
        <f>+Z105*0.85</f>
        <v>2300804.6143000005</v>
      </c>
    </row>
    <row r="107" spans="1:41" ht="15" customHeight="1">
      <c r="B107" s="187">
        <v>8</v>
      </c>
      <c r="C107" s="536">
        <v>437482.5</v>
      </c>
      <c r="D107" s="189" t="s">
        <v>344</v>
      </c>
      <c r="E107" s="190"/>
      <c r="F107" s="191">
        <v>0.15</v>
      </c>
      <c r="G107" s="192">
        <f>($C$107+$C$109)*F107</f>
        <v>249220.80000000002</v>
      </c>
      <c r="H107" s="193">
        <f>'Project Plan'!G26</f>
        <v>45203</v>
      </c>
      <c r="I107" s="271"/>
      <c r="J107" s="908"/>
      <c r="K107" s="272"/>
      <c r="L107" s="187">
        <f t="shared" si="0"/>
        <v>8</v>
      </c>
      <c r="M107" s="188" t="s">
        <v>341</v>
      </c>
      <c r="N107" s="189" t="s">
        <v>345</v>
      </c>
      <c r="O107" s="657">
        <f>Z115</f>
        <v>1018000</v>
      </c>
      <c r="P107" s="563">
        <v>0.15</v>
      </c>
      <c r="Q107" s="672">
        <v>168222</v>
      </c>
      <c r="R107" s="689">
        <v>45169</v>
      </c>
      <c r="S107" s="565"/>
      <c r="T107" s="195"/>
      <c r="U107" s="193">
        <v>45169</v>
      </c>
      <c r="V107" s="908"/>
      <c r="Y107" s="572" t="s">
        <v>346</v>
      </c>
      <c r="Z107" s="570">
        <f>+Z106/'Project Plan'!E3/1000</f>
        <v>1.3147980858091468</v>
      </c>
    </row>
    <row r="108" spans="1:41" ht="15" customHeight="1">
      <c r="B108" s="187"/>
      <c r="C108" s="536"/>
      <c r="D108" s="189"/>
      <c r="E108" s="190"/>
      <c r="F108" s="191"/>
      <c r="G108" s="192"/>
      <c r="H108" s="193"/>
      <c r="I108" s="271"/>
      <c r="J108" s="908"/>
      <c r="K108" s="272"/>
      <c r="L108" s="187">
        <f t="shared" ref="L108" si="4">B108</f>
        <v>0</v>
      </c>
      <c r="M108" s="188" t="s">
        <v>341</v>
      </c>
      <c r="N108" s="189" t="s">
        <v>345</v>
      </c>
      <c r="O108" s="657"/>
      <c r="P108" s="563">
        <v>0.15</v>
      </c>
      <c r="Q108" s="672">
        <f>206700-Q107</f>
        <v>38478</v>
      </c>
      <c r="R108" s="689">
        <v>45148</v>
      </c>
      <c r="S108" s="565"/>
      <c r="T108" s="195"/>
      <c r="U108" s="193">
        <v>45169</v>
      </c>
      <c r="V108" s="908"/>
      <c r="Y108" s="684"/>
      <c r="Z108" s="685"/>
    </row>
    <row r="109" spans="1:41" ht="15" customHeight="1">
      <c r="B109" s="187">
        <v>8</v>
      </c>
      <c r="C109" s="537">
        <v>1223989.5000000002</v>
      </c>
      <c r="D109" s="189" t="s">
        <v>347</v>
      </c>
      <c r="E109" s="190"/>
      <c r="F109" s="191">
        <v>0.15</v>
      </c>
      <c r="G109" s="192">
        <f>($C$107+$C$109)*F109</f>
        <v>249220.80000000002</v>
      </c>
      <c r="H109" s="193">
        <f>'Project Plan'!G40</f>
        <v>45267</v>
      </c>
      <c r="I109" s="271"/>
      <c r="J109" s="908"/>
      <c r="K109" s="272"/>
      <c r="L109" s="187">
        <f t="shared" si="0"/>
        <v>8</v>
      </c>
      <c r="M109" s="188" t="s">
        <v>341</v>
      </c>
      <c r="N109" s="189" t="s">
        <v>348</v>
      </c>
      <c r="O109" s="190"/>
      <c r="P109" s="563">
        <v>0.15</v>
      </c>
      <c r="Q109" s="672">
        <f>+($O$106+$O$107)*P109</f>
        <v>206700</v>
      </c>
      <c r="R109" s="689">
        <v>45247</v>
      </c>
      <c r="S109" s="565"/>
      <c r="T109" s="197"/>
      <c r="U109" s="193">
        <v>45260</v>
      </c>
      <c r="V109" s="908"/>
      <c r="W109" s="626"/>
    </row>
    <row r="110" spans="1:41" ht="15" customHeight="1">
      <c r="B110" s="187">
        <v>8</v>
      </c>
      <c r="C110" s="196">
        <v>0</v>
      </c>
      <c r="D110" s="189" t="s">
        <v>167</v>
      </c>
      <c r="E110" s="190"/>
      <c r="F110" s="191">
        <v>0.3</v>
      </c>
      <c r="G110" s="192">
        <f>($C$107+$C$109)*F110</f>
        <v>498441.60000000003</v>
      </c>
      <c r="H110" s="193">
        <f>'Project Plan'!G50</f>
        <v>45307</v>
      </c>
      <c r="I110" s="271"/>
      <c r="J110" s="908"/>
      <c r="K110" s="272"/>
      <c r="L110" s="187">
        <f t="shared" si="0"/>
        <v>8</v>
      </c>
      <c r="M110" s="188" t="s">
        <v>341</v>
      </c>
      <c r="N110" s="189" t="s">
        <v>349</v>
      </c>
      <c r="O110" s="190"/>
      <c r="P110" s="563">
        <v>0.15</v>
      </c>
      <c r="Q110" s="703">
        <v>195861.42</v>
      </c>
      <c r="R110" s="689">
        <v>45267</v>
      </c>
      <c r="S110" s="271"/>
      <c r="T110" s="198"/>
      <c r="U110" s="704">
        <v>45291</v>
      </c>
      <c r="V110" s="908"/>
      <c r="Y110" s="573" t="s">
        <v>60</v>
      </c>
      <c r="Z110" s="574" t="s">
        <v>350</v>
      </c>
    </row>
    <row r="111" spans="1:41" ht="15" customHeight="1">
      <c r="B111" s="187"/>
      <c r="C111" s="196"/>
      <c r="D111" s="189"/>
      <c r="E111" s="190"/>
      <c r="F111" s="191"/>
      <c r="G111" s="192"/>
      <c r="H111" s="193"/>
      <c r="I111" s="271"/>
      <c r="J111" s="908"/>
      <c r="K111" s="272"/>
      <c r="L111" s="187"/>
      <c r="M111" s="188"/>
      <c r="N111" s="189"/>
      <c r="O111" s="190"/>
      <c r="P111" s="563"/>
      <c r="Q111" s="703">
        <f>206700-Q110</f>
        <v>10838.579999999987</v>
      </c>
      <c r="R111" s="689">
        <v>45338</v>
      </c>
      <c r="S111" s="271"/>
      <c r="T111" s="198"/>
      <c r="U111" s="704">
        <v>45291</v>
      </c>
      <c r="V111" s="908"/>
      <c r="Y111" s="812"/>
      <c r="Z111" s="813"/>
    </row>
    <row r="112" spans="1:41" ht="15" customHeight="1">
      <c r="B112" s="187">
        <v>8</v>
      </c>
      <c r="C112" s="196"/>
      <c r="D112" s="189"/>
      <c r="E112" s="190"/>
      <c r="F112" s="191"/>
      <c r="G112" s="192"/>
      <c r="H112" s="193"/>
      <c r="I112" s="271"/>
      <c r="J112" s="908"/>
      <c r="K112" s="272"/>
      <c r="L112" s="187">
        <f t="shared" si="0"/>
        <v>8</v>
      </c>
      <c r="M112" s="188" t="s">
        <v>341</v>
      </c>
      <c r="N112" s="189" t="s">
        <v>167</v>
      </c>
      <c r="O112" s="190"/>
      <c r="P112" s="563">
        <v>0.2</v>
      </c>
      <c r="Q112" s="672">
        <f>+($O$106+$O$107)*P112</f>
        <v>275600</v>
      </c>
      <c r="R112" s="689">
        <v>45400</v>
      </c>
      <c r="S112" s="271"/>
      <c r="T112" s="198"/>
      <c r="U112" s="193">
        <v>45382</v>
      </c>
      <c r="V112" s="908"/>
      <c r="Y112" s="575" t="s">
        <v>296</v>
      </c>
      <c r="Z112" s="576">
        <v>388553.54</v>
      </c>
    </row>
    <row r="113" spans="1:41" ht="15" customHeight="1">
      <c r="B113" s="187">
        <v>8</v>
      </c>
      <c r="C113" s="196"/>
      <c r="D113" s="189"/>
      <c r="E113" s="190"/>
      <c r="F113" s="191"/>
      <c r="G113" s="192"/>
      <c r="H113" s="193"/>
      <c r="I113" s="271"/>
      <c r="J113" s="908"/>
      <c r="K113" s="272"/>
      <c r="L113" s="187">
        <f t="shared" si="0"/>
        <v>8</v>
      </c>
      <c r="M113" s="188" t="s">
        <v>341</v>
      </c>
      <c r="N113" s="189" t="s">
        <v>351</v>
      </c>
      <c r="O113" s="862">
        <v>206700</v>
      </c>
      <c r="P113" s="563">
        <v>0.15</v>
      </c>
      <c r="Q113" s="672">
        <f>O113*0.8</f>
        <v>165360</v>
      </c>
      <c r="R113" s="689">
        <v>45484</v>
      </c>
      <c r="S113" s="271"/>
      <c r="T113" s="198"/>
      <c r="U113" s="193">
        <v>45473</v>
      </c>
      <c r="V113" s="908"/>
      <c r="Y113" s="575" t="s">
        <v>249</v>
      </c>
      <c r="Z113" s="576">
        <v>420555</v>
      </c>
    </row>
    <row r="114" spans="1:41" ht="15" customHeight="1" thickBot="1">
      <c r="B114" s="251">
        <v>8</v>
      </c>
      <c r="C114" s="252"/>
      <c r="D114" s="253" t="s">
        <v>351</v>
      </c>
      <c r="E114" s="254"/>
      <c r="F114" s="255">
        <v>0.1</v>
      </c>
      <c r="G114" s="256">
        <f>($C$107+$C$109)*F114</f>
        <v>166147.20000000004</v>
      </c>
      <c r="H114" s="210">
        <f>H110+30</f>
        <v>45337</v>
      </c>
      <c r="I114" s="278"/>
      <c r="J114" s="909"/>
      <c r="K114" s="279"/>
      <c r="L114" s="251">
        <f t="shared" si="0"/>
        <v>8</v>
      </c>
      <c r="M114" s="252" t="s">
        <v>341</v>
      </c>
      <c r="N114" s="253"/>
      <c r="O114" s="869"/>
      <c r="P114" s="564"/>
      <c r="Q114" s="867">
        <f>O113*0.2</f>
        <v>41340</v>
      </c>
      <c r="R114" s="870">
        <v>45520</v>
      </c>
      <c r="S114" s="402"/>
      <c r="T114" s="258"/>
      <c r="U114" s="210">
        <v>45473</v>
      </c>
      <c r="V114" s="909"/>
      <c r="Y114" s="575" t="s">
        <v>301</v>
      </c>
      <c r="Z114" s="576">
        <v>360000</v>
      </c>
    </row>
    <row r="115" spans="1:41" ht="14.5" thickBot="1">
      <c r="A115" s="91"/>
      <c r="B115" s="339"/>
      <c r="C115" s="340"/>
      <c r="D115" s="341"/>
      <c r="E115" s="342"/>
      <c r="F115" s="343"/>
      <c r="G115" s="344"/>
      <c r="H115" s="336"/>
      <c r="I115" s="345"/>
      <c r="J115" s="384"/>
      <c r="K115" s="91"/>
      <c r="L115" s="339"/>
      <c r="M115" s="340"/>
      <c r="N115" s="341"/>
      <c r="O115" s="342"/>
      <c r="P115" s="343"/>
      <c r="Q115" s="346"/>
      <c r="R115" s="350"/>
      <c r="S115" s="359"/>
      <c r="T115" s="358"/>
      <c r="U115" s="358"/>
      <c r="V115" s="384"/>
      <c r="W115" s="606"/>
      <c r="X115" s="91"/>
      <c r="Y115" s="575" t="s">
        <v>309</v>
      </c>
      <c r="Z115" s="576">
        <v>1018000</v>
      </c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</row>
    <row r="116" spans="1:41" ht="14.25" customHeight="1" thickBot="1">
      <c r="B116" s="233">
        <v>9</v>
      </c>
      <c r="C116" s="234" t="s">
        <v>352</v>
      </c>
      <c r="D116" s="234" t="s">
        <v>353</v>
      </c>
      <c r="E116" s="235"/>
      <c r="F116" s="245"/>
      <c r="G116" s="403">
        <v>46033.35</v>
      </c>
      <c r="H116" s="238">
        <f>H106</f>
        <v>45093</v>
      </c>
      <c r="I116" s="404"/>
      <c r="J116" s="904">
        <f>SUM(G116:G132)</f>
        <v>289840.03333333333</v>
      </c>
      <c r="K116" s="405"/>
      <c r="L116" s="233">
        <v>9</v>
      </c>
      <c r="M116" s="234" t="s">
        <v>354</v>
      </c>
      <c r="N116" s="234" t="s">
        <v>355</v>
      </c>
      <c r="O116" s="600">
        <v>0.5</v>
      </c>
      <c r="P116" s="245"/>
      <c r="Q116" s="673">
        <f>M117*O116</f>
        <v>50550</v>
      </c>
      <c r="R116" s="238">
        <f>R106</f>
        <v>45092</v>
      </c>
      <c r="S116" s="404"/>
      <c r="T116" s="248"/>
      <c r="U116" s="238">
        <v>45107</v>
      </c>
      <c r="V116" s="904">
        <f>SUM(Q116:Q132)</f>
        <v>143094.85999999996</v>
      </c>
      <c r="Y116" s="575" t="s">
        <v>310</v>
      </c>
      <c r="Z116" s="576">
        <v>0</v>
      </c>
    </row>
    <row r="117" spans="1:41" ht="14.25" customHeight="1" thickBot="1">
      <c r="B117" s="169"/>
      <c r="C117" s="170"/>
      <c r="D117" s="170"/>
      <c r="E117" s="171"/>
      <c r="F117" s="230"/>
      <c r="G117" s="403"/>
      <c r="H117" s="232"/>
      <c r="I117" s="407"/>
      <c r="J117" s="905"/>
      <c r="K117" s="293"/>
      <c r="L117" s="169">
        <v>9</v>
      </c>
      <c r="M117" s="602">
        <f>Z118</f>
        <v>101100</v>
      </c>
      <c r="N117" s="170" t="s">
        <v>356</v>
      </c>
      <c r="O117" s="601">
        <v>0.4</v>
      </c>
      <c r="P117" s="230"/>
      <c r="Q117" s="695">
        <f>M117*O117</f>
        <v>40440</v>
      </c>
      <c r="R117" s="232">
        <v>45281</v>
      </c>
      <c r="S117" s="407"/>
      <c r="T117" s="246"/>
      <c r="U117" s="232">
        <v>45291</v>
      </c>
      <c r="V117" s="905"/>
      <c r="Y117" s="575"/>
      <c r="Z117" s="576"/>
    </row>
    <row r="118" spans="1:41" ht="14.25" customHeight="1">
      <c r="B118" s="169">
        <v>9</v>
      </c>
      <c r="C118" s="170"/>
      <c r="D118" s="170"/>
      <c r="E118" s="171"/>
      <c r="F118" s="230"/>
      <c r="G118" s="403">
        <v>46033.35</v>
      </c>
      <c r="H118" s="162">
        <f>H106</f>
        <v>45093</v>
      </c>
      <c r="I118" s="407"/>
      <c r="J118" s="905"/>
      <c r="K118" s="293"/>
      <c r="L118" s="169">
        <v>9</v>
      </c>
      <c r="M118" s="158"/>
      <c r="N118" s="170" t="s">
        <v>357</v>
      </c>
      <c r="O118" s="601">
        <v>0.1</v>
      </c>
      <c r="P118" s="861">
        <v>10110</v>
      </c>
      <c r="Q118" s="695">
        <f>P118*0.8</f>
        <v>8088</v>
      </c>
      <c r="R118" s="162">
        <v>45519</v>
      </c>
      <c r="S118" s="407"/>
      <c r="T118" s="172"/>
      <c r="U118" s="162">
        <v>45473</v>
      </c>
      <c r="V118" s="905"/>
      <c r="Y118" s="575" t="s">
        <v>358</v>
      </c>
      <c r="Z118" s="576">
        <v>101100</v>
      </c>
    </row>
    <row r="119" spans="1:41" ht="14.25" customHeight="1">
      <c r="B119" s="169">
        <v>9</v>
      </c>
      <c r="C119" s="170"/>
      <c r="D119" s="170" t="s">
        <v>359</v>
      </c>
      <c r="E119" s="171"/>
      <c r="F119" s="230"/>
      <c r="G119" s="408">
        <v>0</v>
      </c>
      <c r="H119" s="232">
        <v>44979</v>
      </c>
      <c r="I119" s="407"/>
      <c r="J119" s="905"/>
      <c r="K119" s="293"/>
      <c r="L119" s="169">
        <v>9</v>
      </c>
      <c r="M119" s="170"/>
      <c r="N119" s="170"/>
      <c r="O119" s="171"/>
      <c r="P119" s="230"/>
      <c r="Q119" s="695">
        <f>P118*0.2</f>
        <v>2022</v>
      </c>
      <c r="R119" s="232">
        <v>45519</v>
      </c>
      <c r="S119" s="407"/>
      <c r="T119" s="246"/>
      <c r="U119" s="162">
        <v>45473</v>
      </c>
      <c r="V119" s="905"/>
      <c r="Y119" s="575" t="s">
        <v>322</v>
      </c>
      <c r="Z119" s="576">
        <v>0</v>
      </c>
    </row>
    <row r="120" spans="1:41" ht="14.25" customHeight="1">
      <c r="B120" s="169"/>
      <c r="C120" s="170"/>
      <c r="D120" s="170"/>
      <c r="E120" s="171"/>
      <c r="F120" s="230"/>
      <c r="G120" s="408"/>
      <c r="H120" s="232"/>
      <c r="I120" s="407"/>
      <c r="J120" s="905"/>
      <c r="K120" s="293"/>
      <c r="L120" s="169">
        <v>9</v>
      </c>
      <c r="M120" s="170"/>
      <c r="N120" s="170" t="s">
        <v>360</v>
      </c>
      <c r="O120" s="171"/>
      <c r="P120" s="230"/>
      <c r="Q120" s="695">
        <v>4300</v>
      </c>
      <c r="R120" s="232">
        <v>45225</v>
      </c>
      <c r="S120" s="407"/>
      <c r="T120" s="246"/>
      <c r="U120" s="232">
        <v>45230</v>
      </c>
      <c r="V120" s="905"/>
      <c r="W120" s="627" t="s">
        <v>361</v>
      </c>
      <c r="Y120" s="575"/>
      <c r="Z120" s="576"/>
    </row>
    <row r="121" spans="1:41" ht="14.25" customHeight="1">
      <c r="B121" s="169"/>
      <c r="C121" s="170"/>
      <c r="D121" s="170"/>
      <c r="E121" s="171"/>
      <c r="F121" s="230"/>
      <c r="G121" s="408"/>
      <c r="H121" s="232"/>
      <c r="I121" s="407"/>
      <c r="J121" s="905"/>
      <c r="K121" s="293"/>
      <c r="L121" s="169">
        <v>9</v>
      </c>
      <c r="M121" s="170"/>
      <c r="N121" s="170" t="s">
        <v>362</v>
      </c>
      <c r="O121" s="171"/>
      <c r="P121" s="230"/>
      <c r="Q121" s="695">
        <v>33700</v>
      </c>
      <c r="R121" s="232">
        <v>45386</v>
      </c>
      <c r="S121" s="407"/>
      <c r="T121" s="246"/>
      <c r="U121" s="232">
        <v>45382</v>
      </c>
      <c r="V121" s="905"/>
      <c r="Y121" s="575"/>
      <c r="Z121" s="576"/>
    </row>
    <row r="122" spans="1:41" ht="14.25" customHeight="1">
      <c r="B122" s="169">
        <v>9</v>
      </c>
      <c r="C122" s="158"/>
      <c r="D122" s="158" t="s">
        <v>310</v>
      </c>
      <c r="E122" s="159"/>
      <c r="F122" s="173"/>
      <c r="G122" s="406">
        <v>8500</v>
      </c>
      <c r="H122" s="162">
        <v>44994</v>
      </c>
      <c r="I122" s="407"/>
      <c r="J122" s="905"/>
      <c r="K122" s="293"/>
      <c r="L122" s="157">
        <v>9</v>
      </c>
      <c r="M122" s="158"/>
      <c r="N122" s="158"/>
      <c r="O122" s="159"/>
      <c r="P122" s="173"/>
      <c r="Q122" s="587"/>
      <c r="R122" s="172"/>
      <c r="S122" s="409"/>
      <c r="T122" s="172"/>
      <c r="U122" s="246"/>
      <c r="V122" s="905"/>
      <c r="Y122" s="575" t="s">
        <v>322</v>
      </c>
      <c r="Z122" s="576">
        <v>0</v>
      </c>
    </row>
    <row r="123" spans="1:41" ht="14.25" customHeight="1" thickBot="1">
      <c r="B123" s="169"/>
      <c r="C123" s="158"/>
      <c r="D123" s="158"/>
      <c r="E123" s="159"/>
      <c r="F123" s="173"/>
      <c r="G123" s="406"/>
      <c r="H123" s="162"/>
      <c r="I123" s="407"/>
      <c r="J123" s="905"/>
      <c r="K123" s="293"/>
      <c r="L123" s="174"/>
      <c r="M123" s="243"/>
      <c r="N123" s="243"/>
      <c r="O123" s="410"/>
      <c r="P123" s="247"/>
      <c r="Q123" s="588"/>
      <c r="R123" s="178"/>
      <c r="S123" s="409"/>
      <c r="T123" s="172"/>
      <c r="U123" s="172"/>
      <c r="V123" s="905"/>
      <c r="Y123" s="575"/>
      <c r="Z123" s="576"/>
    </row>
    <row r="124" spans="1:41" ht="14.25" customHeight="1">
      <c r="B124" s="169">
        <v>9</v>
      </c>
      <c r="C124" s="158"/>
      <c r="D124" s="158" t="s">
        <v>363</v>
      </c>
      <c r="E124" s="159"/>
      <c r="F124" s="173"/>
      <c r="G124" s="406">
        <v>139200</v>
      </c>
      <c r="H124" s="162">
        <v>44994</v>
      </c>
      <c r="I124" s="407"/>
      <c r="J124" s="905"/>
      <c r="K124" s="293"/>
      <c r="L124" s="169">
        <v>9</v>
      </c>
      <c r="M124" s="170" t="s">
        <v>364</v>
      </c>
      <c r="N124" s="170" t="s">
        <v>363</v>
      </c>
      <c r="O124" s="171"/>
      <c r="P124" s="230"/>
      <c r="Q124" s="695">
        <v>0</v>
      </c>
      <c r="R124" s="246"/>
      <c r="S124" s="409"/>
      <c r="T124" s="172"/>
      <c r="U124" s="246"/>
      <c r="V124" s="905"/>
      <c r="Y124" s="575" t="s">
        <v>322</v>
      </c>
      <c r="Z124" s="576">
        <v>0</v>
      </c>
    </row>
    <row r="125" spans="1:41" ht="14.25" customHeight="1">
      <c r="B125" s="169">
        <v>9</v>
      </c>
      <c r="C125" s="158"/>
      <c r="D125" s="158"/>
      <c r="E125" s="159"/>
      <c r="F125" s="173"/>
      <c r="G125" s="406"/>
      <c r="H125" s="162"/>
      <c r="I125" s="407"/>
      <c r="J125" s="905"/>
      <c r="K125" s="293"/>
      <c r="L125" s="157">
        <v>9</v>
      </c>
      <c r="M125" s="158"/>
      <c r="N125" s="158" t="s">
        <v>365</v>
      </c>
      <c r="O125" s="159"/>
      <c r="P125" s="173"/>
      <c r="Q125" s="697">
        <v>739.83</v>
      </c>
      <c r="R125" s="162">
        <v>45261</v>
      </c>
      <c r="S125" s="409"/>
      <c r="T125" s="172"/>
      <c r="U125" s="162">
        <v>45291</v>
      </c>
      <c r="V125" s="905"/>
      <c r="Y125" s="575" t="s">
        <v>322</v>
      </c>
      <c r="Z125" s="576">
        <v>0</v>
      </c>
    </row>
    <row r="126" spans="1:41" ht="14.25" customHeight="1">
      <c r="B126" s="169"/>
      <c r="C126" s="170"/>
      <c r="D126" s="170"/>
      <c r="E126" s="171"/>
      <c r="F126" s="230"/>
      <c r="G126" s="408"/>
      <c r="H126" s="232"/>
      <c r="I126" s="407"/>
      <c r="J126" s="905"/>
      <c r="K126" s="293"/>
      <c r="L126" s="169"/>
      <c r="M126" s="170"/>
      <c r="N126" s="170"/>
      <c r="O126" s="171"/>
      <c r="P126" s="230"/>
      <c r="Q126" s="695">
        <v>573.91</v>
      </c>
      <c r="R126" s="162">
        <v>45261</v>
      </c>
      <c r="S126" s="409"/>
      <c r="T126" s="246"/>
      <c r="U126" s="162">
        <v>45260</v>
      </c>
      <c r="V126" s="905"/>
      <c r="Y126" s="575"/>
      <c r="Z126" s="576"/>
    </row>
    <row r="127" spans="1:41" ht="14.25" customHeight="1">
      <c r="B127" s="169"/>
      <c r="C127" s="170"/>
      <c r="D127" s="170"/>
      <c r="E127" s="171"/>
      <c r="F127" s="230"/>
      <c r="G127" s="408"/>
      <c r="H127" s="232"/>
      <c r="I127" s="407"/>
      <c r="J127" s="905"/>
      <c r="K127" s="293"/>
      <c r="L127" s="169"/>
      <c r="M127" s="170"/>
      <c r="N127" s="170"/>
      <c r="O127" s="171"/>
      <c r="P127" s="230"/>
      <c r="Q127" s="695">
        <v>584.11</v>
      </c>
      <c r="R127" s="162">
        <v>45261</v>
      </c>
      <c r="S127" s="409"/>
      <c r="T127" s="246"/>
      <c r="U127" s="162">
        <v>45260</v>
      </c>
      <c r="V127" s="905"/>
      <c r="Y127" s="575"/>
      <c r="Z127" s="576"/>
    </row>
    <row r="128" spans="1:41" ht="14.25" customHeight="1">
      <c r="B128" s="169"/>
      <c r="C128" s="170"/>
      <c r="D128" s="170"/>
      <c r="E128" s="171"/>
      <c r="F128" s="230"/>
      <c r="G128" s="408"/>
      <c r="H128" s="232"/>
      <c r="I128" s="407"/>
      <c r="J128" s="905"/>
      <c r="K128" s="293"/>
      <c r="L128" s="169"/>
      <c r="M128" s="170"/>
      <c r="N128" s="170"/>
      <c r="O128" s="171"/>
      <c r="P128" s="230"/>
      <c r="Q128" s="695">
        <v>585.29999999999995</v>
      </c>
      <c r="R128" s="162">
        <v>45261</v>
      </c>
      <c r="S128" s="409"/>
      <c r="T128" s="246"/>
      <c r="U128" s="162">
        <v>45260</v>
      </c>
      <c r="V128" s="905"/>
      <c r="Y128" s="575"/>
      <c r="Z128" s="576"/>
    </row>
    <row r="129" spans="1:41" ht="14.25" customHeight="1">
      <c r="B129" s="169"/>
      <c r="C129" s="170"/>
      <c r="D129" s="170"/>
      <c r="E129" s="171"/>
      <c r="F129" s="230"/>
      <c r="G129" s="408"/>
      <c r="H129" s="232"/>
      <c r="I129" s="407"/>
      <c r="J129" s="905"/>
      <c r="K129" s="293"/>
      <c r="L129" s="169"/>
      <c r="M129" s="170"/>
      <c r="N129" s="170"/>
      <c r="O129" s="171"/>
      <c r="P129" s="230"/>
      <c r="Q129" s="695">
        <v>470.22</v>
      </c>
      <c r="R129" s="232">
        <v>45334</v>
      </c>
      <c r="S129" s="409"/>
      <c r="T129" s="246"/>
      <c r="U129" s="232">
        <v>45322</v>
      </c>
      <c r="V129" s="905"/>
      <c r="Y129" s="575"/>
      <c r="Z129" s="576"/>
    </row>
    <row r="130" spans="1:41" ht="14.25" customHeight="1">
      <c r="B130" s="169"/>
      <c r="C130" s="170"/>
      <c r="D130" s="170"/>
      <c r="E130" s="171"/>
      <c r="F130" s="230"/>
      <c r="G130" s="408"/>
      <c r="H130" s="232"/>
      <c r="I130" s="407"/>
      <c r="J130" s="905"/>
      <c r="K130" s="293"/>
      <c r="L130" s="169"/>
      <c r="M130" s="170"/>
      <c r="N130" s="170"/>
      <c r="O130" s="171"/>
      <c r="P130" s="230"/>
      <c r="Q130" s="695">
        <v>972.84</v>
      </c>
      <c r="R130" s="232">
        <v>45379</v>
      </c>
      <c r="S130" s="409"/>
      <c r="T130" s="232" t="s">
        <v>366</v>
      </c>
      <c r="U130" s="232">
        <v>45382</v>
      </c>
      <c r="V130" s="905"/>
      <c r="Y130" s="575"/>
      <c r="Z130" s="576"/>
    </row>
    <row r="131" spans="1:41" ht="15" customHeight="1">
      <c r="B131" s="169">
        <v>9</v>
      </c>
      <c r="C131" s="170"/>
      <c r="D131" s="170" t="s">
        <v>367</v>
      </c>
      <c r="E131" s="171"/>
      <c r="F131" s="230"/>
      <c r="G131" s="408">
        <v>50073.333333333328</v>
      </c>
      <c r="H131" s="232">
        <v>44994</v>
      </c>
      <c r="I131" s="407"/>
      <c r="J131" s="905"/>
      <c r="K131" s="293"/>
      <c r="L131" s="169">
        <v>9</v>
      </c>
      <c r="M131" s="170"/>
      <c r="N131" s="170"/>
      <c r="O131" s="171"/>
      <c r="P131" s="230"/>
      <c r="Q131" s="695">
        <v>68.650000000000006</v>
      </c>
      <c r="R131" s="232">
        <v>45407</v>
      </c>
      <c r="S131" s="409"/>
      <c r="T131" s="246"/>
      <c r="U131" s="232">
        <v>45412</v>
      </c>
      <c r="V131" s="905"/>
      <c r="Y131" s="575" t="s">
        <v>322</v>
      </c>
      <c r="Z131" s="576">
        <v>0</v>
      </c>
    </row>
    <row r="132" spans="1:41" ht="15" customHeight="1" thickBot="1">
      <c r="B132" s="169">
        <v>9</v>
      </c>
      <c r="C132" s="243"/>
      <c r="D132" s="243"/>
      <c r="E132" s="410"/>
      <c r="F132" s="247"/>
      <c r="G132" s="411"/>
      <c r="H132" s="176"/>
      <c r="I132" s="412"/>
      <c r="J132" s="906"/>
      <c r="K132" s="295"/>
      <c r="L132" s="174">
        <v>9</v>
      </c>
      <c r="M132" s="243"/>
      <c r="N132" s="243"/>
      <c r="O132" s="410"/>
      <c r="P132" s="247"/>
      <c r="Q132" s="588"/>
      <c r="R132" s="178"/>
      <c r="S132" s="414"/>
      <c r="T132" s="178"/>
      <c r="U132" s="178"/>
      <c r="V132" s="906"/>
      <c r="W132" s="579" t="s">
        <v>368</v>
      </c>
      <c r="Y132" s="575" t="s">
        <v>322</v>
      </c>
      <c r="Z132" s="577">
        <v>0</v>
      </c>
    </row>
    <row r="133" spans="1:41" ht="14.5" thickBot="1">
      <c r="A133" s="91"/>
      <c r="B133" s="331"/>
      <c r="C133" s="332"/>
      <c r="D133" s="332"/>
      <c r="E133" s="347"/>
      <c r="F133" s="335"/>
      <c r="G133" s="332"/>
      <c r="H133" s="336"/>
      <c r="I133" s="345"/>
      <c r="J133" s="384"/>
      <c r="K133" s="91"/>
      <c r="L133" s="331"/>
      <c r="M133" s="332"/>
      <c r="N133" s="332"/>
      <c r="O133" s="347"/>
      <c r="P133" s="335"/>
      <c r="Q133" s="337"/>
      <c r="R133" s="350"/>
      <c r="S133" s="359"/>
      <c r="T133" s="350"/>
      <c r="U133" s="350"/>
      <c r="V133" s="384"/>
      <c r="W133" s="606"/>
      <c r="X133" s="91"/>
      <c r="Y133" s="575" t="s">
        <v>100</v>
      </c>
      <c r="Z133" s="576">
        <f>SUM(Z112:Z132)</f>
        <v>2288208.54</v>
      </c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</row>
    <row r="134" spans="1:41" ht="14.25" customHeight="1">
      <c r="B134" s="179">
        <v>10</v>
      </c>
      <c r="C134" s="261" t="s">
        <v>369</v>
      </c>
      <c r="D134" s="261" t="s">
        <v>370</v>
      </c>
      <c r="E134" s="262"/>
      <c r="F134" s="263"/>
      <c r="G134" s="264">
        <v>52497.9</v>
      </c>
      <c r="H134" s="185">
        <f>'Project Plan'!E20-5</f>
        <v>45091</v>
      </c>
      <c r="I134" s="426"/>
      <c r="J134" s="907">
        <f>SUM(G134:G140)</f>
        <v>78746.850000000006</v>
      </c>
      <c r="K134" s="269"/>
      <c r="L134" s="179">
        <f t="shared" si="0"/>
        <v>10</v>
      </c>
      <c r="M134" s="261" t="s">
        <v>369</v>
      </c>
      <c r="N134" s="261" t="s">
        <v>370</v>
      </c>
      <c r="O134" s="262"/>
      <c r="P134" s="263"/>
      <c r="Q134" s="264">
        <v>11750</v>
      </c>
      <c r="R134" s="185">
        <v>44994</v>
      </c>
      <c r="S134" s="435"/>
      <c r="T134" s="186"/>
      <c r="U134" s="185">
        <v>45077</v>
      </c>
      <c r="V134" s="907">
        <f>SUM(Q134:Q140)</f>
        <v>54897.75</v>
      </c>
      <c r="W134" s="627"/>
      <c r="Y134" s="578" t="s">
        <v>346</v>
      </c>
      <c r="Z134" s="577">
        <f>+Z133/'Project Plan'!E3/1000</f>
        <v>1.307600041144503</v>
      </c>
    </row>
    <row r="135" spans="1:41" ht="15" customHeight="1">
      <c r="B135" s="187">
        <f>B134</f>
        <v>10</v>
      </c>
      <c r="C135" s="199"/>
      <c r="D135" s="199" t="s">
        <v>371</v>
      </c>
      <c r="E135" s="200"/>
      <c r="F135" s="201"/>
      <c r="G135" s="202">
        <v>26248.95</v>
      </c>
      <c r="H135" s="193">
        <v>44994</v>
      </c>
      <c r="I135" s="428"/>
      <c r="J135" s="908"/>
      <c r="K135" s="272"/>
      <c r="L135" s="187">
        <f t="shared" si="0"/>
        <v>10</v>
      </c>
      <c r="M135" s="199" t="s">
        <v>369</v>
      </c>
      <c r="N135" s="199" t="s">
        <v>371</v>
      </c>
      <c r="O135" s="200"/>
      <c r="P135" s="201"/>
      <c r="Q135" s="202">
        <f>15750+500</f>
        <v>16250</v>
      </c>
      <c r="R135" s="193">
        <v>45386</v>
      </c>
      <c r="S135" s="436"/>
      <c r="T135" s="198"/>
      <c r="U135" s="193">
        <v>45412</v>
      </c>
      <c r="V135" s="908"/>
      <c r="W135" s="579" t="s">
        <v>372</v>
      </c>
    </row>
    <row r="136" spans="1:41" ht="15" customHeight="1">
      <c r="B136" s="187">
        <f t="shared" ref="B136" si="5">B135</f>
        <v>10</v>
      </c>
      <c r="C136" s="199"/>
      <c r="D136" s="199"/>
      <c r="E136" s="200"/>
      <c r="F136" s="201"/>
      <c r="G136" s="202"/>
      <c r="H136" s="193">
        <f>+'Project Plan'!G45+30</f>
        <v>45311</v>
      </c>
      <c r="I136" s="428"/>
      <c r="J136" s="908"/>
      <c r="K136" s="272"/>
      <c r="L136" s="187">
        <f t="shared" si="0"/>
        <v>10</v>
      </c>
      <c r="M136" s="199"/>
      <c r="N136" s="199" t="s">
        <v>373</v>
      </c>
      <c r="O136" s="200"/>
      <c r="P136" s="201"/>
      <c r="Q136" s="202">
        <v>16276</v>
      </c>
      <c r="R136" s="193">
        <v>45229</v>
      </c>
      <c r="S136" s="436"/>
      <c r="T136" s="195"/>
      <c r="U136" s="193">
        <v>45077</v>
      </c>
      <c r="V136" s="908"/>
    </row>
    <row r="137" spans="1:41" ht="15" customHeight="1">
      <c r="B137" s="187"/>
      <c r="C137" s="199"/>
      <c r="D137" s="199"/>
      <c r="E137" s="200"/>
      <c r="F137" s="201"/>
      <c r="G137" s="202"/>
      <c r="H137" s="193"/>
      <c r="I137" s="428"/>
      <c r="J137" s="908"/>
      <c r="K137" s="272"/>
      <c r="L137" s="187"/>
      <c r="M137" s="199"/>
      <c r="N137" s="199"/>
      <c r="O137" s="200"/>
      <c r="P137" s="201"/>
      <c r="Q137" s="202"/>
      <c r="R137" s="193"/>
      <c r="S137" s="436"/>
      <c r="T137" s="195"/>
      <c r="U137" s="193"/>
      <c r="V137" s="908"/>
    </row>
    <row r="138" spans="1:41" ht="14.25" customHeight="1">
      <c r="B138" s="187">
        <f>B136</f>
        <v>10</v>
      </c>
      <c r="C138" s="199"/>
      <c r="D138" s="199"/>
      <c r="E138" s="200"/>
      <c r="F138" s="201"/>
      <c r="G138" s="202"/>
      <c r="H138" s="193"/>
      <c r="I138" s="428"/>
      <c r="J138" s="908"/>
      <c r="K138" s="272"/>
      <c r="L138" s="187">
        <f t="shared" si="0"/>
        <v>10</v>
      </c>
      <c r="M138" s="199"/>
      <c r="N138" s="199" t="s">
        <v>374</v>
      </c>
      <c r="O138" s="200"/>
      <c r="P138" s="201"/>
      <c r="Q138" s="705">
        <v>621.75</v>
      </c>
      <c r="R138" s="193">
        <v>45260</v>
      </c>
      <c r="S138" s="436"/>
      <c r="T138" s="195"/>
      <c r="U138" s="193">
        <v>45260</v>
      </c>
      <c r="V138" s="908"/>
    </row>
    <row r="139" spans="1:41" ht="14.25" customHeight="1">
      <c r="B139" s="187"/>
      <c r="C139" s="706"/>
      <c r="D139" s="706"/>
      <c r="E139" s="707"/>
      <c r="F139" s="708"/>
      <c r="G139" s="709"/>
      <c r="H139" s="652"/>
      <c r="I139" s="428"/>
      <c r="J139" s="908"/>
      <c r="K139" s="272"/>
      <c r="L139" s="658"/>
      <c r="M139" s="706"/>
      <c r="N139" s="706"/>
      <c r="O139" s="707"/>
      <c r="P139" s="708"/>
      <c r="Q139" s="790">
        <v>10000</v>
      </c>
      <c r="R139" s="652">
        <v>45412</v>
      </c>
      <c r="S139" s="436"/>
      <c r="T139" s="655"/>
      <c r="U139" s="652">
        <v>45412</v>
      </c>
      <c r="V139" s="908"/>
    </row>
    <row r="140" spans="1:41" ht="15" customHeight="1" thickBot="1">
      <c r="B140" s="187">
        <f>B138</f>
        <v>10</v>
      </c>
      <c r="C140" s="207"/>
      <c r="D140" s="207"/>
      <c r="E140" s="208"/>
      <c r="F140" s="209"/>
      <c r="G140" s="265"/>
      <c r="H140" s="210"/>
      <c r="I140" s="430"/>
      <c r="J140" s="909"/>
      <c r="K140" s="279"/>
      <c r="L140" s="251">
        <f t="shared" si="0"/>
        <v>10</v>
      </c>
      <c r="M140" s="207"/>
      <c r="N140" s="207" t="s">
        <v>375</v>
      </c>
      <c r="O140" s="208"/>
      <c r="P140" s="209"/>
      <c r="Q140" s="211"/>
      <c r="R140" s="266"/>
      <c r="S140" s="402"/>
      <c r="T140" s="266"/>
      <c r="U140" s="266"/>
      <c r="V140" s="909"/>
      <c r="W140" s="579" t="s">
        <v>376</v>
      </c>
    </row>
    <row r="141" spans="1:41" ht="14.5" thickBot="1">
      <c r="A141" s="91"/>
      <c r="B141" s="339"/>
      <c r="C141" s="360"/>
      <c r="D141" s="360"/>
      <c r="E141" s="361"/>
      <c r="F141" s="354"/>
      <c r="G141" s="362"/>
      <c r="H141" s="336"/>
      <c r="I141" s="355"/>
      <c r="J141" s="384"/>
      <c r="K141" s="91"/>
      <c r="L141" s="339"/>
      <c r="M141" s="360"/>
      <c r="N141" s="360"/>
      <c r="O141" s="361"/>
      <c r="P141" s="354"/>
      <c r="Q141" s="363"/>
      <c r="R141" s="350"/>
      <c r="S141" s="359"/>
      <c r="T141" s="350"/>
      <c r="U141" s="350"/>
      <c r="V141" s="384"/>
      <c r="W141" s="606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</row>
    <row r="142" spans="1:41" ht="14.5" thickBot="1">
      <c r="B142" s="415">
        <v>11</v>
      </c>
      <c r="C142" s="416" t="s">
        <v>377</v>
      </c>
      <c r="D142" s="416"/>
      <c r="E142" s="417"/>
      <c r="F142" s="418"/>
      <c r="G142" s="419">
        <v>0</v>
      </c>
      <c r="H142" s="420">
        <f>+'Project Plan'!G45+30</f>
        <v>45311</v>
      </c>
      <c r="I142" s="421"/>
      <c r="J142" s="422">
        <f>G142</f>
        <v>0</v>
      </c>
      <c r="K142" s="423"/>
      <c r="L142" s="415">
        <f t="shared" si="0"/>
        <v>11</v>
      </c>
      <c r="M142" s="416" t="s">
        <v>377</v>
      </c>
      <c r="N142" s="416"/>
      <c r="O142" s="417"/>
      <c r="P142" s="418"/>
      <c r="Q142" s="584"/>
      <c r="R142" s="424"/>
      <c r="S142" s="425"/>
      <c r="T142" s="424"/>
      <c r="U142" s="424"/>
      <c r="V142" s="422">
        <f>Q142</f>
        <v>0</v>
      </c>
      <c r="Y142" s="585" t="s">
        <v>378</v>
      </c>
      <c r="Z142" s="585" t="s">
        <v>379</v>
      </c>
      <c r="AA142" s="585"/>
    </row>
    <row r="143" spans="1:41" ht="14.5" thickBot="1">
      <c r="A143" s="91"/>
      <c r="B143" s="339"/>
      <c r="C143" s="360"/>
      <c r="D143" s="360"/>
      <c r="E143" s="361"/>
      <c r="F143" s="343"/>
      <c r="G143" s="362"/>
      <c r="H143" s="336"/>
      <c r="I143" s="355"/>
      <c r="J143" s="385"/>
      <c r="K143" s="91"/>
      <c r="L143" s="339"/>
      <c r="M143" s="360"/>
      <c r="N143" s="360"/>
      <c r="O143" s="361"/>
      <c r="P143" s="343"/>
      <c r="Q143" s="363"/>
      <c r="R143" s="350"/>
      <c r="S143" s="359"/>
      <c r="T143" s="350"/>
      <c r="U143" s="350"/>
      <c r="V143" s="385"/>
      <c r="W143" s="606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</row>
    <row r="144" spans="1:41" ht="14.5" thickBot="1">
      <c r="B144" s="296">
        <v>12</v>
      </c>
      <c r="C144" s="297" t="s">
        <v>380</v>
      </c>
      <c r="D144" s="297" t="s">
        <v>381</v>
      </c>
      <c r="E144" s="298"/>
      <c r="F144" s="301"/>
      <c r="G144" s="299">
        <v>661555.24</v>
      </c>
      <c r="H144" s="300">
        <v>44994</v>
      </c>
      <c r="I144" s="432"/>
      <c r="J144" s="433">
        <f>G144</f>
        <v>661555.24</v>
      </c>
      <c r="K144" s="434"/>
      <c r="L144" s="296">
        <f t="shared" si="0"/>
        <v>12</v>
      </c>
      <c r="M144" s="297" t="s">
        <v>380</v>
      </c>
      <c r="N144" s="297" t="s">
        <v>381</v>
      </c>
      <c r="O144" s="298"/>
      <c r="P144" s="301"/>
      <c r="Q144" s="677">
        <v>3786.92</v>
      </c>
      <c r="R144" s="300">
        <v>45071</v>
      </c>
      <c r="S144" s="432"/>
      <c r="T144" s="300"/>
      <c r="U144" s="300">
        <v>45077</v>
      </c>
      <c r="V144" s="433">
        <f>SUM(Q144:Q153)</f>
        <v>133516.32384863548</v>
      </c>
      <c r="W144" s="626"/>
      <c r="Y144" s="585" t="s">
        <v>382</v>
      </c>
      <c r="Z144" s="585" t="s">
        <v>383</v>
      </c>
      <c r="AA144" s="585"/>
    </row>
    <row r="145" spans="1:41" ht="14.5" thickBot="1">
      <c r="B145" s="607"/>
      <c r="C145" s="608"/>
      <c r="D145" s="608"/>
      <c r="E145" s="609"/>
      <c r="F145" s="610"/>
      <c r="G145" s="611"/>
      <c r="H145" s="612"/>
      <c r="I145" s="428"/>
      <c r="J145" s="613"/>
      <c r="K145" s="272"/>
      <c r="L145" s="296"/>
      <c r="M145" s="297"/>
      <c r="N145" s="297"/>
      <c r="O145" s="298"/>
      <c r="P145" s="301"/>
      <c r="Q145" s="677">
        <v>3769.9</v>
      </c>
      <c r="R145" s="300">
        <v>45102</v>
      </c>
      <c r="S145" s="428"/>
      <c r="T145" s="612"/>
      <c r="U145" s="612">
        <v>45107</v>
      </c>
      <c r="V145" s="613"/>
      <c r="W145" s="626"/>
      <c r="Y145" s="585"/>
      <c r="Z145" s="585"/>
      <c r="AA145" s="585"/>
    </row>
    <row r="146" spans="1:41" ht="14.5" thickBot="1">
      <c r="B146" s="607"/>
      <c r="C146" s="608"/>
      <c r="D146" s="608"/>
      <c r="E146" s="609"/>
      <c r="F146" s="610"/>
      <c r="G146" s="611"/>
      <c r="H146" s="612"/>
      <c r="I146" s="428"/>
      <c r="J146" s="613"/>
      <c r="K146" s="272"/>
      <c r="L146" s="296"/>
      <c r="M146" s="297"/>
      <c r="N146" s="297"/>
      <c r="O146" s="298"/>
      <c r="P146" s="301"/>
      <c r="Q146" s="677">
        <v>5504.7800000000007</v>
      </c>
      <c r="R146" s="300">
        <v>45132</v>
      </c>
      <c r="S146" s="436"/>
      <c r="T146" s="614"/>
      <c r="U146" s="612">
        <v>45138</v>
      </c>
      <c r="V146" s="613"/>
      <c r="W146" s="626"/>
      <c r="Y146" s="585"/>
      <c r="Z146" s="585"/>
      <c r="AA146" s="585"/>
    </row>
    <row r="147" spans="1:41" ht="14.5" thickBot="1">
      <c r="B147" s="607"/>
      <c r="C147" s="608"/>
      <c r="D147" s="608"/>
      <c r="E147" s="609"/>
      <c r="F147" s="610"/>
      <c r="G147" s="611"/>
      <c r="H147" s="612"/>
      <c r="I147" s="428"/>
      <c r="J147" s="613"/>
      <c r="K147" s="272"/>
      <c r="L147" s="296"/>
      <c r="M147" s="297"/>
      <c r="N147" s="297"/>
      <c r="O147" s="298"/>
      <c r="P147" s="301"/>
      <c r="Q147" s="677">
        <v>5016.82</v>
      </c>
      <c r="R147" s="300">
        <v>45163</v>
      </c>
      <c r="S147" s="436"/>
      <c r="T147" s="614"/>
      <c r="U147" s="612">
        <v>45169</v>
      </c>
      <c r="V147" s="613"/>
      <c r="W147" s="626"/>
      <c r="Y147" s="585"/>
      <c r="Z147" s="585"/>
      <c r="AA147" s="585"/>
    </row>
    <row r="148" spans="1:41" ht="14.5" thickBot="1">
      <c r="B148" s="607"/>
      <c r="C148" s="608"/>
      <c r="D148" s="608"/>
      <c r="E148" s="609"/>
      <c r="F148" s="610"/>
      <c r="G148" s="611"/>
      <c r="H148" s="612"/>
      <c r="I148" s="428"/>
      <c r="J148" s="613"/>
      <c r="K148" s="272"/>
      <c r="L148" s="296"/>
      <c r="M148" s="297"/>
      <c r="N148" s="297"/>
      <c r="O148" s="298"/>
      <c r="P148" s="301"/>
      <c r="Q148" s="677">
        <v>0</v>
      </c>
      <c r="R148" s="300">
        <v>45194</v>
      </c>
      <c r="S148" s="436"/>
      <c r="T148" s="614"/>
      <c r="U148" s="612">
        <v>45199</v>
      </c>
      <c r="V148" s="613"/>
      <c r="W148" s="626"/>
      <c r="Y148" s="585"/>
      <c r="Z148" s="585"/>
      <c r="AA148" s="585"/>
    </row>
    <row r="149" spans="1:41" ht="14.5" thickBot="1">
      <c r="B149" s="607"/>
      <c r="C149" s="608"/>
      <c r="D149" s="608"/>
      <c r="E149" s="609"/>
      <c r="F149" s="610"/>
      <c r="G149" s="611"/>
      <c r="H149" s="612"/>
      <c r="I149" s="428"/>
      <c r="J149" s="613"/>
      <c r="K149" s="272"/>
      <c r="L149" s="296"/>
      <c r="M149" s="297"/>
      <c r="N149" s="297"/>
      <c r="O149" s="298"/>
      <c r="P149" s="301"/>
      <c r="Q149" s="677">
        <v>3515.63</v>
      </c>
      <c r="R149" s="300">
        <v>45224</v>
      </c>
      <c r="S149" s="436"/>
      <c r="T149" s="614"/>
      <c r="U149" s="612">
        <v>45230</v>
      </c>
      <c r="V149" s="613"/>
      <c r="W149" s="626"/>
      <c r="Y149" s="585"/>
      <c r="Z149" s="585"/>
      <c r="AA149" s="585"/>
    </row>
    <row r="150" spans="1:41" ht="14.5" thickBot="1">
      <c r="B150" s="607"/>
      <c r="C150" s="608"/>
      <c r="D150" s="608"/>
      <c r="E150" s="609"/>
      <c r="F150" s="610"/>
      <c r="G150" s="611"/>
      <c r="H150" s="612"/>
      <c r="I150" s="428"/>
      <c r="J150" s="613"/>
      <c r="K150" s="272"/>
      <c r="L150" s="296"/>
      <c r="M150" s="297"/>
      <c r="N150" s="297"/>
      <c r="O150" s="298"/>
      <c r="P150" s="301"/>
      <c r="Q150" s="677">
        <v>5859.38</v>
      </c>
      <c r="R150" s="300">
        <v>45255</v>
      </c>
      <c r="S150" s="436"/>
      <c r="T150" s="614"/>
      <c r="U150" s="612">
        <v>45260</v>
      </c>
      <c r="V150" s="613"/>
      <c r="W150" s="626"/>
      <c r="Y150" s="585"/>
      <c r="Z150" s="585"/>
      <c r="AA150" s="585"/>
    </row>
    <row r="151" spans="1:41" ht="14.5" thickBot="1">
      <c r="B151" s="607"/>
      <c r="C151" s="608"/>
      <c r="D151" s="608"/>
      <c r="E151" s="609"/>
      <c r="F151" s="610"/>
      <c r="G151" s="611"/>
      <c r="H151" s="612"/>
      <c r="I151" s="428"/>
      <c r="J151" s="613"/>
      <c r="K151" s="272"/>
      <c r="L151" s="296"/>
      <c r="M151" s="297"/>
      <c r="N151" s="297"/>
      <c r="O151" s="298"/>
      <c r="P151" s="301"/>
      <c r="Q151" s="677">
        <v>0</v>
      </c>
      <c r="R151" s="300">
        <v>45285</v>
      </c>
      <c r="S151" s="436"/>
      <c r="T151" s="614"/>
      <c r="U151" s="612">
        <v>45291</v>
      </c>
      <c r="V151" s="613"/>
      <c r="W151" s="626"/>
      <c r="Y151" s="585"/>
      <c r="Z151" s="585"/>
      <c r="AA151" s="585"/>
    </row>
    <row r="152" spans="1:41" ht="14.5" thickBot="1">
      <c r="B152" s="607"/>
      <c r="C152" s="608"/>
      <c r="D152" s="608"/>
      <c r="E152" s="609"/>
      <c r="F152" s="610"/>
      <c r="G152" s="611"/>
      <c r="H152" s="612"/>
      <c r="I152" s="428"/>
      <c r="J152" s="613"/>
      <c r="K152" s="272"/>
      <c r="L152" s="296"/>
      <c r="M152" s="297"/>
      <c r="N152" s="297"/>
      <c r="O152" s="298"/>
      <c r="P152" s="301"/>
      <c r="Q152" s="677">
        <v>1367.85</v>
      </c>
      <c r="R152" s="300">
        <v>45316</v>
      </c>
      <c r="S152" s="436"/>
      <c r="T152" s="614"/>
      <c r="U152" s="612">
        <v>45322</v>
      </c>
      <c r="V152" s="613"/>
      <c r="W152" s="626"/>
      <c r="Y152" s="585"/>
      <c r="Z152" s="585"/>
      <c r="AA152" s="585"/>
    </row>
    <row r="153" spans="1:41" ht="14.5" thickBot="1">
      <c r="B153" s="607"/>
      <c r="C153" s="608"/>
      <c r="D153" s="608"/>
      <c r="E153" s="609"/>
      <c r="F153" s="610"/>
      <c r="G153" s="611"/>
      <c r="H153" s="612"/>
      <c r="I153" s="428"/>
      <c r="J153" s="613"/>
      <c r="K153" s="272"/>
      <c r="L153" s="296">
        <f t="shared" ref="L153" si="6">B153</f>
        <v>0</v>
      </c>
      <c r="M153" s="297" t="s">
        <v>380</v>
      </c>
      <c r="N153" s="297" t="s">
        <v>384</v>
      </c>
      <c r="O153" s="298"/>
      <c r="P153" s="301"/>
      <c r="Q153" s="677">
        <f>'Revenue Tracking'!F4*0.005</f>
        <v>104695.04384863548</v>
      </c>
      <c r="R153" s="300">
        <f>U153</f>
        <v>45412</v>
      </c>
      <c r="S153" s="436"/>
      <c r="T153" s="614"/>
      <c r="U153" s="612">
        <v>45412</v>
      </c>
      <c r="V153" s="613"/>
      <c r="Y153" s="585"/>
      <c r="Z153" s="585"/>
      <c r="AA153" s="585"/>
    </row>
    <row r="154" spans="1:41" ht="14.5" thickBot="1">
      <c r="A154" s="91"/>
      <c r="B154" s="339"/>
      <c r="C154" s="360"/>
      <c r="D154" s="360"/>
      <c r="E154" s="361"/>
      <c r="F154" s="354"/>
      <c r="G154" s="362"/>
      <c r="H154" s="336"/>
      <c r="I154" s="355"/>
      <c r="J154" s="385"/>
      <c r="K154" s="91"/>
      <c r="L154" s="339"/>
      <c r="M154" s="360"/>
      <c r="N154" s="360"/>
      <c r="O154" s="361"/>
      <c r="P154" s="354"/>
      <c r="Q154" s="363"/>
      <c r="R154" s="350"/>
      <c r="S154" s="359"/>
      <c r="T154" s="350"/>
      <c r="U154" s="350"/>
      <c r="V154" s="385"/>
      <c r="W154" s="606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</row>
    <row r="155" spans="1:41" ht="14.25" customHeight="1">
      <c r="B155" s="233">
        <v>13</v>
      </c>
      <c r="C155" s="234" t="s">
        <v>385</v>
      </c>
      <c r="D155" s="234" t="s">
        <v>386</v>
      </c>
      <c r="E155" s="235"/>
      <c r="F155" s="245"/>
      <c r="G155" s="403">
        <v>12180</v>
      </c>
      <c r="H155" s="238">
        <v>44994</v>
      </c>
      <c r="I155" s="404"/>
      <c r="J155" s="904">
        <f>SUM(G155:G168)</f>
        <v>12180</v>
      </c>
      <c r="K155" s="405"/>
      <c r="L155" s="233">
        <f t="shared" ref="L155:L212" si="7">B155</f>
        <v>13</v>
      </c>
      <c r="M155" s="234" t="s">
        <v>385</v>
      </c>
      <c r="N155" s="234" t="s">
        <v>386</v>
      </c>
      <c r="O155" s="235"/>
      <c r="P155" s="245"/>
      <c r="Q155" s="674">
        <v>715.28</v>
      </c>
      <c r="R155" s="238">
        <v>45085</v>
      </c>
      <c r="S155" s="404"/>
      <c r="T155" s="238"/>
      <c r="U155" s="238">
        <v>45077</v>
      </c>
      <c r="V155" s="904">
        <f>SUM(Q155:Q168)</f>
        <v>5372.6</v>
      </c>
      <c r="W155" s="626"/>
    </row>
    <row r="156" spans="1:41" ht="15" customHeight="1">
      <c r="B156" s="157">
        <v>13</v>
      </c>
      <c r="C156" s="158"/>
      <c r="D156" s="158"/>
      <c r="E156" s="159"/>
      <c r="F156" s="173"/>
      <c r="G156" s="406"/>
      <c r="H156" s="162"/>
      <c r="I156" s="407"/>
      <c r="J156" s="905"/>
      <c r="K156" s="293"/>
      <c r="L156" s="157">
        <v>13</v>
      </c>
      <c r="M156" s="158" t="s">
        <v>385</v>
      </c>
      <c r="N156" s="158"/>
      <c r="O156" s="159"/>
      <c r="P156" s="173"/>
      <c r="Q156" s="682">
        <v>106.72</v>
      </c>
      <c r="R156" s="162">
        <v>45113</v>
      </c>
      <c r="S156" s="407"/>
      <c r="T156" s="162"/>
      <c r="U156" s="162">
        <v>45107</v>
      </c>
      <c r="V156" s="905"/>
    </row>
    <row r="157" spans="1:41" ht="15" customHeight="1">
      <c r="B157" s="157"/>
      <c r="C157" s="158"/>
      <c r="D157" s="158"/>
      <c r="E157" s="159"/>
      <c r="F157" s="173"/>
      <c r="G157" s="406"/>
      <c r="H157" s="162"/>
      <c r="I157" s="407"/>
      <c r="J157" s="905"/>
      <c r="K157" s="293"/>
      <c r="L157" s="157">
        <v>13</v>
      </c>
      <c r="M157" s="158"/>
      <c r="N157" s="158"/>
      <c r="O157" s="159"/>
      <c r="P157" s="173"/>
      <c r="Q157" s="682">
        <v>69.599999999999994</v>
      </c>
      <c r="R157" s="162">
        <v>45142</v>
      </c>
      <c r="S157" s="407"/>
      <c r="T157" s="162"/>
      <c r="U157" s="162">
        <v>45138</v>
      </c>
      <c r="V157" s="905"/>
    </row>
    <row r="158" spans="1:41" ht="15" customHeight="1">
      <c r="B158" s="157"/>
      <c r="C158" s="158"/>
      <c r="D158" s="158"/>
      <c r="E158" s="159"/>
      <c r="F158" s="173"/>
      <c r="G158" s="406"/>
      <c r="H158" s="162"/>
      <c r="I158" s="407"/>
      <c r="J158" s="905"/>
      <c r="K158" s="293"/>
      <c r="L158" s="157">
        <v>13</v>
      </c>
      <c r="M158" s="158"/>
      <c r="N158" s="158"/>
      <c r="O158" s="159"/>
      <c r="P158" s="173"/>
      <c r="Q158" s="682">
        <v>69.599999999999994</v>
      </c>
      <c r="R158" s="162">
        <v>45176</v>
      </c>
      <c r="S158" s="409"/>
      <c r="T158" s="168"/>
      <c r="U158" s="162">
        <v>45169</v>
      </c>
      <c r="V158" s="905"/>
    </row>
    <row r="159" spans="1:41" ht="15" customHeight="1">
      <c r="B159" s="157"/>
      <c r="C159" s="158"/>
      <c r="D159" s="158"/>
      <c r="E159" s="159"/>
      <c r="F159" s="173"/>
      <c r="G159" s="406"/>
      <c r="H159" s="162"/>
      <c r="I159" s="407"/>
      <c r="J159" s="905"/>
      <c r="K159" s="293"/>
      <c r="L159" s="157">
        <v>13</v>
      </c>
      <c r="M159" s="158"/>
      <c r="N159" s="158"/>
      <c r="O159" s="159"/>
      <c r="P159" s="173"/>
      <c r="Q159" s="682">
        <v>1005.1600000000001</v>
      </c>
      <c r="R159" s="162">
        <v>45235</v>
      </c>
      <c r="S159" s="407"/>
      <c r="T159" s="162"/>
      <c r="U159" s="162">
        <v>45199</v>
      </c>
      <c r="V159" s="905"/>
    </row>
    <row r="160" spans="1:41" ht="15" customHeight="1">
      <c r="B160" s="157"/>
      <c r="C160" s="158"/>
      <c r="D160" s="158"/>
      <c r="E160" s="159"/>
      <c r="F160" s="173"/>
      <c r="G160" s="406"/>
      <c r="H160" s="162"/>
      <c r="I160" s="407"/>
      <c r="J160" s="905"/>
      <c r="K160" s="293"/>
      <c r="L160" s="157">
        <v>13</v>
      </c>
      <c r="M160" s="158"/>
      <c r="N160" s="158"/>
      <c r="O160" s="159"/>
      <c r="P160" s="173"/>
      <c r="Q160" s="682">
        <v>139.19999999999999</v>
      </c>
      <c r="R160" s="162">
        <v>45237</v>
      </c>
      <c r="S160" s="409"/>
      <c r="T160" s="168"/>
      <c r="U160" s="162">
        <v>45230</v>
      </c>
      <c r="V160" s="905"/>
    </row>
    <row r="161" spans="1:41" ht="15" customHeight="1">
      <c r="B161" s="157"/>
      <c r="C161" s="158"/>
      <c r="D161" s="158"/>
      <c r="E161" s="159"/>
      <c r="F161" s="173"/>
      <c r="G161" s="406"/>
      <c r="H161" s="162"/>
      <c r="I161" s="407"/>
      <c r="J161" s="905"/>
      <c r="K161" s="293"/>
      <c r="L161" s="157">
        <v>13</v>
      </c>
      <c r="M161" s="158"/>
      <c r="N161" s="158"/>
      <c r="O161" s="159"/>
      <c r="P161" s="173"/>
      <c r="Q161" s="682">
        <v>533.59999999999991</v>
      </c>
      <c r="R161" s="162">
        <v>45267</v>
      </c>
      <c r="S161" s="409"/>
      <c r="T161" s="168"/>
      <c r="U161" s="162">
        <v>45260</v>
      </c>
      <c r="V161" s="905"/>
    </row>
    <row r="162" spans="1:41" ht="15" customHeight="1">
      <c r="B162" s="157">
        <v>13</v>
      </c>
      <c r="C162" s="158"/>
      <c r="D162" s="158"/>
      <c r="E162" s="159"/>
      <c r="F162" s="173"/>
      <c r="G162" s="406"/>
      <c r="H162" s="162"/>
      <c r="I162" s="407"/>
      <c r="J162" s="905"/>
      <c r="K162" s="293"/>
      <c r="L162" s="157">
        <v>13</v>
      </c>
      <c r="M162" s="158" t="s">
        <v>385</v>
      </c>
      <c r="N162" s="158"/>
      <c r="O162" s="159">
        <v>1</v>
      </c>
      <c r="P162" s="173"/>
      <c r="Q162" s="682">
        <v>0</v>
      </c>
      <c r="R162" s="162">
        <v>45291</v>
      </c>
      <c r="S162" s="409"/>
      <c r="T162" s="168" t="s">
        <v>387</v>
      </c>
      <c r="U162" s="162"/>
      <c r="V162" s="905"/>
      <c r="W162" s="579" t="s">
        <v>388</v>
      </c>
    </row>
    <row r="163" spans="1:41" ht="15" customHeight="1">
      <c r="B163" s="157">
        <v>13</v>
      </c>
      <c r="C163" s="158"/>
      <c r="D163" s="158"/>
      <c r="E163" s="159"/>
      <c r="F163" s="173"/>
      <c r="G163" s="406"/>
      <c r="H163" s="162"/>
      <c r="I163" s="407"/>
      <c r="J163" s="905"/>
      <c r="K163" s="293"/>
      <c r="L163" s="157">
        <v>13</v>
      </c>
      <c r="M163" s="158"/>
      <c r="N163" s="158"/>
      <c r="O163" s="159"/>
      <c r="P163" s="173"/>
      <c r="Q163" s="682">
        <v>607.84</v>
      </c>
      <c r="R163" s="162">
        <v>45330</v>
      </c>
      <c r="S163" s="409"/>
      <c r="T163" s="172"/>
      <c r="U163" s="162">
        <v>45322</v>
      </c>
      <c r="V163" s="905"/>
    </row>
    <row r="164" spans="1:41" ht="15" customHeight="1">
      <c r="B164" s="713"/>
      <c r="C164" s="714"/>
      <c r="D164" s="714"/>
      <c r="E164" s="715"/>
      <c r="F164" s="716"/>
      <c r="G164" s="717"/>
      <c r="H164" s="718"/>
      <c r="I164" s="407"/>
      <c r="J164" s="905"/>
      <c r="K164" s="293"/>
      <c r="L164" s="713">
        <v>13</v>
      </c>
      <c r="M164" s="714"/>
      <c r="N164" s="714"/>
      <c r="O164" s="715"/>
      <c r="P164" s="716"/>
      <c r="Q164" s="682">
        <v>948.8</v>
      </c>
      <c r="R164" s="718">
        <v>45358</v>
      </c>
      <c r="S164" s="409"/>
      <c r="T164" s="719"/>
      <c r="U164" s="718">
        <v>45351</v>
      </c>
      <c r="V164" s="905"/>
    </row>
    <row r="165" spans="1:41" ht="15" customHeight="1">
      <c r="B165" s="713"/>
      <c r="C165" s="714"/>
      <c r="D165" s="714"/>
      <c r="E165" s="715"/>
      <c r="F165" s="716"/>
      <c r="G165" s="717"/>
      <c r="H165" s="718"/>
      <c r="I165" s="407"/>
      <c r="J165" s="905"/>
      <c r="K165" s="293"/>
      <c r="L165" s="713">
        <v>13</v>
      </c>
      <c r="M165" s="714"/>
      <c r="N165" s="714"/>
      <c r="O165" s="715"/>
      <c r="P165" s="716"/>
      <c r="Q165" s="839">
        <v>909.92000000000007</v>
      </c>
      <c r="R165" s="718">
        <v>45387</v>
      </c>
      <c r="S165" s="409"/>
      <c r="T165" s="719"/>
      <c r="U165" s="718">
        <v>45382</v>
      </c>
      <c r="V165" s="905"/>
    </row>
    <row r="166" spans="1:41" ht="15" customHeight="1">
      <c r="B166" s="713"/>
      <c r="C166" s="714"/>
      <c r="D166" s="714"/>
      <c r="E166" s="715"/>
      <c r="F166" s="716"/>
      <c r="G166" s="717"/>
      <c r="H166" s="718"/>
      <c r="I166" s="407"/>
      <c r="J166" s="905"/>
      <c r="K166" s="293"/>
      <c r="L166" s="713">
        <v>13</v>
      </c>
      <c r="M166" s="714"/>
      <c r="N166" s="714"/>
      <c r="O166" s="715"/>
      <c r="P166" s="716"/>
      <c r="Q166" s="839">
        <v>208.8</v>
      </c>
      <c r="R166" s="718">
        <v>45421</v>
      </c>
      <c r="S166" s="409"/>
      <c r="T166" s="719"/>
      <c r="U166" s="718">
        <v>45412</v>
      </c>
      <c r="V166" s="905"/>
    </row>
    <row r="167" spans="1:41" ht="15" customHeight="1">
      <c r="B167" s="713"/>
      <c r="C167" s="714"/>
      <c r="D167" s="714"/>
      <c r="E167" s="715"/>
      <c r="F167" s="716"/>
      <c r="G167" s="717"/>
      <c r="H167" s="718"/>
      <c r="I167" s="407"/>
      <c r="J167" s="905"/>
      <c r="K167" s="293"/>
      <c r="L167" s="713">
        <v>13</v>
      </c>
      <c r="M167" s="714"/>
      <c r="N167" s="714"/>
      <c r="O167" s="715"/>
      <c r="P167" s="716"/>
      <c r="Q167" s="839">
        <v>58.08</v>
      </c>
      <c r="R167" s="718">
        <v>45478</v>
      </c>
      <c r="S167" s="409"/>
      <c r="T167" s="719"/>
      <c r="U167" s="718">
        <v>45473</v>
      </c>
      <c r="V167" s="905"/>
    </row>
    <row r="168" spans="1:41" ht="15" customHeight="1" thickBot="1">
      <c r="B168" s="174">
        <v>13</v>
      </c>
      <c r="C168" s="243"/>
      <c r="D168" s="243"/>
      <c r="E168" s="410"/>
      <c r="F168" s="247"/>
      <c r="G168" s="411"/>
      <c r="H168" s="176"/>
      <c r="I168" s="412"/>
      <c r="J168" s="906"/>
      <c r="K168" s="295"/>
      <c r="L168" s="174">
        <f t="shared" si="7"/>
        <v>13</v>
      </c>
      <c r="M168" s="243"/>
      <c r="N168" s="243"/>
      <c r="O168" s="410"/>
      <c r="P168" s="247"/>
      <c r="Q168" s="413"/>
      <c r="R168" s="178"/>
      <c r="S168" s="414"/>
      <c r="T168" s="178"/>
      <c r="U168" s="178"/>
      <c r="V168" s="906"/>
    </row>
    <row r="169" spans="1:41" ht="14.5" thickBot="1">
      <c r="A169" s="91"/>
      <c r="B169" s="339"/>
      <c r="C169" s="360"/>
      <c r="D169" s="360"/>
      <c r="E169" s="361"/>
      <c r="F169" s="354"/>
      <c r="G169" s="362"/>
      <c r="H169" s="336"/>
      <c r="I169" s="355"/>
      <c r="J169" s="386"/>
      <c r="K169" s="91"/>
      <c r="L169" s="339"/>
      <c r="M169" s="360"/>
      <c r="N169" s="360"/>
      <c r="O169" s="361"/>
      <c r="P169" s="354"/>
      <c r="Q169" s="363"/>
      <c r="R169" s="350"/>
      <c r="S169" s="359"/>
      <c r="T169" s="350"/>
      <c r="U169" s="350"/>
      <c r="V169" s="386"/>
      <c r="W169" s="606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</row>
    <row r="170" spans="1:41" ht="14.5" thickBot="1">
      <c r="B170" s="179">
        <v>14</v>
      </c>
      <c r="C170" s="261" t="s">
        <v>389</v>
      </c>
      <c r="D170" s="261"/>
      <c r="E170" s="262"/>
      <c r="F170" s="263"/>
      <c r="G170" s="264"/>
      <c r="H170" s="185"/>
      <c r="I170" s="426"/>
      <c r="J170" s="907">
        <f>SUM(G170:G212)</f>
        <v>0</v>
      </c>
      <c r="K170" s="269"/>
      <c r="L170" s="179">
        <f t="shared" si="7"/>
        <v>14</v>
      </c>
      <c r="M170" s="261" t="s">
        <v>389</v>
      </c>
      <c r="N170" s="594" t="s">
        <v>390</v>
      </c>
      <c r="O170" s="595"/>
      <c r="P170" s="596"/>
      <c r="Q170" s="842">
        <v>2000000</v>
      </c>
      <c r="R170" s="843">
        <v>45421</v>
      </c>
      <c r="S170" s="427"/>
      <c r="T170" s="185" t="s">
        <v>391</v>
      </c>
      <c r="U170" s="859">
        <v>45443</v>
      </c>
      <c r="V170" s="907">
        <f>SUM(Q170:Q212)</f>
        <v>5406984.4199999999</v>
      </c>
    </row>
    <row r="171" spans="1:41" ht="14.5" thickBot="1">
      <c r="B171" s="187">
        <f>B170</f>
        <v>14</v>
      </c>
      <c r="C171" s="199"/>
      <c r="D171" s="199"/>
      <c r="E171" s="200"/>
      <c r="F171" s="201"/>
      <c r="G171" s="202"/>
      <c r="H171" s="193"/>
      <c r="I171" s="428"/>
      <c r="J171" s="908"/>
      <c r="K171" s="272"/>
      <c r="L171" s="187">
        <f t="shared" si="7"/>
        <v>14</v>
      </c>
      <c r="M171" s="199" t="s">
        <v>389</v>
      </c>
      <c r="N171" s="199"/>
      <c r="O171" s="200"/>
      <c r="P171" s="201"/>
      <c r="Q171" s="842">
        <f>2000000-Q172</f>
        <v>1000000</v>
      </c>
      <c r="R171" s="843">
        <v>45435</v>
      </c>
      <c r="S171" s="429"/>
      <c r="T171" s="193" t="s">
        <v>391</v>
      </c>
      <c r="U171" s="847">
        <v>45443</v>
      </c>
      <c r="V171" s="908"/>
    </row>
    <row r="172" spans="1:41">
      <c r="B172" s="187"/>
      <c r="C172" s="199"/>
      <c r="D172" s="199"/>
      <c r="E172" s="200"/>
      <c r="F172" s="201"/>
      <c r="G172" s="202"/>
      <c r="H172" s="193"/>
      <c r="I172" s="428"/>
      <c r="J172" s="908"/>
      <c r="K172" s="272"/>
      <c r="L172" s="187">
        <f t="shared" ref="L172" si="8">B172</f>
        <v>0</v>
      </c>
      <c r="M172" s="199" t="s">
        <v>389</v>
      </c>
      <c r="N172" s="199"/>
      <c r="O172" s="200"/>
      <c r="P172" s="201"/>
      <c r="Q172" s="845">
        <v>1000000</v>
      </c>
      <c r="R172" s="846">
        <v>45436</v>
      </c>
      <c r="S172" s="429"/>
      <c r="T172" s="193" t="s">
        <v>391</v>
      </c>
      <c r="U172" s="185">
        <v>45443</v>
      </c>
      <c r="V172" s="908"/>
    </row>
    <row r="173" spans="1:41">
      <c r="B173" s="187">
        <f>B171</f>
        <v>14</v>
      </c>
      <c r="C173" s="199"/>
      <c r="D173" s="199"/>
      <c r="E173" s="200"/>
      <c r="F173" s="201"/>
      <c r="G173" s="202"/>
      <c r="H173" s="193"/>
      <c r="I173" s="428"/>
      <c r="J173" s="908"/>
      <c r="K173" s="272"/>
      <c r="L173" s="187">
        <f t="shared" si="7"/>
        <v>14</v>
      </c>
      <c r="M173" s="199" t="s">
        <v>389</v>
      </c>
      <c r="N173" s="199" t="s">
        <v>392</v>
      </c>
      <c r="O173" s="200"/>
      <c r="P173" s="201"/>
      <c r="Q173" s="705">
        <v>75000</v>
      </c>
      <c r="R173" s="193">
        <v>45334</v>
      </c>
      <c r="S173" s="429"/>
      <c r="T173" s="193" t="s">
        <v>393</v>
      </c>
      <c r="U173" s="193">
        <v>45322</v>
      </c>
      <c r="V173" s="908"/>
    </row>
    <row r="174" spans="1:41">
      <c r="B174" s="658"/>
      <c r="C174" s="706"/>
      <c r="D174" s="706"/>
      <c r="E174" s="707"/>
      <c r="F174" s="708"/>
      <c r="G174" s="709"/>
      <c r="H174" s="652"/>
      <c r="I174" s="428"/>
      <c r="J174" s="908"/>
      <c r="K174" s="272"/>
      <c r="L174" s="187">
        <v>14</v>
      </c>
      <c r="M174" s="199" t="s">
        <v>389</v>
      </c>
      <c r="N174" s="199" t="s">
        <v>394</v>
      </c>
      <c r="O174" s="707"/>
      <c r="P174" s="708"/>
      <c r="Q174" s="705">
        <v>75000</v>
      </c>
      <c r="R174" s="193">
        <v>45334</v>
      </c>
      <c r="S174" s="429"/>
      <c r="T174" s="193" t="s">
        <v>395</v>
      </c>
      <c r="U174" s="193">
        <v>45322</v>
      </c>
      <c r="V174" s="908"/>
    </row>
    <row r="175" spans="1:41">
      <c r="B175" s="658"/>
      <c r="C175" s="706"/>
      <c r="D175" s="706"/>
      <c r="E175" s="707"/>
      <c r="F175" s="708"/>
      <c r="G175" s="709"/>
      <c r="H175" s="652"/>
      <c r="I175" s="428"/>
      <c r="J175" s="908"/>
      <c r="K175" s="272"/>
      <c r="L175" s="658">
        <v>14</v>
      </c>
      <c r="M175" s="199" t="s">
        <v>389</v>
      </c>
      <c r="N175" s="706"/>
      <c r="O175" s="707"/>
      <c r="P175" s="708"/>
      <c r="Q175" s="705">
        <v>75000</v>
      </c>
      <c r="R175" s="652">
        <v>45379</v>
      </c>
      <c r="S175" s="429"/>
      <c r="T175" s="193" t="s">
        <v>366</v>
      </c>
      <c r="U175" s="652">
        <v>45382</v>
      </c>
      <c r="V175" s="908"/>
    </row>
    <row r="176" spans="1:41">
      <c r="B176" s="658"/>
      <c r="C176" s="706"/>
      <c r="D176" s="706"/>
      <c r="E176" s="707"/>
      <c r="F176" s="708"/>
      <c r="G176" s="709"/>
      <c r="H176" s="652"/>
      <c r="I176" s="428"/>
      <c r="J176" s="908"/>
      <c r="K176" s="272"/>
      <c r="L176" s="658">
        <v>14</v>
      </c>
      <c r="M176" s="706" t="s">
        <v>389</v>
      </c>
      <c r="N176" s="706" t="s">
        <v>396</v>
      </c>
      <c r="O176" s="707"/>
      <c r="P176" s="708"/>
      <c r="Q176" s="873"/>
      <c r="R176" s="655"/>
      <c r="S176" s="429"/>
      <c r="T176" s="652"/>
      <c r="U176" s="655"/>
      <c r="V176" s="908"/>
    </row>
    <row r="177" spans="2:23">
      <c r="B177" s="658"/>
      <c r="C177" s="706"/>
      <c r="D177" s="706"/>
      <c r="E177" s="707"/>
      <c r="F177" s="708"/>
      <c r="G177" s="709"/>
      <c r="H177" s="652"/>
      <c r="I177" s="428"/>
      <c r="J177" s="908"/>
      <c r="K177" s="272"/>
      <c r="L177" s="658">
        <v>14</v>
      </c>
      <c r="M177" s="706" t="s">
        <v>389</v>
      </c>
      <c r="N177" s="706" t="s">
        <v>397</v>
      </c>
      <c r="O177" s="707"/>
      <c r="P177" s="708"/>
      <c r="Q177" s="790">
        <v>626.88</v>
      </c>
      <c r="R177" s="652">
        <v>45596</v>
      </c>
      <c r="S177" s="429"/>
      <c r="T177" s="652"/>
      <c r="U177" s="652">
        <v>45596</v>
      </c>
      <c r="V177" s="908"/>
    </row>
    <row r="178" spans="2:23">
      <c r="B178" s="658"/>
      <c r="C178" s="706"/>
      <c r="D178" s="706"/>
      <c r="E178" s="707"/>
      <c r="F178" s="708"/>
      <c r="G178" s="709"/>
      <c r="H178" s="652"/>
      <c r="I178" s="428"/>
      <c r="J178" s="908"/>
      <c r="K178" s="272"/>
      <c r="L178" s="658">
        <v>14</v>
      </c>
      <c r="M178" s="706" t="s">
        <v>389</v>
      </c>
      <c r="N178" s="706" t="s">
        <v>397</v>
      </c>
      <c r="O178" s="707"/>
      <c r="P178" s="708"/>
      <c r="Q178" s="790">
        <v>358.16</v>
      </c>
      <c r="R178" s="652">
        <v>45632</v>
      </c>
      <c r="S178" s="429"/>
      <c r="T178" s="652"/>
      <c r="U178" s="652">
        <v>45626</v>
      </c>
      <c r="V178" s="908"/>
    </row>
    <row r="179" spans="2:23">
      <c r="B179" s="658"/>
      <c r="C179" s="706"/>
      <c r="D179" s="706"/>
      <c r="E179" s="707"/>
      <c r="F179" s="708"/>
      <c r="G179" s="709"/>
      <c r="H179" s="652"/>
      <c r="I179" s="428"/>
      <c r="J179" s="908"/>
      <c r="K179" s="272"/>
      <c r="L179" s="658">
        <v>14</v>
      </c>
      <c r="M179" s="706" t="s">
        <v>389</v>
      </c>
      <c r="N179" s="706" t="s">
        <v>397</v>
      </c>
      <c r="O179" s="707"/>
      <c r="P179" s="708"/>
      <c r="Q179" s="790">
        <v>164.54</v>
      </c>
      <c r="R179" s="652">
        <v>45695</v>
      </c>
      <c r="S179" s="429"/>
      <c r="T179" s="652"/>
      <c r="U179" s="652">
        <v>45688</v>
      </c>
      <c r="V179" s="908"/>
    </row>
    <row r="180" spans="2:23">
      <c r="B180" s="658"/>
      <c r="C180" s="706"/>
      <c r="D180" s="706"/>
      <c r="E180" s="707"/>
      <c r="F180" s="708"/>
      <c r="G180" s="709"/>
      <c r="H180" s="652"/>
      <c r="I180" s="428"/>
      <c r="J180" s="908"/>
      <c r="K180" s="272"/>
      <c r="L180" s="658">
        <v>14</v>
      </c>
      <c r="M180" s="706" t="s">
        <v>389</v>
      </c>
      <c r="N180" s="706" t="s">
        <v>397</v>
      </c>
      <c r="O180" s="707"/>
      <c r="P180" s="708"/>
      <c r="Q180" s="790">
        <v>280.72000000000003</v>
      </c>
      <c r="R180" s="652">
        <v>45722</v>
      </c>
      <c r="S180" s="429"/>
      <c r="T180" s="652"/>
      <c r="U180" s="652">
        <v>45716</v>
      </c>
      <c r="V180" s="908"/>
    </row>
    <row r="181" spans="2:23">
      <c r="B181" s="658"/>
      <c r="C181" s="706"/>
      <c r="D181" s="706"/>
      <c r="E181" s="707"/>
      <c r="F181" s="708"/>
      <c r="G181" s="709"/>
      <c r="H181" s="652"/>
      <c r="I181" s="428"/>
      <c r="J181" s="908"/>
      <c r="K181" s="272"/>
      <c r="L181" s="658">
        <v>14</v>
      </c>
      <c r="M181" s="706" t="s">
        <v>389</v>
      </c>
      <c r="N181" s="706" t="s">
        <v>397</v>
      </c>
      <c r="O181" s="707"/>
      <c r="P181" s="708"/>
      <c r="Q181" s="790">
        <v>582.54</v>
      </c>
      <c r="R181" s="652">
        <v>45751</v>
      </c>
      <c r="S181" s="429"/>
      <c r="T181" s="652"/>
      <c r="U181" s="652">
        <v>45747</v>
      </c>
      <c r="V181" s="908"/>
    </row>
    <row r="182" spans="2:23">
      <c r="B182" s="658"/>
      <c r="C182" s="706"/>
      <c r="D182" s="706"/>
      <c r="E182" s="707"/>
      <c r="F182" s="708"/>
      <c r="G182" s="709"/>
      <c r="H182" s="652"/>
      <c r="I182" s="428"/>
      <c r="J182" s="908"/>
      <c r="K182" s="272"/>
      <c r="L182" s="658">
        <v>14</v>
      </c>
      <c r="M182" s="706" t="s">
        <v>389</v>
      </c>
      <c r="N182" s="706" t="s">
        <v>397</v>
      </c>
      <c r="O182" s="707"/>
      <c r="P182" s="708"/>
      <c r="Q182" s="790">
        <v>499.32</v>
      </c>
      <c r="R182" s="652">
        <v>45785</v>
      </c>
      <c r="S182" s="429"/>
      <c r="T182" s="652"/>
      <c r="U182" s="652">
        <v>45777</v>
      </c>
      <c r="V182" s="908"/>
    </row>
    <row r="183" spans="2:23">
      <c r="B183" s="658"/>
      <c r="C183" s="706"/>
      <c r="D183" s="706"/>
      <c r="E183" s="707"/>
      <c r="F183" s="708"/>
      <c r="G183" s="709"/>
      <c r="H183" s="652"/>
      <c r="I183" s="428"/>
      <c r="J183" s="908"/>
      <c r="K183" s="272"/>
      <c r="L183" s="658">
        <v>14</v>
      </c>
      <c r="M183" s="706" t="s">
        <v>389</v>
      </c>
      <c r="N183" s="706" t="s">
        <v>398</v>
      </c>
      <c r="O183" s="707"/>
      <c r="P183" s="708"/>
      <c r="Q183" s="790">
        <v>543170.74</v>
      </c>
      <c r="R183" s="652">
        <v>45639</v>
      </c>
      <c r="S183" s="429"/>
      <c r="T183" s="652"/>
      <c r="U183" s="884">
        <v>45626</v>
      </c>
      <c r="V183" s="908"/>
    </row>
    <row r="184" spans="2:23">
      <c r="B184" s="658"/>
      <c r="C184" s="706"/>
      <c r="D184" s="706"/>
      <c r="E184" s="707"/>
      <c r="F184" s="708"/>
      <c r="G184" s="709"/>
      <c r="H184" s="652"/>
      <c r="I184" s="428"/>
      <c r="J184" s="908"/>
      <c r="K184" s="272"/>
      <c r="L184" s="658">
        <v>14</v>
      </c>
      <c r="M184" s="706" t="s">
        <v>389</v>
      </c>
      <c r="N184" s="706" t="s">
        <v>399</v>
      </c>
      <c r="O184" s="707"/>
      <c r="P184" s="708"/>
      <c r="Q184" s="885">
        <v>7639.55</v>
      </c>
      <c r="R184" s="884">
        <v>45716</v>
      </c>
      <c r="S184" s="429"/>
      <c r="T184" s="652"/>
      <c r="U184" s="884">
        <v>45688</v>
      </c>
      <c r="V184" s="908"/>
    </row>
    <row r="185" spans="2:23">
      <c r="B185" s="658"/>
      <c r="C185" s="706"/>
      <c r="D185" s="706"/>
      <c r="E185" s="707"/>
      <c r="F185" s="708"/>
      <c r="G185" s="709"/>
      <c r="H185" s="652"/>
      <c r="I185" s="428"/>
      <c r="J185" s="908"/>
      <c r="K185" s="272"/>
      <c r="L185" s="658">
        <v>14</v>
      </c>
      <c r="M185" s="706" t="s">
        <v>389</v>
      </c>
      <c r="N185" s="706" t="s">
        <v>400</v>
      </c>
      <c r="O185" s="707"/>
      <c r="P185" s="708"/>
      <c r="Q185" s="885">
        <v>18000</v>
      </c>
      <c r="R185" s="652">
        <f>U185+30</f>
        <v>45777</v>
      </c>
      <c r="S185" s="429"/>
      <c r="T185" s="652"/>
      <c r="U185" s="884">
        <v>45747</v>
      </c>
      <c r="V185" s="908"/>
      <c r="W185" s="579" t="s">
        <v>401</v>
      </c>
    </row>
    <row r="186" spans="2:23">
      <c r="B186" s="658"/>
      <c r="C186" s="706"/>
      <c r="D186" s="706"/>
      <c r="E186" s="707"/>
      <c r="F186" s="708"/>
      <c r="G186" s="709"/>
      <c r="H186" s="652"/>
      <c r="I186" s="428"/>
      <c r="J186" s="908"/>
      <c r="K186" s="272"/>
      <c r="L186" s="658">
        <v>14</v>
      </c>
      <c r="M186" s="706" t="s">
        <v>389</v>
      </c>
      <c r="N186" s="706" t="s">
        <v>402</v>
      </c>
      <c r="O186" s="707"/>
      <c r="P186" s="708"/>
      <c r="Q186" s="885">
        <v>24772</v>
      </c>
      <c r="R186" s="652">
        <v>45777</v>
      </c>
      <c r="S186" s="429"/>
      <c r="T186" s="652"/>
      <c r="U186" s="652">
        <v>45747</v>
      </c>
      <c r="V186" s="908"/>
      <c r="W186" s="579" t="s">
        <v>403</v>
      </c>
    </row>
    <row r="187" spans="2:23" ht="28">
      <c r="B187" s="658"/>
      <c r="C187" s="706"/>
      <c r="D187" s="706"/>
      <c r="E187" s="707"/>
      <c r="F187" s="708"/>
      <c r="G187" s="709"/>
      <c r="H187" s="652"/>
      <c r="I187" s="428"/>
      <c r="J187" s="908"/>
      <c r="K187" s="272"/>
      <c r="L187" s="891">
        <v>14</v>
      </c>
      <c r="M187" s="892" t="s">
        <v>389</v>
      </c>
      <c r="N187" s="888" t="s">
        <v>404</v>
      </c>
      <c r="O187" s="889">
        <v>283043.05</v>
      </c>
      <c r="P187" s="890">
        <v>0.1</v>
      </c>
      <c r="Q187" s="873">
        <f>$O$187*P187</f>
        <v>28304.305</v>
      </c>
      <c r="R187" s="655">
        <v>45974</v>
      </c>
      <c r="S187" s="429"/>
      <c r="T187" s="652"/>
      <c r="U187" s="655">
        <v>45991</v>
      </c>
      <c r="V187" s="908"/>
      <c r="W187" s="901" t="s">
        <v>405</v>
      </c>
    </row>
    <row r="188" spans="2:23" ht="28">
      <c r="B188" s="658"/>
      <c r="C188" s="706"/>
      <c r="D188" s="706"/>
      <c r="E188" s="707"/>
      <c r="F188" s="708"/>
      <c r="G188" s="709"/>
      <c r="H188" s="652"/>
      <c r="I188" s="428"/>
      <c r="J188" s="908"/>
      <c r="K188" s="272"/>
      <c r="L188" s="891">
        <v>14</v>
      </c>
      <c r="M188" s="892" t="s">
        <v>389</v>
      </c>
      <c r="N188" s="888" t="s">
        <v>406</v>
      </c>
      <c r="O188" s="707"/>
      <c r="P188" s="890">
        <v>0.9</v>
      </c>
      <c r="Q188" s="873">
        <f>$O$187*P188</f>
        <v>254738.745</v>
      </c>
      <c r="R188" s="655">
        <v>45991</v>
      </c>
      <c r="S188" s="429"/>
      <c r="T188" s="652"/>
      <c r="U188" s="655">
        <v>45991</v>
      </c>
      <c r="V188" s="908"/>
      <c r="W188" s="901"/>
    </row>
    <row r="189" spans="2:23">
      <c r="B189" s="658"/>
      <c r="C189" s="706"/>
      <c r="D189" s="706"/>
      <c r="E189" s="707"/>
      <c r="F189" s="708"/>
      <c r="G189" s="709"/>
      <c r="H189" s="652"/>
      <c r="I189" s="428"/>
      <c r="J189" s="908"/>
      <c r="K189" s="272"/>
      <c r="L189" s="658">
        <v>14</v>
      </c>
      <c r="M189" s="706" t="s">
        <v>389</v>
      </c>
      <c r="N189" s="706"/>
      <c r="O189" s="707"/>
      <c r="P189" s="708"/>
      <c r="Q189" s="790"/>
      <c r="R189" s="652"/>
      <c r="S189" s="429"/>
      <c r="T189" s="652"/>
      <c r="U189" s="884"/>
      <c r="V189" s="908"/>
    </row>
    <row r="190" spans="2:23">
      <c r="B190" s="658"/>
      <c r="C190" s="706"/>
      <c r="D190" s="706"/>
      <c r="E190" s="707"/>
      <c r="F190" s="708"/>
      <c r="G190" s="709"/>
      <c r="H190" s="652"/>
      <c r="I190" s="428"/>
      <c r="J190" s="908"/>
      <c r="K190" s="272"/>
      <c r="L190" s="658">
        <v>14</v>
      </c>
      <c r="M190" s="706" t="s">
        <v>389</v>
      </c>
      <c r="N190" s="706"/>
      <c r="O190" s="707"/>
      <c r="P190" s="708"/>
      <c r="Q190" s="790"/>
      <c r="R190" s="652"/>
      <c r="S190" s="429"/>
      <c r="T190" s="652"/>
      <c r="U190" s="884"/>
      <c r="V190" s="908"/>
    </row>
    <row r="191" spans="2:23">
      <c r="B191" s="658"/>
      <c r="C191" s="706"/>
      <c r="D191" s="706"/>
      <c r="E191" s="707"/>
      <c r="F191" s="708"/>
      <c r="G191" s="709"/>
      <c r="H191" s="652"/>
      <c r="I191" s="428"/>
      <c r="J191" s="908"/>
      <c r="K191" s="272"/>
      <c r="L191" s="658">
        <v>14</v>
      </c>
      <c r="M191" s="706" t="s">
        <v>389</v>
      </c>
      <c r="N191" s="706"/>
      <c r="O191" s="707"/>
      <c r="P191" s="708"/>
      <c r="Q191" s="790"/>
      <c r="R191" s="652"/>
      <c r="S191" s="429"/>
      <c r="T191" s="652"/>
      <c r="U191" s="884"/>
      <c r="V191" s="908"/>
    </row>
    <row r="192" spans="2:23">
      <c r="B192" s="658"/>
      <c r="C192" s="706"/>
      <c r="D192" s="706"/>
      <c r="E192" s="707"/>
      <c r="F192" s="708"/>
      <c r="G192" s="709"/>
      <c r="H192" s="652"/>
      <c r="I192" s="428"/>
      <c r="J192" s="908"/>
      <c r="K192" s="272"/>
      <c r="L192" s="658">
        <v>14</v>
      </c>
      <c r="M192" s="706" t="s">
        <v>389</v>
      </c>
      <c r="N192" s="706"/>
      <c r="O192" s="707"/>
      <c r="P192" s="708"/>
      <c r="Q192" s="790"/>
      <c r="R192" s="652"/>
      <c r="S192" s="429"/>
      <c r="T192" s="652"/>
      <c r="U192" s="884"/>
      <c r="V192" s="908"/>
    </row>
    <row r="193" spans="2:23">
      <c r="B193" s="658"/>
      <c r="C193" s="706"/>
      <c r="D193" s="706"/>
      <c r="E193" s="707"/>
      <c r="F193" s="708"/>
      <c r="G193" s="709"/>
      <c r="H193" s="652"/>
      <c r="I193" s="428"/>
      <c r="J193" s="908"/>
      <c r="K193" s="272"/>
      <c r="L193" s="658">
        <v>14</v>
      </c>
      <c r="M193" s="706" t="s">
        <v>389</v>
      </c>
      <c r="N193" s="706"/>
      <c r="O193" s="707"/>
      <c r="P193" s="708"/>
      <c r="Q193" s="790"/>
      <c r="R193" s="652"/>
      <c r="S193" s="429"/>
      <c r="T193" s="652"/>
      <c r="U193" s="884"/>
      <c r="V193" s="908"/>
    </row>
    <row r="194" spans="2:23">
      <c r="B194" s="658"/>
      <c r="C194" s="706"/>
      <c r="D194" s="706"/>
      <c r="E194" s="707"/>
      <c r="F194" s="708"/>
      <c r="G194" s="709"/>
      <c r="H194" s="652"/>
      <c r="I194" s="428"/>
      <c r="J194" s="908"/>
      <c r="K194" s="272"/>
      <c r="L194" s="658">
        <v>14</v>
      </c>
      <c r="M194" s="706" t="s">
        <v>389</v>
      </c>
      <c r="N194" s="706"/>
      <c r="O194" s="707"/>
      <c r="P194" s="708"/>
      <c r="Q194" s="790"/>
      <c r="R194" s="652"/>
      <c r="S194" s="429"/>
      <c r="T194" s="652"/>
      <c r="U194" s="884"/>
      <c r="V194" s="908"/>
    </row>
    <row r="195" spans="2:23">
      <c r="B195" s="658"/>
      <c r="C195" s="706"/>
      <c r="D195" s="706"/>
      <c r="E195" s="707"/>
      <c r="F195" s="708"/>
      <c r="G195" s="709"/>
      <c r="H195" s="652"/>
      <c r="I195" s="428"/>
      <c r="J195" s="908"/>
      <c r="K195" s="272"/>
      <c r="L195" s="658">
        <v>14</v>
      </c>
      <c r="M195" s="706" t="s">
        <v>389</v>
      </c>
      <c r="N195" s="706"/>
      <c r="O195" s="707"/>
      <c r="P195" s="708"/>
      <c r="Q195" s="790"/>
      <c r="R195" s="652"/>
      <c r="S195" s="429"/>
      <c r="T195" s="652"/>
      <c r="U195" s="884"/>
      <c r="V195" s="908"/>
    </row>
    <row r="196" spans="2:23">
      <c r="B196" s="658"/>
      <c r="C196" s="706"/>
      <c r="D196" s="706"/>
      <c r="E196" s="707"/>
      <c r="F196" s="708"/>
      <c r="G196" s="709"/>
      <c r="H196" s="652"/>
      <c r="I196" s="428"/>
      <c r="J196" s="908"/>
      <c r="K196" s="272"/>
      <c r="L196" s="658">
        <v>14</v>
      </c>
      <c r="M196" s="706" t="s">
        <v>389</v>
      </c>
      <c r="N196" s="706"/>
      <c r="O196" s="707"/>
      <c r="P196" s="708"/>
      <c r="Q196" s="790"/>
      <c r="R196" s="652"/>
      <c r="S196" s="429"/>
      <c r="T196" s="652"/>
      <c r="U196" s="884"/>
      <c r="V196" s="908"/>
    </row>
    <row r="197" spans="2:23">
      <c r="B197" s="658"/>
      <c r="C197" s="706"/>
      <c r="D197" s="706"/>
      <c r="E197" s="707"/>
      <c r="F197" s="708"/>
      <c r="G197" s="709"/>
      <c r="H197" s="652"/>
      <c r="I197" s="428"/>
      <c r="J197" s="908"/>
      <c r="K197" s="272"/>
      <c r="L197" s="658">
        <v>14</v>
      </c>
      <c r="M197" s="706" t="s">
        <v>389</v>
      </c>
      <c r="N197" s="706"/>
      <c r="O197" s="707"/>
      <c r="P197" s="708"/>
      <c r="Q197" s="790"/>
      <c r="R197" s="652"/>
      <c r="S197" s="429"/>
      <c r="T197" s="652"/>
      <c r="U197" s="884"/>
      <c r="V197" s="908"/>
    </row>
    <row r="198" spans="2:23">
      <c r="B198" s="658"/>
      <c r="C198" s="706"/>
      <c r="D198" s="706"/>
      <c r="E198" s="707"/>
      <c r="F198" s="708"/>
      <c r="G198" s="709"/>
      <c r="H198" s="652"/>
      <c r="I198" s="428"/>
      <c r="J198" s="908"/>
      <c r="K198" s="272"/>
      <c r="L198" s="658">
        <v>14</v>
      </c>
      <c r="M198" s="706" t="s">
        <v>389</v>
      </c>
      <c r="N198" s="706"/>
      <c r="O198" s="707"/>
      <c r="P198" s="708"/>
      <c r="Q198" s="790"/>
      <c r="R198" s="652"/>
      <c r="S198" s="429"/>
      <c r="T198" s="652"/>
      <c r="U198" s="884"/>
      <c r="V198" s="908"/>
    </row>
    <row r="199" spans="2:23">
      <c r="B199" s="658"/>
      <c r="C199" s="706"/>
      <c r="D199" s="706"/>
      <c r="E199" s="707"/>
      <c r="F199" s="708"/>
      <c r="G199" s="709"/>
      <c r="H199" s="652"/>
      <c r="I199" s="428"/>
      <c r="J199" s="908"/>
      <c r="K199" s="272"/>
      <c r="L199" s="658">
        <v>14</v>
      </c>
      <c r="M199" s="706" t="s">
        <v>389</v>
      </c>
      <c r="N199" s="706"/>
      <c r="O199" s="707"/>
      <c r="P199" s="708"/>
      <c r="Q199" s="790"/>
      <c r="R199" s="652"/>
      <c r="S199" s="429"/>
      <c r="T199" s="652"/>
      <c r="U199" s="884"/>
      <c r="V199" s="908"/>
    </row>
    <row r="200" spans="2:23">
      <c r="B200" s="658"/>
      <c r="C200" s="706"/>
      <c r="D200" s="706"/>
      <c r="E200" s="707"/>
      <c r="F200" s="708"/>
      <c r="G200" s="709"/>
      <c r="H200" s="652"/>
      <c r="I200" s="428"/>
      <c r="J200" s="908"/>
      <c r="K200" s="272"/>
      <c r="L200" s="658">
        <v>14</v>
      </c>
      <c r="M200" s="706" t="s">
        <v>389</v>
      </c>
      <c r="N200" s="706"/>
      <c r="O200" s="707"/>
      <c r="P200" s="708"/>
      <c r="Q200" s="790"/>
      <c r="R200" s="652"/>
      <c r="S200" s="429"/>
      <c r="T200" s="652"/>
      <c r="U200" s="884"/>
      <c r="V200" s="908"/>
    </row>
    <row r="201" spans="2:23">
      <c r="B201" s="658"/>
      <c r="C201" s="706"/>
      <c r="D201" s="706"/>
      <c r="E201" s="707"/>
      <c r="F201" s="708"/>
      <c r="G201" s="709"/>
      <c r="H201" s="652"/>
      <c r="I201" s="428"/>
      <c r="J201" s="908"/>
      <c r="K201" s="272"/>
      <c r="L201" s="658">
        <v>14</v>
      </c>
      <c r="M201" s="706" t="s">
        <v>389</v>
      </c>
      <c r="N201" s="706"/>
      <c r="O201" s="707"/>
      <c r="P201" s="708"/>
      <c r="Q201" s="790"/>
      <c r="R201" s="652"/>
      <c r="S201" s="429"/>
      <c r="T201" s="652"/>
      <c r="U201" s="884"/>
      <c r="V201" s="908"/>
    </row>
    <row r="202" spans="2:23">
      <c r="B202" s="658"/>
      <c r="C202" s="706"/>
      <c r="D202" s="706"/>
      <c r="E202" s="707"/>
      <c r="F202" s="708"/>
      <c r="G202" s="709"/>
      <c r="H202" s="652"/>
      <c r="I202" s="428"/>
      <c r="J202" s="908"/>
      <c r="K202" s="272"/>
      <c r="L202" s="658">
        <v>14</v>
      </c>
      <c r="M202" s="706" t="s">
        <v>389</v>
      </c>
      <c r="N202" s="706"/>
      <c r="O202" s="707"/>
      <c r="P202" s="708"/>
      <c r="Q202" s="790"/>
      <c r="R202" s="652"/>
      <c r="S202" s="429"/>
      <c r="T202" s="652"/>
      <c r="U202" s="884"/>
      <c r="V202" s="908"/>
    </row>
    <row r="203" spans="2:23">
      <c r="B203" s="658"/>
      <c r="C203" s="706"/>
      <c r="D203" s="706"/>
      <c r="E203" s="707"/>
      <c r="F203" s="708"/>
      <c r="G203" s="709"/>
      <c r="H203" s="652"/>
      <c r="I203" s="428"/>
      <c r="J203" s="908"/>
      <c r="K203" s="272"/>
      <c r="L203" s="658">
        <v>14</v>
      </c>
      <c r="M203" s="706" t="s">
        <v>389</v>
      </c>
      <c r="N203" s="706"/>
      <c r="O203" s="707"/>
      <c r="P203" s="708"/>
      <c r="Q203" s="790"/>
      <c r="R203" s="652"/>
      <c r="S203" s="429"/>
      <c r="T203" s="652"/>
      <c r="U203" s="884"/>
      <c r="V203" s="908"/>
    </row>
    <row r="204" spans="2:23">
      <c r="B204" s="658"/>
      <c r="C204" s="706"/>
      <c r="D204" s="706"/>
      <c r="E204" s="707"/>
      <c r="F204" s="708"/>
      <c r="G204" s="709"/>
      <c r="H204" s="652"/>
      <c r="I204" s="428"/>
      <c r="J204" s="908"/>
      <c r="K204" s="272"/>
      <c r="L204" s="658">
        <v>14</v>
      </c>
      <c r="M204" s="706" t="s">
        <v>389</v>
      </c>
      <c r="N204" s="706" t="s">
        <v>407</v>
      </c>
      <c r="O204" s="707"/>
      <c r="P204" s="708"/>
      <c r="Q204" s="790">
        <v>32128.959999999999</v>
      </c>
      <c r="R204" s="652">
        <v>45808</v>
      </c>
      <c r="S204" s="429"/>
      <c r="T204" s="652"/>
      <c r="U204" s="884">
        <v>45777</v>
      </c>
      <c r="V204" s="908"/>
      <c r="W204" s="579" t="s">
        <v>408</v>
      </c>
    </row>
    <row r="205" spans="2:23">
      <c r="B205" s="658"/>
      <c r="C205" s="706"/>
      <c r="D205" s="706"/>
      <c r="E205" s="707"/>
      <c r="F205" s="708"/>
      <c r="G205" s="709"/>
      <c r="H205" s="652"/>
      <c r="I205" s="428"/>
      <c r="J205" s="908"/>
      <c r="K205" s="272"/>
      <c r="L205" s="658">
        <v>14</v>
      </c>
      <c r="M205" s="706" t="s">
        <v>389</v>
      </c>
      <c r="N205" s="706" t="s">
        <v>409</v>
      </c>
      <c r="O205" s="707"/>
      <c r="P205" s="708"/>
      <c r="Q205" s="790">
        <v>21322.79</v>
      </c>
      <c r="R205" s="652">
        <v>45750</v>
      </c>
      <c r="S205" s="429"/>
      <c r="T205" s="652"/>
      <c r="U205" s="884">
        <v>45747</v>
      </c>
      <c r="V205" s="908"/>
      <c r="W205" s="579" t="s">
        <v>410</v>
      </c>
    </row>
    <row r="206" spans="2:23">
      <c r="B206" s="658"/>
      <c r="C206" s="706"/>
      <c r="D206" s="706"/>
      <c r="E206" s="707"/>
      <c r="F206" s="708"/>
      <c r="G206" s="709"/>
      <c r="H206" s="652"/>
      <c r="I206" s="428"/>
      <c r="J206" s="908"/>
      <c r="K206" s="272"/>
      <c r="L206" s="658">
        <v>14</v>
      </c>
      <c r="M206" s="706" t="s">
        <v>389</v>
      </c>
      <c r="N206" s="706" t="s">
        <v>411</v>
      </c>
      <c r="O206" s="707"/>
      <c r="P206" s="708"/>
      <c r="Q206" s="790">
        <v>3905</v>
      </c>
      <c r="R206" s="652">
        <v>45666</v>
      </c>
      <c r="S206" s="429"/>
      <c r="T206" s="652"/>
      <c r="U206" s="884">
        <v>45657</v>
      </c>
      <c r="V206" s="908"/>
    </row>
    <row r="207" spans="2:23">
      <c r="B207" s="658"/>
      <c r="C207" s="706"/>
      <c r="D207" s="706"/>
      <c r="E207" s="707"/>
      <c r="F207" s="708"/>
      <c r="G207" s="709"/>
      <c r="H207" s="652"/>
      <c r="I207" s="428"/>
      <c r="J207" s="908"/>
      <c r="K207" s="272"/>
      <c r="L207" s="658">
        <v>14</v>
      </c>
      <c r="M207" s="706" t="s">
        <v>389</v>
      </c>
      <c r="N207" s="706" t="s">
        <v>412</v>
      </c>
      <c r="O207" s="707"/>
      <c r="P207" s="708">
        <v>30099.98</v>
      </c>
      <c r="Q207" s="885">
        <v>30839.11</v>
      </c>
      <c r="R207" s="884">
        <v>45708</v>
      </c>
      <c r="S207" s="429"/>
      <c r="T207" s="652"/>
      <c r="U207" s="884">
        <v>45688</v>
      </c>
      <c r="V207" s="908"/>
      <c r="W207" s="579" t="s">
        <v>413</v>
      </c>
    </row>
    <row r="208" spans="2:23">
      <c r="B208" s="658"/>
      <c r="C208" s="706"/>
      <c r="D208" s="706"/>
      <c r="E208" s="707"/>
      <c r="F208" s="708"/>
      <c r="G208" s="709"/>
      <c r="H208" s="652"/>
      <c r="I208" s="428"/>
      <c r="J208" s="908"/>
      <c r="K208" s="272"/>
      <c r="L208" s="658">
        <v>14</v>
      </c>
      <c r="M208" s="706" t="s">
        <v>389</v>
      </c>
      <c r="N208" s="706" t="s">
        <v>414</v>
      </c>
      <c r="O208" s="707"/>
      <c r="P208" s="886"/>
      <c r="Q208" s="885">
        <v>80752.14</v>
      </c>
      <c r="R208" s="884">
        <v>45687</v>
      </c>
      <c r="S208" s="874"/>
      <c r="T208" s="655"/>
      <c r="U208" s="884">
        <v>45657</v>
      </c>
      <c r="V208" s="908"/>
      <c r="W208" s="579" t="s">
        <v>415</v>
      </c>
    </row>
    <row r="209" spans="2:23">
      <c r="B209" s="658"/>
      <c r="C209" s="706"/>
      <c r="D209" s="706"/>
      <c r="E209" s="707"/>
      <c r="F209" s="708"/>
      <c r="G209" s="709"/>
      <c r="H209" s="652"/>
      <c r="I209" s="428"/>
      <c r="J209" s="908"/>
      <c r="K209" s="272"/>
      <c r="L209" s="658">
        <v>14</v>
      </c>
      <c r="M209" s="706" t="s">
        <v>389</v>
      </c>
      <c r="N209" s="706" t="s">
        <v>416</v>
      </c>
      <c r="O209" s="707"/>
      <c r="P209" s="708"/>
      <c r="Q209" s="873">
        <v>32566</v>
      </c>
      <c r="R209" s="655">
        <v>45716</v>
      </c>
      <c r="S209" s="429"/>
      <c r="T209" s="652"/>
      <c r="U209" s="655">
        <v>45838</v>
      </c>
      <c r="V209" s="908"/>
      <c r="W209" s="579" t="s">
        <v>417</v>
      </c>
    </row>
    <row r="210" spans="2:23">
      <c r="B210" s="658"/>
      <c r="C210" s="706"/>
      <c r="D210" s="706"/>
      <c r="E210" s="707"/>
      <c r="F210" s="708"/>
      <c r="G210" s="709"/>
      <c r="H210" s="652"/>
      <c r="I210" s="428"/>
      <c r="J210" s="908"/>
      <c r="K210" s="272"/>
      <c r="L210" s="658">
        <v>14</v>
      </c>
      <c r="M210" s="706" t="s">
        <v>389</v>
      </c>
      <c r="N210" s="706" t="s">
        <v>418</v>
      </c>
      <c r="O210" s="707"/>
      <c r="P210" s="708"/>
      <c r="Q210" s="885">
        <v>93894</v>
      </c>
      <c r="R210" s="652">
        <v>45777</v>
      </c>
      <c r="S210" s="429"/>
      <c r="T210" s="652"/>
      <c r="U210" s="652">
        <v>45747</v>
      </c>
      <c r="V210" s="908"/>
      <c r="W210" s="579" t="s">
        <v>419</v>
      </c>
    </row>
    <row r="211" spans="2:23">
      <c r="B211" s="658"/>
      <c r="C211" s="706"/>
      <c r="D211" s="706"/>
      <c r="E211" s="707"/>
      <c r="F211" s="708"/>
      <c r="G211" s="709"/>
      <c r="H211" s="652"/>
      <c r="I211" s="428"/>
      <c r="J211" s="908"/>
      <c r="K211" s="272"/>
      <c r="L211" s="658">
        <v>14</v>
      </c>
      <c r="M211" s="706" t="s">
        <v>389</v>
      </c>
      <c r="N211" s="706" t="s">
        <v>420</v>
      </c>
      <c r="O211" s="707"/>
      <c r="P211" s="708"/>
      <c r="Q211" s="873">
        <v>3705</v>
      </c>
      <c r="R211" s="655">
        <v>45716</v>
      </c>
      <c r="S211" s="874"/>
      <c r="T211" s="655" t="s">
        <v>421</v>
      </c>
      <c r="U211" s="655">
        <v>45838</v>
      </c>
      <c r="V211" s="908"/>
      <c r="W211" s="579" t="s">
        <v>422</v>
      </c>
    </row>
    <row r="212" spans="2:23">
      <c r="B212" s="251">
        <f>B173</f>
        <v>14</v>
      </c>
      <c r="C212" s="207"/>
      <c r="D212" s="207"/>
      <c r="E212" s="208"/>
      <c r="F212" s="209"/>
      <c r="G212" s="265"/>
      <c r="H212" s="210"/>
      <c r="I212" s="430"/>
      <c r="J212" s="909"/>
      <c r="K212" s="279"/>
      <c r="L212" s="251">
        <f t="shared" si="7"/>
        <v>14</v>
      </c>
      <c r="M212" s="207" t="s">
        <v>389</v>
      </c>
      <c r="N212" s="207" t="s">
        <v>423</v>
      </c>
      <c r="O212" s="208"/>
      <c r="P212" s="209"/>
      <c r="Q212" s="883">
        <v>3733.92</v>
      </c>
      <c r="R212" s="210">
        <v>45638</v>
      </c>
      <c r="S212" s="431"/>
      <c r="T212" s="281" t="s">
        <v>424</v>
      </c>
      <c r="U212" s="210">
        <v>45626</v>
      </c>
      <c r="V212" s="909"/>
      <c r="W212" s="579" t="s">
        <v>425</v>
      </c>
    </row>
    <row r="213" spans="2:23">
      <c r="B213" s="875"/>
      <c r="C213" s="876"/>
      <c r="D213" s="876"/>
      <c r="E213" s="877"/>
      <c r="F213" s="878"/>
      <c r="G213" s="428"/>
      <c r="H213" s="879"/>
      <c r="I213" s="428"/>
      <c r="J213" s="860"/>
      <c r="K213" s="272"/>
      <c r="L213" s="875"/>
      <c r="M213" s="876"/>
      <c r="N213" s="876"/>
      <c r="O213" s="877"/>
      <c r="P213" s="878"/>
      <c r="Q213" s="880"/>
      <c r="R213" s="881"/>
      <c r="S213" s="429"/>
      <c r="T213" s="882"/>
      <c r="U213" s="881"/>
      <c r="V213" s="860"/>
    </row>
    <row r="214" spans="2:23" s="468" customFormat="1">
      <c r="B214" s="469"/>
      <c r="C214" s="3"/>
      <c r="D214" s="3"/>
      <c r="E214" s="4"/>
      <c r="F214" s="469"/>
      <c r="G214" s="5"/>
      <c r="H214" s="5"/>
      <c r="I214" s="470"/>
      <c r="J214" s="471"/>
      <c r="L214" s="469"/>
      <c r="M214" s="3"/>
      <c r="N214" s="3"/>
      <c r="O214" s="4"/>
      <c r="P214" s="469"/>
      <c r="Q214" s="472"/>
      <c r="R214" s="473"/>
      <c r="T214" s="473"/>
      <c r="U214" s="473"/>
      <c r="V214" s="471"/>
      <c r="W214" s="604"/>
    </row>
    <row r="215" spans="2:23">
      <c r="B215" s="88"/>
      <c r="C215" s="88"/>
      <c r="D215" s="88"/>
      <c r="E215" s="153"/>
      <c r="F215" s="122"/>
      <c r="G215" s="88"/>
      <c r="H215" s="88"/>
      <c r="J215" s="88"/>
      <c r="L215" s="88"/>
      <c r="M215" s="88"/>
      <c r="N215" s="88"/>
      <c r="O215" s="88"/>
      <c r="P215" s="88"/>
      <c r="Q215" s="579"/>
      <c r="R215" s="88"/>
      <c r="T215" s="88"/>
      <c r="U215" s="88"/>
      <c r="V215" s="88"/>
    </row>
    <row r="216" spans="2:23">
      <c r="B216" s="88"/>
      <c r="C216" s="88"/>
      <c r="D216" s="88"/>
      <c r="E216" s="153"/>
      <c r="F216" s="122"/>
      <c r="G216" s="88"/>
      <c r="H216" s="88"/>
      <c r="J216" s="382"/>
      <c r="L216" s="88"/>
      <c r="M216" s="88"/>
      <c r="N216" s="88"/>
      <c r="O216" s="153"/>
      <c r="P216" s="122"/>
      <c r="Q216" s="625"/>
      <c r="R216" s="139"/>
      <c r="T216" s="139"/>
      <c r="U216" s="139"/>
      <c r="V216" s="88"/>
    </row>
    <row r="217" spans="2:23">
      <c r="B217" s="88"/>
      <c r="C217" s="88"/>
      <c r="D217" s="88"/>
      <c r="E217" s="153"/>
      <c r="F217" s="122"/>
      <c r="G217" s="88"/>
      <c r="H217" s="88"/>
      <c r="J217" s="387"/>
      <c r="L217" s="88"/>
      <c r="M217" s="88"/>
      <c r="N217" s="88"/>
      <c r="O217" s="153"/>
      <c r="P217" s="122"/>
      <c r="Q217" s="154"/>
      <c r="R217" s="139"/>
      <c r="T217" s="139"/>
      <c r="U217" s="139"/>
      <c r="V217" s="92"/>
    </row>
    <row r="218" spans="2:23">
      <c r="B218" s="88"/>
      <c r="C218" s="88"/>
      <c r="D218" s="88"/>
      <c r="E218" s="153"/>
      <c r="F218" s="122"/>
      <c r="G218" s="88"/>
      <c r="H218" s="88"/>
      <c r="J218" s="382"/>
      <c r="L218" s="88"/>
      <c r="M218" s="88"/>
      <c r="N218" s="88"/>
      <c r="O218" s="153"/>
      <c r="P218" s="122"/>
      <c r="Q218" s="154"/>
      <c r="R218" s="139"/>
      <c r="T218" s="139"/>
      <c r="U218" s="139"/>
      <c r="V218" s="163"/>
    </row>
    <row r="219" spans="2:23">
      <c r="B219" s="88"/>
      <c r="C219" s="88"/>
      <c r="D219" s="88"/>
      <c r="E219" s="153"/>
      <c r="F219" s="122"/>
      <c r="G219" s="88"/>
      <c r="H219" s="88"/>
      <c r="J219" s="387"/>
      <c r="L219" s="88"/>
      <c r="M219" s="88"/>
      <c r="N219" s="88"/>
      <c r="O219" s="153"/>
      <c r="P219" s="122"/>
      <c r="Q219" s="154"/>
      <c r="R219" s="139"/>
      <c r="T219" s="139"/>
      <c r="U219" s="139"/>
      <c r="V219" s="88"/>
    </row>
    <row r="220" spans="2:23">
      <c r="B220" s="88"/>
      <c r="C220" s="88"/>
      <c r="D220" s="88"/>
      <c r="E220" s="153"/>
      <c r="F220" s="122"/>
      <c r="G220" s="88"/>
      <c r="H220" s="88"/>
      <c r="J220" s="382"/>
      <c r="L220" s="88"/>
      <c r="M220" s="88"/>
      <c r="N220" s="88"/>
      <c r="O220" s="153"/>
      <c r="P220" s="122"/>
      <c r="Q220" s="154"/>
      <c r="R220" s="139"/>
      <c r="T220" s="139"/>
      <c r="U220" s="139"/>
      <c r="V220" s="88"/>
    </row>
    <row r="221" spans="2:23">
      <c r="B221" s="88"/>
      <c r="C221" s="88"/>
      <c r="D221" s="88"/>
      <c r="E221" s="153"/>
      <c r="F221" s="122"/>
      <c r="G221" s="88"/>
      <c r="H221" s="88"/>
      <c r="J221" s="382"/>
      <c r="L221" s="88"/>
      <c r="M221" s="88"/>
      <c r="N221" s="88"/>
      <c r="O221" s="153"/>
      <c r="P221" s="122"/>
      <c r="Q221" s="154"/>
      <c r="R221" s="139"/>
      <c r="T221" s="139"/>
      <c r="U221" s="139"/>
      <c r="V221" s="88"/>
    </row>
    <row r="222" spans="2:23">
      <c r="B222" s="88"/>
      <c r="C222" s="88"/>
      <c r="D222" s="88"/>
      <c r="E222" s="153"/>
      <c r="F222" s="122"/>
      <c r="G222" s="88"/>
      <c r="H222" s="88"/>
      <c r="J222" s="382"/>
      <c r="L222" s="88"/>
      <c r="M222" s="88"/>
      <c r="N222" s="88"/>
      <c r="O222" s="153"/>
      <c r="P222" s="122"/>
      <c r="Q222" s="154"/>
      <c r="R222" s="139"/>
      <c r="T222" s="139"/>
      <c r="U222" s="139"/>
      <c r="V222" s="88"/>
    </row>
    <row r="223" spans="2:23">
      <c r="B223" s="88"/>
      <c r="C223" s="88"/>
      <c r="D223" s="88"/>
      <c r="E223" s="153"/>
      <c r="F223" s="122"/>
      <c r="G223" s="88"/>
      <c r="H223" s="88"/>
      <c r="J223" s="382"/>
      <c r="L223" s="88"/>
      <c r="M223" s="88"/>
      <c r="N223" s="88"/>
      <c r="O223" s="153"/>
      <c r="P223" s="122"/>
      <c r="Q223" s="154"/>
      <c r="R223" s="139"/>
      <c r="T223" s="139"/>
      <c r="U223" s="139"/>
      <c r="V223" s="88"/>
    </row>
    <row r="224" spans="2:23">
      <c r="B224" s="88"/>
      <c r="C224" s="88"/>
      <c r="D224" s="88"/>
      <c r="E224" s="153"/>
      <c r="F224" s="122"/>
      <c r="G224" s="88"/>
      <c r="H224" s="88"/>
      <c r="J224" s="382"/>
      <c r="L224" s="88"/>
      <c r="M224" s="88"/>
      <c r="N224" s="88"/>
      <c r="O224" s="153"/>
      <c r="P224" s="122"/>
      <c r="Q224" s="154"/>
      <c r="R224" s="139"/>
      <c r="T224" s="139"/>
      <c r="U224" s="139"/>
      <c r="V224" s="88"/>
    </row>
    <row r="225" spans="2:23">
      <c r="B225" s="88"/>
      <c r="C225" s="88"/>
      <c r="D225" s="88"/>
      <c r="E225" s="153"/>
      <c r="F225" s="122"/>
      <c r="G225" s="88"/>
      <c r="H225" s="88"/>
      <c r="J225" s="382"/>
      <c r="L225" s="88"/>
      <c r="M225" s="88"/>
      <c r="N225" s="88"/>
      <c r="O225" s="153"/>
      <c r="P225" s="122"/>
      <c r="Q225" s="154"/>
      <c r="R225" s="139"/>
      <c r="T225" s="139"/>
      <c r="U225" s="139"/>
      <c r="V225" s="88"/>
    </row>
    <row r="226" spans="2:23">
      <c r="B226" s="88"/>
      <c r="C226" s="88"/>
      <c r="D226" s="88"/>
      <c r="E226" s="153"/>
      <c r="F226" s="122"/>
      <c r="G226" s="88"/>
      <c r="H226" s="88"/>
      <c r="J226" s="382"/>
      <c r="L226" s="88"/>
      <c r="M226" s="88"/>
      <c r="N226" s="88"/>
      <c r="O226" s="153"/>
      <c r="P226" s="122"/>
      <c r="Q226" s="154"/>
      <c r="R226" s="139"/>
      <c r="T226" s="139"/>
      <c r="U226" s="139"/>
      <c r="V226" s="88"/>
    </row>
    <row r="227" spans="2:23">
      <c r="B227" s="88"/>
      <c r="C227" s="88"/>
      <c r="D227" s="88"/>
      <c r="E227" s="153"/>
      <c r="F227" s="122"/>
      <c r="G227" s="88"/>
      <c r="H227" s="88"/>
      <c r="J227" s="382"/>
      <c r="L227" s="88"/>
      <c r="M227" s="88"/>
      <c r="N227" s="88"/>
      <c r="O227" s="153"/>
      <c r="P227" s="122"/>
      <c r="Q227" s="154"/>
      <c r="R227" s="139"/>
      <c r="T227" s="139"/>
      <c r="U227" s="139"/>
      <c r="V227" s="88"/>
    </row>
    <row r="228" spans="2:23" s="88" customFormat="1">
      <c r="E228" s="153"/>
      <c r="F228" s="122"/>
      <c r="J228" s="382"/>
      <c r="O228" s="153"/>
      <c r="P228" s="122"/>
      <c r="Q228" s="154"/>
      <c r="R228" s="139"/>
      <c r="T228" s="139"/>
      <c r="U228" s="139"/>
      <c r="W228" s="579"/>
    </row>
    <row r="229" spans="2:23" s="88" customFormat="1">
      <c r="E229" s="153"/>
      <c r="F229" s="122"/>
      <c r="J229" s="382"/>
      <c r="O229" s="153"/>
      <c r="P229" s="122"/>
      <c r="Q229" s="154"/>
      <c r="R229" s="139"/>
      <c r="T229" s="139"/>
      <c r="U229" s="139"/>
      <c r="W229" s="579"/>
    </row>
    <row r="230" spans="2:23" s="88" customFormat="1">
      <c r="E230" s="153"/>
      <c r="F230" s="122"/>
      <c r="J230" s="382"/>
      <c r="O230" s="153"/>
      <c r="P230" s="122"/>
      <c r="Q230" s="154"/>
      <c r="R230" s="139"/>
      <c r="T230" s="139"/>
      <c r="U230" s="139"/>
      <c r="W230" s="579"/>
    </row>
    <row r="231" spans="2:23" s="88" customFormat="1">
      <c r="E231" s="153"/>
      <c r="F231" s="122"/>
      <c r="J231" s="382"/>
      <c r="O231" s="153"/>
      <c r="P231" s="122"/>
      <c r="Q231" s="154"/>
      <c r="R231" s="139"/>
      <c r="T231" s="139"/>
      <c r="U231" s="139"/>
      <c r="W231" s="579"/>
    </row>
    <row r="232" spans="2:23" s="88" customFormat="1">
      <c r="E232" s="153"/>
      <c r="F232" s="122"/>
      <c r="J232" s="382"/>
      <c r="O232" s="153"/>
      <c r="P232" s="122"/>
      <c r="Q232" s="154"/>
      <c r="R232" s="139"/>
      <c r="T232" s="139"/>
      <c r="U232" s="139"/>
      <c r="W232" s="579"/>
    </row>
    <row r="233" spans="2:23" s="88" customFormat="1">
      <c r="E233" s="153"/>
      <c r="F233" s="122"/>
      <c r="J233" s="382"/>
      <c r="O233" s="153"/>
      <c r="P233" s="122"/>
      <c r="Q233" s="154"/>
      <c r="R233" s="139"/>
      <c r="T233" s="139"/>
      <c r="U233" s="139"/>
      <c r="W233" s="579"/>
    </row>
    <row r="234" spans="2:23" s="88" customFormat="1">
      <c r="E234" s="153"/>
      <c r="F234" s="122"/>
      <c r="J234" s="382"/>
      <c r="O234" s="153"/>
      <c r="P234" s="122"/>
      <c r="Q234" s="154"/>
      <c r="R234" s="139"/>
      <c r="T234" s="139"/>
      <c r="U234" s="139"/>
      <c r="W234" s="579"/>
    </row>
    <row r="235" spans="2:23" s="88" customFormat="1">
      <c r="E235" s="153"/>
      <c r="F235" s="122"/>
      <c r="J235" s="382"/>
      <c r="O235" s="153"/>
      <c r="P235" s="122"/>
      <c r="Q235" s="154"/>
      <c r="R235" s="139"/>
      <c r="T235" s="139"/>
      <c r="U235" s="139"/>
      <c r="W235" s="579"/>
    </row>
    <row r="236" spans="2:23" s="88" customFormat="1">
      <c r="E236" s="153"/>
      <c r="F236" s="122"/>
      <c r="J236" s="382"/>
      <c r="O236" s="153"/>
      <c r="P236" s="122"/>
      <c r="Q236" s="154"/>
      <c r="R236" s="139"/>
      <c r="T236" s="139"/>
      <c r="U236" s="139"/>
      <c r="W236" s="579"/>
    </row>
    <row r="237" spans="2:23" s="88" customFormat="1">
      <c r="E237" s="153"/>
      <c r="F237" s="122"/>
      <c r="J237" s="382"/>
      <c r="O237" s="153"/>
      <c r="P237" s="122"/>
      <c r="Q237" s="154"/>
      <c r="R237" s="139"/>
      <c r="T237" s="139"/>
      <c r="U237" s="139"/>
      <c r="W237" s="579"/>
    </row>
    <row r="238" spans="2:23" s="88" customFormat="1">
      <c r="E238" s="153"/>
      <c r="F238" s="122"/>
      <c r="J238" s="382"/>
      <c r="O238" s="153"/>
      <c r="P238" s="122"/>
      <c r="Q238" s="154"/>
      <c r="R238" s="139"/>
      <c r="T238" s="139"/>
      <c r="U238" s="139"/>
      <c r="W238" s="579"/>
    </row>
    <row r="239" spans="2:23" s="88" customFormat="1">
      <c r="E239" s="153"/>
      <c r="F239" s="122"/>
      <c r="J239" s="382"/>
      <c r="O239" s="153"/>
      <c r="P239" s="122"/>
      <c r="Q239" s="154"/>
      <c r="R239" s="139"/>
      <c r="T239" s="139"/>
      <c r="U239" s="139"/>
      <c r="W239" s="579"/>
    </row>
    <row r="240" spans="2:23" s="88" customFormat="1">
      <c r="E240" s="153"/>
      <c r="F240" s="122"/>
      <c r="J240" s="382"/>
      <c r="O240" s="153"/>
      <c r="P240" s="122"/>
      <c r="Q240" s="154"/>
      <c r="R240" s="139"/>
      <c r="T240" s="139"/>
      <c r="U240" s="139"/>
      <c r="W240" s="579"/>
    </row>
    <row r="241" spans="5:23" s="88" customFormat="1">
      <c r="E241" s="153"/>
      <c r="F241" s="122"/>
      <c r="J241" s="382"/>
      <c r="O241" s="153"/>
      <c r="P241" s="122"/>
      <c r="Q241" s="154"/>
      <c r="R241" s="139"/>
      <c r="T241" s="139"/>
      <c r="U241" s="139"/>
      <c r="W241" s="579"/>
    </row>
    <row r="242" spans="5:23" s="88" customFormat="1">
      <c r="E242" s="153"/>
      <c r="F242" s="122"/>
      <c r="J242" s="382"/>
      <c r="O242" s="153"/>
      <c r="P242" s="122"/>
      <c r="Q242" s="154"/>
      <c r="R242" s="139"/>
      <c r="T242" s="139"/>
      <c r="U242" s="139"/>
      <c r="W242" s="579"/>
    </row>
    <row r="243" spans="5:23" s="88" customFormat="1">
      <c r="E243" s="153"/>
      <c r="F243" s="122"/>
      <c r="J243" s="382"/>
      <c r="O243" s="153"/>
      <c r="P243" s="122"/>
      <c r="Q243" s="154"/>
      <c r="R243" s="139"/>
      <c r="T243" s="139"/>
      <c r="U243" s="139"/>
      <c r="W243" s="579"/>
    </row>
    <row r="244" spans="5:23" s="88" customFormat="1">
      <c r="E244" s="153"/>
      <c r="F244" s="122"/>
      <c r="J244" s="382"/>
      <c r="O244" s="153"/>
      <c r="P244" s="122"/>
      <c r="Q244" s="154"/>
      <c r="R244" s="139"/>
      <c r="T244" s="139"/>
      <c r="U244" s="139"/>
      <c r="W244" s="579"/>
    </row>
    <row r="245" spans="5:23" s="88" customFormat="1">
      <c r="E245" s="153"/>
      <c r="F245" s="122"/>
      <c r="J245" s="382"/>
      <c r="O245" s="153"/>
      <c r="P245" s="122"/>
      <c r="Q245" s="154"/>
      <c r="R245" s="139"/>
      <c r="T245" s="139"/>
      <c r="U245" s="139"/>
      <c r="W245" s="579"/>
    </row>
    <row r="246" spans="5:23" s="88" customFormat="1">
      <c r="E246" s="153"/>
      <c r="F246" s="122"/>
      <c r="J246" s="382"/>
      <c r="O246" s="153"/>
      <c r="P246" s="122"/>
      <c r="Q246" s="154"/>
      <c r="R246" s="139"/>
      <c r="T246" s="139"/>
      <c r="U246" s="139"/>
      <c r="W246" s="579"/>
    </row>
    <row r="247" spans="5:23" s="88" customFormat="1">
      <c r="E247" s="153"/>
      <c r="F247" s="122"/>
      <c r="J247" s="382"/>
      <c r="O247" s="153"/>
      <c r="P247" s="122"/>
      <c r="Q247" s="154"/>
      <c r="R247" s="139"/>
      <c r="T247" s="139"/>
      <c r="U247" s="139"/>
      <c r="W247" s="579"/>
    </row>
    <row r="248" spans="5:23" s="88" customFormat="1">
      <c r="E248" s="153"/>
      <c r="F248" s="122"/>
      <c r="J248" s="382"/>
      <c r="O248" s="153"/>
      <c r="P248" s="122"/>
      <c r="Q248" s="154"/>
      <c r="R248" s="139"/>
      <c r="T248" s="139"/>
      <c r="U248" s="139"/>
      <c r="W248" s="579"/>
    </row>
    <row r="249" spans="5:23" s="88" customFormat="1">
      <c r="E249" s="153"/>
      <c r="F249" s="122"/>
      <c r="J249" s="382"/>
      <c r="O249" s="153"/>
      <c r="P249" s="122"/>
      <c r="Q249" s="154"/>
      <c r="R249" s="139"/>
      <c r="T249" s="139"/>
      <c r="U249" s="139"/>
      <c r="W249" s="579"/>
    </row>
    <row r="250" spans="5:23" s="88" customFormat="1">
      <c r="E250" s="153"/>
      <c r="F250" s="122"/>
      <c r="J250" s="382"/>
      <c r="O250" s="153"/>
      <c r="P250" s="122"/>
      <c r="Q250" s="154"/>
      <c r="R250" s="139"/>
      <c r="T250" s="139"/>
      <c r="U250" s="139"/>
      <c r="W250" s="579"/>
    </row>
    <row r="251" spans="5:23" s="88" customFormat="1">
      <c r="E251" s="153"/>
      <c r="F251" s="122"/>
      <c r="J251" s="382"/>
      <c r="O251" s="153"/>
      <c r="P251" s="122"/>
      <c r="Q251" s="154"/>
      <c r="R251" s="139"/>
      <c r="T251" s="139"/>
      <c r="U251" s="139"/>
      <c r="W251" s="579"/>
    </row>
    <row r="252" spans="5:23" s="88" customFormat="1">
      <c r="E252" s="153"/>
      <c r="F252" s="122"/>
      <c r="J252" s="382"/>
      <c r="O252" s="153"/>
      <c r="P252" s="122"/>
      <c r="Q252" s="154"/>
      <c r="R252" s="139"/>
      <c r="T252" s="139"/>
      <c r="U252" s="139"/>
      <c r="W252" s="579"/>
    </row>
    <row r="253" spans="5:23" s="88" customFormat="1">
      <c r="E253" s="153"/>
      <c r="F253" s="122"/>
      <c r="J253" s="382"/>
      <c r="O253" s="153"/>
      <c r="P253" s="122"/>
      <c r="Q253" s="154"/>
      <c r="R253" s="139"/>
      <c r="T253" s="139"/>
      <c r="U253" s="139"/>
      <c r="W253" s="579"/>
    </row>
    <row r="254" spans="5:23" s="88" customFormat="1">
      <c r="E254" s="153"/>
      <c r="F254" s="122"/>
      <c r="J254" s="382"/>
      <c r="O254" s="153"/>
      <c r="P254" s="122"/>
      <c r="Q254" s="154"/>
      <c r="R254" s="139"/>
      <c r="T254" s="139"/>
      <c r="U254" s="139"/>
      <c r="W254" s="579"/>
    </row>
    <row r="255" spans="5:23" s="88" customFormat="1">
      <c r="E255" s="153"/>
      <c r="F255" s="122"/>
      <c r="J255" s="382"/>
      <c r="O255" s="153"/>
      <c r="P255" s="122"/>
      <c r="Q255" s="154"/>
      <c r="R255" s="139"/>
      <c r="T255" s="139"/>
      <c r="U255" s="139"/>
      <c r="W255" s="579"/>
    </row>
    <row r="256" spans="5:23" s="88" customFormat="1">
      <c r="E256" s="153"/>
      <c r="F256" s="122"/>
      <c r="J256" s="382"/>
      <c r="O256" s="153"/>
      <c r="P256" s="122"/>
      <c r="Q256" s="154"/>
      <c r="R256" s="139"/>
      <c r="T256" s="139"/>
      <c r="U256" s="139"/>
      <c r="W256" s="579"/>
    </row>
    <row r="257" spans="5:23" s="88" customFormat="1">
      <c r="E257" s="153"/>
      <c r="F257" s="122"/>
      <c r="J257" s="382"/>
      <c r="O257" s="153"/>
      <c r="P257" s="122"/>
      <c r="Q257" s="154"/>
      <c r="R257" s="139"/>
      <c r="T257" s="139"/>
      <c r="U257" s="139"/>
      <c r="W257" s="579"/>
    </row>
    <row r="258" spans="5:23" s="88" customFormat="1">
      <c r="E258" s="153"/>
      <c r="F258" s="122"/>
      <c r="J258" s="382"/>
      <c r="O258" s="153"/>
      <c r="P258" s="122"/>
      <c r="Q258" s="154"/>
      <c r="R258" s="139"/>
      <c r="T258" s="139"/>
      <c r="U258" s="139"/>
      <c r="W258" s="579"/>
    </row>
    <row r="259" spans="5:23" s="88" customFormat="1">
      <c r="E259" s="153"/>
      <c r="F259" s="122"/>
      <c r="J259" s="382"/>
      <c r="O259" s="153"/>
      <c r="P259" s="122"/>
      <c r="Q259" s="154"/>
      <c r="R259" s="139"/>
      <c r="T259" s="139"/>
      <c r="U259" s="139"/>
      <c r="W259" s="579"/>
    </row>
    <row r="260" spans="5:23" s="88" customFormat="1">
      <c r="E260" s="153"/>
      <c r="F260" s="122"/>
      <c r="J260" s="382"/>
      <c r="O260" s="153"/>
      <c r="P260" s="122"/>
      <c r="Q260" s="154"/>
      <c r="R260" s="139"/>
      <c r="T260" s="139"/>
      <c r="U260" s="139"/>
      <c r="W260" s="579"/>
    </row>
    <row r="261" spans="5:23" s="88" customFormat="1">
      <c r="E261" s="153"/>
      <c r="F261" s="122"/>
      <c r="J261" s="382"/>
      <c r="O261" s="153"/>
      <c r="P261" s="122"/>
      <c r="Q261" s="154"/>
      <c r="R261" s="139"/>
      <c r="T261" s="139"/>
      <c r="U261" s="139"/>
      <c r="W261" s="579"/>
    </row>
    <row r="262" spans="5:23" s="88" customFormat="1">
      <c r="E262" s="153"/>
      <c r="F262" s="122"/>
      <c r="J262" s="382"/>
      <c r="O262" s="153"/>
      <c r="P262" s="122"/>
      <c r="Q262" s="154"/>
      <c r="R262" s="139"/>
      <c r="T262" s="139"/>
      <c r="U262" s="139"/>
      <c r="W262" s="579"/>
    </row>
    <row r="263" spans="5:23" s="88" customFormat="1">
      <c r="E263" s="153"/>
      <c r="F263" s="122"/>
      <c r="J263" s="382"/>
      <c r="O263" s="153"/>
      <c r="P263" s="122"/>
      <c r="Q263" s="154"/>
      <c r="R263" s="139"/>
      <c r="T263" s="139"/>
      <c r="U263" s="139"/>
      <c r="W263" s="579"/>
    </row>
    <row r="264" spans="5:23" s="88" customFormat="1">
      <c r="E264" s="153"/>
      <c r="F264" s="122"/>
      <c r="J264" s="382"/>
      <c r="O264" s="153"/>
      <c r="P264" s="122"/>
      <c r="Q264" s="154"/>
      <c r="R264" s="139"/>
      <c r="T264" s="139"/>
      <c r="U264" s="139"/>
      <c r="W264" s="579"/>
    </row>
    <row r="265" spans="5:23" s="88" customFormat="1">
      <c r="E265" s="153"/>
      <c r="F265" s="122"/>
      <c r="J265" s="382"/>
      <c r="O265" s="153"/>
      <c r="P265" s="122"/>
      <c r="Q265" s="154"/>
      <c r="R265" s="139"/>
      <c r="T265" s="139"/>
      <c r="U265" s="139"/>
      <c r="W265" s="579"/>
    </row>
    <row r="266" spans="5:23" s="88" customFormat="1">
      <c r="E266" s="153"/>
      <c r="F266" s="122"/>
      <c r="J266" s="382"/>
      <c r="O266" s="153"/>
      <c r="P266" s="122"/>
      <c r="Q266" s="154"/>
      <c r="R266" s="139"/>
      <c r="T266" s="139"/>
      <c r="U266" s="139"/>
      <c r="W266" s="579"/>
    </row>
    <row r="267" spans="5:23" s="88" customFormat="1">
      <c r="E267" s="153"/>
      <c r="F267" s="122"/>
      <c r="J267" s="382"/>
      <c r="O267" s="153"/>
      <c r="P267" s="122"/>
      <c r="Q267" s="154"/>
      <c r="R267" s="139"/>
      <c r="T267" s="139"/>
      <c r="U267" s="139"/>
      <c r="W267" s="579"/>
    </row>
    <row r="268" spans="5:23" s="88" customFormat="1">
      <c r="E268" s="153"/>
      <c r="F268" s="122"/>
      <c r="J268" s="382"/>
      <c r="O268" s="153"/>
      <c r="P268" s="122"/>
      <c r="Q268" s="154"/>
      <c r="R268" s="139"/>
      <c r="T268" s="139"/>
      <c r="U268" s="139"/>
      <c r="W268" s="579"/>
    </row>
    <row r="269" spans="5:23" s="88" customFormat="1">
      <c r="E269" s="153"/>
      <c r="F269" s="122"/>
      <c r="J269" s="382"/>
      <c r="O269" s="153"/>
      <c r="P269" s="122"/>
      <c r="Q269" s="154"/>
      <c r="R269" s="139"/>
      <c r="T269" s="139"/>
      <c r="U269" s="139"/>
      <c r="W269" s="579"/>
    </row>
    <row r="270" spans="5:23" s="88" customFormat="1">
      <c r="E270" s="153"/>
      <c r="F270" s="122"/>
      <c r="J270" s="382"/>
      <c r="O270" s="153"/>
      <c r="P270" s="122"/>
      <c r="Q270" s="154"/>
      <c r="R270" s="139"/>
      <c r="T270" s="139"/>
      <c r="U270" s="139"/>
      <c r="W270" s="579"/>
    </row>
    <row r="271" spans="5:23" s="88" customFormat="1">
      <c r="E271" s="153"/>
      <c r="F271" s="122"/>
      <c r="J271" s="382"/>
      <c r="O271" s="153"/>
      <c r="P271" s="122"/>
      <c r="Q271" s="154"/>
      <c r="R271" s="139"/>
      <c r="T271" s="139"/>
      <c r="U271" s="139"/>
      <c r="W271" s="579"/>
    </row>
    <row r="272" spans="5:23" s="88" customFormat="1">
      <c r="E272" s="153"/>
      <c r="F272" s="122"/>
      <c r="J272" s="382"/>
      <c r="O272" s="153"/>
      <c r="P272" s="122"/>
      <c r="Q272" s="154"/>
      <c r="R272" s="139"/>
      <c r="T272" s="139"/>
      <c r="U272" s="139"/>
      <c r="W272" s="579"/>
    </row>
    <row r="273" spans="5:23" s="88" customFormat="1">
      <c r="E273" s="153"/>
      <c r="F273" s="122"/>
      <c r="J273" s="382"/>
      <c r="O273" s="153"/>
      <c r="P273" s="122"/>
      <c r="Q273" s="154"/>
      <c r="R273" s="139"/>
      <c r="T273" s="139"/>
      <c r="U273" s="139"/>
      <c r="W273" s="579"/>
    </row>
    <row r="274" spans="5:23" s="88" customFormat="1">
      <c r="E274" s="153"/>
      <c r="F274" s="122"/>
      <c r="J274" s="382"/>
      <c r="O274" s="153"/>
      <c r="P274" s="122"/>
      <c r="Q274" s="154"/>
      <c r="R274" s="139"/>
      <c r="T274" s="139"/>
      <c r="U274" s="139"/>
      <c r="W274" s="579"/>
    </row>
    <row r="275" spans="5:23" s="88" customFormat="1">
      <c r="E275" s="153"/>
      <c r="F275" s="122"/>
      <c r="J275" s="382"/>
      <c r="O275" s="153"/>
      <c r="P275" s="122"/>
      <c r="Q275" s="154"/>
      <c r="R275" s="139"/>
      <c r="T275" s="139"/>
      <c r="U275" s="139"/>
      <c r="W275" s="579"/>
    </row>
    <row r="276" spans="5:23" s="88" customFormat="1">
      <c r="E276" s="153"/>
      <c r="F276" s="122"/>
      <c r="J276" s="382"/>
      <c r="O276" s="153"/>
      <c r="P276" s="122"/>
      <c r="Q276" s="154"/>
      <c r="R276" s="139"/>
      <c r="T276" s="139"/>
      <c r="U276" s="139"/>
      <c r="W276" s="579"/>
    </row>
    <row r="277" spans="5:23" s="88" customFormat="1">
      <c r="E277" s="153"/>
      <c r="F277" s="122"/>
      <c r="J277" s="382"/>
      <c r="O277" s="153"/>
      <c r="P277" s="122"/>
      <c r="Q277" s="154"/>
      <c r="R277" s="139"/>
      <c r="T277" s="139"/>
      <c r="U277" s="139"/>
      <c r="W277" s="579"/>
    </row>
    <row r="278" spans="5:23" s="88" customFormat="1">
      <c r="E278" s="153"/>
      <c r="F278" s="122"/>
      <c r="J278" s="382"/>
      <c r="O278" s="153"/>
      <c r="P278" s="122"/>
      <c r="Q278" s="154"/>
      <c r="R278" s="139"/>
      <c r="T278" s="139"/>
      <c r="U278" s="139"/>
      <c r="W278" s="579"/>
    </row>
    <row r="279" spans="5:23" s="88" customFormat="1">
      <c r="E279" s="153"/>
      <c r="F279" s="122"/>
      <c r="J279" s="382"/>
      <c r="O279" s="153"/>
      <c r="P279" s="122"/>
      <c r="Q279" s="154"/>
      <c r="R279" s="139"/>
      <c r="T279" s="139"/>
      <c r="U279" s="139"/>
      <c r="W279" s="579"/>
    </row>
    <row r="280" spans="5:23" s="88" customFormat="1">
      <c r="E280" s="153"/>
      <c r="F280" s="122"/>
      <c r="J280" s="382"/>
      <c r="O280" s="153"/>
      <c r="P280" s="122"/>
      <c r="Q280" s="154"/>
      <c r="R280" s="139"/>
      <c r="T280" s="139"/>
      <c r="U280" s="139"/>
      <c r="W280" s="579"/>
    </row>
    <row r="281" spans="5:23" s="88" customFormat="1">
      <c r="E281" s="153"/>
      <c r="F281" s="122"/>
      <c r="J281" s="382"/>
      <c r="O281" s="153"/>
      <c r="P281" s="122"/>
      <c r="Q281" s="154"/>
      <c r="R281" s="139"/>
      <c r="T281" s="139"/>
      <c r="U281" s="139"/>
      <c r="W281" s="579"/>
    </row>
    <row r="282" spans="5:23" s="88" customFormat="1">
      <c r="E282" s="153"/>
      <c r="F282" s="122"/>
      <c r="J282" s="382"/>
      <c r="O282" s="153"/>
      <c r="P282" s="122"/>
      <c r="Q282" s="154"/>
      <c r="R282" s="139"/>
      <c r="T282" s="139"/>
      <c r="U282" s="139"/>
      <c r="W282" s="579"/>
    </row>
    <row r="283" spans="5:23" s="88" customFormat="1">
      <c r="E283" s="153"/>
      <c r="F283" s="122"/>
      <c r="J283" s="382"/>
      <c r="O283" s="153"/>
      <c r="P283" s="122"/>
      <c r="Q283" s="154"/>
      <c r="R283" s="139"/>
      <c r="T283" s="139"/>
      <c r="U283" s="139"/>
      <c r="W283" s="579"/>
    </row>
    <row r="284" spans="5:23" s="88" customFormat="1">
      <c r="E284" s="153"/>
      <c r="F284" s="122"/>
      <c r="J284" s="382"/>
      <c r="O284" s="153"/>
      <c r="P284" s="122"/>
      <c r="Q284" s="154"/>
      <c r="R284" s="139"/>
      <c r="T284" s="139"/>
      <c r="U284" s="139"/>
      <c r="W284" s="579"/>
    </row>
    <row r="285" spans="5:23" s="88" customFormat="1">
      <c r="E285" s="153"/>
      <c r="F285" s="122"/>
      <c r="J285" s="382"/>
      <c r="O285" s="153"/>
      <c r="P285" s="122"/>
      <c r="Q285" s="154"/>
      <c r="R285" s="139"/>
      <c r="T285" s="139"/>
      <c r="U285" s="139"/>
      <c r="W285" s="579"/>
    </row>
    <row r="286" spans="5:23" s="88" customFormat="1">
      <c r="E286" s="153"/>
      <c r="F286" s="122"/>
      <c r="J286" s="382"/>
      <c r="O286" s="153"/>
      <c r="P286" s="122"/>
      <c r="Q286" s="154"/>
      <c r="R286" s="139"/>
      <c r="T286" s="139"/>
      <c r="U286" s="139"/>
      <c r="W286" s="579"/>
    </row>
    <row r="287" spans="5:23" s="88" customFormat="1">
      <c r="E287" s="153"/>
      <c r="F287" s="122"/>
      <c r="J287" s="382"/>
      <c r="O287" s="153"/>
      <c r="P287" s="122"/>
      <c r="Q287" s="154"/>
      <c r="R287" s="139"/>
      <c r="T287" s="139"/>
      <c r="U287" s="139"/>
      <c r="W287" s="579"/>
    </row>
    <row r="288" spans="5:23" s="88" customFormat="1">
      <c r="E288" s="153"/>
      <c r="F288" s="122"/>
      <c r="J288" s="382"/>
      <c r="O288" s="153"/>
      <c r="P288" s="122"/>
      <c r="Q288" s="154"/>
      <c r="R288" s="139"/>
      <c r="T288" s="139"/>
      <c r="U288" s="139"/>
      <c r="W288" s="579"/>
    </row>
    <row r="289" spans="5:23" s="88" customFormat="1">
      <c r="E289" s="153"/>
      <c r="F289" s="122"/>
      <c r="J289" s="382"/>
      <c r="O289" s="153"/>
      <c r="P289" s="122"/>
      <c r="Q289" s="154"/>
      <c r="R289" s="139"/>
      <c r="T289" s="139"/>
      <c r="U289" s="139"/>
      <c r="W289" s="579"/>
    </row>
    <row r="290" spans="5:23" s="88" customFormat="1">
      <c r="E290" s="153"/>
      <c r="F290" s="122"/>
      <c r="J290" s="382"/>
      <c r="O290" s="153"/>
      <c r="P290" s="122"/>
      <c r="Q290" s="154"/>
      <c r="R290" s="139"/>
      <c r="T290" s="139"/>
      <c r="U290" s="139"/>
      <c r="W290" s="579"/>
    </row>
    <row r="291" spans="5:23" s="88" customFormat="1">
      <c r="E291" s="153"/>
      <c r="F291" s="122"/>
      <c r="J291" s="382"/>
      <c r="O291" s="153"/>
      <c r="P291" s="122"/>
      <c r="Q291" s="154"/>
      <c r="R291" s="139"/>
      <c r="T291" s="139"/>
      <c r="U291" s="139"/>
      <c r="W291" s="579"/>
    </row>
    <row r="292" spans="5:23" s="88" customFormat="1">
      <c r="E292" s="153"/>
      <c r="F292" s="122"/>
      <c r="J292" s="382"/>
      <c r="O292" s="153"/>
      <c r="P292" s="122"/>
      <c r="Q292" s="154"/>
      <c r="R292" s="139"/>
      <c r="T292" s="139"/>
      <c r="U292" s="139"/>
      <c r="W292" s="579"/>
    </row>
    <row r="293" spans="5:23" s="88" customFormat="1">
      <c r="E293" s="153"/>
      <c r="F293" s="122"/>
      <c r="J293" s="382"/>
      <c r="O293" s="153"/>
      <c r="P293" s="122"/>
      <c r="Q293" s="154"/>
      <c r="R293" s="139"/>
      <c r="T293" s="139"/>
      <c r="U293" s="139"/>
      <c r="W293" s="579"/>
    </row>
    <row r="294" spans="5:23" s="88" customFormat="1">
      <c r="E294" s="153"/>
      <c r="F294" s="122"/>
      <c r="J294" s="382"/>
      <c r="O294" s="153"/>
      <c r="P294" s="122"/>
      <c r="Q294" s="154"/>
      <c r="R294" s="139"/>
      <c r="T294" s="139"/>
      <c r="U294" s="139"/>
      <c r="W294" s="579"/>
    </row>
    <row r="295" spans="5:23" s="88" customFormat="1">
      <c r="E295" s="153"/>
      <c r="F295" s="122"/>
      <c r="J295" s="382"/>
      <c r="O295" s="153"/>
      <c r="P295" s="122"/>
      <c r="Q295" s="154"/>
      <c r="R295" s="139"/>
      <c r="T295" s="139"/>
      <c r="U295" s="139"/>
      <c r="W295" s="579"/>
    </row>
    <row r="296" spans="5:23" s="88" customFormat="1">
      <c r="E296" s="153"/>
      <c r="F296" s="122"/>
      <c r="J296" s="382"/>
      <c r="O296" s="153"/>
      <c r="P296" s="122"/>
      <c r="Q296" s="154"/>
      <c r="R296" s="139"/>
      <c r="T296" s="139"/>
      <c r="U296" s="139"/>
      <c r="W296" s="579"/>
    </row>
    <row r="297" spans="5:23" s="88" customFormat="1">
      <c r="E297" s="153"/>
      <c r="F297" s="122"/>
      <c r="J297" s="382"/>
      <c r="O297" s="153"/>
      <c r="P297" s="122"/>
      <c r="Q297" s="154"/>
      <c r="R297" s="139"/>
      <c r="T297" s="139"/>
      <c r="U297" s="139"/>
      <c r="W297" s="579"/>
    </row>
    <row r="298" spans="5:23" s="88" customFormat="1">
      <c r="E298" s="153"/>
      <c r="F298" s="122"/>
      <c r="J298" s="382"/>
      <c r="O298" s="153"/>
      <c r="P298" s="122"/>
      <c r="Q298" s="154"/>
      <c r="R298" s="139"/>
      <c r="T298" s="139"/>
      <c r="U298" s="139"/>
      <c r="W298" s="579"/>
    </row>
    <row r="299" spans="5:23" s="88" customFormat="1">
      <c r="E299" s="153"/>
      <c r="F299" s="122"/>
      <c r="J299" s="382"/>
      <c r="O299" s="153"/>
      <c r="P299" s="122"/>
      <c r="Q299" s="154"/>
      <c r="R299" s="139"/>
      <c r="T299" s="139"/>
      <c r="U299" s="139"/>
      <c r="W299" s="579"/>
    </row>
    <row r="300" spans="5:23" s="88" customFormat="1">
      <c r="E300" s="153"/>
      <c r="F300" s="122"/>
      <c r="J300" s="382"/>
      <c r="O300" s="153"/>
      <c r="P300" s="122"/>
      <c r="Q300" s="154"/>
      <c r="R300" s="139"/>
      <c r="T300" s="139"/>
      <c r="U300" s="139"/>
      <c r="W300" s="579"/>
    </row>
    <row r="301" spans="5:23" s="88" customFormat="1">
      <c r="E301" s="153"/>
      <c r="F301" s="122"/>
      <c r="J301" s="382"/>
      <c r="O301" s="153"/>
      <c r="P301" s="122"/>
      <c r="Q301" s="154"/>
      <c r="R301" s="139"/>
      <c r="T301" s="139"/>
      <c r="U301" s="139"/>
      <c r="W301" s="579"/>
    </row>
    <row r="302" spans="5:23" s="88" customFormat="1">
      <c r="E302" s="153"/>
      <c r="F302" s="122"/>
      <c r="J302" s="382"/>
      <c r="O302" s="153"/>
      <c r="P302" s="122"/>
      <c r="Q302" s="154"/>
      <c r="R302" s="139"/>
      <c r="T302" s="139"/>
      <c r="U302" s="139"/>
      <c r="W302" s="579"/>
    </row>
    <row r="303" spans="5:23" s="88" customFormat="1">
      <c r="E303" s="153"/>
      <c r="F303" s="122"/>
      <c r="J303" s="382"/>
      <c r="O303" s="153"/>
      <c r="P303" s="122"/>
      <c r="Q303" s="154"/>
      <c r="R303" s="139"/>
      <c r="T303" s="139"/>
      <c r="U303" s="139"/>
      <c r="W303" s="579"/>
    </row>
    <row r="304" spans="5:23" s="88" customFormat="1">
      <c r="E304" s="153"/>
      <c r="F304" s="122"/>
      <c r="J304" s="382"/>
      <c r="O304" s="153"/>
      <c r="P304" s="122"/>
      <c r="Q304" s="154"/>
      <c r="R304" s="139"/>
      <c r="T304" s="139"/>
      <c r="U304" s="139"/>
      <c r="W304" s="579"/>
    </row>
    <row r="305" spans="5:23" s="88" customFormat="1">
      <c r="E305" s="153"/>
      <c r="F305" s="122"/>
      <c r="J305" s="382"/>
      <c r="O305" s="153"/>
      <c r="P305" s="122"/>
      <c r="Q305" s="154"/>
      <c r="R305" s="139"/>
      <c r="T305" s="139"/>
      <c r="U305" s="139"/>
      <c r="W305" s="579"/>
    </row>
    <row r="306" spans="5:23" s="88" customFormat="1">
      <c r="E306" s="153"/>
      <c r="F306" s="122"/>
      <c r="J306" s="382"/>
      <c r="O306" s="153"/>
      <c r="P306" s="122"/>
      <c r="Q306" s="154"/>
      <c r="R306" s="139"/>
      <c r="T306" s="139"/>
      <c r="U306" s="139"/>
      <c r="W306" s="579"/>
    </row>
    <row r="307" spans="5:23" s="88" customFormat="1">
      <c r="E307" s="153"/>
      <c r="F307" s="122"/>
      <c r="J307" s="382"/>
      <c r="O307" s="153"/>
      <c r="P307" s="122"/>
      <c r="Q307" s="154"/>
      <c r="R307" s="139"/>
      <c r="T307" s="139"/>
      <c r="U307" s="139"/>
      <c r="W307" s="579"/>
    </row>
    <row r="308" spans="5:23" s="88" customFormat="1">
      <c r="E308" s="153"/>
      <c r="F308" s="122"/>
      <c r="J308" s="382"/>
      <c r="O308" s="153"/>
      <c r="P308" s="122"/>
      <c r="Q308" s="154"/>
      <c r="R308" s="139"/>
      <c r="T308" s="139"/>
      <c r="U308" s="139"/>
      <c r="W308" s="579"/>
    </row>
    <row r="309" spans="5:23" s="88" customFormat="1">
      <c r="E309" s="153"/>
      <c r="F309" s="122"/>
      <c r="J309" s="382"/>
      <c r="O309" s="153"/>
      <c r="P309" s="122"/>
      <c r="Q309" s="154"/>
      <c r="R309" s="139"/>
      <c r="T309" s="139"/>
      <c r="U309" s="139"/>
      <c r="W309" s="579"/>
    </row>
    <row r="310" spans="5:23" s="88" customFormat="1">
      <c r="E310" s="153"/>
      <c r="F310" s="122"/>
      <c r="J310" s="382"/>
      <c r="O310" s="153"/>
      <c r="P310" s="122"/>
      <c r="Q310" s="154"/>
      <c r="R310" s="139"/>
      <c r="T310" s="139"/>
      <c r="U310" s="139"/>
      <c r="W310" s="579"/>
    </row>
    <row r="311" spans="5:23" s="88" customFormat="1">
      <c r="E311" s="153"/>
      <c r="F311" s="122"/>
      <c r="J311" s="382"/>
      <c r="O311" s="153"/>
      <c r="P311" s="122"/>
      <c r="Q311" s="154"/>
      <c r="R311" s="139"/>
      <c r="T311" s="139"/>
      <c r="U311" s="139"/>
      <c r="W311" s="579"/>
    </row>
    <row r="312" spans="5:23" s="88" customFormat="1">
      <c r="E312" s="153"/>
      <c r="F312" s="122"/>
      <c r="J312" s="382"/>
      <c r="O312" s="153"/>
      <c r="P312" s="122"/>
      <c r="Q312" s="154"/>
      <c r="R312" s="139"/>
      <c r="T312" s="139"/>
      <c r="U312" s="139"/>
      <c r="W312" s="579"/>
    </row>
    <row r="313" spans="5:23" s="88" customFormat="1">
      <c r="E313" s="153"/>
      <c r="F313" s="122"/>
      <c r="J313" s="382"/>
      <c r="O313" s="153"/>
      <c r="P313" s="122"/>
      <c r="Q313" s="154"/>
      <c r="R313" s="139"/>
      <c r="T313" s="139"/>
      <c r="U313" s="139"/>
      <c r="W313" s="579"/>
    </row>
    <row r="314" spans="5:23" s="88" customFormat="1">
      <c r="E314" s="153"/>
      <c r="F314" s="122"/>
      <c r="J314" s="382"/>
      <c r="O314" s="153"/>
      <c r="P314" s="122"/>
      <c r="Q314" s="154"/>
      <c r="R314" s="139"/>
      <c r="T314" s="139"/>
      <c r="U314" s="139"/>
      <c r="W314" s="579"/>
    </row>
    <row r="315" spans="5:23" s="88" customFormat="1">
      <c r="E315" s="153"/>
      <c r="F315" s="122"/>
      <c r="J315" s="382"/>
      <c r="O315" s="153"/>
      <c r="P315" s="122"/>
      <c r="Q315" s="154"/>
      <c r="R315" s="139"/>
      <c r="T315" s="139"/>
      <c r="U315" s="139"/>
      <c r="W315" s="579"/>
    </row>
    <row r="316" spans="5:23" s="88" customFormat="1">
      <c r="E316" s="153"/>
      <c r="F316" s="122"/>
      <c r="J316" s="382"/>
      <c r="O316" s="153"/>
      <c r="P316" s="122"/>
      <c r="Q316" s="154"/>
      <c r="R316" s="139"/>
      <c r="T316" s="139"/>
      <c r="U316" s="139"/>
      <c r="W316" s="579"/>
    </row>
    <row r="317" spans="5:23" s="88" customFormat="1">
      <c r="E317" s="153"/>
      <c r="F317" s="122"/>
      <c r="J317" s="382"/>
      <c r="O317" s="153"/>
      <c r="P317" s="122"/>
      <c r="Q317" s="154"/>
      <c r="R317" s="139"/>
      <c r="T317" s="139"/>
      <c r="U317" s="139"/>
      <c r="W317" s="579"/>
    </row>
    <row r="318" spans="5:23" s="88" customFormat="1">
      <c r="E318" s="153"/>
      <c r="F318" s="122"/>
      <c r="J318" s="382"/>
      <c r="O318" s="153"/>
      <c r="P318" s="122"/>
      <c r="Q318" s="154"/>
      <c r="R318" s="139"/>
      <c r="T318" s="139"/>
      <c r="U318" s="139"/>
      <c r="W318" s="579"/>
    </row>
    <row r="319" spans="5:23" s="88" customFormat="1">
      <c r="E319" s="153"/>
      <c r="F319" s="122"/>
      <c r="J319" s="382"/>
      <c r="O319" s="153"/>
      <c r="P319" s="122"/>
      <c r="Q319" s="154"/>
      <c r="R319" s="139"/>
      <c r="T319" s="139"/>
      <c r="U319" s="139"/>
      <c r="W319" s="579"/>
    </row>
    <row r="320" spans="5:23" s="88" customFormat="1">
      <c r="E320" s="153"/>
      <c r="F320" s="122"/>
      <c r="J320" s="382"/>
      <c r="O320" s="153"/>
      <c r="P320" s="122"/>
      <c r="Q320" s="154"/>
      <c r="R320" s="139"/>
      <c r="T320" s="139"/>
      <c r="U320" s="139"/>
      <c r="W320" s="579"/>
    </row>
    <row r="321" spans="5:23" s="88" customFormat="1">
      <c r="E321" s="153"/>
      <c r="F321" s="122"/>
      <c r="J321" s="382"/>
      <c r="O321" s="153"/>
      <c r="P321" s="122"/>
      <c r="Q321" s="154"/>
      <c r="R321" s="139"/>
      <c r="T321" s="139"/>
      <c r="U321" s="139"/>
      <c r="W321" s="579"/>
    </row>
    <row r="322" spans="5:23" s="88" customFormat="1">
      <c r="E322" s="153"/>
      <c r="F322" s="122"/>
      <c r="J322" s="382"/>
      <c r="O322" s="153"/>
      <c r="P322" s="122"/>
      <c r="Q322" s="154"/>
      <c r="R322" s="139"/>
      <c r="T322" s="139"/>
      <c r="U322" s="139"/>
      <c r="W322" s="579"/>
    </row>
    <row r="323" spans="5:23" s="88" customFormat="1">
      <c r="E323" s="153"/>
      <c r="F323" s="122"/>
      <c r="J323" s="382"/>
      <c r="O323" s="153"/>
      <c r="P323" s="122"/>
      <c r="Q323" s="154"/>
      <c r="R323" s="139"/>
      <c r="T323" s="139"/>
      <c r="U323" s="139"/>
      <c r="W323" s="579"/>
    </row>
    <row r="324" spans="5:23" s="88" customFormat="1">
      <c r="E324" s="153"/>
      <c r="F324" s="122"/>
      <c r="J324" s="382"/>
      <c r="O324" s="153"/>
      <c r="P324" s="122"/>
      <c r="Q324" s="154"/>
      <c r="R324" s="139"/>
      <c r="T324" s="139"/>
      <c r="U324" s="139"/>
      <c r="W324" s="579"/>
    </row>
    <row r="325" spans="5:23" s="88" customFormat="1">
      <c r="E325" s="153"/>
      <c r="F325" s="122"/>
      <c r="J325" s="382"/>
      <c r="O325" s="153"/>
      <c r="P325" s="122"/>
      <c r="Q325" s="154"/>
      <c r="R325" s="139"/>
      <c r="T325" s="139"/>
      <c r="U325" s="139"/>
      <c r="W325" s="579"/>
    </row>
    <row r="326" spans="5:23" s="88" customFormat="1">
      <c r="E326" s="153"/>
      <c r="F326" s="122"/>
      <c r="J326" s="382"/>
      <c r="O326" s="153"/>
      <c r="P326" s="122"/>
      <c r="Q326" s="154"/>
      <c r="R326" s="139"/>
      <c r="T326" s="139"/>
      <c r="U326" s="139"/>
      <c r="W326" s="579"/>
    </row>
    <row r="327" spans="5:23" s="88" customFormat="1">
      <c r="E327" s="153"/>
      <c r="F327" s="122"/>
      <c r="J327" s="382"/>
      <c r="O327" s="153"/>
      <c r="P327" s="122"/>
      <c r="Q327" s="154"/>
      <c r="R327" s="139"/>
      <c r="T327" s="139"/>
      <c r="U327" s="139"/>
      <c r="W327" s="579"/>
    </row>
    <row r="328" spans="5:23" s="88" customFormat="1">
      <c r="E328" s="153"/>
      <c r="F328" s="122"/>
      <c r="J328" s="382"/>
      <c r="O328" s="153"/>
      <c r="P328" s="122"/>
      <c r="Q328" s="154"/>
      <c r="R328" s="139"/>
      <c r="T328" s="139"/>
      <c r="U328" s="139"/>
      <c r="W328" s="579"/>
    </row>
    <row r="329" spans="5:23" s="88" customFormat="1">
      <c r="E329" s="153"/>
      <c r="F329" s="122"/>
      <c r="J329" s="382"/>
      <c r="O329" s="153"/>
      <c r="P329" s="122"/>
      <c r="Q329" s="154"/>
      <c r="R329" s="139"/>
      <c r="T329" s="139"/>
      <c r="U329" s="139"/>
      <c r="W329" s="579"/>
    </row>
    <row r="330" spans="5:23" s="88" customFormat="1">
      <c r="E330" s="153"/>
      <c r="F330" s="122"/>
      <c r="J330" s="382"/>
      <c r="O330" s="153"/>
      <c r="P330" s="122"/>
      <c r="Q330" s="154"/>
      <c r="R330" s="139"/>
      <c r="T330" s="139"/>
      <c r="U330" s="139"/>
      <c r="W330" s="579"/>
    </row>
    <row r="331" spans="5:23" s="88" customFormat="1">
      <c r="E331" s="153"/>
      <c r="F331" s="122"/>
      <c r="J331" s="382"/>
      <c r="O331" s="153"/>
      <c r="P331" s="122"/>
      <c r="Q331" s="154"/>
      <c r="R331" s="139"/>
      <c r="T331" s="139"/>
      <c r="U331" s="139"/>
      <c r="W331" s="579"/>
    </row>
    <row r="332" spans="5:23" s="88" customFormat="1">
      <c r="E332" s="153"/>
      <c r="F332" s="122"/>
      <c r="J332" s="382"/>
      <c r="O332" s="153"/>
      <c r="P332" s="122"/>
      <c r="Q332" s="154"/>
      <c r="R332" s="139"/>
      <c r="T332" s="139"/>
      <c r="U332" s="139"/>
      <c r="W332" s="579"/>
    </row>
    <row r="333" spans="5:23" s="88" customFormat="1">
      <c r="E333" s="153"/>
      <c r="F333" s="122"/>
      <c r="J333" s="382"/>
      <c r="O333" s="153"/>
      <c r="P333" s="122"/>
      <c r="Q333" s="154"/>
      <c r="R333" s="139"/>
      <c r="T333" s="139"/>
      <c r="U333" s="139"/>
      <c r="W333" s="579"/>
    </row>
    <row r="334" spans="5:23" s="88" customFormat="1">
      <c r="E334" s="153"/>
      <c r="F334" s="122"/>
      <c r="J334" s="382"/>
      <c r="O334" s="153"/>
      <c r="P334" s="122"/>
      <c r="Q334" s="154"/>
      <c r="R334" s="139"/>
      <c r="T334" s="139"/>
      <c r="U334" s="139"/>
      <c r="W334" s="579"/>
    </row>
    <row r="335" spans="5:23" s="88" customFormat="1">
      <c r="E335" s="153"/>
      <c r="F335" s="122"/>
      <c r="J335" s="382"/>
      <c r="O335" s="153"/>
      <c r="P335" s="122"/>
      <c r="Q335" s="154"/>
      <c r="R335" s="139"/>
      <c r="T335" s="139"/>
      <c r="U335" s="139"/>
      <c r="W335" s="579"/>
    </row>
    <row r="336" spans="5:23" s="88" customFormat="1">
      <c r="E336" s="153"/>
      <c r="F336" s="122"/>
      <c r="J336" s="382"/>
      <c r="O336" s="153"/>
      <c r="P336" s="122"/>
      <c r="Q336" s="154"/>
      <c r="R336" s="139"/>
      <c r="T336" s="139"/>
      <c r="U336" s="139"/>
      <c r="W336" s="579"/>
    </row>
    <row r="337" spans="5:23" s="88" customFormat="1">
      <c r="E337" s="153"/>
      <c r="F337" s="122"/>
      <c r="J337" s="382"/>
      <c r="O337" s="153"/>
      <c r="P337" s="122"/>
      <c r="Q337" s="154"/>
      <c r="R337" s="139"/>
      <c r="T337" s="139"/>
      <c r="U337" s="139"/>
      <c r="W337" s="579"/>
    </row>
    <row r="338" spans="5:23" s="88" customFormat="1">
      <c r="E338" s="153"/>
      <c r="F338" s="122"/>
      <c r="J338" s="382"/>
      <c r="O338" s="153"/>
      <c r="P338" s="122"/>
      <c r="Q338" s="154"/>
      <c r="R338" s="139"/>
      <c r="T338" s="139"/>
      <c r="U338" s="139"/>
      <c r="W338" s="579"/>
    </row>
    <row r="339" spans="5:23" s="88" customFormat="1">
      <c r="E339" s="153"/>
      <c r="F339" s="122"/>
      <c r="J339" s="382"/>
      <c r="O339" s="153"/>
      <c r="P339" s="122"/>
      <c r="Q339" s="154"/>
      <c r="R339" s="139"/>
      <c r="T339" s="139"/>
      <c r="U339" s="139"/>
      <c r="W339" s="579"/>
    </row>
    <row r="340" spans="5:23" s="88" customFormat="1">
      <c r="E340" s="153"/>
      <c r="F340" s="122"/>
      <c r="J340" s="382"/>
      <c r="O340" s="153"/>
      <c r="P340" s="122"/>
      <c r="Q340" s="154"/>
      <c r="R340" s="139"/>
      <c r="T340" s="139"/>
      <c r="U340" s="139"/>
      <c r="W340" s="579"/>
    </row>
    <row r="341" spans="5:23" s="88" customFormat="1">
      <c r="E341" s="153"/>
      <c r="F341" s="122"/>
      <c r="J341" s="382"/>
      <c r="O341" s="153"/>
      <c r="P341" s="122"/>
      <c r="Q341" s="154"/>
      <c r="R341" s="139"/>
      <c r="T341" s="139"/>
      <c r="U341" s="139"/>
      <c r="W341" s="579"/>
    </row>
    <row r="342" spans="5:23" s="88" customFormat="1">
      <c r="E342" s="153"/>
      <c r="F342" s="122"/>
      <c r="J342" s="382"/>
      <c r="O342" s="153"/>
      <c r="P342" s="122"/>
      <c r="Q342" s="154"/>
      <c r="R342" s="139"/>
      <c r="T342" s="139"/>
      <c r="U342" s="139"/>
      <c r="W342" s="579"/>
    </row>
    <row r="343" spans="5:23" s="88" customFormat="1">
      <c r="E343" s="153"/>
      <c r="F343" s="122"/>
      <c r="J343" s="382"/>
      <c r="O343" s="153"/>
      <c r="P343" s="122"/>
      <c r="Q343" s="154"/>
      <c r="R343" s="139"/>
      <c r="T343" s="139"/>
      <c r="U343" s="139"/>
      <c r="W343" s="579"/>
    </row>
    <row r="344" spans="5:23" s="88" customFormat="1">
      <c r="E344" s="153"/>
      <c r="F344" s="122"/>
      <c r="J344" s="382"/>
      <c r="O344" s="153"/>
      <c r="P344" s="122"/>
      <c r="Q344" s="154"/>
      <c r="R344" s="139"/>
      <c r="T344" s="139"/>
      <c r="U344" s="139"/>
      <c r="W344" s="579"/>
    </row>
    <row r="345" spans="5:23" s="88" customFormat="1">
      <c r="E345" s="153"/>
      <c r="F345" s="122"/>
      <c r="J345" s="382"/>
      <c r="O345" s="153"/>
      <c r="P345" s="122"/>
      <c r="Q345" s="154"/>
      <c r="R345" s="139"/>
      <c r="T345" s="139"/>
      <c r="U345" s="139"/>
      <c r="W345" s="579"/>
    </row>
    <row r="346" spans="5:23" s="88" customFormat="1">
      <c r="E346" s="153"/>
      <c r="F346" s="122"/>
      <c r="J346" s="382"/>
      <c r="O346" s="153"/>
      <c r="P346" s="122"/>
      <c r="Q346" s="154"/>
      <c r="R346" s="139"/>
      <c r="T346" s="139"/>
      <c r="U346" s="139"/>
      <c r="W346" s="579"/>
    </row>
    <row r="347" spans="5:23" s="88" customFormat="1">
      <c r="E347" s="153"/>
      <c r="F347" s="122"/>
      <c r="J347" s="382"/>
      <c r="O347" s="153"/>
      <c r="P347" s="122"/>
      <c r="Q347" s="154"/>
      <c r="R347" s="139"/>
      <c r="T347" s="139"/>
      <c r="U347" s="139"/>
      <c r="W347" s="579"/>
    </row>
    <row r="348" spans="5:23" s="88" customFormat="1">
      <c r="E348" s="153"/>
      <c r="F348" s="122"/>
      <c r="J348" s="382"/>
      <c r="O348" s="153"/>
      <c r="P348" s="122"/>
      <c r="Q348" s="154"/>
      <c r="R348" s="139"/>
      <c r="T348" s="139"/>
      <c r="U348" s="139"/>
      <c r="W348" s="579"/>
    </row>
    <row r="349" spans="5:23" s="88" customFormat="1">
      <c r="E349" s="153"/>
      <c r="F349" s="122"/>
      <c r="J349" s="382"/>
      <c r="O349" s="153"/>
      <c r="P349" s="122"/>
      <c r="Q349" s="154"/>
      <c r="R349" s="139"/>
      <c r="T349" s="139"/>
      <c r="U349" s="139"/>
      <c r="W349" s="579"/>
    </row>
    <row r="350" spans="5:23" s="88" customFormat="1">
      <c r="E350" s="153"/>
      <c r="F350" s="122"/>
      <c r="J350" s="382"/>
      <c r="O350" s="153"/>
      <c r="P350" s="122"/>
      <c r="Q350" s="154"/>
      <c r="R350" s="139"/>
      <c r="T350" s="139"/>
      <c r="U350" s="139"/>
      <c r="W350" s="579"/>
    </row>
    <row r="351" spans="5:23" s="88" customFormat="1">
      <c r="E351" s="153"/>
      <c r="F351" s="122"/>
      <c r="J351" s="382"/>
      <c r="O351" s="153"/>
      <c r="P351" s="122"/>
      <c r="Q351" s="154"/>
      <c r="R351" s="139"/>
      <c r="T351" s="139"/>
      <c r="U351" s="139"/>
      <c r="W351" s="579"/>
    </row>
    <row r="352" spans="5:23" s="88" customFormat="1">
      <c r="E352" s="153"/>
      <c r="F352" s="122"/>
      <c r="J352" s="382"/>
      <c r="O352" s="153"/>
      <c r="P352" s="122"/>
      <c r="Q352" s="154"/>
      <c r="R352" s="139"/>
      <c r="T352" s="139"/>
      <c r="U352" s="139"/>
      <c r="W352" s="579"/>
    </row>
    <row r="353" spans="5:23" s="88" customFormat="1">
      <c r="E353" s="153"/>
      <c r="F353" s="122"/>
      <c r="J353" s="382"/>
      <c r="O353" s="153"/>
      <c r="P353" s="122"/>
      <c r="Q353" s="154"/>
      <c r="R353" s="139"/>
      <c r="T353" s="139"/>
      <c r="U353" s="139"/>
      <c r="W353" s="579"/>
    </row>
    <row r="354" spans="5:23" s="88" customFormat="1">
      <c r="E354" s="153"/>
      <c r="F354" s="122"/>
      <c r="J354" s="382"/>
      <c r="O354" s="153"/>
      <c r="P354" s="122"/>
      <c r="Q354" s="154"/>
      <c r="R354" s="139"/>
      <c r="T354" s="139"/>
      <c r="U354" s="139"/>
      <c r="W354" s="579"/>
    </row>
    <row r="355" spans="5:23" s="88" customFormat="1">
      <c r="E355" s="153"/>
      <c r="F355" s="122"/>
      <c r="J355" s="382"/>
      <c r="O355" s="153"/>
      <c r="P355" s="122"/>
      <c r="Q355" s="154"/>
      <c r="R355" s="139"/>
      <c r="T355" s="139"/>
      <c r="U355" s="139"/>
      <c r="W355" s="579"/>
    </row>
    <row r="356" spans="5:23" s="88" customFormat="1">
      <c r="E356" s="153"/>
      <c r="F356" s="122"/>
      <c r="J356" s="382"/>
      <c r="O356" s="153"/>
      <c r="P356" s="122"/>
      <c r="Q356" s="154"/>
      <c r="R356" s="139"/>
      <c r="T356" s="139"/>
      <c r="U356" s="139"/>
      <c r="W356" s="579"/>
    </row>
    <row r="357" spans="5:23" s="88" customFormat="1">
      <c r="E357" s="153"/>
      <c r="F357" s="122"/>
      <c r="J357" s="382"/>
      <c r="O357" s="153"/>
      <c r="P357" s="122"/>
      <c r="Q357" s="154"/>
      <c r="R357" s="139"/>
      <c r="T357" s="139"/>
      <c r="U357" s="139"/>
      <c r="W357" s="579"/>
    </row>
    <row r="358" spans="5:23" s="88" customFormat="1">
      <c r="E358" s="153"/>
      <c r="F358" s="122"/>
      <c r="J358" s="382"/>
      <c r="O358" s="153"/>
      <c r="P358" s="122"/>
      <c r="Q358" s="154"/>
      <c r="R358" s="139"/>
      <c r="T358" s="139"/>
      <c r="U358" s="139"/>
      <c r="W358" s="579"/>
    </row>
    <row r="359" spans="5:23" s="88" customFormat="1">
      <c r="E359" s="153"/>
      <c r="F359" s="122"/>
      <c r="J359" s="382"/>
      <c r="O359" s="153"/>
      <c r="P359" s="122"/>
      <c r="Q359" s="154"/>
      <c r="R359" s="139"/>
      <c r="T359" s="139"/>
      <c r="U359" s="139"/>
      <c r="W359" s="579"/>
    </row>
    <row r="360" spans="5:23" s="88" customFormat="1">
      <c r="E360" s="153"/>
      <c r="F360" s="122"/>
      <c r="J360" s="382"/>
      <c r="O360" s="153"/>
      <c r="P360" s="122"/>
      <c r="Q360" s="154"/>
      <c r="R360" s="139"/>
      <c r="T360" s="139"/>
      <c r="U360" s="139"/>
      <c r="W360" s="579"/>
    </row>
    <row r="361" spans="5:23" s="88" customFormat="1">
      <c r="E361" s="153"/>
      <c r="F361" s="122"/>
      <c r="J361" s="382"/>
      <c r="O361" s="153"/>
      <c r="P361" s="122"/>
      <c r="Q361" s="154"/>
      <c r="R361" s="139"/>
      <c r="T361" s="139"/>
      <c r="U361" s="139"/>
      <c r="W361" s="579"/>
    </row>
    <row r="362" spans="5:23" s="88" customFormat="1">
      <c r="E362" s="153"/>
      <c r="F362" s="122"/>
      <c r="J362" s="382"/>
      <c r="O362" s="153"/>
      <c r="P362" s="122"/>
      <c r="Q362" s="154"/>
      <c r="R362" s="139"/>
      <c r="T362" s="139"/>
      <c r="U362" s="139"/>
      <c r="W362" s="579"/>
    </row>
    <row r="363" spans="5:23" s="88" customFormat="1">
      <c r="E363" s="153"/>
      <c r="F363" s="122"/>
      <c r="J363" s="382"/>
      <c r="O363" s="153"/>
      <c r="P363" s="122"/>
      <c r="Q363" s="154"/>
      <c r="R363" s="139"/>
      <c r="T363" s="139"/>
      <c r="U363" s="139"/>
      <c r="W363" s="579"/>
    </row>
    <row r="364" spans="5:23" s="88" customFormat="1">
      <c r="E364" s="153"/>
      <c r="F364" s="122"/>
      <c r="J364" s="382"/>
      <c r="O364" s="153"/>
      <c r="P364" s="122"/>
      <c r="Q364" s="154"/>
      <c r="R364" s="139"/>
      <c r="T364" s="139"/>
      <c r="U364" s="139"/>
      <c r="W364" s="579"/>
    </row>
    <row r="365" spans="5:23" s="88" customFormat="1">
      <c r="E365" s="153"/>
      <c r="F365" s="122"/>
      <c r="J365" s="382"/>
      <c r="O365" s="153"/>
      <c r="P365" s="122"/>
      <c r="Q365" s="154"/>
      <c r="R365" s="139"/>
      <c r="T365" s="139"/>
      <c r="U365" s="139"/>
      <c r="W365" s="579"/>
    </row>
    <row r="366" spans="5:23" s="88" customFormat="1">
      <c r="E366" s="153"/>
      <c r="F366" s="122"/>
      <c r="J366" s="382"/>
      <c r="O366" s="153"/>
      <c r="P366" s="122"/>
      <c r="Q366" s="154"/>
      <c r="R366" s="139"/>
      <c r="T366" s="139"/>
      <c r="U366" s="139"/>
      <c r="W366" s="579"/>
    </row>
    <row r="367" spans="5:23" s="88" customFormat="1">
      <c r="E367" s="153"/>
      <c r="F367" s="122"/>
      <c r="J367" s="382"/>
      <c r="O367" s="153"/>
      <c r="P367" s="122"/>
      <c r="Q367" s="154"/>
      <c r="R367" s="139"/>
      <c r="T367" s="139"/>
      <c r="U367" s="139"/>
      <c r="W367" s="579"/>
    </row>
    <row r="368" spans="5:23" s="88" customFormat="1">
      <c r="E368" s="153"/>
      <c r="F368" s="122"/>
      <c r="J368" s="382"/>
      <c r="O368" s="153"/>
      <c r="P368" s="122"/>
      <c r="Q368" s="154"/>
      <c r="R368" s="139"/>
      <c r="T368" s="139"/>
      <c r="U368" s="139"/>
      <c r="W368" s="579"/>
    </row>
    <row r="369" spans="5:23" s="88" customFormat="1">
      <c r="E369" s="153"/>
      <c r="F369" s="122"/>
      <c r="J369" s="382"/>
      <c r="O369" s="153"/>
      <c r="P369" s="122"/>
      <c r="Q369" s="154"/>
      <c r="R369" s="139"/>
      <c r="T369" s="139"/>
      <c r="U369" s="139"/>
      <c r="W369" s="579"/>
    </row>
    <row r="370" spans="5:23" s="88" customFormat="1">
      <c r="E370" s="153"/>
      <c r="F370" s="122"/>
      <c r="J370" s="382"/>
      <c r="O370" s="153"/>
      <c r="P370" s="122"/>
      <c r="Q370" s="154"/>
      <c r="R370" s="139"/>
      <c r="T370" s="139"/>
      <c r="U370" s="139"/>
      <c r="W370" s="579"/>
    </row>
    <row r="371" spans="5:23" s="88" customFormat="1">
      <c r="E371" s="153"/>
      <c r="F371" s="122"/>
      <c r="J371" s="382"/>
      <c r="O371" s="153"/>
      <c r="P371" s="122"/>
      <c r="Q371" s="154"/>
      <c r="R371" s="139"/>
      <c r="T371" s="139"/>
      <c r="U371" s="139"/>
      <c r="W371" s="579"/>
    </row>
    <row r="372" spans="5:23" s="88" customFormat="1">
      <c r="E372" s="153"/>
      <c r="F372" s="122"/>
      <c r="J372" s="382"/>
      <c r="O372" s="153"/>
      <c r="P372" s="122"/>
      <c r="Q372" s="154"/>
      <c r="R372" s="139"/>
      <c r="T372" s="139"/>
      <c r="U372" s="139"/>
      <c r="W372" s="579"/>
    </row>
    <row r="373" spans="5:23" s="88" customFormat="1">
      <c r="E373" s="153"/>
      <c r="F373" s="122"/>
      <c r="J373" s="382"/>
      <c r="O373" s="153"/>
      <c r="P373" s="122"/>
      <c r="Q373" s="154"/>
      <c r="R373" s="139"/>
      <c r="T373" s="139"/>
      <c r="U373" s="139"/>
      <c r="W373" s="579"/>
    </row>
    <row r="374" spans="5:23" s="88" customFormat="1">
      <c r="E374" s="153"/>
      <c r="F374" s="122"/>
      <c r="J374" s="382"/>
      <c r="O374" s="153"/>
      <c r="P374" s="122"/>
      <c r="Q374" s="154"/>
      <c r="R374" s="139"/>
      <c r="T374" s="139"/>
      <c r="U374" s="139"/>
      <c r="W374" s="579"/>
    </row>
    <row r="375" spans="5:23" s="88" customFormat="1">
      <c r="E375" s="153"/>
      <c r="F375" s="122"/>
      <c r="J375" s="382"/>
      <c r="O375" s="153"/>
      <c r="P375" s="122"/>
      <c r="Q375" s="154"/>
      <c r="R375" s="139"/>
      <c r="T375" s="139"/>
      <c r="U375" s="139"/>
      <c r="W375" s="579"/>
    </row>
    <row r="376" spans="5:23" s="88" customFormat="1">
      <c r="E376" s="153"/>
      <c r="F376" s="122"/>
      <c r="J376" s="382"/>
      <c r="O376" s="153"/>
      <c r="P376" s="122"/>
      <c r="Q376" s="154"/>
      <c r="R376" s="139"/>
      <c r="T376" s="139"/>
      <c r="U376" s="139"/>
      <c r="W376" s="579"/>
    </row>
    <row r="377" spans="5:23" s="88" customFormat="1">
      <c r="E377" s="153"/>
      <c r="F377" s="122"/>
      <c r="J377" s="382"/>
      <c r="O377" s="153"/>
      <c r="P377" s="122"/>
      <c r="Q377" s="154"/>
      <c r="R377" s="139"/>
      <c r="T377" s="139"/>
      <c r="U377" s="139"/>
      <c r="W377" s="579"/>
    </row>
    <row r="378" spans="5:23" s="88" customFormat="1">
      <c r="E378" s="153"/>
      <c r="F378" s="122"/>
      <c r="J378" s="382"/>
      <c r="O378" s="153"/>
      <c r="P378" s="122"/>
      <c r="Q378" s="154"/>
      <c r="R378" s="139"/>
      <c r="T378" s="139"/>
      <c r="U378" s="139"/>
      <c r="W378" s="579"/>
    </row>
    <row r="379" spans="5:23" s="88" customFormat="1">
      <c r="E379" s="153"/>
      <c r="F379" s="122"/>
      <c r="J379" s="382"/>
      <c r="O379" s="153"/>
      <c r="P379" s="122"/>
      <c r="Q379" s="154"/>
      <c r="R379" s="139"/>
      <c r="T379" s="139"/>
      <c r="U379" s="139"/>
      <c r="W379" s="579"/>
    </row>
    <row r="380" spans="5:23" s="88" customFormat="1">
      <c r="E380" s="153"/>
      <c r="F380" s="122"/>
      <c r="J380" s="382"/>
      <c r="O380" s="153"/>
      <c r="P380" s="122"/>
      <c r="Q380" s="154"/>
      <c r="R380" s="139"/>
      <c r="T380" s="139"/>
      <c r="U380" s="139"/>
      <c r="W380" s="579"/>
    </row>
    <row r="381" spans="5:23" s="88" customFormat="1">
      <c r="E381" s="153"/>
      <c r="F381" s="122"/>
      <c r="J381" s="382"/>
      <c r="O381" s="153"/>
      <c r="P381" s="122"/>
      <c r="Q381" s="154"/>
      <c r="R381" s="139"/>
      <c r="T381" s="139"/>
      <c r="U381" s="139"/>
      <c r="W381" s="579"/>
    </row>
    <row r="382" spans="5:23" s="88" customFormat="1">
      <c r="E382" s="153"/>
      <c r="F382" s="122"/>
      <c r="J382" s="382"/>
      <c r="O382" s="153"/>
      <c r="P382" s="122"/>
      <c r="Q382" s="154"/>
      <c r="R382" s="139"/>
      <c r="T382" s="139"/>
      <c r="U382" s="139"/>
      <c r="W382" s="579"/>
    </row>
    <row r="383" spans="5:23" s="88" customFormat="1">
      <c r="E383" s="153"/>
      <c r="F383" s="122"/>
      <c r="J383" s="382"/>
      <c r="O383" s="153"/>
      <c r="P383" s="122"/>
      <c r="Q383" s="154"/>
      <c r="R383" s="139"/>
      <c r="T383" s="139"/>
      <c r="U383" s="139"/>
      <c r="W383" s="579"/>
    </row>
    <row r="384" spans="5:23" s="88" customFormat="1">
      <c r="E384" s="153"/>
      <c r="F384" s="122"/>
      <c r="J384" s="382"/>
      <c r="O384" s="153"/>
      <c r="P384" s="122"/>
      <c r="Q384" s="154"/>
      <c r="R384" s="139"/>
      <c r="T384" s="139"/>
      <c r="U384" s="139"/>
      <c r="W384" s="579"/>
    </row>
    <row r="385" spans="5:23" s="88" customFormat="1">
      <c r="E385" s="153"/>
      <c r="F385" s="122"/>
      <c r="J385" s="382"/>
      <c r="O385" s="153"/>
      <c r="P385" s="122"/>
      <c r="Q385" s="154"/>
      <c r="R385" s="139"/>
      <c r="T385" s="139"/>
      <c r="U385" s="139"/>
      <c r="W385" s="579"/>
    </row>
    <row r="386" spans="5:23" s="88" customFormat="1">
      <c r="E386" s="153"/>
      <c r="F386" s="122"/>
      <c r="J386" s="382"/>
      <c r="O386" s="153"/>
      <c r="P386" s="122"/>
      <c r="Q386" s="154"/>
      <c r="R386" s="139"/>
      <c r="T386" s="139"/>
      <c r="U386" s="139"/>
      <c r="W386" s="579"/>
    </row>
    <row r="387" spans="5:23" s="88" customFormat="1">
      <c r="E387" s="153"/>
      <c r="F387" s="122"/>
      <c r="J387" s="382"/>
      <c r="O387" s="153"/>
      <c r="P387" s="122"/>
      <c r="Q387" s="154"/>
      <c r="R387" s="139"/>
      <c r="T387" s="139"/>
      <c r="U387" s="139"/>
      <c r="W387" s="579"/>
    </row>
    <row r="388" spans="5:23" s="88" customFormat="1">
      <c r="E388" s="153"/>
      <c r="F388" s="122"/>
      <c r="J388" s="382"/>
      <c r="O388" s="153"/>
      <c r="P388" s="122"/>
      <c r="Q388" s="154"/>
      <c r="R388" s="139"/>
      <c r="T388" s="139"/>
      <c r="U388" s="139"/>
      <c r="W388" s="579"/>
    </row>
    <row r="389" spans="5:23" s="88" customFormat="1">
      <c r="E389" s="153"/>
      <c r="F389" s="122"/>
      <c r="J389" s="382"/>
      <c r="O389" s="153"/>
      <c r="P389" s="122"/>
      <c r="Q389" s="154"/>
      <c r="R389" s="139"/>
      <c r="T389" s="139"/>
      <c r="U389" s="139"/>
      <c r="W389" s="579"/>
    </row>
    <row r="390" spans="5:23" s="88" customFormat="1">
      <c r="E390" s="153"/>
      <c r="F390" s="122"/>
      <c r="J390" s="382"/>
      <c r="O390" s="153"/>
      <c r="P390" s="122"/>
      <c r="Q390" s="154"/>
      <c r="R390" s="139"/>
      <c r="T390" s="139"/>
      <c r="U390" s="139"/>
      <c r="W390" s="579"/>
    </row>
    <row r="391" spans="5:23" s="88" customFormat="1">
      <c r="E391" s="153"/>
      <c r="F391" s="122"/>
      <c r="J391" s="382"/>
      <c r="O391" s="153"/>
      <c r="P391" s="122"/>
      <c r="Q391" s="154"/>
      <c r="R391" s="139"/>
      <c r="T391" s="139"/>
      <c r="U391" s="139"/>
      <c r="W391" s="579"/>
    </row>
    <row r="392" spans="5:23" s="88" customFormat="1">
      <c r="E392" s="153"/>
      <c r="F392" s="122"/>
      <c r="J392" s="382"/>
      <c r="O392" s="153"/>
      <c r="P392" s="122"/>
      <c r="Q392" s="154"/>
      <c r="R392" s="139"/>
      <c r="T392" s="139"/>
      <c r="U392" s="139"/>
      <c r="W392" s="579"/>
    </row>
    <row r="393" spans="5:23" s="88" customFormat="1">
      <c r="E393" s="153"/>
      <c r="F393" s="122"/>
      <c r="J393" s="382"/>
      <c r="O393" s="153"/>
      <c r="P393" s="122"/>
      <c r="Q393" s="154"/>
      <c r="R393" s="139"/>
      <c r="T393" s="139"/>
      <c r="U393" s="139"/>
      <c r="W393" s="579"/>
    </row>
    <row r="394" spans="5:23" s="88" customFormat="1">
      <c r="E394" s="153"/>
      <c r="F394" s="122"/>
      <c r="J394" s="382"/>
      <c r="O394" s="153"/>
      <c r="P394" s="122"/>
      <c r="Q394" s="154"/>
      <c r="R394" s="139"/>
      <c r="T394" s="139"/>
      <c r="U394" s="139"/>
      <c r="W394" s="579"/>
    </row>
    <row r="395" spans="5:23" s="88" customFormat="1">
      <c r="E395" s="153"/>
      <c r="F395" s="122"/>
      <c r="J395" s="382"/>
      <c r="O395" s="153"/>
      <c r="P395" s="122"/>
      <c r="Q395" s="154"/>
      <c r="R395" s="139"/>
      <c r="T395" s="139"/>
      <c r="U395" s="139"/>
      <c r="W395" s="579"/>
    </row>
    <row r="396" spans="5:23" s="88" customFormat="1">
      <c r="E396" s="153"/>
      <c r="F396" s="122"/>
      <c r="J396" s="382"/>
      <c r="O396" s="153"/>
      <c r="P396" s="122"/>
      <c r="Q396" s="154"/>
      <c r="R396" s="139"/>
      <c r="T396" s="139"/>
      <c r="U396" s="139"/>
      <c r="W396" s="579"/>
    </row>
    <row r="397" spans="5:23" s="88" customFormat="1">
      <c r="E397" s="153"/>
      <c r="F397" s="122"/>
      <c r="J397" s="382"/>
      <c r="O397" s="153"/>
      <c r="P397" s="122"/>
      <c r="Q397" s="154"/>
      <c r="R397" s="139"/>
      <c r="T397" s="139"/>
      <c r="U397" s="139"/>
      <c r="W397" s="579"/>
    </row>
    <row r="398" spans="5:23" s="88" customFormat="1">
      <c r="E398" s="153"/>
      <c r="F398" s="122"/>
      <c r="J398" s="382"/>
      <c r="O398" s="153"/>
      <c r="P398" s="122"/>
      <c r="Q398" s="154"/>
      <c r="R398" s="139"/>
      <c r="T398" s="139"/>
      <c r="U398" s="139"/>
      <c r="W398" s="579"/>
    </row>
    <row r="399" spans="5:23" s="88" customFormat="1">
      <c r="E399" s="153"/>
      <c r="F399" s="122"/>
      <c r="J399" s="382"/>
      <c r="O399" s="153"/>
      <c r="P399" s="122"/>
      <c r="Q399" s="154"/>
      <c r="R399" s="139"/>
      <c r="T399" s="139"/>
      <c r="U399" s="139"/>
      <c r="W399" s="579"/>
    </row>
    <row r="400" spans="5:23" s="88" customFormat="1">
      <c r="E400" s="153"/>
      <c r="F400" s="122"/>
      <c r="J400" s="382"/>
      <c r="O400" s="153"/>
      <c r="P400" s="122"/>
      <c r="Q400" s="154"/>
      <c r="R400" s="139"/>
      <c r="T400" s="139"/>
      <c r="U400" s="139"/>
      <c r="W400" s="579"/>
    </row>
    <row r="401" spans="5:23" s="88" customFormat="1">
      <c r="E401" s="153"/>
      <c r="F401" s="122"/>
      <c r="J401" s="382"/>
      <c r="O401" s="153"/>
      <c r="P401" s="122"/>
      <c r="Q401" s="154"/>
      <c r="R401" s="139"/>
      <c r="T401" s="139"/>
      <c r="U401" s="139"/>
      <c r="W401" s="579"/>
    </row>
    <row r="402" spans="5:23" s="88" customFormat="1">
      <c r="E402" s="153"/>
      <c r="F402" s="122"/>
      <c r="J402" s="382"/>
      <c r="O402" s="153"/>
      <c r="P402" s="122"/>
      <c r="Q402" s="154"/>
      <c r="R402" s="139"/>
      <c r="T402" s="139"/>
      <c r="U402" s="139"/>
      <c r="W402" s="579"/>
    </row>
    <row r="403" spans="5:23" s="88" customFormat="1">
      <c r="E403" s="153"/>
      <c r="F403" s="122"/>
      <c r="J403" s="382"/>
      <c r="O403" s="153"/>
      <c r="P403" s="122"/>
      <c r="Q403" s="154"/>
      <c r="R403" s="139"/>
      <c r="T403" s="139"/>
      <c r="U403" s="139"/>
      <c r="W403" s="579"/>
    </row>
    <row r="404" spans="5:23" s="88" customFormat="1">
      <c r="E404" s="153"/>
      <c r="F404" s="122"/>
      <c r="J404" s="382"/>
      <c r="O404" s="153"/>
      <c r="P404" s="122"/>
      <c r="Q404" s="154"/>
      <c r="R404" s="139"/>
      <c r="T404" s="139"/>
      <c r="U404" s="139"/>
      <c r="W404" s="579"/>
    </row>
    <row r="405" spans="5:23" s="88" customFormat="1">
      <c r="E405" s="153"/>
      <c r="F405" s="122"/>
      <c r="J405" s="382"/>
      <c r="O405" s="153"/>
      <c r="P405" s="122"/>
      <c r="Q405" s="154"/>
      <c r="R405" s="139"/>
      <c r="T405" s="139"/>
      <c r="U405" s="139"/>
      <c r="W405" s="579"/>
    </row>
    <row r="406" spans="5:23" s="88" customFormat="1">
      <c r="E406" s="153"/>
      <c r="F406" s="122"/>
      <c r="J406" s="382"/>
      <c r="O406" s="153"/>
      <c r="P406" s="122"/>
      <c r="Q406" s="154"/>
      <c r="R406" s="139"/>
      <c r="T406" s="139"/>
      <c r="U406" s="139"/>
      <c r="W406" s="579"/>
    </row>
    <row r="407" spans="5:23" s="88" customFormat="1">
      <c r="E407" s="153"/>
      <c r="F407" s="122"/>
      <c r="J407" s="382"/>
      <c r="O407" s="153"/>
      <c r="P407" s="122"/>
      <c r="Q407" s="154"/>
      <c r="R407" s="139"/>
      <c r="T407" s="139"/>
      <c r="U407" s="139"/>
      <c r="W407" s="579"/>
    </row>
    <row r="408" spans="5:23" s="88" customFormat="1">
      <c r="E408" s="153"/>
      <c r="F408" s="122"/>
      <c r="J408" s="382"/>
      <c r="O408" s="153"/>
      <c r="P408" s="122"/>
      <c r="Q408" s="154"/>
      <c r="R408" s="139"/>
      <c r="T408" s="139"/>
      <c r="U408" s="139"/>
      <c r="W408" s="579"/>
    </row>
    <row r="409" spans="5:23" s="88" customFormat="1">
      <c r="E409" s="153"/>
      <c r="F409" s="122"/>
      <c r="J409" s="382"/>
      <c r="O409" s="153"/>
      <c r="P409" s="122"/>
      <c r="Q409" s="154"/>
      <c r="R409" s="139"/>
      <c r="T409" s="139"/>
      <c r="U409" s="139"/>
      <c r="W409" s="579"/>
    </row>
    <row r="410" spans="5:23" s="88" customFormat="1">
      <c r="E410" s="153"/>
      <c r="F410" s="122"/>
      <c r="J410" s="382"/>
      <c r="O410" s="153"/>
      <c r="P410" s="122"/>
      <c r="Q410" s="154"/>
      <c r="R410" s="139"/>
      <c r="T410" s="139"/>
      <c r="U410" s="139"/>
      <c r="W410" s="579"/>
    </row>
    <row r="411" spans="5:23" s="88" customFormat="1">
      <c r="E411" s="153"/>
      <c r="F411" s="122"/>
      <c r="J411" s="382"/>
      <c r="O411" s="153"/>
      <c r="P411" s="122"/>
      <c r="Q411" s="154"/>
      <c r="R411" s="139"/>
      <c r="T411" s="139"/>
      <c r="U411" s="139"/>
      <c r="W411" s="579"/>
    </row>
    <row r="412" spans="5:23" s="88" customFormat="1">
      <c r="E412" s="153"/>
      <c r="F412" s="122"/>
      <c r="J412" s="382"/>
      <c r="O412" s="153"/>
      <c r="P412" s="122"/>
      <c r="Q412" s="154"/>
      <c r="R412" s="139"/>
      <c r="T412" s="139"/>
      <c r="U412" s="139"/>
      <c r="W412" s="579"/>
    </row>
    <row r="413" spans="5:23" s="88" customFormat="1">
      <c r="E413" s="153"/>
      <c r="F413" s="122"/>
      <c r="J413" s="382"/>
      <c r="O413" s="153"/>
      <c r="P413" s="122"/>
      <c r="Q413" s="154"/>
      <c r="R413" s="139"/>
      <c r="T413" s="139"/>
      <c r="U413" s="139"/>
      <c r="W413" s="579"/>
    </row>
    <row r="414" spans="5:23" s="88" customFormat="1">
      <c r="E414" s="153"/>
      <c r="F414" s="122"/>
      <c r="J414" s="382"/>
      <c r="O414" s="153"/>
      <c r="P414" s="122"/>
      <c r="Q414" s="154"/>
      <c r="R414" s="139"/>
      <c r="T414" s="139"/>
      <c r="U414" s="139"/>
      <c r="W414" s="579"/>
    </row>
    <row r="415" spans="5:23" s="88" customFormat="1">
      <c r="E415" s="153"/>
      <c r="F415" s="122"/>
      <c r="J415" s="382"/>
      <c r="O415" s="153"/>
      <c r="P415" s="122"/>
      <c r="Q415" s="154"/>
      <c r="R415" s="139"/>
      <c r="T415" s="139"/>
      <c r="U415" s="139"/>
      <c r="W415" s="579"/>
    </row>
    <row r="416" spans="5:23" s="88" customFormat="1">
      <c r="E416" s="153"/>
      <c r="F416" s="122"/>
      <c r="J416" s="382"/>
      <c r="O416" s="153"/>
      <c r="P416" s="122"/>
      <c r="Q416" s="154"/>
      <c r="R416" s="139"/>
      <c r="T416" s="139"/>
      <c r="U416" s="139"/>
      <c r="W416" s="579"/>
    </row>
    <row r="417" spans="5:23" s="88" customFormat="1">
      <c r="E417" s="153"/>
      <c r="F417" s="122"/>
      <c r="J417" s="382"/>
      <c r="O417" s="153"/>
      <c r="P417" s="122"/>
      <c r="Q417" s="154"/>
      <c r="R417" s="139"/>
      <c r="T417" s="139"/>
      <c r="U417" s="139"/>
      <c r="W417" s="579"/>
    </row>
    <row r="418" spans="5:23" s="88" customFormat="1">
      <c r="E418" s="153"/>
      <c r="F418" s="122"/>
      <c r="J418" s="382"/>
      <c r="O418" s="153"/>
      <c r="P418" s="122"/>
      <c r="Q418" s="154"/>
      <c r="R418" s="139"/>
      <c r="T418" s="139"/>
      <c r="U418" s="139"/>
      <c r="W418" s="579"/>
    </row>
    <row r="419" spans="5:23" s="88" customFormat="1">
      <c r="E419" s="153"/>
      <c r="F419" s="122"/>
      <c r="J419" s="382"/>
      <c r="O419" s="153"/>
      <c r="P419" s="122"/>
      <c r="Q419" s="154"/>
      <c r="R419" s="139"/>
      <c r="T419" s="139"/>
      <c r="U419" s="139"/>
      <c r="W419" s="579"/>
    </row>
    <row r="420" spans="5:23" s="88" customFormat="1">
      <c r="E420" s="153"/>
      <c r="F420" s="122"/>
      <c r="J420" s="382"/>
      <c r="O420" s="153"/>
      <c r="P420" s="122"/>
      <c r="Q420" s="154"/>
      <c r="R420" s="139"/>
      <c r="T420" s="139"/>
      <c r="U420" s="139"/>
      <c r="W420" s="579"/>
    </row>
    <row r="421" spans="5:23" s="88" customFormat="1">
      <c r="E421" s="153"/>
      <c r="F421" s="122"/>
      <c r="J421" s="382"/>
      <c r="O421" s="153"/>
      <c r="P421" s="122"/>
      <c r="Q421" s="154"/>
      <c r="R421" s="139"/>
      <c r="T421" s="139"/>
      <c r="U421" s="139"/>
      <c r="W421" s="579"/>
    </row>
    <row r="422" spans="5:23" s="88" customFormat="1">
      <c r="E422" s="153"/>
      <c r="F422" s="122"/>
      <c r="J422" s="382"/>
      <c r="O422" s="153"/>
      <c r="P422" s="122"/>
      <c r="Q422" s="154"/>
      <c r="R422" s="139"/>
      <c r="T422" s="139"/>
      <c r="U422" s="139"/>
      <c r="W422" s="579"/>
    </row>
    <row r="423" spans="5:23" s="88" customFormat="1">
      <c r="E423" s="153"/>
      <c r="F423" s="122"/>
      <c r="J423" s="382"/>
      <c r="O423" s="153"/>
      <c r="P423" s="122"/>
      <c r="Q423" s="154"/>
      <c r="R423" s="139"/>
      <c r="T423" s="139"/>
      <c r="U423" s="139"/>
      <c r="W423" s="579"/>
    </row>
    <row r="424" spans="5:23" s="88" customFormat="1">
      <c r="E424" s="153"/>
      <c r="F424" s="122"/>
      <c r="J424" s="382"/>
      <c r="O424" s="153"/>
      <c r="P424" s="122"/>
      <c r="Q424" s="154"/>
      <c r="R424" s="139"/>
      <c r="T424" s="139"/>
      <c r="U424" s="139"/>
      <c r="W424" s="579"/>
    </row>
    <row r="425" spans="5:23" s="88" customFormat="1">
      <c r="E425" s="153"/>
      <c r="F425" s="122"/>
      <c r="J425" s="382"/>
      <c r="O425" s="153"/>
      <c r="P425" s="122"/>
      <c r="Q425" s="154"/>
      <c r="R425" s="139"/>
      <c r="T425" s="139"/>
      <c r="U425" s="139"/>
      <c r="W425" s="579"/>
    </row>
    <row r="426" spans="5:23" s="88" customFormat="1">
      <c r="E426" s="153"/>
      <c r="F426" s="122"/>
      <c r="J426" s="382"/>
      <c r="O426" s="153"/>
      <c r="P426" s="122"/>
      <c r="Q426" s="154"/>
      <c r="R426" s="139"/>
      <c r="T426" s="139"/>
      <c r="U426" s="139"/>
      <c r="W426" s="579"/>
    </row>
    <row r="427" spans="5:23" s="88" customFormat="1">
      <c r="E427" s="153"/>
      <c r="F427" s="122"/>
      <c r="J427" s="382"/>
      <c r="O427" s="153"/>
      <c r="P427" s="122"/>
      <c r="Q427" s="154"/>
      <c r="R427" s="139"/>
      <c r="T427" s="139"/>
      <c r="U427" s="139"/>
      <c r="W427" s="579"/>
    </row>
    <row r="428" spans="5:23" s="88" customFormat="1">
      <c r="E428" s="153"/>
      <c r="F428" s="122"/>
      <c r="J428" s="382"/>
      <c r="O428" s="153"/>
      <c r="P428" s="122"/>
      <c r="Q428" s="154"/>
      <c r="R428" s="139"/>
      <c r="T428" s="139"/>
      <c r="U428" s="139"/>
      <c r="W428" s="579"/>
    </row>
    <row r="429" spans="5:23" s="88" customFormat="1">
      <c r="E429" s="153"/>
      <c r="F429" s="122"/>
      <c r="J429" s="382"/>
      <c r="O429" s="153"/>
      <c r="P429" s="122"/>
      <c r="Q429" s="154"/>
      <c r="R429" s="139"/>
      <c r="T429" s="139"/>
      <c r="U429" s="139"/>
      <c r="W429" s="579"/>
    </row>
    <row r="430" spans="5:23" s="88" customFormat="1">
      <c r="E430" s="153"/>
      <c r="F430" s="122"/>
      <c r="J430" s="382"/>
      <c r="O430" s="153"/>
      <c r="P430" s="122"/>
      <c r="Q430" s="154"/>
      <c r="R430" s="139"/>
      <c r="T430" s="139"/>
      <c r="U430" s="139"/>
      <c r="W430" s="579"/>
    </row>
    <row r="431" spans="5:23" s="88" customFormat="1">
      <c r="E431" s="153"/>
      <c r="F431" s="122"/>
      <c r="J431" s="382"/>
      <c r="O431" s="153"/>
      <c r="P431" s="122"/>
      <c r="Q431" s="154"/>
      <c r="R431" s="139"/>
      <c r="T431" s="139"/>
      <c r="U431" s="139"/>
      <c r="W431" s="579"/>
    </row>
    <row r="432" spans="5:23" s="88" customFormat="1">
      <c r="E432" s="153"/>
      <c r="F432" s="122"/>
      <c r="J432" s="382"/>
      <c r="O432" s="153"/>
      <c r="P432" s="122"/>
      <c r="Q432" s="154"/>
      <c r="R432" s="139"/>
      <c r="T432" s="139"/>
      <c r="U432" s="139"/>
      <c r="W432" s="579"/>
    </row>
    <row r="433" spans="5:23" s="88" customFormat="1">
      <c r="E433" s="153"/>
      <c r="F433" s="122"/>
      <c r="J433" s="382"/>
      <c r="O433" s="153"/>
      <c r="P433" s="122"/>
      <c r="Q433" s="154"/>
      <c r="R433" s="139"/>
      <c r="T433" s="139"/>
      <c r="U433" s="139"/>
      <c r="W433" s="579"/>
    </row>
    <row r="434" spans="5:23" s="88" customFormat="1">
      <c r="E434" s="153"/>
      <c r="F434" s="122"/>
      <c r="J434" s="382"/>
      <c r="O434" s="153"/>
      <c r="P434" s="122"/>
      <c r="Q434" s="154"/>
      <c r="R434" s="139"/>
      <c r="T434" s="139"/>
      <c r="U434" s="139"/>
      <c r="W434" s="579"/>
    </row>
    <row r="435" spans="5:23" s="88" customFormat="1">
      <c r="E435" s="153"/>
      <c r="F435" s="122"/>
      <c r="J435" s="382"/>
      <c r="O435" s="153"/>
      <c r="P435" s="122"/>
      <c r="Q435" s="154"/>
      <c r="R435" s="139"/>
      <c r="T435" s="139"/>
      <c r="U435" s="139"/>
      <c r="W435" s="579"/>
    </row>
    <row r="436" spans="5:23" s="88" customFormat="1">
      <c r="E436" s="153"/>
      <c r="F436" s="122"/>
      <c r="J436" s="382"/>
      <c r="O436" s="153"/>
      <c r="P436" s="122"/>
      <c r="Q436" s="154"/>
      <c r="R436" s="139"/>
      <c r="T436" s="139"/>
      <c r="U436" s="139"/>
      <c r="W436" s="579"/>
    </row>
    <row r="437" spans="5:23" s="88" customFormat="1">
      <c r="E437" s="153"/>
      <c r="F437" s="122"/>
      <c r="J437" s="382"/>
      <c r="O437" s="153"/>
      <c r="P437" s="122"/>
      <c r="Q437" s="154"/>
      <c r="R437" s="139"/>
      <c r="T437" s="139"/>
      <c r="U437" s="139"/>
      <c r="W437" s="579"/>
    </row>
    <row r="438" spans="5:23" s="88" customFormat="1">
      <c r="E438" s="153"/>
      <c r="F438" s="122"/>
      <c r="J438" s="382"/>
      <c r="O438" s="153"/>
      <c r="P438" s="122"/>
      <c r="Q438" s="154"/>
      <c r="R438" s="139"/>
      <c r="T438" s="139"/>
      <c r="U438" s="139"/>
      <c r="W438" s="579"/>
    </row>
    <row r="439" spans="5:23" s="88" customFormat="1">
      <c r="E439" s="153"/>
      <c r="F439" s="122"/>
      <c r="J439" s="382"/>
      <c r="O439" s="153"/>
      <c r="P439" s="122"/>
      <c r="Q439" s="154"/>
      <c r="R439" s="139"/>
      <c r="T439" s="139"/>
      <c r="U439" s="139"/>
      <c r="W439" s="579"/>
    </row>
    <row r="440" spans="5:23" s="88" customFormat="1">
      <c r="E440" s="153"/>
      <c r="F440" s="122"/>
      <c r="J440" s="382"/>
      <c r="O440" s="153"/>
      <c r="P440" s="122"/>
      <c r="Q440" s="154"/>
      <c r="R440" s="139"/>
      <c r="T440" s="139"/>
      <c r="U440" s="139"/>
      <c r="W440" s="579"/>
    </row>
    <row r="441" spans="5:23" s="88" customFormat="1">
      <c r="E441" s="153"/>
      <c r="F441" s="122"/>
      <c r="J441" s="382"/>
      <c r="O441" s="153"/>
      <c r="P441" s="122"/>
      <c r="Q441" s="154"/>
      <c r="R441" s="139"/>
      <c r="T441" s="139"/>
      <c r="U441" s="139"/>
      <c r="W441" s="579"/>
    </row>
    <row r="442" spans="5:23" s="88" customFormat="1">
      <c r="E442" s="153"/>
      <c r="F442" s="122"/>
      <c r="J442" s="382"/>
      <c r="O442" s="153"/>
      <c r="P442" s="122"/>
      <c r="Q442" s="154"/>
      <c r="R442" s="139"/>
      <c r="T442" s="139"/>
      <c r="U442" s="139"/>
      <c r="W442" s="579"/>
    </row>
    <row r="443" spans="5:23" s="88" customFormat="1">
      <c r="E443" s="153"/>
      <c r="F443" s="122"/>
      <c r="J443" s="382"/>
      <c r="O443" s="153"/>
      <c r="P443" s="122"/>
      <c r="Q443" s="154"/>
      <c r="R443" s="139"/>
      <c r="T443" s="139"/>
      <c r="U443" s="139"/>
      <c r="W443" s="579"/>
    </row>
    <row r="444" spans="5:23" s="88" customFormat="1">
      <c r="E444" s="153"/>
      <c r="F444" s="122"/>
      <c r="J444" s="382"/>
      <c r="O444" s="153"/>
      <c r="P444" s="122"/>
      <c r="Q444" s="154"/>
      <c r="R444" s="139"/>
      <c r="T444" s="139"/>
      <c r="U444" s="139"/>
      <c r="W444" s="579"/>
    </row>
    <row r="445" spans="5:23" s="88" customFormat="1">
      <c r="E445" s="153"/>
      <c r="F445" s="122"/>
      <c r="J445" s="382"/>
      <c r="O445" s="153"/>
      <c r="P445" s="122"/>
      <c r="Q445" s="154"/>
      <c r="R445" s="139"/>
      <c r="T445" s="139"/>
      <c r="U445" s="139"/>
      <c r="W445" s="579"/>
    </row>
    <row r="446" spans="5:23" s="88" customFormat="1">
      <c r="E446" s="153"/>
      <c r="F446" s="122"/>
      <c r="J446" s="382"/>
      <c r="O446" s="153"/>
      <c r="P446" s="122"/>
      <c r="Q446" s="154"/>
      <c r="R446" s="139"/>
      <c r="T446" s="139"/>
      <c r="U446" s="139"/>
      <c r="W446" s="579"/>
    </row>
    <row r="447" spans="5:23" s="88" customFormat="1">
      <c r="E447" s="153"/>
      <c r="F447" s="122"/>
      <c r="J447" s="382"/>
      <c r="O447" s="153"/>
      <c r="P447" s="122"/>
      <c r="Q447" s="154"/>
      <c r="R447" s="139"/>
      <c r="T447" s="139"/>
      <c r="U447" s="139"/>
      <c r="W447" s="579"/>
    </row>
    <row r="448" spans="5:23" s="88" customFormat="1">
      <c r="E448" s="153"/>
      <c r="F448" s="122"/>
      <c r="J448" s="382"/>
      <c r="O448" s="153"/>
      <c r="P448" s="122"/>
      <c r="Q448" s="154"/>
      <c r="R448" s="139"/>
      <c r="T448" s="139"/>
      <c r="U448" s="139"/>
      <c r="W448" s="579"/>
    </row>
    <row r="449" spans="5:23" s="88" customFormat="1">
      <c r="E449" s="153"/>
      <c r="F449" s="122"/>
      <c r="J449" s="382"/>
      <c r="O449" s="153"/>
      <c r="P449" s="122"/>
      <c r="Q449" s="154"/>
      <c r="R449" s="139"/>
      <c r="T449" s="139"/>
      <c r="U449" s="139"/>
      <c r="W449" s="579"/>
    </row>
    <row r="450" spans="5:23" s="88" customFormat="1">
      <c r="E450" s="153"/>
      <c r="F450" s="122"/>
      <c r="J450" s="382"/>
      <c r="O450" s="153"/>
      <c r="P450" s="122"/>
      <c r="Q450" s="154"/>
      <c r="R450" s="139"/>
      <c r="T450" s="139"/>
      <c r="U450" s="139"/>
      <c r="W450" s="579"/>
    </row>
    <row r="451" spans="5:23" s="88" customFormat="1">
      <c r="E451" s="153"/>
      <c r="F451" s="122"/>
      <c r="J451" s="382"/>
      <c r="O451" s="153"/>
      <c r="P451" s="122"/>
      <c r="Q451" s="154"/>
      <c r="R451" s="139"/>
      <c r="T451" s="139"/>
      <c r="U451" s="139"/>
      <c r="W451" s="579"/>
    </row>
    <row r="452" spans="5:23" s="88" customFormat="1">
      <c r="E452" s="153"/>
      <c r="F452" s="122"/>
      <c r="J452" s="382"/>
      <c r="O452" s="153"/>
      <c r="P452" s="122"/>
      <c r="Q452" s="154"/>
      <c r="R452" s="139"/>
      <c r="T452" s="139"/>
      <c r="U452" s="139"/>
      <c r="W452" s="579"/>
    </row>
    <row r="453" spans="5:23" s="88" customFormat="1">
      <c r="E453" s="153"/>
      <c r="F453" s="122"/>
      <c r="J453" s="382"/>
      <c r="O453" s="153"/>
      <c r="P453" s="122"/>
      <c r="Q453" s="154"/>
      <c r="R453" s="139"/>
      <c r="T453" s="139"/>
      <c r="U453" s="139"/>
      <c r="W453" s="579"/>
    </row>
    <row r="454" spans="5:23" s="88" customFormat="1">
      <c r="E454" s="153"/>
      <c r="F454" s="122"/>
      <c r="J454" s="382"/>
      <c r="O454" s="153"/>
      <c r="P454" s="122"/>
      <c r="Q454" s="154"/>
      <c r="R454" s="139"/>
      <c r="T454" s="139"/>
      <c r="U454" s="139"/>
      <c r="W454" s="579"/>
    </row>
    <row r="455" spans="5:23" s="88" customFormat="1">
      <c r="E455" s="153"/>
      <c r="F455" s="122"/>
      <c r="J455" s="382"/>
      <c r="O455" s="153"/>
      <c r="P455" s="122"/>
      <c r="Q455" s="154"/>
      <c r="R455" s="139"/>
      <c r="T455" s="139"/>
      <c r="U455" s="139"/>
      <c r="W455" s="579"/>
    </row>
    <row r="456" spans="5:23" s="88" customFormat="1">
      <c r="E456" s="153"/>
      <c r="F456" s="122"/>
      <c r="J456" s="382"/>
      <c r="O456" s="153"/>
      <c r="P456" s="122"/>
      <c r="Q456" s="154"/>
      <c r="R456" s="139"/>
      <c r="T456" s="139"/>
      <c r="U456" s="139"/>
      <c r="W456" s="579"/>
    </row>
    <row r="457" spans="5:23" s="88" customFormat="1">
      <c r="E457" s="153"/>
      <c r="F457" s="122"/>
      <c r="J457" s="382"/>
      <c r="O457" s="153"/>
      <c r="P457" s="122"/>
      <c r="Q457" s="154"/>
      <c r="R457" s="139"/>
      <c r="T457" s="139"/>
      <c r="U457" s="139"/>
      <c r="W457" s="579"/>
    </row>
    <row r="458" spans="5:23" s="88" customFormat="1">
      <c r="E458" s="153"/>
      <c r="F458" s="122"/>
      <c r="J458" s="382"/>
      <c r="O458" s="153"/>
      <c r="P458" s="122"/>
      <c r="Q458" s="154"/>
      <c r="R458" s="139"/>
      <c r="T458" s="139"/>
      <c r="U458" s="139"/>
      <c r="W458" s="579"/>
    </row>
    <row r="459" spans="5:23" s="88" customFormat="1">
      <c r="E459" s="153"/>
      <c r="F459" s="122"/>
      <c r="J459" s="382"/>
      <c r="O459" s="153"/>
      <c r="P459" s="122"/>
      <c r="Q459" s="154"/>
      <c r="R459" s="139"/>
      <c r="T459" s="139"/>
      <c r="U459" s="139"/>
      <c r="W459" s="579"/>
    </row>
    <row r="460" spans="5:23" s="88" customFormat="1">
      <c r="E460" s="153"/>
      <c r="F460" s="122"/>
      <c r="J460" s="382"/>
      <c r="O460" s="153"/>
      <c r="P460" s="122"/>
      <c r="Q460" s="154"/>
      <c r="R460" s="139"/>
      <c r="T460" s="139"/>
      <c r="U460" s="139"/>
      <c r="W460" s="579"/>
    </row>
    <row r="461" spans="5:23" s="88" customFormat="1">
      <c r="E461" s="153"/>
      <c r="F461" s="122"/>
      <c r="J461" s="382"/>
      <c r="O461" s="153"/>
      <c r="P461" s="122"/>
      <c r="Q461" s="154"/>
      <c r="R461" s="139"/>
      <c r="T461" s="139"/>
      <c r="U461" s="139"/>
      <c r="W461" s="579"/>
    </row>
    <row r="462" spans="5:23" s="88" customFormat="1">
      <c r="E462" s="153"/>
      <c r="F462" s="122"/>
      <c r="J462" s="382"/>
      <c r="O462" s="153"/>
      <c r="P462" s="122"/>
      <c r="Q462" s="154"/>
      <c r="R462" s="139"/>
      <c r="T462" s="139"/>
      <c r="U462" s="139"/>
      <c r="W462" s="579"/>
    </row>
    <row r="463" spans="5:23" s="88" customFormat="1">
      <c r="E463" s="153"/>
      <c r="F463" s="122"/>
      <c r="J463" s="382"/>
      <c r="O463" s="153"/>
      <c r="P463" s="122"/>
      <c r="Q463" s="154"/>
      <c r="R463" s="139"/>
      <c r="T463" s="139"/>
      <c r="U463" s="139"/>
      <c r="W463" s="579"/>
    </row>
    <row r="464" spans="5:23" s="88" customFormat="1">
      <c r="E464" s="153"/>
      <c r="F464" s="122"/>
      <c r="J464" s="382"/>
      <c r="O464" s="153"/>
      <c r="P464" s="122"/>
      <c r="Q464" s="154"/>
      <c r="R464" s="139"/>
      <c r="T464" s="139"/>
      <c r="U464" s="139"/>
      <c r="W464" s="579"/>
    </row>
    <row r="465" spans="5:23" s="88" customFormat="1">
      <c r="E465" s="153"/>
      <c r="F465" s="122"/>
      <c r="J465" s="382"/>
      <c r="O465" s="153"/>
      <c r="P465" s="122"/>
      <c r="Q465" s="154"/>
      <c r="R465" s="139"/>
      <c r="T465" s="139"/>
      <c r="U465" s="139"/>
      <c r="W465" s="579"/>
    </row>
    <row r="466" spans="5:23" s="88" customFormat="1">
      <c r="E466" s="153"/>
      <c r="F466" s="122"/>
      <c r="J466" s="382"/>
      <c r="O466" s="153"/>
      <c r="P466" s="122"/>
      <c r="Q466" s="154"/>
      <c r="R466" s="139"/>
      <c r="T466" s="139"/>
      <c r="U466" s="139"/>
      <c r="W466" s="579"/>
    </row>
    <row r="467" spans="5:23" s="88" customFormat="1">
      <c r="E467" s="153"/>
      <c r="F467" s="122"/>
      <c r="J467" s="382"/>
      <c r="O467" s="153"/>
      <c r="P467" s="122"/>
      <c r="Q467" s="154"/>
      <c r="R467" s="139"/>
      <c r="T467" s="139"/>
      <c r="U467" s="139"/>
      <c r="W467" s="579"/>
    </row>
    <row r="468" spans="5:23" s="88" customFormat="1">
      <c r="E468" s="153"/>
      <c r="F468" s="122"/>
      <c r="J468" s="382"/>
      <c r="O468" s="153"/>
      <c r="P468" s="122"/>
      <c r="Q468" s="154"/>
      <c r="R468" s="139"/>
      <c r="T468" s="139"/>
      <c r="U468" s="139"/>
      <c r="W468" s="579"/>
    </row>
    <row r="469" spans="5:23" s="88" customFormat="1">
      <c r="E469" s="153"/>
      <c r="F469" s="122"/>
      <c r="J469" s="382"/>
      <c r="O469" s="153"/>
      <c r="P469" s="122"/>
      <c r="Q469" s="154"/>
      <c r="R469" s="139"/>
      <c r="T469" s="139"/>
      <c r="U469" s="139"/>
      <c r="W469" s="579"/>
    </row>
    <row r="470" spans="5:23" s="88" customFormat="1">
      <c r="E470" s="153"/>
      <c r="F470" s="122"/>
      <c r="J470" s="382"/>
      <c r="O470" s="153"/>
      <c r="P470" s="122"/>
      <c r="Q470" s="154"/>
      <c r="R470" s="139"/>
      <c r="T470" s="139"/>
      <c r="U470" s="139"/>
      <c r="W470" s="579"/>
    </row>
    <row r="471" spans="5:23" s="88" customFormat="1">
      <c r="E471" s="153"/>
      <c r="F471" s="122"/>
      <c r="J471" s="382"/>
      <c r="O471" s="153"/>
      <c r="P471" s="122"/>
      <c r="Q471" s="154"/>
      <c r="R471" s="139"/>
      <c r="T471" s="139"/>
      <c r="U471" s="139"/>
      <c r="W471" s="579"/>
    </row>
    <row r="472" spans="5:23" s="88" customFormat="1">
      <c r="E472" s="153"/>
      <c r="F472" s="122"/>
      <c r="J472" s="382"/>
      <c r="O472" s="153"/>
      <c r="P472" s="122"/>
      <c r="Q472" s="154"/>
      <c r="R472" s="139"/>
      <c r="T472" s="139"/>
      <c r="U472" s="139"/>
      <c r="W472" s="579"/>
    </row>
    <row r="473" spans="5:23" s="88" customFormat="1">
      <c r="E473" s="153"/>
      <c r="F473" s="122"/>
      <c r="J473" s="382"/>
      <c r="O473" s="153"/>
      <c r="P473" s="122"/>
      <c r="Q473" s="154"/>
      <c r="R473" s="139"/>
      <c r="T473" s="139"/>
      <c r="U473" s="139"/>
      <c r="W473" s="579"/>
    </row>
    <row r="474" spans="5:23" s="88" customFormat="1">
      <c r="E474" s="153"/>
      <c r="F474" s="122"/>
      <c r="J474" s="382"/>
      <c r="O474" s="153"/>
      <c r="P474" s="122"/>
      <c r="Q474" s="154"/>
      <c r="R474" s="139"/>
      <c r="T474" s="139"/>
      <c r="U474" s="139"/>
      <c r="W474" s="579"/>
    </row>
    <row r="475" spans="5:23" s="88" customFormat="1">
      <c r="E475" s="153"/>
      <c r="F475" s="122"/>
      <c r="J475" s="382"/>
      <c r="O475" s="153"/>
      <c r="P475" s="122"/>
      <c r="Q475" s="154"/>
      <c r="R475" s="139"/>
      <c r="T475" s="139"/>
      <c r="U475" s="139"/>
      <c r="W475" s="579"/>
    </row>
    <row r="476" spans="5:23" s="88" customFormat="1">
      <c r="E476" s="153"/>
      <c r="F476" s="122"/>
      <c r="J476" s="382"/>
      <c r="O476" s="153"/>
      <c r="P476" s="122"/>
      <c r="Q476" s="154"/>
      <c r="R476" s="139"/>
      <c r="T476" s="139"/>
      <c r="U476" s="139"/>
      <c r="W476" s="579"/>
    </row>
    <row r="477" spans="5:23" s="88" customFormat="1">
      <c r="E477" s="153"/>
      <c r="F477" s="122"/>
      <c r="J477" s="382"/>
      <c r="O477" s="153"/>
      <c r="P477" s="122"/>
      <c r="Q477" s="154"/>
      <c r="R477" s="139"/>
      <c r="T477" s="139"/>
      <c r="U477" s="139"/>
      <c r="W477" s="579"/>
    </row>
    <row r="478" spans="5:23" s="88" customFormat="1">
      <c r="E478" s="153"/>
      <c r="F478" s="122"/>
      <c r="J478" s="382"/>
      <c r="O478" s="153"/>
      <c r="P478" s="122"/>
      <c r="Q478" s="154"/>
      <c r="R478" s="139"/>
      <c r="T478" s="139"/>
      <c r="U478" s="139"/>
      <c r="W478" s="579"/>
    </row>
    <row r="479" spans="5:23" s="88" customFormat="1">
      <c r="E479" s="153"/>
      <c r="F479" s="122"/>
      <c r="J479" s="382"/>
      <c r="O479" s="153"/>
      <c r="P479" s="122"/>
      <c r="Q479" s="154"/>
      <c r="R479" s="139"/>
      <c r="T479" s="139"/>
      <c r="U479" s="139"/>
      <c r="W479" s="579"/>
    </row>
    <row r="480" spans="5:23" s="88" customFormat="1">
      <c r="E480" s="153"/>
      <c r="F480" s="122"/>
      <c r="J480" s="382"/>
      <c r="O480" s="153"/>
      <c r="P480" s="122"/>
      <c r="Q480" s="154"/>
      <c r="R480" s="139"/>
      <c r="T480" s="139"/>
      <c r="U480" s="139"/>
      <c r="W480" s="579"/>
    </row>
    <row r="481" spans="5:23" s="88" customFormat="1">
      <c r="E481" s="153"/>
      <c r="F481" s="122"/>
      <c r="J481" s="382"/>
      <c r="O481" s="153"/>
      <c r="P481" s="122"/>
      <c r="Q481" s="154"/>
      <c r="R481" s="139"/>
      <c r="T481" s="139"/>
      <c r="U481" s="139"/>
      <c r="W481" s="579"/>
    </row>
    <row r="482" spans="5:23" s="88" customFormat="1">
      <c r="E482" s="153"/>
      <c r="F482" s="122"/>
      <c r="J482" s="382"/>
      <c r="O482" s="153"/>
      <c r="P482" s="122"/>
      <c r="Q482" s="154"/>
      <c r="R482" s="139"/>
      <c r="T482" s="139"/>
      <c r="U482" s="139"/>
      <c r="W482" s="579"/>
    </row>
    <row r="483" spans="5:23" s="88" customFormat="1">
      <c r="E483" s="153"/>
      <c r="F483" s="122"/>
      <c r="J483" s="382"/>
      <c r="O483" s="153"/>
      <c r="P483" s="122"/>
      <c r="Q483" s="154"/>
      <c r="R483" s="139"/>
      <c r="T483" s="139"/>
      <c r="U483" s="139"/>
      <c r="W483" s="579"/>
    </row>
    <row r="484" spans="5:23" s="88" customFormat="1">
      <c r="E484" s="153"/>
      <c r="F484" s="122"/>
      <c r="J484" s="382"/>
      <c r="O484" s="153"/>
      <c r="P484" s="122"/>
      <c r="Q484" s="154"/>
      <c r="R484" s="139"/>
      <c r="T484" s="139"/>
      <c r="U484" s="139"/>
      <c r="W484" s="579"/>
    </row>
    <row r="485" spans="5:23" s="88" customFormat="1">
      <c r="E485" s="153"/>
      <c r="F485" s="122"/>
      <c r="J485" s="382"/>
      <c r="O485" s="153"/>
      <c r="P485" s="122"/>
      <c r="Q485" s="154"/>
      <c r="R485" s="139"/>
      <c r="T485" s="139"/>
      <c r="U485" s="139"/>
      <c r="W485" s="579"/>
    </row>
    <row r="486" spans="5:23" s="88" customFormat="1">
      <c r="E486" s="153"/>
      <c r="F486" s="122"/>
      <c r="J486" s="382"/>
      <c r="O486" s="153"/>
      <c r="P486" s="122"/>
      <c r="Q486" s="154"/>
      <c r="R486" s="139"/>
      <c r="T486" s="139"/>
      <c r="U486" s="139"/>
      <c r="W486" s="579"/>
    </row>
    <row r="487" spans="5:23" s="88" customFormat="1">
      <c r="E487" s="153"/>
      <c r="F487" s="122"/>
      <c r="J487" s="382"/>
      <c r="O487" s="153"/>
      <c r="P487" s="122"/>
      <c r="Q487" s="154"/>
      <c r="R487" s="139"/>
      <c r="T487" s="139"/>
      <c r="U487" s="139"/>
      <c r="W487" s="579"/>
    </row>
    <row r="488" spans="5:23" s="88" customFormat="1">
      <c r="E488" s="153"/>
      <c r="F488" s="122"/>
      <c r="J488" s="382"/>
      <c r="O488" s="153"/>
      <c r="P488" s="122"/>
      <c r="Q488" s="154"/>
      <c r="R488" s="139"/>
      <c r="T488" s="139"/>
      <c r="U488" s="139"/>
      <c r="W488" s="579"/>
    </row>
    <row r="489" spans="5:23" s="88" customFormat="1">
      <c r="E489" s="153"/>
      <c r="F489" s="122"/>
      <c r="J489" s="382"/>
      <c r="O489" s="153"/>
      <c r="P489" s="122"/>
      <c r="Q489" s="154"/>
      <c r="R489" s="139"/>
      <c r="T489" s="139"/>
      <c r="U489" s="139"/>
      <c r="W489" s="579"/>
    </row>
    <row r="490" spans="5:23" s="88" customFormat="1">
      <c r="E490" s="153"/>
      <c r="F490" s="122"/>
      <c r="J490" s="382"/>
      <c r="O490" s="153"/>
      <c r="P490" s="122"/>
      <c r="Q490" s="154"/>
      <c r="R490" s="139"/>
      <c r="T490" s="139"/>
      <c r="U490" s="139"/>
      <c r="W490" s="579"/>
    </row>
    <row r="491" spans="5:23" s="88" customFormat="1">
      <c r="E491" s="153"/>
      <c r="F491" s="122"/>
      <c r="J491" s="382"/>
      <c r="O491" s="153"/>
      <c r="P491" s="122"/>
      <c r="Q491" s="154"/>
      <c r="R491" s="139"/>
      <c r="T491" s="139"/>
      <c r="U491" s="139"/>
      <c r="W491" s="579"/>
    </row>
    <row r="492" spans="5:23" s="88" customFormat="1">
      <c r="E492" s="153"/>
      <c r="F492" s="122"/>
      <c r="J492" s="382"/>
      <c r="O492" s="153"/>
      <c r="P492" s="122"/>
      <c r="Q492" s="154"/>
      <c r="R492" s="139"/>
      <c r="T492" s="139"/>
      <c r="U492" s="139"/>
      <c r="W492" s="579"/>
    </row>
    <row r="493" spans="5:23" s="88" customFormat="1">
      <c r="E493" s="153"/>
      <c r="F493" s="122"/>
      <c r="J493" s="382"/>
      <c r="O493" s="153"/>
      <c r="P493" s="122"/>
      <c r="Q493" s="154"/>
      <c r="R493" s="139"/>
      <c r="T493" s="139"/>
      <c r="U493" s="139"/>
      <c r="W493" s="579"/>
    </row>
    <row r="494" spans="5:23" s="88" customFormat="1">
      <c r="E494" s="153"/>
      <c r="F494" s="122"/>
      <c r="J494" s="382"/>
      <c r="O494" s="153"/>
      <c r="P494" s="122"/>
      <c r="Q494" s="154"/>
      <c r="R494" s="139"/>
      <c r="T494" s="139"/>
      <c r="U494" s="139"/>
      <c r="W494" s="579"/>
    </row>
    <row r="495" spans="5:23" s="88" customFormat="1">
      <c r="E495" s="153"/>
      <c r="F495" s="122"/>
      <c r="J495" s="382"/>
      <c r="O495" s="153"/>
      <c r="P495" s="122"/>
      <c r="Q495" s="154"/>
      <c r="R495" s="139"/>
      <c r="T495" s="139"/>
      <c r="U495" s="139"/>
      <c r="W495" s="579"/>
    </row>
    <row r="496" spans="5:23" s="88" customFormat="1">
      <c r="E496" s="153"/>
      <c r="F496" s="122"/>
      <c r="J496" s="382"/>
      <c r="O496" s="153"/>
      <c r="P496" s="122"/>
      <c r="Q496" s="154"/>
      <c r="R496" s="139"/>
      <c r="T496" s="139"/>
      <c r="U496" s="139"/>
      <c r="W496" s="579"/>
    </row>
    <row r="497" spans="5:23" s="88" customFormat="1">
      <c r="E497" s="153"/>
      <c r="F497" s="122"/>
      <c r="J497" s="382"/>
      <c r="O497" s="153"/>
      <c r="P497" s="122"/>
      <c r="Q497" s="154"/>
      <c r="R497" s="139"/>
      <c r="T497" s="139"/>
      <c r="U497" s="139"/>
      <c r="W497" s="579"/>
    </row>
    <row r="498" spans="5:23" s="88" customFormat="1">
      <c r="E498" s="153"/>
      <c r="F498" s="122"/>
      <c r="J498" s="382"/>
      <c r="O498" s="153"/>
      <c r="P498" s="122"/>
      <c r="Q498" s="154"/>
      <c r="R498" s="139"/>
      <c r="T498" s="139"/>
      <c r="U498" s="139"/>
      <c r="W498" s="579"/>
    </row>
    <row r="499" spans="5:23" s="88" customFormat="1">
      <c r="E499" s="153"/>
      <c r="F499" s="122"/>
      <c r="J499" s="382"/>
      <c r="O499" s="153"/>
      <c r="P499" s="122"/>
      <c r="Q499" s="154"/>
      <c r="R499" s="139"/>
      <c r="T499" s="139"/>
      <c r="U499" s="139"/>
      <c r="W499" s="579"/>
    </row>
    <row r="500" spans="5:23" s="88" customFormat="1">
      <c r="E500" s="153"/>
      <c r="F500" s="122"/>
      <c r="J500" s="382"/>
      <c r="O500" s="153"/>
      <c r="P500" s="122"/>
      <c r="Q500" s="154"/>
      <c r="R500" s="139"/>
      <c r="T500" s="139"/>
      <c r="U500" s="139"/>
      <c r="W500" s="579"/>
    </row>
    <row r="501" spans="5:23" s="88" customFormat="1">
      <c r="E501" s="153"/>
      <c r="F501" s="122"/>
      <c r="J501" s="382"/>
      <c r="O501" s="153"/>
      <c r="P501" s="122"/>
      <c r="Q501" s="154"/>
      <c r="R501" s="139"/>
      <c r="T501" s="139"/>
      <c r="U501" s="139"/>
      <c r="W501" s="579"/>
    </row>
    <row r="502" spans="5:23" s="88" customFormat="1">
      <c r="E502" s="153"/>
      <c r="F502" s="122"/>
      <c r="J502" s="382"/>
      <c r="O502" s="153"/>
      <c r="P502" s="122"/>
      <c r="Q502" s="154"/>
      <c r="R502" s="139"/>
      <c r="T502" s="139"/>
      <c r="U502" s="139"/>
      <c r="W502" s="579"/>
    </row>
    <row r="503" spans="5:23" s="88" customFormat="1">
      <c r="E503" s="153"/>
      <c r="F503" s="122"/>
      <c r="J503" s="382"/>
      <c r="O503" s="153"/>
      <c r="P503" s="122"/>
      <c r="Q503" s="154"/>
      <c r="R503" s="139"/>
      <c r="T503" s="139"/>
      <c r="U503" s="139"/>
      <c r="W503" s="579"/>
    </row>
    <row r="504" spans="5:23" s="88" customFormat="1">
      <c r="E504" s="153"/>
      <c r="F504" s="122"/>
      <c r="J504" s="382"/>
      <c r="O504" s="153"/>
      <c r="P504" s="122"/>
      <c r="Q504" s="154"/>
      <c r="R504" s="139"/>
      <c r="T504" s="139"/>
      <c r="U504" s="139"/>
      <c r="W504" s="579"/>
    </row>
    <row r="505" spans="5:23" s="88" customFormat="1">
      <c r="E505" s="153"/>
      <c r="F505" s="122"/>
      <c r="J505" s="382"/>
      <c r="O505" s="153"/>
      <c r="P505" s="122"/>
      <c r="Q505" s="154"/>
      <c r="R505" s="139"/>
      <c r="T505" s="139"/>
      <c r="U505" s="139"/>
      <c r="W505" s="579"/>
    </row>
    <row r="506" spans="5:23" s="88" customFormat="1">
      <c r="E506" s="153"/>
      <c r="F506" s="122"/>
      <c r="J506" s="382"/>
      <c r="O506" s="153"/>
      <c r="P506" s="122"/>
      <c r="Q506" s="154"/>
      <c r="R506" s="139"/>
      <c r="T506" s="139"/>
      <c r="U506" s="139"/>
      <c r="W506" s="579"/>
    </row>
    <row r="507" spans="5:23" s="88" customFormat="1">
      <c r="E507" s="153"/>
      <c r="F507" s="122"/>
      <c r="J507" s="382"/>
      <c r="O507" s="153"/>
      <c r="P507" s="122"/>
      <c r="Q507" s="154"/>
      <c r="R507" s="139"/>
      <c r="T507" s="139"/>
      <c r="U507" s="139"/>
      <c r="W507" s="579"/>
    </row>
    <row r="508" spans="5:23" s="88" customFormat="1">
      <c r="E508" s="153"/>
      <c r="F508" s="122"/>
      <c r="J508" s="382"/>
      <c r="O508" s="153"/>
      <c r="P508" s="122"/>
      <c r="Q508" s="154"/>
      <c r="R508" s="139"/>
      <c r="T508" s="139"/>
      <c r="U508" s="139"/>
      <c r="W508" s="579"/>
    </row>
    <row r="509" spans="5:23" s="88" customFormat="1">
      <c r="E509" s="153"/>
      <c r="F509" s="122"/>
      <c r="J509" s="382"/>
      <c r="O509" s="153"/>
      <c r="P509" s="122"/>
      <c r="Q509" s="154"/>
      <c r="R509" s="139"/>
      <c r="T509" s="139"/>
      <c r="U509" s="139"/>
      <c r="W509" s="579"/>
    </row>
    <row r="510" spans="5:23" s="88" customFormat="1">
      <c r="E510" s="153"/>
      <c r="F510" s="122"/>
      <c r="J510" s="382"/>
      <c r="O510" s="153"/>
      <c r="P510" s="122"/>
      <c r="Q510" s="154"/>
      <c r="R510" s="139"/>
      <c r="T510" s="139"/>
      <c r="U510" s="139"/>
      <c r="W510" s="579"/>
    </row>
    <row r="511" spans="5:23" s="88" customFormat="1">
      <c r="E511" s="153"/>
      <c r="F511" s="122"/>
      <c r="J511" s="382"/>
      <c r="O511" s="153"/>
      <c r="P511" s="122"/>
      <c r="Q511" s="154"/>
      <c r="R511" s="139"/>
      <c r="T511" s="139"/>
      <c r="U511" s="139"/>
      <c r="W511" s="579"/>
    </row>
    <row r="512" spans="5:23" s="88" customFormat="1">
      <c r="E512" s="153"/>
      <c r="F512" s="122"/>
      <c r="J512" s="382"/>
      <c r="O512" s="153"/>
      <c r="P512" s="122"/>
      <c r="Q512" s="154"/>
      <c r="R512" s="139"/>
      <c r="T512" s="139"/>
      <c r="U512" s="139"/>
      <c r="W512" s="579"/>
    </row>
    <row r="513" spans="5:23" s="88" customFormat="1">
      <c r="E513" s="153"/>
      <c r="F513" s="122"/>
      <c r="J513" s="382"/>
      <c r="O513" s="153"/>
      <c r="P513" s="122"/>
      <c r="Q513" s="154"/>
      <c r="R513" s="139"/>
      <c r="T513" s="139"/>
      <c r="U513" s="139"/>
      <c r="W513" s="579"/>
    </row>
    <row r="514" spans="5:23" s="88" customFormat="1">
      <c r="E514" s="153"/>
      <c r="F514" s="122"/>
      <c r="J514" s="382"/>
      <c r="O514" s="153"/>
      <c r="P514" s="122"/>
      <c r="Q514" s="154"/>
      <c r="R514" s="139"/>
      <c r="T514" s="139"/>
      <c r="U514" s="139"/>
      <c r="W514" s="579"/>
    </row>
    <row r="515" spans="5:23" s="88" customFormat="1">
      <c r="E515" s="153"/>
      <c r="F515" s="122"/>
      <c r="J515" s="382"/>
      <c r="O515" s="153"/>
      <c r="P515" s="122"/>
      <c r="Q515" s="154"/>
      <c r="R515" s="139"/>
      <c r="T515" s="139"/>
      <c r="U515" s="139"/>
      <c r="W515" s="579"/>
    </row>
    <row r="516" spans="5:23" s="88" customFormat="1">
      <c r="E516" s="153"/>
      <c r="F516" s="122"/>
      <c r="J516" s="382"/>
      <c r="O516" s="153"/>
      <c r="P516" s="122"/>
      <c r="Q516" s="154"/>
      <c r="R516" s="139"/>
      <c r="T516" s="139"/>
      <c r="U516" s="139"/>
      <c r="W516" s="579"/>
    </row>
    <row r="517" spans="5:23" s="88" customFormat="1">
      <c r="E517" s="153"/>
      <c r="F517" s="122"/>
      <c r="J517" s="382"/>
      <c r="O517" s="153"/>
      <c r="P517" s="122"/>
      <c r="Q517" s="154"/>
      <c r="R517" s="139"/>
      <c r="T517" s="139"/>
      <c r="U517" s="139"/>
      <c r="W517" s="579"/>
    </row>
    <row r="518" spans="5:23" s="88" customFormat="1">
      <c r="E518" s="153"/>
      <c r="F518" s="122"/>
      <c r="J518" s="382"/>
      <c r="O518" s="153"/>
      <c r="P518" s="122"/>
      <c r="Q518" s="154"/>
      <c r="R518" s="139"/>
      <c r="T518" s="139"/>
      <c r="U518" s="139"/>
      <c r="W518" s="579"/>
    </row>
    <row r="519" spans="5:23" s="88" customFormat="1">
      <c r="E519" s="153"/>
      <c r="F519" s="122"/>
      <c r="J519" s="382"/>
      <c r="O519" s="153"/>
      <c r="P519" s="122"/>
      <c r="Q519" s="154"/>
      <c r="R519" s="139"/>
      <c r="T519" s="139"/>
      <c r="U519" s="139"/>
      <c r="W519" s="579"/>
    </row>
    <row r="520" spans="5:23" s="88" customFormat="1">
      <c r="E520" s="153"/>
      <c r="F520" s="122"/>
      <c r="J520" s="382"/>
      <c r="O520" s="153"/>
      <c r="P520" s="122"/>
      <c r="Q520" s="154"/>
      <c r="R520" s="139"/>
      <c r="T520" s="139"/>
      <c r="U520" s="139"/>
      <c r="W520" s="579"/>
    </row>
    <row r="521" spans="5:23" s="88" customFormat="1">
      <c r="E521" s="153"/>
      <c r="F521" s="122"/>
      <c r="J521" s="382"/>
      <c r="O521" s="153"/>
      <c r="P521" s="122"/>
      <c r="Q521" s="154"/>
      <c r="R521" s="139"/>
      <c r="T521" s="139"/>
      <c r="U521" s="139"/>
      <c r="W521" s="579"/>
    </row>
    <row r="522" spans="5:23" s="88" customFormat="1">
      <c r="E522" s="153"/>
      <c r="F522" s="122"/>
      <c r="J522" s="382"/>
      <c r="O522" s="153"/>
      <c r="P522" s="122"/>
      <c r="Q522" s="154"/>
      <c r="R522" s="139"/>
      <c r="T522" s="139"/>
      <c r="U522" s="139"/>
      <c r="W522" s="579"/>
    </row>
    <row r="523" spans="5:23" s="88" customFormat="1">
      <c r="E523" s="153"/>
      <c r="F523" s="122"/>
      <c r="J523" s="382"/>
      <c r="O523" s="153"/>
      <c r="P523" s="122"/>
      <c r="Q523" s="154"/>
      <c r="R523" s="139"/>
      <c r="T523" s="139"/>
      <c r="U523" s="139"/>
      <c r="W523" s="579"/>
    </row>
    <row r="524" spans="5:23" s="88" customFormat="1">
      <c r="E524" s="153"/>
      <c r="F524" s="122"/>
      <c r="J524" s="382"/>
      <c r="O524" s="153"/>
      <c r="P524" s="122"/>
      <c r="Q524" s="154"/>
      <c r="R524" s="139"/>
      <c r="T524" s="139"/>
      <c r="U524" s="139"/>
      <c r="W524" s="579"/>
    </row>
    <row r="525" spans="5:23" s="88" customFormat="1">
      <c r="E525" s="153"/>
      <c r="F525" s="122"/>
      <c r="J525" s="382"/>
      <c r="O525" s="153"/>
      <c r="P525" s="122"/>
      <c r="Q525" s="154"/>
      <c r="R525" s="139"/>
      <c r="T525" s="139"/>
      <c r="U525" s="139"/>
      <c r="W525" s="579"/>
    </row>
    <row r="526" spans="5:23" s="88" customFormat="1">
      <c r="E526" s="153"/>
      <c r="F526" s="122"/>
      <c r="J526" s="382"/>
      <c r="O526" s="153"/>
      <c r="P526" s="122"/>
      <c r="Q526" s="154"/>
      <c r="R526" s="139"/>
      <c r="T526" s="139"/>
      <c r="U526" s="139"/>
      <c r="W526" s="579"/>
    </row>
    <row r="527" spans="5:23" s="88" customFormat="1">
      <c r="E527" s="153"/>
      <c r="F527" s="122"/>
      <c r="J527" s="382"/>
      <c r="O527" s="153"/>
      <c r="P527" s="122"/>
      <c r="Q527" s="154"/>
      <c r="R527" s="139"/>
      <c r="T527" s="139"/>
      <c r="U527" s="139"/>
      <c r="W527" s="579"/>
    </row>
    <row r="528" spans="5:23" s="88" customFormat="1">
      <c r="E528" s="153"/>
      <c r="F528" s="122"/>
      <c r="J528" s="382"/>
      <c r="O528" s="153"/>
      <c r="P528" s="122"/>
      <c r="Q528" s="154"/>
      <c r="R528" s="139"/>
      <c r="T528" s="139"/>
      <c r="U528" s="139"/>
      <c r="W528" s="579"/>
    </row>
    <row r="529" spans="5:23" s="88" customFormat="1">
      <c r="E529" s="153"/>
      <c r="F529" s="122"/>
      <c r="J529" s="382"/>
      <c r="O529" s="153"/>
      <c r="P529" s="122"/>
      <c r="Q529" s="154"/>
      <c r="R529" s="139"/>
      <c r="T529" s="139"/>
      <c r="U529" s="139"/>
      <c r="W529" s="579"/>
    </row>
    <row r="530" spans="5:23" s="88" customFormat="1">
      <c r="E530" s="153"/>
      <c r="F530" s="122"/>
      <c r="J530" s="382"/>
      <c r="O530" s="153"/>
      <c r="P530" s="122"/>
      <c r="Q530" s="154"/>
      <c r="R530" s="139"/>
      <c r="T530" s="139"/>
      <c r="U530" s="139"/>
      <c r="W530" s="579"/>
    </row>
    <row r="531" spans="5:23" s="88" customFormat="1">
      <c r="E531" s="153"/>
      <c r="F531" s="122"/>
      <c r="J531" s="382"/>
      <c r="O531" s="153"/>
      <c r="P531" s="122"/>
      <c r="Q531" s="154"/>
      <c r="R531" s="139"/>
      <c r="T531" s="139"/>
      <c r="U531" s="139"/>
      <c r="W531" s="579"/>
    </row>
    <row r="532" spans="5:23" s="88" customFormat="1">
      <c r="E532" s="153"/>
      <c r="F532" s="122"/>
      <c r="J532" s="382"/>
      <c r="O532" s="153"/>
      <c r="P532" s="122"/>
      <c r="Q532" s="154"/>
      <c r="R532" s="139"/>
      <c r="T532" s="139"/>
      <c r="U532" s="139"/>
      <c r="W532" s="579"/>
    </row>
    <row r="533" spans="5:23" s="88" customFormat="1">
      <c r="E533" s="153"/>
      <c r="F533" s="122"/>
      <c r="J533" s="382"/>
      <c r="O533" s="153"/>
      <c r="P533" s="122"/>
      <c r="Q533" s="154"/>
      <c r="R533" s="139"/>
      <c r="T533" s="139"/>
      <c r="U533" s="139"/>
      <c r="W533" s="579"/>
    </row>
    <row r="534" spans="5:23" s="88" customFormat="1">
      <c r="E534" s="153"/>
      <c r="F534" s="122"/>
      <c r="J534" s="382"/>
      <c r="O534" s="153"/>
      <c r="P534" s="122"/>
      <c r="Q534" s="154"/>
      <c r="R534" s="139"/>
      <c r="T534" s="139"/>
      <c r="U534" s="139"/>
      <c r="W534" s="579"/>
    </row>
    <row r="535" spans="5:23" s="88" customFormat="1">
      <c r="E535" s="153"/>
      <c r="F535" s="122"/>
      <c r="J535" s="382"/>
      <c r="O535" s="153"/>
      <c r="P535" s="122"/>
      <c r="Q535" s="154"/>
      <c r="R535" s="139"/>
      <c r="T535" s="139"/>
      <c r="U535" s="139"/>
      <c r="W535" s="579"/>
    </row>
    <row r="536" spans="5:23" s="88" customFormat="1">
      <c r="E536" s="153"/>
      <c r="F536" s="122"/>
      <c r="J536" s="382"/>
      <c r="O536" s="153"/>
      <c r="P536" s="122"/>
      <c r="Q536" s="154"/>
      <c r="R536" s="139"/>
      <c r="T536" s="139"/>
      <c r="U536" s="139"/>
      <c r="W536" s="579"/>
    </row>
    <row r="537" spans="5:23" s="88" customFormat="1">
      <c r="E537" s="153"/>
      <c r="F537" s="122"/>
      <c r="J537" s="382"/>
      <c r="O537" s="153"/>
      <c r="P537" s="122"/>
      <c r="Q537" s="154"/>
      <c r="R537" s="139"/>
      <c r="T537" s="139"/>
      <c r="U537" s="139"/>
      <c r="W537" s="579"/>
    </row>
    <row r="538" spans="5:23" s="88" customFormat="1">
      <c r="E538" s="153"/>
      <c r="F538" s="122"/>
      <c r="J538" s="382"/>
      <c r="O538" s="153"/>
      <c r="P538" s="122"/>
      <c r="Q538" s="154"/>
      <c r="R538" s="139"/>
      <c r="T538" s="139"/>
      <c r="U538" s="139"/>
      <c r="W538" s="579"/>
    </row>
    <row r="539" spans="5:23" s="88" customFormat="1">
      <c r="E539" s="153"/>
      <c r="F539" s="122"/>
      <c r="J539" s="382"/>
      <c r="O539" s="153"/>
      <c r="P539" s="122"/>
      <c r="Q539" s="154"/>
      <c r="R539" s="139"/>
      <c r="T539" s="139"/>
      <c r="U539" s="139"/>
      <c r="W539" s="579"/>
    </row>
    <row r="540" spans="5:23" s="88" customFormat="1">
      <c r="E540" s="153"/>
      <c r="F540" s="122"/>
      <c r="J540" s="382"/>
      <c r="O540" s="153"/>
      <c r="P540" s="122"/>
      <c r="Q540" s="154"/>
      <c r="R540" s="139"/>
      <c r="T540" s="139"/>
      <c r="U540" s="139"/>
      <c r="W540" s="579"/>
    </row>
    <row r="541" spans="5:23" s="88" customFormat="1">
      <c r="E541" s="153"/>
      <c r="F541" s="122"/>
      <c r="J541" s="382"/>
      <c r="O541" s="153"/>
      <c r="P541" s="122"/>
      <c r="Q541" s="154"/>
      <c r="R541" s="139"/>
      <c r="T541" s="139"/>
      <c r="U541" s="139"/>
      <c r="W541" s="579"/>
    </row>
    <row r="542" spans="5:23" s="88" customFormat="1">
      <c r="E542" s="153"/>
      <c r="F542" s="122"/>
      <c r="J542" s="382"/>
      <c r="O542" s="153"/>
      <c r="P542" s="122"/>
      <c r="Q542" s="154"/>
      <c r="R542" s="139"/>
      <c r="T542" s="139"/>
      <c r="U542" s="139"/>
      <c r="W542" s="579"/>
    </row>
    <row r="543" spans="5:23" s="88" customFormat="1">
      <c r="E543" s="153"/>
      <c r="F543" s="122"/>
      <c r="J543" s="382"/>
      <c r="O543" s="153"/>
      <c r="P543" s="122"/>
      <c r="Q543" s="154"/>
      <c r="R543" s="139"/>
      <c r="T543" s="139"/>
      <c r="U543" s="139"/>
      <c r="W543" s="579"/>
    </row>
    <row r="544" spans="5:23" s="88" customFormat="1">
      <c r="E544" s="153"/>
      <c r="F544" s="122"/>
      <c r="J544" s="382"/>
      <c r="O544" s="153"/>
      <c r="P544" s="122"/>
      <c r="Q544" s="154"/>
      <c r="R544" s="139"/>
      <c r="T544" s="139"/>
      <c r="U544" s="139"/>
      <c r="W544" s="579"/>
    </row>
    <row r="545" spans="5:23" s="88" customFormat="1">
      <c r="E545" s="153"/>
      <c r="F545" s="122"/>
      <c r="J545" s="382"/>
      <c r="O545" s="153"/>
      <c r="P545" s="122"/>
      <c r="Q545" s="154"/>
      <c r="R545" s="139"/>
      <c r="T545" s="139"/>
      <c r="U545" s="139"/>
      <c r="W545" s="579"/>
    </row>
    <row r="546" spans="5:23" s="88" customFormat="1">
      <c r="E546" s="153"/>
      <c r="F546" s="122"/>
      <c r="J546" s="382"/>
      <c r="O546" s="153"/>
      <c r="P546" s="122"/>
      <c r="Q546" s="154"/>
      <c r="R546" s="139"/>
      <c r="T546" s="139"/>
      <c r="U546" s="139"/>
      <c r="W546" s="579"/>
    </row>
    <row r="547" spans="5:23" s="88" customFormat="1">
      <c r="E547" s="153"/>
      <c r="F547" s="122"/>
      <c r="J547" s="382"/>
      <c r="O547" s="153"/>
      <c r="P547" s="122"/>
      <c r="Q547" s="154"/>
      <c r="R547" s="139"/>
      <c r="T547" s="139"/>
      <c r="U547" s="139"/>
      <c r="W547" s="579"/>
    </row>
    <row r="548" spans="5:23" s="88" customFormat="1">
      <c r="E548" s="153"/>
      <c r="F548" s="122"/>
      <c r="J548" s="382"/>
      <c r="O548" s="153"/>
      <c r="P548" s="122"/>
      <c r="Q548" s="154"/>
      <c r="R548" s="139"/>
      <c r="T548" s="139"/>
      <c r="U548" s="139"/>
      <c r="W548" s="579"/>
    </row>
    <row r="549" spans="5:23" s="88" customFormat="1">
      <c r="E549" s="153"/>
      <c r="F549" s="122"/>
      <c r="J549" s="382"/>
      <c r="O549" s="153"/>
      <c r="P549" s="122"/>
      <c r="Q549" s="154"/>
      <c r="R549" s="139"/>
      <c r="T549" s="139"/>
      <c r="U549" s="139"/>
      <c r="W549" s="579"/>
    </row>
    <row r="550" spans="5:23" s="88" customFormat="1">
      <c r="E550" s="153"/>
      <c r="F550" s="122"/>
      <c r="J550" s="382"/>
      <c r="O550" s="153"/>
      <c r="P550" s="122"/>
      <c r="Q550" s="154"/>
      <c r="R550" s="139"/>
      <c r="T550" s="139"/>
      <c r="U550" s="139"/>
      <c r="W550" s="579"/>
    </row>
    <row r="551" spans="5:23" s="88" customFormat="1">
      <c r="E551" s="153"/>
      <c r="F551" s="122"/>
      <c r="J551" s="382"/>
      <c r="O551" s="153"/>
      <c r="P551" s="122"/>
      <c r="Q551" s="154"/>
      <c r="R551" s="139"/>
      <c r="T551" s="139"/>
      <c r="U551" s="139"/>
      <c r="W551" s="579"/>
    </row>
    <row r="552" spans="5:23" s="88" customFormat="1">
      <c r="E552" s="153"/>
      <c r="F552" s="122"/>
      <c r="J552" s="382"/>
      <c r="O552" s="153"/>
      <c r="P552" s="122"/>
      <c r="Q552" s="154"/>
      <c r="R552" s="139"/>
      <c r="T552" s="139"/>
      <c r="U552" s="139"/>
      <c r="W552" s="579"/>
    </row>
    <row r="553" spans="5:23" s="88" customFormat="1">
      <c r="E553" s="153"/>
      <c r="F553" s="122"/>
      <c r="J553" s="382"/>
      <c r="O553" s="153"/>
      <c r="P553" s="122"/>
      <c r="Q553" s="154"/>
      <c r="R553" s="139"/>
      <c r="T553" s="139"/>
      <c r="U553" s="139"/>
      <c r="W553" s="579"/>
    </row>
    <row r="554" spans="5:23" s="88" customFormat="1">
      <c r="E554" s="153"/>
      <c r="F554" s="122"/>
      <c r="J554" s="382"/>
      <c r="O554" s="153"/>
      <c r="P554" s="122"/>
      <c r="Q554" s="154"/>
      <c r="R554" s="139"/>
      <c r="T554" s="139"/>
      <c r="U554" s="139"/>
      <c r="W554" s="579"/>
    </row>
    <row r="555" spans="5:23" s="88" customFormat="1">
      <c r="E555" s="153"/>
      <c r="F555" s="122"/>
      <c r="J555" s="382"/>
      <c r="O555" s="153"/>
      <c r="P555" s="122"/>
      <c r="Q555" s="154"/>
      <c r="R555" s="139"/>
      <c r="T555" s="139"/>
      <c r="U555" s="139"/>
      <c r="W555" s="579"/>
    </row>
    <row r="556" spans="5:23" s="88" customFormat="1">
      <c r="E556" s="153"/>
      <c r="F556" s="122"/>
      <c r="J556" s="382"/>
      <c r="O556" s="153"/>
      <c r="P556" s="122"/>
      <c r="Q556" s="154"/>
      <c r="R556" s="139"/>
      <c r="T556" s="139"/>
      <c r="U556" s="139"/>
      <c r="W556" s="579"/>
    </row>
    <row r="557" spans="5:23" s="88" customFormat="1">
      <c r="E557" s="153"/>
      <c r="F557" s="122"/>
      <c r="J557" s="382"/>
      <c r="O557" s="153"/>
      <c r="P557" s="122"/>
      <c r="Q557" s="154"/>
      <c r="R557" s="139"/>
      <c r="T557" s="139"/>
      <c r="U557" s="139"/>
      <c r="W557" s="579"/>
    </row>
    <row r="558" spans="5:23" s="88" customFormat="1">
      <c r="E558" s="153"/>
      <c r="F558" s="122"/>
      <c r="J558" s="382"/>
      <c r="O558" s="153"/>
      <c r="P558" s="122"/>
      <c r="Q558" s="154"/>
      <c r="R558" s="139"/>
      <c r="T558" s="139"/>
      <c r="U558" s="139"/>
      <c r="W558" s="579"/>
    </row>
    <row r="559" spans="5:23" s="88" customFormat="1">
      <c r="E559" s="153"/>
      <c r="F559" s="122"/>
      <c r="J559" s="382"/>
      <c r="O559" s="153"/>
      <c r="P559" s="122"/>
      <c r="Q559" s="154"/>
      <c r="R559" s="139"/>
      <c r="T559" s="139"/>
      <c r="U559" s="139"/>
      <c r="W559" s="579"/>
    </row>
    <row r="560" spans="5:23" s="88" customFormat="1">
      <c r="E560" s="153"/>
      <c r="F560" s="122"/>
      <c r="J560" s="382"/>
      <c r="O560" s="153"/>
      <c r="P560" s="122"/>
      <c r="Q560" s="154"/>
      <c r="R560" s="139"/>
      <c r="T560" s="139"/>
      <c r="U560" s="139"/>
      <c r="W560" s="579"/>
    </row>
    <row r="561" spans="5:23" s="88" customFormat="1">
      <c r="E561" s="153"/>
      <c r="F561" s="122"/>
      <c r="J561" s="382"/>
      <c r="O561" s="153"/>
      <c r="P561" s="122"/>
      <c r="Q561" s="154"/>
      <c r="R561" s="139"/>
      <c r="T561" s="139"/>
      <c r="U561" s="139"/>
      <c r="W561" s="579"/>
    </row>
    <row r="562" spans="5:23" s="88" customFormat="1">
      <c r="E562" s="153"/>
      <c r="F562" s="122"/>
      <c r="J562" s="382"/>
      <c r="O562" s="153"/>
      <c r="P562" s="122"/>
      <c r="Q562" s="154"/>
      <c r="R562" s="139"/>
      <c r="T562" s="139"/>
      <c r="U562" s="139"/>
      <c r="W562" s="579"/>
    </row>
    <row r="563" spans="5:23" s="88" customFormat="1">
      <c r="E563" s="153"/>
      <c r="F563" s="122"/>
      <c r="J563" s="382"/>
      <c r="O563" s="153"/>
      <c r="P563" s="122"/>
      <c r="Q563" s="154"/>
      <c r="R563" s="139"/>
      <c r="T563" s="139"/>
      <c r="U563" s="139"/>
      <c r="W563" s="579"/>
    </row>
    <row r="564" spans="5:23" s="88" customFormat="1">
      <c r="E564" s="153"/>
      <c r="F564" s="122"/>
      <c r="J564" s="382"/>
      <c r="O564" s="153"/>
      <c r="P564" s="122"/>
      <c r="Q564" s="154"/>
      <c r="R564" s="139"/>
      <c r="T564" s="139"/>
      <c r="U564" s="139"/>
      <c r="W564" s="579"/>
    </row>
    <row r="565" spans="5:23" s="88" customFormat="1">
      <c r="E565" s="153"/>
      <c r="F565" s="122"/>
      <c r="J565" s="382"/>
      <c r="O565" s="153"/>
      <c r="P565" s="122"/>
      <c r="Q565" s="154"/>
      <c r="R565" s="139"/>
      <c r="T565" s="139"/>
      <c r="U565" s="139"/>
      <c r="W565" s="579"/>
    </row>
    <row r="566" spans="5:23" s="88" customFormat="1">
      <c r="E566" s="153"/>
      <c r="F566" s="122"/>
      <c r="J566" s="382"/>
      <c r="O566" s="153"/>
      <c r="P566" s="122"/>
      <c r="Q566" s="154"/>
      <c r="R566" s="139"/>
      <c r="T566" s="139"/>
      <c r="U566" s="139"/>
      <c r="W566" s="579"/>
    </row>
    <row r="567" spans="5:23" s="88" customFormat="1">
      <c r="E567" s="153"/>
      <c r="F567" s="122"/>
      <c r="J567" s="382"/>
      <c r="O567" s="153"/>
      <c r="P567" s="122"/>
      <c r="Q567" s="154"/>
      <c r="R567" s="139"/>
      <c r="T567" s="139"/>
      <c r="U567" s="139"/>
      <c r="W567" s="579"/>
    </row>
    <row r="568" spans="5:23" s="88" customFormat="1">
      <c r="E568" s="153"/>
      <c r="F568" s="122"/>
      <c r="J568" s="382"/>
      <c r="O568" s="153"/>
      <c r="P568" s="122"/>
      <c r="Q568" s="154"/>
      <c r="R568" s="139"/>
      <c r="T568" s="139"/>
      <c r="U568" s="139"/>
      <c r="W568" s="579"/>
    </row>
    <row r="569" spans="5:23" s="88" customFormat="1">
      <c r="E569" s="153"/>
      <c r="F569" s="122"/>
      <c r="J569" s="382"/>
      <c r="O569" s="153"/>
      <c r="P569" s="122"/>
      <c r="Q569" s="154"/>
      <c r="R569" s="139"/>
      <c r="T569" s="139"/>
      <c r="U569" s="139"/>
      <c r="W569" s="579"/>
    </row>
    <row r="570" spans="5:23" s="88" customFormat="1">
      <c r="E570" s="153"/>
      <c r="F570" s="122"/>
      <c r="J570" s="382"/>
      <c r="O570" s="153"/>
      <c r="P570" s="122"/>
      <c r="Q570" s="154"/>
      <c r="R570" s="139"/>
      <c r="T570" s="139"/>
      <c r="U570" s="139"/>
      <c r="W570" s="579"/>
    </row>
    <row r="571" spans="5:23" s="88" customFormat="1">
      <c r="E571" s="153"/>
      <c r="F571" s="122"/>
      <c r="J571" s="382"/>
      <c r="O571" s="153"/>
      <c r="P571" s="122"/>
      <c r="Q571" s="154"/>
      <c r="R571" s="139"/>
      <c r="T571" s="139"/>
      <c r="U571" s="139"/>
      <c r="W571" s="579"/>
    </row>
    <row r="572" spans="5:23" s="88" customFormat="1">
      <c r="E572" s="153"/>
      <c r="F572" s="122"/>
      <c r="J572" s="382"/>
      <c r="O572" s="153"/>
      <c r="P572" s="122"/>
      <c r="Q572" s="154"/>
      <c r="R572" s="139"/>
      <c r="T572" s="139"/>
      <c r="U572" s="139"/>
      <c r="W572" s="579"/>
    </row>
    <row r="573" spans="5:23" s="88" customFormat="1">
      <c r="E573" s="153"/>
      <c r="F573" s="122"/>
      <c r="J573" s="382"/>
      <c r="O573" s="153"/>
      <c r="P573" s="122"/>
      <c r="Q573" s="154"/>
      <c r="R573" s="139"/>
      <c r="T573" s="139"/>
      <c r="U573" s="139"/>
      <c r="W573" s="579"/>
    </row>
  </sheetData>
  <mergeCells count="28">
    <mergeCell ref="J116:J132"/>
    <mergeCell ref="J134:J140"/>
    <mergeCell ref="J155:J168"/>
    <mergeCell ref="J170:J212"/>
    <mergeCell ref="V76:V86"/>
    <mergeCell ref="V88:V104"/>
    <mergeCell ref="V106:V114"/>
    <mergeCell ref="V116:V132"/>
    <mergeCell ref="V134:V140"/>
    <mergeCell ref="V155:V168"/>
    <mergeCell ref="J40:J51"/>
    <mergeCell ref="J54:J74"/>
    <mergeCell ref="J76:J86"/>
    <mergeCell ref="J88:J104"/>
    <mergeCell ref="J106:J114"/>
    <mergeCell ref="B2:H2"/>
    <mergeCell ref="L2:R2"/>
    <mergeCell ref="J6:J26"/>
    <mergeCell ref="J28:J32"/>
    <mergeCell ref="J34:J38"/>
    <mergeCell ref="W187:W188"/>
    <mergeCell ref="T89:T90"/>
    <mergeCell ref="V6:V26"/>
    <mergeCell ref="V28:V32"/>
    <mergeCell ref="V34:V38"/>
    <mergeCell ref="V40:V51"/>
    <mergeCell ref="V54:V74"/>
    <mergeCell ref="V170:V212"/>
  </mergeCells>
  <conditionalFormatting sqref="I214">
    <cfRule type="cellIs" dxfId="21" priority="12" operator="notEqual">
      <formula>#REF!</formula>
    </cfRule>
  </conditionalFormatting>
  <conditionalFormatting sqref="R6:R93 R95:R213">
    <cfRule type="timePeriod" dxfId="20" priority="1" timePeriod="thisWeek">
      <formula>AND(TODAY()-ROUNDDOWN(R6,0)&lt;=WEEKDAY(TODAY())-1,ROUNDDOWN(R6,0)-TODAY()&lt;=7-WEEKDAY(TODAY()))</formula>
    </cfRule>
  </conditionalFormatting>
  <conditionalFormatting sqref="S170:S213">
    <cfRule type="cellIs" dxfId="19" priority="3" operator="notEqual">
      <formula>$BA$240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8EFD-B2E1-4367-B891-E9D6C5463F47}">
  <sheetPr codeName="Sheet8"/>
  <dimension ref="A1:AN453"/>
  <sheetViews>
    <sheetView view="pageBreakPreview" zoomScale="60" zoomScaleNormal="70" workbookViewId="0">
      <pane ySplit="4" topLeftCell="A5" activePane="bottomLeft" state="frozen"/>
      <selection pane="bottomLeft" activeCell="G108" sqref="G108"/>
    </sheetView>
  </sheetViews>
  <sheetFormatPr defaultColWidth="8.54296875" defaultRowHeight="14"/>
  <cols>
    <col min="1" max="1" width="5.453125" style="91" bestFit="1" customWidth="1"/>
    <col min="2" max="2" width="28.54296875" style="91" bestFit="1" customWidth="1"/>
    <col min="3" max="3" width="53" style="91" bestFit="1" customWidth="1"/>
    <col min="4" max="4" width="17" style="212" customWidth="1"/>
    <col min="5" max="5" width="14.453125" style="142" bestFit="1" customWidth="1"/>
    <col min="6" max="6" width="22.54296875" style="728" customWidth="1"/>
    <col min="7" max="7" width="12.54296875" style="214" bestFit="1" customWidth="1"/>
    <col min="8" max="8" width="20.453125" style="91" bestFit="1" customWidth="1"/>
    <col min="9" max="9" width="173.54296875" style="804" customWidth="1"/>
    <col min="10" max="16384" width="8.54296875" style="91"/>
  </cols>
  <sheetData>
    <row r="1" spans="1:9" s="88" customFormat="1" ht="6" customHeight="1" thickBot="1">
      <c r="D1" s="153"/>
      <c r="E1" s="122"/>
      <c r="F1" s="720"/>
      <c r="G1" s="139"/>
      <c r="I1" s="804"/>
    </row>
    <row r="2" spans="1:9" ht="21.75" customHeight="1" thickBot="1">
      <c r="A2" s="916" t="s">
        <v>205</v>
      </c>
      <c r="B2" s="917"/>
      <c r="C2" s="917"/>
      <c r="D2" s="917"/>
      <c r="E2" s="917"/>
      <c r="F2" s="917"/>
      <c r="G2" s="915"/>
      <c r="H2" s="437">
        <f>SUM(H6:H93)</f>
        <v>18009413.952675708</v>
      </c>
    </row>
    <row r="3" spans="1:9" s="88" customFormat="1" ht="7.5" customHeight="1" thickBot="1">
      <c r="D3" s="153"/>
      <c r="E3" s="122"/>
      <c r="F3" s="720"/>
      <c r="G3" s="139"/>
      <c r="I3" s="804"/>
    </row>
    <row r="4" spans="1:9" s="388" customFormat="1" ht="28.5" thickBot="1">
      <c r="A4" s="544" t="s">
        <v>206</v>
      </c>
      <c r="B4" s="545" t="s">
        <v>213</v>
      </c>
      <c r="C4" s="545" t="s">
        <v>208</v>
      </c>
      <c r="D4" s="155" t="s">
        <v>209</v>
      </c>
      <c r="E4" s="155" t="s">
        <v>210</v>
      </c>
      <c r="F4" s="721" t="s">
        <v>214</v>
      </c>
      <c r="G4" s="722" t="s">
        <v>212</v>
      </c>
      <c r="H4" s="383" t="s">
        <v>100</v>
      </c>
      <c r="I4" s="803" t="s">
        <v>426</v>
      </c>
    </row>
    <row r="5" spans="1:9" s="468" customFormat="1" ht="7.5" customHeight="1" thickBot="1">
      <c r="A5" s="474"/>
      <c r="B5" s="475"/>
      <c r="C5" s="475"/>
      <c r="D5" s="476"/>
      <c r="E5" s="477"/>
      <c r="F5" s="723"/>
      <c r="G5" s="484"/>
      <c r="H5" s="481"/>
      <c r="I5" s="805"/>
    </row>
    <row r="6" spans="1:9" s="745" customFormat="1" ht="14.25" hidden="1" customHeight="1">
      <c r="A6" s="233">
        <v>1</v>
      </c>
      <c r="B6" s="234" t="s">
        <v>217</v>
      </c>
      <c r="C6" s="234" t="s">
        <v>427</v>
      </c>
      <c r="D6" s="235">
        <v>3182</v>
      </c>
      <c r="E6" s="236">
        <v>0.1</v>
      </c>
      <c r="F6" s="670">
        <v>799123.4462675706</v>
      </c>
      <c r="G6" s="238">
        <v>45090</v>
      </c>
      <c r="H6" s="904">
        <v>8049769.5326757049</v>
      </c>
      <c r="I6" s="947" t="s">
        <v>428</v>
      </c>
    </row>
    <row r="7" spans="1:9" ht="15" hidden="1" customHeight="1">
      <c r="A7" s="157">
        <v>1</v>
      </c>
      <c r="B7" s="541" t="s">
        <v>217</v>
      </c>
      <c r="C7" s="170" t="s">
        <v>429</v>
      </c>
      <c r="D7" s="159"/>
      <c r="E7" s="160">
        <v>0.9</v>
      </c>
      <c r="F7" s="691">
        <v>7192111.0164081352</v>
      </c>
      <c r="G7" s="162">
        <v>45327</v>
      </c>
      <c r="H7" s="905"/>
      <c r="I7" s="948"/>
    </row>
    <row r="8" spans="1:9" ht="15" hidden="1" customHeight="1">
      <c r="A8" s="157">
        <v>1</v>
      </c>
      <c r="B8" s="541" t="s">
        <v>217</v>
      </c>
      <c r="C8" s="158" t="s">
        <v>225</v>
      </c>
      <c r="D8" s="166"/>
      <c r="E8" s="160"/>
      <c r="F8" s="449">
        <v>39939.25</v>
      </c>
      <c r="G8" s="162">
        <v>45199</v>
      </c>
      <c r="H8" s="905"/>
      <c r="I8" s="948"/>
    </row>
    <row r="9" spans="1:9" ht="15" hidden="1" customHeight="1">
      <c r="A9" s="157">
        <v>1</v>
      </c>
      <c r="B9" s="541" t="s">
        <v>217</v>
      </c>
      <c r="C9" s="158" t="s">
        <v>225</v>
      </c>
      <c r="D9" s="166"/>
      <c r="E9" s="160"/>
      <c r="F9" s="449">
        <v>3997.4300000000003</v>
      </c>
      <c r="G9" s="162">
        <v>45139</v>
      </c>
      <c r="H9" s="905"/>
      <c r="I9" s="948"/>
    </row>
    <row r="10" spans="1:9" ht="15" hidden="1" customHeight="1">
      <c r="A10" s="157">
        <v>1</v>
      </c>
      <c r="B10" s="541" t="s">
        <v>217</v>
      </c>
      <c r="C10" s="158" t="s">
        <v>229</v>
      </c>
      <c r="D10" s="166"/>
      <c r="E10" s="160"/>
      <c r="F10" s="449">
        <v>5328.39</v>
      </c>
      <c r="G10" s="162">
        <v>45105</v>
      </c>
      <c r="H10" s="905"/>
      <c r="I10" s="948"/>
    </row>
    <row r="11" spans="1:9" ht="15" hidden="1" customHeight="1">
      <c r="A11" s="157">
        <v>1</v>
      </c>
      <c r="B11" s="541" t="s">
        <v>217</v>
      </c>
      <c r="C11" s="158" t="s">
        <v>232</v>
      </c>
      <c r="D11" s="166"/>
      <c r="E11" s="160"/>
      <c r="F11" s="449">
        <v>4300</v>
      </c>
      <c r="G11" s="162">
        <v>45225</v>
      </c>
      <c r="H11" s="905"/>
      <c r="I11" s="948"/>
    </row>
    <row r="12" spans="1:9" ht="15" hidden="1" customHeight="1">
      <c r="A12" s="157">
        <v>1</v>
      </c>
      <c r="B12" s="541" t="s">
        <v>217</v>
      </c>
      <c r="C12" s="158" t="s">
        <v>233</v>
      </c>
      <c r="D12" s="166"/>
      <c r="E12" s="160"/>
      <c r="F12" s="449">
        <v>4550</v>
      </c>
      <c r="G12" s="162">
        <v>45246</v>
      </c>
      <c r="H12" s="905"/>
      <c r="I12" s="948"/>
    </row>
    <row r="13" spans="1:9" ht="15" hidden="1" customHeight="1" thickBot="1">
      <c r="A13" s="713">
        <v>1</v>
      </c>
      <c r="B13" s="733" t="s">
        <v>217</v>
      </c>
      <c r="C13" s="714" t="s">
        <v>234</v>
      </c>
      <c r="D13" s="734"/>
      <c r="E13" s="735"/>
      <c r="F13" s="736">
        <v>420</v>
      </c>
      <c r="G13" s="718">
        <v>45246</v>
      </c>
      <c r="H13" s="905"/>
      <c r="I13" s="949"/>
    </row>
    <row r="14" spans="1:9" s="745" customFormat="1" ht="14.5" hidden="1" thickBot="1">
      <c r="A14" s="737"/>
      <c r="B14" s="738"/>
      <c r="C14" s="739"/>
      <c r="D14" s="740"/>
      <c r="E14" s="741"/>
      <c r="F14" s="742"/>
      <c r="G14" s="743"/>
      <c r="H14" s="744"/>
      <c r="I14" s="806"/>
    </row>
    <row r="15" spans="1:9" s="745" customFormat="1" ht="14.25" hidden="1" customHeight="1">
      <c r="A15" s="179">
        <v>2</v>
      </c>
      <c r="B15" s="261" t="s">
        <v>236</v>
      </c>
      <c r="C15" s="261" t="s">
        <v>238</v>
      </c>
      <c r="D15" s="262">
        <v>12</v>
      </c>
      <c r="E15" s="267">
        <v>89060</v>
      </c>
      <c r="F15" s="184">
        <v>106872</v>
      </c>
      <c r="G15" s="185">
        <v>45155</v>
      </c>
      <c r="H15" s="907">
        <v>1068720</v>
      </c>
      <c r="I15" s="950" t="s">
        <v>430</v>
      </c>
    </row>
    <row r="16" spans="1:9" ht="15" hidden="1" customHeight="1" thickBot="1">
      <c r="A16" s="607">
        <v>2</v>
      </c>
      <c r="B16" s="608" t="s">
        <v>236</v>
      </c>
      <c r="C16" s="608" t="s">
        <v>240</v>
      </c>
      <c r="D16" s="609"/>
      <c r="E16" s="650"/>
      <c r="F16" s="746">
        <v>961848</v>
      </c>
      <c r="G16" s="652">
        <v>45202</v>
      </c>
      <c r="H16" s="908"/>
      <c r="I16" s="952"/>
    </row>
    <row r="17" spans="1:9" s="745" customFormat="1" ht="14.5" hidden="1" thickBot="1">
      <c r="A17" s="747"/>
      <c r="B17" s="748"/>
      <c r="C17" s="748"/>
      <c r="D17" s="749"/>
      <c r="E17" s="750"/>
      <c r="F17" s="751"/>
      <c r="G17" s="743"/>
      <c r="H17" s="744"/>
      <c r="I17" s="806"/>
    </row>
    <row r="18" spans="1:9" s="745" customFormat="1" ht="14.25" hidden="1" customHeight="1">
      <c r="A18" s="302">
        <v>3</v>
      </c>
      <c r="B18" s="303" t="s">
        <v>243</v>
      </c>
      <c r="C18" s="304" t="s">
        <v>245</v>
      </c>
      <c r="D18" s="305"/>
      <c r="E18" s="561"/>
      <c r="F18" s="237">
        <v>320522</v>
      </c>
      <c r="G18" s="308">
        <v>45148</v>
      </c>
      <c r="H18" s="910">
        <v>351446.8</v>
      </c>
      <c r="I18" s="947" t="s">
        <v>431</v>
      </c>
    </row>
    <row r="19" spans="1:9" ht="14.25" hidden="1" customHeight="1">
      <c r="A19" s="312">
        <v>3</v>
      </c>
      <c r="B19" s="313" t="s">
        <v>243</v>
      </c>
      <c r="C19" s="314" t="s">
        <v>246</v>
      </c>
      <c r="D19" s="315"/>
      <c r="E19" s="316"/>
      <c r="F19" s="449">
        <v>24371</v>
      </c>
      <c r="G19" s="318">
        <v>45148</v>
      </c>
      <c r="H19" s="911"/>
      <c r="I19" s="948"/>
    </row>
    <row r="20" spans="1:9" ht="14.25" hidden="1" customHeight="1">
      <c r="A20" s="312">
        <v>3</v>
      </c>
      <c r="B20" s="313" t="s">
        <v>243</v>
      </c>
      <c r="C20" s="314" t="s">
        <v>246</v>
      </c>
      <c r="D20" s="315"/>
      <c r="E20" s="316"/>
      <c r="F20" s="449">
        <v>6553.8</v>
      </c>
      <c r="G20" s="318">
        <v>45350</v>
      </c>
      <c r="H20" s="911"/>
      <c r="I20" s="948"/>
    </row>
    <row r="21" spans="1:9" ht="14.25" hidden="1" customHeight="1">
      <c r="A21" s="312">
        <v>3</v>
      </c>
      <c r="B21" s="313" t="s">
        <v>243</v>
      </c>
      <c r="C21" s="314" t="s">
        <v>247</v>
      </c>
      <c r="D21" s="315"/>
      <c r="E21" s="316"/>
      <c r="F21" s="687">
        <v>-18280.34</v>
      </c>
      <c r="G21" s="318">
        <v>45138</v>
      </c>
      <c r="H21" s="911"/>
      <c r="I21" s="948"/>
    </row>
    <row r="22" spans="1:9" ht="15" hidden="1" customHeight="1" thickBot="1">
      <c r="A22" s="371">
        <v>3</v>
      </c>
      <c r="B22" s="372" t="s">
        <v>243</v>
      </c>
      <c r="C22" s="373" t="s">
        <v>248</v>
      </c>
      <c r="D22" s="374"/>
      <c r="E22" s="375"/>
      <c r="F22" s="632">
        <v>18280.34</v>
      </c>
      <c r="G22" s="377">
        <v>45138</v>
      </c>
      <c r="H22" s="912"/>
      <c r="I22" s="949"/>
    </row>
    <row r="23" spans="1:9" s="789" customFormat="1" ht="14.5" hidden="1" thickBot="1">
      <c r="A23" s="781"/>
      <c r="B23" s="782"/>
      <c r="C23" s="783"/>
      <c r="D23" s="784"/>
      <c r="E23" s="785"/>
      <c r="F23" s="786"/>
      <c r="G23" s="787"/>
      <c r="H23" s="788"/>
      <c r="I23" s="807"/>
    </row>
    <row r="24" spans="1:9" s="745" customFormat="1" ht="14.25" hidden="1" customHeight="1">
      <c r="A24" s="179">
        <v>4</v>
      </c>
      <c r="B24" s="180" t="s">
        <v>249</v>
      </c>
      <c r="C24" s="180" t="s">
        <v>251</v>
      </c>
      <c r="D24" s="262">
        <v>20000</v>
      </c>
      <c r="E24" s="267">
        <v>13.92</v>
      </c>
      <c r="F24" s="184">
        <v>278400</v>
      </c>
      <c r="G24" s="185">
        <v>45169</v>
      </c>
      <c r="H24" s="907">
        <v>1169008.8600000001</v>
      </c>
      <c r="I24" s="950" t="s">
        <v>431</v>
      </c>
    </row>
    <row r="25" spans="1:9" ht="15" hidden="1" customHeight="1">
      <c r="A25" s="187">
        <v>4</v>
      </c>
      <c r="B25" s="188" t="s">
        <v>249</v>
      </c>
      <c r="C25" s="204" t="s">
        <v>254</v>
      </c>
      <c r="D25" s="200">
        <v>20000</v>
      </c>
      <c r="E25" s="270">
        <v>13.92</v>
      </c>
      <c r="F25" s="672">
        <v>278400</v>
      </c>
      <c r="G25" s="193">
        <v>45169</v>
      </c>
      <c r="H25" s="908"/>
      <c r="I25" s="951"/>
    </row>
    <row r="26" spans="1:9" ht="15" hidden="1" customHeight="1">
      <c r="A26" s="187">
        <v>4</v>
      </c>
      <c r="B26" s="188" t="s">
        <v>249</v>
      </c>
      <c r="C26" s="204" t="s">
        <v>255</v>
      </c>
      <c r="D26" s="200">
        <v>3500</v>
      </c>
      <c r="E26" s="270">
        <v>15.47</v>
      </c>
      <c r="F26" s="672">
        <v>54145</v>
      </c>
      <c r="G26" s="193">
        <v>45205</v>
      </c>
      <c r="H26" s="908"/>
      <c r="I26" s="951"/>
    </row>
    <row r="27" spans="1:9" ht="15" hidden="1" customHeight="1">
      <c r="A27" s="187">
        <v>4</v>
      </c>
      <c r="B27" s="188" t="s">
        <v>249</v>
      </c>
      <c r="C27" s="204" t="s">
        <v>256</v>
      </c>
      <c r="D27" s="200">
        <v>3500</v>
      </c>
      <c r="E27" s="270">
        <v>14.6</v>
      </c>
      <c r="F27" s="672">
        <v>51100</v>
      </c>
      <c r="G27" s="193">
        <v>45205</v>
      </c>
      <c r="H27" s="908"/>
      <c r="I27" s="951"/>
    </row>
    <row r="28" spans="1:9" ht="15" hidden="1" customHeight="1">
      <c r="A28" s="187">
        <v>4</v>
      </c>
      <c r="B28" s="188" t="s">
        <v>249</v>
      </c>
      <c r="C28" s="204" t="s">
        <v>257</v>
      </c>
      <c r="D28" s="200">
        <v>3000</v>
      </c>
      <c r="E28" s="270">
        <v>14.28</v>
      </c>
      <c r="F28" s="672">
        <v>42841.93</v>
      </c>
      <c r="G28" s="193">
        <v>45243</v>
      </c>
      <c r="H28" s="908"/>
      <c r="I28" s="951"/>
    </row>
    <row r="29" spans="1:9" ht="15" hidden="1" customHeight="1" thickBot="1">
      <c r="A29" s="658">
        <v>4</v>
      </c>
      <c r="B29" s="659" t="s">
        <v>249</v>
      </c>
      <c r="C29" s="648" t="s">
        <v>258</v>
      </c>
      <c r="D29" s="707">
        <v>3000</v>
      </c>
      <c r="E29" s="650">
        <v>14.28</v>
      </c>
      <c r="F29" s="686">
        <v>42841.93</v>
      </c>
      <c r="G29" s="652">
        <v>45243</v>
      </c>
      <c r="H29" s="908"/>
      <c r="I29" s="952"/>
    </row>
    <row r="30" spans="1:9" s="745" customFormat="1" ht="15" hidden="1" customHeight="1">
      <c r="A30" s="753">
        <v>4</v>
      </c>
      <c r="B30" s="754" t="s">
        <v>432</v>
      </c>
      <c r="C30" s="754" t="s">
        <v>260</v>
      </c>
      <c r="D30" s="755">
        <v>0.5</v>
      </c>
      <c r="E30" s="267">
        <v>420555</v>
      </c>
      <c r="F30" s="671">
        <v>210277.5</v>
      </c>
      <c r="G30" s="185">
        <v>45092</v>
      </c>
      <c r="H30" s="908"/>
      <c r="I30" s="950" t="s">
        <v>433</v>
      </c>
    </row>
    <row r="31" spans="1:9" ht="15" hidden="1" customHeight="1">
      <c r="A31" s="752">
        <v>4</v>
      </c>
      <c r="B31" s="204" t="s">
        <v>432</v>
      </c>
      <c r="C31" s="204" t="s">
        <v>261</v>
      </c>
      <c r="D31" s="654">
        <v>0.4</v>
      </c>
      <c r="E31" s="270"/>
      <c r="F31" s="672">
        <v>168222</v>
      </c>
      <c r="G31" s="652">
        <v>45169</v>
      </c>
      <c r="H31" s="908"/>
      <c r="I31" s="951"/>
    </row>
    <row r="32" spans="1:9" ht="15" hidden="1" customHeight="1" thickBot="1">
      <c r="A32" s="752">
        <v>4</v>
      </c>
      <c r="B32" s="648" t="s">
        <v>432</v>
      </c>
      <c r="C32" s="648" t="s">
        <v>262</v>
      </c>
      <c r="D32" s="654">
        <v>0.1</v>
      </c>
      <c r="E32" s="650"/>
      <c r="F32" s="686">
        <v>42055.5</v>
      </c>
      <c r="G32" s="652">
        <v>45348</v>
      </c>
      <c r="H32" s="909"/>
      <c r="I32" s="952"/>
    </row>
    <row r="33" spans="1:9" s="745" customFormat="1" ht="14.5" hidden="1" thickBot="1">
      <c r="A33" s="737"/>
      <c r="B33" s="738"/>
      <c r="C33" s="738"/>
      <c r="D33" s="756"/>
      <c r="E33" s="741"/>
      <c r="F33" s="757"/>
      <c r="G33" s="743"/>
      <c r="H33" s="744"/>
      <c r="I33" s="806"/>
    </row>
    <row r="34" spans="1:9" s="745" customFormat="1" ht="14.25" hidden="1" customHeight="1">
      <c r="A34" s="302">
        <v>5</v>
      </c>
      <c r="B34" s="303" t="s">
        <v>263</v>
      </c>
      <c r="C34" s="390" t="s">
        <v>265</v>
      </c>
      <c r="D34" s="391"/>
      <c r="E34" s="392"/>
      <c r="F34" s="307">
        <v>749.90000000000009</v>
      </c>
      <c r="G34" s="308">
        <v>45155</v>
      </c>
      <c r="H34" s="910">
        <v>142410.71000000002</v>
      </c>
      <c r="I34" s="947" t="s">
        <v>431</v>
      </c>
    </row>
    <row r="35" spans="1:9" ht="14.25" hidden="1" customHeight="1">
      <c r="A35" s="312">
        <v>5</v>
      </c>
      <c r="B35" s="313" t="s">
        <v>263</v>
      </c>
      <c r="C35" s="394" t="s">
        <v>267</v>
      </c>
      <c r="D35" s="395"/>
      <c r="E35" s="396"/>
      <c r="F35" s="687">
        <v>6749.1</v>
      </c>
      <c r="G35" s="318">
        <v>45202</v>
      </c>
      <c r="H35" s="911"/>
      <c r="I35" s="948"/>
    </row>
    <row r="36" spans="1:9" ht="14.25" hidden="1" customHeight="1">
      <c r="A36" s="312">
        <v>5</v>
      </c>
      <c r="B36" s="313" t="s">
        <v>263</v>
      </c>
      <c r="C36" s="394" t="s">
        <v>268</v>
      </c>
      <c r="D36" s="395"/>
      <c r="E36" s="396"/>
      <c r="F36" s="687">
        <v>9011</v>
      </c>
      <c r="G36" s="318">
        <v>45351</v>
      </c>
      <c r="H36" s="911"/>
      <c r="I36" s="948"/>
    </row>
    <row r="37" spans="1:9" ht="14.25" hidden="1" customHeight="1">
      <c r="A37" s="312">
        <v>5</v>
      </c>
      <c r="B37" s="313" t="s">
        <v>263</v>
      </c>
      <c r="C37" s="394" t="s">
        <v>269</v>
      </c>
      <c r="D37" s="395"/>
      <c r="E37" s="396"/>
      <c r="F37" s="687">
        <v>26788</v>
      </c>
      <c r="G37" s="318">
        <v>45322</v>
      </c>
      <c r="H37" s="911"/>
      <c r="I37" s="948"/>
    </row>
    <row r="38" spans="1:9" ht="14.25" hidden="1" customHeight="1">
      <c r="A38" s="312">
        <v>5</v>
      </c>
      <c r="B38" s="313" t="s">
        <v>263</v>
      </c>
      <c r="C38" s="589" t="s">
        <v>273</v>
      </c>
      <c r="D38" s="590"/>
      <c r="E38" s="591"/>
      <c r="F38" s="632">
        <v>1655</v>
      </c>
      <c r="G38" s="377">
        <v>45176</v>
      </c>
      <c r="H38" s="911"/>
      <c r="I38" s="948"/>
    </row>
    <row r="39" spans="1:9" ht="14.25" hidden="1" customHeight="1">
      <c r="A39" s="312">
        <v>5</v>
      </c>
      <c r="B39" s="372" t="s">
        <v>263</v>
      </c>
      <c r="C39" s="589" t="s">
        <v>275</v>
      </c>
      <c r="D39" s="668">
        <v>4</v>
      </c>
      <c r="E39" s="710">
        <v>15000</v>
      </c>
      <c r="F39" s="632">
        <v>60000</v>
      </c>
      <c r="G39" s="377">
        <v>45350</v>
      </c>
      <c r="H39" s="911"/>
      <c r="I39" s="948"/>
    </row>
    <row r="40" spans="1:9" ht="14.25" hidden="1" customHeight="1">
      <c r="A40" s="312">
        <v>5</v>
      </c>
      <c r="B40" s="372" t="s">
        <v>263</v>
      </c>
      <c r="C40" s="589" t="s">
        <v>276</v>
      </c>
      <c r="D40" s="590"/>
      <c r="E40" s="591"/>
      <c r="F40" s="632">
        <v>9006.66</v>
      </c>
      <c r="G40" s="377">
        <v>45350</v>
      </c>
      <c r="H40" s="911"/>
      <c r="I40" s="948"/>
    </row>
    <row r="41" spans="1:9" ht="14.25" hidden="1" customHeight="1">
      <c r="A41" s="312">
        <v>5</v>
      </c>
      <c r="B41" s="372" t="s">
        <v>263</v>
      </c>
      <c r="C41" s="589" t="s">
        <v>279</v>
      </c>
      <c r="D41" s="590"/>
      <c r="E41" s="591"/>
      <c r="F41" s="632">
        <v>2082.61</v>
      </c>
      <c r="G41" s="377">
        <v>45096</v>
      </c>
      <c r="H41" s="911"/>
      <c r="I41" s="948"/>
    </row>
    <row r="42" spans="1:9" ht="14.25" hidden="1" customHeight="1">
      <c r="A42" s="312">
        <v>5</v>
      </c>
      <c r="B42" s="372" t="s">
        <v>263</v>
      </c>
      <c r="C42" s="589" t="s">
        <v>281</v>
      </c>
      <c r="D42" s="590"/>
      <c r="E42" s="591"/>
      <c r="F42" s="632">
        <v>239.13</v>
      </c>
      <c r="G42" s="377">
        <v>45031</v>
      </c>
      <c r="H42" s="911"/>
      <c r="I42" s="948"/>
    </row>
    <row r="43" spans="1:9" ht="14.25" hidden="1" customHeight="1">
      <c r="A43" s="312">
        <v>5</v>
      </c>
      <c r="B43" s="372" t="s">
        <v>263</v>
      </c>
      <c r="C43" s="589" t="s">
        <v>283</v>
      </c>
      <c r="D43" s="668">
        <v>1</v>
      </c>
      <c r="E43" s="667">
        <v>2694</v>
      </c>
      <c r="F43" s="632">
        <v>2969.31</v>
      </c>
      <c r="G43" s="377">
        <v>45127</v>
      </c>
      <c r="H43" s="911"/>
      <c r="I43" s="948"/>
    </row>
    <row r="44" spans="1:9" ht="14.25" hidden="1" customHeight="1">
      <c r="A44" s="312">
        <v>5</v>
      </c>
      <c r="B44" s="372" t="s">
        <v>263</v>
      </c>
      <c r="C44" s="589" t="s">
        <v>286</v>
      </c>
      <c r="D44" s="668"/>
      <c r="E44" s="667"/>
      <c r="F44" s="632">
        <v>1039</v>
      </c>
      <c r="G44" s="377">
        <v>45148</v>
      </c>
      <c r="H44" s="911"/>
      <c r="I44" s="948"/>
    </row>
    <row r="45" spans="1:9" ht="15" hidden="1" customHeight="1">
      <c r="A45" s="312">
        <v>5</v>
      </c>
      <c r="B45" s="313" t="s">
        <v>263</v>
      </c>
      <c r="C45" s="394" t="s">
        <v>434</v>
      </c>
      <c r="D45" s="395"/>
      <c r="E45" s="396"/>
      <c r="F45" s="687">
        <v>15000</v>
      </c>
      <c r="G45" s="318">
        <v>45350</v>
      </c>
      <c r="H45" s="911"/>
      <c r="I45" s="948"/>
    </row>
    <row r="46" spans="1:9" ht="15" hidden="1" customHeight="1">
      <c r="A46" s="312">
        <v>5</v>
      </c>
      <c r="B46" s="313" t="s">
        <v>263</v>
      </c>
      <c r="C46" s="394" t="s">
        <v>435</v>
      </c>
      <c r="D46" s="395"/>
      <c r="E46" s="396"/>
      <c r="F46" s="687">
        <v>6300</v>
      </c>
      <c r="G46" s="318">
        <v>45322</v>
      </c>
      <c r="H46" s="911"/>
      <c r="I46" s="948"/>
    </row>
    <row r="47" spans="1:9" ht="15" hidden="1" customHeight="1" thickBot="1">
      <c r="A47" s="371">
        <v>5</v>
      </c>
      <c r="B47" s="758" t="s">
        <v>263</v>
      </c>
      <c r="C47" s="759" t="s">
        <v>291</v>
      </c>
      <c r="D47" s="760"/>
      <c r="E47" s="761"/>
      <c r="F47" s="762">
        <v>821</v>
      </c>
      <c r="G47" s="763">
        <v>45322</v>
      </c>
      <c r="H47" s="912"/>
      <c r="I47" s="949"/>
    </row>
    <row r="48" spans="1:9" s="745" customFormat="1" ht="14.5" hidden="1" thickBot="1">
      <c r="A48" s="747"/>
      <c r="B48" s="764"/>
      <c r="C48" s="765"/>
      <c r="D48" s="766"/>
      <c r="E48" s="767"/>
      <c r="F48" s="751"/>
      <c r="G48" s="743"/>
      <c r="H48" s="768"/>
      <c r="I48" s="806"/>
    </row>
    <row r="49" spans="1:9" s="745" customFormat="1" ht="14.25" hidden="1" customHeight="1">
      <c r="A49" s="729">
        <v>6</v>
      </c>
      <c r="B49" s="180" t="s">
        <v>436</v>
      </c>
      <c r="C49" s="731" t="s">
        <v>298</v>
      </c>
      <c r="D49" s="669">
        <v>388553.54</v>
      </c>
      <c r="E49" s="183">
        <v>0.5</v>
      </c>
      <c r="F49" s="671">
        <v>194276.77</v>
      </c>
      <c r="G49" s="185">
        <v>45092</v>
      </c>
      <c r="H49" s="907">
        <v>954731.35000000009</v>
      </c>
      <c r="I49" s="950" t="s">
        <v>433</v>
      </c>
    </row>
    <row r="50" spans="1:9" ht="14.25" hidden="1" customHeight="1">
      <c r="A50" s="730">
        <v>6</v>
      </c>
      <c r="B50" s="188" t="s">
        <v>436</v>
      </c>
      <c r="C50" s="732" t="s">
        <v>299</v>
      </c>
      <c r="D50" s="190"/>
      <c r="E50" s="191">
        <v>0.4</v>
      </c>
      <c r="F50" s="672">
        <v>86956.521739130447</v>
      </c>
      <c r="G50" s="193">
        <v>45317</v>
      </c>
      <c r="H50" s="908"/>
      <c r="I50" s="951"/>
    </row>
    <row r="51" spans="1:9" ht="14.25" hidden="1" customHeight="1">
      <c r="A51" s="730">
        <v>6</v>
      </c>
      <c r="B51" s="188" t="s">
        <v>436</v>
      </c>
      <c r="C51" s="732" t="s">
        <v>299</v>
      </c>
      <c r="D51" s="190"/>
      <c r="E51" s="191"/>
      <c r="F51" s="672">
        <v>68464.894260869551</v>
      </c>
      <c r="G51" s="193">
        <v>45322</v>
      </c>
      <c r="H51" s="908"/>
      <c r="I51" s="951"/>
    </row>
    <row r="52" spans="1:9" ht="14.25" hidden="1" customHeight="1" thickBot="1">
      <c r="A52" s="795">
        <v>6</v>
      </c>
      <c r="B52" s="659" t="s">
        <v>436</v>
      </c>
      <c r="C52" s="796" t="s">
        <v>300</v>
      </c>
      <c r="D52" s="661"/>
      <c r="E52" s="662">
        <v>0.1</v>
      </c>
      <c r="F52" s="686">
        <v>38855.353999999999</v>
      </c>
      <c r="G52" s="652">
        <v>45348</v>
      </c>
      <c r="H52" s="908"/>
      <c r="I52" s="952"/>
    </row>
    <row r="53" spans="1:9" s="745" customFormat="1" ht="14.25" hidden="1" customHeight="1">
      <c r="A53" s="729">
        <v>6</v>
      </c>
      <c r="B53" s="797" t="s">
        <v>296</v>
      </c>
      <c r="C53" s="798" t="s">
        <v>302</v>
      </c>
      <c r="D53" s="799"/>
      <c r="E53" s="800"/>
      <c r="F53" s="801">
        <v>434902.77</v>
      </c>
      <c r="G53" s="802">
        <v>45198</v>
      </c>
      <c r="H53" s="908"/>
      <c r="I53" s="950" t="s">
        <v>431</v>
      </c>
    </row>
    <row r="54" spans="1:9" ht="14.25" hidden="1" customHeight="1">
      <c r="A54" s="730">
        <v>6</v>
      </c>
      <c r="B54" s="659" t="s">
        <v>296</v>
      </c>
      <c r="C54" s="660" t="s">
        <v>303</v>
      </c>
      <c r="D54" s="661"/>
      <c r="E54" s="662"/>
      <c r="F54" s="686">
        <v>6757.02</v>
      </c>
      <c r="G54" s="652">
        <v>45198</v>
      </c>
      <c r="H54" s="908"/>
      <c r="I54" s="951"/>
    </row>
    <row r="55" spans="1:9" ht="14.25" hidden="1" customHeight="1">
      <c r="A55" s="730">
        <v>6</v>
      </c>
      <c r="B55" s="659" t="s">
        <v>296</v>
      </c>
      <c r="C55" s="660" t="s">
        <v>304</v>
      </c>
      <c r="D55" s="661"/>
      <c r="E55" s="662"/>
      <c r="F55" s="686">
        <v>87414.48</v>
      </c>
      <c r="G55" s="652">
        <v>45198</v>
      </c>
      <c r="H55" s="908"/>
      <c r="I55" s="951"/>
    </row>
    <row r="56" spans="1:9" ht="14.25" hidden="1" customHeight="1" thickBot="1">
      <c r="A56" s="658">
        <v>6</v>
      </c>
      <c r="B56" s="659" t="s">
        <v>296</v>
      </c>
      <c r="C56" s="660" t="s">
        <v>305</v>
      </c>
      <c r="D56" s="661"/>
      <c r="E56" s="662"/>
      <c r="F56" s="686">
        <v>37103.54</v>
      </c>
      <c r="G56" s="652">
        <v>45231</v>
      </c>
      <c r="H56" s="908"/>
      <c r="I56" s="952"/>
    </row>
    <row r="57" spans="1:9" s="745" customFormat="1" ht="14.5" hidden="1" thickBot="1">
      <c r="A57" s="747"/>
      <c r="B57" s="769"/>
      <c r="C57" s="770"/>
      <c r="D57" s="771"/>
      <c r="E57" s="772"/>
      <c r="F57" s="751"/>
      <c r="G57" s="743"/>
      <c r="H57" s="744"/>
      <c r="I57" s="806"/>
    </row>
    <row r="58" spans="1:9" s="745" customFormat="1" ht="14.25" hidden="1" customHeight="1">
      <c r="A58" s="364">
        <v>7</v>
      </c>
      <c r="B58" s="303" t="s">
        <v>311</v>
      </c>
      <c r="C58" s="365" t="s">
        <v>313</v>
      </c>
      <c r="D58" s="366"/>
      <c r="E58" s="367"/>
      <c r="F58" s="368">
        <v>400000</v>
      </c>
      <c r="G58" s="369">
        <v>45348</v>
      </c>
      <c r="H58" s="910">
        <v>534030</v>
      </c>
      <c r="I58" s="947" t="s">
        <v>431</v>
      </c>
    </row>
    <row r="59" spans="1:9" ht="14.25" hidden="1" customHeight="1">
      <c r="A59" s="371">
        <v>7</v>
      </c>
      <c r="B59" s="372" t="s">
        <v>311</v>
      </c>
      <c r="C59" s="373" t="s">
        <v>320</v>
      </c>
      <c r="D59" s="374"/>
      <c r="E59" s="375"/>
      <c r="F59" s="376">
        <v>25000</v>
      </c>
      <c r="G59" s="377">
        <v>45348</v>
      </c>
      <c r="H59" s="911"/>
      <c r="I59" s="948"/>
    </row>
    <row r="60" spans="1:9" ht="14.25" hidden="1" customHeight="1">
      <c r="A60" s="371">
        <v>7</v>
      </c>
      <c r="B60" s="372" t="s">
        <v>311</v>
      </c>
      <c r="C60" s="373" t="s">
        <v>326</v>
      </c>
      <c r="D60" s="374"/>
      <c r="E60" s="375"/>
      <c r="F60" s="376">
        <v>28620</v>
      </c>
      <c r="G60" s="377">
        <v>45320</v>
      </c>
      <c r="H60" s="911"/>
      <c r="I60" s="948"/>
    </row>
    <row r="61" spans="1:9" ht="14.25" hidden="1" customHeight="1">
      <c r="A61" s="371">
        <v>7</v>
      </c>
      <c r="B61" s="372" t="s">
        <v>311</v>
      </c>
      <c r="C61" s="373" t="s">
        <v>331</v>
      </c>
      <c r="D61" s="374"/>
      <c r="E61" s="375"/>
      <c r="F61" s="376">
        <v>29745</v>
      </c>
      <c r="G61" s="377">
        <v>45099</v>
      </c>
      <c r="H61" s="911"/>
      <c r="I61" s="948"/>
    </row>
    <row r="62" spans="1:9" ht="14.25" hidden="1" customHeight="1">
      <c r="A62" s="371">
        <v>7</v>
      </c>
      <c r="B62" s="372" t="s">
        <v>311</v>
      </c>
      <c r="C62" s="373" t="s">
        <v>332</v>
      </c>
      <c r="D62" s="374"/>
      <c r="E62" s="375"/>
      <c r="F62" s="376">
        <v>19942.5</v>
      </c>
      <c r="G62" s="377">
        <v>45316</v>
      </c>
      <c r="H62" s="911"/>
      <c r="I62" s="948"/>
    </row>
    <row r="63" spans="1:9" ht="14.25" hidden="1" customHeight="1">
      <c r="A63" s="371">
        <v>7</v>
      </c>
      <c r="B63" s="372" t="s">
        <v>311</v>
      </c>
      <c r="C63" s="373" t="s">
        <v>334</v>
      </c>
      <c r="D63" s="374"/>
      <c r="E63" s="375"/>
      <c r="F63" s="376">
        <v>19942.5</v>
      </c>
      <c r="G63" s="377">
        <v>45316</v>
      </c>
      <c r="H63" s="911"/>
      <c r="I63" s="948"/>
    </row>
    <row r="64" spans="1:9" ht="14.25" hidden="1" customHeight="1" thickBot="1">
      <c r="A64" s="371">
        <v>7</v>
      </c>
      <c r="B64" s="372" t="s">
        <v>311</v>
      </c>
      <c r="C64" s="373" t="s">
        <v>335</v>
      </c>
      <c r="D64" s="374"/>
      <c r="E64" s="375"/>
      <c r="F64" s="376">
        <v>10780</v>
      </c>
      <c r="G64" s="377">
        <v>45282</v>
      </c>
      <c r="H64" s="911"/>
      <c r="I64" s="949"/>
    </row>
    <row r="65" spans="1:9" s="745" customFormat="1" ht="22.5" customHeight="1" thickBot="1">
      <c r="A65" s="630"/>
      <c r="B65" s="630"/>
      <c r="C65" s="630"/>
      <c r="D65" s="630"/>
      <c r="E65" s="630"/>
      <c r="F65" s="724"/>
      <c r="G65" s="724"/>
      <c r="H65" s="631"/>
      <c r="I65" s="806"/>
    </row>
    <row r="66" spans="1:9" s="745" customFormat="1" ht="14.25" customHeight="1">
      <c r="A66" s="179">
        <v>8</v>
      </c>
      <c r="B66" s="180" t="s">
        <v>341</v>
      </c>
      <c r="C66" s="181" t="s">
        <v>342</v>
      </c>
      <c r="D66" s="656">
        <v>360000</v>
      </c>
      <c r="E66" s="562">
        <v>0.2</v>
      </c>
      <c r="F66" s="671">
        <v>275600</v>
      </c>
      <c r="G66" s="678">
        <v>45092</v>
      </c>
      <c r="H66" s="907">
        <v>1378000</v>
      </c>
      <c r="I66" s="950" t="s">
        <v>433</v>
      </c>
    </row>
    <row r="67" spans="1:9" ht="15" customHeight="1">
      <c r="A67" s="187">
        <v>8</v>
      </c>
      <c r="B67" s="188" t="s">
        <v>341</v>
      </c>
      <c r="C67" s="189" t="s">
        <v>345</v>
      </c>
      <c r="D67" s="657">
        <v>1018000</v>
      </c>
      <c r="E67" s="563">
        <v>0.15</v>
      </c>
      <c r="F67" s="672">
        <v>175695</v>
      </c>
      <c r="G67" s="689">
        <v>45141</v>
      </c>
      <c r="H67" s="908"/>
      <c r="I67" s="951"/>
    </row>
    <row r="68" spans="1:9" ht="15" customHeight="1">
      <c r="A68" s="187">
        <v>0</v>
      </c>
      <c r="B68" s="188" t="s">
        <v>341</v>
      </c>
      <c r="C68" s="189" t="s">
        <v>345</v>
      </c>
      <c r="D68" s="657"/>
      <c r="E68" s="563">
        <v>0.15</v>
      </c>
      <c r="F68" s="672">
        <v>31005</v>
      </c>
      <c r="G68" s="689">
        <v>45148</v>
      </c>
      <c r="H68" s="908"/>
      <c r="I68" s="951"/>
    </row>
    <row r="69" spans="1:9" ht="15" customHeight="1">
      <c r="A69" s="187">
        <v>8</v>
      </c>
      <c r="B69" s="188" t="s">
        <v>341</v>
      </c>
      <c r="C69" s="189" t="s">
        <v>348</v>
      </c>
      <c r="D69" s="190"/>
      <c r="E69" s="563">
        <v>0.15</v>
      </c>
      <c r="F69" s="672">
        <v>206700</v>
      </c>
      <c r="G69" s="689">
        <v>45247</v>
      </c>
      <c r="H69" s="908"/>
      <c r="I69" s="951"/>
    </row>
    <row r="70" spans="1:9" ht="15" customHeight="1">
      <c r="A70" s="187">
        <v>8</v>
      </c>
      <c r="B70" s="188" t="s">
        <v>341</v>
      </c>
      <c r="C70" s="189" t="s">
        <v>349</v>
      </c>
      <c r="D70" s="190"/>
      <c r="E70" s="563">
        <v>0.15</v>
      </c>
      <c r="F70" s="672">
        <v>206700</v>
      </c>
      <c r="G70" s="689">
        <v>45335</v>
      </c>
      <c r="H70" s="908"/>
      <c r="I70" s="951"/>
    </row>
    <row r="71" spans="1:9" ht="15" customHeight="1">
      <c r="A71" s="187">
        <v>8</v>
      </c>
      <c r="B71" s="188" t="s">
        <v>341</v>
      </c>
      <c r="C71" s="189" t="s">
        <v>167</v>
      </c>
      <c r="D71" s="190"/>
      <c r="E71" s="563">
        <v>0.2</v>
      </c>
      <c r="F71" s="672">
        <v>275600</v>
      </c>
      <c r="G71" s="689">
        <v>45335</v>
      </c>
      <c r="H71" s="908"/>
      <c r="I71" s="951"/>
    </row>
    <row r="72" spans="1:9" ht="15" customHeight="1" thickBot="1">
      <c r="A72" s="658">
        <v>8</v>
      </c>
      <c r="B72" s="659" t="s">
        <v>341</v>
      </c>
      <c r="C72" s="660" t="s">
        <v>351</v>
      </c>
      <c r="D72" s="661"/>
      <c r="E72" s="779">
        <v>0.15</v>
      </c>
      <c r="F72" s="686">
        <v>206700</v>
      </c>
      <c r="G72" s="780">
        <v>45348</v>
      </c>
      <c r="H72" s="908"/>
      <c r="I72" s="952"/>
    </row>
    <row r="73" spans="1:9" s="789" customFormat="1" ht="14.5" thickBot="1">
      <c r="A73" s="781"/>
      <c r="B73" s="782"/>
      <c r="C73" s="783"/>
      <c r="D73" s="784"/>
      <c r="E73" s="785"/>
      <c r="F73" s="786"/>
      <c r="G73" s="787"/>
      <c r="H73" s="788"/>
      <c r="I73" s="807"/>
    </row>
    <row r="74" spans="1:9" s="745" customFormat="1" ht="14.25" customHeight="1">
      <c r="A74" s="233">
        <v>9</v>
      </c>
      <c r="B74" s="234" t="s">
        <v>437</v>
      </c>
      <c r="C74" s="234" t="s">
        <v>355</v>
      </c>
      <c r="D74" s="600">
        <v>0.5</v>
      </c>
      <c r="E74" s="245"/>
      <c r="F74" s="673">
        <v>50550</v>
      </c>
      <c r="G74" s="238">
        <v>45092</v>
      </c>
      <c r="H74" s="904">
        <v>156399.99999999997</v>
      </c>
      <c r="I74" s="947" t="s">
        <v>433</v>
      </c>
    </row>
    <row r="75" spans="1:9" ht="14.25" customHeight="1">
      <c r="A75" s="169">
        <v>9</v>
      </c>
      <c r="B75" s="158" t="s">
        <v>437</v>
      </c>
      <c r="C75" s="170" t="s">
        <v>356</v>
      </c>
      <c r="D75" s="601">
        <v>0.4</v>
      </c>
      <c r="E75" s="230"/>
      <c r="F75" s="695">
        <v>40440</v>
      </c>
      <c r="G75" s="232">
        <v>45281</v>
      </c>
      <c r="H75" s="905"/>
      <c r="I75" s="948"/>
    </row>
    <row r="76" spans="1:9" ht="14.25" customHeight="1">
      <c r="A76" s="169">
        <v>9</v>
      </c>
      <c r="B76" s="158" t="s">
        <v>437</v>
      </c>
      <c r="C76" s="170" t="s">
        <v>357</v>
      </c>
      <c r="D76" s="601">
        <v>0.1</v>
      </c>
      <c r="E76" s="230"/>
      <c r="F76" s="695">
        <v>10110</v>
      </c>
      <c r="G76" s="162">
        <v>45348</v>
      </c>
      <c r="H76" s="905"/>
      <c r="I76" s="948"/>
    </row>
    <row r="77" spans="1:9" ht="14.25" customHeight="1">
      <c r="A77" s="169">
        <v>9</v>
      </c>
      <c r="B77" s="170" t="s">
        <v>437</v>
      </c>
      <c r="C77" s="170" t="s">
        <v>360</v>
      </c>
      <c r="D77" s="171"/>
      <c r="E77" s="230"/>
      <c r="F77" s="695">
        <v>4300</v>
      </c>
      <c r="G77" s="232">
        <v>45225</v>
      </c>
      <c r="H77" s="905"/>
      <c r="I77" s="948"/>
    </row>
    <row r="78" spans="1:9" ht="14.25" customHeight="1" thickBot="1">
      <c r="A78" s="773">
        <v>9</v>
      </c>
      <c r="B78" s="774" t="s">
        <v>437</v>
      </c>
      <c r="C78" s="774" t="s">
        <v>362</v>
      </c>
      <c r="D78" s="775"/>
      <c r="E78" s="776"/>
      <c r="F78" s="777">
        <v>36000</v>
      </c>
      <c r="G78" s="778">
        <v>45335</v>
      </c>
      <c r="H78" s="905"/>
      <c r="I78" s="949"/>
    </row>
    <row r="79" spans="1:9" s="745" customFormat="1" ht="14.25" customHeight="1">
      <c r="A79" s="233">
        <v>9</v>
      </c>
      <c r="B79" s="234" t="s">
        <v>438</v>
      </c>
      <c r="C79" s="234" t="s">
        <v>439</v>
      </c>
      <c r="D79" s="235"/>
      <c r="E79" s="245"/>
      <c r="F79" s="673">
        <v>739.83</v>
      </c>
      <c r="G79" s="238">
        <v>45261</v>
      </c>
      <c r="H79" s="905"/>
      <c r="I79" s="947" t="s">
        <v>433</v>
      </c>
    </row>
    <row r="80" spans="1:9" ht="14.25" customHeight="1">
      <c r="A80" s="157">
        <v>9</v>
      </c>
      <c r="B80" s="158" t="s">
        <v>438</v>
      </c>
      <c r="C80" s="170" t="s">
        <v>440</v>
      </c>
      <c r="D80" s="159"/>
      <c r="E80" s="173"/>
      <c r="F80" s="697">
        <v>573.91</v>
      </c>
      <c r="G80" s="162">
        <v>45261</v>
      </c>
      <c r="H80" s="905"/>
      <c r="I80" s="948"/>
    </row>
    <row r="81" spans="1:40" ht="14.25" customHeight="1">
      <c r="A81" s="169">
        <v>9</v>
      </c>
      <c r="B81" s="170" t="s">
        <v>438</v>
      </c>
      <c r="C81" s="170" t="s">
        <v>441</v>
      </c>
      <c r="D81" s="171"/>
      <c r="E81" s="230"/>
      <c r="F81" s="695">
        <v>584.11</v>
      </c>
      <c r="G81" s="162">
        <v>45261</v>
      </c>
      <c r="H81" s="905"/>
      <c r="I81" s="948"/>
    </row>
    <row r="82" spans="1:40" ht="14.25" customHeight="1">
      <c r="A82" s="169">
        <v>9</v>
      </c>
      <c r="B82" s="170" t="s">
        <v>438</v>
      </c>
      <c r="C82" s="170" t="s">
        <v>442</v>
      </c>
      <c r="D82" s="171"/>
      <c r="E82" s="230"/>
      <c r="F82" s="695">
        <v>585.29999999999995</v>
      </c>
      <c r="G82" s="162">
        <v>45261</v>
      </c>
      <c r="H82" s="905"/>
      <c r="I82" s="948"/>
    </row>
    <row r="83" spans="1:40" ht="14.25" customHeight="1" thickBot="1">
      <c r="A83" s="773">
        <v>9</v>
      </c>
      <c r="B83" s="774" t="s">
        <v>438</v>
      </c>
      <c r="C83" s="774" t="s">
        <v>443</v>
      </c>
      <c r="D83" s="775"/>
      <c r="E83" s="776"/>
      <c r="F83" s="777">
        <v>470.12</v>
      </c>
      <c r="G83" s="718">
        <v>45316</v>
      </c>
      <c r="H83" s="905"/>
      <c r="I83" s="949"/>
    </row>
    <row r="84" spans="1:40" s="745" customFormat="1" ht="14.5" thickBot="1">
      <c r="A84" s="737"/>
      <c r="B84" s="738"/>
      <c r="C84" s="738"/>
      <c r="D84" s="756"/>
      <c r="E84" s="741"/>
      <c r="F84" s="742"/>
      <c r="G84" s="743"/>
      <c r="H84" s="744"/>
      <c r="I84" s="806"/>
    </row>
    <row r="85" spans="1:40" s="745" customFormat="1" ht="14.25" customHeight="1">
      <c r="A85" s="179">
        <v>10</v>
      </c>
      <c r="B85" s="261" t="s">
        <v>369</v>
      </c>
      <c r="C85" s="261" t="s">
        <v>370</v>
      </c>
      <c r="D85" s="262"/>
      <c r="E85" s="263"/>
      <c r="F85" s="264">
        <v>11750</v>
      </c>
      <c r="G85" s="185">
        <v>44994</v>
      </c>
      <c r="H85" s="907">
        <v>54896.7</v>
      </c>
      <c r="I85" s="953" t="s">
        <v>433</v>
      </c>
    </row>
    <row r="86" spans="1:40" ht="15" customHeight="1">
      <c r="A86" s="187">
        <v>10</v>
      </c>
      <c r="B86" s="199" t="s">
        <v>369</v>
      </c>
      <c r="C86" s="199" t="s">
        <v>371</v>
      </c>
      <c r="D86" s="200"/>
      <c r="E86" s="201"/>
      <c r="F86" s="202">
        <v>26248.95</v>
      </c>
      <c r="G86" s="193">
        <v>45348</v>
      </c>
      <c r="H86" s="908"/>
      <c r="I86" s="954"/>
    </row>
    <row r="87" spans="1:40" ht="15" customHeight="1">
      <c r="A87" s="187">
        <v>10</v>
      </c>
      <c r="B87" s="199" t="s">
        <v>369</v>
      </c>
      <c r="C87" s="199" t="s">
        <v>373</v>
      </c>
      <c r="D87" s="200"/>
      <c r="E87" s="201"/>
      <c r="F87" s="202">
        <v>16276</v>
      </c>
      <c r="G87" s="193">
        <v>45229</v>
      </c>
      <c r="H87" s="908"/>
      <c r="I87" s="954"/>
    </row>
    <row r="88" spans="1:40" ht="14.25" customHeight="1" thickBot="1">
      <c r="A88" s="658">
        <v>10</v>
      </c>
      <c r="B88" s="706" t="s">
        <v>369</v>
      </c>
      <c r="C88" s="706" t="s">
        <v>374</v>
      </c>
      <c r="D88" s="707"/>
      <c r="E88" s="708"/>
      <c r="F88" s="790">
        <v>621.75</v>
      </c>
      <c r="G88" s="652">
        <v>45260</v>
      </c>
      <c r="H88" s="908"/>
      <c r="I88" s="955"/>
    </row>
    <row r="89" spans="1:40" s="745" customFormat="1" ht="14.5" thickBot="1">
      <c r="A89" s="747"/>
      <c r="B89" s="748"/>
      <c r="C89" s="748"/>
      <c r="D89" s="749"/>
      <c r="E89" s="767"/>
      <c r="F89" s="791"/>
      <c r="G89" s="743"/>
      <c r="H89" s="792"/>
      <c r="I89" s="806"/>
    </row>
    <row r="90" spans="1:40" s="745" customFormat="1">
      <c r="A90" s="179">
        <v>14</v>
      </c>
      <c r="B90" s="261" t="s">
        <v>389</v>
      </c>
      <c r="C90" s="261" t="s">
        <v>444</v>
      </c>
      <c r="D90" s="262"/>
      <c r="E90" s="263"/>
      <c r="F90" s="725">
        <v>2000000</v>
      </c>
      <c r="G90" s="185">
        <v>45350</v>
      </c>
      <c r="H90" s="907">
        <v>4150000</v>
      </c>
      <c r="I90" s="950" t="s">
        <v>433</v>
      </c>
    </row>
    <row r="91" spans="1:40" s="88" customFormat="1">
      <c r="A91" s="187">
        <v>14</v>
      </c>
      <c r="B91" s="199" t="s">
        <v>389</v>
      </c>
      <c r="C91" s="199" t="s">
        <v>445</v>
      </c>
      <c r="D91" s="200"/>
      <c r="E91" s="201"/>
      <c r="F91" s="705">
        <v>2000000</v>
      </c>
      <c r="G91" s="193">
        <v>45350</v>
      </c>
      <c r="H91" s="908"/>
      <c r="I91" s="95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</row>
    <row r="92" spans="1:40" s="88" customFormat="1">
      <c r="A92" s="187">
        <v>14</v>
      </c>
      <c r="B92" s="199" t="s">
        <v>389</v>
      </c>
      <c r="C92" s="199" t="s">
        <v>392</v>
      </c>
      <c r="D92" s="200"/>
      <c r="E92" s="201"/>
      <c r="F92" s="705">
        <v>75000</v>
      </c>
      <c r="G92" s="193">
        <v>45322</v>
      </c>
      <c r="H92" s="908"/>
      <c r="I92" s="95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</row>
    <row r="93" spans="1:40" s="88" customFormat="1">
      <c r="A93" s="187">
        <v>14</v>
      </c>
      <c r="B93" s="199" t="s">
        <v>389</v>
      </c>
      <c r="C93" s="199" t="s">
        <v>394</v>
      </c>
      <c r="D93" s="707"/>
      <c r="E93" s="708"/>
      <c r="F93" s="705">
        <v>75000</v>
      </c>
      <c r="G93" s="193">
        <v>45322</v>
      </c>
      <c r="H93" s="908"/>
      <c r="I93" s="95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</row>
    <row r="94" spans="1:40" s="468" customFormat="1" ht="14.5" thickBot="1">
      <c r="A94" s="469"/>
      <c r="B94" s="3"/>
      <c r="C94" s="3"/>
      <c r="D94" s="4"/>
      <c r="E94" s="469"/>
      <c r="F94" s="726"/>
      <c r="G94" s="473"/>
      <c r="H94" s="471"/>
      <c r="I94" s="805"/>
    </row>
    <row r="95" spans="1:40" s="793" customFormat="1">
      <c r="F95" s="794"/>
      <c r="G95" s="794"/>
      <c r="I95" s="808"/>
      <c r="J95" s="745"/>
      <c r="K95" s="745"/>
      <c r="L95" s="745"/>
      <c r="M95" s="745"/>
      <c r="N95" s="745"/>
      <c r="O95" s="745"/>
      <c r="P95" s="745"/>
      <c r="Q95" s="745"/>
      <c r="R95" s="745"/>
      <c r="S95" s="745"/>
      <c r="T95" s="745"/>
      <c r="U95" s="745"/>
      <c r="V95" s="745"/>
      <c r="W95" s="745"/>
      <c r="X95" s="745"/>
      <c r="Y95" s="745"/>
      <c r="Z95" s="745"/>
      <c r="AA95" s="745"/>
      <c r="AB95" s="745"/>
      <c r="AC95" s="745"/>
      <c r="AD95" s="745"/>
      <c r="AE95" s="745"/>
      <c r="AF95" s="745"/>
      <c r="AG95" s="745"/>
      <c r="AH95" s="745"/>
      <c r="AI95" s="745"/>
      <c r="AJ95" s="745"/>
      <c r="AK95" s="745"/>
      <c r="AL95" s="745"/>
      <c r="AM95" s="745"/>
      <c r="AN95" s="745"/>
    </row>
    <row r="96" spans="1:40" s="88" customFormat="1">
      <c r="D96" s="153"/>
      <c r="E96" s="122"/>
      <c r="F96" s="727"/>
      <c r="G96" s="139"/>
      <c r="I96" s="804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</row>
    <row r="97" spans="4:40" s="88" customFormat="1">
      <c r="D97" s="153"/>
      <c r="E97" s="122"/>
      <c r="F97" s="720"/>
      <c r="G97" s="139"/>
      <c r="H97" s="92"/>
      <c r="I97" s="804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</row>
    <row r="98" spans="4:40" s="88" customFormat="1">
      <c r="D98" s="153"/>
      <c r="E98" s="122"/>
      <c r="F98" s="720"/>
      <c r="G98" s="139"/>
      <c r="H98" s="163"/>
      <c r="I98" s="804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</row>
    <row r="99" spans="4:40" s="88" customFormat="1">
      <c r="D99" s="153"/>
      <c r="E99" s="122"/>
      <c r="F99" s="720"/>
      <c r="G99" s="139"/>
      <c r="I99" s="804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</row>
    <row r="100" spans="4:40" s="88" customFormat="1">
      <c r="D100" s="153"/>
      <c r="E100" s="122"/>
      <c r="F100" s="720"/>
      <c r="G100" s="139"/>
      <c r="I100" s="804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</row>
    <row r="101" spans="4:40" s="88" customFormat="1">
      <c r="D101" s="153"/>
      <c r="E101" s="122"/>
      <c r="F101" s="720"/>
      <c r="G101" s="139"/>
      <c r="I101" s="804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</row>
    <row r="102" spans="4:40" s="88" customFormat="1">
      <c r="D102" s="153"/>
      <c r="E102" s="122"/>
      <c r="F102" s="720"/>
      <c r="G102" s="139"/>
      <c r="I102" s="804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</row>
    <row r="103" spans="4:40" s="88" customFormat="1">
      <c r="D103" s="153"/>
      <c r="E103" s="122"/>
      <c r="F103" s="720"/>
      <c r="G103" s="139"/>
      <c r="I103" s="804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</row>
    <row r="104" spans="4:40" s="88" customFormat="1">
      <c r="D104" s="153"/>
      <c r="E104" s="122"/>
      <c r="F104" s="720"/>
      <c r="G104" s="139"/>
      <c r="I104" s="804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</row>
    <row r="105" spans="4:40" s="88" customFormat="1">
      <c r="D105" s="153"/>
      <c r="E105" s="122"/>
      <c r="F105" s="720"/>
      <c r="G105" s="139"/>
      <c r="I105" s="804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</row>
    <row r="106" spans="4:40" s="88" customFormat="1">
      <c r="D106" s="153"/>
      <c r="E106" s="122"/>
      <c r="F106" s="720"/>
      <c r="G106" s="139"/>
      <c r="I106" s="804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</row>
    <row r="107" spans="4:40" s="88" customFormat="1">
      <c r="D107" s="153"/>
      <c r="E107" s="122"/>
      <c r="F107" s="720"/>
      <c r="G107" s="139"/>
      <c r="I107" s="804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</row>
    <row r="108" spans="4:40" s="88" customFormat="1">
      <c r="D108" s="153"/>
      <c r="E108" s="122"/>
      <c r="F108" s="720"/>
      <c r="G108" s="139"/>
      <c r="I108" s="804"/>
    </row>
    <row r="109" spans="4:40" s="88" customFormat="1">
      <c r="D109" s="153"/>
      <c r="E109" s="122"/>
      <c r="F109" s="720"/>
      <c r="G109" s="139"/>
      <c r="I109" s="804"/>
    </row>
    <row r="110" spans="4:40" s="88" customFormat="1">
      <c r="D110" s="153"/>
      <c r="E110" s="122"/>
      <c r="F110" s="720"/>
      <c r="G110" s="139"/>
      <c r="I110" s="804"/>
    </row>
    <row r="111" spans="4:40" s="88" customFormat="1">
      <c r="D111" s="153"/>
      <c r="E111" s="122"/>
      <c r="F111" s="720"/>
      <c r="G111" s="139"/>
      <c r="I111" s="804"/>
    </row>
    <row r="112" spans="4:40" s="88" customFormat="1">
      <c r="D112" s="153"/>
      <c r="E112" s="122"/>
      <c r="F112" s="720"/>
      <c r="G112" s="139"/>
      <c r="I112" s="804"/>
    </row>
    <row r="113" spans="4:9" s="88" customFormat="1">
      <c r="D113" s="153"/>
      <c r="E113" s="122"/>
      <c r="F113" s="720"/>
      <c r="G113" s="139"/>
      <c r="I113" s="804"/>
    </row>
    <row r="114" spans="4:9" s="88" customFormat="1">
      <c r="D114" s="153"/>
      <c r="E114" s="122"/>
      <c r="F114" s="720"/>
      <c r="G114" s="139"/>
      <c r="I114" s="804"/>
    </row>
    <row r="115" spans="4:9" s="88" customFormat="1">
      <c r="D115" s="153"/>
      <c r="E115" s="122"/>
      <c r="F115" s="720"/>
      <c r="G115" s="139"/>
      <c r="I115" s="804"/>
    </row>
    <row r="116" spans="4:9" s="88" customFormat="1">
      <c r="D116" s="153"/>
      <c r="E116" s="122"/>
      <c r="F116" s="720"/>
      <c r="G116" s="139"/>
      <c r="I116" s="804"/>
    </row>
    <row r="117" spans="4:9" s="88" customFormat="1">
      <c r="D117" s="153"/>
      <c r="E117" s="122"/>
      <c r="F117" s="720"/>
      <c r="G117" s="139"/>
      <c r="I117" s="804"/>
    </row>
    <row r="118" spans="4:9" s="88" customFormat="1">
      <c r="D118" s="153"/>
      <c r="E118" s="122"/>
      <c r="F118" s="720"/>
      <c r="G118" s="139"/>
      <c r="I118" s="804"/>
    </row>
    <row r="119" spans="4:9" s="88" customFormat="1">
      <c r="D119" s="153"/>
      <c r="E119" s="122"/>
      <c r="F119" s="720"/>
      <c r="G119" s="139"/>
      <c r="I119" s="804"/>
    </row>
    <row r="120" spans="4:9" s="88" customFormat="1">
      <c r="D120" s="153"/>
      <c r="E120" s="122"/>
      <c r="F120" s="720"/>
      <c r="G120" s="139"/>
      <c r="I120" s="804"/>
    </row>
    <row r="121" spans="4:9" s="88" customFormat="1">
      <c r="D121" s="153"/>
      <c r="E121" s="122"/>
      <c r="F121" s="720"/>
      <c r="G121" s="139"/>
      <c r="I121" s="804"/>
    </row>
    <row r="122" spans="4:9" s="88" customFormat="1">
      <c r="D122" s="153"/>
      <c r="E122" s="122"/>
      <c r="F122" s="720"/>
      <c r="G122" s="139"/>
      <c r="I122" s="804"/>
    </row>
    <row r="123" spans="4:9" s="88" customFormat="1">
      <c r="D123" s="153"/>
      <c r="E123" s="122"/>
      <c r="F123" s="720"/>
      <c r="G123" s="139"/>
      <c r="I123" s="804"/>
    </row>
    <row r="124" spans="4:9" s="88" customFormat="1">
      <c r="D124" s="153"/>
      <c r="E124" s="122"/>
      <c r="F124" s="720"/>
      <c r="G124" s="139"/>
      <c r="I124" s="804"/>
    </row>
    <row r="125" spans="4:9" s="88" customFormat="1">
      <c r="D125" s="153"/>
      <c r="E125" s="122"/>
      <c r="F125" s="720"/>
      <c r="G125" s="139"/>
      <c r="I125" s="804"/>
    </row>
    <row r="126" spans="4:9" s="88" customFormat="1">
      <c r="D126" s="153"/>
      <c r="E126" s="122"/>
      <c r="F126" s="720"/>
      <c r="G126" s="139"/>
      <c r="I126" s="804"/>
    </row>
    <row r="127" spans="4:9" s="88" customFormat="1">
      <c r="D127" s="153"/>
      <c r="E127" s="122"/>
      <c r="F127" s="720"/>
      <c r="G127" s="139"/>
      <c r="I127" s="804"/>
    </row>
    <row r="128" spans="4:9" s="88" customFormat="1">
      <c r="D128" s="153"/>
      <c r="E128" s="122"/>
      <c r="F128" s="720"/>
      <c r="G128" s="139"/>
      <c r="I128" s="804"/>
    </row>
    <row r="129" spans="4:9" s="88" customFormat="1">
      <c r="D129" s="153"/>
      <c r="E129" s="122"/>
      <c r="F129" s="720"/>
      <c r="G129" s="139"/>
      <c r="I129" s="804"/>
    </row>
    <row r="130" spans="4:9" s="88" customFormat="1">
      <c r="D130" s="153"/>
      <c r="E130" s="122"/>
      <c r="F130" s="720"/>
      <c r="G130" s="139"/>
      <c r="I130" s="804"/>
    </row>
    <row r="131" spans="4:9" s="88" customFormat="1">
      <c r="D131" s="153"/>
      <c r="E131" s="122"/>
      <c r="F131" s="720"/>
      <c r="G131" s="139"/>
      <c r="I131" s="804"/>
    </row>
    <row r="132" spans="4:9" s="88" customFormat="1">
      <c r="D132" s="153"/>
      <c r="E132" s="122"/>
      <c r="F132" s="720"/>
      <c r="G132" s="139"/>
      <c r="I132" s="804"/>
    </row>
    <row r="133" spans="4:9" s="88" customFormat="1">
      <c r="D133" s="153"/>
      <c r="E133" s="122"/>
      <c r="F133" s="720"/>
      <c r="G133" s="139"/>
      <c r="I133" s="804"/>
    </row>
    <row r="134" spans="4:9" s="88" customFormat="1">
      <c r="D134" s="153"/>
      <c r="E134" s="122"/>
      <c r="F134" s="720"/>
      <c r="G134" s="139"/>
      <c r="I134" s="804"/>
    </row>
    <row r="135" spans="4:9" s="88" customFormat="1">
      <c r="D135" s="153"/>
      <c r="E135" s="122"/>
      <c r="F135" s="720"/>
      <c r="G135" s="139"/>
      <c r="I135" s="804"/>
    </row>
    <row r="136" spans="4:9" s="88" customFormat="1">
      <c r="D136" s="153"/>
      <c r="E136" s="122"/>
      <c r="F136" s="720"/>
      <c r="G136" s="139"/>
      <c r="I136" s="804"/>
    </row>
    <row r="137" spans="4:9" s="88" customFormat="1">
      <c r="D137" s="153"/>
      <c r="E137" s="122"/>
      <c r="F137" s="720"/>
      <c r="G137" s="139"/>
      <c r="I137" s="804"/>
    </row>
    <row r="138" spans="4:9" s="88" customFormat="1">
      <c r="D138" s="153"/>
      <c r="E138" s="122"/>
      <c r="F138" s="720"/>
      <c r="G138" s="139"/>
      <c r="I138" s="804"/>
    </row>
    <row r="139" spans="4:9" s="88" customFormat="1">
      <c r="D139" s="153"/>
      <c r="E139" s="122"/>
      <c r="F139" s="720"/>
      <c r="G139" s="139"/>
      <c r="I139" s="804"/>
    </row>
    <row r="140" spans="4:9" s="88" customFormat="1">
      <c r="D140" s="153"/>
      <c r="E140" s="122"/>
      <c r="F140" s="720"/>
      <c r="G140" s="139"/>
      <c r="I140" s="804"/>
    </row>
    <row r="141" spans="4:9" s="88" customFormat="1">
      <c r="D141" s="153"/>
      <c r="E141" s="122"/>
      <c r="F141" s="720"/>
      <c r="G141" s="139"/>
      <c r="I141" s="804"/>
    </row>
    <row r="142" spans="4:9" s="88" customFormat="1">
      <c r="D142" s="153"/>
      <c r="E142" s="122"/>
      <c r="F142" s="720"/>
      <c r="G142" s="139"/>
      <c r="I142" s="804"/>
    </row>
    <row r="143" spans="4:9" s="88" customFormat="1">
      <c r="D143" s="153"/>
      <c r="E143" s="122"/>
      <c r="F143" s="720"/>
      <c r="G143" s="139"/>
      <c r="I143" s="804"/>
    </row>
    <row r="144" spans="4:9" s="88" customFormat="1">
      <c r="D144" s="153"/>
      <c r="E144" s="122"/>
      <c r="F144" s="720"/>
      <c r="G144" s="139"/>
      <c r="I144" s="804"/>
    </row>
    <row r="145" spans="4:9" s="88" customFormat="1">
      <c r="D145" s="153"/>
      <c r="E145" s="122"/>
      <c r="F145" s="720"/>
      <c r="G145" s="139"/>
      <c r="I145" s="804"/>
    </row>
    <row r="146" spans="4:9" s="88" customFormat="1">
      <c r="D146" s="153"/>
      <c r="E146" s="122"/>
      <c r="F146" s="720"/>
      <c r="G146" s="139"/>
      <c r="I146" s="804"/>
    </row>
    <row r="147" spans="4:9" s="88" customFormat="1">
      <c r="D147" s="153"/>
      <c r="E147" s="122"/>
      <c r="F147" s="720"/>
      <c r="G147" s="139"/>
      <c r="I147" s="804"/>
    </row>
    <row r="148" spans="4:9" s="88" customFormat="1">
      <c r="D148" s="153"/>
      <c r="E148" s="122"/>
      <c r="F148" s="720"/>
      <c r="G148" s="139"/>
      <c r="I148" s="804"/>
    </row>
    <row r="149" spans="4:9" s="88" customFormat="1">
      <c r="D149" s="153"/>
      <c r="E149" s="122"/>
      <c r="F149" s="720"/>
      <c r="G149" s="139"/>
      <c r="I149" s="804"/>
    </row>
    <row r="150" spans="4:9" s="88" customFormat="1">
      <c r="D150" s="153"/>
      <c r="E150" s="122"/>
      <c r="F150" s="720"/>
      <c r="G150" s="139"/>
      <c r="I150" s="804"/>
    </row>
    <row r="151" spans="4:9" s="88" customFormat="1">
      <c r="D151" s="153"/>
      <c r="E151" s="122"/>
      <c r="F151" s="720"/>
      <c r="G151" s="139"/>
      <c r="I151" s="804"/>
    </row>
    <row r="152" spans="4:9" s="88" customFormat="1">
      <c r="D152" s="153"/>
      <c r="E152" s="122"/>
      <c r="F152" s="720"/>
      <c r="G152" s="139"/>
      <c r="I152" s="804"/>
    </row>
    <row r="153" spans="4:9" s="88" customFormat="1">
      <c r="D153" s="153"/>
      <c r="E153" s="122"/>
      <c r="F153" s="720"/>
      <c r="G153" s="139"/>
      <c r="I153" s="804"/>
    </row>
    <row r="154" spans="4:9" s="88" customFormat="1">
      <c r="D154" s="153"/>
      <c r="E154" s="122"/>
      <c r="F154" s="720"/>
      <c r="G154" s="139"/>
      <c r="I154" s="804"/>
    </row>
    <row r="155" spans="4:9" s="88" customFormat="1">
      <c r="D155" s="153"/>
      <c r="E155" s="122"/>
      <c r="F155" s="720"/>
      <c r="G155" s="139"/>
      <c r="I155" s="804"/>
    </row>
    <row r="156" spans="4:9" s="88" customFormat="1">
      <c r="D156" s="153"/>
      <c r="E156" s="122"/>
      <c r="F156" s="720"/>
      <c r="G156" s="139"/>
      <c r="I156" s="804"/>
    </row>
    <row r="157" spans="4:9" s="88" customFormat="1">
      <c r="D157" s="153"/>
      <c r="E157" s="122"/>
      <c r="F157" s="720"/>
      <c r="G157" s="139"/>
      <c r="I157" s="804"/>
    </row>
    <row r="158" spans="4:9" s="88" customFormat="1">
      <c r="D158" s="153"/>
      <c r="E158" s="122"/>
      <c r="F158" s="720"/>
      <c r="G158" s="139"/>
      <c r="I158" s="804"/>
    </row>
    <row r="159" spans="4:9" s="88" customFormat="1">
      <c r="D159" s="153"/>
      <c r="E159" s="122"/>
      <c r="F159" s="720"/>
      <c r="G159" s="139"/>
      <c r="I159" s="804"/>
    </row>
    <row r="160" spans="4:9" s="88" customFormat="1">
      <c r="D160" s="153"/>
      <c r="E160" s="122"/>
      <c r="F160" s="720"/>
      <c r="G160" s="139"/>
      <c r="I160" s="804"/>
    </row>
    <row r="161" spans="4:9" s="88" customFormat="1">
      <c r="D161" s="153"/>
      <c r="E161" s="122"/>
      <c r="F161" s="720"/>
      <c r="G161" s="139"/>
      <c r="I161" s="804"/>
    </row>
    <row r="162" spans="4:9" s="88" customFormat="1">
      <c r="D162" s="153"/>
      <c r="E162" s="122"/>
      <c r="F162" s="720"/>
      <c r="G162" s="139"/>
      <c r="I162" s="804"/>
    </row>
    <row r="163" spans="4:9" s="88" customFormat="1">
      <c r="D163" s="153"/>
      <c r="E163" s="122"/>
      <c r="F163" s="720"/>
      <c r="G163" s="139"/>
      <c r="I163" s="804"/>
    </row>
    <row r="164" spans="4:9" s="88" customFormat="1">
      <c r="D164" s="153"/>
      <c r="E164" s="122"/>
      <c r="F164" s="720"/>
      <c r="G164" s="139"/>
      <c r="I164" s="804"/>
    </row>
    <row r="165" spans="4:9" s="88" customFormat="1">
      <c r="D165" s="153"/>
      <c r="E165" s="122"/>
      <c r="F165" s="720"/>
      <c r="G165" s="139"/>
      <c r="I165" s="804"/>
    </row>
    <row r="166" spans="4:9" s="88" customFormat="1">
      <c r="D166" s="153"/>
      <c r="E166" s="122"/>
      <c r="F166" s="720"/>
      <c r="G166" s="139"/>
      <c r="I166" s="804"/>
    </row>
    <row r="167" spans="4:9" s="88" customFormat="1">
      <c r="D167" s="153"/>
      <c r="E167" s="122"/>
      <c r="F167" s="720"/>
      <c r="G167" s="139"/>
      <c r="I167" s="804"/>
    </row>
    <row r="168" spans="4:9" s="88" customFormat="1">
      <c r="D168" s="153"/>
      <c r="E168" s="122"/>
      <c r="F168" s="720"/>
      <c r="G168" s="139"/>
      <c r="I168" s="804"/>
    </row>
    <row r="169" spans="4:9" s="88" customFormat="1">
      <c r="D169" s="153"/>
      <c r="E169" s="122"/>
      <c r="F169" s="720"/>
      <c r="G169" s="139"/>
      <c r="I169" s="804"/>
    </row>
    <row r="170" spans="4:9" s="88" customFormat="1">
      <c r="D170" s="153"/>
      <c r="E170" s="122"/>
      <c r="F170" s="720"/>
      <c r="G170" s="139"/>
      <c r="I170" s="804"/>
    </row>
    <row r="171" spans="4:9" s="88" customFormat="1">
      <c r="D171" s="153"/>
      <c r="E171" s="122"/>
      <c r="F171" s="720"/>
      <c r="G171" s="139"/>
      <c r="I171" s="804"/>
    </row>
    <row r="172" spans="4:9" s="88" customFormat="1">
      <c r="D172" s="153"/>
      <c r="E172" s="122"/>
      <c r="F172" s="720"/>
      <c r="G172" s="139"/>
      <c r="I172" s="804"/>
    </row>
    <row r="173" spans="4:9" s="88" customFormat="1">
      <c r="D173" s="153"/>
      <c r="E173" s="122"/>
      <c r="F173" s="720"/>
      <c r="G173" s="139"/>
      <c r="I173" s="804"/>
    </row>
    <row r="174" spans="4:9" s="88" customFormat="1">
      <c r="D174" s="153"/>
      <c r="E174" s="122"/>
      <c r="F174" s="720"/>
      <c r="G174" s="139"/>
      <c r="I174" s="804"/>
    </row>
    <row r="175" spans="4:9" s="88" customFormat="1">
      <c r="D175" s="153"/>
      <c r="E175" s="122"/>
      <c r="F175" s="720"/>
      <c r="G175" s="139"/>
      <c r="I175" s="804"/>
    </row>
    <row r="176" spans="4:9" s="88" customFormat="1">
      <c r="D176" s="153"/>
      <c r="E176" s="122"/>
      <c r="F176" s="720"/>
      <c r="G176" s="139"/>
      <c r="I176" s="804"/>
    </row>
    <row r="177" spans="4:9" s="88" customFormat="1">
      <c r="D177" s="153"/>
      <c r="E177" s="122"/>
      <c r="F177" s="720"/>
      <c r="G177" s="139"/>
      <c r="I177" s="804"/>
    </row>
    <row r="178" spans="4:9" s="88" customFormat="1">
      <c r="D178" s="153"/>
      <c r="E178" s="122"/>
      <c r="F178" s="720"/>
      <c r="G178" s="139"/>
      <c r="I178" s="804"/>
    </row>
    <row r="179" spans="4:9" s="88" customFormat="1">
      <c r="D179" s="153"/>
      <c r="E179" s="122"/>
      <c r="F179" s="720"/>
      <c r="G179" s="139"/>
      <c r="I179" s="804"/>
    </row>
    <row r="180" spans="4:9" s="88" customFormat="1">
      <c r="D180" s="153"/>
      <c r="E180" s="122"/>
      <c r="F180" s="720"/>
      <c r="G180" s="139"/>
      <c r="I180" s="804"/>
    </row>
    <row r="181" spans="4:9" s="88" customFormat="1">
      <c r="D181" s="153"/>
      <c r="E181" s="122"/>
      <c r="F181" s="720"/>
      <c r="G181" s="139"/>
      <c r="I181" s="804"/>
    </row>
    <row r="182" spans="4:9" s="88" customFormat="1">
      <c r="D182" s="153"/>
      <c r="E182" s="122"/>
      <c r="F182" s="720"/>
      <c r="G182" s="139"/>
      <c r="I182" s="804"/>
    </row>
    <row r="183" spans="4:9" s="88" customFormat="1">
      <c r="D183" s="153"/>
      <c r="E183" s="122"/>
      <c r="F183" s="720"/>
      <c r="G183" s="139"/>
      <c r="I183" s="804"/>
    </row>
    <row r="184" spans="4:9" s="88" customFormat="1">
      <c r="D184" s="153"/>
      <c r="E184" s="122"/>
      <c r="F184" s="720"/>
      <c r="G184" s="139"/>
      <c r="I184" s="804"/>
    </row>
    <row r="185" spans="4:9" s="88" customFormat="1">
      <c r="D185" s="153"/>
      <c r="E185" s="122"/>
      <c r="F185" s="720"/>
      <c r="G185" s="139"/>
      <c r="I185" s="804"/>
    </row>
    <row r="186" spans="4:9" s="88" customFormat="1">
      <c r="D186" s="153"/>
      <c r="E186" s="122"/>
      <c r="F186" s="720"/>
      <c r="G186" s="139"/>
      <c r="I186" s="804"/>
    </row>
    <row r="187" spans="4:9" s="88" customFormat="1">
      <c r="D187" s="153"/>
      <c r="E187" s="122"/>
      <c r="F187" s="720"/>
      <c r="G187" s="139"/>
      <c r="I187" s="804"/>
    </row>
    <row r="188" spans="4:9" s="88" customFormat="1">
      <c r="D188" s="153"/>
      <c r="E188" s="122"/>
      <c r="F188" s="720"/>
      <c r="G188" s="139"/>
      <c r="I188" s="804"/>
    </row>
    <row r="189" spans="4:9" s="88" customFormat="1">
      <c r="D189" s="153"/>
      <c r="E189" s="122"/>
      <c r="F189" s="720"/>
      <c r="G189" s="139"/>
      <c r="I189" s="804"/>
    </row>
    <row r="190" spans="4:9" s="88" customFormat="1">
      <c r="D190" s="153"/>
      <c r="E190" s="122"/>
      <c r="F190" s="720"/>
      <c r="G190" s="139"/>
      <c r="I190" s="804"/>
    </row>
    <row r="191" spans="4:9" s="88" customFormat="1">
      <c r="D191" s="153"/>
      <c r="E191" s="122"/>
      <c r="F191" s="720"/>
      <c r="G191" s="139"/>
      <c r="I191" s="804"/>
    </row>
    <row r="192" spans="4:9" s="88" customFormat="1">
      <c r="D192" s="153"/>
      <c r="E192" s="122"/>
      <c r="F192" s="720"/>
      <c r="G192" s="139"/>
      <c r="I192" s="804"/>
    </row>
    <row r="193" spans="4:9" s="88" customFormat="1">
      <c r="D193" s="153"/>
      <c r="E193" s="122"/>
      <c r="F193" s="720"/>
      <c r="G193" s="139"/>
      <c r="I193" s="804"/>
    </row>
    <row r="194" spans="4:9" s="88" customFormat="1">
      <c r="D194" s="153"/>
      <c r="E194" s="122"/>
      <c r="F194" s="720"/>
      <c r="G194" s="139"/>
      <c r="I194" s="804"/>
    </row>
    <row r="195" spans="4:9" s="88" customFormat="1">
      <c r="D195" s="153"/>
      <c r="E195" s="122"/>
      <c r="F195" s="720"/>
      <c r="G195" s="139"/>
      <c r="I195" s="804"/>
    </row>
    <row r="196" spans="4:9" s="88" customFormat="1">
      <c r="D196" s="153"/>
      <c r="E196" s="122"/>
      <c r="F196" s="720"/>
      <c r="G196" s="139"/>
      <c r="I196" s="804"/>
    </row>
    <row r="197" spans="4:9" s="88" customFormat="1">
      <c r="D197" s="153"/>
      <c r="E197" s="122"/>
      <c r="F197" s="720"/>
      <c r="G197" s="139"/>
      <c r="I197" s="804"/>
    </row>
    <row r="198" spans="4:9" s="88" customFormat="1">
      <c r="D198" s="153"/>
      <c r="E198" s="122"/>
      <c r="F198" s="720"/>
      <c r="G198" s="139"/>
      <c r="I198" s="804"/>
    </row>
    <row r="199" spans="4:9" s="88" customFormat="1">
      <c r="D199" s="153"/>
      <c r="E199" s="122"/>
      <c r="F199" s="720"/>
      <c r="G199" s="139"/>
      <c r="I199" s="804"/>
    </row>
    <row r="200" spans="4:9" s="88" customFormat="1">
      <c r="D200" s="153"/>
      <c r="E200" s="122"/>
      <c r="F200" s="720"/>
      <c r="G200" s="139"/>
      <c r="I200" s="804"/>
    </row>
    <row r="201" spans="4:9" s="88" customFormat="1">
      <c r="D201" s="153"/>
      <c r="E201" s="122"/>
      <c r="F201" s="720"/>
      <c r="G201" s="139"/>
      <c r="I201" s="804"/>
    </row>
    <row r="202" spans="4:9" s="88" customFormat="1">
      <c r="D202" s="153"/>
      <c r="E202" s="122"/>
      <c r="F202" s="720"/>
      <c r="G202" s="139"/>
      <c r="I202" s="804"/>
    </row>
    <row r="203" spans="4:9" s="88" customFormat="1">
      <c r="D203" s="153"/>
      <c r="E203" s="122"/>
      <c r="F203" s="720"/>
      <c r="G203" s="139"/>
      <c r="I203" s="804"/>
    </row>
    <row r="204" spans="4:9" s="88" customFormat="1">
      <c r="D204" s="153"/>
      <c r="E204" s="122"/>
      <c r="F204" s="720"/>
      <c r="G204" s="139"/>
      <c r="I204" s="804"/>
    </row>
    <row r="205" spans="4:9" s="88" customFormat="1">
      <c r="D205" s="153"/>
      <c r="E205" s="122"/>
      <c r="F205" s="720"/>
      <c r="G205" s="139"/>
      <c r="I205" s="804"/>
    </row>
    <row r="206" spans="4:9" s="88" customFormat="1">
      <c r="D206" s="153"/>
      <c r="E206" s="122"/>
      <c r="F206" s="720"/>
      <c r="G206" s="139"/>
      <c r="I206" s="804"/>
    </row>
    <row r="207" spans="4:9" s="88" customFormat="1">
      <c r="D207" s="153"/>
      <c r="E207" s="122"/>
      <c r="F207" s="720"/>
      <c r="G207" s="139"/>
      <c r="I207" s="804"/>
    </row>
    <row r="208" spans="4:9" s="88" customFormat="1">
      <c r="D208" s="153"/>
      <c r="E208" s="122"/>
      <c r="F208" s="720"/>
      <c r="G208" s="139"/>
      <c r="I208" s="804"/>
    </row>
    <row r="209" spans="4:9" s="88" customFormat="1">
      <c r="D209" s="153"/>
      <c r="E209" s="122"/>
      <c r="F209" s="720"/>
      <c r="G209" s="139"/>
      <c r="I209" s="804"/>
    </row>
    <row r="210" spans="4:9" s="88" customFormat="1">
      <c r="D210" s="153"/>
      <c r="E210" s="122"/>
      <c r="F210" s="720"/>
      <c r="G210" s="139"/>
      <c r="I210" s="804"/>
    </row>
    <row r="211" spans="4:9" s="88" customFormat="1">
      <c r="D211" s="153"/>
      <c r="E211" s="122"/>
      <c r="F211" s="720"/>
      <c r="G211" s="139"/>
      <c r="I211" s="804"/>
    </row>
    <row r="212" spans="4:9" s="88" customFormat="1">
      <c r="D212" s="153"/>
      <c r="E212" s="122"/>
      <c r="F212" s="720"/>
      <c r="G212" s="139"/>
      <c r="I212" s="804"/>
    </row>
    <row r="213" spans="4:9" s="88" customFormat="1">
      <c r="D213" s="153"/>
      <c r="E213" s="122"/>
      <c r="F213" s="720"/>
      <c r="G213" s="139"/>
      <c r="I213" s="804"/>
    </row>
    <row r="214" spans="4:9" s="88" customFormat="1">
      <c r="D214" s="153"/>
      <c r="E214" s="122"/>
      <c r="F214" s="720"/>
      <c r="G214" s="139"/>
      <c r="I214" s="804"/>
    </row>
    <row r="215" spans="4:9" s="88" customFormat="1">
      <c r="D215" s="153"/>
      <c r="E215" s="122"/>
      <c r="F215" s="720"/>
      <c r="G215" s="139"/>
      <c r="I215" s="804"/>
    </row>
    <row r="216" spans="4:9" s="88" customFormat="1">
      <c r="D216" s="153"/>
      <c r="E216" s="122"/>
      <c r="F216" s="720"/>
      <c r="G216" s="139"/>
      <c r="I216" s="804"/>
    </row>
    <row r="217" spans="4:9" s="88" customFormat="1">
      <c r="D217" s="153"/>
      <c r="E217" s="122"/>
      <c r="F217" s="720"/>
      <c r="G217" s="139"/>
      <c r="I217" s="804"/>
    </row>
    <row r="218" spans="4:9" s="88" customFormat="1">
      <c r="D218" s="153"/>
      <c r="E218" s="122"/>
      <c r="F218" s="720"/>
      <c r="G218" s="139"/>
      <c r="I218" s="804"/>
    </row>
    <row r="219" spans="4:9" s="88" customFormat="1">
      <c r="D219" s="153"/>
      <c r="E219" s="122"/>
      <c r="F219" s="720"/>
      <c r="G219" s="139"/>
      <c r="I219" s="804"/>
    </row>
    <row r="220" spans="4:9" s="88" customFormat="1">
      <c r="D220" s="153"/>
      <c r="E220" s="122"/>
      <c r="F220" s="720"/>
      <c r="G220" s="139"/>
      <c r="I220" s="804"/>
    </row>
    <row r="221" spans="4:9" s="88" customFormat="1">
      <c r="D221" s="153"/>
      <c r="E221" s="122"/>
      <c r="F221" s="720"/>
      <c r="G221" s="139"/>
      <c r="I221" s="804"/>
    </row>
    <row r="222" spans="4:9" s="88" customFormat="1">
      <c r="D222" s="153"/>
      <c r="E222" s="122"/>
      <c r="F222" s="720"/>
      <c r="G222" s="139"/>
      <c r="I222" s="804"/>
    </row>
    <row r="223" spans="4:9" s="88" customFormat="1">
      <c r="D223" s="153"/>
      <c r="E223" s="122"/>
      <c r="F223" s="720"/>
      <c r="G223" s="139"/>
      <c r="I223" s="804"/>
    </row>
    <row r="224" spans="4:9" s="88" customFormat="1">
      <c r="D224" s="153"/>
      <c r="E224" s="122"/>
      <c r="F224" s="720"/>
      <c r="G224" s="139"/>
      <c r="I224" s="804"/>
    </row>
    <row r="225" spans="4:9" s="88" customFormat="1">
      <c r="D225" s="153"/>
      <c r="E225" s="122"/>
      <c r="F225" s="720"/>
      <c r="G225" s="139"/>
      <c r="I225" s="804"/>
    </row>
    <row r="226" spans="4:9" s="88" customFormat="1">
      <c r="D226" s="153"/>
      <c r="E226" s="122"/>
      <c r="F226" s="720"/>
      <c r="G226" s="139"/>
      <c r="I226" s="804"/>
    </row>
    <row r="227" spans="4:9" s="88" customFormat="1">
      <c r="D227" s="153"/>
      <c r="E227" s="122"/>
      <c r="F227" s="720"/>
      <c r="G227" s="139"/>
      <c r="I227" s="804"/>
    </row>
    <row r="228" spans="4:9" s="88" customFormat="1">
      <c r="D228" s="153"/>
      <c r="E228" s="122"/>
      <c r="F228" s="720"/>
      <c r="G228" s="139"/>
      <c r="I228" s="804"/>
    </row>
    <row r="229" spans="4:9" s="88" customFormat="1">
      <c r="D229" s="153"/>
      <c r="E229" s="122"/>
      <c r="F229" s="720"/>
      <c r="G229" s="139"/>
      <c r="I229" s="804"/>
    </row>
    <row r="230" spans="4:9" s="88" customFormat="1">
      <c r="D230" s="153"/>
      <c r="E230" s="122"/>
      <c r="F230" s="720"/>
      <c r="G230" s="139"/>
      <c r="I230" s="804"/>
    </row>
    <row r="231" spans="4:9" s="88" customFormat="1">
      <c r="D231" s="153"/>
      <c r="E231" s="122"/>
      <c r="F231" s="720"/>
      <c r="G231" s="139"/>
      <c r="I231" s="804"/>
    </row>
    <row r="232" spans="4:9" s="88" customFormat="1">
      <c r="D232" s="153"/>
      <c r="E232" s="122"/>
      <c r="F232" s="720"/>
      <c r="G232" s="139"/>
      <c r="I232" s="804"/>
    </row>
    <row r="233" spans="4:9" s="88" customFormat="1">
      <c r="D233" s="153"/>
      <c r="E233" s="122"/>
      <c r="F233" s="720"/>
      <c r="G233" s="139"/>
      <c r="I233" s="804"/>
    </row>
    <row r="234" spans="4:9" s="88" customFormat="1">
      <c r="D234" s="153"/>
      <c r="E234" s="122"/>
      <c r="F234" s="720"/>
      <c r="G234" s="139"/>
      <c r="I234" s="804"/>
    </row>
    <row r="235" spans="4:9" s="88" customFormat="1">
      <c r="D235" s="153"/>
      <c r="E235" s="122"/>
      <c r="F235" s="720"/>
      <c r="G235" s="139"/>
      <c r="I235" s="804"/>
    </row>
    <row r="236" spans="4:9" s="88" customFormat="1">
      <c r="D236" s="153"/>
      <c r="E236" s="122"/>
      <c r="F236" s="720"/>
      <c r="G236" s="139"/>
      <c r="I236" s="804"/>
    </row>
    <row r="237" spans="4:9" s="88" customFormat="1">
      <c r="D237" s="153"/>
      <c r="E237" s="122"/>
      <c r="F237" s="720"/>
      <c r="G237" s="139"/>
      <c r="I237" s="804"/>
    </row>
    <row r="238" spans="4:9" s="88" customFormat="1">
      <c r="D238" s="153"/>
      <c r="E238" s="122"/>
      <c r="F238" s="720"/>
      <c r="G238" s="139"/>
      <c r="I238" s="804"/>
    </row>
    <row r="239" spans="4:9" s="88" customFormat="1">
      <c r="D239" s="153"/>
      <c r="E239" s="122"/>
      <c r="F239" s="720"/>
      <c r="G239" s="139"/>
      <c r="I239" s="804"/>
    </row>
    <row r="240" spans="4:9" s="88" customFormat="1">
      <c r="D240" s="153"/>
      <c r="E240" s="122"/>
      <c r="F240" s="720"/>
      <c r="G240" s="139"/>
      <c r="I240" s="804"/>
    </row>
    <row r="241" spans="4:9" s="88" customFormat="1">
      <c r="D241" s="153"/>
      <c r="E241" s="122"/>
      <c r="F241" s="720"/>
      <c r="G241" s="139"/>
      <c r="I241" s="804"/>
    </row>
    <row r="242" spans="4:9" s="88" customFormat="1">
      <c r="D242" s="153"/>
      <c r="E242" s="122"/>
      <c r="F242" s="720"/>
      <c r="G242" s="139"/>
      <c r="I242" s="804"/>
    </row>
    <row r="243" spans="4:9" s="88" customFormat="1">
      <c r="D243" s="153"/>
      <c r="E243" s="122"/>
      <c r="F243" s="720"/>
      <c r="G243" s="139"/>
      <c r="I243" s="804"/>
    </row>
    <row r="244" spans="4:9" s="88" customFormat="1">
      <c r="D244" s="153"/>
      <c r="E244" s="122"/>
      <c r="F244" s="720"/>
      <c r="G244" s="139"/>
      <c r="I244" s="804"/>
    </row>
    <row r="245" spans="4:9" s="88" customFormat="1">
      <c r="D245" s="153"/>
      <c r="E245" s="122"/>
      <c r="F245" s="720"/>
      <c r="G245" s="139"/>
      <c r="I245" s="804"/>
    </row>
    <row r="246" spans="4:9" s="88" customFormat="1">
      <c r="D246" s="153"/>
      <c r="E246" s="122"/>
      <c r="F246" s="720"/>
      <c r="G246" s="139"/>
      <c r="I246" s="804"/>
    </row>
    <row r="247" spans="4:9" s="88" customFormat="1">
      <c r="D247" s="153"/>
      <c r="E247" s="122"/>
      <c r="F247" s="720"/>
      <c r="G247" s="139"/>
      <c r="I247" s="804"/>
    </row>
    <row r="248" spans="4:9" s="88" customFormat="1">
      <c r="D248" s="153"/>
      <c r="E248" s="122"/>
      <c r="F248" s="720"/>
      <c r="G248" s="139"/>
      <c r="I248" s="804"/>
    </row>
    <row r="249" spans="4:9" s="88" customFormat="1">
      <c r="D249" s="153"/>
      <c r="E249" s="122"/>
      <c r="F249" s="720"/>
      <c r="G249" s="139"/>
      <c r="I249" s="804"/>
    </row>
    <row r="250" spans="4:9" s="88" customFormat="1">
      <c r="D250" s="153"/>
      <c r="E250" s="122"/>
      <c r="F250" s="720"/>
      <c r="G250" s="139"/>
      <c r="I250" s="804"/>
    </row>
    <row r="251" spans="4:9" s="88" customFormat="1">
      <c r="D251" s="153"/>
      <c r="E251" s="122"/>
      <c r="F251" s="720"/>
      <c r="G251" s="139"/>
      <c r="I251" s="804"/>
    </row>
    <row r="252" spans="4:9" s="88" customFormat="1">
      <c r="D252" s="153"/>
      <c r="E252" s="122"/>
      <c r="F252" s="720"/>
      <c r="G252" s="139"/>
      <c r="I252" s="804"/>
    </row>
    <row r="253" spans="4:9" s="88" customFormat="1">
      <c r="D253" s="153"/>
      <c r="E253" s="122"/>
      <c r="F253" s="720"/>
      <c r="G253" s="139"/>
      <c r="I253" s="804"/>
    </row>
    <row r="254" spans="4:9" s="88" customFormat="1">
      <c r="D254" s="153"/>
      <c r="E254" s="122"/>
      <c r="F254" s="720"/>
      <c r="G254" s="139"/>
      <c r="I254" s="804"/>
    </row>
    <row r="255" spans="4:9" s="88" customFormat="1">
      <c r="D255" s="153"/>
      <c r="E255" s="122"/>
      <c r="F255" s="720"/>
      <c r="G255" s="139"/>
      <c r="I255" s="804"/>
    </row>
    <row r="256" spans="4:9" s="88" customFormat="1">
      <c r="D256" s="153"/>
      <c r="E256" s="122"/>
      <c r="F256" s="720"/>
      <c r="G256" s="139"/>
      <c r="I256" s="804"/>
    </row>
    <row r="257" spans="4:9" s="88" customFormat="1">
      <c r="D257" s="153"/>
      <c r="E257" s="122"/>
      <c r="F257" s="720"/>
      <c r="G257" s="139"/>
      <c r="I257" s="804"/>
    </row>
    <row r="258" spans="4:9" s="88" customFormat="1">
      <c r="D258" s="153"/>
      <c r="E258" s="122"/>
      <c r="F258" s="720"/>
      <c r="G258" s="139"/>
      <c r="I258" s="804"/>
    </row>
    <row r="259" spans="4:9" s="88" customFormat="1">
      <c r="D259" s="153"/>
      <c r="E259" s="122"/>
      <c r="F259" s="720"/>
      <c r="G259" s="139"/>
      <c r="I259" s="804"/>
    </row>
    <row r="260" spans="4:9" s="88" customFormat="1">
      <c r="D260" s="153"/>
      <c r="E260" s="122"/>
      <c r="F260" s="720"/>
      <c r="G260" s="139"/>
      <c r="I260" s="804"/>
    </row>
    <row r="261" spans="4:9" s="88" customFormat="1">
      <c r="D261" s="153"/>
      <c r="E261" s="122"/>
      <c r="F261" s="720"/>
      <c r="G261" s="139"/>
      <c r="I261" s="804"/>
    </row>
    <row r="262" spans="4:9" s="88" customFormat="1">
      <c r="D262" s="153"/>
      <c r="E262" s="122"/>
      <c r="F262" s="720"/>
      <c r="G262" s="139"/>
      <c r="I262" s="804"/>
    </row>
    <row r="263" spans="4:9" s="88" customFormat="1">
      <c r="D263" s="153"/>
      <c r="E263" s="122"/>
      <c r="F263" s="720"/>
      <c r="G263" s="139"/>
      <c r="I263" s="804"/>
    </row>
    <row r="264" spans="4:9" s="88" customFormat="1">
      <c r="D264" s="153"/>
      <c r="E264" s="122"/>
      <c r="F264" s="720"/>
      <c r="G264" s="139"/>
      <c r="I264" s="804"/>
    </row>
    <row r="265" spans="4:9" s="88" customFormat="1">
      <c r="D265" s="153"/>
      <c r="E265" s="122"/>
      <c r="F265" s="720"/>
      <c r="G265" s="139"/>
      <c r="I265" s="804"/>
    </row>
    <row r="266" spans="4:9" s="88" customFormat="1">
      <c r="D266" s="153"/>
      <c r="E266" s="122"/>
      <c r="F266" s="720"/>
      <c r="G266" s="139"/>
      <c r="I266" s="804"/>
    </row>
    <row r="267" spans="4:9" s="88" customFormat="1">
      <c r="D267" s="153"/>
      <c r="E267" s="122"/>
      <c r="F267" s="720"/>
      <c r="G267" s="139"/>
      <c r="I267" s="804"/>
    </row>
    <row r="268" spans="4:9" s="88" customFormat="1">
      <c r="D268" s="153"/>
      <c r="E268" s="122"/>
      <c r="F268" s="720"/>
      <c r="G268" s="139"/>
      <c r="I268" s="804"/>
    </row>
    <row r="269" spans="4:9" s="88" customFormat="1">
      <c r="D269" s="153"/>
      <c r="E269" s="122"/>
      <c r="F269" s="720"/>
      <c r="G269" s="139"/>
      <c r="I269" s="804"/>
    </row>
    <row r="270" spans="4:9" s="88" customFormat="1">
      <c r="D270" s="153"/>
      <c r="E270" s="122"/>
      <c r="F270" s="720"/>
      <c r="G270" s="139"/>
      <c r="I270" s="804"/>
    </row>
    <row r="271" spans="4:9" s="88" customFormat="1">
      <c r="D271" s="153"/>
      <c r="E271" s="122"/>
      <c r="F271" s="720"/>
      <c r="G271" s="139"/>
      <c r="I271" s="804"/>
    </row>
    <row r="272" spans="4:9" s="88" customFormat="1">
      <c r="D272" s="153"/>
      <c r="E272" s="122"/>
      <c r="F272" s="720"/>
      <c r="G272" s="139"/>
      <c r="I272" s="804"/>
    </row>
    <row r="273" spans="4:9" s="88" customFormat="1">
      <c r="D273" s="153"/>
      <c r="E273" s="122"/>
      <c r="F273" s="720"/>
      <c r="G273" s="139"/>
      <c r="I273" s="804"/>
    </row>
    <row r="274" spans="4:9" s="88" customFormat="1">
      <c r="D274" s="153"/>
      <c r="E274" s="122"/>
      <c r="F274" s="720"/>
      <c r="G274" s="139"/>
      <c r="I274" s="804"/>
    </row>
    <row r="275" spans="4:9" s="88" customFormat="1">
      <c r="D275" s="153"/>
      <c r="E275" s="122"/>
      <c r="F275" s="720"/>
      <c r="G275" s="139"/>
      <c r="I275" s="804"/>
    </row>
    <row r="276" spans="4:9" s="88" customFormat="1">
      <c r="D276" s="153"/>
      <c r="E276" s="122"/>
      <c r="F276" s="720"/>
      <c r="G276" s="139"/>
      <c r="I276" s="804"/>
    </row>
    <row r="277" spans="4:9" s="88" customFormat="1">
      <c r="D277" s="153"/>
      <c r="E277" s="122"/>
      <c r="F277" s="720"/>
      <c r="G277" s="139"/>
      <c r="I277" s="804"/>
    </row>
    <row r="278" spans="4:9" s="88" customFormat="1">
      <c r="D278" s="153"/>
      <c r="E278" s="122"/>
      <c r="F278" s="720"/>
      <c r="G278" s="139"/>
      <c r="I278" s="804"/>
    </row>
    <row r="279" spans="4:9" s="88" customFormat="1">
      <c r="D279" s="153"/>
      <c r="E279" s="122"/>
      <c r="F279" s="720"/>
      <c r="G279" s="139"/>
      <c r="I279" s="804"/>
    </row>
    <row r="280" spans="4:9" s="88" customFormat="1">
      <c r="D280" s="153"/>
      <c r="E280" s="122"/>
      <c r="F280" s="720"/>
      <c r="G280" s="139"/>
      <c r="I280" s="804"/>
    </row>
    <row r="281" spans="4:9" s="88" customFormat="1">
      <c r="D281" s="153"/>
      <c r="E281" s="122"/>
      <c r="F281" s="720"/>
      <c r="G281" s="139"/>
      <c r="I281" s="804"/>
    </row>
    <row r="282" spans="4:9" s="88" customFormat="1">
      <c r="D282" s="153"/>
      <c r="E282" s="122"/>
      <c r="F282" s="720"/>
      <c r="G282" s="139"/>
      <c r="I282" s="804"/>
    </row>
    <row r="283" spans="4:9" s="88" customFormat="1">
      <c r="D283" s="153"/>
      <c r="E283" s="122"/>
      <c r="F283" s="720"/>
      <c r="G283" s="139"/>
      <c r="I283" s="804"/>
    </row>
    <row r="284" spans="4:9" s="88" customFormat="1">
      <c r="D284" s="153"/>
      <c r="E284" s="122"/>
      <c r="F284" s="720"/>
      <c r="G284" s="139"/>
      <c r="I284" s="804"/>
    </row>
    <row r="285" spans="4:9" s="88" customFormat="1">
      <c r="D285" s="153"/>
      <c r="E285" s="122"/>
      <c r="F285" s="720"/>
      <c r="G285" s="139"/>
      <c r="I285" s="804"/>
    </row>
    <row r="286" spans="4:9" s="88" customFormat="1">
      <c r="D286" s="153"/>
      <c r="E286" s="122"/>
      <c r="F286" s="720"/>
      <c r="G286" s="139"/>
      <c r="I286" s="804"/>
    </row>
    <row r="287" spans="4:9" s="88" customFormat="1">
      <c r="D287" s="153"/>
      <c r="E287" s="122"/>
      <c r="F287" s="720"/>
      <c r="G287" s="139"/>
      <c r="I287" s="804"/>
    </row>
    <row r="288" spans="4:9" s="88" customFormat="1">
      <c r="D288" s="153"/>
      <c r="E288" s="122"/>
      <c r="F288" s="720"/>
      <c r="G288" s="139"/>
      <c r="I288" s="804"/>
    </row>
    <row r="289" spans="4:9" s="88" customFormat="1">
      <c r="D289" s="153"/>
      <c r="E289" s="122"/>
      <c r="F289" s="720"/>
      <c r="G289" s="139"/>
      <c r="I289" s="804"/>
    </row>
    <row r="290" spans="4:9" s="88" customFormat="1">
      <c r="D290" s="153"/>
      <c r="E290" s="122"/>
      <c r="F290" s="720"/>
      <c r="G290" s="139"/>
      <c r="I290" s="804"/>
    </row>
    <row r="291" spans="4:9" s="88" customFormat="1">
      <c r="D291" s="153"/>
      <c r="E291" s="122"/>
      <c r="F291" s="720"/>
      <c r="G291" s="139"/>
      <c r="I291" s="804"/>
    </row>
    <row r="292" spans="4:9" s="88" customFormat="1">
      <c r="D292" s="153"/>
      <c r="E292" s="122"/>
      <c r="F292" s="720"/>
      <c r="G292" s="139"/>
      <c r="I292" s="804"/>
    </row>
    <row r="293" spans="4:9" s="88" customFormat="1">
      <c r="D293" s="153"/>
      <c r="E293" s="122"/>
      <c r="F293" s="720"/>
      <c r="G293" s="139"/>
      <c r="I293" s="804"/>
    </row>
    <row r="294" spans="4:9" s="88" customFormat="1">
      <c r="D294" s="153"/>
      <c r="E294" s="122"/>
      <c r="F294" s="720"/>
      <c r="G294" s="139"/>
      <c r="I294" s="804"/>
    </row>
    <row r="295" spans="4:9" s="88" customFormat="1">
      <c r="D295" s="153"/>
      <c r="E295" s="122"/>
      <c r="F295" s="720"/>
      <c r="G295" s="139"/>
      <c r="I295" s="804"/>
    </row>
    <row r="296" spans="4:9" s="88" customFormat="1">
      <c r="D296" s="153"/>
      <c r="E296" s="122"/>
      <c r="F296" s="720"/>
      <c r="G296" s="139"/>
      <c r="I296" s="804"/>
    </row>
    <row r="297" spans="4:9" s="88" customFormat="1">
      <c r="D297" s="153"/>
      <c r="E297" s="122"/>
      <c r="F297" s="720"/>
      <c r="G297" s="139"/>
      <c r="I297" s="804"/>
    </row>
    <row r="298" spans="4:9" s="88" customFormat="1">
      <c r="D298" s="153"/>
      <c r="E298" s="122"/>
      <c r="F298" s="720"/>
      <c r="G298" s="139"/>
      <c r="I298" s="804"/>
    </row>
    <row r="299" spans="4:9" s="88" customFormat="1">
      <c r="D299" s="153"/>
      <c r="E299" s="122"/>
      <c r="F299" s="720"/>
      <c r="G299" s="139"/>
      <c r="I299" s="804"/>
    </row>
    <row r="300" spans="4:9" s="88" customFormat="1">
      <c r="D300" s="153"/>
      <c r="E300" s="122"/>
      <c r="F300" s="720"/>
      <c r="G300" s="139"/>
      <c r="I300" s="804"/>
    </row>
    <row r="301" spans="4:9" s="88" customFormat="1">
      <c r="D301" s="153"/>
      <c r="E301" s="122"/>
      <c r="F301" s="720"/>
      <c r="G301" s="139"/>
      <c r="I301" s="804"/>
    </row>
    <row r="302" spans="4:9" s="88" customFormat="1">
      <c r="D302" s="153"/>
      <c r="E302" s="122"/>
      <c r="F302" s="720"/>
      <c r="G302" s="139"/>
      <c r="I302" s="804"/>
    </row>
    <row r="303" spans="4:9" s="88" customFormat="1">
      <c r="D303" s="153"/>
      <c r="E303" s="122"/>
      <c r="F303" s="720"/>
      <c r="G303" s="139"/>
      <c r="I303" s="804"/>
    </row>
    <row r="304" spans="4:9" s="88" customFormat="1">
      <c r="D304" s="153"/>
      <c r="E304" s="122"/>
      <c r="F304" s="720"/>
      <c r="G304" s="139"/>
      <c r="I304" s="804"/>
    </row>
    <row r="305" spans="4:9" s="88" customFormat="1">
      <c r="D305" s="153"/>
      <c r="E305" s="122"/>
      <c r="F305" s="720"/>
      <c r="G305" s="139"/>
      <c r="I305" s="804"/>
    </row>
    <row r="306" spans="4:9" s="88" customFormat="1">
      <c r="D306" s="153"/>
      <c r="E306" s="122"/>
      <c r="F306" s="720"/>
      <c r="G306" s="139"/>
      <c r="I306" s="804"/>
    </row>
    <row r="307" spans="4:9" s="88" customFormat="1">
      <c r="D307" s="153"/>
      <c r="E307" s="122"/>
      <c r="F307" s="720"/>
      <c r="G307" s="139"/>
      <c r="I307" s="804"/>
    </row>
    <row r="308" spans="4:9" s="88" customFormat="1">
      <c r="D308" s="153"/>
      <c r="E308" s="122"/>
      <c r="F308" s="720"/>
      <c r="G308" s="139"/>
      <c r="I308" s="804"/>
    </row>
    <row r="309" spans="4:9" s="88" customFormat="1">
      <c r="D309" s="153"/>
      <c r="E309" s="122"/>
      <c r="F309" s="720"/>
      <c r="G309" s="139"/>
      <c r="I309" s="804"/>
    </row>
    <row r="310" spans="4:9" s="88" customFormat="1">
      <c r="D310" s="153"/>
      <c r="E310" s="122"/>
      <c r="F310" s="720"/>
      <c r="G310" s="139"/>
      <c r="I310" s="804"/>
    </row>
    <row r="311" spans="4:9" s="88" customFormat="1">
      <c r="D311" s="153"/>
      <c r="E311" s="122"/>
      <c r="F311" s="720"/>
      <c r="G311" s="139"/>
      <c r="I311" s="804"/>
    </row>
    <row r="312" spans="4:9" s="88" customFormat="1">
      <c r="D312" s="153"/>
      <c r="E312" s="122"/>
      <c r="F312" s="720"/>
      <c r="G312" s="139"/>
      <c r="I312" s="804"/>
    </row>
    <row r="313" spans="4:9" s="88" customFormat="1">
      <c r="D313" s="153"/>
      <c r="E313" s="122"/>
      <c r="F313" s="720"/>
      <c r="G313" s="139"/>
      <c r="I313" s="804"/>
    </row>
    <row r="314" spans="4:9" s="88" customFormat="1">
      <c r="D314" s="153"/>
      <c r="E314" s="122"/>
      <c r="F314" s="720"/>
      <c r="G314" s="139"/>
      <c r="I314" s="804"/>
    </row>
    <row r="315" spans="4:9" s="88" customFormat="1">
      <c r="D315" s="153"/>
      <c r="E315" s="122"/>
      <c r="F315" s="720"/>
      <c r="G315" s="139"/>
      <c r="I315" s="804"/>
    </row>
    <row r="316" spans="4:9" s="88" customFormat="1">
      <c r="D316" s="153"/>
      <c r="E316" s="122"/>
      <c r="F316" s="720"/>
      <c r="G316" s="139"/>
      <c r="I316" s="804"/>
    </row>
    <row r="317" spans="4:9" s="88" customFormat="1">
      <c r="D317" s="153"/>
      <c r="E317" s="122"/>
      <c r="F317" s="720"/>
      <c r="G317" s="139"/>
      <c r="I317" s="804"/>
    </row>
    <row r="318" spans="4:9" s="88" customFormat="1">
      <c r="D318" s="153"/>
      <c r="E318" s="122"/>
      <c r="F318" s="720"/>
      <c r="G318" s="139"/>
      <c r="I318" s="804"/>
    </row>
    <row r="319" spans="4:9" s="88" customFormat="1">
      <c r="D319" s="153"/>
      <c r="E319" s="122"/>
      <c r="F319" s="720"/>
      <c r="G319" s="139"/>
      <c r="I319" s="804"/>
    </row>
    <row r="320" spans="4:9" s="88" customFormat="1">
      <c r="D320" s="153"/>
      <c r="E320" s="122"/>
      <c r="F320" s="720"/>
      <c r="G320" s="139"/>
      <c r="I320" s="804"/>
    </row>
    <row r="321" spans="4:9" s="88" customFormat="1">
      <c r="D321" s="153"/>
      <c r="E321" s="122"/>
      <c r="F321" s="720"/>
      <c r="G321" s="139"/>
      <c r="I321" s="804"/>
    </row>
    <row r="322" spans="4:9" s="88" customFormat="1">
      <c r="D322" s="153"/>
      <c r="E322" s="122"/>
      <c r="F322" s="720"/>
      <c r="G322" s="139"/>
      <c r="I322" s="804"/>
    </row>
    <row r="323" spans="4:9" s="88" customFormat="1">
      <c r="D323" s="153"/>
      <c r="E323" s="122"/>
      <c r="F323" s="720"/>
      <c r="G323" s="139"/>
      <c r="I323" s="804"/>
    </row>
    <row r="324" spans="4:9" s="88" customFormat="1">
      <c r="D324" s="153"/>
      <c r="E324" s="122"/>
      <c r="F324" s="720"/>
      <c r="G324" s="139"/>
      <c r="I324" s="804"/>
    </row>
    <row r="325" spans="4:9" s="88" customFormat="1">
      <c r="D325" s="153"/>
      <c r="E325" s="122"/>
      <c r="F325" s="720"/>
      <c r="G325" s="139"/>
      <c r="I325" s="804"/>
    </row>
    <row r="326" spans="4:9" s="88" customFormat="1">
      <c r="D326" s="153"/>
      <c r="E326" s="122"/>
      <c r="F326" s="720"/>
      <c r="G326" s="139"/>
      <c r="I326" s="804"/>
    </row>
    <row r="327" spans="4:9" s="88" customFormat="1">
      <c r="D327" s="153"/>
      <c r="E327" s="122"/>
      <c r="F327" s="720"/>
      <c r="G327" s="139"/>
      <c r="I327" s="804"/>
    </row>
    <row r="328" spans="4:9" s="88" customFormat="1">
      <c r="D328" s="153"/>
      <c r="E328" s="122"/>
      <c r="F328" s="720"/>
      <c r="G328" s="139"/>
      <c r="I328" s="804"/>
    </row>
    <row r="329" spans="4:9" s="88" customFormat="1">
      <c r="D329" s="153"/>
      <c r="E329" s="122"/>
      <c r="F329" s="720"/>
      <c r="G329" s="139"/>
      <c r="I329" s="804"/>
    </row>
    <row r="330" spans="4:9" s="88" customFormat="1">
      <c r="D330" s="153"/>
      <c r="E330" s="122"/>
      <c r="F330" s="720"/>
      <c r="G330" s="139"/>
      <c r="I330" s="804"/>
    </row>
    <row r="331" spans="4:9" s="88" customFormat="1">
      <c r="D331" s="153"/>
      <c r="E331" s="122"/>
      <c r="F331" s="720"/>
      <c r="G331" s="139"/>
      <c r="I331" s="804"/>
    </row>
    <row r="332" spans="4:9" s="88" customFormat="1">
      <c r="D332" s="153"/>
      <c r="E332" s="122"/>
      <c r="F332" s="720"/>
      <c r="G332" s="139"/>
      <c r="I332" s="804"/>
    </row>
    <row r="333" spans="4:9" s="88" customFormat="1">
      <c r="D333" s="153"/>
      <c r="E333" s="122"/>
      <c r="F333" s="720"/>
      <c r="G333" s="139"/>
      <c r="I333" s="804"/>
    </row>
    <row r="334" spans="4:9" s="88" customFormat="1">
      <c r="D334" s="153"/>
      <c r="E334" s="122"/>
      <c r="F334" s="720"/>
      <c r="G334" s="139"/>
      <c r="I334" s="804"/>
    </row>
    <row r="335" spans="4:9" s="88" customFormat="1">
      <c r="D335" s="153"/>
      <c r="E335" s="122"/>
      <c r="F335" s="720"/>
      <c r="G335" s="139"/>
      <c r="I335" s="804"/>
    </row>
    <row r="336" spans="4:9" s="88" customFormat="1">
      <c r="D336" s="153"/>
      <c r="E336" s="122"/>
      <c r="F336" s="720"/>
      <c r="G336" s="139"/>
      <c r="I336" s="804"/>
    </row>
    <row r="337" spans="4:9" s="88" customFormat="1">
      <c r="D337" s="153"/>
      <c r="E337" s="122"/>
      <c r="F337" s="720"/>
      <c r="G337" s="139"/>
      <c r="I337" s="804"/>
    </row>
    <row r="338" spans="4:9" s="88" customFormat="1">
      <c r="D338" s="153"/>
      <c r="E338" s="122"/>
      <c r="F338" s="720"/>
      <c r="G338" s="139"/>
      <c r="I338" s="804"/>
    </row>
    <row r="339" spans="4:9" s="88" customFormat="1">
      <c r="D339" s="153"/>
      <c r="E339" s="122"/>
      <c r="F339" s="720"/>
      <c r="G339" s="139"/>
      <c r="I339" s="804"/>
    </row>
    <row r="340" spans="4:9" s="88" customFormat="1">
      <c r="D340" s="153"/>
      <c r="E340" s="122"/>
      <c r="F340" s="720"/>
      <c r="G340" s="139"/>
      <c r="I340" s="804"/>
    </row>
    <row r="341" spans="4:9" s="88" customFormat="1">
      <c r="D341" s="153"/>
      <c r="E341" s="122"/>
      <c r="F341" s="720"/>
      <c r="G341" s="139"/>
      <c r="I341" s="804"/>
    </row>
    <row r="342" spans="4:9" s="88" customFormat="1">
      <c r="D342" s="153"/>
      <c r="E342" s="122"/>
      <c r="F342" s="720"/>
      <c r="G342" s="139"/>
      <c r="I342" s="804"/>
    </row>
    <row r="343" spans="4:9" s="88" customFormat="1">
      <c r="D343" s="153"/>
      <c r="E343" s="122"/>
      <c r="F343" s="720"/>
      <c r="G343" s="139"/>
      <c r="I343" s="804"/>
    </row>
    <row r="344" spans="4:9" s="88" customFormat="1">
      <c r="D344" s="153"/>
      <c r="E344" s="122"/>
      <c r="F344" s="720"/>
      <c r="G344" s="139"/>
      <c r="I344" s="804"/>
    </row>
    <row r="345" spans="4:9" s="88" customFormat="1">
      <c r="D345" s="153"/>
      <c r="E345" s="122"/>
      <c r="F345" s="720"/>
      <c r="G345" s="139"/>
      <c r="I345" s="804"/>
    </row>
    <row r="346" spans="4:9" s="88" customFormat="1">
      <c r="D346" s="153"/>
      <c r="E346" s="122"/>
      <c r="F346" s="720"/>
      <c r="G346" s="139"/>
      <c r="I346" s="804"/>
    </row>
    <row r="347" spans="4:9" s="88" customFormat="1">
      <c r="D347" s="153"/>
      <c r="E347" s="122"/>
      <c r="F347" s="720"/>
      <c r="G347" s="139"/>
      <c r="I347" s="804"/>
    </row>
    <row r="348" spans="4:9" s="88" customFormat="1">
      <c r="D348" s="153"/>
      <c r="E348" s="122"/>
      <c r="F348" s="720"/>
      <c r="G348" s="139"/>
      <c r="I348" s="804"/>
    </row>
    <row r="349" spans="4:9" s="88" customFormat="1">
      <c r="D349" s="153"/>
      <c r="E349" s="122"/>
      <c r="F349" s="720"/>
      <c r="G349" s="139"/>
      <c r="I349" s="804"/>
    </row>
    <row r="350" spans="4:9" s="88" customFormat="1">
      <c r="D350" s="153"/>
      <c r="E350" s="122"/>
      <c r="F350" s="720"/>
      <c r="G350" s="139"/>
      <c r="I350" s="804"/>
    </row>
    <row r="351" spans="4:9" s="88" customFormat="1">
      <c r="D351" s="153"/>
      <c r="E351" s="122"/>
      <c r="F351" s="720"/>
      <c r="G351" s="139"/>
      <c r="I351" s="804"/>
    </row>
    <row r="352" spans="4:9" s="88" customFormat="1">
      <c r="D352" s="153"/>
      <c r="E352" s="122"/>
      <c r="F352" s="720"/>
      <c r="G352" s="139"/>
      <c r="I352" s="804"/>
    </row>
    <row r="353" spans="4:9" s="88" customFormat="1">
      <c r="D353" s="153"/>
      <c r="E353" s="122"/>
      <c r="F353" s="720"/>
      <c r="G353" s="139"/>
      <c r="I353" s="804"/>
    </row>
    <row r="354" spans="4:9" s="88" customFormat="1">
      <c r="D354" s="153"/>
      <c r="E354" s="122"/>
      <c r="F354" s="720"/>
      <c r="G354" s="139"/>
      <c r="I354" s="804"/>
    </row>
    <row r="355" spans="4:9" s="88" customFormat="1">
      <c r="D355" s="153"/>
      <c r="E355" s="122"/>
      <c r="F355" s="720"/>
      <c r="G355" s="139"/>
      <c r="I355" s="804"/>
    </row>
    <row r="356" spans="4:9" s="88" customFormat="1">
      <c r="D356" s="153"/>
      <c r="E356" s="122"/>
      <c r="F356" s="720"/>
      <c r="G356" s="139"/>
      <c r="I356" s="804"/>
    </row>
    <row r="357" spans="4:9" s="88" customFormat="1">
      <c r="D357" s="153"/>
      <c r="E357" s="122"/>
      <c r="F357" s="720"/>
      <c r="G357" s="139"/>
      <c r="I357" s="804"/>
    </row>
    <row r="358" spans="4:9" s="88" customFormat="1">
      <c r="D358" s="153"/>
      <c r="E358" s="122"/>
      <c r="F358" s="720"/>
      <c r="G358" s="139"/>
      <c r="I358" s="804"/>
    </row>
    <row r="359" spans="4:9" s="88" customFormat="1">
      <c r="D359" s="153"/>
      <c r="E359" s="122"/>
      <c r="F359" s="720"/>
      <c r="G359" s="139"/>
      <c r="I359" s="804"/>
    </row>
    <row r="360" spans="4:9" s="88" customFormat="1">
      <c r="D360" s="153"/>
      <c r="E360" s="122"/>
      <c r="F360" s="720"/>
      <c r="G360" s="139"/>
      <c r="I360" s="804"/>
    </row>
    <row r="361" spans="4:9" s="88" customFormat="1">
      <c r="D361" s="153"/>
      <c r="E361" s="122"/>
      <c r="F361" s="720"/>
      <c r="G361" s="139"/>
      <c r="I361" s="804"/>
    </row>
    <row r="362" spans="4:9" s="88" customFormat="1">
      <c r="D362" s="153"/>
      <c r="E362" s="122"/>
      <c r="F362" s="720"/>
      <c r="G362" s="139"/>
      <c r="I362" s="804"/>
    </row>
    <row r="363" spans="4:9" s="88" customFormat="1">
      <c r="D363" s="153"/>
      <c r="E363" s="122"/>
      <c r="F363" s="720"/>
      <c r="G363" s="139"/>
      <c r="I363" s="804"/>
    </row>
    <row r="364" spans="4:9" s="88" customFormat="1">
      <c r="D364" s="153"/>
      <c r="E364" s="122"/>
      <c r="F364" s="720"/>
      <c r="G364" s="139"/>
      <c r="I364" s="804"/>
    </row>
    <row r="365" spans="4:9" s="88" customFormat="1">
      <c r="D365" s="153"/>
      <c r="E365" s="122"/>
      <c r="F365" s="720"/>
      <c r="G365" s="139"/>
      <c r="I365" s="804"/>
    </row>
    <row r="366" spans="4:9" s="88" customFormat="1">
      <c r="D366" s="153"/>
      <c r="E366" s="122"/>
      <c r="F366" s="720"/>
      <c r="G366" s="139"/>
      <c r="I366" s="804"/>
    </row>
    <row r="367" spans="4:9" s="88" customFormat="1">
      <c r="D367" s="153"/>
      <c r="E367" s="122"/>
      <c r="F367" s="720"/>
      <c r="G367" s="139"/>
      <c r="I367" s="804"/>
    </row>
    <row r="368" spans="4:9" s="88" customFormat="1">
      <c r="D368" s="153"/>
      <c r="E368" s="122"/>
      <c r="F368" s="720"/>
      <c r="G368" s="139"/>
      <c r="I368" s="804"/>
    </row>
    <row r="369" spans="4:9" s="88" customFormat="1">
      <c r="D369" s="153"/>
      <c r="E369" s="122"/>
      <c r="F369" s="720"/>
      <c r="G369" s="139"/>
      <c r="I369" s="804"/>
    </row>
    <row r="370" spans="4:9" s="88" customFormat="1">
      <c r="D370" s="153"/>
      <c r="E370" s="122"/>
      <c r="F370" s="720"/>
      <c r="G370" s="139"/>
      <c r="I370" s="804"/>
    </row>
    <row r="371" spans="4:9" s="88" customFormat="1">
      <c r="D371" s="153"/>
      <c r="E371" s="122"/>
      <c r="F371" s="720"/>
      <c r="G371" s="139"/>
      <c r="I371" s="804"/>
    </row>
    <row r="372" spans="4:9" s="88" customFormat="1">
      <c r="D372" s="153"/>
      <c r="E372" s="122"/>
      <c r="F372" s="720"/>
      <c r="G372" s="139"/>
      <c r="I372" s="804"/>
    </row>
    <row r="373" spans="4:9" s="88" customFormat="1">
      <c r="D373" s="153"/>
      <c r="E373" s="122"/>
      <c r="F373" s="720"/>
      <c r="G373" s="139"/>
      <c r="I373" s="804"/>
    </row>
    <row r="374" spans="4:9" s="88" customFormat="1">
      <c r="D374" s="153"/>
      <c r="E374" s="122"/>
      <c r="F374" s="720"/>
      <c r="G374" s="139"/>
      <c r="I374" s="804"/>
    </row>
    <row r="375" spans="4:9" s="88" customFormat="1">
      <c r="D375" s="153"/>
      <c r="E375" s="122"/>
      <c r="F375" s="720"/>
      <c r="G375" s="139"/>
      <c r="I375" s="804"/>
    </row>
    <row r="376" spans="4:9" s="88" customFormat="1">
      <c r="D376" s="153"/>
      <c r="E376" s="122"/>
      <c r="F376" s="720"/>
      <c r="G376" s="139"/>
      <c r="I376" s="804"/>
    </row>
    <row r="377" spans="4:9" s="88" customFormat="1">
      <c r="D377" s="153"/>
      <c r="E377" s="122"/>
      <c r="F377" s="720"/>
      <c r="G377" s="139"/>
      <c r="I377" s="804"/>
    </row>
    <row r="378" spans="4:9" s="88" customFormat="1">
      <c r="D378" s="153"/>
      <c r="E378" s="122"/>
      <c r="F378" s="720"/>
      <c r="G378" s="139"/>
      <c r="I378" s="804"/>
    </row>
    <row r="379" spans="4:9" s="88" customFormat="1">
      <c r="D379" s="153"/>
      <c r="E379" s="122"/>
      <c r="F379" s="720"/>
      <c r="G379" s="139"/>
      <c r="I379" s="804"/>
    </row>
    <row r="380" spans="4:9" s="88" customFormat="1">
      <c r="D380" s="153"/>
      <c r="E380" s="122"/>
      <c r="F380" s="720"/>
      <c r="G380" s="139"/>
      <c r="I380" s="804"/>
    </row>
    <row r="381" spans="4:9" s="88" customFormat="1">
      <c r="D381" s="153"/>
      <c r="E381" s="122"/>
      <c r="F381" s="720"/>
      <c r="G381" s="139"/>
      <c r="I381" s="804"/>
    </row>
    <row r="382" spans="4:9" s="88" customFormat="1">
      <c r="D382" s="153"/>
      <c r="E382" s="122"/>
      <c r="F382" s="720"/>
      <c r="G382" s="139"/>
      <c r="I382" s="804"/>
    </row>
    <row r="383" spans="4:9" s="88" customFormat="1">
      <c r="D383" s="153"/>
      <c r="E383" s="122"/>
      <c r="F383" s="720"/>
      <c r="G383" s="139"/>
      <c r="I383" s="804"/>
    </row>
    <row r="384" spans="4:9" s="88" customFormat="1">
      <c r="D384" s="153"/>
      <c r="E384" s="122"/>
      <c r="F384" s="720"/>
      <c r="G384" s="139"/>
      <c r="I384" s="804"/>
    </row>
    <row r="385" spans="4:9" s="88" customFormat="1">
      <c r="D385" s="153"/>
      <c r="E385" s="122"/>
      <c r="F385" s="720"/>
      <c r="G385" s="139"/>
      <c r="I385" s="804"/>
    </row>
    <row r="386" spans="4:9" s="88" customFormat="1">
      <c r="D386" s="153"/>
      <c r="E386" s="122"/>
      <c r="F386" s="720"/>
      <c r="G386" s="139"/>
      <c r="I386" s="804"/>
    </row>
    <row r="387" spans="4:9" s="88" customFormat="1">
      <c r="D387" s="153"/>
      <c r="E387" s="122"/>
      <c r="F387" s="720"/>
      <c r="G387" s="139"/>
      <c r="I387" s="804"/>
    </row>
    <row r="388" spans="4:9" s="88" customFormat="1">
      <c r="D388" s="153"/>
      <c r="E388" s="122"/>
      <c r="F388" s="720"/>
      <c r="G388" s="139"/>
      <c r="I388" s="804"/>
    </row>
    <row r="389" spans="4:9" s="88" customFormat="1">
      <c r="D389" s="153"/>
      <c r="E389" s="122"/>
      <c r="F389" s="720"/>
      <c r="G389" s="139"/>
      <c r="I389" s="804"/>
    </row>
    <row r="390" spans="4:9" s="88" customFormat="1">
      <c r="D390" s="153"/>
      <c r="E390" s="122"/>
      <c r="F390" s="720"/>
      <c r="G390" s="139"/>
      <c r="I390" s="804"/>
    </row>
    <row r="391" spans="4:9" s="88" customFormat="1">
      <c r="D391" s="153"/>
      <c r="E391" s="122"/>
      <c r="F391" s="720"/>
      <c r="G391" s="139"/>
      <c r="I391" s="804"/>
    </row>
    <row r="392" spans="4:9" s="88" customFormat="1">
      <c r="D392" s="153"/>
      <c r="E392" s="122"/>
      <c r="F392" s="720"/>
      <c r="G392" s="139"/>
      <c r="I392" s="804"/>
    </row>
    <row r="393" spans="4:9" s="88" customFormat="1">
      <c r="D393" s="153"/>
      <c r="E393" s="122"/>
      <c r="F393" s="720"/>
      <c r="G393" s="139"/>
      <c r="I393" s="804"/>
    </row>
    <row r="394" spans="4:9" s="88" customFormat="1">
      <c r="D394" s="153"/>
      <c r="E394" s="122"/>
      <c r="F394" s="720"/>
      <c r="G394" s="139"/>
      <c r="I394" s="804"/>
    </row>
    <row r="395" spans="4:9" s="88" customFormat="1">
      <c r="D395" s="153"/>
      <c r="E395" s="122"/>
      <c r="F395" s="720"/>
      <c r="G395" s="139"/>
      <c r="I395" s="804"/>
    </row>
    <row r="396" spans="4:9" s="88" customFormat="1">
      <c r="D396" s="153"/>
      <c r="E396" s="122"/>
      <c r="F396" s="720"/>
      <c r="G396" s="139"/>
      <c r="I396" s="804"/>
    </row>
    <row r="397" spans="4:9" s="88" customFormat="1">
      <c r="D397" s="153"/>
      <c r="E397" s="122"/>
      <c r="F397" s="720"/>
      <c r="G397" s="139"/>
      <c r="I397" s="804"/>
    </row>
    <row r="398" spans="4:9" s="88" customFormat="1">
      <c r="D398" s="153"/>
      <c r="E398" s="122"/>
      <c r="F398" s="720"/>
      <c r="G398" s="139"/>
      <c r="I398" s="804"/>
    </row>
    <row r="399" spans="4:9" s="88" customFormat="1">
      <c r="D399" s="153"/>
      <c r="E399" s="122"/>
      <c r="F399" s="720"/>
      <c r="G399" s="139"/>
      <c r="I399" s="804"/>
    </row>
    <row r="400" spans="4:9" s="88" customFormat="1">
      <c r="D400" s="153"/>
      <c r="E400" s="122"/>
      <c r="F400" s="720"/>
      <c r="G400" s="139"/>
      <c r="I400" s="804"/>
    </row>
    <row r="401" spans="4:9" s="88" customFormat="1">
      <c r="D401" s="153"/>
      <c r="E401" s="122"/>
      <c r="F401" s="720"/>
      <c r="G401" s="139"/>
      <c r="I401" s="804"/>
    </row>
    <row r="402" spans="4:9" s="88" customFormat="1">
      <c r="D402" s="153"/>
      <c r="E402" s="122"/>
      <c r="F402" s="720"/>
      <c r="G402" s="139"/>
      <c r="I402" s="804"/>
    </row>
    <row r="403" spans="4:9" s="88" customFormat="1">
      <c r="D403" s="153"/>
      <c r="E403" s="122"/>
      <c r="F403" s="720"/>
      <c r="G403" s="139"/>
      <c r="I403" s="804"/>
    </row>
    <row r="404" spans="4:9" s="88" customFormat="1">
      <c r="D404" s="153"/>
      <c r="E404" s="122"/>
      <c r="F404" s="720"/>
      <c r="G404" s="139"/>
      <c r="I404" s="804"/>
    </row>
    <row r="405" spans="4:9" s="88" customFormat="1">
      <c r="D405" s="153"/>
      <c r="E405" s="122"/>
      <c r="F405" s="720"/>
      <c r="G405" s="139"/>
      <c r="I405" s="804"/>
    </row>
    <row r="406" spans="4:9" s="88" customFormat="1">
      <c r="D406" s="153"/>
      <c r="E406" s="122"/>
      <c r="F406" s="720"/>
      <c r="G406" s="139"/>
      <c r="I406" s="804"/>
    </row>
    <row r="407" spans="4:9" s="88" customFormat="1">
      <c r="D407" s="153"/>
      <c r="E407" s="122"/>
      <c r="F407" s="720"/>
      <c r="G407" s="139"/>
      <c r="I407" s="804"/>
    </row>
    <row r="408" spans="4:9" s="88" customFormat="1">
      <c r="D408" s="153"/>
      <c r="E408" s="122"/>
      <c r="F408" s="720"/>
      <c r="G408" s="139"/>
      <c r="I408" s="804"/>
    </row>
    <row r="409" spans="4:9" s="88" customFormat="1">
      <c r="D409" s="153"/>
      <c r="E409" s="122"/>
      <c r="F409" s="720"/>
      <c r="G409" s="139"/>
      <c r="I409" s="804"/>
    </row>
    <row r="410" spans="4:9" s="88" customFormat="1">
      <c r="D410" s="153"/>
      <c r="E410" s="122"/>
      <c r="F410" s="720"/>
      <c r="G410" s="139"/>
      <c r="I410" s="804"/>
    </row>
    <row r="411" spans="4:9" s="88" customFormat="1">
      <c r="D411" s="153"/>
      <c r="E411" s="122"/>
      <c r="F411" s="720"/>
      <c r="G411" s="139"/>
      <c r="I411" s="804"/>
    </row>
    <row r="412" spans="4:9" s="88" customFormat="1">
      <c r="D412" s="153"/>
      <c r="E412" s="122"/>
      <c r="F412" s="720"/>
      <c r="G412" s="139"/>
      <c r="I412" s="804"/>
    </row>
    <row r="413" spans="4:9" s="88" customFormat="1">
      <c r="D413" s="153"/>
      <c r="E413" s="122"/>
      <c r="F413" s="720"/>
      <c r="G413" s="139"/>
      <c r="I413" s="804"/>
    </row>
    <row r="414" spans="4:9" s="88" customFormat="1">
      <c r="D414" s="153"/>
      <c r="E414" s="122"/>
      <c r="F414" s="720"/>
      <c r="G414" s="139"/>
      <c r="I414" s="804"/>
    </row>
    <row r="415" spans="4:9" s="88" customFormat="1">
      <c r="D415" s="153"/>
      <c r="E415" s="122"/>
      <c r="F415" s="720"/>
      <c r="G415" s="139"/>
      <c r="I415" s="804"/>
    </row>
    <row r="416" spans="4:9" s="88" customFormat="1">
      <c r="D416" s="153"/>
      <c r="E416" s="122"/>
      <c r="F416" s="720"/>
      <c r="G416" s="139"/>
      <c r="I416" s="804"/>
    </row>
    <row r="417" spans="4:9" s="88" customFormat="1">
      <c r="D417" s="153"/>
      <c r="E417" s="122"/>
      <c r="F417" s="720"/>
      <c r="G417" s="139"/>
      <c r="I417" s="804"/>
    </row>
    <row r="418" spans="4:9" s="88" customFormat="1">
      <c r="D418" s="153"/>
      <c r="E418" s="122"/>
      <c r="F418" s="720"/>
      <c r="G418" s="139"/>
      <c r="I418" s="804"/>
    </row>
    <row r="419" spans="4:9" s="88" customFormat="1">
      <c r="D419" s="153"/>
      <c r="E419" s="122"/>
      <c r="F419" s="720"/>
      <c r="G419" s="139"/>
      <c r="I419" s="804"/>
    </row>
    <row r="420" spans="4:9" s="88" customFormat="1">
      <c r="D420" s="153"/>
      <c r="E420" s="122"/>
      <c r="F420" s="720"/>
      <c r="G420" s="139"/>
      <c r="I420" s="804"/>
    </row>
    <row r="421" spans="4:9" s="88" customFormat="1">
      <c r="D421" s="153"/>
      <c r="E421" s="122"/>
      <c r="F421" s="720"/>
      <c r="G421" s="139"/>
      <c r="I421" s="804"/>
    </row>
    <row r="422" spans="4:9" s="88" customFormat="1">
      <c r="D422" s="153"/>
      <c r="E422" s="122"/>
      <c r="F422" s="720"/>
      <c r="G422" s="139"/>
      <c r="I422" s="804"/>
    </row>
    <row r="423" spans="4:9" s="88" customFormat="1">
      <c r="D423" s="153"/>
      <c r="E423" s="122"/>
      <c r="F423" s="720"/>
      <c r="G423" s="139"/>
      <c r="I423" s="804"/>
    </row>
    <row r="424" spans="4:9" s="88" customFormat="1">
      <c r="D424" s="153"/>
      <c r="E424" s="122"/>
      <c r="F424" s="720"/>
      <c r="G424" s="139"/>
      <c r="I424" s="804"/>
    </row>
    <row r="425" spans="4:9" s="88" customFormat="1">
      <c r="D425" s="153"/>
      <c r="E425" s="122"/>
      <c r="F425" s="720"/>
      <c r="G425" s="139"/>
      <c r="I425" s="804"/>
    </row>
    <row r="426" spans="4:9" s="88" customFormat="1">
      <c r="D426" s="153"/>
      <c r="E426" s="122"/>
      <c r="F426" s="720"/>
      <c r="G426" s="139"/>
      <c r="I426" s="804"/>
    </row>
    <row r="427" spans="4:9" s="88" customFormat="1">
      <c r="D427" s="153"/>
      <c r="E427" s="122"/>
      <c r="F427" s="720"/>
      <c r="G427" s="139"/>
      <c r="I427" s="804"/>
    </row>
    <row r="428" spans="4:9" s="88" customFormat="1">
      <c r="D428" s="153"/>
      <c r="E428" s="122"/>
      <c r="F428" s="720"/>
      <c r="G428" s="139"/>
      <c r="I428" s="804"/>
    </row>
    <row r="429" spans="4:9" s="88" customFormat="1">
      <c r="D429" s="153"/>
      <c r="E429" s="122"/>
      <c r="F429" s="720"/>
      <c r="G429" s="139"/>
      <c r="I429" s="804"/>
    </row>
    <row r="430" spans="4:9" s="88" customFormat="1">
      <c r="D430" s="153"/>
      <c r="E430" s="122"/>
      <c r="F430" s="720"/>
      <c r="G430" s="139"/>
      <c r="I430" s="804"/>
    </row>
    <row r="431" spans="4:9" s="88" customFormat="1">
      <c r="D431" s="153"/>
      <c r="E431" s="122"/>
      <c r="F431" s="720"/>
      <c r="G431" s="139"/>
      <c r="I431" s="804"/>
    </row>
    <row r="432" spans="4:9" s="88" customFormat="1">
      <c r="D432" s="153"/>
      <c r="E432" s="122"/>
      <c r="F432" s="720"/>
      <c r="G432" s="139"/>
      <c r="I432" s="804"/>
    </row>
    <row r="433" spans="4:9" s="88" customFormat="1">
      <c r="D433" s="153"/>
      <c r="E433" s="122"/>
      <c r="F433" s="720"/>
      <c r="G433" s="139"/>
      <c r="I433" s="804"/>
    </row>
    <row r="434" spans="4:9" s="88" customFormat="1">
      <c r="D434" s="153"/>
      <c r="E434" s="122"/>
      <c r="F434" s="720"/>
      <c r="G434" s="139"/>
      <c r="I434" s="804"/>
    </row>
    <row r="435" spans="4:9" s="88" customFormat="1">
      <c r="D435" s="153"/>
      <c r="E435" s="122"/>
      <c r="F435" s="720"/>
      <c r="G435" s="139"/>
      <c r="I435" s="804"/>
    </row>
    <row r="436" spans="4:9" s="88" customFormat="1">
      <c r="D436" s="153"/>
      <c r="E436" s="122"/>
      <c r="F436" s="720"/>
      <c r="G436" s="139"/>
      <c r="I436" s="804"/>
    </row>
    <row r="437" spans="4:9" s="88" customFormat="1">
      <c r="D437" s="153"/>
      <c r="E437" s="122"/>
      <c r="F437" s="720"/>
      <c r="G437" s="139"/>
      <c r="I437" s="804"/>
    </row>
    <row r="438" spans="4:9" s="88" customFormat="1">
      <c r="D438" s="153"/>
      <c r="E438" s="122"/>
      <c r="F438" s="720"/>
      <c r="G438" s="139"/>
      <c r="I438" s="804"/>
    </row>
    <row r="439" spans="4:9" s="88" customFormat="1">
      <c r="D439" s="153"/>
      <c r="E439" s="122"/>
      <c r="F439" s="720"/>
      <c r="G439" s="139"/>
      <c r="I439" s="804"/>
    </row>
    <row r="440" spans="4:9" s="88" customFormat="1">
      <c r="D440" s="153"/>
      <c r="E440" s="122"/>
      <c r="F440" s="720"/>
      <c r="G440" s="139"/>
      <c r="I440" s="804"/>
    </row>
    <row r="441" spans="4:9" s="88" customFormat="1">
      <c r="D441" s="153"/>
      <c r="E441" s="122"/>
      <c r="F441" s="720"/>
      <c r="G441" s="139"/>
      <c r="I441" s="804"/>
    </row>
    <row r="442" spans="4:9" s="88" customFormat="1">
      <c r="D442" s="153"/>
      <c r="E442" s="122"/>
      <c r="F442" s="720"/>
      <c r="G442" s="139"/>
      <c r="I442" s="804"/>
    </row>
    <row r="443" spans="4:9" s="88" customFormat="1">
      <c r="D443" s="153"/>
      <c r="E443" s="122"/>
      <c r="F443" s="720"/>
      <c r="G443" s="139"/>
      <c r="I443" s="804"/>
    </row>
    <row r="444" spans="4:9" s="88" customFormat="1">
      <c r="D444" s="153"/>
      <c r="E444" s="122"/>
      <c r="F444" s="720"/>
      <c r="G444" s="139"/>
      <c r="I444" s="804"/>
    </row>
    <row r="445" spans="4:9" s="88" customFormat="1">
      <c r="D445" s="153"/>
      <c r="E445" s="122"/>
      <c r="F445" s="720"/>
      <c r="G445" s="139"/>
      <c r="I445" s="804"/>
    </row>
    <row r="446" spans="4:9" s="88" customFormat="1">
      <c r="D446" s="153"/>
      <c r="E446" s="122"/>
      <c r="F446" s="720"/>
      <c r="G446" s="139"/>
      <c r="I446" s="804"/>
    </row>
    <row r="447" spans="4:9" s="88" customFormat="1">
      <c r="D447" s="153"/>
      <c r="E447" s="122"/>
      <c r="F447" s="720"/>
      <c r="G447" s="139"/>
      <c r="I447" s="804"/>
    </row>
    <row r="448" spans="4:9" s="88" customFormat="1">
      <c r="D448" s="153"/>
      <c r="E448" s="122"/>
      <c r="F448" s="720"/>
      <c r="G448" s="139"/>
      <c r="I448" s="804"/>
    </row>
    <row r="449" spans="4:9" s="88" customFormat="1">
      <c r="D449" s="153"/>
      <c r="E449" s="122"/>
      <c r="F449" s="720"/>
      <c r="G449" s="139"/>
      <c r="I449" s="804"/>
    </row>
    <row r="450" spans="4:9" s="88" customFormat="1">
      <c r="D450" s="153"/>
      <c r="E450" s="122"/>
      <c r="F450" s="720"/>
      <c r="G450" s="139"/>
      <c r="I450" s="804"/>
    </row>
    <row r="451" spans="4:9" s="88" customFormat="1">
      <c r="D451" s="153"/>
      <c r="E451" s="122"/>
      <c r="F451" s="720"/>
      <c r="G451" s="139"/>
      <c r="I451" s="804"/>
    </row>
    <row r="452" spans="4:9" s="88" customFormat="1">
      <c r="D452" s="153"/>
      <c r="E452" s="122"/>
      <c r="F452" s="720"/>
      <c r="G452" s="139"/>
      <c r="I452" s="804"/>
    </row>
    <row r="453" spans="4:9" s="88" customFormat="1">
      <c r="D453" s="153"/>
      <c r="E453" s="122"/>
      <c r="F453" s="720"/>
      <c r="G453" s="139"/>
      <c r="I453" s="804"/>
    </row>
  </sheetData>
  <mergeCells count="26">
    <mergeCell ref="H90:H93"/>
    <mergeCell ref="I6:I13"/>
    <mergeCell ref="I15:I16"/>
    <mergeCell ref="I18:I22"/>
    <mergeCell ref="I24:I29"/>
    <mergeCell ref="I30:I32"/>
    <mergeCell ref="I34:I47"/>
    <mergeCell ref="I49:I52"/>
    <mergeCell ref="I53:I56"/>
    <mergeCell ref="H74:H83"/>
    <mergeCell ref="H85:H88"/>
    <mergeCell ref="I74:I78"/>
    <mergeCell ref="I79:I83"/>
    <mergeCell ref="I85:I88"/>
    <mergeCell ref="I90:I93"/>
    <mergeCell ref="H49:H56"/>
    <mergeCell ref="I58:I64"/>
    <mergeCell ref="I66:I72"/>
    <mergeCell ref="H18:H22"/>
    <mergeCell ref="H24:H32"/>
    <mergeCell ref="H34:H47"/>
    <mergeCell ref="A2:G2"/>
    <mergeCell ref="H6:H13"/>
    <mergeCell ref="H15:H16"/>
    <mergeCell ref="H58:H64"/>
    <mergeCell ref="H66:H72"/>
  </mergeCells>
  <pageMargins left="0.7" right="0.7" top="0.75" bottom="0.75" header="0.3" footer="0.3"/>
  <pageSetup scale="25" orientation="portrait" r:id="rId1"/>
  <rowBreaks count="1" manualBreakCount="1">
    <brk id="64" max="16383" man="1"/>
  </rowBreaks>
  <colBreaks count="1" manualBreakCount="1">
    <brk id="9" max="452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9"/>
  <dimension ref="A1:WS18"/>
  <sheetViews>
    <sheetView zoomScaleNormal="100"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F11" sqref="F11:EI11"/>
    </sheetView>
  </sheetViews>
  <sheetFormatPr defaultColWidth="9.453125" defaultRowHeight="14.5"/>
  <cols>
    <col min="1" max="1" width="9.453125" customWidth="1"/>
    <col min="2" max="2" width="32.453125" customWidth="1"/>
    <col min="3" max="3" width="15.453125" bestFit="1" customWidth="1"/>
    <col min="4" max="4" width="15.54296875" customWidth="1"/>
    <col min="5" max="5" width="4.453125" customWidth="1"/>
    <col min="6" max="6" width="16.453125" bestFit="1" customWidth="1"/>
    <col min="7" max="139" width="20.54296875" customWidth="1"/>
    <col min="140" max="140" width="9.453125" style="71"/>
  </cols>
  <sheetData>
    <row r="1" spans="1:617">
      <c r="D1" s="443" t="s">
        <v>446</v>
      </c>
      <c r="E1" s="488"/>
      <c r="F1" s="486">
        <v>44963</v>
      </c>
      <c r="G1" s="492">
        <f>F1+7</f>
        <v>44970</v>
      </c>
      <c r="H1" s="492">
        <f t="shared" ref="H1:BS1" si="0">G1+7</f>
        <v>44977</v>
      </c>
      <c r="I1" s="492">
        <f t="shared" si="0"/>
        <v>44984</v>
      </c>
      <c r="J1" s="492">
        <f t="shared" si="0"/>
        <v>44991</v>
      </c>
      <c r="K1" s="492">
        <f t="shared" si="0"/>
        <v>44998</v>
      </c>
      <c r="L1" s="492">
        <f t="shared" si="0"/>
        <v>45005</v>
      </c>
      <c r="M1" s="492">
        <f t="shared" si="0"/>
        <v>45012</v>
      </c>
      <c r="N1" s="492">
        <f t="shared" si="0"/>
        <v>45019</v>
      </c>
      <c r="O1" s="492">
        <f t="shared" si="0"/>
        <v>45026</v>
      </c>
      <c r="P1" s="492">
        <f t="shared" si="0"/>
        <v>45033</v>
      </c>
      <c r="Q1" s="492">
        <f t="shared" si="0"/>
        <v>45040</v>
      </c>
      <c r="R1" s="492">
        <f t="shared" si="0"/>
        <v>45047</v>
      </c>
      <c r="S1" s="492">
        <f t="shared" si="0"/>
        <v>45054</v>
      </c>
      <c r="T1" s="492">
        <f t="shared" si="0"/>
        <v>45061</v>
      </c>
      <c r="U1" s="492">
        <f t="shared" si="0"/>
        <v>45068</v>
      </c>
      <c r="V1" s="492">
        <f t="shared" si="0"/>
        <v>45075</v>
      </c>
      <c r="W1" s="492">
        <f t="shared" si="0"/>
        <v>45082</v>
      </c>
      <c r="X1" s="492">
        <f t="shared" si="0"/>
        <v>45089</v>
      </c>
      <c r="Y1" s="492">
        <f t="shared" si="0"/>
        <v>45096</v>
      </c>
      <c r="Z1" s="492">
        <f t="shared" si="0"/>
        <v>45103</v>
      </c>
      <c r="AA1" s="492">
        <f t="shared" si="0"/>
        <v>45110</v>
      </c>
      <c r="AB1" s="492">
        <f t="shared" si="0"/>
        <v>45117</v>
      </c>
      <c r="AC1" s="492">
        <f t="shared" si="0"/>
        <v>45124</v>
      </c>
      <c r="AD1" s="492">
        <f t="shared" si="0"/>
        <v>45131</v>
      </c>
      <c r="AE1" s="492">
        <f t="shared" si="0"/>
        <v>45138</v>
      </c>
      <c r="AF1" s="492">
        <f t="shared" si="0"/>
        <v>45145</v>
      </c>
      <c r="AG1" s="492">
        <f t="shared" si="0"/>
        <v>45152</v>
      </c>
      <c r="AH1" s="492">
        <f t="shared" si="0"/>
        <v>45159</v>
      </c>
      <c r="AI1" s="492">
        <f t="shared" si="0"/>
        <v>45166</v>
      </c>
      <c r="AJ1" s="492">
        <f t="shared" si="0"/>
        <v>45173</v>
      </c>
      <c r="AK1" s="492">
        <f t="shared" si="0"/>
        <v>45180</v>
      </c>
      <c r="AL1" s="492">
        <f t="shared" si="0"/>
        <v>45187</v>
      </c>
      <c r="AM1" s="492">
        <f t="shared" si="0"/>
        <v>45194</v>
      </c>
      <c r="AN1" s="492">
        <f t="shared" si="0"/>
        <v>45201</v>
      </c>
      <c r="AO1" s="492">
        <f t="shared" si="0"/>
        <v>45208</v>
      </c>
      <c r="AP1" s="492">
        <f t="shared" si="0"/>
        <v>45215</v>
      </c>
      <c r="AQ1" s="492">
        <f t="shared" si="0"/>
        <v>45222</v>
      </c>
      <c r="AR1" s="492">
        <f t="shared" si="0"/>
        <v>45229</v>
      </c>
      <c r="AS1" s="492">
        <f t="shared" si="0"/>
        <v>45236</v>
      </c>
      <c r="AT1" s="492">
        <f t="shared" si="0"/>
        <v>45243</v>
      </c>
      <c r="AU1" s="492">
        <f t="shared" si="0"/>
        <v>45250</v>
      </c>
      <c r="AV1" s="492">
        <f t="shared" si="0"/>
        <v>45257</v>
      </c>
      <c r="AW1" s="492">
        <f t="shared" si="0"/>
        <v>45264</v>
      </c>
      <c r="AX1" s="492">
        <f t="shared" si="0"/>
        <v>45271</v>
      </c>
      <c r="AY1" s="492">
        <f t="shared" si="0"/>
        <v>45278</v>
      </c>
      <c r="AZ1" s="492">
        <f t="shared" si="0"/>
        <v>45285</v>
      </c>
      <c r="BA1" s="492">
        <f t="shared" si="0"/>
        <v>45292</v>
      </c>
      <c r="BB1" s="492">
        <f t="shared" si="0"/>
        <v>45299</v>
      </c>
      <c r="BC1" s="492">
        <f t="shared" si="0"/>
        <v>45306</v>
      </c>
      <c r="BD1" s="492">
        <f t="shared" si="0"/>
        <v>45313</v>
      </c>
      <c r="BE1" s="492">
        <f t="shared" si="0"/>
        <v>45320</v>
      </c>
      <c r="BF1" s="492">
        <f t="shared" si="0"/>
        <v>45327</v>
      </c>
      <c r="BG1" s="492">
        <f t="shared" si="0"/>
        <v>45334</v>
      </c>
      <c r="BH1" s="492">
        <f t="shared" si="0"/>
        <v>45341</v>
      </c>
      <c r="BI1" s="492">
        <f t="shared" si="0"/>
        <v>45348</v>
      </c>
      <c r="BJ1" s="492">
        <f t="shared" si="0"/>
        <v>45355</v>
      </c>
      <c r="BK1" s="492">
        <f t="shared" si="0"/>
        <v>45362</v>
      </c>
      <c r="BL1" s="492">
        <f t="shared" si="0"/>
        <v>45369</v>
      </c>
      <c r="BM1" s="492">
        <f t="shared" si="0"/>
        <v>45376</v>
      </c>
      <c r="BN1" s="492">
        <f t="shared" si="0"/>
        <v>45383</v>
      </c>
      <c r="BO1" s="492">
        <f t="shared" si="0"/>
        <v>45390</v>
      </c>
      <c r="BP1" s="492">
        <f t="shared" si="0"/>
        <v>45397</v>
      </c>
      <c r="BQ1" s="492">
        <f t="shared" si="0"/>
        <v>45404</v>
      </c>
      <c r="BR1" s="492">
        <f t="shared" si="0"/>
        <v>45411</v>
      </c>
      <c r="BS1" s="492">
        <f t="shared" si="0"/>
        <v>45418</v>
      </c>
      <c r="BT1" s="492">
        <f t="shared" ref="BT1:BV1" si="1">BS1+7</f>
        <v>45425</v>
      </c>
      <c r="BU1" s="492">
        <f t="shared" si="1"/>
        <v>45432</v>
      </c>
      <c r="BV1" s="492">
        <f t="shared" si="1"/>
        <v>45439</v>
      </c>
      <c r="BW1" s="492">
        <f t="shared" ref="BW1" si="2">BV1+7</f>
        <v>45446</v>
      </c>
      <c r="BX1" s="492">
        <f t="shared" ref="BX1" si="3">BW1+7</f>
        <v>45453</v>
      </c>
      <c r="BY1" s="492">
        <f t="shared" ref="BY1" si="4">BX1+7</f>
        <v>45460</v>
      </c>
      <c r="BZ1" s="492">
        <f t="shared" ref="BZ1" si="5">BY1+7</f>
        <v>45467</v>
      </c>
      <c r="CA1" s="492">
        <f t="shared" ref="CA1" si="6">BZ1+7</f>
        <v>45474</v>
      </c>
      <c r="CB1" s="492">
        <f t="shared" ref="CB1" si="7">CA1+7</f>
        <v>45481</v>
      </c>
      <c r="CC1" s="492">
        <f t="shared" ref="CC1" si="8">CB1+7</f>
        <v>45488</v>
      </c>
      <c r="CD1" s="492">
        <f t="shared" ref="CD1" si="9">CC1+7</f>
        <v>45495</v>
      </c>
      <c r="CE1" s="492">
        <f t="shared" ref="CE1" si="10">CD1+7</f>
        <v>45502</v>
      </c>
      <c r="CF1" s="492">
        <f t="shared" ref="CF1" si="11">CE1+7</f>
        <v>45509</v>
      </c>
      <c r="CG1" s="492">
        <f t="shared" ref="CG1" si="12">CF1+7</f>
        <v>45516</v>
      </c>
      <c r="CH1" s="492">
        <f t="shared" ref="CH1" si="13">CG1+7</f>
        <v>45523</v>
      </c>
      <c r="CI1" s="492">
        <f t="shared" ref="CI1" si="14">CH1+7</f>
        <v>45530</v>
      </c>
      <c r="CJ1" s="492">
        <f t="shared" ref="CJ1" si="15">CI1+7</f>
        <v>45537</v>
      </c>
      <c r="CK1" s="492">
        <f t="shared" ref="CK1" si="16">CJ1+7</f>
        <v>45544</v>
      </c>
      <c r="CL1" s="492">
        <f t="shared" ref="CL1" si="17">CK1+7</f>
        <v>45551</v>
      </c>
      <c r="CM1" s="492">
        <f t="shared" ref="CM1" si="18">CL1+7</f>
        <v>45558</v>
      </c>
      <c r="CN1" s="492">
        <f t="shared" ref="CN1" si="19">CM1+7</f>
        <v>45565</v>
      </c>
      <c r="CO1" s="492">
        <f t="shared" ref="CO1" si="20">CN1+7</f>
        <v>45572</v>
      </c>
      <c r="CP1" s="492">
        <f t="shared" ref="CP1" si="21">CO1+7</f>
        <v>45579</v>
      </c>
      <c r="CQ1" s="492">
        <f t="shared" ref="CQ1" si="22">CP1+7</f>
        <v>45586</v>
      </c>
      <c r="CR1" s="492">
        <f t="shared" ref="CR1" si="23">CQ1+7</f>
        <v>45593</v>
      </c>
      <c r="CS1" s="492">
        <f t="shared" ref="CS1" si="24">CR1+7</f>
        <v>45600</v>
      </c>
      <c r="CT1" s="492">
        <f t="shared" ref="CT1" si="25">CS1+7</f>
        <v>45607</v>
      </c>
      <c r="CU1" s="492">
        <f t="shared" ref="CU1" si="26">CT1+7</f>
        <v>45614</v>
      </c>
      <c r="CV1" s="492">
        <f t="shared" ref="CV1" si="27">CU1+7</f>
        <v>45621</v>
      </c>
      <c r="CW1" s="492">
        <f t="shared" ref="CW1" si="28">CV1+7</f>
        <v>45628</v>
      </c>
      <c r="CX1" s="492">
        <f t="shared" ref="CX1" si="29">CW1+7</f>
        <v>45635</v>
      </c>
      <c r="CY1" s="492">
        <f t="shared" ref="CY1" si="30">CX1+7</f>
        <v>45642</v>
      </c>
      <c r="CZ1" s="492">
        <f t="shared" ref="CZ1" si="31">CY1+7</f>
        <v>45649</v>
      </c>
      <c r="DA1" s="492">
        <f t="shared" ref="DA1" si="32">CZ1+7</f>
        <v>45656</v>
      </c>
      <c r="DB1" s="492">
        <f t="shared" ref="DB1" si="33">DA1+7</f>
        <v>45663</v>
      </c>
      <c r="DC1" s="492">
        <f t="shared" ref="DC1" si="34">DB1+7</f>
        <v>45670</v>
      </c>
      <c r="DD1" s="492">
        <f t="shared" ref="DD1" si="35">DC1+7</f>
        <v>45677</v>
      </c>
      <c r="DE1" s="492">
        <f t="shared" ref="DE1" si="36">DD1+7</f>
        <v>45684</v>
      </c>
      <c r="DF1" s="492">
        <f t="shared" ref="DF1" si="37">DE1+7</f>
        <v>45691</v>
      </c>
      <c r="DG1" s="492">
        <f t="shared" ref="DG1" si="38">DF1+7</f>
        <v>45698</v>
      </c>
      <c r="DH1" s="492">
        <f t="shared" ref="DH1" si="39">DG1+7</f>
        <v>45705</v>
      </c>
      <c r="DI1" s="492">
        <f t="shared" ref="DI1" si="40">DH1+7</f>
        <v>45712</v>
      </c>
      <c r="DJ1" s="492">
        <f t="shared" ref="DJ1" si="41">DI1+7</f>
        <v>45719</v>
      </c>
      <c r="DK1" s="492">
        <f t="shared" ref="DK1" si="42">DJ1+7</f>
        <v>45726</v>
      </c>
      <c r="DL1" s="492">
        <f t="shared" ref="DL1" si="43">DK1+7</f>
        <v>45733</v>
      </c>
      <c r="DM1" s="492">
        <f t="shared" ref="DM1" si="44">DL1+7</f>
        <v>45740</v>
      </c>
      <c r="DN1" s="492">
        <f t="shared" ref="DN1" si="45">DM1+7</f>
        <v>45747</v>
      </c>
      <c r="DO1" s="492">
        <f t="shared" ref="DO1" si="46">DN1+7</f>
        <v>45754</v>
      </c>
      <c r="DP1" s="492">
        <f t="shared" ref="DP1" si="47">DO1+7</f>
        <v>45761</v>
      </c>
      <c r="DQ1" s="492">
        <f t="shared" ref="DQ1" si="48">DP1+7</f>
        <v>45768</v>
      </c>
      <c r="DR1" s="492">
        <f t="shared" ref="DR1" si="49">DQ1+7</f>
        <v>45775</v>
      </c>
      <c r="DS1" s="492">
        <f t="shared" ref="DS1" si="50">DR1+7</f>
        <v>45782</v>
      </c>
      <c r="DT1" s="492">
        <f t="shared" ref="DT1" si="51">DS1+7</f>
        <v>45789</v>
      </c>
      <c r="DU1" s="492">
        <f t="shared" ref="DU1" si="52">DT1+7</f>
        <v>45796</v>
      </c>
      <c r="DV1" s="492">
        <f t="shared" ref="DV1" si="53">DU1+7</f>
        <v>45803</v>
      </c>
      <c r="DW1" s="492">
        <f t="shared" ref="DW1" si="54">DV1+7</f>
        <v>45810</v>
      </c>
      <c r="DX1" s="492">
        <f t="shared" ref="DX1" si="55">DW1+7</f>
        <v>45817</v>
      </c>
      <c r="DY1" s="492">
        <f t="shared" ref="DY1" si="56">DX1+7</f>
        <v>45824</v>
      </c>
      <c r="DZ1" s="492">
        <f t="shared" ref="DZ1" si="57">DY1+7</f>
        <v>45831</v>
      </c>
      <c r="EA1" s="492">
        <f t="shared" ref="EA1" si="58">DZ1+7</f>
        <v>45838</v>
      </c>
      <c r="EB1" s="492">
        <f t="shared" ref="EB1" si="59">EA1+7</f>
        <v>45845</v>
      </c>
      <c r="EC1" s="492">
        <f t="shared" ref="EC1" si="60">EB1+7</f>
        <v>45852</v>
      </c>
      <c r="ED1" s="492">
        <f t="shared" ref="ED1" si="61">EC1+7</f>
        <v>45859</v>
      </c>
      <c r="EE1" s="492">
        <f t="shared" ref="EE1" si="62">ED1+7</f>
        <v>45866</v>
      </c>
      <c r="EF1" s="492">
        <f t="shared" ref="EF1" si="63">EE1+7</f>
        <v>45873</v>
      </c>
      <c r="EG1" s="492">
        <f t="shared" ref="EG1" si="64">EF1+7</f>
        <v>45880</v>
      </c>
      <c r="EH1" s="492">
        <f t="shared" ref="EH1" si="65">EG1+7</f>
        <v>45887</v>
      </c>
      <c r="EI1" s="492">
        <f t="shared" ref="EI1" si="66">EH1+7</f>
        <v>45894</v>
      </c>
    </row>
    <row r="2" spans="1:617" s="71" customFormat="1">
      <c r="A2" s="956" t="s">
        <v>59</v>
      </c>
      <c r="B2" s="493"/>
      <c r="C2" s="487" t="s">
        <v>447</v>
      </c>
      <c r="D2" s="487" t="s">
        <v>447</v>
      </c>
      <c r="E2" s="487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2"/>
      <c r="DT2" s="72"/>
      <c r="DU2" s="72"/>
      <c r="DV2" s="72"/>
      <c r="DW2" s="72"/>
      <c r="DX2" s="72"/>
      <c r="DY2" s="72"/>
      <c r="DZ2" s="72"/>
      <c r="EA2" s="72"/>
      <c r="EB2" s="72"/>
      <c r="EC2" s="72"/>
      <c r="ED2" s="72"/>
      <c r="EE2" s="72"/>
      <c r="EF2" s="72"/>
      <c r="EG2" s="72"/>
      <c r="EH2" s="72"/>
      <c r="EI2" s="7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</row>
    <row r="3" spans="1:617">
      <c r="A3" s="956"/>
      <c r="B3" s="494" t="s">
        <v>63</v>
      </c>
      <c r="C3" s="499">
        <f>'Revenue Tracking'!D4</f>
        <v>20939008.769727092</v>
      </c>
      <c r="D3" s="499">
        <f>SUM(F3:BR3)</f>
        <v>20939008.769727092</v>
      </c>
      <c r="E3" s="489"/>
      <c r="F3" s="507">
        <f>SUMIFS('Revenue Tracking'!$F$13:$F$30, 'Revenue Tracking'!$H$13:$H$30, "&gt;="&amp;F1,'Revenue Tracking'!$H$13:$H$30, "&lt;"&amp;G1)</f>
        <v>0</v>
      </c>
      <c r="G3" s="507">
        <f>SUMIFS('Revenue Tracking'!$F$13:$F$30, 'Revenue Tracking'!$H$13:$H$30, "&gt;="&amp;G1,'Revenue Tracking'!$H$13:$H$30, "&lt;"&amp;H1)</f>
        <v>10469504.38486355</v>
      </c>
      <c r="H3" s="507">
        <f>SUMIFS('Revenue Tracking'!$F$13:$F$30, 'Revenue Tracking'!$H$13:$H$30, "&gt;="&amp;H1,'Revenue Tracking'!$H$13:$H$30, "&lt;"&amp;I1)</f>
        <v>0</v>
      </c>
      <c r="I3" s="507">
        <f>SUMIFS('Revenue Tracking'!$F$13:$F$30, 'Revenue Tracking'!$H$13:$H$30, "&gt;="&amp;I1,'Revenue Tracking'!$H$13:$H$30, "&lt;"&amp;J1)</f>
        <v>0</v>
      </c>
      <c r="J3" s="507">
        <f>SUMIFS('Revenue Tracking'!$F$13:$F$30, 'Revenue Tracking'!$H$13:$H$30, "&gt;="&amp;J1,'Revenue Tracking'!$H$13:$H$30, "&lt;"&amp;K1)</f>
        <v>0</v>
      </c>
      <c r="K3" s="507">
        <f>SUMIFS('Revenue Tracking'!$F$13:$F$30, 'Revenue Tracking'!$H$13:$H$30, "&gt;="&amp;K1,'Revenue Tracking'!$H$13:$H$30, "&lt;"&amp;L1)</f>
        <v>0</v>
      </c>
      <c r="L3" s="507">
        <f>SUMIFS('Revenue Tracking'!$F$13:$F$30, 'Revenue Tracking'!$H$13:$H$30, "&gt;="&amp;L1,'Revenue Tracking'!$H$13:$H$30, "&lt;"&amp;M1)</f>
        <v>0</v>
      </c>
      <c r="M3" s="507">
        <f>SUMIFS('Revenue Tracking'!$F$13:$F$30, 'Revenue Tracking'!$H$13:$H$30, "&gt;="&amp;M1,'Revenue Tracking'!$H$13:$H$30, "&lt;"&amp;N1)</f>
        <v>0</v>
      </c>
      <c r="N3" s="507">
        <f>SUMIFS('Revenue Tracking'!$F$13:$F$30, 'Revenue Tracking'!$H$13:$H$30, "&gt;="&amp;N1,'Revenue Tracking'!$H$13:$H$30, "&lt;"&amp;O1)</f>
        <v>0</v>
      </c>
      <c r="O3" s="507">
        <f>SUMIFS('Revenue Tracking'!$F$13:$F$30, 'Revenue Tracking'!$H$13:$H$30, "&gt;="&amp;O1,'Revenue Tracking'!$H$13:$H$30, "&lt;"&amp;P1)</f>
        <v>0</v>
      </c>
      <c r="P3" s="507">
        <f>SUMIFS('Revenue Tracking'!$F$13:$F$30, 'Revenue Tracking'!$H$13:$H$30, "&gt;="&amp;P1,'Revenue Tracking'!$H$13:$H$30, "&lt;"&amp;Q1)</f>
        <v>0</v>
      </c>
      <c r="Q3" s="507">
        <f>SUMIFS('Revenue Tracking'!$F$13:$F$30, 'Revenue Tracking'!$H$13:$H$30, "&gt;="&amp;Q1,'Revenue Tracking'!$H$13:$H$30, "&lt;"&amp;R1)</f>
        <v>0</v>
      </c>
      <c r="R3" s="507">
        <f>SUMIFS('Revenue Tracking'!$F$13:$F$30, 'Revenue Tracking'!$H$13:$H$30, "&gt;="&amp;R1,'Revenue Tracking'!$H$13:$H$30, "&lt;"&amp;S1)</f>
        <v>0</v>
      </c>
      <c r="S3" s="507">
        <f>SUMIFS('Revenue Tracking'!$F$13:$F$30, 'Revenue Tracking'!$H$13:$H$30, "&gt;="&amp;S1,'Revenue Tracking'!$H$13:$H$30, "&lt;"&amp;T1)</f>
        <v>0</v>
      </c>
      <c r="T3" s="507">
        <f>SUMIFS('Revenue Tracking'!$F$13:$F$30, 'Revenue Tracking'!$H$13:$H$30, "&gt;="&amp;T1,'Revenue Tracking'!$H$13:$H$30, "&lt;"&amp;U1)</f>
        <v>0</v>
      </c>
      <c r="U3" s="507">
        <f>SUMIFS('Revenue Tracking'!$F$13:$F$30, 'Revenue Tracking'!$H$13:$H$30, "&gt;="&amp;U1,'Revenue Tracking'!$H$13:$H$30, "&lt;"&amp;V1)</f>
        <v>0</v>
      </c>
      <c r="V3" s="507">
        <f>SUMIFS('Revenue Tracking'!$F$13:$F$30, 'Revenue Tracking'!$H$13:$H$30, "&gt;="&amp;V1,'Revenue Tracking'!$H$13:$H$30, "&lt;"&amp;W1)</f>
        <v>0</v>
      </c>
      <c r="W3" s="507">
        <f>SUMIFS('Revenue Tracking'!$F$13:$F$30, 'Revenue Tracking'!$H$13:$H$30, "&gt;="&amp;W1,'Revenue Tracking'!$H$13:$H$30, "&lt;"&amp;X1)</f>
        <v>0</v>
      </c>
      <c r="X3" s="507">
        <f>SUMIFS('Revenue Tracking'!$F$13:$F$30, 'Revenue Tracking'!$H$13:$H$30, "&gt;="&amp;X1,'Revenue Tracking'!$H$13:$H$30, "&lt;"&amp;Y1)</f>
        <v>0</v>
      </c>
      <c r="Y3" s="507">
        <f>SUMIFS('Revenue Tracking'!$F$13:$F$30, 'Revenue Tracking'!$H$13:$H$30, "&gt;="&amp;Y1,'Revenue Tracking'!$H$13:$H$30, "&lt;"&amp;Z1)</f>
        <v>0</v>
      </c>
      <c r="Z3" s="507">
        <f>SUMIFS('Revenue Tracking'!$F$13:$F$30, 'Revenue Tracking'!$H$13:$H$30, "&gt;="&amp;Z1,'Revenue Tracking'!$H$13:$H$30, "&lt;"&amp;AA1)</f>
        <v>0</v>
      </c>
      <c r="AA3" s="507">
        <f>SUMIFS('Revenue Tracking'!$F$13:$F$30, 'Revenue Tracking'!$H$13:$H$30, "&gt;="&amp;AA1,'Revenue Tracking'!$H$13:$H$30, "&lt;"&amp;AB1)</f>
        <v>0</v>
      </c>
      <c r="AB3" s="507">
        <f>SUMIFS('Revenue Tracking'!$F$13:$F$30, 'Revenue Tracking'!$H$13:$H$30, "&gt;="&amp;AB1,'Revenue Tracking'!$H$13:$H$30, "&lt;"&amp;AC1)</f>
        <v>0</v>
      </c>
      <c r="AC3" s="507">
        <f>SUMIFS('Revenue Tracking'!$F$13:$F$30, 'Revenue Tracking'!$H$13:$H$30, "&gt;="&amp;AC1,'Revenue Tracking'!$H$13:$H$30, "&lt;"&amp;AD1)</f>
        <v>0</v>
      </c>
      <c r="AD3" s="507">
        <f>SUMIFS('Revenue Tracking'!$F$13:$F$30, 'Revenue Tracking'!$H$13:$H$30, "&gt;="&amp;AD1,'Revenue Tracking'!$H$13:$H$30, "&lt;"&amp;AE1)</f>
        <v>0</v>
      </c>
      <c r="AE3" s="507">
        <f>SUMIFS('Revenue Tracking'!$F$13:$F$30, 'Revenue Tracking'!$H$13:$H$30, "&gt;="&amp;AE1,'Revenue Tracking'!$H$13:$H$30, "&lt;"&amp;AF1)</f>
        <v>0</v>
      </c>
      <c r="AF3" s="507">
        <f>SUMIFS('Revenue Tracking'!$F$13:$F$30, 'Revenue Tracking'!$H$13:$H$30, "&gt;="&amp;AF1,'Revenue Tracking'!$H$13:$H$30, "&lt;"&amp;AG1)</f>
        <v>5234752.1924317693</v>
      </c>
      <c r="AG3" s="507">
        <f>SUMIFS('Revenue Tracking'!$F$13:$F$30, 'Revenue Tracking'!$H$13:$H$30, "&gt;="&amp;AG1,'Revenue Tracking'!$H$13:$H$30, "&lt;"&amp;AH1)</f>
        <v>0</v>
      </c>
      <c r="AH3" s="507">
        <f>SUMIFS('Revenue Tracking'!$F$13:$F$30, 'Revenue Tracking'!$H$13:$H$30, "&gt;="&amp;AH1,'Revenue Tracking'!$H$13:$H$30, "&lt;"&amp;AI1)</f>
        <v>0</v>
      </c>
      <c r="AI3" s="507">
        <f>SUMIFS('Revenue Tracking'!$F$13:$F$30, 'Revenue Tracking'!$H$13:$H$30, "&gt;="&amp;AI1,'Revenue Tracking'!$H$13:$H$30, "&lt;"&amp;AJ1)</f>
        <v>0</v>
      </c>
      <c r="AJ3" s="507">
        <f>SUMIFS('Revenue Tracking'!$F$13:$F$30, 'Revenue Tracking'!$H$13:$H$30, "&gt;="&amp;AJ1,'Revenue Tracking'!$H$13:$H$30, "&lt;"&amp;AK1)</f>
        <v>0</v>
      </c>
      <c r="AK3" s="507">
        <f>SUMIFS('Revenue Tracking'!$F$13:$F$30, 'Revenue Tracking'!$H$13:$H$30, "&gt;="&amp;AK1,'Revenue Tracking'!$H$13:$H$30, "&lt;"&amp;AL1)</f>
        <v>0</v>
      </c>
      <c r="AL3" s="507">
        <f>SUMIFS('Revenue Tracking'!$F$13:$F$30, 'Revenue Tracking'!$H$13:$H$30, "&gt;="&amp;AL1,'Revenue Tracking'!$H$13:$H$30, "&lt;"&amp;AM1)</f>
        <v>0</v>
      </c>
      <c r="AM3" s="507">
        <f>SUMIFS('Revenue Tracking'!$F$13:$F$30, 'Revenue Tracking'!$H$13:$H$30, "&gt;="&amp;AM1,'Revenue Tracking'!$H$13:$H$30, "&lt;"&amp;AN1)</f>
        <v>0</v>
      </c>
      <c r="AN3" s="507">
        <f>SUMIFS('Revenue Tracking'!$F$13:$F$30, 'Revenue Tracking'!$H$13:$H$30, "&gt;="&amp;AN1,'Revenue Tracking'!$H$13:$H$30, "&lt;"&amp;AO1)</f>
        <v>2093900.8769727093</v>
      </c>
      <c r="AO3" s="507">
        <f>SUMIFS('Revenue Tracking'!$F$13:$F$30, 'Revenue Tracking'!$H$13:$H$30, "&gt;="&amp;AO1,'Revenue Tracking'!$H$13:$H$30, "&lt;"&amp;AP1)</f>
        <v>0</v>
      </c>
      <c r="AP3" s="507">
        <f>SUMIFS('Revenue Tracking'!$F$13:$F$30, 'Revenue Tracking'!$H$13:$H$30, "&gt;="&amp;AP1,'Revenue Tracking'!$H$13:$H$30, "&lt;"&amp;AQ1)</f>
        <v>0</v>
      </c>
      <c r="AQ3" s="507">
        <f>SUMIFS('Revenue Tracking'!$F$13:$F$30, 'Revenue Tracking'!$H$13:$H$30, "&gt;="&amp;AQ1,'Revenue Tracking'!$H$13:$H$30, "&lt;"&amp;AR1)</f>
        <v>0</v>
      </c>
      <c r="AR3" s="507">
        <f>SUMIFS('Revenue Tracking'!$F$13:$F$30, 'Revenue Tracking'!$H$13:$H$30, "&gt;="&amp;AR1,'Revenue Tracking'!$H$13:$H$30, "&lt;"&amp;AS1)</f>
        <v>0</v>
      </c>
      <c r="AS3" s="507">
        <f>SUMIFS('Revenue Tracking'!$F$13:$F$30, 'Revenue Tracking'!$H$13:$H$30, "&gt;="&amp;AS1,'Revenue Tracking'!$H$13:$H$30, "&lt;"&amp;AT1)</f>
        <v>0</v>
      </c>
      <c r="AT3" s="507">
        <f>SUMIFS('Revenue Tracking'!$F$13:$F$30, 'Revenue Tracking'!$H$13:$H$30, "&gt;="&amp;AT1,'Revenue Tracking'!$H$13:$H$30, "&lt;"&amp;AU1)</f>
        <v>0</v>
      </c>
      <c r="AU3" s="507">
        <f>SUMIFS('Revenue Tracking'!$F$13:$F$30, 'Revenue Tracking'!$H$13:$H$30, "&gt;="&amp;AU1,'Revenue Tracking'!$H$13:$H$30, "&lt;"&amp;AV1)</f>
        <v>0</v>
      </c>
      <c r="AV3" s="507">
        <f>SUMIFS('Revenue Tracking'!$F$13:$F$30, 'Revenue Tracking'!$H$13:$H$30, "&gt;="&amp;AV1,'Revenue Tracking'!$H$13:$H$30, "&lt;"&amp;AW1)</f>
        <v>0</v>
      </c>
      <c r="AW3" s="507">
        <f>SUMIFS('Revenue Tracking'!$F$13:$F$30, 'Revenue Tracking'!$H$13:$H$30, "&gt;="&amp;AW1,'Revenue Tracking'!$H$13:$H$30, "&lt;"&amp;AX1)</f>
        <v>0</v>
      </c>
      <c r="AX3" s="507">
        <f>SUMIFS('Revenue Tracking'!$F$13:$F$30, 'Revenue Tracking'!$H$13:$H$30, "&gt;="&amp;AX1,'Revenue Tracking'!$H$13:$H$30, "&lt;"&amp;AY1)</f>
        <v>0</v>
      </c>
      <c r="AY3" s="507">
        <f>SUMIFS('Revenue Tracking'!$F$13:$F$30, 'Revenue Tracking'!$H$13:$H$30, "&gt;="&amp;AY1,'Revenue Tracking'!$H$13:$H$30, "&lt;"&amp;AZ1)</f>
        <v>0</v>
      </c>
      <c r="AZ3" s="507">
        <f>SUMIFS('Revenue Tracking'!$F$13:$F$30, 'Revenue Tracking'!$H$13:$H$30, "&gt;="&amp;AZ1,'Revenue Tracking'!$H$13:$H$30, "&lt;"&amp;BA1)</f>
        <v>0</v>
      </c>
      <c r="BA3" s="507">
        <f>SUMIFS('Revenue Tracking'!$F$13:$F$30, 'Revenue Tracking'!$H$13:$H$30, "&gt;="&amp;BA1,'Revenue Tracking'!$H$13:$H$30, "&lt;"&amp;BB1)</f>
        <v>0</v>
      </c>
      <c r="BB3" s="507">
        <f>SUMIFS('Revenue Tracking'!$F$13:$F$30, 'Revenue Tracking'!$H$13:$H$30, "&gt;="&amp;BB1,'Revenue Tracking'!$H$13:$H$30, "&lt;"&amp;BC1)</f>
        <v>0</v>
      </c>
      <c r="BC3" s="507">
        <f>SUMIFS('Revenue Tracking'!$F$13:$F$30, 'Revenue Tracking'!$H$13:$H$30, "&gt;="&amp;BC1,'Revenue Tracking'!$H$13:$H$30, "&lt;"&amp;BD1)</f>
        <v>0</v>
      </c>
      <c r="BD3" s="507">
        <f>SUMIFS('Revenue Tracking'!$F$13:$F$30, 'Revenue Tracking'!$H$13:$H$30, "&gt;="&amp;BD1,'Revenue Tracking'!$H$13:$H$30, "&lt;"&amp;BE1)</f>
        <v>2093900.8769727093</v>
      </c>
      <c r="BE3" s="507">
        <f>SUMIFS('Revenue Tracking'!$F$13:$F$30, 'Revenue Tracking'!$H$13:$H$30, "&gt;="&amp;BE1,'Revenue Tracking'!$H$13:$H$30, "&lt;"&amp;BF1)</f>
        <v>0</v>
      </c>
      <c r="BF3" s="507">
        <f>SUMIFS('Revenue Tracking'!$F$13:$F$30, 'Revenue Tracking'!$H$13:$H$30, "&gt;="&amp;BF1,'Revenue Tracking'!$H$13:$H$30, "&lt;"&amp;BG1)</f>
        <v>0</v>
      </c>
      <c r="BG3" s="507">
        <f>SUMIFS('Revenue Tracking'!$F$13:$F$30, 'Revenue Tracking'!$H$13:$H$30, "&gt;="&amp;BG1,'Revenue Tracking'!$H$13:$H$30, "&lt;"&amp;BH1)</f>
        <v>0</v>
      </c>
      <c r="BH3" s="507">
        <f>SUMIFS('Revenue Tracking'!$F$13:$F$30, 'Revenue Tracking'!$H$13:$H$30, "&gt;="&amp;BH1,'Revenue Tracking'!$H$13:$H$30, "&lt;"&amp;BI1)</f>
        <v>0</v>
      </c>
      <c r="BI3" s="507">
        <f>SUMIFS('Revenue Tracking'!$F$13:$F$30, 'Revenue Tracking'!$H$13:$H$30, "&gt;="&amp;BI1,'Revenue Tracking'!$H$13:$H$30, "&lt;"&amp;BJ1)</f>
        <v>0</v>
      </c>
      <c r="BJ3" s="507">
        <f>SUMIFS('Revenue Tracking'!$F$13:$F$30, 'Revenue Tracking'!$H$13:$H$30, "&gt;="&amp;BJ1,'Revenue Tracking'!$H$13:$H$30, "&lt;"&amp;BK1)</f>
        <v>1046950.4384863547</v>
      </c>
      <c r="BK3" s="507">
        <f>SUMIFS('Revenue Tracking'!$F$13:$F$30, 'Revenue Tracking'!$H$13:$H$30, "&gt;="&amp;BK1,'Revenue Tracking'!$H$13:$H$30, "&lt;"&amp;BL1)</f>
        <v>0</v>
      </c>
      <c r="BL3" s="507">
        <f>SUMIFS('Revenue Tracking'!$F$13:$F$30, 'Revenue Tracking'!$H$13:$H$30, "&gt;="&amp;BL1,'Revenue Tracking'!$H$13:$H$30, "&lt;"&amp;BM1)</f>
        <v>0</v>
      </c>
      <c r="BM3" s="507">
        <f>SUMIFS('Revenue Tracking'!$F$13:$F$30, 'Revenue Tracking'!$H$13:$H$30, "&gt;="&amp;BM1,'Revenue Tracking'!$H$13:$H$30, "&lt;"&amp;BN1)</f>
        <v>0</v>
      </c>
      <c r="BN3" s="507">
        <f>SUMIFS('Revenue Tracking'!$F$13:$F$30, 'Revenue Tracking'!$H$13:$H$30, "&gt;="&amp;BN1,'Revenue Tracking'!$H$13:$H$30, "&lt;"&amp;BO1)</f>
        <v>0</v>
      </c>
      <c r="BO3" s="507">
        <f>SUMIFS('Revenue Tracking'!$F$13:$F$30, 'Revenue Tracking'!$H$13:$H$30, "&gt;="&amp;BO1,'Revenue Tracking'!$H$13:$H$30, "&lt;"&amp;BP1)</f>
        <v>0</v>
      </c>
      <c r="BP3" s="507">
        <f>SUMIFS('Revenue Tracking'!$F$13:$F$30, 'Revenue Tracking'!$H$13:$H$30, "&gt;="&amp;BP1,'Revenue Tracking'!$H$13:$H$30, "&lt;"&amp;BQ1)</f>
        <v>0</v>
      </c>
      <c r="BQ3" s="507">
        <f>SUMIFS('Revenue Tracking'!$F$13:$F$30, 'Revenue Tracking'!$H$13:$H$30, "&gt;="&amp;BQ1,'Revenue Tracking'!$H$13:$H$30, "&lt;"&amp;BR1)</f>
        <v>0</v>
      </c>
      <c r="BR3" s="507">
        <f>SUMIFS('Revenue Tracking'!$F$13:$F$30, 'Revenue Tracking'!$H$13:$H$30, "&gt;="&amp;BR1,'Revenue Tracking'!$H$13:$H$30, "&lt;"&amp;BS1)</f>
        <v>0</v>
      </c>
      <c r="BS3" s="507">
        <f>SUMIFS('Revenue Tracking'!$F$13:$F$30, 'Revenue Tracking'!$H$13:$H$30, "&gt;="&amp;BS1,'Revenue Tracking'!$H$13:$H$30, "&lt;"&amp;BT1)</f>
        <v>0</v>
      </c>
      <c r="BT3" s="507">
        <f>SUMIFS('Revenue Tracking'!$F$13:$F$30, 'Revenue Tracking'!$H$13:$H$30, "&gt;="&amp;BT1,'Revenue Tracking'!$H$13:$H$30, "&lt;"&amp;BU1)</f>
        <v>0</v>
      </c>
      <c r="BU3" s="507">
        <f>SUMIFS('Revenue Tracking'!$F$13:$F$30, 'Revenue Tracking'!$H$13:$H$30, "&gt;="&amp;BU1,'Revenue Tracking'!$H$13:$H$30, "&lt;"&amp;BV1)</f>
        <v>0</v>
      </c>
      <c r="BV3" s="507">
        <f>SUMIFS('Revenue Tracking'!$F$13:$F$30, 'Revenue Tracking'!$H$13:$H$30, "&gt;="&amp;BV1,'Revenue Tracking'!$H$13:$H$30, "&lt;"&amp;EJ1)</f>
        <v>0</v>
      </c>
      <c r="BW3" s="507">
        <f>SUMIFS('Revenue Tracking'!$F$13:$F$30, 'Revenue Tracking'!$H$13:$H$30, "&gt;="&amp;BW1,'Revenue Tracking'!$H$13:$H$30, "&lt;"&amp;EK1)</f>
        <v>0</v>
      </c>
      <c r="BX3" s="507">
        <f>SUMIFS('Revenue Tracking'!$F$13:$F$30, 'Revenue Tracking'!$H$13:$H$30, "&gt;="&amp;BX1,'Revenue Tracking'!$H$13:$H$30, "&lt;"&amp;EL1)</f>
        <v>0</v>
      </c>
      <c r="BY3" s="507">
        <f>SUMIFS('Revenue Tracking'!$F$13:$F$30, 'Revenue Tracking'!$H$13:$H$30, "&gt;="&amp;BY1,'Revenue Tracking'!$H$13:$H$30, "&lt;"&amp;EM1)</f>
        <v>0</v>
      </c>
      <c r="BZ3" s="507">
        <f>SUMIFS('Revenue Tracking'!$F$13:$F$30, 'Revenue Tracking'!$H$13:$H$30, "&gt;="&amp;BZ1,'Revenue Tracking'!$H$13:$H$30, "&lt;"&amp;EN1)</f>
        <v>0</v>
      </c>
      <c r="CA3" s="507">
        <f>SUMIFS('Revenue Tracking'!$F$13:$F$30, 'Revenue Tracking'!$H$13:$H$30, "&gt;="&amp;CA1,'Revenue Tracking'!$H$13:$H$30, "&lt;"&amp;EO1)</f>
        <v>0</v>
      </c>
      <c r="CB3" s="507">
        <f>SUMIFS('Revenue Tracking'!$F$13:$F$30, 'Revenue Tracking'!$H$13:$H$30, "&gt;="&amp;CB1,'Revenue Tracking'!$H$13:$H$30, "&lt;"&amp;EP1)</f>
        <v>0</v>
      </c>
      <c r="CC3" s="507">
        <f>SUMIFS('Revenue Tracking'!$F$13:$F$30, 'Revenue Tracking'!$H$13:$H$30, "&gt;="&amp;CC1,'Revenue Tracking'!$H$13:$H$30, "&lt;"&amp;EQ1)</f>
        <v>0</v>
      </c>
      <c r="CD3" s="507">
        <f>SUMIFS('Revenue Tracking'!$F$13:$F$30, 'Revenue Tracking'!$H$13:$H$30, "&gt;="&amp;CD1,'Revenue Tracking'!$H$13:$H$30, "&lt;"&amp;ER1)</f>
        <v>0</v>
      </c>
      <c r="CE3" s="507">
        <f>SUMIFS('Revenue Tracking'!$F$13:$F$30, 'Revenue Tracking'!$H$13:$H$30, "&gt;="&amp;CE1,'Revenue Tracking'!$H$13:$H$30, "&lt;"&amp;ES1)</f>
        <v>0</v>
      </c>
      <c r="CF3" s="507">
        <f>SUMIFS('Revenue Tracking'!$F$13:$F$30, 'Revenue Tracking'!$H$13:$H$30, "&gt;="&amp;CF1,'Revenue Tracking'!$H$13:$H$30, "&lt;"&amp;ET1)</f>
        <v>0</v>
      </c>
      <c r="CG3" s="507">
        <f>SUMIFS('Revenue Tracking'!$F$13:$F$30, 'Revenue Tracking'!$H$13:$H$30, "&gt;="&amp;CG1,'Revenue Tracking'!$H$13:$H$30, "&lt;"&amp;EU1)</f>
        <v>0</v>
      </c>
      <c r="CH3" s="507">
        <f>SUMIFS('Revenue Tracking'!$F$13:$F$30, 'Revenue Tracking'!$H$13:$H$30, "&gt;="&amp;CH1,'Revenue Tracking'!$H$13:$H$30, "&lt;"&amp;EV1)</f>
        <v>0</v>
      </c>
      <c r="CI3" s="507">
        <f>SUMIFS('Revenue Tracking'!$F$13:$F$30, 'Revenue Tracking'!$H$13:$H$30, "&gt;="&amp;CI1,'Revenue Tracking'!$H$13:$H$30, "&lt;"&amp;EW1)</f>
        <v>0</v>
      </c>
      <c r="CJ3" s="507">
        <f>SUMIFS('Revenue Tracking'!$F$13:$F$30, 'Revenue Tracking'!$H$13:$H$30, "&gt;="&amp;CJ1,'Revenue Tracking'!$H$13:$H$30, "&lt;"&amp;EX1)</f>
        <v>0</v>
      </c>
      <c r="CK3" s="507">
        <f>SUMIFS('Revenue Tracking'!$F$13:$F$30, 'Revenue Tracking'!$H$13:$H$30, "&gt;="&amp;CK1,'Revenue Tracking'!$H$13:$H$30, "&lt;"&amp;EY1)</f>
        <v>0</v>
      </c>
      <c r="CL3" s="507">
        <f>SUMIFS('Revenue Tracking'!$F$13:$F$30, 'Revenue Tracking'!$H$13:$H$30, "&gt;="&amp;CL1,'Revenue Tracking'!$H$13:$H$30, "&lt;"&amp;EZ1)</f>
        <v>0</v>
      </c>
      <c r="CM3" s="507">
        <f>SUMIFS('Revenue Tracking'!$F$13:$F$30, 'Revenue Tracking'!$H$13:$H$30, "&gt;="&amp;CM1,'Revenue Tracking'!$H$13:$H$30, "&lt;"&amp;FA1)</f>
        <v>0</v>
      </c>
      <c r="CN3" s="507">
        <f>SUMIFS('Revenue Tracking'!$F$13:$F$30, 'Revenue Tracking'!$H$13:$H$30, "&gt;="&amp;CN1,'Revenue Tracking'!$H$13:$H$30, "&lt;"&amp;FB1)</f>
        <v>0</v>
      </c>
      <c r="CO3" s="507">
        <f>SUMIFS('Revenue Tracking'!$F$13:$F$30, 'Revenue Tracking'!$H$13:$H$30, "&gt;="&amp;CO1,'Revenue Tracking'!$H$13:$H$30, "&lt;"&amp;FC1)</f>
        <v>0</v>
      </c>
      <c r="CP3" s="507">
        <f>SUMIFS('Revenue Tracking'!$F$13:$F$30, 'Revenue Tracking'!$H$13:$H$30, "&gt;="&amp;CP1,'Revenue Tracking'!$H$13:$H$30, "&lt;"&amp;FD1)</f>
        <v>0</v>
      </c>
      <c r="CQ3" s="507">
        <f>SUMIFS('Revenue Tracking'!$F$13:$F$30, 'Revenue Tracking'!$H$13:$H$30, "&gt;="&amp;CQ1,'Revenue Tracking'!$H$13:$H$30, "&lt;"&amp;FE1)</f>
        <v>0</v>
      </c>
      <c r="CR3" s="507">
        <f>SUMIFS('Revenue Tracking'!$F$13:$F$30, 'Revenue Tracking'!$H$13:$H$30, "&gt;="&amp;CR1,'Revenue Tracking'!$H$13:$H$30, "&lt;"&amp;FF1)</f>
        <v>0</v>
      </c>
      <c r="CS3" s="507">
        <f>SUMIFS('Revenue Tracking'!$F$13:$F$30, 'Revenue Tracking'!$H$13:$H$30, "&gt;="&amp;CS1,'Revenue Tracking'!$H$13:$H$30, "&lt;"&amp;FG1)</f>
        <v>0</v>
      </c>
      <c r="CT3" s="507">
        <f>SUMIFS('Revenue Tracking'!$F$13:$F$30, 'Revenue Tracking'!$H$13:$H$30, "&gt;="&amp;CT1,'Revenue Tracking'!$H$13:$H$30, "&lt;"&amp;FH1)</f>
        <v>0</v>
      </c>
      <c r="CU3" s="507">
        <f>SUMIFS('Revenue Tracking'!$F$13:$F$30, 'Revenue Tracking'!$H$13:$H$30, "&gt;="&amp;CU1,'Revenue Tracking'!$H$13:$H$30, "&lt;"&amp;FI1)</f>
        <v>0</v>
      </c>
      <c r="CV3" s="507">
        <f>SUMIFS('Revenue Tracking'!$F$13:$F$30, 'Revenue Tracking'!$H$13:$H$30, "&gt;="&amp;CV1,'Revenue Tracking'!$H$13:$H$30, "&lt;"&amp;FJ1)</f>
        <v>0</v>
      </c>
      <c r="CW3" s="507">
        <f>SUMIFS('Revenue Tracking'!$F$13:$F$30, 'Revenue Tracking'!$H$13:$H$30, "&gt;="&amp;CW1,'Revenue Tracking'!$H$13:$H$30, "&lt;"&amp;FK1)</f>
        <v>0</v>
      </c>
      <c r="CX3" s="507">
        <f>SUMIFS('Revenue Tracking'!$F$13:$F$30, 'Revenue Tracking'!$H$13:$H$30, "&gt;="&amp;CX1,'Revenue Tracking'!$H$13:$H$30, "&lt;"&amp;FL1)</f>
        <v>0</v>
      </c>
      <c r="CY3" s="507">
        <f>SUMIFS('Revenue Tracking'!$F$13:$F$30, 'Revenue Tracking'!$H$13:$H$30, "&gt;="&amp;CY1,'Revenue Tracking'!$H$13:$H$30, "&lt;"&amp;FM1)</f>
        <v>0</v>
      </c>
      <c r="CZ3" s="507">
        <f>SUMIFS('Revenue Tracking'!$F$13:$F$30, 'Revenue Tracking'!$H$13:$H$30, "&gt;="&amp;CZ1,'Revenue Tracking'!$H$13:$H$30, "&lt;"&amp;FN1)</f>
        <v>0</v>
      </c>
      <c r="DA3" s="507">
        <f>SUMIFS('Revenue Tracking'!$F$13:$F$30, 'Revenue Tracking'!$H$13:$H$30, "&gt;="&amp;DA1,'Revenue Tracking'!$H$13:$H$30, "&lt;"&amp;FO1)</f>
        <v>0</v>
      </c>
      <c r="DB3" s="507">
        <f>SUMIFS('Revenue Tracking'!$F$13:$F$30, 'Revenue Tracking'!$H$13:$H$30, "&gt;="&amp;DB1,'Revenue Tracking'!$H$13:$H$30, "&lt;"&amp;FP1)</f>
        <v>0</v>
      </c>
      <c r="DC3" s="507">
        <f>SUMIFS('Revenue Tracking'!$F$13:$F$30, 'Revenue Tracking'!$H$13:$H$30, "&gt;="&amp;DC1,'Revenue Tracking'!$H$13:$H$30, "&lt;"&amp;FQ1)</f>
        <v>0</v>
      </c>
      <c r="DD3" s="507">
        <f>SUMIFS('Revenue Tracking'!$F$13:$F$30, 'Revenue Tracking'!$H$13:$H$30, "&gt;="&amp;DD1,'Revenue Tracking'!$H$13:$H$30, "&lt;"&amp;FR1)</f>
        <v>0</v>
      </c>
      <c r="DE3" s="507">
        <f>SUMIFS('Revenue Tracking'!$F$13:$F$30, 'Revenue Tracking'!$H$13:$H$30, "&gt;="&amp;DE1,'Revenue Tracking'!$H$13:$H$30, "&lt;"&amp;FS1)</f>
        <v>0</v>
      </c>
      <c r="DF3" s="507">
        <f>SUMIFS('Revenue Tracking'!$F$13:$F$30, 'Revenue Tracking'!$H$13:$H$30, "&gt;="&amp;DF1,'Revenue Tracking'!$H$13:$H$30, "&lt;"&amp;FT1)</f>
        <v>0</v>
      </c>
      <c r="DG3" s="507">
        <f>SUMIFS('Revenue Tracking'!$F$13:$F$30, 'Revenue Tracking'!$H$13:$H$30, "&gt;="&amp;DG1,'Revenue Tracking'!$H$13:$H$30, "&lt;"&amp;FU1)</f>
        <v>0</v>
      </c>
      <c r="DH3" s="507">
        <f>SUMIFS('Revenue Tracking'!$F$13:$F$30, 'Revenue Tracking'!$H$13:$H$30, "&gt;="&amp;DH1,'Revenue Tracking'!$H$13:$H$30, "&lt;"&amp;FV1)</f>
        <v>0</v>
      </c>
      <c r="DI3" s="507">
        <f>SUMIFS('Revenue Tracking'!$F$13:$F$30, 'Revenue Tracking'!$H$13:$H$30, "&gt;="&amp;DI1,'Revenue Tracking'!$H$13:$H$30, "&lt;"&amp;FW1)</f>
        <v>0</v>
      </c>
      <c r="DJ3" s="507">
        <f>SUMIFS('Revenue Tracking'!$F$13:$F$30, 'Revenue Tracking'!$H$13:$H$30, "&gt;="&amp;DJ1,'Revenue Tracking'!$H$13:$H$30, "&lt;"&amp;FX1)</f>
        <v>0</v>
      </c>
      <c r="DK3" s="507">
        <f>SUMIFS('Revenue Tracking'!$F$13:$F$30, 'Revenue Tracking'!$H$13:$H$30, "&gt;="&amp;DK1,'Revenue Tracking'!$H$13:$H$30, "&lt;"&amp;FY1)</f>
        <v>0</v>
      </c>
      <c r="DL3" s="507">
        <f>SUMIFS('Revenue Tracking'!$F$13:$F$30, 'Revenue Tracking'!$H$13:$H$30, "&gt;="&amp;DL1,'Revenue Tracking'!$H$13:$H$30, "&lt;"&amp;FZ1)</f>
        <v>0</v>
      </c>
      <c r="DM3" s="507">
        <f>SUMIFS('Revenue Tracking'!$F$13:$F$30, 'Revenue Tracking'!$H$13:$H$30, "&gt;="&amp;DM1,'Revenue Tracking'!$H$13:$H$30, "&lt;"&amp;GA1)</f>
        <v>0</v>
      </c>
      <c r="DN3" s="507">
        <f>SUMIFS('Revenue Tracking'!$F$13:$F$30, 'Revenue Tracking'!$H$13:$H$30, "&gt;="&amp;DN1,'Revenue Tracking'!$H$13:$H$30, "&lt;"&amp;GB1)</f>
        <v>0</v>
      </c>
      <c r="DO3" s="507">
        <f>SUMIFS('Revenue Tracking'!$F$13:$F$30, 'Revenue Tracking'!$H$13:$H$30, "&gt;="&amp;DO1,'Revenue Tracking'!$H$13:$H$30, "&lt;"&amp;GC1)</f>
        <v>0</v>
      </c>
      <c r="DP3" s="507">
        <f>SUMIFS('Revenue Tracking'!$F$13:$F$30, 'Revenue Tracking'!$H$13:$H$30, "&gt;="&amp;DP1,'Revenue Tracking'!$H$13:$H$30, "&lt;"&amp;GD1)</f>
        <v>0</v>
      </c>
      <c r="DQ3" s="507">
        <f>SUMIFS('Revenue Tracking'!$F$13:$F$30, 'Revenue Tracking'!$H$13:$H$30, "&gt;="&amp;DQ1,'Revenue Tracking'!$H$13:$H$30, "&lt;"&amp;GE1)</f>
        <v>0</v>
      </c>
      <c r="DR3" s="507">
        <f>SUMIFS('Revenue Tracking'!$F$13:$F$30, 'Revenue Tracking'!$H$13:$H$30, "&gt;="&amp;DR1,'Revenue Tracking'!$H$13:$H$30, "&lt;"&amp;GF1)</f>
        <v>0</v>
      </c>
      <c r="DS3" s="507">
        <f>SUMIFS('Revenue Tracking'!$F$13:$F$30, 'Revenue Tracking'!$H$13:$H$30, "&gt;="&amp;DS1,'Revenue Tracking'!$H$13:$H$30, "&lt;"&amp;GG1)</f>
        <v>0</v>
      </c>
      <c r="DT3" s="507">
        <f>SUMIFS('Revenue Tracking'!$F$13:$F$30, 'Revenue Tracking'!$H$13:$H$30, "&gt;="&amp;DT1,'Revenue Tracking'!$H$13:$H$30, "&lt;"&amp;GH1)</f>
        <v>0</v>
      </c>
      <c r="DU3" s="507">
        <f>SUMIFS('Revenue Tracking'!$F$13:$F$30, 'Revenue Tracking'!$H$13:$H$30, "&gt;="&amp;DU1,'Revenue Tracking'!$H$13:$H$30, "&lt;"&amp;GI1)</f>
        <v>0</v>
      </c>
      <c r="DV3" s="507">
        <f>SUMIFS('Revenue Tracking'!$F$13:$F$30, 'Revenue Tracking'!$H$13:$H$30, "&gt;="&amp;DV1,'Revenue Tracking'!$H$13:$H$30, "&lt;"&amp;GJ1)</f>
        <v>0</v>
      </c>
      <c r="DW3" s="507">
        <f>SUMIFS('Revenue Tracking'!$F$13:$F$30, 'Revenue Tracking'!$H$13:$H$30, "&gt;="&amp;DW1,'Revenue Tracking'!$H$13:$H$30, "&lt;"&amp;GK1)</f>
        <v>0</v>
      </c>
      <c r="DX3" s="507">
        <f>SUMIFS('Revenue Tracking'!$F$13:$F$30, 'Revenue Tracking'!$H$13:$H$30, "&gt;="&amp;DX1,'Revenue Tracking'!$H$13:$H$30, "&lt;"&amp;GL1)</f>
        <v>0</v>
      </c>
      <c r="DY3" s="507">
        <f>SUMIFS('Revenue Tracking'!$F$13:$F$30, 'Revenue Tracking'!$H$13:$H$30, "&gt;="&amp;DY1,'Revenue Tracking'!$H$13:$H$30, "&lt;"&amp;GM1)</f>
        <v>0</v>
      </c>
      <c r="DZ3" s="507">
        <f>SUMIFS('Revenue Tracking'!$F$13:$F$30, 'Revenue Tracking'!$H$13:$H$30, "&gt;="&amp;DZ1,'Revenue Tracking'!$H$13:$H$30, "&lt;"&amp;GN1)</f>
        <v>0</v>
      </c>
      <c r="EA3" s="507">
        <f>SUMIFS('Revenue Tracking'!$F$13:$F$30, 'Revenue Tracking'!$H$13:$H$30, "&gt;="&amp;EA1,'Revenue Tracking'!$H$13:$H$30, "&lt;"&amp;GO1)</f>
        <v>0</v>
      </c>
      <c r="EB3" s="507">
        <f>SUMIFS('Revenue Tracking'!$F$13:$F$30, 'Revenue Tracking'!$H$13:$H$30, "&gt;="&amp;EB1,'Revenue Tracking'!$H$13:$H$30, "&lt;"&amp;GP1)</f>
        <v>0</v>
      </c>
      <c r="EC3" s="507">
        <f>SUMIFS('Revenue Tracking'!$F$13:$F$30, 'Revenue Tracking'!$H$13:$H$30, "&gt;="&amp;EC1,'Revenue Tracking'!$H$13:$H$30, "&lt;"&amp;GQ1)</f>
        <v>0</v>
      </c>
      <c r="ED3" s="507">
        <f>SUMIFS('Revenue Tracking'!$F$13:$F$30, 'Revenue Tracking'!$H$13:$H$30, "&gt;="&amp;ED1,'Revenue Tracking'!$H$13:$H$30, "&lt;"&amp;GR1)</f>
        <v>0</v>
      </c>
      <c r="EE3" s="507">
        <f>SUMIFS('Revenue Tracking'!$F$13:$F$30, 'Revenue Tracking'!$H$13:$H$30, "&gt;="&amp;EE1,'Revenue Tracking'!$H$13:$H$30, "&lt;"&amp;GS1)</f>
        <v>0</v>
      </c>
      <c r="EF3" s="507">
        <f>SUMIFS('Revenue Tracking'!$F$13:$F$30, 'Revenue Tracking'!$H$13:$H$30, "&gt;="&amp;EF1,'Revenue Tracking'!$H$13:$H$30, "&lt;"&amp;GT1)</f>
        <v>0</v>
      </c>
      <c r="EG3" s="507">
        <f>SUMIFS('Revenue Tracking'!$F$13:$F$30, 'Revenue Tracking'!$H$13:$H$30, "&gt;="&amp;EG1,'Revenue Tracking'!$H$13:$H$30, "&lt;"&amp;GU1)</f>
        <v>0</v>
      </c>
      <c r="EH3" s="507">
        <f>SUMIFS('Revenue Tracking'!$F$13:$F$30, 'Revenue Tracking'!$H$13:$H$30, "&gt;="&amp;EH1,'Revenue Tracking'!$H$13:$H$30, "&lt;"&amp;GV1)</f>
        <v>0</v>
      </c>
      <c r="EI3" s="507">
        <f>SUMIFS('Revenue Tracking'!$F$13:$F$30, 'Revenue Tracking'!$H$13:$H$30, "&gt;="&amp;EI1,'Revenue Tracking'!$H$13:$H$30, "&lt;"&amp;GW1)</f>
        <v>0</v>
      </c>
    </row>
    <row r="4" spans="1:617">
      <c r="A4" s="956"/>
      <c r="B4" s="494" t="s">
        <v>448</v>
      </c>
      <c r="C4" s="499"/>
      <c r="D4" s="499"/>
      <c r="E4" s="489"/>
      <c r="F4" s="507">
        <f>F3</f>
        <v>0</v>
      </c>
      <c r="G4" s="507">
        <f>F4+G3</f>
        <v>10469504.38486355</v>
      </c>
      <c r="H4" s="507">
        <f t="shared" ref="H4:BS4" si="67">G4+H3</f>
        <v>10469504.38486355</v>
      </c>
      <c r="I4" s="507">
        <f t="shared" si="67"/>
        <v>10469504.38486355</v>
      </c>
      <c r="J4" s="507">
        <f t="shared" si="67"/>
        <v>10469504.38486355</v>
      </c>
      <c r="K4" s="507">
        <f t="shared" si="67"/>
        <v>10469504.38486355</v>
      </c>
      <c r="L4" s="507">
        <f t="shared" si="67"/>
        <v>10469504.38486355</v>
      </c>
      <c r="M4" s="507">
        <f t="shared" si="67"/>
        <v>10469504.38486355</v>
      </c>
      <c r="N4" s="507">
        <f t="shared" si="67"/>
        <v>10469504.38486355</v>
      </c>
      <c r="O4" s="507">
        <f t="shared" si="67"/>
        <v>10469504.38486355</v>
      </c>
      <c r="P4" s="507">
        <f t="shared" si="67"/>
        <v>10469504.38486355</v>
      </c>
      <c r="Q4" s="507">
        <f t="shared" si="67"/>
        <v>10469504.38486355</v>
      </c>
      <c r="R4" s="507">
        <f t="shared" si="67"/>
        <v>10469504.38486355</v>
      </c>
      <c r="S4" s="507">
        <f t="shared" si="67"/>
        <v>10469504.38486355</v>
      </c>
      <c r="T4" s="507">
        <f t="shared" si="67"/>
        <v>10469504.38486355</v>
      </c>
      <c r="U4" s="507">
        <f t="shared" si="67"/>
        <v>10469504.38486355</v>
      </c>
      <c r="V4" s="507">
        <f t="shared" si="67"/>
        <v>10469504.38486355</v>
      </c>
      <c r="W4" s="507">
        <f t="shared" si="67"/>
        <v>10469504.38486355</v>
      </c>
      <c r="X4" s="507">
        <f t="shared" si="67"/>
        <v>10469504.38486355</v>
      </c>
      <c r="Y4" s="507">
        <f t="shared" si="67"/>
        <v>10469504.38486355</v>
      </c>
      <c r="Z4" s="507">
        <f t="shared" si="67"/>
        <v>10469504.38486355</v>
      </c>
      <c r="AA4" s="507">
        <f t="shared" si="67"/>
        <v>10469504.38486355</v>
      </c>
      <c r="AB4" s="507">
        <f t="shared" si="67"/>
        <v>10469504.38486355</v>
      </c>
      <c r="AC4" s="507">
        <f t="shared" si="67"/>
        <v>10469504.38486355</v>
      </c>
      <c r="AD4" s="507">
        <f t="shared" si="67"/>
        <v>10469504.38486355</v>
      </c>
      <c r="AE4" s="507">
        <f t="shared" si="67"/>
        <v>10469504.38486355</v>
      </c>
      <c r="AF4" s="507">
        <f t="shared" si="67"/>
        <v>15704256.577295318</v>
      </c>
      <c r="AG4" s="507">
        <f t="shared" si="67"/>
        <v>15704256.577295318</v>
      </c>
      <c r="AH4" s="507">
        <f t="shared" si="67"/>
        <v>15704256.577295318</v>
      </c>
      <c r="AI4" s="507">
        <f t="shared" si="67"/>
        <v>15704256.577295318</v>
      </c>
      <c r="AJ4" s="507">
        <f t="shared" si="67"/>
        <v>15704256.577295318</v>
      </c>
      <c r="AK4" s="507">
        <f t="shared" si="67"/>
        <v>15704256.577295318</v>
      </c>
      <c r="AL4" s="507">
        <f t="shared" si="67"/>
        <v>15704256.577295318</v>
      </c>
      <c r="AM4" s="507">
        <f t="shared" si="67"/>
        <v>15704256.577295318</v>
      </c>
      <c r="AN4" s="507">
        <f t="shared" si="67"/>
        <v>17798157.454268027</v>
      </c>
      <c r="AO4" s="507">
        <f t="shared" si="67"/>
        <v>17798157.454268027</v>
      </c>
      <c r="AP4" s="507">
        <f t="shared" si="67"/>
        <v>17798157.454268027</v>
      </c>
      <c r="AQ4" s="507">
        <f t="shared" si="67"/>
        <v>17798157.454268027</v>
      </c>
      <c r="AR4" s="507">
        <f t="shared" si="67"/>
        <v>17798157.454268027</v>
      </c>
      <c r="AS4" s="507">
        <f t="shared" si="67"/>
        <v>17798157.454268027</v>
      </c>
      <c r="AT4" s="507">
        <f t="shared" si="67"/>
        <v>17798157.454268027</v>
      </c>
      <c r="AU4" s="507">
        <f t="shared" si="67"/>
        <v>17798157.454268027</v>
      </c>
      <c r="AV4" s="507">
        <f t="shared" si="67"/>
        <v>17798157.454268027</v>
      </c>
      <c r="AW4" s="507">
        <f t="shared" si="67"/>
        <v>17798157.454268027</v>
      </c>
      <c r="AX4" s="507">
        <f t="shared" si="67"/>
        <v>17798157.454268027</v>
      </c>
      <c r="AY4" s="507">
        <f t="shared" si="67"/>
        <v>17798157.454268027</v>
      </c>
      <c r="AZ4" s="507">
        <f t="shared" si="67"/>
        <v>17798157.454268027</v>
      </c>
      <c r="BA4" s="507">
        <f t="shared" si="67"/>
        <v>17798157.454268027</v>
      </c>
      <c r="BB4" s="507">
        <f t="shared" si="67"/>
        <v>17798157.454268027</v>
      </c>
      <c r="BC4" s="507">
        <f t="shared" si="67"/>
        <v>17798157.454268027</v>
      </c>
      <c r="BD4" s="507">
        <f t="shared" si="67"/>
        <v>19892058.331240736</v>
      </c>
      <c r="BE4" s="507">
        <f t="shared" si="67"/>
        <v>19892058.331240736</v>
      </c>
      <c r="BF4" s="507">
        <f t="shared" si="67"/>
        <v>19892058.331240736</v>
      </c>
      <c r="BG4" s="507">
        <f t="shared" si="67"/>
        <v>19892058.331240736</v>
      </c>
      <c r="BH4" s="507">
        <f t="shared" si="67"/>
        <v>19892058.331240736</v>
      </c>
      <c r="BI4" s="507">
        <f t="shared" si="67"/>
        <v>19892058.331240736</v>
      </c>
      <c r="BJ4" s="507">
        <f t="shared" si="67"/>
        <v>20939008.769727092</v>
      </c>
      <c r="BK4" s="507">
        <f t="shared" si="67"/>
        <v>20939008.769727092</v>
      </c>
      <c r="BL4" s="507">
        <f t="shared" si="67"/>
        <v>20939008.769727092</v>
      </c>
      <c r="BM4" s="507">
        <f t="shared" si="67"/>
        <v>20939008.769727092</v>
      </c>
      <c r="BN4" s="507">
        <f t="shared" si="67"/>
        <v>20939008.769727092</v>
      </c>
      <c r="BO4" s="507">
        <f t="shared" si="67"/>
        <v>20939008.769727092</v>
      </c>
      <c r="BP4" s="507">
        <f t="shared" si="67"/>
        <v>20939008.769727092</v>
      </c>
      <c r="BQ4" s="507">
        <f t="shared" si="67"/>
        <v>20939008.769727092</v>
      </c>
      <c r="BR4" s="507">
        <f t="shared" si="67"/>
        <v>20939008.769727092</v>
      </c>
      <c r="BS4" s="507">
        <f t="shared" si="67"/>
        <v>20939008.769727092</v>
      </c>
      <c r="BT4" s="507">
        <f t="shared" ref="BT4:BV4" si="68">BS4+BT3</f>
        <v>20939008.769727092</v>
      </c>
      <c r="BU4" s="507">
        <f t="shared" si="68"/>
        <v>20939008.769727092</v>
      </c>
      <c r="BV4" s="507">
        <f t="shared" si="68"/>
        <v>20939008.769727092</v>
      </c>
      <c r="BW4" s="507">
        <f t="shared" ref="BW4" si="69">BV4+BW3</f>
        <v>20939008.769727092</v>
      </c>
      <c r="BX4" s="507">
        <f t="shared" ref="BX4" si="70">BW4+BX3</f>
        <v>20939008.769727092</v>
      </c>
      <c r="BY4" s="507">
        <f t="shared" ref="BY4" si="71">BX4+BY3</f>
        <v>20939008.769727092</v>
      </c>
      <c r="BZ4" s="507">
        <f t="shared" ref="BZ4" si="72">BY4+BZ3</f>
        <v>20939008.769727092</v>
      </c>
      <c r="CA4" s="507">
        <f t="shared" ref="CA4" si="73">BZ4+CA3</f>
        <v>20939008.769727092</v>
      </c>
      <c r="CB4" s="507">
        <f t="shared" ref="CB4" si="74">CA4+CB3</f>
        <v>20939008.769727092</v>
      </c>
      <c r="CC4" s="507">
        <f t="shared" ref="CC4" si="75">CB4+CC3</f>
        <v>20939008.769727092</v>
      </c>
      <c r="CD4" s="507">
        <f t="shared" ref="CD4" si="76">CC4+CD3</f>
        <v>20939008.769727092</v>
      </c>
      <c r="CE4" s="507">
        <f t="shared" ref="CE4" si="77">CD4+CE3</f>
        <v>20939008.769727092</v>
      </c>
      <c r="CF4" s="507">
        <f t="shared" ref="CF4" si="78">CE4+CF3</f>
        <v>20939008.769727092</v>
      </c>
      <c r="CG4" s="507">
        <f t="shared" ref="CG4" si="79">CF4+CG3</f>
        <v>20939008.769727092</v>
      </c>
      <c r="CH4" s="507">
        <f t="shared" ref="CH4" si="80">CG4+CH3</f>
        <v>20939008.769727092</v>
      </c>
      <c r="CI4" s="507">
        <f t="shared" ref="CI4" si="81">CH4+CI3</f>
        <v>20939008.769727092</v>
      </c>
      <c r="CJ4" s="507">
        <f t="shared" ref="CJ4" si="82">CI4+CJ3</f>
        <v>20939008.769727092</v>
      </c>
      <c r="CK4" s="507">
        <f t="shared" ref="CK4" si="83">CJ4+CK3</f>
        <v>20939008.769727092</v>
      </c>
      <c r="CL4" s="507">
        <f t="shared" ref="CL4" si="84">CK4+CL3</f>
        <v>20939008.769727092</v>
      </c>
      <c r="CM4" s="507">
        <f t="shared" ref="CM4" si="85">CL4+CM3</f>
        <v>20939008.769727092</v>
      </c>
      <c r="CN4" s="507">
        <f t="shared" ref="CN4" si="86">CM4+CN3</f>
        <v>20939008.769727092</v>
      </c>
      <c r="CO4" s="507">
        <f t="shared" ref="CO4" si="87">CN4+CO3</f>
        <v>20939008.769727092</v>
      </c>
      <c r="CP4" s="507">
        <f t="shared" ref="CP4" si="88">CO4+CP3</f>
        <v>20939008.769727092</v>
      </c>
      <c r="CQ4" s="507">
        <f t="shared" ref="CQ4" si="89">CP4+CQ3</f>
        <v>20939008.769727092</v>
      </c>
      <c r="CR4" s="507">
        <f t="shared" ref="CR4" si="90">CQ4+CR3</f>
        <v>20939008.769727092</v>
      </c>
      <c r="CS4" s="507">
        <f t="shared" ref="CS4" si="91">CR4+CS3</f>
        <v>20939008.769727092</v>
      </c>
      <c r="CT4" s="507">
        <f t="shared" ref="CT4" si="92">CS4+CT3</f>
        <v>20939008.769727092</v>
      </c>
      <c r="CU4" s="507">
        <f t="shared" ref="CU4" si="93">CT4+CU3</f>
        <v>20939008.769727092</v>
      </c>
      <c r="CV4" s="507">
        <f t="shared" ref="CV4" si="94">CU4+CV3</f>
        <v>20939008.769727092</v>
      </c>
      <c r="CW4" s="507">
        <f t="shared" ref="CW4" si="95">CV4+CW3</f>
        <v>20939008.769727092</v>
      </c>
      <c r="CX4" s="507">
        <f t="shared" ref="CX4" si="96">CW4+CX3</f>
        <v>20939008.769727092</v>
      </c>
      <c r="CY4" s="507">
        <f t="shared" ref="CY4" si="97">CX4+CY3</f>
        <v>20939008.769727092</v>
      </c>
      <c r="CZ4" s="507">
        <f t="shared" ref="CZ4" si="98">CY4+CZ3</f>
        <v>20939008.769727092</v>
      </c>
      <c r="DA4" s="507">
        <f t="shared" ref="DA4" si="99">CZ4+DA3</f>
        <v>20939008.769727092</v>
      </c>
      <c r="DB4" s="507">
        <f t="shared" ref="DB4" si="100">DA4+DB3</f>
        <v>20939008.769727092</v>
      </c>
      <c r="DC4" s="507">
        <f t="shared" ref="DC4" si="101">DB4+DC3</f>
        <v>20939008.769727092</v>
      </c>
      <c r="DD4" s="507">
        <f t="shared" ref="DD4" si="102">DC4+DD3</f>
        <v>20939008.769727092</v>
      </c>
      <c r="DE4" s="507">
        <f t="shared" ref="DE4" si="103">DD4+DE3</f>
        <v>20939008.769727092</v>
      </c>
      <c r="DF4" s="507">
        <f t="shared" ref="DF4" si="104">DE4+DF3</f>
        <v>20939008.769727092</v>
      </c>
      <c r="DG4" s="507">
        <f t="shared" ref="DG4" si="105">DF4+DG3</f>
        <v>20939008.769727092</v>
      </c>
      <c r="DH4" s="507">
        <f t="shared" ref="DH4" si="106">DG4+DH3</f>
        <v>20939008.769727092</v>
      </c>
      <c r="DI4" s="507">
        <f t="shared" ref="DI4" si="107">DH4+DI3</f>
        <v>20939008.769727092</v>
      </c>
      <c r="DJ4" s="507">
        <f t="shared" ref="DJ4" si="108">DI4+DJ3</f>
        <v>20939008.769727092</v>
      </c>
      <c r="DK4" s="507">
        <f t="shared" ref="DK4" si="109">DJ4+DK3</f>
        <v>20939008.769727092</v>
      </c>
      <c r="DL4" s="507">
        <f t="shared" ref="DL4" si="110">DK4+DL3</f>
        <v>20939008.769727092</v>
      </c>
      <c r="DM4" s="507">
        <f t="shared" ref="DM4" si="111">DL4+DM3</f>
        <v>20939008.769727092</v>
      </c>
      <c r="DN4" s="507">
        <f t="shared" ref="DN4" si="112">DM4+DN3</f>
        <v>20939008.769727092</v>
      </c>
      <c r="DO4" s="507">
        <f t="shared" ref="DO4" si="113">DN4+DO3</f>
        <v>20939008.769727092</v>
      </c>
      <c r="DP4" s="507">
        <f t="shared" ref="DP4" si="114">DO4+DP3</f>
        <v>20939008.769727092</v>
      </c>
      <c r="DQ4" s="507">
        <f t="shared" ref="DQ4" si="115">DP4+DQ3</f>
        <v>20939008.769727092</v>
      </c>
      <c r="DR4" s="507">
        <f t="shared" ref="DR4" si="116">DQ4+DR3</f>
        <v>20939008.769727092</v>
      </c>
      <c r="DS4" s="507">
        <f t="shared" ref="DS4" si="117">DR4+DS3</f>
        <v>20939008.769727092</v>
      </c>
      <c r="DT4" s="507">
        <f t="shared" ref="DT4" si="118">DS4+DT3</f>
        <v>20939008.769727092</v>
      </c>
      <c r="DU4" s="507">
        <f t="shared" ref="DU4" si="119">DT4+DU3</f>
        <v>20939008.769727092</v>
      </c>
      <c r="DV4" s="507">
        <f t="shared" ref="DV4" si="120">DU4+DV3</f>
        <v>20939008.769727092</v>
      </c>
      <c r="DW4" s="507">
        <f t="shared" ref="DW4" si="121">DV4+DW3</f>
        <v>20939008.769727092</v>
      </c>
      <c r="DX4" s="507">
        <f t="shared" ref="DX4" si="122">DW4+DX3</f>
        <v>20939008.769727092</v>
      </c>
      <c r="DY4" s="507">
        <f t="shared" ref="DY4" si="123">DX4+DY3</f>
        <v>20939008.769727092</v>
      </c>
      <c r="DZ4" s="507">
        <f t="shared" ref="DZ4" si="124">DY4+DZ3</f>
        <v>20939008.769727092</v>
      </c>
      <c r="EA4" s="507">
        <f t="shared" ref="EA4" si="125">DZ4+EA3</f>
        <v>20939008.769727092</v>
      </c>
      <c r="EB4" s="507">
        <f t="shared" ref="EB4" si="126">EA4+EB3</f>
        <v>20939008.769727092</v>
      </c>
      <c r="EC4" s="507">
        <f t="shared" ref="EC4" si="127">EB4+EC3</f>
        <v>20939008.769727092</v>
      </c>
      <c r="ED4" s="507">
        <f t="shared" ref="ED4" si="128">EC4+ED3</f>
        <v>20939008.769727092</v>
      </c>
      <c r="EE4" s="507">
        <f t="shared" ref="EE4" si="129">ED4+EE3</f>
        <v>20939008.769727092</v>
      </c>
      <c r="EF4" s="507">
        <f t="shared" ref="EF4" si="130">EE4+EF3</f>
        <v>20939008.769727092</v>
      </c>
      <c r="EG4" s="507">
        <f t="shared" ref="EG4" si="131">EF4+EG3</f>
        <v>20939008.769727092</v>
      </c>
      <c r="EH4" s="507">
        <f t="shared" ref="EH4" si="132">EG4+EH3</f>
        <v>20939008.769727092</v>
      </c>
      <c r="EI4" s="507">
        <f t="shared" ref="EI4" si="133">EH4+EI3</f>
        <v>20939008.769727092</v>
      </c>
    </row>
    <row r="5" spans="1:617" s="444" customFormat="1">
      <c r="A5" s="956"/>
      <c r="B5" s="496" t="s">
        <v>64</v>
      </c>
      <c r="C5" s="497">
        <f>'Revenue Tracking'!D5</f>
        <v>18682949.951333337</v>
      </c>
      <c r="D5" s="497">
        <f>SUM(F5:BR5)</f>
        <v>18682949.951333337</v>
      </c>
      <c r="E5" s="489"/>
      <c r="F5" s="508"/>
      <c r="G5" s="508">
        <f>SUMIFS('Expenditure Breakdown'!$G$6:$G$212, 'Expenditure Breakdown'!$H$6:$H$212, "&gt;="&amp;G1,'Expenditure Breakdown'!$H$6:$H$212, "&lt;"&amp;H1)</f>
        <v>0</v>
      </c>
      <c r="H5" s="508">
        <f>SUMIFS('Expenditure Breakdown'!$G$6:$G$212, 'Expenditure Breakdown'!$H$6:$H$212, "&gt;="&amp;H1,'Expenditure Breakdown'!$H$6:$H$212, "&lt;"&amp;I1)</f>
        <v>0</v>
      </c>
      <c r="I5" s="508">
        <f>SUMIFS('Expenditure Breakdown'!$G$6:$G$212, 'Expenditure Breakdown'!$H$6:$H$212, "&gt;="&amp;I1,'Expenditure Breakdown'!$H$6:$H$212, "&lt;"&amp;J1)</f>
        <v>0</v>
      </c>
      <c r="J5" s="508">
        <f>SUMIFS('Expenditure Breakdown'!$G$6:$G$212, 'Expenditure Breakdown'!$H$6:$H$212, "&gt;="&amp;J1,'Expenditure Breakdown'!$H$6:$H$212, "&lt;"&amp;K1)</f>
        <v>897757.52333333332</v>
      </c>
      <c r="K5" s="508">
        <f>SUMIFS('Expenditure Breakdown'!$G$6:$G$212, 'Expenditure Breakdown'!$H$6:$H$212, "&gt;="&amp;K1,'Expenditure Breakdown'!$H$6:$H$212, "&lt;"&amp;L1)</f>
        <v>0</v>
      </c>
      <c r="L5" s="508">
        <f>SUMIFS('Expenditure Breakdown'!$G$6:$G$212, 'Expenditure Breakdown'!$H$6:$H$212, "&gt;="&amp;L1,'Expenditure Breakdown'!$H$6:$H$212, "&lt;"&amp;M1)</f>
        <v>0</v>
      </c>
      <c r="M5" s="508">
        <f>SUMIFS('Expenditure Breakdown'!$G$6:$G$212, 'Expenditure Breakdown'!$H$6:$H$212, "&gt;="&amp;M1,'Expenditure Breakdown'!$H$6:$H$212, "&lt;"&amp;N1)</f>
        <v>3567</v>
      </c>
      <c r="N5" s="508">
        <f>SUMIFS('Expenditure Breakdown'!$G$6:$G$212, 'Expenditure Breakdown'!$H$6:$H$212, "&gt;="&amp;N1,'Expenditure Breakdown'!$H$6:$H$212, "&lt;"&amp;O1)</f>
        <v>0</v>
      </c>
      <c r="O5" s="508">
        <f>SUMIFS('Expenditure Breakdown'!$G$6:$G$212, 'Expenditure Breakdown'!$H$6:$H$212, "&gt;="&amp;O1,'Expenditure Breakdown'!$H$6:$H$212, "&lt;"&amp;P1)</f>
        <v>0</v>
      </c>
      <c r="P5" s="508">
        <f>SUMIFS('Expenditure Breakdown'!$G$6:$G$212, 'Expenditure Breakdown'!$H$6:$H$212, "&gt;="&amp;P1,'Expenditure Breakdown'!$H$6:$H$212, "&lt;"&amp;Q1)</f>
        <v>0</v>
      </c>
      <c r="Q5" s="508">
        <f>SUMIFS('Expenditure Breakdown'!$G$6:$G$212, 'Expenditure Breakdown'!$H$6:$H$212, "&gt;="&amp;Q1,'Expenditure Breakdown'!$H$6:$H$212, "&lt;"&amp;R1)</f>
        <v>0</v>
      </c>
      <c r="R5" s="508">
        <f>SUMIFS('Expenditure Breakdown'!$G$6:$G$212, 'Expenditure Breakdown'!$H$6:$H$212, "&gt;="&amp;R1,'Expenditure Breakdown'!$H$6:$H$212, "&lt;"&amp;S1)</f>
        <v>0</v>
      </c>
      <c r="S5" s="508">
        <f>SUMIFS('Expenditure Breakdown'!$G$6:$G$212, 'Expenditure Breakdown'!$H$6:$H$212, "&gt;="&amp;S1,'Expenditure Breakdown'!$H$6:$H$212, "&lt;"&amp;T1)</f>
        <v>4530000</v>
      </c>
      <c r="T5" s="508">
        <f>SUMIFS('Expenditure Breakdown'!$G$6:$G$212, 'Expenditure Breakdown'!$H$6:$H$212, "&gt;="&amp;T1,'Expenditure Breakdown'!$H$6:$H$212, "&lt;"&amp;U1)</f>
        <v>0</v>
      </c>
      <c r="U5" s="508">
        <f>SUMIFS('Expenditure Breakdown'!$G$6:$G$212, 'Expenditure Breakdown'!$H$6:$H$212, "&gt;="&amp;U1,'Expenditure Breakdown'!$H$6:$H$212, "&lt;"&amp;V1)</f>
        <v>0</v>
      </c>
      <c r="V5" s="508">
        <f>SUMIFS('Expenditure Breakdown'!$G$6:$G$212, 'Expenditure Breakdown'!$H$6:$H$212, "&gt;="&amp;V1,'Expenditure Breakdown'!$H$6:$H$212, "&lt;"&amp;W1)</f>
        <v>0</v>
      </c>
      <c r="W5" s="508">
        <f>SUMIFS('Expenditure Breakdown'!$G$6:$G$212, 'Expenditure Breakdown'!$H$6:$H$212, "&gt;="&amp;W1,'Expenditure Breakdown'!$H$6:$H$212, "&lt;"&amp;X1)</f>
        <v>0</v>
      </c>
      <c r="X5" s="508">
        <f>SUMIFS('Expenditure Breakdown'!$G$6:$G$212, 'Expenditure Breakdown'!$H$6:$H$212, "&gt;="&amp;X1,'Expenditure Breakdown'!$H$6:$H$212, "&lt;"&amp;Y1)</f>
        <v>961855.32900000003</v>
      </c>
      <c r="Y5" s="508">
        <f>SUMIFS('Expenditure Breakdown'!$G$6:$G$212, 'Expenditure Breakdown'!$H$6:$H$212, "&gt;="&amp;Y1,'Expenditure Breakdown'!$H$6:$H$212, "&lt;"&amp;Z1)</f>
        <v>860440.58100000012</v>
      </c>
      <c r="Z5" s="508">
        <f>SUMIFS('Expenditure Breakdown'!$G$6:$G$212, 'Expenditure Breakdown'!$H$6:$H$212, "&gt;="&amp;Z1,'Expenditure Breakdown'!$H$6:$H$212, "&lt;"&amp;AA1)</f>
        <v>0</v>
      </c>
      <c r="AA5" s="508">
        <f>SUMIFS('Expenditure Breakdown'!$G$6:$G$212, 'Expenditure Breakdown'!$H$6:$H$212, "&gt;="&amp;AA1,'Expenditure Breakdown'!$H$6:$H$212, "&lt;"&amp;AB1)</f>
        <v>0</v>
      </c>
      <c r="AB5" s="508">
        <f>SUMIFS('Expenditure Breakdown'!$G$6:$G$212, 'Expenditure Breakdown'!$H$6:$H$212, "&gt;="&amp;AB1,'Expenditure Breakdown'!$H$6:$H$212, "&lt;"&amp;AC1)</f>
        <v>0</v>
      </c>
      <c r="AC5" s="508">
        <f>SUMIFS('Expenditure Breakdown'!$G$6:$G$212, 'Expenditure Breakdown'!$H$6:$H$212, "&gt;="&amp;AC1,'Expenditure Breakdown'!$H$6:$H$212, "&lt;"&amp;AD1)</f>
        <v>8268944.2290000003</v>
      </c>
      <c r="AD5" s="508">
        <f>SUMIFS('Expenditure Breakdown'!$G$6:$G$212, 'Expenditure Breakdown'!$H$6:$H$212, "&gt;="&amp;AD1,'Expenditure Breakdown'!$H$6:$H$212, "&lt;"&amp;AE1)</f>
        <v>0</v>
      </c>
      <c r="AE5" s="508">
        <f>SUMIFS('Expenditure Breakdown'!$G$6:$G$212, 'Expenditure Breakdown'!$H$6:$H$212, "&gt;="&amp;AE1,'Expenditure Breakdown'!$H$6:$H$212, "&lt;"&amp;AF1)</f>
        <v>1041000</v>
      </c>
      <c r="AF5" s="508">
        <f>SUMIFS('Expenditure Breakdown'!$G$6:$G$212, 'Expenditure Breakdown'!$H$6:$H$212, "&gt;="&amp;AF1,'Expenditure Breakdown'!$H$6:$H$212, "&lt;"&amp;AG1)</f>
        <v>0</v>
      </c>
      <c r="AG5" s="508">
        <f>SUMIFS('Expenditure Breakdown'!$G$6:$G$212, 'Expenditure Breakdown'!$H$6:$H$212, "&gt;="&amp;AG1,'Expenditure Breakdown'!$H$6:$H$212, "&lt;"&amp;AH1)</f>
        <v>0</v>
      </c>
      <c r="AH5" s="508">
        <f>SUMIFS('Expenditure Breakdown'!$G$6:$G$212, 'Expenditure Breakdown'!$H$6:$H$212, "&gt;="&amp;AH1,'Expenditure Breakdown'!$H$6:$H$212, "&lt;"&amp;AI1)</f>
        <v>0</v>
      </c>
      <c r="AI5" s="508">
        <f>SUMIFS('Expenditure Breakdown'!$G$6:$G$212, 'Expenditure Breakdown'!$H$6:$H$212, "&gt;="&amp;AI1,'Expenditure Breakdown'!$H$6:$H$212, "&lt;"&amp;AJ1)</f>
        <v>0</v>
      </c>
      <c r="AJ5" s="508">
        <f>SUMIFS('Expenditure Breakdown'!$G$6:$G$212, 'Expenditure Breakdown'!$H$6:$H$212, "&gt;="&amp;AJ1,'Expenditure Breakdown'!$H$6:$H$212, "&lt;"&amp;AK1)</f>
        <v>0</v>
      </c>
      <c r="AK5" s="508">
        <f>SUMIFS('Expenditure Breakdown'!$G$6:$G$212, 'Expenditure Breakdown'!$H$6:$H$212, "&gt;="&amp;AK1,'Expenditure Breakdown'!$H$6:$H$212, "&lt;"&amp;AL1)</f>
        <v>0</v>
      </c>
      <c r="AL5" s="508">
        <f>SUMIFS('Expenditure Breakdown'!$G$6:$G$212, 'Expenditure Breakdown'!$H$6:$H$212, "&gt;="&amp;AL1,'Expenditure Breakdown'!$H$6:$H$212, "&lt;"&amp;AM1)</f>
        <v>0</v>
      </c>
      <c r="AM5" s="508">
        <f>SUMIFS('Expenditure Breakdown'!$G$6:$G$212, 'Expenditure Breakdown'!$H$6:$H$212, "&gt;="&amp;AM1,'Expenditure Breakdown'!$H$6:$H$212, "&lt;"&amp;AN1)</f>
        <v>0</v>
      </c>
      <c r="AN5" s="508">
        <f>SUMIFS('Expenditure Breakdown'!$G$6:$G$212, 'Expenditure Breakdown'!$H$6:$H$212, "&gt;="&amp;AN1,'Expenditure Breakdown'!$H$6:$H$212, "&lt;"&amp;AO1)</f>
        <v>1205575.689</v>
      </c>
      <c r="AO5" s="508">
        <f>SUMIFS('Expenditure Breakdown'!$G$6:$G$212, 'Expenditure Breakdown'!$H$6:$H$212, "&gt;="&amp;AO1,'Expenditure Breakdown'!$H$6:$H$212, "&lt;"&amp;AP1)</f>
        <v>0</v>
      </c>
      <c r="AP5" s="508">
        <f>SUMIFS('Expenditure Breakdown'!$G$6:$G$212, 'Expenditure Breakdown'!$H$6:$H$212, "&gt;="&amp;AP1,'Expenditure Breakdown'!$H$6:$H$212, "&lt;"&amp;AQ1)</f>
        <v>0</v>
      </c>
      <c r="AQ5" s="508">
        <f>SUMIFS('Expenditure Breakdown'!$G$6:$G$212, 'Expenditure Breakdown'!$H$6:$H$212, "&gt;="&amp;AQ1,'Expenditure Breakdown'!$H$6:$H$212, "&lt;"&amp;AR1)</f>
        <v>0</v>
      </c>
      <c r="AR5" s="508">
        <f>SUMIFS('Expenditure Breakdown'!$G$6:$G$212, 'Expenditure Breakdown'!$H$6:$H$212, "&gt;="&amp;AR1,'Expenditure Breakdown'!$H$6:$H$212, "&lt;"&amp;AS1)</f>
        <v>0</v>
      </c>
      <c r="AS5" s="508">
        <f>SUMIFS('Expenditure Breakdown'!$G$6:$G$212, 'Expenditure Breakdown'!$H$6:$H$212, "&gt;="&amp;AS1,'Expenditure Breakdown'!$H$6:$H$212, "&lt;"&amp;AT1)</f>
        <v>0</v>
      </c>
      <c r="AT5" s="508">
        <f>SUMIFS('Expenditure Breakdown'!$G$6:$G$212, 'Expenditure Breakdown'!$H$6:$H$212, "&gt;="&amp;AT1,'Expenditure Breakdown'!$H$6:$H$212, "&lt;"&amp;AU1)</f>
        <v>0</v>
      </c>
      <c r="AU5" s="508">
        <f>SUMIFS('Expenditure Breakdown'!$G$6:$G$212, 'Expenditure Breakdown'!$H$6:$H$212, "&gt;="&amp;AU1,'Expenditure Breakdown'!$H$6:$H$212, "&lt;"&amp;AV1)</f>
        <v>0</v>
      </c>
      <c r="AV5" s="508">
        <f>SUMIFS('Expenditure Breakdown'!$G$6:$G$212, 'Expenditure Breakdown'!$H$6:$H$212, "&gt;="&amp;AV1,'Expenditure Breakdown'!$H$6:$H$212, "&lt;"&amp;AW1)</f>
        <v>0</v>
      </c>
      <c r="AW5" s="508">
        <f>SUMIFS('Expenditure Breakdown'!$G$6:$G$212, 'Expenditure Breakdown'!$H$6:$H$212, "&gt;="&amp;AW1,'Expenditure Breakdown'!$H$6:$H$212, "&lt;"&amp;AX1)</f>
        <v>249220.80000000002</v>
      </c>
      <c r="AX5" s="508">
        <f>SUMIFS('Expenditure Breakdown'!$G$6:$G$212, 'Expenditure Breakdown'!$H$6:$H$212, "&gt;="&amp;AX1,'Expenditure Breakdown'!$H$6:$H$212, "&lt;"&amp;AY1)</f>
        <v>0</v>
      </c>
      <c r="AY5" s="508">
        <f>SUMIFS('Expenditure Breakdown'!$G$6:$G$212, 'Expenditure Breakdown'!$H$6:$H$212, "&gt;="&amp;AY1,'Expenditure Breakdown'!$H$6:$H$212, "&lt;"&amp;AZ1)</f>
        <v>0</v>
      </c>
      <c r="AZ5" s="508">
        <f>SUMIFS('Expenditure Breakdown'!$G$6:$G$212, 'Expenditure Breakdown'!$H$6:$H$212, "&gt;="&amp;AZ1,'Expenditure Breakdown'!$H$6:$H$212, "&lt;"&amp;BA1)</f>
        <v>0</v>
      </c>
      <c r="BA5" s="508">
        <f>SUMIFS('Expenditure Breakdown'!$G$6:$G$212, 'Expenditure Breakdown'!$H$6:$H$212, "&gt;="&amp;BA1,'Expenditure Breakdown'!$H$6:$H$212, "&lt;"&amp;BB1)</f>
        <v>0</v>
      </c>
      <c r="BB5" s="508">
        <f>SUMIFS('Expenditure Breakdown'!$G$6:$G$212, 'Expenditure Breakdown'!$H$6:$H$212, "&gt;="&amp;BB1,'Expenditure Breakdown'!$H$6:$H$212, "&lt;"&amp;BC1)</f>
        <v>0</v>
      </c>
      <c r="BC5" s="508">
        <f>SUMIFS('Expenditure Breakdown'!$G$6:$G$212, 'Expenditure Breakdown'!$H$6:$H$212, "&gt;="&amp;BC1,'Expenditure Breakdown'!$H$6:$H$212, "&lt;"&amp;BD1)</f>
        <v>498441.60000000003</v>
      </c>
      <c r="BD5" s="508">
        <f>SUMIFS('Expenditure Breakdown'!$G$6:$G$212, 'Expenditure Breakdown'!$H$6:$H$212, "&gt;="&amp;BD1,'Expenditure Breakdown'!$H$6:$H$212, "&lt;"&amp;BE1)</f>
        <v>0</v>
      </c>
      <c r="BE5" s="508">
        <f>SUMIFS('Expenditure Breakdown'!$G$6:$G$212, 'Expenditure Breakdown'!$H$6:$H$212, "&gt;="&amp;BE1,'Expenditure Breakdown'!$H$6:$H$212, "&lt;"&amp;BF1)</f>
        <v>0</v>
      </c>
      <c r="BF5" s="508">
        <f>SUMIFS('Expenditure Breakdown'!$G$6:$G$212, 'Expenditure Breakdown'!$H$6:$H$212, "&gt;="&amp;BF1,'Expenditure Breakdown'!$H$6:$H$212, "&lt;"&amp;BG1)</f>
        <v>0</v>
      </c>
      <c r="BG5" s="508">
        <f>SUMIFS('Expenditure Breakdown'!$G$6:$G$212, 'Expenditure Breakdown'!$H$6:$H$212, "&gt;="&amp;BG1,'Expenditure Breakdown'!$H$6:$H$212, "&lt;"&amp;BH1)</f>
        <v>166147.20000000004</v>
      </c>
      <c r="BH5" s="508">
        <f>SUMIFS('Expenditure Breakdown'!$G$6:$G$212, 'Expenditure Breakdown'!$H$6:$H$212, "&gt;="&amp;BH1,'Expenditure Breakdown'!$H$6:$H$212, "&lt;"&amp;BI1)</f>
        <v>0</v>
      </c>
      <c r="BI5" s="508">
        <f>SUMIFS('Expenditure Breakdown'!$G$6:$G$212, 'Expenditure Breakdown'!$H$6:$H$212, "&gt;="&amp;BI1,'Expenditure Breakdown'!$H$6:$H$212, "&lt;"&amp;BJ1)</f>
        <v>0</v>
      </c>
      <c r="BJ5" s="508">
        <f>SUMIFS('Expenditure Breakdown'!$G$6:$G$212, 'Expenditure Breakdown'!$H$6:$H$212, "&gt;="&amp;BJ1,'Expenditure Breakdown'!$H$6:$H$212, "&lt;"&amp;BK1)</f>
        <v>0</v>
      </c>
      <c r="BK5" s="508">
        <f>SUMIFS('Expenditure Breakdown'!$G$6:$G$212, 'Expenditure Breakdown'!$H$6:$H$212, "&gt;="&amp;BK1,'Expenditure Breakdown'!$H$6:$H$212, "&lt;"&amp;BL1)</f>
        <v>0</v>
      </c>
      <c r="BL5" s="508">
        <f>SUMIFS('Expenditure Breakdown'!$G$6:$G$212, 'Expenditure Breakdown'!$H$6:$H$212, "&gt;="&amp;BL1,'Expenditure Breakdown'!$H$6:$H$212, "&lt;"&amp;BM1)</f>
        <v>0</v>
      </c>
      <c r="BM5" s="508">
        <f>SUMIFS('Expenditure Breakdown'!$G$6:$G$212, 'Expenditure Breakdown'!$H$6:$H$212, "&gt;="&amp;BM1,'Expenditure Breakdown'!$H$6:$H$212, "&lt;"&amp;BN1)</f>
        <v>0</v>
      </c>
      <c r="BN5" s="508">
        <f>SUMIFS('Expenditure Breakdown'!$G$6:$G$212, 'Expenditure Breakdown'!$H$6:$H$212, "&gt;="&amp;BN1,'Expenditure Breakdown'!$H$6:$H$212, "&lt;"&amp;BO1)</f>
        <v>0</v>
      </c>
      <c r="BO5" s="508">
        <f>SUMIFS('Expenditure Breakdown'!$G$6:$G$212, 'Expenditure Breakdown'!$H$6:$H$212, "&gt;="&amp;BO1,'Expenditure Breakdown'!$H$6:$H$212, "&lt;"&amp;BP1)</f>
        <v>0</v>
      </c>
      <c r="BP5" s="508">
        <f>SUMIFS('Expenditure Breakdown'!$G$6:$G$212, 'Expenditure Breakdown'!$H$6:$H$212, "&gt;="&amp;BP1,'Expenditure Breakdown'!$H$6:$H$212, "&lt;"&amp;BQ1)</f>
        <v>0</v>
      </c>
      <c r="BQ5" s="508">
        <f>SUMIFS('Expenditure Breakdown'!$G$6:$G$212, 'Expenditure Breakdown'!$H$6:$H$212, "&gt;="&amp;BQ1,'Expenditure Breakdown'!$H$6:$H$212, "&lt;"&amp;BR1)</f>
        <v>0</v>
      </c>
      <c r="BR5" s="508">
        <f>SUMIFS('Expenditure Breakdown'!$G$6:$G$212, 'Expenditure Breakdown'!$H$6:$H$212, "&gt;="&amp;BR1,'Expenditure Breakdown'!$H$6:$H$212, "&lt;"&amp;BS1)</f>
        <v>0</v>
      </c>
      <c r="BS5" s="508">
        <f>SUMIFS('Expenditure Breakdown'!$G$6:$G$212, 'Expenditure Breakdown'!$H$6:$H$212, "&gt;="&amp;BS1,'Expenditure Breakdown'!$H$6:$H$212, "&lt;"&amp;BT1)</f>
        <v>0</v>
      </c>
      <c r="BT5" s="508">
        <f>SUMIFS('Expenditure Breakdown'!$G$6:$G$212, 'Expenditure Breakdown'!$H$6:$H$212, "&gt;="&amp;BT1,'Expenditure Breakdown'!$H$6:$H$212, "&lt;"&amp;BU1)</f>
        <v>0</v>
      </c>
      <c r="BU5" s="508">
        <f>SUMIFS('Expenditure Breakdown'!$G$6:$G$212, 'Expenditure Breakdown'!$H$6:$H$212, "&gt;="&amp;BU1,'Expenditure Breakdown'!$H$6:$H$212, "&lt;"&amp;BV1)</f>
        <v>0</v>
      </c>
      <c r="BV5" s="508">
        <f>SUMIFS('Expenditure Breakdown'!$G$6:$G$212, 'Expenditure Breakdown'!$H$6:$H$212, "&gt;="&amp;BV1,'Expenditure Breakdown'!$H$6:$H$212, "&lt;"&amp;EJ1)</f>
        <v>0</v>
      </c>
      <c r="BW5" s="508">
        <f>SUMIFS('Expenditure Breakdown'!$G$6:$G$212, 'Expenditure Breakdown'!$H$6:$H$212, "&gt;="&amp;BW1,'Expenditure Breakdown'!$H$6:$H$212, "&lt;"&amp;EK1)</f>
        <v>0</v>
      </c>
      <c r="BX5" s="508">
        <f>SUMIFS('Expenditure Breakdown'!$G$6:$G$212, 'Expenditure Breakdown'!$H$6:$H$212, "&gt;="&amp;BX1,'Expenditure Breakdown'!$H$6:$H$212, "&lt;"&amp;EL1)</f>
        <v>0</v>
      </c>
      <c r="BY5" s="508">
        <f>SUMIFS('Expenditure Breakdown'!$G$6:$G$212, 'Expenditure Breakdown'!$H$6:$H$212, "&gt;="&amp;BY1,'Expenditure Breakdown'!$H$6:$H$212, "&lt;"&amp;EM1)</f>
        <v>0</v>
      </c>
      <c r="BZ5" s="508">
        <f>SUMIFS('Expenditure Breakdown'!$G$6:$G$212, 'Expenditure Breakdown'!$H$6:$H$212, "&gt;="&amp;BZ1,'Expenditure Breakdown'!$H$6:$H$212, "&lt;"&amp;EN1)</f>
        <v>0</v>
      </c>
      <c r="CA5" s="508">
        <f>SUMIFS('Expenditure Breakdown'!$G$6:$G$212, 'Expenditure Breakdown'!$H$6:$H$212, "&gt;="&amp;CA1,'Expenditure Breakdown'!$H$6:$H$212, "&lt;"&amp;EO1)</f>
        <v>0</v>
      </c>
      <c r="CB5" s="508">
        <f>SUMIFS('Expenditure Breakdown'!$G$6:$G$212, 'Expenditure Breakdown'!$H$6:$H$212, "&gt;="&amp;CB1,'Expenditure Breakdown'!$H$6:$H$212, "&lt;"&amp;EP1)</f>
        <v>0</v>
      </c>
      <c r="CC5" s="508">
        <f>SUMIFS('Expenditure Breakdown'!$G$6:$G$212, 'Expenditure Breakdown'!$H$6:$H$212, "&gt;="&amp;CC1,'Expenditure Breakdown'!$H$6:$H$212, "&lt;"&amp;EQ1)</f>
        <v>0</v>
      </c>
      <c r="CD5" s="508">
        <f>SUMIFS('Expenditure Breakdown'!$G$6:$G$212, 'Expenditure Breakdown'!$H$6:$H$212, "&gt;="&amp;CD1,'Expenditure Breakdown'!$H$6:$H$212, "&lt;"&amp;ER1)</f>
        <v>0</v>
      </c>
      <c r="CE5" s="508">
        <f>SUMIFS('Expenditure Breakdown'!$G$6:$G$212, 'Expenditure Breakdown'!$H$6:$H$212, "&gt;="&amp;CE1,'Expenditure Breakdown'!$H$6:$H$212, "&lt;"&amp;ES1)</f>
        <v>0</v>
      </c>
      <c r="CF5" s="508">
        <f>SUMIFS('Expenditure Breakdown'!$G$6:$G$212, 'Expenditure Breakdown'!$H$6:$H$212, "&gt;="&amp;CF1,'Expenditure Breakdown'!$H$6:$H$212, "&lt;"&amp;ET1)</f>
        <v>0</v>
      </c>
      <c r="CG5" s="508">
        <f>SUMIFS('Expenditure Breakdown'!$G$6:$G$212, 'Expenditure Breakdown'!$H$6:$H$212, "&gt;="&amp;CG1,'Expenditure Breakdown'!$H$6:$H$212, "&lt;"&amp;EU1)</f>
        <v>0</v>
      </c>
      <c r="CH5" s="508">
        <f>SUMIFS('Expenditure Breakdown'!$G$6:$G$212, 'Expenditure Breakdown'!$H$6:$H$212, "&gt;="&amp;CH1,'Expenditure Breakdown'!$H$6:$H$212, "&lt;"&amp;EV1)</f>
        <v>0</v>
      </c>
      <c r="CI5" s="508">
        <f>SUMIFS('Expenditure Breakdown'!$G$6:$G$212, 'Expenditure Breakdown'!$H$6:$H$212, "&gt;="&amp;CI1,'Expenditure Breakdown'!$H$6:$H$212, "&lt;"&amp;EW1)</f>
        <v>0</v>
      </c>
      <c r="CJ5" s="508">
        <f>SUMIFS('Expenditure Breakdown'!$G$6:$G$212, 'Expenditure Breakdown'!$H$6:$H$212, "&gt;="&amp;CJ1,'Expenditure Breakdown'!$H$6:$H$212, "&lt;"&amp;EX1)</f>
        <v>0</v>
      </c>
      <c r="CK5" s="508">
        <f>SUMIFS('Expenditure Breakdown'!$G$6:$G$212, 'Expenditure Breakdown'!$H$6:$H$212, "&gt;="&amp;CK1,'Expenditure Breakdown'!$H$6:$H$212, "&lt;"&amp;EY1)</f>
        <v>0</v>
      </c>
      <c r="CL5" s="508">
        <f>SUMIFS('Expenditure Breakdown'!$G$6:$G$212, 'Expenditure Breakdown'!$H$6:$H$212, "&gt;="&amp;CL1,'Expenditure Breakdown'!$H$6:$H$212, "&lt;"&amp;EZ1)</f>
        <v>0</v>
      </c>
      <c r="CM5" s="508">
        <f>SUMIFS('Expenditure Breakdown'!$G$6:$G$212, 'Expenditure Breakdown'!$H$6:$H$212, "&gt;="&amp;CM1,'Expenditure Breakdown'!$H$6:$H$212, "&lt;"&amp;FA1)</f>
        <v>0</v>
      </c>
      <c r="CN5" s="508">
        <f>SUMIFS('Expenditure Breakdown'!$G$6:$G$212, 'Expenditure Breakdown'!$H$6:$H$212, "&gt;="&amp;CN1,'Expenditure Breakdown'!$H$6:$H$212, "&lt;"&amp;FB1)</f>
        <v>0</v>
      </c>
      <c r="CO5" s="508">
        <f>SUMIFS('Expenditure Breakdown'!$G$6:$G$212, 'Expenditure Breakdown'!$H$6:$H$212, "&gt;="&amp;CO1,'Expenditure Breakdown'!$H$6:$H$212, "&lt;"&amp;FC1)</f>
        <v>0</v>
      </c>
      <c r="CP5" s="508">
        <f>SUMIFS('Expenditure Breakdown'!$G$6:$G$212, 'Expenditure Breakdown'!$H$6:$H$212, "&gt;="&amp;CP1,'Expenditure Breakdown'!$H$6:$H$212, "&lt;"&amp;FD1)</f>
        <v>0</v>
      </c>
      <c r="CQ5" s="508">
        <f>SUMIFS('Expenditure Breakdown'!$G$6:$G$212, 'Expenditure Breakdown'!$H$6:$H$212, "&gt;="&amp;CQ1,'Expenditure Breakdown'!$H$6:$H$212, "&lt;"&amp;FE1)</f>
        <v>0</v>
      </c>
      <c r="CR5" s="508">
        <f>SUMIFS('Expenditure Breakdown'!$G$6:$G$212, 'Expenditure Breakdown'!$H$6:$H$212, "&gt;="&amp;CR1,'Expenditure Breakdown'!$H$6:$H$212, "&lt;"&amp;FF1)</f>
        <v>0</v>
      </c>
      <c r="CS5" s="508">
        <f>SUMIFS('Expenditure Breakdown'!$G$6:$G$212, 'Expenditure Breakdown'!$H$6:$H$212, "&gt;="&amp;CS1,'Expenditure Breakdown'!$H$6:$H$212, "&lt;"&amp;FG1)</f>
        <v>0</v>
      </c>
      <c r="CT5" s="508">
        <f>SUMIFS('Expenditure Breakdown'!$G$6:$G$212, 'Expenditure Breakdown'!$H$6:$H$212, "&gt;="&amp;CT1,'Expenditure Breakdown'!$H$6:$H$212, "&lt;"&amp;FH1)</f>
        <v>0</v>
      </c>
      <c r="CU5" s="508">
        <f>SUMIFS('Expenditure Breakdown'!$G$6:$G$212, 'Expenditure Breakdown'!$H$6:$H$212, "&gt;="&amp;CU1,'Expenditure Breakdown'!$H$6:$H$212, "&lt;"&amp;FI1)</f>
        <v>0</v>
      </c>
      <c r="CV5" s="508">
        <f>SUMIFS('Expenditure Breakdown'!$G$6:$G$212, 'Expenditure Breakdown'!$H$6:$H$212, "&gt;="&amp;CV1,'Expenditure Breakdown'!$H$6:$H$212, "&lt;"&amp;FJ1)</f>
        <v>0</v>
      </c>
      <c r="CW5" s="508">
        <f>SUMIFS('Expenditure Breakdown'!$G$6:$G$212, 'Expenditure Breakdown'!$H$6:$H$212, "&gt;="&amp;CW1,'Expenditure Breakdown'!$H$6:$H$212, "&lt;"&amp;FK1)</f>
        <v>0</v>
      </c>
      <c r="CX5" s="508">
        <f>SUMIFS('Expenditure Breakdown'!$G$6:$G$212, 'Expenditure Breakdown'!$H$6:$H$212, "&gt;="&amp;CX1,'Expenditure Breakdown'!$H$6:$H$212, "&lt;"&amp;FL1)</f>
        <v>0</v>
      </c>
      <c r="CY5" s="508">
        <f>SUMIFS('Expenditure Breakdown'!$G$6:$G$212, 'Expenditure Breakdown'!$H$6:$H$212, "&gt;="&amp;CY1,'Expenditure Breakdown'!$H$6:$H$212, "&lt;"&amp;FM1)</f>
        <v>0</v>
      </c>
      <c r="CZ5" s="508">
        <f>SUMIFS('Expenditure Breakdown'!$G$6:$G$212, 'Expenditure Breakdown'!$H$6:$H$212, "&gt;="&amp;CZ1,'Expenditure Breakdown'!$H$6:$H$212, "&lt;"&amp;FN1)</f>
        <v>0</v>
      </c>
      <c r="DA5" s="508">
        <f>SUMIFS('Expenditure Breakdown'!$G$6:$G$212, 'Expenditure Breakdown'!$H$6:$H$212, "&gt;="&amp;DA1,'Expenditure Breakdown'!$H$6:$H$212, "&lt;"&amp;FO1)</f>
        <v>0</v>
      </c>
      <c r="DB5" s="508">
        <f>SUMIFS('Expenditure Breakdown'!$G$6:$G$212, 'Expenditure Breakdown'!$H$6:$H$212, "&gt;="&amp;DB1,'Expenditure Breakdown'!$H$6:$H$212, "&lt;"&amp;FP1)</f>
        <v>0</v>
      </c>
      <c r="DC5" s="508">
        <f>SUMIFS('Expenditure Breakdown'!$G$6:$G$212, 'Expenditure Breakdown'!$H$6:$H$212, "&gt;="&amp;DC1,'Expenditure Breakdown'!$H$6:$H$212, "&lt;"&amp;FQ1)</f>
        <v>0</v>
      </c>
      <c r="DD5" s="508">
        <f>SUMIFS('Expenditure Breakdown'!$G$6:$G$212, 'Expenditure Breakdown'!$H$6:$H$212, "&gt;="&amp;DD1,'Expenditure Breakdown'!$H$6:$H$212, "&lt;"&amp;FR1)</f>
        <v>0</v>
      </c>
      <c r="DE5" s="508">
        <f>SUMIFS('Expenditure Breakdown'!$G$6:$G$212, 'Expenditure Breakdown'!$H$6:$H$212, "&gt;="&amp;DE1,'Expenditure Breakdown'!$H$6:$H$212, "&lt;"&amp;FS1)</f>
        <v>0</v>
      </c>
      <c r="DF5" s="508">
        <f>SUMIFS('Expenditure Breakdown'!$G$6:$G$212, 'Expenditure Breakdown'!$H$6:$H$212, "&gt;="&amp;DF1,'Expenditure Breakdown'!$H$6:$H$212, "&lt;"&amp;FT1)</f>
        <v>0</v>
      </c>
      <c r="DG5" s="508">
        <f>SUMIFS('Expenditure Breakdown'!$G$6:$G$212, 'Expenditure Breakdown'!$H$6:$H$212, "&gt;="&amp;DG1,'Expenditure Breakdown'!$H$6:$H$212, "&lt;"&amp;FU1)</f>
        <v>0</v>
      </c>
      <c r="DH5" s="508">
        <f>SUMIFS('Expenditure Breakdown'!$G$6:$G$212, 'Expenditure Breakdown'!$H$6:$H$212, "&gt;="&amp;DH1,'Expenditure Breakdown'!$H$6:$H$212, "&lt;"&amp;FV1)</f>
        <v>0</v>
      </c>
      <c r="DI5" s="508">
        <f>SUMIFS('Expenditure Breakdown'!$G$6:$G$212, 'Expenditure Breakdown'!$H$6:$H$212, "&gt;="&amp;DI1,'Expenditure Breakdown'!$H$6:$H$212, "&lt;"&amp;FW1)</f>
        <v>0</v>
      </c>
      <c r="DJ5" s="508">
        <f>SUMIFS('Expenditure Breakdown'!$G$6:$G$212, 'Expenditure Breakdown'!$H$6:$H$212, "&gt;="&amp;DJ1,'Expenditure Breakdown'!$H$6:$H$212, "&lt;"&amp;FX1)</f>
        <v>0</v>
      </c>
      <c r="DK5" s="508">
        <f>SUMIFS('Expenditure Breakdown'!$G$6:$G$212, 'Expenditure Breakdown'!$H$6:$H$212, "&gt;="&amp;DK1,'Expenditure Breakdown'!$H$6:$H$212, "&lt;"&amp;FY1)</f>
        <v>0</v>
      </c>
      <c r="DL5" s="508">
        <f>SUMIFS('Expenditure Breakdown'!$G$6:$G$212, 'Expenditure Breakdown'!$H$6:$H$212, "&gt;="&amp;DL1,'Expenditure Breakdown'!$H$6:$H$212, "&lt;"&amp;FZ1)</f>
        <v>0</v>
      </c>
      <c r="DM5" s="508">
        <f>SUMIFS('Expenditure Breakdown'!$G$6:$G$212, 'Expenditure Breakdown'!$H$6:$H$212, "&gt;="&amp;DM1,'Expenditure Breakdown'!$H$6:$H$212, "&lt;"&amp;GA1)</f>
        <v>0</v>
      </c>
      <c r="DN5" s="508">
        <f>SUMIFS('Expenditure Breakdown'!$G$6:$G$212, 'Expenditure Breakdown'!$H$6:$H$212, "&gt;="&amp;DN1,'Expenditure Breakdown'!$H$6:$H$212, "&lt;"&amp;GB1)</f>
        <v>0</v>
      </c>
      <c r="DO5" s="508">
        <f>SUMIFS('Expenditure Breakdown'!$G$6:$G$212, 'Expenditure Breakdown'!$H$6:$H$212, "&gt;="&amp;DO1,'Expenditure Breakdown'!$H$6:$H$212, "&lt;"&amp;GC1)</f>
        <v>0</v>
      </c>
      <c r="DP5" s="508">
        <f>SUMIFS('Expenditure Breakdown'!$G$6:$G$212, 'Expenditure Breakdown'!$H$6:$H$212, "&gt;="&amp;DP1,'Expenditure Breakdown'!$H$6:$H$212, "&lt;"&amp;GD1)</f>
        <v>0</v>
      </c>
      <c r="DQ5" s="508">
        <f>SUMIFS('Expenditure Breakdown'!$G$6:$G$212, 'Expenditure Breakdown'!$H$6:$H$212, "&gt;="&amp;DQ1,'Expenditure Breakdown'!$H$6:$H$212, "&lt;"&amp;GE1)</f>
        <v>0</v>
      </c>
      <c r="DR5" s="508">
        <f>SUMIFS('Expenditure Breakdown'!$G$6:$G$212, 'Expenditure Breakdown'!$H$6:$H$212, "&gt;="&amp;DR1,'Expenditure Breakdown'!$H$6:$H$212, "&lt;"&amp;GF1)</f>
        <v>0</v>
      </c>
      <c r="DS5" s="508">
        <f>SUMIFS('Expenditure Breakdown'!$G$6:$G$212, 'Expenditure Breakdown'!$H$6:$H$212, "&gt;="&amp;DS1,'Expenditure Breakdown'!$H$6:$H$212, "&lt;"&amp;GG1)</f>
        <v>0</v>
      </c>
      <c r="DT5" s="508">
        <f>SUMIFS('Expenditure Breakdown'!$G$6:$G$212, 'Expenditure Breakdown'!$H$6:$H$212, "&gt;="&amp;DT1,'Expenditure Breakdown'!$H$6:$H$212, "&lt;"&amp;GH1)</f>
        <v>0</v>
      </c>
      <c r="DU5" s="508">
        <f>SUMIFS('Expenditure Breakdown'!$G$6:$G$212, 'Expenditure Breakdown'!$H$6:$H$212, "&gt;="&amp;DU1,'Expenditure Breakdown'!$H$6:$H$212, "&lt;"&amp;GI1)</f>
        <v>0</v>
      </c>
      <c r="DV5" s="508">
        <f>SUMIFS('Expenditure Breakdown'!$G$6:$G$212, 'Expenditure Breakdown'!$H$6:$H$212, "&gt;="&amp;DV1,'Expenditure Breakdown'!$H$6:$H$212, "&lt;"&amp;GJ1)</f>
        <v>0</v>
      </c>
      <c r="DW5" s="508">
        <f>SUMIFS('Expenditure Breakdown'!$G$6:$G$212, 'Expenditure Breakdown'!$H$6:$H$212, "&gt;="&amp;DW1,'Expenditure Breakdown'!$H$6:$H$212, "&lt;"&amp;GK1)</f>
        <v>0</v>
      </c>
      <c r="DX5" s="508">
        <f>SUMIFS('Expenditure Breakdown'!$G$6:$G$212, 'Expenditure Breakdown'!$H$6:$H$212, "&gt;="&amp;DX1,'Expenditure Breakdown'!$H$6:$H$212, "&lt;"&amp;GL1)</f>
        <v>0</v>
      </c>
      <c r="DY5" s="508">
        <f>SUMIFS('Expenditure Breakdown'!$G$6:$G$212, 'Expenditure Breakdown'!$H$6:$H$212, "&gt;="&amp;DY1,'Expenditure Breakdown'!$H$6:$H$212, "&lt;"&amp;GM1)</f>
        <v>0</v>
      </c>
      <c r="DZ5" s="508">
        <f>SUMIFS('Expenditure Breakdown'!$G$6:$G$212, 'Expenditure Breakdown'!$H$6:$H$212, "&gt;="&amp;DZ1,'Expenditure Breakdown'!$H$6:$H$212, "&lt;"&amp;GN1)</f>
        <v>0</v>
      </c>
      <c r="EA5" s="508">
        <f>SUMIFS('Expenditure Breakdown'!$G$6:$G$212, 'Expenditure Breakdown'!$H$6:$H$212, "&gt;="&amp;EA1,'Expenditure Breakdown'!$H$6:$H$212, "&lt;"&amp;GO1)</f>
        <v>0</v>
      </c>
      <c r="EB5" s="508">
        <f>SUMIFS('Expenditure Breakdown'!$G$6:$G$212, 'Expenditure Breakdown'!$H$6:$H$212, "&gt;="&amp;EB1,'Expenditure Breakdown'!$H$6:$H$212, "&lt;"&amp;GP1)</f>
        <v>0</v>
      </c>
      <c r="EC5" s="508">
        <f>SUMIFS('Expenditure Breakdown'!$G$6:$G$212, 'Expenditure Breakdown'!$H$6:$H$212, "&gt;="&amp;EC1,'Expenditure Breakdown'!$H$6:$H$212, "&lt;"&amp;GQ1)</f>
        <v>0</v>
      </c>
      <c r="ED5" s="508">
        <f>SUMIFS('Expenditure Breakdown'!$G$6:$G$212, 'Expenditure Breakdown'!$H$6:$H$212, "&gt;="&amp;ED1,'Expenditure Breakdown'!$H$6:$H$212, "&lt;"&amp;GR1)</f>
        <v>0</v>
      </c>
      <c r="EE5" s="508">
        <f>SUMIFS('Expenditure Breakdown'!$G$6:$G$212, 'Expenditure Breakdown'!$H$6:$H$212, "&gt;="&amp;EE1,'Expenditure Breakdown'!$H$6:$H$212, "&lt;"&amp;GS1)</f>
        <v>0</v>
      </c>
      <c r="EF5" s="508">
        <f>SUMIFS('Expenditure Breakdown'!$G$6:$G$212, 'Expenditure Breakdown'!$H$6:$H$212, "&gt;="&amp;EF1,'Expenditure Breakdown'!$H$6:$H$212, "&lt;"&amp;GT1)</f>
        <v>0</v>
      </c>
      <c r="EG5" s="508">
        <f>SUMIFS('Expenditure Breakdown'!$G$6:$G$212, 'Expenditure Breakdown'!$H$6:$H$212, "&gt;="&amp;EG1,'Expenditure Breakdown'!$H$6:$H$212, "&lt;"&amp;GU1)</f>
        <v>0</v>
      </c>
      <c r="EH5" s="508">
        <f>SUMIFS('Expenditure Breakdown'!$G$6:$G$212, 'Expenditure Breakdown'!$H$6:$H$212, "&gt;="&amp;EH1,'Expenditure Breakdown'!$H$6:$H$212, "&lt;"&amp;GV1)</f>
        <v>0</v>
      </c>
      <c r="EI5" s="508">
        <f>SUMIFS('Expenditure Breakdown'!$G$6:$G$212, 'Expenditure Breakdown'!$H$6:$H$212, "&gt;="&amp;EI1,'Expenditure Breakdown'!$H$6:$H$212, "&lt;"&amp;GW1)</f>
        <v>0</v>
      </c>
      <c r="EJ5" s="71"/>
      <c r="EK5" s="445"/>
      <c r="EL5" s="445"/>
    </row>
    <row r="6" spans="1:617" s="444" customFormat="1">
      <c r="A6" s="956"/>
      <c r="B6" s="496" t="s">
        <v>449</v>
      </c>
      <c r="C6" s="497"/>
      <c r="D6" s="497"/>
      <c r="E6" s="489"/>
      <c r="F6" s="508">
        <f>F5</f>
        <v>0</v>
      </c>
      <c r="G6" s="508">
        <f>F6+G5</f>
        <v>0</v>
      </c>
      <c r="H6" s="508">
        <f t="shared" ref="H6:BS6" si="134">G6+H5</f>
        <v>0</v>
      </c>
      <c r="I6" s="508">
        <f t="shared" si="134"/>
        <v>0</v>
      </c>
      <c r="J6" s="508">
        <f t="shared" si="134"/>
        <v>897757.52333333332</v>
      </c>
      <c r="K6" s="508">
        <f t="shared" si="134"/>
        <v>897757.52333333332</v>
      </c>
      <c r="L6" s="508">
        <f t="shared" si="134"/>
        <v>897757.52333333332</v>
      </c>
      <c r="M6" s="508">
        <f t="shared" si="134"/>
        <v>901324.52333333332</v>
      </c>
      <c r="N6" s="508">
        <f t="shared" si="134"/>
        <v>901324.52333333332</v>
      </c>
      <c r="O6" s="508">
        <f t="shared" si="134"/>
        <v>901324.52333333332</v>
      </c>
      <c r="P6" s="508">
        <f t="shared" si="134"/>
        <v>901324.52333333332</v>
      </c>
      <c r="Q6" s="508">
        <f t="shared" si="134"/>
        <v>901324.52333333332</v>
      </c>
      <c r="R6" s="508">
        <f t="shared" si="134"/>
        <v>901324.52333333332</v>
      </c>
      <c r="S6" s="508">
        <f t="shared" si="134"/>
        <v>5431324.5233333334</v>
      </c>
      <c r="T6" s="508">
        <f t="shared" si="134"/>
        <v>5431324.5233333334</v>
      </c>
      <c r="U6" s="508">
        <f t="shared" si="134"/>
        <v>5431324.5233333334</v>
      </c>
      <c r="V6" s="508">
        <f t="shared" si="134"/>
        <v>5431324.5233333334</v>
      </c>
      <c r="W6" s="508">
        <f t="shared" si="134"/>
        <v>5431324.5233333334</v>
      </c>
      <c r="X6" s="508">
        <f t="shared" si="134"/>
        <v>6393179.8523333333</v>
      </c>
      <c r="Y6" s="508">
        <f t="shared" si="134"/>
        <v>7253620.4333333336</v>
      </c>
      <c r="Z6" s="508">
        <f t="shared" si="134"/>
        <v>7253620.4333333336</v>
      </c>
      <c r="AA6" s="508">
        <f t="shared" si="134"/>
        <v>7253620.4333333336</v>
      </c>
      <c r="AB6" s="508">
        <f t="shared" si="134"/>
        <v>7253620.4333333336</v>
      </c>
      <c r="AC6" s="508">
        <f t="shared" si="134"/>
        <v>15522564.662333334</v>
      </c>
      <c r="AD6" s="508">
        <f t="shared" si="134"/>
        <v>15522564.662333334</v>
      </c>
      <c r="AE6" s="508">
        <f t="shared" si="134"/>
        <v>16563564.662333334</v>
      </c>
      <c r="AF6" s="508">
        <f t="shared" si="134"/>
        <v>16563564.662333334</v>
      </c>
      <c r="AG6" s="508">
        <f t="shared" si="134"/>
        <v>16563564.662333334</v>
      </c>
      <c r="AH6" s="508">
        <f t="shared" si="134"/>
        <v>16563564.662333334</v>
      </c>
      <c r="AI6" s="508">
        <f t="shared" si="134"/>
        <v>16563564.662333334</v>
      </c>
      <c r="AJ6" s="508">
        <f t="shared" si="134"/>
        <v>16563564.662333334</v>
      </c>
      <c r="AK6" s="508">
        <f t="shared" si="134"/>
        <v>16563564.662333334</v>
      </c>
      <c r="AL6" s="508">
        <f t="shared" si="134"/>
        <v>16563564.662333334</v>
      </c>
      <c r="AM6" s="508">
        <f t="shared" si="134"/>
        <v>16563564.662333334</v>
      </c>
      <c r="AN6" s="508">
        <f t="shared" si="134"/>
        <v>17769140.351333335</v>
      </c>
      <c r="AO6" s="508">
        <f t="shared" si="134"/>
        <v>17769140.351333335</v>
      </c>
      <c r="AP6" s="508">
        <f t="shared" si="134"/>
        <v>17769140.351333335</v>
      </c>
      <c r="AQ6" s="508">
        <f t="shared" si="134"/>
        <v>17769140.351333335</v>
      </c>
      <c r="AR6" s="508">
        <f t="shared" si="134"/>
        <v>17769140.351333335</v>
      </c>
      <c r="AS6" s="508">
        <f t="shared" si="134"/>
        <v>17769140.351333335</v>
      </c>
      <c r="AT6" s="508">
        <f t="shared" si="134"/>
        <v>17769140.351333335</v>
      </c>
      <c r="AU6" s="508">
        <f t="shared" si="134"/>
        <v>17769140.351333335</v>
      </c>
      <c r="AV6" s="508">
        <f t="shared" si="134"/>
        <v>17769140.351333335</v>
      </c>
      <c r="AW6" s="508">
        <f t="shared" si="134"/>
        <v>18018361.151333336</v>
      </c>
      <c r="AX6" s="508">
        <f t="shared" si="134"/>
        <v>18018361.151333336</v>
      </c>
      <c r="AY6" s="508">
        <f t="shared" si="134"/>
        <v>18018361.151333336</v>
      </c>
      <c r="AZ6" s="508">
        <f t="shared" si="134"/>
        <v>18018361.151333336</v>
      </c>
      <c r="BA6" s="508">
        <f t="shared" si="134"/>
        <v>18018361.151333336</v>
      </c>
      <c r="BB6" s="508">
        <f t="shared" si="134"/>
        <v>18018361.151333336</v>
      </c>
      <c r="BC6" s="508">
        <f t="shared" si="134"/>
        <v>18516802.751333337</v>
      </c>
      <c r="BD6" s="508">
        <f t="shared" si="134"/>
        <v>18516802.751333337</v>
      </c>
      <c r="BE6" s="508">
        <f t="shared" si="134"/>
        <v>18516802.751333337</v>
      </c>
      <c r="BF6" s="508">
        <f t="shared" si="134"/>
        <v>18516802.751333337</v>
      </c>
      <c r="BG6" s="508">
        <f t="shared" si="134"/>
        <v>18682949.951333337</v>
      </c>
      <c r="BH6" s="508">
        <f t="shared" si="134"/>
        <v>18682949.951333337</v>
      </c>
      <c r="BI6" s="508">
        <f t="shared" si="134"/>
        <v>18682949.951333337</v>
      </c>
      <c r="BJ6" s="508">
        <f t="shared" si="134"/>
        <v>18682949.951333337</v>
      </c>
      <c r="BK6" s="508">
        <f t="shared" si="134"/>
        <v>18682949.951333337</v>
      </c>
      <c r="BL6" s="508">
        <f t="shared" si="134"/>
        <v>18682949.951333337</v>
      </c>
      <c r="BM6" s="508">
        <f t="shared" si="134"/>
        <v>18682949.951333337</v>
      </c>
      <c r="BN6" s="508">
        <f t="shared" si="134"/>
        <v>18682949.951333337</v>
      </c>
      <c r="BO6" s="508">
        <f t="shared" si="134"/>
        <v>18682949.951333337</v>
      </c>
      <c r="BP6" s="508">
        <f t="shared" si="134"/>
        <v>18682949.951333337</v>
      </c>
      <c r="BQ6" s="508">
        <f t="shared" si="134"/>
        <v>18682949.951333337</v>
      </c>
      <c r="BR6" s="508">
        <f t="shared" si="134"/>
        <v>18682949.951333337</v>
      </c>
      <c r="BS6" s="508">
        <f t="shared" si="134"/>
        <v>18682949.951333337</v>
      </c>
      <c r="BT6" s="508">
        <f t="shared" ref="BT6:BV6" si="135">BS6+BT5</f>
        <v>18682949.951333337</v>
      </c>
      <c r="BU6" s="508">
        <f t="shared" si="135"/>
        <v>18682949.951333337</v>
      </c>
      <c r="BV6" s="508">
        <f t="shared" si="135"/>
        <v>18682949.951333337</v>
      </c>
      <c r="BW6" s="508">
        <f t="shared" ref="BW6" si="136">BV6+BW5</f>
        <v>18682949.951333337</v>
      </c>
      <c r="BX6" s="508">
        <f t="shared" ref="BX6" si="137">BW6+BX5</f>
        <v>18682949.951333337</v>
      </c>
      <c r="BY6" s="508">
        <f t="shared" ref="BY6" si="138">BX6+BY5</f>
        <v>18682949.951333337</v>
      </c>
      <c r="BZ6" s="508">
        <f t="shared" ref="BZ6" si="139">BY6+BZ5</f>
        <v>18682949.951333337</v>
      </c>
      <c r="CA6" s="508">
        <f t="shared" ref="CA6" si="140">BZ6+CA5</f>
        <v>18682949.951333337</v>
      </c>
      <c r="CB6" s="508">
        <f t="shared" ref="CB6" si="141">CA6+CB5</f>
        <v>18682949.951333337</v>
      </c>
      <c r="CC6" s="508">
        <f t="shared" ref="CC6" si="142">CB6+CC5</f>
        <v>18682949.951333337</v>
      </c>
      <c r="CD6" s="508">
        <f t="shared" ref="CD6" si="143">CC6+CD5</f>
        <v>18682949.951333337</v>
      </c>
      <c r="CE6" s="508">
        <f t="shared" ref="CE6" si="144">CD6+CE5</f>
        <v>18682949.951333337</v>
      </c>
      <c r="CF6" s="508">
        <f t="shared" ref="CF6" si="145">CE6+CF5</f>
        <v>18682949.951333337</v>
      </c>
      <c r="CG6" s="508">
        <f t="shared" ref="CG6" si="146">CF6+CG5</f>
        <v>18682949.951333337</v>
      </c>
      <c r="CH6" s="508">
        <f t="shared" ref="CH6" si="147">CG6+CH5</f>
        <v>18682949.951333337</v>
      </c>
      <c r="CI6" s="508">
        <f t="shared" ref="CI6" si="148">CH6+CI5</f>
        <v>18682949.951333337</v>
      </c>
      <c r="CJ6" s="508">
        <f t="shared" ref="CJ6" si="149">CI6+CJ5</f>
        <v>18682949.951333337</v>
      </c>
      <c r="CK6" s="508">
        <f t="shared" ref="CK6" si="150">CJ6+CK5</f>
        <v>18682949.951333337</v>
      </c>
      <c r="CL6" s="508">
        <f t="shared" ref="CL6" si="151">CK6+CL5</f>
        <v>18682949.951333337</v>
      </c>
      <c r="CM6" s="508">
        <f t="shared" ref="CM6" si="152">CL6+CM5</f>
        <v>18682949.951333337</v>
      </c>
      <c r="CN6" s="508">
        <f t="shared" ref="CN6" si="153">CM6+CN5</f>
        <v>18682949.951333337</v>
      </c>
      <c r="CO6" s="508">
        <f t="shared" ref="CO6" si="154">CN6+CO5</f>
        <v>18682949.951333337</v>
      </c>
      <c r="CP6" s="508">
        <f t="shared" ref="CP6" si="155">CO6+CP5</f>
        <v>18682949.951333337</v>
      </c>
      <c r="CQ6" s="508">
        <f t="shared" ref="CQ6" si="156">CP6+CQ5</f>
        <v>18682949.951333337</v>
      </c>
      <c r="CR6" s="508">
        <f t="shared" ref="CR6" si="157">CQ6+CR5</f>
        <v>18682949.951333337</v>
      </c>
      <c r="CS6" s="508">
        <f t="shared" ref="CS6" si="158">CR6+CS5</f>
        <v>18682949.951333337</v>
      </c>
      <c r="CT6" s="508">
        <f t="shared" ref="CT6" si="159">CS6+CT5</f>
        <v>18682949.951333337</v>
      </c>
      <c r="CU6" s="508">
        <f t="shared" ref="CU6" si="160">CT6+CU5</f>
        <v>18682949.951333337</v>
      </c>
      <c r="CV6" s="508">
        <f t="shared" ref="CV6" si="161">CU6+CV5</f>
        <v>18682949.951333337</v>
      </c>
      <c r="CW6" s="508">
        <f t="shared" ref="CW6" si="162">CV6+CW5</f>
        <v>18682949.951333337</v>
      </c>
      <c r="CX6" s="508">
        <f t="shared" ref="CX6" si="163">CW6+CX5</f>
        <v>18682949.951333337</v>
      </c>
      <c r="CY6" s="508">
        <f t="shared" ref="CY6" si="164">CX6+CY5</f>
        <v>18682949.951333337</v>
      </c>
      <c r="CZ6" s="508">
        <f t="shared" ref="CZ6" si="165">CY6+CZ5</f>
        <v>18682949.951333337</v>
      </c>
      <c r="DA6" s="508">
        <f t="shared" ref="DA6" si="166">CZ6+DA5</f>
        <v>18682949.951333337</v>
      </c>
      <c r="DB6" s="508">
        <f t="shared" ref="DB6" si="167">DA6+DB5</f>
        <v>18682949.951333337</v>
      </c>
      <c r="DC6" s="508">
        <f t="shared" ref="DC6" si="168">DB6+DC5</f>
        <v>18682949.951333337</v>
      </c>
      <c r="DD6" s="508">
        <f t="shared" ref="DD6" si="169">DC6+DD5</f>
        <v>18682949.951333337</v>
      </c>
      <c r="DE6" s="508">
        <f t="shared" ref="DE6" si="170">DD6+DE5</f>
        <v>18682949.951333337</v>
      </c>
      <c r="DF6" s="508">
        <f t="shared" ref="DF6" si="171">DE6+DF5</f>
        <v>18682949.951333337</v>
      </c>
      <c r="DG6" s="508">
        <f t="shared" ref="DG6" si="172">DF6+DG5</f>
        <v>18682949.951333337</v>
      </c>
      <c r="DH6" s="508">
        <f t="shared" ref="DH6" si="173">DG6+DH5</f>
        <v>18682949.951333337</v>
      </c>
      <c r="DI6" s="508">
        <f t="shared" ref="DI6" si="174">DH6+DI5</f>
        <v>18682949.951333337</v>
      </c>
      <c r="DJ6" s="508">
        <f t="shared" ref="DJ6" si="175">DI6+DJ5</f>
        <v>18682949.951333337</v>
      </c>
      <c r="DK6" s="508">
        <f t="shared" ref="DK6" si="176">DJ6+DK5</f>
        <v>18682949.951333337</v>
      </c>
      <c r="DL6" s="508">
        <f t="shared" ref="DL6" si="177">DK6+DL5</f>
        <v>18682949.951333337</v>
      </c>
      <c r="DM6" s="508">
        <f t="shared" ref="DM6" si="178">DL6+DM5</f>
        <v>18682949.951333337</v>
      </c>
      <c r="DN6" s="508">
        <f t="shared" ref="DN6" si="179">DM6+DN5</f>
        <v>18682949.951333337</v>
      </c>
      <c r="DO6" s="508">
        <f t="shared" ref="DO6" si="180">DN6+DO5</f>
        <v>18682949.951333337</v>
      </c>
      <c r="DP6" s="508">
        <f t="shared" ref="DP6" si="181">DO6+DP5</f>
        <v>18682949.951333337</v>
      </c>
      <c r="DQ6" s="508">
        <f t="shared" ref="DQ6" si="182">DP6+DQ5</f>
        <v>18682949.951333337</v>
      </c>
      <c r="DR6" s="508">
        <f t="shared" ref="DR6" si="183">DQ6+DR5</f>
        <v>18682949.951333337</v>
      </c>
      <c r="DS6" s="508">
        <f t="shared" ref="DS6" si="184">DR6+DS5</f>
        <v>18682949.951333337</v>
      </c>
      <c r="DT6" s="508">
        <f t="shared" ref="DT6" si="185">DS6+DT5</f>
        <v>18682949.951333337</v>
      </c>
      <c r="DU6" s="508">
        <f t="shared" ref="DU6" si="186">DT6+DU5</f>
        <v>18682949.951333337</v>
      </c>
      <c r="DV6" s="508">
        <f t="shared" ref="DV6" si="187">DU6+DV5</f>
        <v>18682949.951333337</v>
      </c>
      <c r="DW6" s="508">
        <f t="shared" ref="DW6" si="188">DV6+DW5</f>
        <v>18682949.951333337</v>
      </c>
      <c r="DX6" s="508">
        <f t="shared" ref="DX6" si="189">DW6+DX5</f>
        <v>18682949.951333337</v>
      </c>
      <c r="DY6" s="508">
        <f t="shared" ref="DY6" si="190">DX6+DY5</f>
        <v>18682949.951333337</v>
      </c>
      <c r="DZ6" s="508">
        <f t="shared" ref="DZ6" si="191">DY6+DZ5</f>
        <v>18682949.951333337</v>
      </c>
      <c r="EA6" s="508">
        <f t="shared" ref="EA6" si="192">DZ6+EA5</f>
        <v>18682949.951333337</v>
      </c>
      <c r="EB6" s="508">
        <f t="shared" ref="EB6" si="193">EA6+EB5</f>
        <v>18682949.951333337</v>
      </c>
      <c r="EC6" s="508">
        <f t="shared" ref="EC6" si="194">EB6+EC5</f>
        <v>18682949.951333337</v>
      </c>
      <c r="ED6" s="508">
        <f t="shared" ref="ED6" si="195">EC6+ED5</f>
        <v>18682949.951333337</v>
      </c>
      <c r="EE6" s="508">
        <f t="shared" ref="EE6" si="196">ED6+EE5</f>
        <v>18682949.951333337</v>
      </c>
      <c r="EF6" s="508">
        <f t="shared" ref="EF6" si="197">EE6+EF5</f>
        <v>18682949.951333337</v>
      </c>
      <c r="EG6" s="508">
        <f t="shared" ref="EG6" si="198">EF6+EG5</f>
        <v>18682949.951333337</v>
      </c>
      <c r="EH6" s="508">
        <f t="shared" ref="EH6" si="199">EG6+EH5</f>
        <v>18682949.951333337</v>
      </c>
      <c r="EI6" s="508">
        <f t="shared" ref="EI6" si="200">EH6+EI5</f>
        <v>18682949.951333337</v>
      </c>
      <c r="EJ6" s="71"/>
      <c r="EK6" s="445"/>
    </row>
    <row r="7" spans="1:617" ht="18.75" customHeight="1">
      <c r="A7" s="956"/>
      <c r="B7" s="500" t="s">
        <v>450</v>
      </c>
      <c r="C7" s="491"/>
      <c r="D7" s="491"/>
      <c r="E7" s="490"/>
      <c r="F7" s="509">
        <f t="shared" ref="F7:G7" si="201">F4-F6</f>
        <v>0</v>
      </c>
      <c r="G7" s="509">
        <f t="shared" si="201"/>
        <v>10469504.38486355</v>
      </c>
      <c r="H7" s="509">
        <f t="shared" ref="H7:BS7" si="202">H4-H6</f>
        <v>10469504.38486355</v>
      </c>
      <c r="I7" s="509">
        <f t="shared" si="202"/>
        <v>10469504.38486355</v>
      </c>
      <c r="J7" s="509">
        <f t="shared" si="202"/>
        <v>9571746.8615302164</v>
      </c>
      <c r="K7" s="509">
        <f t="shared" si="202"/>
        <v>9571746.8615302164</v>
      </c>
      <c r="L7" s="509">
        <f t="shared" si="202"/>
        <v>9571746.8615302164</v>
      </c>
      <c r="M7" s="509">
        <f t="shared" si="202"/>
        <v>9568179.8615302164</v>
      </c>
      <c r="N7" s="509">
        <f t="shared" si="202"/>
        <v>9568179.8615302164</v>
      </c>
      <c r="O7" s="509">
        <f t="shared" si="202"/>
        <v>9568179.8615302164</v>
      </c>
      <c r="P7" s="509">
        <f t="shared" si="202"/>
        <v>9568179.8615302164</v>
      </c>
      <c r="Q7" s="509">
        <f t="shared" si="202"/>
        <v>9568179.8615302164</v>
      </c>
      <c r="R7" s="509">
        <f t="shared" si="202"/>
        <v>9568179.8615302164</v>
      </c>
      <c r="S7" s="509">
        <f t="shared" si="202"/>
        <v>5038179.8615302164</v>
      </c>
      <c r="T7" s="509">
        <f t="shared" si="202"/>
        <v>5038179.8615302164</v>
      </c>
      <c r="U7" s="509">
        <f t="shared" si="202"/>
        <v>5038179.8615302164</v>
      </c>
      <c r="V7" s="509">
        <f t="shared" si="202"/>
        <v>5038179.8615302164</v>
      </c>
      <c r="W7" s="509">
        <f t="shared" si="202"/>
        <v>5038179.8615302164</v>
      </c>
      <c r="X7" s="509">
        <f t="shared" si="202"/>
        <v>4076324.5325302165</v>
      </c>
      <c r="Y7" s="509">
        <f t="shared" si="202"/>
        <v>3215883.9515302163</v>
      </c>
      <c r="Z7" s="509">
        <f t="shared" si="202"/>
        <v>3215883.9515302163</v>
      </c>
      <c r="AA7" s="509">
        <f t="shared" si="202"/>
        <v>3215883.9515302163</v>
      </c>
      <c r="AB7" s="509">
        <f t="shared" si="202"/>
        <v>3215883.9515302163</v>
      </c>
      <c r="AC7" s="509">
        <f t="shared" si="202"/>
        <v>-5053060.277469784</v>
      </c>
      <c r="AD7" s="509">
        <f t="shared" si="202"/>
        <v>-5053060.277469784</v>
      </c>
      <c r="AE7" s="509">
        <f t="shared" si="202"/>
        <v>-6094060.277469784</v>
      </c>
      <c r="AF7" s="509">
        <f t="shared" si="202"/>
        <v>-859308.08503801562</v>
      </c>
      <c r="AG7" s="509">
        <f t="shared" si="202"/>
        <v>-859308.08503801562</v>
      </c>
      <c r="AH7" s="509">
        <f t="shared" si="202"/>
        <v>-859308.08503801562</v>
      </c>
      <c r="AI7" s="509">
        <f t="shared" si="202"/>
        <v>-859308.08503801562</v>
      </c>
      <c r="AJ7" s="509">
        <f t="shared" si="202"/>
        <v>-859308.08503801562</v>
      </c>
      <c r="AK7" s="509">
        <f t="shared" si="202"/>
        <v>-859308.08503801562</v>
      </c>
      <c r="AL7" s="509">
        <f t="shared" si="202"/>
        <v>-859308.08503801562</v>
      </c>
      <c r="AM7" s="509">
        <f t="shared" si="202"/>
        <v>-859308.08503801562</v>
      </c>
      <c r="AN7" s="509">
        <f t="shared" si="202"/>
        <v>29017.102934692055</v>
      </c>
      <c r="AO7" s="509">
        <f t="shared" si="202"/>
        <v>29017.102934692055</v>
      </c>
      <c r="AP7" s="509">
        <f t="shared" si="202"/>
        <v>29017.102934692055</v>
      </c>
      <c r="AQ7" s="509">
        <f t="shared" si="202"/>
        <v>29017.102934692055</v>
      </c>
      <c r="AR7" s="509">
        <f t="shared" si="202"/>
        <v>29017.102934692055</v>
      </c>
      <c r="AS7" s="509">
        <f t="shared" si="202"/>
        <v>29017.102934692055</v>
      </c>
      <c r="AT7" s="509">
        <f t="shared" si="202"/>
        <v>29017.102934692055</v>
      </c>
      <c r="AU7" s="509">
        <f t="shared" si="202"/>
        <v>29017.102934692055</v>
      </c>
      <c r="AV7" s="509">
        <f t="shared" si="202"/>
        <v>29017.102934692055</v>
      </c>
      <c r="AW7" s="509">
        <f t="shared" si="202"/>
        <v>-220203.69706530869</v>
      </c>
      <c r="AX7" s="509">
        <f t="shared" si="202"/>
        <v>-220203.69706530869</v>
      </c>
      <c r="AY7" s="509">
        <f t="shared" si="202"/>
        <v>-220203.69706530869</v>
      </c>
      <c r="AZ7" s="509">
        <f t="shared" si="202"/>
        <v>-220203.69706530869</v>
      </c>
      <c r="BA7" s="509">
        <f t="shared" si="202"/>
        <v>-220203.69706530869</v>
      </c>
      <c r="BB7" s="509">
        <f t="shared" si="202"/>
        <v>-220203.69706530869</v>
      </c>
      <c r="BC7" s="509">
        <f t="shared" si="202"/>
        <v>-718645.29706531018</v>
      </c>
      <c r="BD7" s="509">
        <f t="shared" si="202"/>
        <v>1375255.5799073987</v>
      </c>
      <c r="BE7" s="509">
        <f t="shared" si="202"/>
        <v>1375255.5799073987</v>
      </c>
      <c r="BF7" s="509">
        <f t="shared" si="202"/>
        <v>1375255.5799073987</v>
      </c>
      <c r="BG7" s="509">
        <f t="shared" si="202"/>
        <v>1209108.3799073994</v>
      </c>
      <c r="BH7" s="509">
        <f t="shared" si="202"/>
        <v>1209108.3799073994</v>
      </c>
      <c r="BI7" s="509">
        <f t="shared" si="202"/>
        <v>1209108.3799073994</v>
      </c>
      <c r="BJ7" s="509">
        <f t="shared" si="202"/>
        <v>2256058.8183937557</v>
      </c>
      <c r="BK7" s="509">
        <f t="shared" si="202"/>
        <v>2256058.8183937557</v>
      </c>
      <c r="BL7" s="509">
        <f t="shared" si="202"/>
        <v>2256058.8183937557</v>
      </c>
      <c r="BM7" s="509">
        <f t="shared" si="202"/>
        <v>2256058.8183937557</v>
      </c>
      <c r="BN7" s="509">
        <f t="shared" si="202"/>
        <v>2256058.8183937557</v>
      </c>
      <c r="BO7" s="509">
        <f t="shared" si="202"/>
        <v>2256058.8183937557</v>
      </c>
      <c r="BP7" s="509">
        <f t="shared" si="202"/>
        <v>2256058.8183937557</v>
      </c>
      <c r="BQ7" s="509">
        <f t="shared" si="202"/>
        <v>2256058.8183937557</v>
      </c>
      <c r="BR7" s="509">
        <f t="shared" si="202"/>
        <v>2256058.8183937557</v>
      </c>
      <c r="BS7" s="509">
        <f t="shared" si="202"/>
        <v>2256058.8183937557</v>
      </c>
      <c r="BT7" s="509">
        <f t="shared" ref="BT7:BV7" si="203">BT4-BT6</f>
        <v>2256058.8183937557</v>
      </c>
      <c r="BU7" s="509">
        <f t="shared" si="203"/>
        <v>2256058.8183937557</v>
      </c>
      <c r="BV7" s="509">
        <f t="shared" si="203"/>
        <v>2256058.8183937557</v>
      </c>
      <c r="BW7" s="509">
        <f t="shared" ref="BW7:CO7" si="204">BW4-BW6</f>
        <v>2256058.8183937557</v>
      </c>
      <c r="BX7" s="509">
        <f t="shared" si="204"/>
        <v>2256058.8183937557</v>
      </c>
      <c r="BY7" s="509">
        <f t="shared" si="204"/>
        <v>2256058.8183937557</v>
      </c>
      <c r="BZ7" s="509">
        <f t="shared" si="204"/>
        <v>2256058.8183937557</v>
      </c>
      <c r="CA7" s="509">
        <f t="shared" si="204"/>
        <v>2256058.8183937557</v>
      </c>
      <c r="CB7" s="509">
        <f t="shared" si="204"/>
        <v>2256058.8183937557</v>
      </c>
      <c r="CC7" s="509">
        <f t="shared" si="204"/>
        <v>2256058.8183937557</v>
      </c>
      <c r="CD7" s="509">
        <f t="shared" si="204"/>
        <v>2256058.8183937557</v>
      </c>
      <c r="CE7" s="509">
        <f t="shared" si="204"/>
        <v>2256058.8183937557</v>
      </c>
      <c r="CF7" s="509">
        <f t="shared" si="204"/>
        <v>2256058.8183937557</v>
      </c>
      <c r="CG7" s="509">
        <f t="shared" si="204"/>
        <v>2256058.8183937557</v>
      </c>
      <c r="CH7" s="509">
        <f t="shared" si="204"/>
        <v>2256058.8183937557</v>
      </c>
      <c r="CI7" s="509">
        <f t="shared" si="204"/>
        <v>2256058.8183937557</v>
      </c>
      <c r="CJ7" s="509">
        <f t="shared" si="204"/>
        <v>2256058.8183937557</v>
      </c>
      <c r="CK7" s="509">
        <f t="shared" si="204"/>
        <v>2256058.8183937557</v>
      </c>
      <c r="CL7" s="509">
        <f t="shared" si="204"/>
        <v>2256058.8183937557</v>
      </c>
      <c r="CM7" s="509">
        <f t="shared" si="204"/>
        <v>2256058.8183937557</v>
      </c>
      <c r="CN7" s="509">
        <f t="shared" si="204"/>
        <v>2256058.8183937557</v>
      </c>
      <c r="CO7" s="509">
        <f t="shared" si="204"/>
        <v>2256058.8183937557</v>
      </c>
      <c r="CP7" s="509">
        <f t="shared" ref="CP7:DP7" si="205">CP4-CP6</f>
        <v>2256058.8183937557</v>
      </c>
      <c r="CQ7" s="509">
        <f t="shared" si="205"/>
        <v>2256058.8183937557</v>
      </c>
      <c r="CR7" s="509">
        <f t="shared" si="205"/>
        <v>2256058.8183937557</v>
      </c>
      <c r="CS7" s="509">
        <f t="shared" si="205"/>
        <v>2256058.8183937557</v>
      </c>
      <c r="CT7" s="509">
        <f t="shared" si="205"/>
        <v>2256058.8183937557</v>
      </c>
      <c r="CU7" s="509">
        <f t="shared" si="205"/>
        <v>2256058.8183937557</v>
      </c>
      <c r="CV7" s="509">
        <f t="shared" si="205"/>
        <v>2256058.8183937557</v>
      </c>
      <c r="CW7" s="509">
        <f t="shared" si="205"/>
        <v>2256058.8183937557</v>
      </c>
      <c r="CX7" s="509">
        <f t="shared" si="205"/>
        <v>2256058.8183937557</v>
      </c>
      <c r="CY7" s="509">
        <f t="shared" si="205"/>
        <v>2256058.8183937557</v>
      </c>
      <c r="CZ7" s="509">
        <f t="shared" si="205"/>
        <v>2256058.8183937557</v>
      </c>
      <c r="DA7" s="509">
        <f t="shared" si="205"/>
        <v>2256058.8183937557</v>
      </c>
      <c r="DB7" s="509">
        <f t="shared" si="205"/>
        <v>2256058.8183937557</v>
      </c>
      <c r="DC7" s="509">
        <f t="shared" si="205"/>
        <v>2256058.8183937557</v>
      </c>
      <c r="DD7" s="509">
        <f t="shared" si="205"/>
        <v>2256058.8183937557</v>
      </c>
      <c r="DE7" s="509">
        <f t="shared" si="205"/>
        <v>2256058.8183937557</v>
      </c>
      <c r="DF7" s="509">
        <f t="shared" si="205"/>
        <v>2256058.8183937557</v>
      </c>
      <c r="DG7" s="509">
        <f t="shared" si="205"/>
        <v>2256058.8183937557</v>
      </c>
      <c r="DH7" s="509">
        <f t="shared" si="205"/>
        <v>2256058.8183937557</v>
      </c>
      <c r="DI7" s="509">
        <f t="shared" si="205"/>
        <v>2256058.8183937557</v>
      </c>
      <c r="DJ7" s="509">
        <f t="shared" si="205"/>
        <v>2256058.8183937557</v>
      </c>
      <c r="DK7" s="509">
        <f t="shared" si="205"/>
        <v>2256058.8183937557</v>
      </c>
      <c r="DL7" s="509">
        <f t="shared" si="205"/>
        <v>2256058.8183937557</v>
      </c>
      <c r="DM7" s="509">
        <f t="shared" si="205"/>
        <v>2256058.8183937557</v>
      </c>
      <c r="DN7" s="509">
        <f t="shared" si="205"/>
        <v>2256058.8183937557</v>
      </c>
      <c r="DO7" s="509">
        <f t="shared" si="205"/>
        <v>2256058.8183937557</v>
      </c>
      <c r="DP7" s="509">
        <f t="shared" si="205"/>
        <v>2256058.8183937557</v>
      </c>
      <c r="DQ7" s="509">
        <f t="shared" ref="DQ7:EI7" si="206">DQ4-DQ6</f>
        <v>2256058.8183937557</v>
      </c>
      <c r="DR7" s="509">
        <f t="shared" si="206"/>
        <v>2256058.8183937557</v>
      </c>
      <c r="DS7" s="509">
        <f t="shared" si="206"/>
        <v>2256058.8183937557</v>
      </c>
      <c r="DT7" s="509">
        <f t="shared" si="206"/>
        <v>2256058.8183937557</v>
      </c>
      <c r="DU7" s="509">
        <f t="shared" si="206"/>
        <v>2256058.8183937557</v>
      </c>
      <c r="DV7" s="509">
        <f t="shared" si="206"/>
        <v>2256058.8183937557</v>
      </c>
      <c r="DW7" s="509">
        <f t="shared" si="206"/>
        <v>2256058.8183937557</v>
      </c>
      <c r="DX7" s="509">
        <f t="shared" si="206"/>
        <v>2256058.8183937557</v>
      </c>
      <c r="DY7" s="509">
        <f t="shared" si="206"/>
        <v>2256058.8183937557</v>
      </c>
      <c r="DZ7" s="509">
        <f t="shared" si="206"/>
        <v>2256058.8183937557</v>
      </c>
      <c r="EA7" s="509">
        <f t="shared" si="206"/>
        <v>2256058.8183937557</v>
      </c>
      <c r="EB7" s="509">
        <f t="shared" si="206"/>
        <v>2256058.8183937557</v>
      </c>
      <c r="EC7" s="509">
        <f t="shared" si="206"/>
        <v>2256058.8183937557</v>
      </c>
      <c r="ED7" s="509">
        <f t="shared" si="206"/>
        <v>2256058.8183937557</v>
      </c>
      <c r="EE7" s="509">
        <f t="shared" si="206"/>
        <v>2256058.8183937557</v>
      </c>
      <c r="EF7" s="509">
        <f t="shared" si="206"/>
        <v>2256058.8183937557</v>
      </c>
      <c r="EG7" s="509">
        <f t="shared" si="206"/>
        <v>2256058.8183937557</v>
      </c>
      <c r="EH7" s="509">
        <f t="shared" si="206"/>
        <v>2256058.8183937557</v>
      </c>
      <c r="EI7" s="509">
        <f t="shared" si="206"/>
        <v>2256058.8183937557</v>
      </c>
    </row>
    <row r="8" spans="1:617" s="71" customFormat="1">
      <c r="A8" s="956" t="s">
        <v>60</v>
      </c>
      <c r="B8" s="493"/>
      <c r="C8" s="487" t="s">
        <v>447</v>
      </c>
      <c r="D8" s="487" t="s">
        <v>447</v>
      </c>
      <c r="E8" s="487"/>
      <c r="F8" s="510"/>
      <c r="G8" s="510"/>
      <c r="H8" s="510"/>
      <c r="I8" s="510"/>
      <c r="J8" s="510"/>
      <c r="K8" s="510"/>
      <c r="L8" s="510"/>
      <c r="M8" s="510"/>
      <c r="N8" s="510"/>
      <c r="O8" s="510"/>
      <c r="P8" s="510"/>
      <c r="Q8" s="510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0"/>
      <c r="AK8" s="510"/>
      <c r="AL8" s="510"/>
      <c r="AM8" s="510"/>
      <c r="AN8" s="510"/>
      <c r="AO8" s="510"/>
      <c r="AP8" s="510"/>
      <c r="AQ8" s="510"/>
      <c r="AR8" s="510"/>
      <c r="AS8" s="510"/>
      <c r="AT8" s="510"/>
      <c r="AU8" s="510"/>
      <c r="AV8" s="510"/>
      <c r="AW8" s="510"/>
      <c r="AX8" s="510"/>
      <c r="AY8" s="510"/>
      <c r="AZ8" s="510"/>
      <c r="BA8" s="510"/>
      <c r="BB8" s="510"/>
      <c r="BC8" s="510"/>
      <c r="BD8" s="510"/>
      <c r="BE8" s="510"/>
      <c r="BF8" s="510"/>
      <c r="BG8" s="510"/>
      <c r="BH8" s="510"/>
      <c r="BI8" s="510"/>
      <c r="BJ8" s="510"/>
      <c r="BK8" s="510"/>
      <c r="BL8" s="510"/>
      <c r="BM8" s="510"/>
      <c r="BN8" s="510"/>
      <c r="BO8" s="510"/>
      <c r="BP8" s="510"/>
      <c r="BQ8" s="510"/>
      <c r="BR8" s="510"/>
      <c r="BS8" s="510"/>
      <c r="BT8" s="510"/>
      <c r="BU8" s="510"/>
      <c r="BV8" s="510"/>
      <c r="BW8" s="510"/>
      <c r="BX8" s="510"/>
      <c r="BY8" s="510"/>
      <c r="BZ8" s="510"/>
      <c r="CA8" s="510"/>
      <c r="CB8" s="510"/>
      <c r="CC8" s="510"/>
      <c r="CD8" s="510"/>
      <c r="CE8" s="510"/>
      <c r="CF8" s="510"/>
      <c r="CG8" s="510"/>
      <c r="CH8" s="510"/>
      <c r="CI8" s="510"/>
      <c r="CJ8" s="510"/>
      <c r="CK8" s="510"/>
      <c r="CL8" s="510"/>
      <c r="CM8" s="510"/>
      <c r="CN8" s="510"/>
      <c r="CO8" s="510"/>
      <c r="CP8" s="510"/>
      <c r="CQ8" s="510"/>
      <c r="CR8" s="510"/>
      <c r="CS8" s="510"/>
      <c r="CT8" s="510"/>
      <c r="CU8" s="510"/>
      <c r="CV8" s="510"/>
      <c r="CW8" s="510"/>
      <c r="CX8" s="510"/>
      <c r="CY8" s="510"/>
      <c r="CZ8" s="510"/>
      <c r="DA8" s="510"/>
      <c r="DB8" s="510"/>
      <c r="DC8" s="510"/>
      <c r="DD8" s="510"/>
      <c r="DE8" s="510"/>
      <c r="DF8" s="510"/>
      <c r="DG8" s="510"/>
      <c r="DH8" s="510"/>
      <c r="DI8" s="510"/>
      <c r="DJ8" s="510"/>
      <c r="DK8" s="510"/>
      <c r="DL8" s="510"/>
      <c r="DM8" s="510"/>
      <c r="DN8" s="510"/>
      <c r="DO8" s="510"/>
      <c r="DP8" s="510"/>
      <c r="DQ8" s="510"/>
      <c r="DR8" s="510"/>
      <c r="DS8" s="510"/>
      <c r="DT8" s="510"/>
      <c r="DU8" s="510"/>
      <c r="DV8" s="510"/>
      <c r="DW8" s="510"/>
      <c r="DX8" s="510"/>
      <c r="DY8" s="510"/>
      <c r="DZ8" s="510"/>
      <c r="EA8" s="510"/>
      <c r="EB8" s="510"/>
      <c r="EC8" s="510"/>
      <c r="ED8" s="510"/>
      <c r="EE8" s="510"/>
      <c r="EF8" s="510"/>
      <c r="EG8" s="510"/>
      <c r="EH8" s="510"/>
      <c r="EI8" s="510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</row>
    <row r="9" spans="1:617">
      <c r="A9" s="956"/>
      <c r="B9" s="495" t="s">
        <v>451</v>
      </c>
      <c r="C9" s="498">
        <f>'Revenue Tracking'!F4</f>
        <v>20939008.769727096</v>
      </c>
      <c r="D9" s="498">
        <f>SUM(F9:CO9)</f>
        <v>20939008.769727092</v>
      </c>
      <c r="E9" s="489"/>
      <c r="F9" s="511">
        <f>SUMIFS('Revenue Tracking'!$F$13:$F$30, 'Revenue Tracking'!$J$13:$J$30, "&gt;="&amp;F1,'Revenue Tracking'!$J$13:$J$30, "&lt;"&amp;G1)</f>
        <v>0</v>
      </c>
      <c r="G9" s="511">
        <f>SUMIFS('Revenue Tracking'!$F$13:$F$30, 'Revenue Tracking'!$J$13:$J$30, "&gt;="&amp;G1,'Revenue Tracking'!$J$13:$J$30, "&lt;"&amp;H1)</f>
        <v>0</v>
      </c>
      <c r="H9" s="511">
        <f>SUMIFS('Revenue Tracking'!$F$13:$F$30, 'Revenue Tracking'!$J$13:$J$30, "&gt;="&amp;H1,'Revenue Tracking'!$J$13:$J$30, "&lt;"&amp;I1)</f>
        <v>0</v>
      </c>
      <c r="I9" s="511">
        <f>SUMIFS('Revenue Tracking'!$F$13:$F$30, 'Revenue Tracking'!$J$13:$J$30, "&gt;="&amp;I1,'Revenue Tracking'!$J$13:$J$30, "&lt;"&amp;J1)</f>
        <v>0</v>
      </c>
      <c r="J9" s="511">
        <f>SUMIFS('Revenue Tracking'!$F$13:$F$30, 'Revenue Tracking'!$J$13:$J$30, "&gt;="&amp;J1,'Revenue Tracking'!$J$13:$J$30, "&lt;"&amp;K1)</f>
        <v>0</v>
      </c>
      <c r="K9" s="511">
        <f>SUMIFS('Revenue Tracking'!$F$13:$F$30, 'Revenue Tracking'!$J$13:$J$30, "&gt;="&amp;K1,'Revenue Tracking'!$J$13:$J$30, "&lt;"&amp;L1)</f>
        <v>0</v>
      </c>
      <c r="L9" s="511">
        <f>SUMIFS('Revenue Tracking'!$F$13:$F$30, 'Revenue Tracking'!$J$13:$J$30, "&gt;="&amp;L1,'Revenue Tracking'!$J$13:$J$30, "&lt;"&amp;M1)</f>
        <v>0</v>
      </c>
      <c r="M9" s="511">
        <f>SUMIFS('Revenue Tracking'!$F$13:$F$30, 'Revenue Tracking'!$J$13:$J$30, "&gt;="&amp;M1,'Revenue Tracking'!$J$13:$J$30, "&lt;"&amp;N1)</f>
        <v>0</v>
      </c>
      <c r="N9" s="511">
        <f>SUMIFS('Revenue Tracking'!$F$13:$F$30, 'Revenue Tracking'!$J$13:$J$30, "&gt;="&amp;N1,'Revenue Tracking'!$J$13:$J$30, "&lt;"&amp;O1)</f>
        <v>0</v>
      </c>
      <c r="O9" s="511">
        <f>SUMIFS('Revenue Tracking'!$F$13:$F$30, 'Revenue Tracking'!$J$13:$J$30, "&gt;="&amp;O1,'Revenue Tracking'!$J$13:$J$30, "&lt;"&amp;P1)</f>
        <v>0</v>
      </c>
      <c r="P9" s="511">
        <f>SUMIFS('Revenue Tracking'!$F$13:$F$30, 'Revenue Tracking'!$J$13:$J$30, "&gt;="&amp;P1,'Revenue Tracking'!$J$13:$J$30, "&lt;"&amp;Q1)</f>
        <v>0</v>
      </c>
      <c r="Q9" s="511">
        <f>SUMIFS('Revenue Tracking'!$F$13:$F$30, 'Revenue Tracking'!$J$13:$J$30, "&gt;="&amp;Q1,'Revenue Tracking'!$J$13:$J$30, "&lt;"&amp;R1)</f>
        <v>0</v>
      </c>
      <c r="R9" s="511">
        <f>SUMIFS('Revenue Tracking'!$F$13:$F$30, 'Revenue Tracking'!$J$13:$J$30, "&gt;="&amp;R1,'Revenue Tracking'!$J$13:$J$30, "&lt;"&amp;S1)</f>
        <v>0</v>
      </c>
      <c r="S9" s="511">
        <f>SUMIFS('Revenue Tracking'!$F$13:$F$30, 'Revenue Tracking'!$J$13:$J$30, "&gt;="&amp;S1,'Revenue Tracking'!$J$13:$J$30, "&lt;"&amp;T1)</f>
        <v>0</v>
      </c>
      <c r="T9" s="511">
        <f>SUMIFS('Revenue Tracking'!$F$13:$F$30, 'Revenue Tracking'!$J$13:$J$30, "&gt;="&amp;T1,'Revenue Tracking'!$J$13:$J$30, "&lt;"&amp;U1)</f>
        <v>0</v>
      </c>
      <c r="U9" s="511">
        <f>SUMIFS('Revenue Tracking'!$F$13:$F$30, 'Revenue Tracking'!$J$13:$J$30, "&gt;="&amp;U1,'Revenue Tracking'!$J$13:$J$30, "&lt;"&amp;V1)</f>
        <v>0</v>
      </c>
      <c r="V9" s="511">
        <f>SUMIFS('Revenue Tracking'!$F$13:$F$30, 'Revenue Tracking'!$J$13:$J$30, "&gt;="&amp;V1,'Revenue Tracking'!$J$13:$J$30, "&lt;"&amp;W1)</f>
        <v>0</v>
      </c>
      <c r="W9" s="511">
        <f>SUMIFS('Revenue Tracking'!$F$13:$F$30, 'Revenue Tracking'!$J$13:$J$30, "&gt;="&amp;W1,'Revenue Tracking'!$J$13:$J$30, "&lt;"&amp;X1)</f>
        <v>0</v>
      </c>
      <c r="X9" s="511">
        <f>SUMIFS('Revenue Tracking'!$F$13:$F$30, 'Revenue Tracking'!$J$13:$J$30, "&gt;="&amp;X1,'Revenue Tracking'!$J$13:$J$30, "&lt;"&amp;Y1)</f>
        <v>0</v>
      </c>
      <c r="Y9" s="511">
        <f>SUMIFS('Revenue Tracking'!$F$13:$F$30, 'Revenue Tracking'!$J$13:$J$30, "&gt;="&amp;Y1,'Revenue Tracking'!$J$13:$J$30, "&lt;"&amp;Z1)</f>
        <v>0</v>
      </c>
      <c r="Z9" s="511">
        <f>SUMIFS('Revenue Tracking'!$F$13:$F$30, 'Revenue Tracking'!$J$13:$J$30, "&gt;="&amp;Z1,'Revenue Tracking'!$J$13:$J$30, "&lt;"&amp;AA1)</f>
        <v>0</v>
      </c>
      <c r="AA9" s="511">
        <f>SUMIFS('Revenue Tracking'!$F$13:$F$30, 'Revenue Tracking'!$J$13:$J$30, "&gt;="&amp;AA1,'Revenue Tracking'!$J$13:$J$30, "&lt;"&amp;AB1)</f>
        <v>0</v>
      </c>
      <c r="AB9" s="511">
        <f>SUMIFS('Revenue Tracking'!$F$13:$F$30, 'Revenue Tracking'!$J$13:$J$30, "&gt;="&amp;AB1,'Revenue Tracking'!$J$13:$J$30, "&lt;"&amp;AC1)</f>
        <v>0</v>
      </c>
      <c r="AC9" s="511">
        <f>SUMIFS('Revenue Tracking'!$F$13:$F$30, 'Revenue Tracking'!$J$13:$J$30, "&gt;="&amp;AC1,'Revenue Tracking'!$J$13:$J$30, "&lt;"&amp;AD1)</f>
        <v>0</v>
      </c>
      <c r="AD9" s="511">
        <f>SUMIFS('Revenue Tracking'!$F$13:$F$30, 'Revenue Tracking'!$J$13:$J$30, "&gt;="&amp;AD1,'Revenue Tracking'!$J$13:$J$30, "&lt;"&amp;AE1)</f>
        <v>0</v>
      </c>
      <c r="AE9" s="511">
        <f>SUMIFS('Revenue Tracking'!$F$13:$F$30, 'Revenue Tracking'!$J$13:$J$30, "&gt;="&amp;AE1,'Revenue Tracking'!$J$13:$J$30, "&lt;"&amp;AF1)</f>
        <v>0</v>
      </c>
      <c r="AF9" s="511">
        <f>SUMIFS('Revenue Tracking'!$F$13:$F$30, 'Revenue Tracking'!$J$13:$J$30, "&gt;="&amp;AF1,'Revenue Tracking'!$J$13:$J$30, "&lt;"&amp;AG1)</f>
        <v>0</v>
      </c>
      <c r="AG9" s="511">
        <f>SUMIFS('Revenue Tracking'!$F$13:$F$30, 'Revenue Tracking'!$J$13:$J$30, "&gt;="&amp;AG1,'Revenue Tracking'!$J$13:$J$30, "&lt;"&amp;AH1)</f>
        <v>0</v>
      </c>
      <c r="AH9" s="511">
        <f>SUMIFS('Revenue Tracking'!$F$13:$F$30, 'Revenue Tracking'!$J$13:$J$30, "&gt;="&amp;AH1,'Revenue Tracking'!$J$13:$J$30, "&lt;"&amp;AI1)</f>
        <v>0</v>
      </c>
      <c r="AI9" s="511">
        <f>SUMIFS('Revenue Tracking'!$F$13:$F$30, 'Revenue Tracking'!$J$13:$J$30, "&gt;="&amp;AI1,'Revenue Tracking'!$J$13:$J$30, "&lt;"&amp;AJ1)</f>
        <v>0</v>
      </c>
      <c r="AJ9" s="511">
        <f>SUMIFS('Revenue Tracking'!$F$13:$F$30, 'Revenue Tracking'!$J$13:$J$30, "&gt;="&amp;AJ1,'Revenue Tracking'!$J$13:$J$30, "&lt;"&amp;AK1)</f>
        <v>0</v>
      </c>
      <c r="AK9" s="511">
        <f>SUMIFS('Revenue Tracking'!$F$13:$F$30, 'Revenue Tracking'!$J$13:$J$30, "&gt;="&amp;AK1,'Revenue Tracking'!$J$13:$J$30, "&lt;"&amp;AL1)</f>
        <v>0</v>
      </c>
      <c r="AL9" s="511">
        <f>SUMIFS('Revenue Tracking'!$F$13:$F$30, 'Revenue Tracking'!$J$13:$J$30, "&gt;="&amp;AL1,'Revenue Tracking'!$J$13:$J$30, "&lt;"&amp;AM1)</f>
        <v>0</v>
      </c>
      <c r="AM9" s="511">
        <f>SUMIFS('Revenue Tracking'!$F$13:$F$30, 'Revenue Tracking'!$J$13:$J$30, "&gt;="&amp;AM1,'Revenue Tracking'!$J$13:$J$30, "&lt;"&amp;AN1)</f>
        <v>0</v>
      </c>
      <c r="AN9" s="511">
        <f>SUMIFS('Revenue Tracking'!$F$13:$F$30, 'Revenue Tracking'!$J$13:$J$30, "&gt;="&amp;AN1,'Revenue Tracking'!$J$13:$J$30, "&lt;"&amp;AO1)</f>
        <v>0</v>
      </c>
      <c r="AO9" s="511">
        <f>SUMIFS('Revenue Tracking'!$F$13:$F$30, 'Revenue Tracking'!$J$13:$J$30, "&gt;="&amp;AO1,'Revenue Tracking'!$J$13:$J$30, "&lt;"&amp;AP1)</f>
        <v>0</v>
      </c>
      <c r="AP9" s="511">
        <f>SUMIFS('Revenue Tracking'!$F$13:$F$30, 'Revenue Tracking'!$J$13:$J$30, "&gt;="&amp;AP1,'Revenue Tracking'!$J$13:$J$30, "&lt;"&amp;AQ1)</f>
        <v>0</v>
      </c>
      <c r="AQ9" s="511">
        <f>SUMIFS('Revenue Tracking'!$F$13:$F$30, 'Revenue Tracking'!$J$13:$J$30, "&gt;="&amp;AQ1,'Revenue Tracking'!$J$13:$J$30, "&lt;"&amp;AR1)</f>
        <v>0</v>
      </c>
      <c r="AR9" s="511">
        <f>SUMIFS('Revenue Tracking'!$F$13:$F$30, 'Revenue Tracking'!$J$13:$J$30, "&gt;="&amp;AR1,'Revenue Tracking'!$J$13:$J$30, "&lt;"&amp;AS1)</f>
        <v>0</v>
      </c>
      <c r="AS9" s="511">
        <f>SUMIFS('Revenue Tracking'!$F$13:$F$30, 'Revenue Tracking'!$J$13:$J$30, "&gt;="&amp;AS1,'Revenue Tracking'!$J$13:$J$30, "&lt;"&amp;AT1)</f>
        <v>0</v>
      </c>
      <c r="AT9" s="511">
        <f>SUMIFS('Revenue Tracking'!$F$13:$F$30, 'Revenue Tracking'!$J$13:$J$30, "&gt;="&amp;AT1,'Revenue Tracking'!$J$13:$J$30, "&lt;"&amp;AU1)</f>
        <v>0</v>
      </c>
      <c r="AU9" s="511">
        <f>SUMIFS('Revenue Tracking'!$F$13:$F$30, 'Revenue Tracking'!$J$13:$J$30, "&gt;="&amp;AU1,'Revenue Tracking'!$J$13:$J$30, "&lt;"&amp;AV1)</f>
        <v>0</v>
      </c>
      <c r="AV9" s="511">
        <f>SUMIFS('Revenue Tracking'!$F$13:$F$30, 'Revenue Tracking'!$J$13:$J$30, "&gt;="&amp;AV1,'Revenue Tracking'!$J$13:$J$30, "&lt;"&amp;AW1)</f>
        <v>0</v>
      </c>
      <c r="AW9" s="511">
        <f>SUMIFS('Revenue Tracking'!$F$13:$F$30, 'Revenue Tracking'!$J$13:$J$30, "&gt;="&amp;AW1,'Revenue Tracking'!$J$13:$J$30, "&lt;"&amp;AX1)</f>
        <v>0</v>
      </c>
      <c r="AX9" s="511">
        <f>SUMIFS('Revenue Tracking'!$F$13:$F$30, 'Revenue Tracking'!$J$13:$J$30, "&gt;="&amp;AX1,'Revenue Tracking'!$J$13:$J$30, "&lt;"&amp;AY1)</f>
        <v>0</v>
      </c>
      <c r="AY9" s="511">
        <f>SUMIFS('Revenue Tracking'!$F$13:$F$30, 'Revenue Tracking'!$J$13:$J$30, "&gt;="&amp;AY1,'Revenue Tracking'!$J$13:$J$30, "&lt;"&amp;AZ1)</f>
        <v>0</v>
      </c>
      <c r="AZ9" s="511">
        <f>SUMIFS('Revenue Tracking'!$F$13:$F$30, 'Revenue Tracking'!$J$13:$J$30, "&gt;="&amp;AZ1,'Revenue Tracking'!$J$13:$J$30, "&lt;"&amp;BA1)</f>
        <v>0</v>
      </c>
      <c r="BA9" s="511">
        <f>SUMIFS('Revenue Tracking'!$F$13:$F$30, 'Revenue Tracking'!$J$13:$J$30, "&gt;="&amp;BA1,'Revenue Tracking'!$J$13:$J$30, "&lt;"&amp;BB1)</f>
        <v>0</v>
      </c>
      <c r="BB9" s="511">
        <f>SUMIFS('Revenue Tracking'!$F$13:$F$30, 'Revenue Tracking'!$J$13:$J$30, "&gt;="&amp;BB1,'Revenue Tracking'!$J$13:$J$30, "&lt;"&amp;BC1)</f>
        <v>0</v>
      </c>
      <c r="BC9" s="511">
        <f>SUMIFS('Revenue Tracking'!$F$13:$F$30, 'Revenue Tracking'!$J$13:$J$30, "&gt;="&amp;BC1,'Revenue Tracking'!$J$13:$J$30, "&lt;"&amp;BD1)</f>
        <v>0</v>
      </c>
      <c r="BD9" s="511">
        <f>SUMIFS('Revenue Tracking'!$F$13:$F$30, 'Revenue Tracking'!$J$13:$J$30, "&gt;="&amp;BD1,'Revenue Tracking'!$J$13:$J$30, "&lt;"&amp;BE1)</f>
        <v>0</v>
      </c>
      <c r="BE9" s="511">
        <f>SUMIFS('Revenue Tracking'!$F$13:$F$30, 'Revenue Tracking'!$J$13:$J$30, "&gt;="&amp;BE1,'Revenue Tracking'!$J$13:$J$30, "&lt;"&amp;BF1)</f>
        <v>0</v>
      </c>
      <c r="BF9" s="511">
        <f>SUMIFS('Revenue Tracking'!$F$13:$F$30, 'Revenue Tracking'!$J$13:$J$30, "&gt;="&amp;BF1,'Revenue Tracking'!$J$13:$J$30, "&lt;"&amp;BG1)</f>
        <v>0</v>
      </c>
      <c r="BG9" s="511">
        <f>SUMIFS('Revenue Tracking'!$F$13:$F$30, 'Revenue Tracking'!$J$13:$J$30, "&gt;="&amp;BG1,'Revenue Tracking'!$J$13:$J$30, "&lt;"&amp;BH1)</f>
        <v>0</v>
      </c>
      <c r="BH9" s="511">
        <f>SUMIFS('Revenue Tracking'!$F$13:$F$30, 'Revenue Tracking'!$J$13:$J$30, "&gt;="&amp;BH1,'Revenue Tracking'!$J$13:$J$30, "&lt;"&amp;BI1)</f>
        <v>0</v>
      </c>
      <c r="BI9" s="511">
        <f>SUMIFS('Revenue Tracking'!$F$13:$F$30, 'Revenue Tracking'!$J$13:$J$30, "&gt;="&amp;BI1,'Revenue Tracking'!$J$13:$J$30, "&lt;"&amp;BJ1)</f>
        <v>0</v>
      </c>
      <c r="BJ9" s="511">
        <f>SUMIFS('Revenue Tracking'!$F$13:$F$30, 'Revenue Tracking'!$J$13:$J$30, "&gt;="&amp;BJ1,'Revenue Tracking'!$J$13:$J$30, "&lt;"&amp;BK1)</f>
        <v>0</v>
      </c>
      <c r="BK9" s="511">
        <f>SUMIFS('Revenue Tracking'!$F$13:$F$30, 'Revenue Tracking'!$J$13:$J$30, "&gt;="&amp;BK1,'Revenue Tracking'!$J$13:$J$30, "&lt;"&amp;BL1)</f>
        <v>0</v>
      </c>
      <c r="BL9" s="511">
        <f>SUMIFS('Revenue Tracking'!$F$13:$F$30, 'Revenue Tracking'!$J$13:$J$30, "&gt;="&amp;BL1,'Revenue Tracking'!$J$13:$J$30, "&lt;"&amp;BM1)</f>
        <v>0</v>
      </c>
      <c r="BM9" s="511">
        <f>SUMIFS('Revenue Tracking'!$F$13:$F$30, 'Revenue Tracking'!$J$13:$J$30, "&gt;="&amp;BM1,'Revenue Tracking'!$J$13:$J$30, "&lt;"&amp;BN1)</f>
        <v>0</v>
      </c>
      <c r="BN9" s="511">
        <f>SUMIFS('Revenue Tracking'!$F$13:$F$30, 'Revenue Tracking'!$J$13:$J$30, "&gt;="&amp;BN1,'Revenue Tracking'!$J$13:$J$30, "&lt;"&amp;BO1)</f>
        <v>2204986.2369565219</v>
      </c>
      <c r="BO9" s="511">
        <f>SUMIFS('Revenue Tracking'!$F$13:$F$30, 'Revenue Tracking'!$J$13:$J$30, "&gt;="&amp;BO1,'Revenue Tracking'!$J$13:$J$30, "&lt;"&amp;BP1)</f>
        <v>1739130.4347826089</v>
      </c>
      <c r="BP9" s="511">
        <f>SUMIFS('Revenue Tracking'!$F$13:$F$30, 'Revenue Tracking'!$J$13:$J$30, "&gt;="&amp;BP1,'Revenue Tracking'!$J$13:$J$30, "&lt;"&amp;BQ1)</f>
        <v>6956521.7391304355</v>
      </c>
      <c r="BQ9" s="511">
        <f>SUMIFS('Revenue Tracking'!$F$13:$F$30, 'Revenue Tracking'!$J$13:$J$30, "&gt;="&amp;BQ1,'Revenue Tracking'!$J$13:$J$30, "&lt;"&amp;BR1)</f>
        <v>3478260.8695652178</v>
      </c>
      <c r="BR9" s="511">
        <f>SUMIFS('Revenue Tracking'!$F$13:$F$30, 'Revenue Tracking'!$J$13:$J$30, "&gt;="&amp;BR1,'Revenue Tracking'!$J$13:$J$30, "&lt;"&amp;BS1)</f>
        <v>1325357.2968605356</v>
      </c>
      <c r="BS9" s="511">
        <f>SUMIFS('Revenue Tracking'!$F$13:$F$30, 'Revenue Tracking'!$J$13:$J$30, "&gt;="&amp;BS1,'Revenue Tracking'!$J$13:$J$30, "&lt;"&amp;BT1)</f>
        <v>0</v>
      </c>
      <c r="BT9" s="511">
        <f>SUMIFS('Revenue Tracking'!$F$13:$F$30, 'Revenue Tracking'!$J$13:$J$30, "&gt;="&amp;BT1,'Revenue Tracking'!$J$13:$J$30, "&lt;"&amp;BU1)</f>
        <v>0</v>
      </c>
      <c r="BU9" s="511">
        <f>SUMIFS('Revenue Tracking'!$F$13:$F$30, 'Revenue Tracking'!$J$13:$J$30, "&gt;="&amp;BU1,'Revenue Tracking'!$J$13:$J$30, "&lt;"&amp;BV1)</f>
        <v>0</v>
      </c>
      <c r="BV9" s="511">
        <f>SUMIFS('Revenue Tracking'!$F$13:$F$30, 'Revenue Tracking'!$J$13:$J$30, "&gt;="&amp;BV1,'Revenue Tracking'!$J$13:$J$30, "&lt;"&amp;BW1)</f>
        <v>0</v>
      </c>
      <c r="BW9" s="511">
        <f>SUMIFS('Revenue Tracking'!$F$13:$F$30, 'Revenue Tracking'!$J$13:$J$30, "&gt;="&amp;BW1,'Revenue Tracking'!$J$13:$J$30, "&lt;"&amp;BX1)</f>
        <v>0</v>
      </c>
      <c r="BX9" s="511">
        <f>SUMIFS('Revenue Tracking'!$F$13:$F$30, 'Revenue Tracking'!$J$13:$J$30, "&gt;="&amp;BX1,'Revenue Tracking'!$J$13:$J$30, "&lt;"&amp;BY1)</f>
        <v>0</v>
      </c>
      <c r="BY9" s="511">
        <f>SUMIFS('Revenue Tracking'!$F$13:$F$30, 'Revenue Tracking'!$J$13:$J$30, "&gt;="&amp;BY1,'Revenue Tracking'!$J$13:$J$30, "&lt;"&amp;BZ1)</f>
        <v>0</v>
      </c>
      <c r="BZ9" s="511">
        <f>SUMIFS('Revenue Tracking'!$F$13:$F$30, 'Revenue Tracking'!$J$13:$J$30, "&gt;="&amp;BZ1,'Revenue Tracking'!$J$13:$J$30, "&lt;"&amp;CA1)</f>
        <v>5234752.1924317731</v>
      </c>
      <c r="CA9" s="511">
        <f>SUMIFS('Revenue Tracking'!$F$13:$F$30, 'Revenue Tracking'!$J$13:$J$30, "&gt;="&amp;CA1,'Revenue Tracking'!$J$13:$J$30, "&lt;"&amp;CB1)</f>
        <v>0</v>
      </c>
      <c r="CB9" s="511">
        <f>SUMIFS('Revenue Tracking'!$F$13:$F$30, 'Revenue Tracking'!$J$13:$J$30, "&gt;="&amp;CB1,'Revenue Tracking'!$J$13:$J$30, "&lt;"&amp;CC1)</f>
        <v>0</v>
      </c>
      <c r="CC9" s="511">
        <f>SUMIFS('Revenue Tracking'!$F$13:$F$30, 'Revenue Tracking'!$J$13:$J$30, "&gt;="&amp;CC1,'Revenue Tracking'!$J$13:$J$30, "&lt;"&amp;CD1)</f>
        <v>0</v>
      </c>
      <c r="CD9" s="511">
        <f>SUMIFS('Revenue Tracking'!$F$13:$F$30, 'Revenue Tracking'!$J$13:$J$30, "&gt;="&amp;CD1,'Revenue Tracking'!$J$13:$J$30, "&lt;"&amp;CE1)</f>
        <v>0</v>
      </c>
      <c r="CE9" s="511">
        <f>SUMIFS('Revenue Tracking'!$F$13:$F$30, 'Revenue Tracking'!$J$13:$J$30, "&gt;="&amp;CE1,'Revenue Tracking'!$J$13:$J$30, "&lt;"&amp;CF1)</f>
        <v>0</v>
      </c>
      <c r="CF9" s="511">
        <f>SUMIFS('Revenue Tracking'!$F$13:$F$30, 'Revenue Tracking'!$J$13:$J$30, "&gt;="&amp;CF1,'Revenue Tracking'!$J$13:$J$30, "&lt;"&amp;CG1)</f>
        <v>0</v>
      </c>
      <c r="CG9" s="511">
        <f>SUMIFS('Revenue Tracking'!$F$13:$F$30, 'Revenue Tracking'!$J$13:$J$30, "&gt;="&amp;CG1,'Revenue Tracking'!$J$13:$J$30, "&lt;"&amp;CH1)</f>
        <v>0</v>
      </c>
      <c r="CH9" s="511">
        <f>SUMIFS('Revenue Tracking'!$F$13:$F$30, 'Revenue Tracking'!$J$13:$J$30, "&gt;="&amp;CH1,'Revenue Tracking'!$J$13:$J$30, "&lt;"&amp;CI1)</f>
        <v>0</v>
      </c>
      <c r="CI9" s="511">
        <f>SUMIFS('Revenue Tracking'!$F$13:$F$30, 'Revenue Tracking'!$J$13:$J$30, "&gt;="&amp;CI1,'Revenue Tracking'!$J$13:$J$30, "&lt;"&amp;CJ1)</f>
        <v>0</v>
      </c>
      <c r="CJ9" s="511">
        <f>SUMIFS('Revenue Tracking'!$F$13:$F$30, 'Revenue Tracking'!$J$13:$J$30, "&gt;="&amp;CJ1,'Revenue Tracking'!$J$13:$J$30, "&lt;"&amp;CK1)</f>
        <v>0</v>
      </c>
      <c r="CK9" s="511">
        <f>SUMIFS('Revenue Tracking'!$F$13:$F$30, 'Revenue Tracking'!$J$13:$J$30, "&gt;="&amp;CK1,'Revenue Tracking'!$J$13:$J$30, "&lt;"&amp;CL1)</f>
        <v>0</v>
      </c>
      <c r="CL9" s="511">
        <f>SUMIFS('Revenue Tracking'!$F$13:$F$30, 'Revenue Tracking'!$J$13:$J$30, "&gt;="&amp;CL1,'Revenue Tracking'!$J$13:$J$30, "&lt;"&amp;CM1)</f>
        <v>0</v>
      </c>
      <c r="CM9" s="511">
        <f>SUMIFS('Revenue Tracking'!$F$13:$F$30, 'Revenue Tracking'!$J$13:$J$30, "&gt;="&amp;CM1,'Revenue Tracking'!$J$13:$J$30, "&lt;"&amp;CN1)</f>
        <v>0</v>
      </c>
      <c r="CN9" s="511">
        <f>SUMIFS('Revenue Tracking'!$F$13:$F$30, 'Revenue Tracking'!$J$13:$J$30, "&gt;="&amp;CN1,'Revenue Tracking'!$J$13:$J$30, "&lt;"&amp;CO1)</f>
        <v>0</v>
      </c>
      <c r="CO9" s="511">
        <f>SUMIFS('Revenue Tracking'!$F$13:$F$30, 'Revenue Tracking'!$J$13:$J$30, "&gt;="&amp;CO1,'Revenue Tracking'!$J$13:$J$30, "&lt;"&amp;EJ1)</f>
        <v>0</v>
      </c>
      <c r="CP9" s="511">
        <f>SUMIFS('Revenue Tracking'!$F$13:$F$30, 'Revenue Tracking'!$J$13:$J$30, "&gt;="&amp;CP1,'Revenue Tracking'!$J$13:$J$30, "&lt;"&amp;EK1)</f>
        <v>0</v>
      </c>
      <c r="CQ9" s="511">
        <f>SUMIFS('Revenue Tracking'!$F$13:$F$30, 'Revenue Tracking'!$J$13:$J$30, "&gt;="&amp;CQ1,'Revenue Tracking'!$J$13:$J$30, "&lt;"&amp;EL1)</f>
        <v>0</v>
      </c>
      <c r="CR9" s="511">
        <f>SUMIFS('Revenue Tracking'!$F$13:$F$30, 'Revenue Tracking'!$J$13:$J$30, "&gt;="&amp;CR1,'Revenue Tracking'!$J$13:$J$30, "&lt;"&amp;EM1)</f>
        <v>0</v>
      </c>
      <c r="CS9" s="511">
        <f>SUMIFS('Revenue Tracking'!$F$13:$F$30, 'Revenue Tracking'!$J$13:$J$30, "&gt;="&amp;CS1,'Revenue Tracking'!$J$13:$J$30, "&lt;"&amp;EN1)</f>
        <v>0</v>
      </c>
      <c r="CT9" s="511">
        <f>SUMIFS('Revenue Tracking'!$F$13:$F$30, 'Revenue Tracking'!$J$13:$J$30, "&gt;="&amp;CT1,'Revenue Tracking'!$J$13:$J$30, "&lt;"&amp;EO1)</f>
        <v>0</v>
      </c>
      <c r="CU9" s="511">
        <f>SUMIFS('Revenue Tracking'!$F$13:$F$30, 'Revenue Tracking'!$J$13:$J$30, "&gt;="&amp;CU1,'Revenue Tracking'!$J$13:$J$30, "&lt;"&amp;EP1)</f>
        <v>0</v>
      </c>
      <c r="CV9" s="511">
        <f>SUMIFS('Revenue Tracking'!$F$13:$F$30, 'Revenue Tracking'!$J$13:$J$30, "&gt;="&amp;CV1,'Revenue Tracking'!$J$13:$J$30, "&lt;"&amp;EQ1)</f>
        <v>0</v>
      </c>
      <c r="CW9" s="511">
        <f>SUMIFS('Revenue Tracking'!$F$13:$F$30, 'Revenue Tracking'!$J$13:$J$30, "&gt;="&amp;CW1,'Revenue Tracking'!$J$13:$J$30, "&lt;"&amp;ER1)</f>
        <v>0</v>
      </c>
      <c r="CX9" s="511">
        <f>SUMIFS('Revenue Tracking'!$F$13:$F$30, 'Revenue Tracking'!$J$13:$J$30, "&gt;="&amp;CX1,'Revenue Tracking'!$J$13:$J$30, "&lt;"&amp;ES1)</f>
        <v>0</v>
      </c>
      <c r="CY9" s="511">
        <f>SUMIFS('Revenue Tracking'!$F$13:$F$30, 'Revenue Tracking'!$J$13:$J$30, "&gt;="&amp;CY1,'Revenue Tracking'!$J$13:$J$30, "&lt;"&amp;ET1)</f>
        <v>0</v>
      </c>
      <c r="CZ9" s="511">
        <f>SUMIFS('Revenue Tracking'!$F$13:$F$30, 'Revenue Tracking'!$J$13:$J$30, "&gt;="&amp;CZ1,'Revenue Tracking'!$J$13:$J$30, "&lt;"&amp;EU1)</f>
        <v>0</v>
      </c>
      <c r="DA9" s="511">
        <f>SUMIFS('Revenue Tracking'!$F$13:$F$30, 'Revenue Tracking'!$J$13:$J$30, "&gt;="&amp;DA1,'Revenue Tracking'!$J$13:$J$30, "&lt;"&amp;EV1)</f>
        <v>0</v>
      </c>
      <c r="DB9" s="511">
        <f>SUMIFS('Revenue Tracking'!$F$13:$F$30, 'Revenue Tracking'!$J$13:$J$30, "&gt;="&amp;DB1,'Revenue Tracking'!$J$13:$J$30, "&lt;"&amp;EW1)</f>
        <v>0</v>
      </c>
      <c r="DC9" s="511">
        <f>SUMIFS('Revenue Tracking'!$F$13:$F$30, 'Revenue Tracking'!$J$13:$J$30, "&gt;="&amp;DC1,'Revenue Tracking'!$J$13:$J$30, "&lt;"&amp;EX1)</f>
        <v>0</v>
      </c>
      <c r="DD9" s="511">
        <f>SUMIFS('Revenue Tracking'!$F$13:$F$30, 'Revenue Tracking'!$J$13:$J$30, "&gt;="&amp;DD1,'Revenue Tracking'!$J$13:$J$30, "&lt;"&amp;EY1)</f>
        <v>0</v>
      </c>
      <c r="DE9" s="511">
        <f>SUMIFS('Revenue Tracking'!$F$13:$F$30, 'Revenue Tracking'!$J$13:$J$30, "&gt;="&amp;DE1,'Revenue Tracking'!$J$13:$J$30, "&lt;"&amp;EZ1)</f>
        <v>0</v>
      </c>
      <c r="DF9" s="511">
        <f>SUMIFS('Revenue Tracking'!$F$13:$F$30, 'Revenue Tracking'!$J$13:$J$30, "&gt;="&amp;DF1,'Revenue Tracking'!$J$13:$J$30, "&lt;"&amp;FA1)</f>
        <v>0</v>
      </c>
      <c r="DG9" s="511">
        <f>SUMIFS('Revenue Tracking'!$F$13:$F$30, 'Revenue Tracking'!$J$13:$J$30, "&gt;="&amp;DG1,'Revenue Tracking'!$J$13:$J$30, "&lt;"&amp;FB1)</f>
        <v>0</v>
      </c>
      <c r="DH9" s="511">
        <f>SUMIFS('Revenue Tracking'!$F$13:$F$30, 'Revenue Tracking'!$J$13:$J$30, "&gt;="&amp;DH1,'Revenue Tracking'!$J$13:$J$30, "&lt;"&amp;FC1)</f>
        <v>0</v>
      </c>
      <c r="DI9" s="511">
        <f>SUMIFS('Revenue Tracking'!$F$13:$F$30, 'Revenue Tracking'!$J$13:$J$30, "&gt;="&amp;DI1,'Revenue Tracking'!$J$13:$J$30, "&lt;"&amp;FD1)</f>
        <v>0</v>
      </c>
      <c r="DJ9" s="511">
        <f>SUMIFS('Revenue Tracking'!$F$13:$F$30, 'Revenue Tracking'!$J$13:$J$30, "&gt;="&amp;DJ1,'Revenue Tracking'!$J$13:$J$30, "&lt;"&amp;FE1)</f>
        <v>0</v>
      </c>
      <c r="DK9" s="511">
        <f>SUMIFS('Revenue Tracking'!$F$13:$F$30, 'Revenue Tracking'!$J$13:$J$30, "&gt;="&amp;DK1,'Revenue Tracking'!$J$13:$J$30, "&lt;"&amp;FF1)</f>
        <v>0</v>
      </c>
      <c r="DL9" s="511">
        <f>SUMIFS('Revenue Tracking'!$F$13:$F$30, 'Revenue Tracking'!$J$13:$J$30, "&gt;="&amp;DL1,'Revenue Tracking'!$J$13:$J$30, "&lt;"&amp;FG1)</f>
        <v>0</v>
      </c>
      <c r="DM9" s="511">
        <f>SUMIFS('Revenue Tracking'!$F$13:$F$30, 'Revenue Tracking'!$J$13:$J$30, "&gt;="&amp;DM1,'Revenue Tracking'!$J$13:$J$30, "&lt;"&amp;FH1)</f>
        <v>0</v>
      </c>
      <c r="DN9" s="511">
        <f>SUMIFS('Revenue Tracking'!$F$13:$F$30, 'Revenue Tracking'!$J$13:$J$30, "&gt;="&amp;DN1,'Revenue Tracking'!$J$13:$J$30, "&lt;"&amp;FI1)</f>
        <v>0</v>
      </c>
      <c r="DO9" s="511">
        <f>SUMIFS('Revenue Tracking'!$F$13:$F$30, 'Revenue Tracking'!$J$13:$J$30, "&gt;="&amp;DO1,'Revenue Tracking'!$J$13:$J$30, "&lt;"&amp;FJ1)</f>
        <v>0</v>
      </c>
      <c r="DP9" s="511">
        <f>SUMIFS('Revenue Tracking'!$F$13:$F$30, 'Revenue Tracking'!$J$13:$J$30, "&gt;="&amp;DP1,'Revenue Tracking'!$J$13:$J$30, "&lt;"&amp;FK1)</f>
        <v>0</v>
      </c>
      <c r="DQ9" s="511">
        <f>SUMIFS('Revenue Tracking'!$F$13:$F$30, 'Revenue Tracking'!$J$13:$J$30, "&gt;="&amp;DQ1,'Revenue Tracking'!$J$13:$J$30, "&lt;"&amp;FL1)</f>
        <v>0</v>
      </c>
      <c r="DR9" s="511">
        <f>SUMIFS('Revenue Tracking'!$F$13:$F$30, 'Revenue Tracking'!$J$13:$J$30, "&gt;="&amp;DR1,'Revenue Tracking'!$J$13:$J$30, "&lt;"&amp;FM1)</f>
        <v>0</v>
      </c>
      <c r="DS9" s="511">
        <f>SUMIFS('Revenue Tracking'!$F$13:$F$30, 'Revenue Tracking'!$J$13:$J$30, "&gt;="&amp;DS1,'Revenue Tracking'!$J$13:$J$30, "&lt;"&amp;FN1)</f>
        <v>0</v>
      </c>
      <c r="DT9" s="511">
        <f>SUMIFS('Revenue Tracking'!$F$13:$F$30, 'Revenue Tracking'!$J$13:$J$30, "&gt;="&amp;DT1,'Revenue Tracking'!$J$13:$J$30, "&lt;"&amp;FO1)</f>
        <v>0</v>
      </c>
      <c r="DU9" s="511">
        <f>SUMIFS('Revenue Tracking'!$F$13:$F$30, 'Revenue Tracking'!$J$13:$J$30, "&gt;="&amp;DU1,'Revenue Tracking'!$J$13:$J$30, "&lt;"&amp;FP1)</f>
        <v>0</v>
      </c>
      <c r="DV9" s="511">
        <f>SUMIFS('Revenue Tracking'!$F$13:$F$30, 'Revenue Tracking'!$J$13:$J$30, "&gt;="&amp;DV1,'Revenue Tracking'!$J$13:$J$30, "&lt;"&amp;FQ1)</f>
        <v>0</v>
      </c>
      <c r="DW9" s="511">
        <f>SUMIFS('Revenue Tracking'!$F$13:$F$30, 'Revenue Tracking'!$J$13:$J$30, "&gt;="&amp;DW1,'Revenue Tracking'!$J$13:$J$30, "&lt;"&amp;FR1)</f>
        <v>0</v>
      </c>
      <c r="DX9" s="511">
        <f>SUMIFS('Revenue Tracking'!$F$13:$F$30, 'Revenue Tracking'!$J$13:$J$30, "&gt;="&amp;DX1,'Revenue Tracking'!$J$13:$J$30, "&lt;"&amp;FS1)</f>
        <v>0</v>
      </c>
      <c r="DY9" s="511">
        <f>SUMIFS('Revenue Tracking'!$F$13:$F$30, 'Revenue Tracking'!$J$13:$J$30, "&gt;="&amp;DY1,'Revenue Tracking'!$J$13:$J$30, "&lt;"&amp;FT1)</f>
        <v>0</v>
      </c>
      <c r="DZ9" s="511">
        <f>SUMIFS('Revenue Tracking'!$F$13:$F$30, 'Revenue Tracking'!$J$13:$J$30, "&gt;="&amp;DZ1,'Revenue Tracking'!$J$13:$J$30, "&lt;"&amp;FU1)</f>
        <v>0</v>
      </c>
      <c r="EA9" s="511">
        <f>SUMIFS('Revenue Tracking'!$F$13:$F$30, 'Revenue Tracking'!$J$13:$J$30, "&gt;="&amp;EA1,'Revenue Tracking'!$J$13:$J$30, "&lt;"&amp;FV1)</f>
        <v>0</v>
      </c>
      <c r="EB9" s="511">
        <f>SUMIFS('Revenue Tracking'!$F$13:$F$30, 'Revenue Tracking'!$J$13:$J$30, "&gt;="&amp;EB1,'Revenue Tracking'!$J$13:$J$30, "&lt;"&amp;FW1)</f>
        <v>0</v>
      </c>
      <c r="EC9" s="511">
        <f>SUMIFS('Revenue Tracking'!$F$13:$F$30, 'Revenue Tracking'!$J$13:$J$30, "&gt;="&amp;EC1,'Revenue Tracking'!$J$13:$J$30, "&lt;"&amp;FX1)</f>
        <v>0</v>
      </c>
      <c r="ED9" s="511">
        <f>SUMIFS('Revenue Tracking'!$F$13:$F$30, 'Revenue Tracking'!$J$13:$J$30, "&gt;="&amp;ED1,'Revenue Tracking'!$J$13:$J$30, "&lt;"&amp;FY1)</f>
        <v>0</v>
      </c>
      <c r="EE9" s="511">
        <f>SUMIFS('Revenue Tracking'!$F$13:$F$30, 'Revenue Tracking'!$J$13:$J$30, "&gt;="&amp;EE1,'Revenue Tracking'!$J$13:$J$30, "&lt;"&amp;FZ1)</f>
        <v>0</v>
      </c>
      <c r="EF9" s="511">
        <f>SUMIFS('Revenue Tracking'!$F$13:$F$30, 'Revenue Tracking'!$J$13:$J$30, "&gt;="&amp;EF1,'Revenue Tracking'!$J$13:$J$30, "&lt;"&amp;GA1)</f>
        <v>0</v>
      </c>
      <c r="EG9" s="511">
        <f>SUMIFS('Revenue Tracking'!$F$13:$F$30, 'Revenue Tracking'!$J$13:$J$30, "&gt;="&amp;EG1,'Revenue Tracking'!$J$13:$J$30, "&lt;"&amp;GB1)</f>
        <v>0</v>
      </c>
      <c r="EH9" s="511">
        <f>SUMIFS('Revenue Tracking'!$F$13:$F$30, 'Revenue Tracking'!$J$13:$J$30, "&gt;="&amp;EH1,'Revenue Tracking'!$J$13:$J$30, "&lt;"&amp;GC1)</f>
        <v>0</v>
      </c>
      <c r="EI9" s="511">
        <f>SUMIFS('Revenue Tracking'!$F$13:$F$30, 'Revenue Tracking'!$J$13:$J$30, "&gt;="&amp;EI1,'Revenue Tracking'!$J$13:$J$30, "&lt;"&amp;GD1)</f>
        <v>0</v>
      </c>
    </row>
    <row r="10" spans="1:617">
      <c r="A10" s="956"/>
      <c r="B10" s="495" t="s">
        <v>452</v>
      </c>
      <c r="C10" s="498"/>
      <c r="D10" s="498"/>
      <c r="E10" s="489"/>
      <c r="F10" s="511">
        <f>F9</f>
        <v>0</v>
      </c>
      <c r="G10" s="511">
        <f>F10+G9</f>
        <v>0</v>
      </c>
      <c r="H10" s="511">
        <f t="shared" ref="H10:BS10" si="207">G10+H9</f>
        <v>0</v>
      </c>
      <c r="I10" s="511">
        <f t="shared" si="207"/>
        <v>0</v>
      </c>
      <c r="J10" s="511">
        <f t="shared" si="207"/>
        <v>0</v>
      </c>
      <c r="K10" s="511">
        <f t="shared" si="207"/>
        <v>0</v>
      </c>
      <c r="L10" s="511">
        <f t="shared" si="207"/>
        <v>0</v>
      </c>
      <c r="M10" s="511">
        <f t="shared" si="207"/>
        <v>0</v>
      </c>
      <c r="N10" s="511">
        <f t="shared" si="207"/>
        <v>0</v>
      </c>
      <c r="O10" s="511">
        <f t="shared" si="207"/>
        <v>0</v>
      </c>
      <c r="P10" s="511">
        <f t="shared" si="207"/>
        <v>0</v>
      </c>
      <c r="Q10" s="511">
        <f t="shared" si="207"/>
        <v>0</v>
      </c>
      <c r="R10" s="511">
        <f t="shared" si="207"/>
        <v>0</v>
      </c>
      <c r="S10" s="511">
        <f t="shared" si="207"/>
        <v>0</v>
      </c>
      <c r="T10" s="511">
        <f t="shared" si="207"/>
        <v>0</v>
      </c>
      <c r="U10" s="511">
        <f t="shared" si="207"/>
        <v>0</v>
      </c>
      <c r="V10" s="511">
        <f t="shared" si="207"/>
        <v>0</v>
      </c>
      <c r="W10" s="511">
        <f t="shared" si="207"/>
        <v>0</v>
      </c>
      <c r="X10" s="511">
        <f t="shared" si="207"/>
        <v>0</v>
      </c>
      <c r="Y10" s="511">
        <f t="shared" si="207"/>
        <v>0</v>
      </c>
      <c r="Z10" s="511">
        <f t="shared" si="207"/>
        <v>0</v>
      </c>
      <c r="AA10" s="511">
        <f t="shared" si="207"/>
        <v>0</v>
      </c>
      <c r="AB10" s="511">
        <f t="shared" si="207"/>
        <v>0</v>
      </c>
      <c r="AC10" s="511">
        <f t="shared" si="207"/>
        <v>0</v>
      </c>
      <c r="AD10" s="511">
        <f t="shared" si="207"/>
        <v>0</v>
      </c>
      <c r="AE10" s="511">
        <f t="shared" si="207"/>
        <v>0</v>
      </c>
      <c r="AF10" s="511">
        <f t="shared" si="207"/>
        <v>0</v>
      </c>
      <c r="AG10" s="511">
        <f t="shared" si="207"/>
        <v>0</v>
      </c>
      <c r="AH10" s="511">
        <f t="shared" si="207"/>
        <v>0</v>
      </c>
      <c r="AI10" s="511">
        <f t="shared" si="207"/>
        <v>0</v>
      </c>
      <c r="AJ10" s="511">
        <f t="shared" si="207"/>
        <v>0</v>
      </c>
      <c r="AK10" s="511">
        <f t="shared" si="207"/>
        <v>0</v>
      </c>
      <c r="AL10" s="511">
        <f t="shared" si="207"/>
        <v>0</v>
      </c>
      <c r="AM10" s="511">
        <f t="shared" si="207"/>
        <v>0</v>
      </c>
      <c r="AN10" s="511">
        <f t="shared" si="207"/>
        <v>0</v>
      </c>
      <c r="AO10" s="511">
        <f t="shared" si="207"/>
        <v>0</v>
      </c>
      <c r="AP10" s="511">
        <f t="shared" si="207"/>
        <v>0</v>
      </c>
      <c r="AQ10" s="511">
        <f t="shared" si="207"/>
        <v>0</v>
      </c>
      <c r="AR10" s="511">
        <f t="shared" si="207"/>
        <v>0</v>
      </c>
      <c r="AS10" s="511">
        <f t="shared" si="207"/>
        <v>0</v>
      </c>
      <c r="AT10" s="511">
        <f t="shared" si="207"/>
        <v>0</v>
      </c>
      <c r="AU10" s="511">
        <f t="shared" si="207"/>
        <v>0</v>
      </c>
      <c r="AV10" s="511">
        <f t="shared" si="207"/>
        <v>0</v>
      </c>
      <c r="AW10" s="511">
        <f t="shared" si="207"/>
        <v>0</v>
      </c>
      <c r="AX10" s="511">
        <f t="shared" si="207"/>
        <v>0</v>
      </c>
      <c r="AY10" s="511">
        <f t="shared" si="207"/>
        <v>0</v>
      </c>
      <c r="AZ10" s="511">
        <f t="shared" si="207"/>
        <v>0</v>
      </c>
      <c r="BA10" s="511">
        <f t="shared" si="207"/>
        <v>0</v>
      </c>
      <c r="BB10" s="511">
        <f t="shared" si="207"/>
        <v>0</v>
      </c>
      <c r="BC10" s="511">
        <f t="shared" si="207"/>
        <v>0</v>
      </c>
      <c r="BD10" s="511">
        <f t="shared" si="207"/>
        <v>0</v>
      </c>
      <c r="BE10" s="511">
        <f t="shared" si="207"/>
        <v>0</v>
      </c>
      <c r="BF10" s="511">
        <f t="shared" si="207"/>
        <v>0</v>
      </c>
      <c r="BG10" s="511">
        <f t="shared" si="207"/>
        <v>0</v>
      </c>
      <c r="BH10" s="511">
        <f t="shared" si="207"/>
        <v>0</v>
      </c>
      <c r="BI10" s="511">
        <f t="shared" si="207"/>
        <v>0</v>
      </c>
      <c r="BJ10" s="511">
        <f t="shared" si="207"/>
        <v>0</v>
      </c>
      <c r="BK10" s="511">
        <f t="shared" si="207"/>
        <v>0</v>
      </c>
      <c r="BL10" s="511">
        <f t="shared" si="207"/>
        <v>0</v>
      </c>
      <c r="BM10" s="511">
        <f t="shared" si="207"/>
        <v>0</v>
      </c>
      <c r="BN10" s="511">
        <f t="shared" si="207"/>
        <v>2204986.2369565219</v>
      </c>
      <c r="BO10" s="511">
        <f t="shared" si="207"/>
        <v>3944116.6717391307</v>
      </c>
      <c r="BP10" s="511">
        <f t="shared" si="207"/>
        <v>10900638.410869567</v>
      </c>
      <c r="BQ10" s="511">
        <f t="shared" si="207"/>
        <v>14378899.280434784</v>
      </c>
      <c r="BR10" s="511">
        <f t="shared" si="207"/>
        <v>15704256.577295318</v>
      </c>
      <c r="BS10" s="511">
        <f t="shared" si="207"/>
        <v>15704256.577295318</v>
      </c>
      <c r="BT10" s="511">
        <f t="shared" ref="BT10:BV10" si="208">BS10+BT9</f>
        <v>15704256.577295318</v>
      </c>
      <c r="BU10" s="511">
        <f t="shared" si="208"/>
        <v>15704256.577295318</v>
      </c>
      <c r="BV10" s="511">
        <f t="shared" si="208"/>
        <v>15704256.577295318</v>
      </c>
      <c r="BW10" s="511">
        <f t="shared" ref="BW10" si="209">BV10+BW9</f>
        <v>15704256.577295318</v>
      </c>
      <c r="BX10" s="511">
        <f t="shared" ref="BX10" si="210">BW10+BX9</f>
        <v>15704256.577295318</v>
      </c>
      <c r="BY10" s="511">
        <f t="shared" ref="BY10" si="211">BX10+BY9</f>
        <v>15704256.577295318</v>
      </c>
      <c r="BZ10" s="511">
        <f t="shared" ref="BZ10" si="212">BY10+BZ9</f>
        <v>20939008.769727092</v>
      </c>
      <c r="CA10" s="511">
        <f t="shared" ref="CA10" si="213">BZ10+CA9</f>
        <v>20939008.769727092</v>
      </c>
      <c r="CB10" s="511">
        <f t="shared" ref="CB10" si="214">CA10+CB9</f>
        <v>20939008.769727092</v>
      </c>
      <c r="CC10" s="511">
        <f t="shared" ref="CC10" si="215">CB10+CC9</f>
        <v>20939008.769727092</v>
      </c>
      <c r="CD10" s="511">
        <f t="shared" ref="CD10" si="216">CC10+CD9</f>
        <v>20939008.769727092</v>
      </c>
      <c r="CE10" s="511">
        <f t="shared" ref="CE10" si="217">CD10+CE9</f>
        <v>20939008.769727092</v>
      </c>
      <c r="CF10" s="511">
        <f t="shared" ref="CF10" si="218">CE10+CF9</f>
        <v>20939008.769727092</v>
      </c>
      <c r="CG10" s="511">
        <f t="shared" ref="CG10" si="219">CF10+CG9</f>
        <v>20939008.769727092</v>
      </c>
      <c r="CH10" s="511">
        <f t="shared" ref="CH10" si="220">CG10+CH9</f>
        <v>20939008.769727092</v>
      </c>
      <c r="CI10" s="511">
        <f t="shared" ref="CI10" si="221">CH10+CI9</f>
        <v>20939008.769727092</v>
      </c>
      <c r="CJ10" s="511">
        <f t="shared" ref="CJ10" si="222">CI10+CJ9</f>
        <v>20939008.769727092</v>
      </c>
      <c r="CK10" s="511">
        <f t="shared" ref="CK10" si="223">CJ10+CK9</f>
        <v>20939008.769727092</v>
      </c>
      <c r="CL10" s="511">
        <f t="shared" ref="CL10" si="224">CK10+CL9</f>
        <v>20939008.769727092</v>
      </c>
      <c r="CM10" s="511">
        <f t="shared" ref="CM10" si="225">CL10+CM9</f>
        <v>20939008.769727092</v>
      </c>
      <c r="CN10" s="511">
        <f t="shared" ref="CN10" si="226">CM10+CN9</f>
        <v>20939008.769727092</v>
      </c>
      <c r="CO10" s="511">
        <f t="shared" ref="CO10" si="227">CN10+CO9</f>
        <v>20939008.769727092</v>
      </c>
      <c r="CP10" s="511">
        <f t="shared" ref="CP10" si="228">CO10+CP9</f>
        <v>20939008.769727092</v>
      </c>
      <c r="CQ10" s="511">
        <f t="shared" ref="CQ10" si="229">CP10+CQ9</f>
        <v>20939008.769727092</v>
      </c>
      <c r="CR10" s="511">
        <f t="shared" ref="CR10" si="230">CQ10+CR9</f>
        <v>20939008.769727092</v>
      </c>
      <c r="CS10" s="511">
        <f t="shared" ref="CS10" si="231">CR10+CS9</f>
        <v>20939008.769727092</v>
      </c>
      <c r="CT10" s="511">
        <f t="shared" ref="CT10" si="232">CS10+CT9</f>
        <v>20939008.769727092</v>
      </c>
      <c r="CU10" s="511">
        <f t="shared" ref="CU10" si="233">CT10+CU9</f>
        <v>20939008.769727092</v>
      </c>
      <c r="CV10" s="511">
        <f t="shared" ref="CV10" si="234">CU10+CV9</f>
        <v>20939008.769727092</v>
      </c>
      <c r="CW10" s="511">
        <f t="shared" ref="CW10" si="235">CV10+CW9</f>
        <v>20939008.769727092</v>
      </c>
      <c r="CX10" s="511">
        <f t="shared" ref="CX10" si="236">CW10+CX9</f>
        <v>20939008.769727092</v>
      </c>
      <c r="CY10" s="511">
        <f t="shared" ref="CY10" si="237">CX10+CY9</f>
        <v>20939008.769727092</v>
      </c>
      <c r="CZ10" s="511">
        <f t="shared" ref="CZ10" si="238">CY10+CZ9</f>
        <v>20939008.769727092</v>
      </c>
      <c r="DA10" s="511">
        <f t="shared" ref="DA10" si="239">CZ10+DA9</f>
        <v>20939008.769727092</v>
      </c>
      <c r="DB10" s="511">
        <f t="shared" ref="DB10" si="240">DA10+DB9</f>
        <v>20939008.769727092</v>
      </c>
      <c r="DC10" s="511">
        <f t="shared" ref="DC10" si="241">DB10+DC9</f>
        <v>20939008.769727092</v>
      </c>
      <c r="DD10" s="511">
        <f t="shared" ref="DD10" si="242">DC10+DD9</f>
        <v>20939008.769727092</v>
      </c>
      <c r="DE10" s="511">
        <f t="shared" ref="DE10" si="243">DD10+DE9</f>
        <v>20939008.769727092</v>
      </c>
      <c r="DF10" s="511">
        <f t="shared" ref="DF10" si="244">DE10+DF9</f>
        <v>20939008.769727092</v>
      </c>
      <c r="DG10" s="511">
        <f t="shared" ref="DG10" si="245">DF10+DG9</f>
        <v>20939008.769727092</v>
      </c>
      <c r="DH10" s="511">
        <f t="shared" ref="DH10" si="246">DG10+DH9</f>
        <v>20939008.769727092</v>
      </c>
      <c r="DI10" s="511">
        <f t="shared" ref="DI10" si="247">DH10+DI9</f>
        <v>20939008.769727092</v>
      </c>
      <c r="DJ10" s="511">
        <f t="shared" ref="DJ10" si="248">DI10+DJ9</f>
        <v>20939008.769727092</v>
      </c>
      <c r="DK10" s="511">
        <f t="shared" ref="DK10" si="249">DJ10+DK9</f>
        <v>20939008.769727092</v>
      </c>
      <c r="DL10" s="511">
        <f t="shared" ref="DL10" si="250">DK10+DL9</f>
        <v>20939008.769727092</v>
      </c>
      <c r="DM10" s="511">
        <f t="shared" ref="DM10" si="251">DL10+DM9</f>
        <v>20939008.769727092</v>
      </c>
      <c r="DN10" s="511">
        <f t="shared" ref="DN10" si="252">DM10+DN9</f>
        <v>20939008.769727092</v>
      </c>
      <c r="DO10" s="511">
        <f t="shared" ref="DO10" si="253">DN10+DO9</f>
        <v>20939008.769727092</v>
      </c>
      <c r="DP10" s="511">
        <f t="shared" ref="DP10" si="254">DO10+DP9</f>
        <v>20939008.769727092</v>
      </c>
      <c r="DQ10" s="511">
        <f t="shared" ref="DQ10" si="255">DP10+DQ9</f>
        <v>20939008.769727092</v>
      </c>
      <c r="DR10" s="511">
        <f t="shared" ref="DR10" si="256">DQ10+DR9</f>
        <v>20939008.769727092</v>
      </c>
      <c r="DS10" s="511">
        <f t="shared" ref="DS10" si="257">DR10+DS9</f>
        <v>20939008.769727092</v>
      </c>
      <c r="DT10" s="511">
        <f t="shared" ref="DT10" si="258">DS10+DT9</f>
        <v>20939008.769727092</v>
      </c>
      <c r="DU10" s="511">
        <f t="shared" ref="DU10" si="259">DT10+DU9</f>
        <v>20939008.769727092</v>
      </c>
      <c r="DV10" s="511">
        <f t="shared" ref="DV10" si="260">DU10+DV9</f>
        <v>20939008.769727092</v>
      </c>
      <c r="DW10" s="511">
        <f t="shared" ref="DW10" si="261">DV10+DW9</f>
        <v>20939008.769727092</v>
      </c>
      <c r="DX10" s="511">
        <f t="shared" ref="DX10" si="262">DW10+DX9</f>
        <v>20939008.769727092</v>
      </c>
      <c r="DY10" s="511">
        <f t="shared" ref="DY10" si="263">DX10+DY9</f>
        <v>20939008.769727092</v>
      </c>
      <c r="DZ10" s="511">
        <f t="shared" ref="DZ10" si="264">DY10+DZ9</f>
        <v>20939008.769727092</v>
      </c>
      <c r="EA10" s="511">
        <f t="shared" ref="EA10" si="265">DZ10+EA9</f>
        <v>20939008.769727092</v>
      </c>
      <c r="EB10" s="511">
        <f t="shared" ref="EB10" si="266">EA10+EB9</f>
        <v>20939008.769727092</v>
      </c>
      <c r="EC10" s="511">
        <f t="shared" ref="EC10" si="267">EB10+EC9</f>
        <v>20939008.769727092</v>
      </c>
      <c r="ED10" s="511">
        <f t="shared" ref="ED10" si="268">EC10+ED9</f>
        <v>20939008.769727092</v>
      </c>
      <c r="EE10" s="511">
        <f t="shared" ref="EE10" si="269">ED10+EE9</f>
        <v>20939008.769727092</v>
      </c>
      <c r="EF10" s="511">
        <f t="shared" ref="EF10" si="270">EE10+EF9</f>
        <v>20939008.769727092</v>
      </c>
      <c r="EG10" s="511">
        <f t="shared" ref="EG10" si="271">EF10+EG9</f>
        <v>20939008.769727092</v>
      </c>
      <c r="EH10" s="511">
        <f t="shared" ref="EH10" si="272">EG10+EH9</f>
        <v>20939008.769727092</v>
      </c>
      <c r="EI10" s="511">
        <f t="shared" ref="EI10" si="273">EH10+EI9</f>
        <v>20939008.769727092</v>
      </c>
    </row>
    <row r="11" spans="1:617" s="444" customFormat="1">
      <c r="A11" s="956"/>
      <c r="B11" s="505" t="s">
        <v>453</v>
      </c>
      <c r="C11" s="506">
        <f>'Revenue Tracking'!F5</f>
        <v>19234297.270437386</v>
      </c>
      <c r="D11" s="506">
        <f>SUM(F11:EI11)</f>
        <v>18959665.320437387</v>
      </c>
      <c r="E11" s="489"/>
      <c r="F11" s="512">
        <f>SUMIFS('Expenditure Breakdown'!$Q$6:$Q$212, 'Expenditure Breakdown'!$R$6:$R$212, "&gt;="&amp;F1,'Expenditure Breakdown'!$R$6:$R$212, "&lt;"&amp;G1)</f>
        <v>0</v>
      </c>
      <c r="G11" s="512">
        <f>SUMIFS('Expenditure Breakdown'!$Q$6:$Q$212, 'Expenditure Breakdown'!$R$6:$R$212, "&gt;="&amp;G1,'Expenditure Breakdown'!$R$6:$R$212, "&lt;"&amp;H1)</f>
        <v>0</v>
      </c>
      <c r="H11" s="512">
        <f>SUMIFS('Expenditure Breakdown'!$Q$6:$Q$212, 'Expenditure Breakdown'!$R$6:$R$212, "&gt;="&amp;H1,'Expenditure Breakdown'!$R$6:$R$212, "&lt;"&amp;I1)</f>
        <v>0</v>
      </c>
      <c r="I11" s="512">
        <f>SUMIFS('Expenditure Breakdown'!$Q$6:$Q$212, 'Expenditure Breakdown'!$R$6:$R$212, "&gt;="&amp;I1,'Expenditure Breakdown'!$R$6:$R$212, "&lt;"&amp;J1)</f>
        <v>0</v>
      </c>
      <c r="J11" s="512">
        <f>SUMIFS('Expenditure Breakdown'!$Q$6:$Q$212, 'Expenditure Breakdown'!$R$6:$R$212, "&gt;="&amp;J1,'Expenditure Breakdown'!$R$6:$R$212, "&lt;"&amp;K1)</f>
        <v>11750</v>
      </c>
      <c r="K11" s="512">
        <f>SUMIFS('Expenditure Breakdown'!$Q$6:$Q$212, 'Expenditure Breakdown'!$R$6:$R$212, "&gt;="&amp;K1,'Expenditure Breakdown'!$R$6:$R$212, "&lt;"&amp;L1)</f>
        <v>0</v>
      </c>
      <c r="L11" s="512">
        <f>SUMIFS('Expenditure Breakdown'!$Q$6:$Q$212, 'Expenditure Breakdown'!$R$6:$R$212, "&gt;="&amp;L1,'Expenditure Breakdown'!$R$6:$R$212, "&lt;"&amp;M1)</f>
        <v>0</v>
      </c>
      <c r="M11" s="512">
        <f>SUMIFS('Expenditure Breakdown'!$Q$6:$Q$212, 'Expenditure Breakdown'!$R$6:$R$212, "&gt;="&amp;M1,'Expenditure Breakdown'!$R$6:$R$212, "&lt;"&amp;N1)</f>
        <v>0</v>
      </c>
      <c r="N11" s="512">
        <f>SUMIFS('Expenditure Breakdown'!$Q$6:$Q$212, 'Expenditure Breakdown'!$R$6:$R$212, "&gt;="&amp;N1,'Expenditure Breakdown'!$R$6:$R$212, "&lt;"&amp;O1)</f>
        <v>0</v>
      </c>
      <c r="O11" s="512">
        <f>SUMIFS('Expenditure Breakdown'!$Q$6:$Q$212, 'Expenditure Breakdown'!$R$6:$R$212, "&gt;="&amp;O1,'Expenditure Breakdown'!$R$6:$R$212, "&lt;"&amp;P1)</f>
        <v>239.13</v>
      </c>
      <c r="P11" s="512">
        <f>SUMIFS('Expenditure Breakdown'!$Q$6:$Q$212, 'Expenditure Breakdown'!$R$6:$R$212, "&gt;="&amp;P1,'Expenditure Breakdown'!$R$6:$R$212, "&lt;"&amp;Q1)</f>
        <v>0</v>
      </c>
      <c r="Q11" s="512">
        <f>SUMIFS('Expenditure Breakdown'!$Q$6:$Q$212, 'Expenditure Breakdown'!$R$6:$R$212, "&gt;="&amp;Q1,'Expenditure Breakdown'!$R$6:$R$212, "&lt;"&amp;R1)</f>
        <v>0</v>
      </c>
      <c r="R11" s="512">
        <f>SUMIFS('Expenditure Breakdown'!$Q$6:$Q$212, 'Expenditure Breakdown'!$R$6:$R$212, "&gt;="&amp;R1,'Expenditure Breakdown'!$R$6:$R$212, "&lt;"&amp;S1)</f>
        <v>0</v>
      </c>
      <c r="S11" s="512">
        <f>SUMIFS('Expenditure Breakdown'!$Q$6:$Q$212, 'Expenditure Breakdown'!$R$6:$R$212, "&gt;="&amp;S1,'Expenditure Breakdown'!$R$6:$R$212, "&lt;"&amp;T1)</f>
        <v>0</v>
      </c>
      <c r="T11" s="512">
        <f>SUMIFS('Expenditure Breakdown'!$Q$6:$Q$212, 'Expenditure Breakdown'!$R$6:$R$212, "&gt;="&amp;T1,'Expenditure Breakdown'!$R$6:$R$212, "&lt;"&amp;U1)</f>
        <v>0</v>
      </c>
      <c r="U11" s="512">
        <f>SUMIFS('Expenditure Breakdown'!$Q$6:$Q$212, 'Expenditure Breakdown'!$R$6:$R$212, "&gt;="&amp;U1,'Expenditure Breakdown'!$R$6:$R$212, "&lt;"&amp;V1)</f>
        <v>3786.92</v>
      </c>
      <c r="V11" s="512">
        <f>SUMIFS('Expenditure Breakdown'!$Q$6:$Q$212, 'Expenditure Breakdown'!$R$6:$R$212, "&gt;="&amp;V1,'Expenditure Breakdown'!$R$6:$R$212, "&lt;"&amp;W1)</f>
        <v>0</v>
      </c>
      <c r="W11" s="512">
        <f>SUMIFS('Expenditure Breakdown'!$Q$6:$Q$212, 'Expenditure Breakdown'!$R$6:$R$212, "&gt;="&amp;W1,'Expenditure Breakdown'!$R$6:$R$212, "&lt;"&amp;X1)</f>
        <v>715.28</v>
      </c>
      <c r="X11" s="512">
        <f>SUMIFS('Expenditure Breakdown'!$Q$6:$Q$212, 'Expenditure Breakdown'!$R$6:$R$212, "&gt;="&amp;X1,'Expenditure Breakdown'!$R$6:$R$212, "&lt;"&amp;Y1)</f>
        <v>1529827.7162675706</v>
      </c>
      <c r="Y11" s="512">
        <f>SUMIFS('Expenditure Breakdown'!$Q$6:$Q$212, 'Expenditure Breakdown'!$R$6:$R$212, "&gt;="&amp;Y1,'Expenditure Breakdown'!$R$6:$R$212, "&lt;"&amp;Z1)</f>
        <v>35597.51</v>
      </c>
      <c r="Z11" s="512">
        <f>SUMIFS('Expenditure Breakdown'!$Q$6:$Q$212, 'Expenditure Breakdown'!$R$6:$R$212, "&gt;="&amp;Z1,'Expenditure Breakdown'!$R$6:$R$212, "&lt;"&amp;AA1)</f>
        <v>5328.39</v>
      </c>
      <c r="AA11" s="512">
        <f>SUMIFS('Expenditure Breakdown'!$Q$6:$Q$212, 'Expenditure Breakdown'!$R$6:$R$212, "&gt;="&amp;AA1,'Expenditure Breakdown'!$R$6:$R$212, "&lt;"&amp;AB1)</f>
        <v>106.72</v>
      </c>
      <c r="AB11" s="512">
        <f>SUMIFS('Expenditure Breakdown'!$Q$6:$Q$212, 'Expenditure Breakdown'!$R$6:$R$212, "&gt;="&amp;AB1,'Expenditure Breakdown'!$R$6:$R$212, "&lt;"&amp;AC1)</f>
        <v>0</v>
      </c>
      <c r="AC11" s="512">
        <f>SUMIFS('Expenditure Breakdown'!$Q$6:$Q$212, 'Expenditure Breakdown'!$R$6:$R$212, "&gt;="&amp;AC1,'Expenditure Breakdown'!$R$6:$R$212, "&lt;"&amp;AD1)</f>
        <v>2969.31</v>
      </c>
      <c r="AD11" s="512">
        <f>SUMIFS('Expenditure Breakdown'!$Q$6:$Q$212, 'Expenditure Breakdown'!$R$6:$R$212, "&gt;="&amp;AD1,'Expenditure Breakdown'!$R$6:$R$212, "&lt;"&amp;AE1)</f>
        <v>5504.7800000000007</v>
      </c>
      <c r="AE11" s="512">
        <f>SUMIFS('Expenditure Breakdown'!$Q$6:$Q$212, 'Expenditure Breakdown'!$R$6:$R$212, "&gt;="&amp;AE1,'Expenditure Breakdown'!$R$6:$R$212, "&lt;"&amp;AF1)</f>
        <v>4067.03</v>
      </c>
      <c r="AF11" s="512">
        <f>SUMIFS('Expenditure Breakdown'!$Q$6:$Q$212, 'Expenditure Breakdown'!$R$6:$R$212, "&gt;="&amp;AF1,'Expenditure Breakdown'!$R$6:$R$212, "&lt;"&amp;AG1)</f>
        <v>384410</v>
      </c>
      <c r="AG11" s="512">
        <f>SUMIFS('Expenditure Breakdown'!$Q$6:$Q$212, 'Expenditure Breakdown'!$R$6:$R$212, "&gt;="&amp;AG1,'Expenditure Breakdown'!$R$6:$R$212, "&lt;"&amp;AH1)</f>
        <v>107621.9</v>
      </c>
      <c r="AH11" s="512">
        <f>SUMIFS('Expenditure Breakdown'!$Q$6:$Q$212, 'Expenditure Breakdown'!$R$6:$R$212, "&gt;="&amp;AH1,'Expenditure Breakdown'!$R$6:$R$212, "&lt;"&amp;AI1)</f>
        <v>5016.82</v>
      </c>
      <c r="AI11" s="512">
        <f>SUMIFS('Expenditure Breakdown'!$Q$6:$Q$212, 'Expenditure Breakdown'!$R$6:$R$212, "&gt;="&amp;AI1,'Expenditure Breakdown'!$R$6:$R$212, "&lt;"&amp;AJ1)</f>
        <v>893244</v>
      </c>
      <c r="AJ11" s="512">
        <f>SUMIFS('Expenditure Breakdown'!$Q$6:$Q$212, 'Expenditure Breakdown'!$R$6:$R$212, "&gt;="&amp;AJ1,'Expenditure Breakdown'!$R$6:$R$212, "&lt;"&amp;AK1)</f>
        <v>1724.6</v>
      </c>
      <c r="AK11" s="512">
        <f>SUMIFS('Expenditure Breakdown'!$Q$6:$Q$212, 'Expenditure Breakdown'!$R$6:$R$212, "&gt;="&amp;AK1,'Expenditure Breakdown'!$R$6:$R$212, "&lt;"&amp;AL1)</f>
        <v>0</v>
      </c>
      <c r="AL11" s="512">
        <f>SUMIFS('Expenditure Breakdown'!$Q$6:$Q$212, 'Expenditure Breakdown'!$R$6:$R$212, "&gt;="&amp;AL1,'Expenditure Breakdown'!$R$6:$R$212, "&lt;"&amp;AM1)</f>
        <v>0</v>
      </c>
      <c r="AM11" s="512">
        <f>SUMIFS('Expenditure Breakdown'!$Q$6:$Q$212, 'Expenditure Breakdown'!$R$6:$R$212, "&gt;="&amp;AM1,'Expenditure Breakdown'!$R$6:$R$212, "&lt;"&amp;AN1)</f>
        <v>569013.52</v>
      </c>
      <c r="AN11" s="512">
        <f>SUMIFS('Expenditure Breakdown'!$Q$6:$Q$212, 'Expenditure Breakdown'!$R$6:$R$212, "&gt;="&amp;AN1,'Expenditure Breakdown'!$R$6:$R$212, "&lt;"&amp;AO1)</f>
        <v>1073842.1000000001</v>
      </c>
      <c r="AO11" s="512">
        <f>SUMIFS('Expenditure Breakdown'!$Q$6:$Q$212, 'Expenditure Breakdown'!$R$6:$R$212, "&gt;="&amp;AO1,'Expenditure Breakdown'!$R$6:$R$212, "&lt;"&amp;AP1)</f>
        <v>0</v>
      </c>
      <c r="AP11" s="512">
        <f>SUMIFS('Expenditure Breakdown'!$Q$6:$Q$212, 'Expenditure Breakdown'!$R$6:$R$212, "&gt;="&amp;AP1,'Expenditure Breakdown'!$R$6:$R$212, "&lt;"&amp;AQ1)</f>
        <v>0</v>
      </c>
      <c r="AQ11" s="512">
        <f>SUMIFS('Expenditure Breakdown'!$Q$6:$Q$212, 'Expenditure Breakdown'!$R$6:$R$212, "&gt;="&amp;AQ1,'Expenditure Breakdown'!$R$6:$R$212, "&lt;"&amp;AR1)</f>
        <v>12115.630000000001</v>
      </c>
      <c r="AR11" s="512">
        <f>SUMIFS('Expenditure Breakdown'!$Q$6:$Q$212, 'Expenditure Breakdown'!$R$6:$R$212, "&gt;="&amp;AR1,'Expenditure Breakdown'!$R$6:$R$212, "&lt;"&amp;AS1)</f>
        <v>54384.700000000004</v>
      </c>
      <c r="AS11" s="512">
        <f>SUMIFS('Expenditure Breakdown'!$Q$6:$Q$212, 'Expenditure Breakdown'!$R$6:$R$212, "&gt;="&amp;AS1,'Expenditure Breakdown'!$R$6:$R$212, "&lt;"&amp;AT1)</f>
        <v>139.19999999999999</v>
      </c>
      <c r="AT11" s="512">
        <f>SUMIFS('Expenditure Breakdown'!$Q$6:$Q$212, 'Expenditure Breakdown'!$R$6:$R$212, "&gt;="&amp;AT1,'Expenditure Breakdown'!$R$6:$R$212, "&lt;"&amp;AU1)</f>
        <v>298078.86</v>
      </c>
      <c r="AU11" s="512">
        <f>SUMIFS('Expenditure Breakdown'!$Q$6:$Q$212, 'Expenditure Breakdown'!$R$6:$R$212, "&gt;="&amp;AU1,'Expenditure Breakdown'!$R$6:$R$212, "&lt;"&amp;AV1)</f>
        <v>5859.38</v>
      </c>
      <c r="AV11" s="512">
        <f>SUMIFS('Expenditure Breakdown'!$Q$6:$Q$212, 'Expenditure Breakdown'!$R$6:$R$212, "&gt;="&amp;AV1,'Expenditure Breakdown'!$R$6:$R$212, "&lt;"&amp;AW1)</f>
        <v>3104.8999999999996</v>
      </c>
      <c r="AW11" s="512">
        <f>SUMIFS('Expenditure Breakdown'!$Q$6:$Q$212, 'Expenditure Breakdown'!$R$6:$R$212, "&gt;="&amp;AW1,'Expenditure Breakdown'!$R$6:$R$212, "&lt;"&amp;AX1)</f>
        <v>196395.02000000002</v>
      </c>
      <c r="AX11" s="512">
        <f>SUMIFS('Expenditure Breakdown'!$Q$6:$Q$212, 'Expenditure Breakdown'!$R$6:$R$212, "&gt;="&amp;AX1,'Expenditure Breakdown'!$R$6:$R$212, "&lt;"&amp;AY1)</f>
        <v>0</v>
      </c>
      <c r="AY11" s="512">
        <f>SUMIFS('Expenditure Breakdown'!$Q$6:$Q$212, 'Expenditure Breakdown'!$R$6:$R$212, "&gt;="&amp;AY1,'Expenditure Breakdown'!$R$6:$R$212, "&lt;"&amp;AZ1)</f>
        <v>51220</v>
      </c>
      <c r="AZ11" s="512">
        <f>SUMIFS('Expenditure Breakdown'!$Q$6:$Q$212, 'Expenditure Breakdown'!$R$6:$R$212, "&gt;="&amp;AZ1,'Expenditure Breakdown'!$R$6:$R$212, "&lt;"&amp;BA1)</f>
        <v>0</v>
      </c>
      <c r="BA11" s="512">
        <f>SUMIFS('Expenditure Breakdown'!$Q$6:$Q$212, 'Expenditure Breakdown'!$R$6:$R$212, "&gt;="&amp;BA1,'Expenditure Breakdown'!$R$6:$R$212, "&lt;"&amp;BB1)</f>
        <v>0</v>
      </c>
      <c r="BB11" s="512">
        <f>SUMIFS('Expenditure Breakdown'!$Q$6:$Q$212, 'Expenditure Breakdown'!$R$6:$R$212, "&gt;="&amp;BB1,'Expenditure Breakdown'!$R$6:$R$212, "&lt;"&amp;BC1)</f>
        <v>0</v>
      </c>
      <c r="BC11" s="512">
        <f>SUMIFS('Expenditure Breakdown'!$Q$6:$Q$212, 'Expenditure Breakdown'!$R$6:$R$212, "&gt;="&amp;BC1,'Expenditure Breakdown'!$R$6:$R$212, "&lt;"&amp;BD1)</f>
        <v>0</v>
      </c>
      <c r="BD11" s="512">
        <f>SUMIFS('Expenditure Breakdown'!$Q$6:$Q$212, 'Expenditure Breakdown'!$R$6:$R$212, "&gt;="&amp;BD1,'Expenditure Breakdown'!$R$6:$R$212, "&lt;"&amp;BE1)</f>
        <v>133278.46173913046</v>
      </c>
      <c r="BE11" s="512">
        <f>SUMIFS('Expenditure Breakdown'!$Q$6:$Q$212, 'Expenditure Breakdown'!$R$6:$R$212, "&gt;="&amp;BE1,'Expenditure Breakdown'!$R$6:$R$212, "&lt;"&amp;BF1)</f>
        <v>97084.894260869551</v>
      </c>
      <c r="BF11" s="512">
        <f>SUMIFS('Expenditure Breakdown'!$Q$6:$Q$212, 'Expenditure Breakdown'!$R$6:$R$212, "&gt;="&amp;BF1,'Expenditure Breakdown'!$R$6:$R$212, "&lt;"&amp;BG1)</f>
        <v>3808.76</v>
      </c>
      <c r="BG11" s="512">
        <f>SUMIFS('Expenditure Breakdown'!$Q$6:$Q$212, 'Expenditure Breakdown'!$R$6:$R$212, "&gt;="&amp;BG1,'Expenditure Breakdown'!$R$6:$R$212, "&lt;"&amp;BH1)</f>
        <v>172443.8</v>
      </c>
      <c r="BH11" s="512">
        <f>SUMIFS('Expenditure Breakdown'!$Q$6:$Q$212, 'Expenditure Breakdown'!$R$6:$R$212, "&gt;="&amp;BH1,'Expenditure Breakdown'!$R$6:$R$212, "&lt;"&amp;BI1)</f>
        <v>379626.82425146003</v>
      </c>
      <c r="BI11" s="512">
        <f>SUMIFS('Expenditure Breakdown'!$Q$6:$Q$212, 'Expenditure Breakdown'!$R$6:$R$212, "&gt;="&amp;BI1,'Expenditure Breakdown'!$R$6:$R$212, "&lt;"&amp;BJ1)</f>
        <v>103650.43260869566</v>
      </c>
      <c r="BJ11" s="512">
        <f>SUMIFS('Expenditure Breakdown'!$Q$6:$Q$212, 'Expenditure Breakdown'!$R$6:$R$212, "&gt;="&amp;BJ1,'Expenditure Breakdown'!$R$6:$R$212, "&lt;"&amp;BK1)</f>
        <v>948.8</v>
      </c>
      <c r="BK11" s="512">
        <f>SUMIFS('Expenditure Breakdown'!$Q$6:$Q$212, 'Expenditure Breakdown'!$R$6:$R$212, "&gt;="&amp;BK1,'Expenditure Breakdown'!$R$6:$R$212, "&lt;"&amp;BL1)</f>
        <v>0</v>
      </c>
      <c r="BL11" s="512">
        <f>SUMIFS('Expenditure Breakdown'!$Q$6:$Q$212, 'Expenditure Breakdown'!$R$6:$R$212, "&gt;="&amp;BL1,'Expenditure Breakdown'!$R$6:$R$212, "&lt;"&amp;BM1)</f>
        <v>881171.97199999995</v>
      </c>
      <c r="BM11" s="512">
        <f>SUMIFS('Expenditure Breakdown'!$Q$6:$Q$212, 'Expenditure Breakdown'!$R$6:$R$212, "&gt;="&amp;BM1,'Expenditure Breakdown'!$R$6:$R$212, "&lt;"&amp;BN1)</f>
        <v>1644689.3900000001</v>
      </c>
      <c r="BN11" s="512">
        <f>SUMIFS('Expenditure Breakdown'!$Q$6:$Q$212, 'Expenditure Breakdown'!$R$6:$R$212, "&gt;="&amp;BN1,'Expenditure Breakdown'!$R$6:$R$212, "&lt;"&amp;BO1)</f>
        <v>4428130.59015668</v>
      </c>
      <c r="BO11" s="512">
        <f>SUMIFS('Expenditure Breakdown'!$Q$6:$Q$212, 'Expenditure Breakdown'!$R$6:$R$212, "&gt;="&amp;BO1,'Expenditure Breakdown'!$R$6:$R$212, "&lt;"&amp;BP1)</f>
        <v>77044.367391304346</v>
      </c>
      <c r="BP11" s="512">
        <f>SUMIFS('Expenditure Breakdown'!$Q$6:$Q$212, 'Expenditure Breakdown'!$R$6:$R$212, "&gt;="&amp;BP1,'Expenditure Breakdown'!$R$6:$R$212, "&lt;"&amp;BQ1)</f>
        <v>275600</v>
      </c>
      <c r="BQ11" s="512">
        <f>SUMIFS('Expenditure Breakdown'!$Q$6:$Q$212, 'Expenditure Breakdown'!$R$6:$R$212, "&gt;="&amp;BQ1,'Expenditure Breakdown'!$R$6:$R$212, "&lt;"&amp;BR1)</f>
        <v>68.650000000000006</v>
      </c>
      <c r="BR11" s="512">
        <f>SUMIFS('Expenditure Breakdown'!$Q$6:$Q$212, 'Expenditure Breakdown'!$R$6:$R$212, "&gt;="&amp;BR1,'Expenditure Breakdown'!$R$6:$R$212, "&lt;"&amp;BS1)</f>
        <v>114695.04384863548</v>
      </c>
      <c r="BS11" s="512">
        <f>SUMIFS('Expenditure Breakdown'!$Q$6:$Q$212, 'Expenditure Breakdown'!$R$6:$R$212, "&gt;="&amp;BS1,'Expenditure Breakdown'!$R$6:$R$212, "&lt;"&amp;BT1)</f>
        <v>2000208.8</v>
      </c>
      <c r="BT11" s="512">
        <f>SUMIFS('Expenditure Breakdown'!$Q$6:$Q$212, 'Expenditure Breakdown'!$R$6:$R$212, "&gt;="&amp;BT1,'Expenditure Breakdown'!$R$6:$R$212, "&lt;"&amp;BU1)</f>
        <v>14517.2</v>
      </c>
      <c r="BU11" s="512">
        <f>SUMIFS('Expenditure Breakdown'!$Q$6:$Q$212, 'Expenditure Breakdown'!$R$6:$R$212, "&gt;="&amp;BU1,'Expenditure Breakdown'!$R$6:$R$212, "&lt;"&amp;BV1)</f>
        <v>2281640.5739130434</v>
      </c>
      <c r="BV11" s="512">
        <f>SUMIFS('Expenditure Breakdown'!$Q$6:$Q$212, 'Expenditure Breakdown'!$R$6:$R$212, "&gt;="&amp;BV1,'Expenditure Breakdown'!$R$6:$R$212, "&lt;"&amp;BW1)</f>
        <v>-187920.96</v>
      </c>
      <c r="BW11" s="512">
        <f>SUMIFS('Expenditure Breakdown'!$Q$6:$Q$212, 'Expenditure Breakdown'!$R$6:$R$212, "&gt;="&amp;BW1,'Expenditure Breakdown'!$R$6:$R$212, "&lt;"&amp;BX1)</f>
        <v>0</v>
      </c>
      <c r="BX11" s="512">
        <f>SUMIFS('Expenditure Breakdown'!$Q$6:$Q$212, 'Expenditure Breakdown'!$R$6:$R$212, "&gt;="&amp;BX1,'Expenditure Breakdown'!$R$6:$R$212, "&lt;"&amp;BY1)</f>
        <v>0</v>
      </c>
      <c r="BY11" s="512">
        <f>SUMIFS('Expenditure Breakdown'!$Q$6:$Q$212, 'Expenditure Breakdown'!$R$6:$R$212, "&gt;="&amp;BY1,'Expenditure Breakdown'!$R$6:$R$212, "&lt;"&amp;BZ1)</f>
        <v>0</v>
      </c>
      <c r="BZ11" s="512">
        <f>SUMIFS('Expenditure Breakdown'!$Q$6:$Q$212, 'Expenditure Breakdown'!$R$6:$R$212, "&gt;="&amp;BZ1,'Expenditure Breakdown'!$R$6:$R$212, "&lt;"&amp;CA1)</f>
        <v>0</v>
      </c>
      <c r="CA11" s="512">
        <f>SUMIFS('Expenditure Breakdown'!$Q$6:$Q$212, 'Expenditure Breakdown'!$R$6:$R$212, "&gt;="&amp;CA1,'Expenditure Breakdown'!$R$6:$R$212, "&lt;"&amp;CB1)</f>
        <v>153648.07999999999</v>
      </c>
      <c r="CB11" s="512">
        <f>SUMIFS('Expenditure Breakdown'!$Q$6:$Q$212, 'Expenditure Breakdown'!$R$6:$R$212, "&gt;="&amp;CB1,'Expenditure Breakdown'!$R$6:$R$212, "&lt;"&amp;CC1)</f>
        <v>251752.6832</v>
      </c>
      <c r="CC11" s="512">
        <f>SUMIFS('Expenditure Breakdown'!$Q$6:$Q$212, 'Expenditure Breakdown'!$R$6:$R$212, "&gt;="&amp;CC1,'Expenditure Breakdown'!$R$6:$R$212, "&lt;"&amp;CD1)</f>
        <v>0</v>
      </c>
      <c r="CD11" s="512">
        <f>SUMIFS('Expenditure Breakdown'!$Q$6:$Q$212, 'Expenditure Breakdown'!$R$6:$R$212, "&gt;="&amp;CD1,'Expenditure Breakdown'!$R$6:$R$212, "&lt;"&amp;CE1)</f>
        <v>0</v>
      </c>
      <c r="CE11" s="512">
        <f>SUMIFS('Expenditure Breakdown'!$Q$6:$Q$212, 'Expenditure Breakdown'!$R$6:$R$212, "&gt;="&amp;CE1,'Expenditure Breakdown'!$R$6:$R$212, "&lt;"&amp;CF1)</f>
        <v>0</v>
      </c>
      <c r="CF11" s="512">
        <f>SUMIFS('Expenditure Breakdown'!$Q$6:$Q$212, 'Expenditure Breakdown'!$R$6:$R$212, "&gt;="&amp;CF1,'Expenditure Breakdown'!$R$6:$R$212, "&lt;"&amp;CG1)</f>
        <v>0</v>
      </c>
      <c r="CG11" s="512">
        <f>SUMIFS('Expenditure Breakdown'!$Q$6:$Q$212, 'Expenditure Breakdown'!$R$6:$R$212, "&gt;="&amp;CG1,'Expenditure Breakdown'!$R$6:$R$212, "&lt;"&amp;CH1)</f>
        <v>67632.170799999993</v>
      </c>
      <c r="CH11" s="512">
        <f>SUMIFS('Expenditure Breakdown'!$Q$6:$Q$212, 'Expenditure Breakdown'!$R$6:$R$212, "&gt;="&amp;CH1,'Expenditure Breakdown'!$R$6:$R$212, "&lt;"&amp;CI1)</f>
        <v>0</v>
      </c>
      <c r="CI11" s="512">
        <f>SUMIFS('Expenditure Breakdown'!$Q$6:$Q$212, 'Expenditure Breakdown'!$R$6:$R$212, "&gt;="&amp;CI1,'Expenditure Breakdown'!$R$6:$R$212, "&lt;"&amp;CJ1)</f>
        <v>-89060</v>
      </c>
      <c r="CJ11" s="512">
        <f>SUMIFS('Expenditure Breakdown'!$Q$6:$Q$212, 'Expenditure Breakdown'!$R$6:$R$212, "&gt;="&amp;CJ1,'Expenditure Breakdown'!$R$6:$R$212, "&lt;"&amp;CK1)</f>
        <v>0</v>
      </c>
      <c r="CK11" s="512">
        <f>SUMIFS('Expenditure Breakdown'!$Q$6:$Q$212, 'Expenditure Breakdown'!$R$6:$R$212, "&gt;="&amp;CK1,'Expenditure Breakdown'!$R$6:$R$212, "&lt;"&amp;CL1)</f>
        <v>0</v>
      </c>
      <c r="CL11" s="512">
        <f>SUMIFS('Expenditure Breakdown'!$Q$6:$Q$212, 'Expenditure Breakdown'!$R$6:$R$212, "&gt;="&amp;CL1,'Expenditure Breakdown'!$R$6:$R$212, "&lt;"&amp;CM1)</f>
        <v>0</v>
      </c>
      <c r="CM11" s="512">
        <f>SUMIFS('Expenditure Breakdown'!$Q$6:$Q$212, 'Expenditure Breakdown'!$R$6:$R$212, "&gt;="&amp;CM1,'Expenditure Breakdown'!$R$6:$R$212, "&lt;"&amp;CN1)</f>
        <v>0</v>
      </c>
      <c r="CN11" s="512">
        <f>SUMIFS('Expenditure Breakdown'!$Q$6:$Q$212, 'Expenditure Breakdown'!$R$6:$R$212, "&gt;="&amp;CN1,'Expenditure Breakdown'!$R$6:$R$212, "&lt;"&amp;CO1)</f>
        <v>0</v>
      </c>
      <c r="CO11" s="512">
        <f>SUMIFS('Expenditure Breakdown'!$Q$6:$Q$212, 'Expenditure Breakdown'!$R$6:$R$212, "&gt;="&amp;CO1,'Expenditure Breakdown'!$R$6:$R$212, "&lt;"&amp;CP1)</f>
        <v>0</v>
      </c>
      <c r="CP11" s="512">
        <f>SUMIFS('Expenditure Breakdown'!$Q$6:$Q$212, 'Expenditure Breakdown'!$R$6:$R$212, "&gt;="&amp;CP1,'Expenditure Breakdown'!$R$6:$R$212, "&lt;"&amp;CQ1)</f>
        <v>0</v>
      </c>
      <c r="CQ11" s="512">
        <f>SUMIFS('Expenditure Breakdown'!$Q$6:$Q$212, 'Expenditure Breakdown'!$R$6:$R$212, "&gt;="&amp;CQ1,'Expenditure Breakdown'!$R$6:$R$212, "&lt;"&amp;CR1)</f>
        <v>0</v>
      </c>
      <c r="CR11" s="512">
        <f>SUMIFS('Expenditure Breakdown'!$Q$6:$Q$212, 'Expenditure Breakdown'!$R$6:$R$212, "&gt;="&amp;CR1,'Expenditure Breakdown'!$R$6:$R$212, "&lt;"&amp;CS1)</f>
        <v>626.88</v>
      </c>
      <c r="CS11" s="512">
        <f>SUMIFS('Expenditure Breakdown'!$Q$6:$Q$212, 'Expenditure Breakdown'!$R$6:$R$212, "&gt;="&amp;CS1,'Expenditure Breakdown'!$R$6:$R$212, "&lt;"&amp;CT1)</f>
        <v>0</v>
      </c>
      <c r="CT11" s="512">
        <f>SUMIFS('Expenditure Breakdown'!$Q$6:$Q$212, 'Expenditure Breakdown'!$R$6:$R$212, "&gt;="&amp;CT1,'Expenditure Breakdown'!$R$6:$R$212, "&lt;"&amp;CU1)</f>
        <v>0</v>
      </c>
      <c r="CU11" s="512">
        <f>SUMIFS('Expenditure Breakdown'!$Q$6:$Q$212, 'Expenditure Breakdown'!$R$6:$R$212, "&gt;="&amp;CU1,'Expenditure Breakdown'!$R$6:$R$212, "&lt;"&amp;CV1)</f>
        <v>0</v>
      </c>
      <c r="CV11" s="512">
        <f>SUMIFS('Expenditure Breakdown'!$Q$6:$Q$212, 'Expenditure Breakdown'!$R$6:$R$212, "&gt;="&amp;CV1,'Expenditure Breakdown'!$R$6:$R$212, "&lt;"&amp;CW1)</f>
        <v>0</v>
      </c>
      <c r="CW11" s="512">
        <f>SUMIFS('Expenditure Breakdown'!$Q$6:$Q$212, 'Expenditure Breakdown'!$R$6:$R$212, "&gt;="&amp;CW1,'Expenditure Breakdown'!$R$6:$R$212, "&lt;"&amp;CX1)</f>
        <v>358.16</v>
      </c>
      <c r="CX11" s="512">
        <f>SUMIFS('Expenditure Breakdown'!$Q$6:$Q$212, 'Expenditure Breakdown'!$R$6:$R$212, "&gt;="&amp;CX1,'Expenditure Breakdown'!$R$6:$R$212, "&lt;"&amp;CY1)</f>
        <v>546904.66</v>
      </c>
      <c r="CY11" s="512">
        <f>SUMIFS('Expenditure Breakdown'!$Q$6:$Q$212, 'Expenditure Breakdown'!$R$6:$R$212, "&gt;="&amp;CY1,'Expenditure Breakdown'!$R$6:$R$212, "&lt;"&amp;CZ1)</f>
        <v>0</v>
      </c>
      <c r="CZ11" s="512">
        <f>SUMIFS('Expenditure Breakdown'!$Q$6:$Q$212, 'Expenditure Breakdown'!$R$6:$R$212, "&gt;="&amp;CZ1,'Expenditure Breakdown'!$R$6:$R$212, "&lt;"&amp;DA1)</f>
        <v>0</v>
      </c>
      <c r="DA11" s="512">
        <f>SUMIFS('Expenditure Breakdown'!$Q$6:$Q$212, 'Expenditure Breakdown'!$R$6:$R$212, "&gt;="&amp;DA1,'Expenditure Breakdown'!$R$6:$R$212, "&lt;"&amp;DB1)</f>
        <v>0</v>
      </c>
      <c r="DB11" s="512">
        <f>SUMIFS('Expenditure Breakdown'!$Q$6:$Q$212, 'Expenditure Breakdown'!$R$6:$R$212, "&gt;="&amp;DB1,'Expenditure Breakdown'!$R$6:$R$212, "&lt;"&amp;DC1)</f>
        <v>3905</v>
      </c>
      <c r="DC11" s="512">
        <f>SUMIFS('Expenditure Breakdown'!$Q$6:$Q$212, 'Expenditure Breakdown'!$R$6:$R$212, "&gt;="&amp;DC1,'Expenditure Breakdown'!$R$6:$R$212, "&lt;"&amp;DD1)</f>
        <v>0</v>
      </c>
      <c r="DD11" s="512">
        <f>SUMIFS('Expenditure Breakdown'!$Q$6:$Q$212, 'Expenditure Breakdown'!$R$6:$R$212, "&gt;="&amp;DD1,'Expenditure Breakdown'!$R$6:$R$212, "&lt;"&amp;DE1)</f>
        <v>0</v>
      </c>
      <c r="DE11" s="512">
        <f>SUMIFS('Expenditure Breakdown'!$Q$6:$Q$212, 'Expenditure Breakdown'!$R$6:$R$212, "&gt;="&amp;DE1,'Expenditure Breakdown'!$R$6:$R$212, "&lt;"&amp;DF1)</f>
        <v>80752.14</v>
      </c>
      <c r="DF11" s="512">
        <f>SUMIFS('Expenditure Breakdown'!$Q$6:$Q$212, 'Expenditure Breakdown'!$R$6:$R$212, "&gt;="&amp;DF1,'Expenditure Breakdown'!$R$6:$R$212, "&lt;"&amp;DG1)</f>
        <v>164.54</v>
      </c>
      <c r="DG11" s="512">
        <f>SUMIFS('Expenditure Breakdown'!$Q$6:$Q$212, 'Expenditure Breakdown'!$R$6:$R$212, "&gt;="&amp;DG1,'Expenditure Breakdown'!$R$6:$R$212, "&lt;"&amp;DH1)</f>
        <v>0</v>
      </c>
      <c r="DH11" s="512">
        <f>SUMIFS('Expenditure Breakdown'!$Q$6:$Q$212, 'Expenditure Breakdown'!$R$6:$R$212, "&gt;="&amp;DH1,'Expenditure Breakdown'!$R$6:$R$212, "&lt;"&amp;DI1)</f>
        <v>30839.11</v>
      </c>
      <c r="DI11" s="512">
        <f>SUMIFS('Expenditure Breakdown'!$Q$6:$Q$212, 'Expenditure Breakdown'!$R$6:$R$212, "&gt;="&amp;DI1,'Expenditure Breakdown'!$R$6:$R$212, "&lt;"&amp;DJ1)</f>
        <v>43910.55</v>
      </c>
      <c r="DJ11" s="512">
        <f>SUMIFS('Expenditure Breakdown'!$Q$6:$Q$212, 'Expenditure Breakdown'!$R$6:$R$212, "&gt;="&amp;DJ1,'Expenditure Breakdown'!$R$6:$R$212, "&lt;"&amp;DK1)</f>
        <v>280.72000000000003</v>
      </c>
      <c r="DK11" s="512">
        <f>SUMIFS('Expenditure Breakdown'!$Q$6:$Q$212, 'Expenditure Breakdown'!$R$6:$R$212, "&gt;="&amp;DK1,'Expenditure Breakdown'!$R$6:$R$212, "&lt;"&amp;DL1)</f>
        <v>0</v>
      </c>
      <c r="DL11" s="512">
        <f>SUMIFS('Expenditure Breakdown'!$Q$6:$Q$212, 'Expenditure Breakdown'!$R$6:$R$212, "&gt;="&amp;DL1,'Expenditure Breakdown'!$R$6:$R$212, "&lt;"&amp;DM1)</f>
        <v>0</v>
      </c>
      <c r="DM11" s="512">
        <f>SUMIFS('Expenditure Breakdown'!$Q$6:$Q$212, 'Expenditure Breakdown'!$R$6:$R$212, "&gt;="&amp;DM1,'Expenditure Breakdown'!$R$6:$R$212, "&lt;"&amp;DN1)</f>
        <v>0</v>
      </c>
      <c r="DN11" s="512">
        <f>SUMIFS('Expenditure Breakdown'!$Q$6:$Q$212, 'Expenditure Breakdown'!$R$6:$R$212, "&gt;="&amp;DN1,'Expenditure Breakdown'!$R$6:$R$212, "&lt;"&amp;DO1)</f>
        <v>21905.33</v>
      </c>
      <c r="DO11" s="512">
        <f>SUMIFS('Expenditure Breakdown'!$Q$6:$Q$212, 'Expenditure Breakdown'!$R$6:$R$212, "&gt;="&amp;DO1,'Expenditure Breakdown'!$R$6:$R$212, "&lt;"&amp;DP1)</f>
        <v>0</v>
      </c>
      <c r="DP11" s="512">
        <f>SUMIFS('Expenditure Breakdown'!$Q$6:$Q$212, 'Expenditure Breakdown'!$R$6:$R$212, "&gt;="&amp;DP1,'Expenditure Breakdown'!$R$6:$R$212, "&lt;"&amp;DQ1)</f>
        <v>0</v>
      </c>
      <c r="DQ11" s="512">
        <f>SUMIFS('Expenditure Breakdown'!$Q$6:$Q$212, 'Expenditure Breakdown'!$R$6:$R$212, "&gt;="&amp;DQ1,'Expenditure Breakdown'!$R$6:$R$212, "&lt;"&amp;DR1)</f>
        <v>0</v>
      </c>
      <c r="DR11" s="512">
        <f>SUMIFS('Expenditure Breakdown'!$Q$6:$Q$212, 'Expenditure Breakdown'!$R$6:$R$212, "&gt;="&amp;DR1,'Expenditure Breakdown'!$R$6:$R$212, "&lt;"&amp;DS1)</f>
        <v>136666</v>
      </c>
      <c r="DS11" s="512">
        <f>SUMIFS('Expenditure Breakdown'!$Q$6:$Q$212, 'Expenditure Breakdown'!$R$6:$R$212, "&gt;="&amp;DS1,'Expenditure Breakdown'!$R$6:$R$212, "&lt;"&amp;DT1)</f>
        <v>499.32</v>
      </c>
      <c r="DT11" s="512">
        <f>SUMIFS('Expenditure Breakdown'!$Q$6:$Q$212, 'Expenditure Breakdown'!$R$6:$R$212, "&gt;="&amp;DT1,'Expenditure Breakdown'!$R$6:$R$212, "&lt;"&amp;DU1)</f>
        <v>0</v>
      </c>
      <c r="DU11" s="512">
        <f>SUMIFS('Expenditure Breakdown'!$Q$6:$Q$212, 'Expenditure Breakdown'!$R$6:$R$212, "&gt;="&amp;DU1,'Expenditure Breakdown'!$R$6:$R$212, "&lt;"&amp;DV1)</f>
        <v>0</v>
      </c>
      <c r="DV11" s="512">
        <f>SUMIFS('Expenditure Breakdown'!$Q$6:$Q$212, 'Expenditure Breakdown'!$R$6:$R$212, "&gt;="&amp;DV1,'Expenditure Breakdown'!$R$6:$R$212, "&lt;"&amp;DW1)</f>
        <v>32128.959999999999</v>
      </c>
      <c r="DW11" s="512">
        <f>SUMIFS('Expenditure Breakdown'!$Q$6:$Q$212, 'Expenditure Breakdown'!$R$6:$R$212, "&gt;="&amp;DW1,'Expenditure Breakdown'!$R$6:$R$212, "&lt;"&amp;DX1)</f>
        <v>0</v>
      </c>
      <c r="DX11" s="512">
        <f>SUMIFS('Expenditure Breakdown'!$Q$6:$Q$212, 'Expenditure Breakdown'!$R$6:$R$212, "&gt;="&amp;DX1,'Expenditure Breakdown'!$R$6:$R$212, "&lt;"&amp;DY1)</f>
        <v>0</v>
      </c>
      <c r="DY11" s="512">
        <f>SUMIFS('Expenditure Breakdown'!$Q$6:$Q$212, 'Expenditure Breakdown'!$R$6:$R$212, "&gt;="&amp;DY1,'Expenditure Breakdown'!$R$6:$R$212, "&lt;"&amp;DZ1)</f>
        <v>0</v>
      </c>
      <c r="DZ11" s="512">
        <f>SUMIFS('Expenditure Breakdown'!$Q$6:$Q$212, 'Expenditure Breakdown'!$R$6:$R$212, "&gt;="&amp;DZ1,'Expenditure Breakdown'!$R$6:$R$212, "&lt;"&amp;EA1)</f>
        <v>0</v>
      </c>
      <c r="EA11" s="512">
        <f>SUMIFS('Expenditure Breakdown'!$Q$6:$Q$212, 'Expenditure Breakdown'!$R$6:$R$212, "&gt;="&amp;EA1,'Expenditure Breakdown'!$R$6:$R$212, "&lt;"&amp;EB1)</f>
        <v>0</v>
      </c>
      <c r="EB11" s="512">
        <f>SUMIFS('Expenditure Breakdown'!$Q$6:$Q$212, 'Expenditure Breakdown'!$R$6:$R$212, "&gt;="&amp;EB1,'Expenditure Breakdown'!$R$6:$R$212, "&lt;"&amp;EC1)</f>
        <v>0</v>
      </c>
      <c r="EC11" s="512">
        <f>SUMIFS('Expenditure Breakdown'!$Q$6:$Q$212, 'Expenditure Breakdown'!$R$6:$R$212, "&gt;="&amp;EC1,'Expenditure Breakdown'!$R$6:$R$212, "&lt;"&amp;ED1)</f>
        <v>0</v>
      </c>
      <c r="ED11" s="512">
        <f>SUMIFS('Expenditure Breakdown'!$Q$6:$Q$212, 'Expenditure Breakdown'!$R$6:$R$212, "&gt;="&amp;ED1,'Expenditure Breakdown'!$R$6:$R$212, "&lt;"&amp;EE1)</f>
        <v>0</v>
      </c>
      <c r="EE11" s="512">
        <f>SUMIFS('Expenditure Breakdown'!$Q$6:$Q$212, 'Expenditure Breakdown'!$R$6:$R$212, "&gt;="&amp;EE1,'Expenditure Breakdown'!$R$6:$R$212, "&lt;"&amp;EF1)</f>
        <v>0</v>
      </c>
      <c r="EF11" s="512">
        <f>SUMIFS('Expenditure Breakdown'!$Q$6:$Q$212, 'Expenditure Breakdown'!$R$6:$R$212, "&gt;="&amp;EF1,'Expenditure Breakdown'!$R$6:$R$212, "&lt;"&amp;EG1)</f>
        <v>0</v>
      </c>
      <c r="EG11" s="512">
        <f>SUMIFS('Expenditure Breakdown'!$Q$6:$Q$212, 'Expenditure Breakdown'!$R$6:$R$212, "&gt;="&amp;EG1,'Expenditure Breakdown'!$R$6:$R$212, "&lt;"&amp;EH1)</f>
        <v>0</v>
      </c>
      <c r="EH11" s="512">
        <f>SUMIFS('Expenditure Breakdown'!$Q$6:$Q$212, 'Expenditure Breakdown'!$R$6:$R$212, "&gt;="&amp;EH1,'Expenditure Breakdown'!$R$6:$R$212, "&lt;"&amp;EI1)</f>
        <v>0</v>
      </c>
      <c r="EI11" s="512">
        <f>SUMIFS('Expenditure Breakdown'!$Q$6:$Q$212, 'Expenditure Breakdown'!$R$6:$R$212, "&gt;="&amp;EI1,'Expenditure Breakdown'!$R$6:$R$212, "&lt;"&amp;EJ1)</f>
        <v>0</v>
      </c>
      <c r="EJ11" s="71"/>
      <c r="EK11" s="445"/>
      <c r="EL11" s="445"/>
    </row>
    <row r="12" spans="1:617" s="444" customFormat="1">
      <c r="A12" s="956"/>
      <c r="B12" s="505" t="s">
        <v>454</v>
      </c>
      <c r="C12" s="506"/>
      <c r="D12" s="506"/>
      <c r="E12" s="489"/>
      <c r="F12" s="512">
        <f>F11</f>
        <v>0</v>
      </c>
      <c r="G12" s="512">
        <f>F12+G11</f>
        <v>0</v>
      </c>
      <c r="H12" s="512">
        <f t="shared" ref="H12:BS12" si="274">G12+H11</f>
        <v>0</v>
      </c>
      <c r="I12" s="512">
        <f t="shared" si="274"/>
        <v>0</v>
      </c>
      <c r="J12" s="512">
        <f t="shared" si="274"/>
        <v>11750</v>
      </c>
      <c r="K12" s="512">
        <f t="shared" si="274"/>
        <v>11750</v>
      </c>
      <c r="L12" s="512">
        <f t="shared" si="274"/>
        <v>11750</v>
      </c>
      <c r="M12" s="512">
        <f t="shared" si="274"/>
        <v>11750</v>
      </c>
      <c r="N12" s="512">
        <f t="shared" si="274"/>
        <v>11750</v>
      </c>
      <c r="O12" s="512">
        <f t="shared" si="274"/>
        <v>11989.13</v>
      </c>
      <c r="P12" s="512">
        <f t="shared" si="274"/>
        <v>11989.13</v>
      </c>
      <c r="Q12" s="512">
        <f t="shared" si="274"/>
        <v>11989.13</v>
      </c>
      <c r="R12" s="512">
        <f t="shared" si="274"/>
        <v>11989.13</v>
      </c>
      <c r="S12" s="512">
        <f t="shared" si="274"/>
        <v>11989.13</v>
      </c>
      <c r="T12" s="512">
        <f t="shared" si="274"/>
        <v>11989.13</v>
      </c>
      <c r="U12" s="512">
        <f t="shared" si="274"/>
        <v>15776.05</v>
      </c>
      <c r="V12" s="512">
        <f t="shared" si="274"/>
        <v>15776.05</v>
      </c>
      <c r="W12" s="512">
        <f t="shared" si="274"/>
        <v>16491.329999999998</v>
      </c>
      <c r="X12" s="512">
        <f t="shared" si="274"/>
        <v>1546319.0462675707</v>
      </c>
      <c r="Y12" s="512">
        <f t="shared" si="274"/>
        <v>1581916.5562675707</v>
      </c>
      <c r="Z12" s="512">
        <f t="shared" si="274"/>
        <v>1587244.9462675706</v>
      </c>
      <c r="AA12" s="512">
        <f t="shared" si="274"/>
        <v>1587351.6662675706</v>
      </c>
      <c r="AB12" s="512">
        <f t="shared" si="274"/>
        <v>1587351.6662675706</v>
      </c>
      <c r="AC12" s="512">
        <f t="shared" si="274"/>
        <v>1590320.9762675706</v>
      </c>
      <c r="AD12" s="512">
        <f t="shared" si="274"/>
        <v>1595825.7562675707</v>
      </c>
      <c r="AE12" s="512">
        <f t="shared" si="274"/>
        <v>1599892.7862675707</v>
      </c>
      <c r="AF12" s="512">
        <f t="shared" si="274"/>
        <v>1984302.7862675707</v>
      </c>
      <c r="AG12" s="512">
        <f t="shared" si="274"/>
        <v>2091924.6862675706</v>
      </c>
      <c r="AH12" s="512">
        <f t="shared" si="274"/>
        <v>2096941.5062675707</v>
      </c>
      <c r="AI12" s="512">
        <f t="shared" si="274"/>
        <v>2990185.5062675709</v>
      </c>
      <c r="AJ12" s="512">
        <f t="shared" si="274"/>
        <v>2991910.106267571</v>
      </c>
      <c r="AK12" s="512">
        <f t="shared" si="274"/>
        <v>2991910.106267571</v>
      </c>
      <c r="AL12" s="512">
        <f t="shared" si="274"/>
        <v>2991910.106267571</v>
      </c>
      <c r="AM12" s="512">
        <f t="shared" si="274"/>
        <v>3560923.626267571</v>
      </c>
      <c r="AN12" s="512">
        <f t="shared" si="274"/>
        <v>4634765.7262675706</v>
      </c>
      <c r="AO12" s="512">
        <f t="shared" si="274"/>
        <v>4634765.7262675706</v>
      </c>
      <c r="AP12" s="512">
        <f t="shared" si="274"/>
        <v>4634765.7262675706</v>
      </c>
      <c r="AQ12" s="512">
        <f t="shared" si="274"/>
        <v>4646881.3562675705</v>
      </c>
      <c r="AR12" s="512">
        <f t="shared" si="274"/>
        <v>4701266.0562675707</v>
      </c>
      <c r="AS12" s="512">
        <f t="shared" si="274"/>
        <v>4701405.2562675709</v>
      </c>
      <c r="AT12" s="512">
        <f t="shared" si="274"/>
        <v>4999484.1162675712</v>
      </c>
      <c r="AU12" s="512">
        <f t="shared" si="274"/>
        <v>5005343.4962675711</v>
      </c>
      <c r="AV12" s="512">
        <f t="shared" si="274"/>
        <v>5008448.3962675715</v>
      </c>
      <c r="AW12" s="512">
        <f t="shared" si="274"/>
        <v>5204843.416267572</v>
      </c>
      <c r="AX12" s="512">
        <f t="shared" si="274"/>
        <v>5204843.416267572</v>
      </c>
      <c r="AY12" s="512">
        <f t="shared" si="274"/>
        <v>5256063.416267572</v>
      </c>
      <c r="AZ12" s="512">
        <f t="shared" si="274"/>
        <v>5256063.416267572</v>
      </c>
      <c r="BA12" s="512">
        <f t="shared" si="274"/>
        <v>5256063.416267572</v>
      </c>
      <c r="BB12" s="512">
        <f t="shared" si="274"/>
        <v>5256063.416267572</v>
      </c>
      <c r="BC12" s="512">
        <f t="shared" si="274"/>
        <v>5256063.416267572</v>
      </c>
      <c r="BD12" s="512">
        <f t="shared" si="274"/>
        <v>5389341.8780067023</v>
      </c>
      <c r="BE12" s="512">
        <f t="shared" si="274"/>
        <v>5486426.7722675717</v>
      </c>
      <c r="BF12" s="512">
        <f t="shared" si="274"/>
        <v>5490235.5322675714</v>
      </c>
      <c r="BG12" s="512">
        <f t="shared" si="274"/>
        <v>5662679.3322675712</v>
      </c>
      <c r="BH12" s="512">
        <f t="shared" si="274"/>
        <v>6042306.1565190312</v>
      </c>
      <c r="BI12" s="512">
        <f t="shared" si="274"/>
        <v>6145956.5891277269</v>
      </c>
      <c r="BJ12" s="512">
        <f t="shared" si="274"/>
        <v>6146905.3891277267</v>
      </c>
      <c r="BK12" s="512">
        <f t="shared" si="274"/>
        <v>6146905.3891277267</v>
      </c>
      <c r="BL12" s="512">
        <f t="shared" si="274"/>
        <v>7028077.3611277267</v>
      </c>
      <c r="BM12" s="512">
        <f t="shared" si="274"/>
        <v>8672766.7511277273</v>
      </c>
      <c r="BN12" s="512">
        <f t="shared" si="274"/>
        <v>13100897.341284407</v>
      </c>
      <c r="BO12" s="512">
        <f t="shared" si="274"/>
        <v>13177941.708675712</v>
      </c>
      <c r="BP12" s="512">
        <f t="shared" si="274"/>
        <v>13453541.708675712</v>
      </c>
      <c r="BQ12" s="512">
        <f t="shared" si="274"/>
        <v>13453610.358675713</v>
      </c>
      <c r="BR12" s="512">
        <f t="shared" si="274"/>
        <v>13568305.402524348</v>
      </c>
      <c r="BS12" s="512">
        <f t="shared" si="274"/>
        <v>15568514.202524349</v>
      </c>
      <c r="BT12" s="512">
        <f t="shared" ref="BT12:BV12" si="275">BS12+BT11</f>
        <v>15583031.402524348</v>
      </c>
      <c r="BU12" s="512">
        <f t="shared" si="275"/>
        <v>17864671.97643739</v>
      </c>
      <c r="BV12" s="512">
        <f t="shared" si="275"/>
        <v>17676751.016437389</v>
      </c>
      <c r="BW12" s="512">
        <f t="shared" ref="BW12" si="276">BV12+BW11</f>
        <v>17676751.016437389</v>
      </c>
      <c r="BX12" s="512">
        <f t="shared" ref="BX12" si="277">BW12+BX11</f>
        <v>17676751.016437389</v>
      </c>
      <c r="BY12" s="512">
        <f t="shared" ref="BY12" si="278">BX12+BY11</f>
        <v>17676751.016437389</v>
      </c>
      <c r="BZ12" s="512">
        <f t="shared" ref="BZ12" si="279">BY12+BZ11</f>
        <v>17676751.016437389</v>
      </c>
      <c r="CA12" s="512">
        <f t="shared" ref="CA12" si="280">BZ12+CA11</f>
        <v>17830399.096437387</v>
      </c>
      <c r="CB12" s="512">
        <f t="shared" ref="CB12" si="281">CA12+CB11</f>
        <v>18082151.779637389</v>
      </c>
      <c r="CC12" s="512">
        <f t="shared" ref="CC12" si="282">CB12+CC11</f>
        <v>18082151.779637389</v>
      </c>
      <c r="CD12" s="512">
        <f t="shared" ref="CD12" si="283">CC12+CD11</f>
        <v>18082151.779637389</v>
      </c>
      <c r="CE12" s="512">
        <f t="shared" ref="CE12" si="284">CD12+CE11</f>
        <v>18082151.779637389</v>
      </c>
      <c r="CF12" s="512">
        <f t="shared" ref="CF12" si="285">CE12+CF11</f>
        <v>18082151.779637389</v>
      </c>
      <c r="CG12" s="512">
        <f t="shared" ref="CG12" si="286">CF12+CG11</f>
        <v>18149783.950437389</v>
      </c>
      <c r="CH12" s="512">
        <f t="shared" ref="CH12" si="287">CG12+CH11</f>
        <v>18149783.950437389</v>
      </c>
      <c r="CI12" s="512">
        <f t="shared" ref="CI12" si="288">CH12+CI11</f>
        <v>18060723.950437389</v>
      </c>
      <c r="CJ12" s="512">
        <f t="shared" ref="CJ12" si="289">CI12+CJ11</f>
        <v>18060723.950437389</v>
      </c>
      <c r="CK12" s="512">
        <f t="shared" ref="CK12" si="290">CJ12+CK11</f>
        <v>18060723.950437389</v>
      </c>
      <c r="CL12" s="512">
        <f t="shared" ref="CL12" si="291">CK12+CL11</f>
        <v>18060723.950437389</v>
      </c>
      <c r="CM12" s="512">
        <f t="shared" ref="CM12" si="292">CL12+CM11</f>
        <v>18060723.950437389</v>
      </c>
      <c r="CN12" s="512">
        <f t="shared" ref="CN12" si="293">CM12+CN11</f>
        <v>18060723.950437389</v>
      </c>
      <c r="CO12" s="512">
        <f t="shared" ref="CO12" si="294">CN12+CO11</f>
        <v>18060723.950437389</v>
      </c>
      <c r="CP12" s="512">
        <f t="shared" ref="CP12" si="295">CO12+CP11</f>
        <v>18060723.950437389</v>
      </c>
      <c r="CQ12" s="512">
        <f t="shared" ref="CQ12" si="296">CP12+CQ11</f>
        <v>18060723.950437389</v>
      </c>
      <c r="CR12" s="512">
        <f t="shared" ref="CR12" si="297">CQ12+CR11</f>
        <v>18061350.830437388</v>
      </c>
      <c r="CS12" s="512">
        <f t="shared" ref="CS12" si="298">CR12+CS11</f>
        <v>18061350.830437388</v>
      </c>
      <c r="CT12" s="512">
        <f t="shared" ref="CT12" si="299">CS12+CT11</f>
        <v>18061350.830437388</v>
      </c>
      <c r="CU12" s="512">
        <f t="shared" ref="CU12" si="300">CT12+CU11</f>
        <v>18061350.830437388</v>
      </c>
      <c r="CV12" s="512">
        <f t="shared" ref="CV12" si="301">CU12+CV11</f>
        <v>18061350.830437388</v>
      </c>
      <c r="CW12" s="512">
        <f t="shared" ref="CW12" si="302">CV12+CW11</f>
        <v>18061708.990437388</v>
      </c>
      <c r="CX12" s="512">
        <f t="shared" ref="CX12" si="303">CW12+CX11</f>
        <v>18608613.650437389</v>
      </c>
      <c r="CY12" s="512">
        <f t="shared" ref="CY12" si="304">CX12+CY11</f>
        <v>18608613.650437389</v>
      </c>
      <c r="CZ12" s="512">
        <f t="shared" ref="CZ12" si="305">CY12+CZ11</f>
        <v>18608613.650437389</v>
      </c>
      <c r="DA12" s="512">
        <f t="shared" ref="DA12" si="306">CZ12+DA11</f>
        <v>18608613.650437389</v>
      </c>
      <c r="DB12" s="512">
        <f t="shared" ref="DB12" si="307">DA12+DB11</f>
        <v>18612518.650437389</v>
      </c>
      <c r="DC12" s="512">
        <f t="shared" ref="DC12" si="308">DB12+DC11</f>
        <v>18612518.650437389</v>
      </c>
      <c r="DD12" s="512">
        <f t="shared" ref="DD12" si="309">DC12+DD11</f>
        <v>18612518.650437389</v>
      </c>
      <c r="DE12" s="512">
        <f t="shared" ref="DE12" si="310">DD12+DE11</f>
        <v>18693270.790437389</v>
      </c>
      <c r="DF12" s="512">
        <f t="shared" ref="DF12" si="311">DE12+DF11</f>
        <v>18693435.330437388</v>
      </c>
      <c r="DG12" s="512">
        <f t="shared" ref="DG12" si="312">DF12+DG11</f>
        <v>18693435.330437388</v>
      </c>
      <c r="DH12" s="512">
        <f t="shared" ref="DH12" si="313">DG12+DH11</f>
        <v>18724274.440437388</v>
      </c>
      <c r="DI12" s="512">
        <f t="shared" ref="DI12" si="314">DH12+DI11</f>
        <v>18768184.990437388</v>
      </c>
      <c r="DJ12" s="512">
        <f t="shared" ref="DJ12" si="315">DI12+DJ11</f>
        <v>18768465.710437387</v>
      </c>
      <c r="DK12" s="512">
        <f t="shared" ref="DK12" si="316">DJ12+DK11</f>
        <v>18768465.710437387</v>
      </c>
      <c r="DL12" s="512">
        <f t="shared" ref="DL12" si="317">DK12+DL11</f>
        <v>18768465.710437387</v>
      </c>
      <c r="DM12" s="512">
        <f t="shared" ref="DM12" si="318">DL12+DM11</f>
        <v>18768465.710437387</v>
      </c>
      <c r="DN12" s="512">
        <f t="shared" ref="DN12" si="319">DM12+DN11</f>
        <v>18790371.040437385</v>
      </c>
      <c r="DO12" s="512">
        <f t="shared" ref="DO12" si="320">DN12+DO11</f>
        <v>18790371.040437385</v>
      </c>
      <c r="DP12" s="512">
        <f t="shared" ref="DP12" si="321">DO12+DP11</f>
        <v>18790371.040437385</v>
      </c>
      <c r="DQ12" s="512">
        <f t="shared" ref="DQ12" si="322">DP12+DQ11</f>
        <v>18790371.040437385</v>
      </c>
      <c r="DR12" s="512">
        <f t="shared" ref="DR12" si="323">DQ12+DR11</f>
        <v>18927037.040437385</v>
      </c>
      <c r="DS12" s="512">
        <f t="shared" ref="DS12" si="324">DR12+DS11</f>
        <v>18927536.360437386</v>
      </c>
      <c r="DT12" s="512">
        <f t="shared" ref="DT12" si="325">DS12+DT11</f>
        <v>18927536.360437386</v>
      </c>
      <c r="DU12" s="512">
        <f t="shared" ref="DU12" si="326">DT12+DU11</f>
        <v>18927536.360437386</v>
      </c>
      <c r="DV12" s="512">
        <f t="shared" ref="DV12" si="327">DU12+DV11</f>
        <v>18959665.320437387</v>
      </c>
      <c r="DW12" s="512">
        <f t="shared" ref="DW12" si="328">DV12+DW11</f>
        <v>18959665.320437387</v>
      </c>
      <c r="DX12" s="512">
        <f t="shared" ref="DX12" si="329">DW12+DX11</f>
        <v>18959665.320437387</v>
      </c>
      <c r="DY12" s="512">
        <f t="shared" ref="DY12" si="330">DX12+DY11</f>
        <v>18959665.320437387</v>
      </c>
      <c r="DZ12" s="512">
        <f t="shared" ref="DZ12" si="331">DY12+DZ11</f>
        <v>18959665.320437387</v>
      </c>
      <c r="EA12" s="512">
        <f t="shared" ref="EA12" si="332">DZ12+EA11</f>
        <v>18959665.320437387</v>
      </c>
      <c r="EB12" s="512">
        <f t="shared" ref="EB12" si="333">EA12+EB11</f>
        <v>18959665.320437387</v>
      </c>
      <c r="EC12" s="512">
        <f t="shared" ref="EC12" si="334">EB12+EC11</f>
        <v>18959665.320437387</v>
      </c>
      <c r="ED12" s="512">
        <f t="shared" ref="ED12" si="335">EC12+ED11</f>
        <v>18959665.320437387</v>
      </c>
      <c r="EE12" s="512">
        <f t="shared" ref="EE12" si="336">ED12+EE11</f>
        <v>18959665.320437387</v>
      </c>
      <c r="EF12" s="512">
        <f t="shared" ref="EF12" si="337">EE12+EF11</f>
        <v>18959665.320437387</v>
      </c>
      <c r="EG12" s="512">
        <f t="shared" ref="EG12" si="338">EF12+EG11</f>
        <v>18959665.320437387</v>
      </c>
      <c r="EH12" s="512">
        <f t="shared" ref="EH12" si="339">EG12+EH11</f>
        <v>18959665.320437387</v>
      </c>
      <c r="EI12" s="512">
        <f t="shared" ref="EI12" si="340">EH12+EI11</f>
        <v>18959665.320437387</v>
      </c>
      <c r="EJ12" s="71"/>
      <c r="EK12" s="445"/>
    </row>
    <row r="13" spans="1:617" s="71" customFormat="1">
      <c r="A13" s="956"/>
      <c r="E13" s="489"/>
      <c r="F13" s="510"/>
      <c r="G13" s="510"/>
      <c r="H13" s="510"/>
      <c r="I13" s="510"/>
      <c r="J13" s="510"/>
      <c r="K13" s="510"/>
      <c r="L13" s="510"/>
      <c r="M13" s="510"/>
      <c r="N13" s="510"/>
      <c r="O13" s="510"/>
      <c r="P13" s="510"/>
      <c r="Q13" s="510"/>
      <c r="R13" s="510"/>
      <c r="S13" s="510"/>
      <c r="T13" s="510"/>
      <c r="U13" s="510"/>
      <c r="V13" s="510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  <c r="AO13" s="510"/>
      <c r="AP13" s="510"/>
      <c r="AQ13" s="510"/>
      <c r="AR13" s="510"/>
      <c r="AS13" s="510"/>
      <c r="AT13" s="510"/>
      <c r="AU13" s="510"/>
      <c r="AV13" s="510"/>
      <c r="AW13" s="510"/>
      <c r="AX13" s="510"/>
      <c r="AY13" s="510"/>
      <c r="AZ13" s="510"/>
      <c r="BA13" s="510"/>
      <c r="BB13" s="510"/>
      <c r="BC13" s="510"/>
      <c r="BD13" s="510"/>
      <c r="BE13" s="510"/>
      <c r="BF13" s="510"/>
      <c r="BG13" s="510"/>
      <c r="BH13" s="510"/>
      <c r="BI13" s="510"/>
      <c r="BJ13" s="510"/>
      <c r="BK13" s="510"/>
      <c r="BL13" s="510"/>
      <c r="BM13" s="510"/>
      <c r="BN13" s="510"/>
      <c r="BO13" s="510"/>
      <c r="BP13" s="510"/>
      <c r="BQ13" s="510"/>
      <c r="BR13" s="510"/>
      <c r="BS13" s="510"/>
      <c r="BT13" s="510"/>
      <c r="BU13" s="510"/>
      <c r="BV13" s="510"/>
      <c r="BW13" s="510"/>
      <c r="BX13" s="510"/>
      <c r="BY13" s="510"/>
      <c r="BZ13" s="510"/>
      <c r="CA13" s="510"/>
      <c r="CB13" s="510"/>
      <c r="CC13" s="510"/>
      <c r="CD13" s="510"/>
      <c r="CE13" s="510"/>
      <c r="CF13" s="510"/>
      <c r="CG13" s="510"/>
      <c r="CH13" s="510"/>
      <c r="CI13" s="510"/>
      <c r="CJ13" s="510"/>
      <c r="CK13" s="510"/>
      <c r="CL13" s="510"/>
      <c r="CM13" s="510"/>
      <c r="CN13" s="510"/>
      <c r="CO13" s="510"/>
      <c r="CP13" s="510"/>
      <c r="CQ13" s="510"/>
      <c r="CR13" s="510"/>
      <c r="CS13" s="510"/>
      <c r="CT13" s="510"/>
      <c r="CU13" s="510"/>
      <c r="CV13" s="510"/>
      <c r="CW13" s="510"/>
      <c r="CX13" s="510"/>
      <c r="CY13" s="510"/>
      <c r="CZ13" s="510"/>
      <c r="DA13" s="510"/>
      <c r="DB13" s="510"/>
      <c r="DC13" s="510"/>
      <c r="DD13" s="510"/>
      <c r="DE13" s="510"/>
      <c r="DF13" s="510"/>
      <c r="DG13" s="510"/>
      <c r="DH13" s="510"/>
      <c r="DI13" s="510"/>
      <c r="DJ13" s="510"/>
      <c r="DK13" s="510"/>
      <c r="DL13" s="510"/>
      <c r="DM13" s="510"/>
      <c r="DN13" s="510"/>
      <c r="DO13" s="510"/>
      <c r="DP13" s="510"/>
      <c r="DQ13" s="510"/>
      <c r="DR13" s="510"/>
      <c r="DS13" s="510"/>
      <c r="DT13" s="510"/>
      <c r="DU13" s="510"/>
      <c r="DV13" s="510"/>
      <c r="DW13" s="510"/>
      <c r="DX13" s="510"/>
      <c r="DY13" s="510"/>
      <c r="DZ13" s="510"/>
      <c r="EA13" s="510"/>
      <c r="EB13" s="510"/>
      <c r="EC13" s="510"/>
      <c r="ED13" s="510"/>
      <c r="EE13" s="510"/>
      <c r="EF13" s="510"/>
      <c r="EG13" s="510"/>
      <c r="EH13" s="510"/>
      <c r="EI13" s="510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</row>
    <row r="14" spans="1:617" ht="18" customHeight="1">
      <c r="A14" s="956"/>
      <c r="B14" s="500" t="s">
        <v>455</v>
      </c>
      <c r="C14" s="491"/>
      <c r="D14" s="491"/>
      <c r="E14" s="490"/>
      <c r="F14" s="509">
        <f t="shared" ref="F14:G14" si="341">F10-F12</f>
        <v>0</v>
      </c>
      <c r="G14" s="509">
        <f t="shared" si="341"/>
        <v>0</v>
      </c>
      <c r="H14" s="509">
        <f t="shared" ref="H14:BS14" si="342">H10-H12</f>
        <v>0</v>
      </c>
      <c r="I14" s="509">
        <f t="shared" si="342"/>
        <v>0</v>
      </c>
      <c r="J14" s="509">
        <f t="shared" si="342"/>
        <v>-11750</v>
      </c>
      <c r="K14" s="509">
        <f t="shared" si="342"/>
        <v>-11750</v>
      </c>
      <c r="L14" s="509">
        <f t="shared" si="342"/>
        <v>-11750</v>
      </c>
      <c r="M14" s="509">
        <f t="shared" si="342"/>
        <v>-11750</v>
      </c>
      <c r="N14" s="509">
        <f t="shared" si="342"/>
        <v>-11750</v>
      </c>
      <c r="O14" s="509">
        <f t="shared" si="342"/>
        <v>-11989.13</v>
      </c>
      <c r="P14" s="509">
        <f t="shared" si="342"/>
        <v>-11989.13</v>
      </c>
      <c r="Q14" s="509">
        <f t="shared" si="342"/>
        <v>-11989.13</v>
      </c>
      <c r="R14" s="509">
        <f t="shared" si="342"/>
        <v>-11989.13</v>
      </c>
      <c r="S14" s="509">
        <f t="shared" si="342"/>
        <v>-11989.13</v>
      </c>
      <c r="T14" s="509">
        <f t="shared" si="342"/>
        <v>-11989.13</v>
      </c>
      <c r="U14" s="509">
        <f t="shared" si="342"/>
        <v>-15776.05</v>
      </c>
      <c r="V14" s="509">
        <f t="shared" si="342"/>
        <v>-15776.05</v>
      </c>
      <c r="W14" s="509">
        <f t="shared" si="342"/>
        <v>-16491.329999999998</v>
      </c>
      <c r="X14" s="509">
        <f t="shared" si="342"/>
        <v>-1546319.0462675707</v>
      </c>
      <c r="Y14" s="509">
        <f t="shared" si="342"/>
        <v>-1581916.5562675707</v>
      </c>
      <c r="Z14" s="509">
        <f t="shared" si="342"/>
        <v>-1587244.9462675706</v>
      </c>
      <c r="AA14" s="509">
        <f t="shared" si="342"/>
        <v>-1587351.6662675706</v>
      </c>
      <c r="AB14" s="509">
        <f t="shared" si="342"/>
        <v>-1587351.6662675706</v>
      </c>
      <c r="AC14" s="509">
        <f t="shared" si="342"/>
        <v>-1590320.9762675706</v>
      </c>
      <c r="AD14" s="509">
        <f t="shared" si="342"/>
        <v>-1595825.7562675707</v>
      </c>
      <c r="AE14" s="509">
        <f t="shared" si="342"/>
        <v>-1599892.7862675707</v>
      </c>
      <c r="AF14" s="509">
        <f t="shared" si="342"/>
        <v>-1984302.7862675707</v>
      </c>
      <c r="AG14" s="509">
        <f t="shared" si="342"/>
        <v>-2091924.6862675706</v>
      </c>
      <c r="AH14" s="509">
        <f t="shared" si="342"/>
        <v>-2096941.5062675707</v>
      </c>
      <c r="AI14" s="509">
        <f t="shared" si="342"/>
        <v>-2990185.5062675709</v>
      </c>
      <c r="AJ14" s="509">
        <f t="shared" si="342"/>
        <v>-2991910.106267571</v>
      </c>
      <c r="AK14" s="509">
        <f t="shared" si="342"/>
        <v>-2991910.106267571</v>
      </c>
      <c r="AL14" s="509">
        <f t="shared" si="342"/>
        <v>-2991910.106267571</v>
      </c>
      <c r="AM14" s="509">
        <f t="shared" si="342"/>
        <v>-3560923.626267571</v>
      </c>
      <c r="AN14" s="509">
        <f t="shared" si="342"/>
        <v>-4634765.7262675706</v>
      </c>
      <c r="AO14" s="509">
        <f t="shared" si="342"/>
        <v>-4634765.7262675706</v>
      </c>
      <c r="AP14" s="509">
        <f t="shared" si="342"/>
        <v>-4634765.7262675706</v>
      </c>
      <c r="AQ14" s="509">
        <f t="shared" si="342"/>
        <v>-4646881.3562675705</v>
      </c>
      <c r="AR14" s="509">
        <f t="shared" si="342"/>
        <v>-4701266.0562675707</v>
      </c>
      <c r="AS14" s="509">
        <f t="shared" si="342"/>
        <v>-4701405.2562675709</v>
      </c>
      <c r="AT14" s="509">
        <f t="shared" si="342"/>
        <v>-4999484.1162675712</v>
      </c>
      <c r="AU14" s="509">
        <f t="shared" si="342"/>
        <v>-5005343.4962675711</v>
      </c>
      <c r="AV14" s="509">
        <f t="shared" si="342"/>
        <v>-5008448.3962675715</v>
      </c>
      <c r="AW14" s="509">
        <f t="shared" si="342"/>
        <v>-5204843.416267572</v>
      </c>
      <c r="AX14" s="509">
        <f t="shared" si="342"/>
        <v>-5204843.416267572</v>
      </c>
      <c r="AY14" s="509">
        <f t="shared" si="342"/>
        <v>-5256063.416267572</v>
      </c>
      <c r="AZ14" s="509">
        <f t="shared" si="342"/>
        <v>-5256063.416267572</v>
      </c>
      <c r="BA14" s="509">
        <f t="shared" si="342"/>
        <v>-5256063.416267572</v>
      </c>
      <c r="BB14" s="509">
        <f t="shared" si="342"/>
        <v>-5256063.416267572</v>
      </c>
      <c r="BC14" s="509">
        <f t="shared" si="342"/>
        <v>-5256063.416267572</v>
      </c>
      <c r="BD14" s="509">
        <f t="shared" si="342"/>
        <v>-5389341.8780067023</v>
      </c>
      <c r="BE14" s="509">
        <f t="shared" si="342"/>
        <v>-5486426.7722675717</v>
      </c>
      <c r="BF14" s="509">
        <f t="shared" si="342"/>
        <v>-5490235.5322675714</v>
      </c>
      <c r="BG14" s="509">
        <f t="shared" si="342"/>
        <v>-5662679.3322675712</v>
      </c>
      <c r="BH14" s="509">
        <f t="shared" si="342"/>
        <v>-6042306.1565190312</v>
      </c>
      <c r="BI14" s="509">
        <f t="shared" si="342"/>
        <v>-6145956.5891277269</v>
      </c>
      <c r="BJ14" s="509">
        <f t="shared" si="342"/>
        <v>-6146905.3891277267</v>
      </c>
      <c r="BK14" s="509">
        <f t="shared" si="342"/>
        <v>-6146905.3891277267</v>
      </c>
      <c r="BL14" s="509">
        <f t="shared" si="342"/>
        <v>-7028077.3611277267</v>
      </c>
      <c r="BM14" s="509">
        <f t="shared" si="342"/>
        <v>-8672766.7511277273</v>
      </c>
      <c r="BN14" s="509">
        <f t="shared" si="342"/>
        <v>-10895911.104327885</v>
      </c>
      <c r="BO14" s="509">
        <f t="shared" si="342"/>
        <v>-9233825.0369365811</v>
      </c>
      <c r="BP14" s="509">
        <f t="shared" si="342"/>
        <v>-2552903.2978061456</v>
      </c>
      <c r="BQ14" s="509">
        <f t="shared" si="342"/>
        <v>925288.92175907083</v>
      </c>
      <c r="BR14" s="509">
        <f t="shared" si="342"/>
        <v>2135951.1747709699</v>
      </c>
      <c r="BS14" s="509">
        <f t="shared" si="342"/>
        <v>135742.37477096915</v>
      </c>
      <c r="BT14" s="509">
        <f t="shared" ref="BT14:BV14" si="343">BT10-BT12</f>
        <v>121225.1747709699</v>
      </c>
      <c r="BU14" s="509">
        <f t="shared" si="343"/>
        <v>-2160415.3991420716</v>
      </c>
      <c r="BV14" s="509">
        <f t="shared" si="343"/>
        <v>-1972494.4391420707</v>
      </c>
      <c r="BW14" s="509">
        <f t="shared" ref="BW14:CO14" si="344">BW10-BW12</f>
        <v>-1972494.4391420707</v>
      </c>
      <c r="BX14" s="509">
        <f t="shared" si="344"/>
        <v>-1972494.4391420707</v>
      </c>
      <c r="BY14" s="509">
        <f t="shared" si="344"/>
        <v>-1972494.4391420707</v>
      </c>
      <c r="BZ14" s="509">
        <f t="shared" si="344"/>
        <v>3262257.7532897033</v>
      </c>
      <c r="CA14" s="509">
        <f t="shared" si="344"/>
        <v>3108609.6732897051</v>
      </c>
      <c r="CB14" s="509">
        <f t="shared" si="344"/>
        <v>2856856.9900897034</v>
      </c>
      <c r="CC14" s="509">
        <f t="shared" si="344"/>
        <v>2856856.9900897034</v>
      </c>
      <c r="CD14" s="509">
        <f t="shared" si="344"/>
        <v>2856856.9900897034</v>
      </c>
      <c r="CE14" s="509">
        <f t="shared" si="344"/>
        <v>2856856.9900897034</v>
      </c>
      <c r="CF14" s="509">
        <f t="shared" si="344"/>
        <v>2856856.9900897034</v>
      </c>
      <c r="CG14" s="509">
        <f t="shared" si="344"/>
        <v>2789224.8192897029</v>
      </c>
      <c r="CH14" s="509">
        <f t="shared" si="344"/>
        <v>2789224.8192897029</v>
      </c>
      <c r="CI14" s="509">
        <f t="shared" si="344"/>
        <v>2878284.8192897029</v>
      </c>
      <c r="CJ14" s="509">
        <f t="shared" si="344"/>
        <v>2878284.8192897029</v>
      </c>
      <c r="CK14" s="509">
        <f t="shared" si="344"/>
        <v>2878284.8192897029</v>
      </c>
      <c r="CL14" s="509">
        <f t="shared" si="344"/>
        <v>2878284.8192897029</v>
      </c>
      <c r="CM14" s="509">
        <f t="shared" si="344"/>
        <v>2878284.8192897029</v>
      </c>
      <c r="CN14" s="509">
        <f t="shared" si="344"/>
        <v>2878284.8192897029</v>
      </c>
      <c r="CO14" s="509">
        <f t="shared" si="344"/>
        <v>2878284.8192897029</v>
      </c>
      <c r="CP14" s="509">
        <f t="shared" ref="CP14:DP14" si="345">CP10-CP12</f>
        <v>2878284.8192897029</v>
      </c>
      <c r="CQ14" s="509">
        <f t="shared" si="345"/>
        <v>2878284.8192897029</v>
      </c>
      <c r="CR14" s="509">
        <f t="shared" si="345"/>
        <v>2877657.939289704</v>
      </c>
      <c r="CS14" s="509">
        <f t="shared" si="345"/>
        <v>2877657.939289704</v>
      </c>
      <c r="CT14" s="509">
        <f t="shared" si="345"/>
        <v>2877657.939289704</v>
      </c>
      <c r="CU14" s="509">
        <f t="shared" si="345"/>
        <v>2877657.939289704</v>
      </c>
      <c r="CV14" s="509">
        <f t="shared" si="345"/>
        <v>2877657.939289704</v>
      </c>
      <c r="CW14" s="509">
        <f t="shared" si="345"/>
        <v>2877299.7792897038</v>
      </c>
      <c r="CX14" s="509">
        <f t="shared" si="345"/>
        <v>2330395.1192897037</v>
      </c>
      <c r="CY14" s="509">
        <f t="shared" si="345"/>
        <v>2330395.1192897037</v>
      </c>
      <c r="CZ14" s="509">
        <f t="shared" si="345"/>
        <v>2330395.1192897037</v>
      </c>
      <c r="DA14" s="509">
        <f t="shared" si="345"/>
        <v>2330395.1192897037</v>
      </c>
      <c r="DB14" s="509">
        <f t="shared" si="345"/>
        <v>2326490.1192897037</v>
      </c>
      <c r="DC14" s="509">
        <f t="shared" si="345"/>
        <v>2326490.1192897037</v>
      </c>
      <c r="DD14" s="509">
        <f t="shared" si="345"/>
        <v>2326490.1192897037</v>
      </c>
      <c r="DE14" s="509">
        <f t="shared" si="345"/>
        <v>2245737.9792897031</v>
      </c>
      <c r="DF14" s="509">
        <f t="shared" si="345"/>
        <v>2245573.439289704</v>
      </c>
      <c r="DG14" s="509">
        <f t="shared" si="345"/>
        <v>2245573.439289704</v>
      </c>
      <c r="DH14" s="509">
        <f t="shared" si="345"/>
        <v>2214734.3292897046</v>
      </c>
      <c r="DI14" s="509">
        <f t="shared" si="345"/>
        <v>2170823.7792897038</v>
      </c>
      <c r="DJ14" s="509">
        <f t="shared" si="345"/>
        <v>2170543.059289705</v>
      </c>
      <c r="DK14" s="509">
        <f t="shared" si="345"/>
        <v>2170543.059289705</v>
      </c>
      <c r="DL14" s="509">
        <f t="shared" si="345"/>
        <v>2170543.059289705</v>
      </c>
      <c r="DM14" s="509">
        <f t="shared" si="345"/>
        <v>2170543.059289705</v>
      </c>
      <c r="DN14" s="509">
        <f t="shared" si="345"/>
        <v>2148637.7292897068</v>
      </c>
      <c r="DO14" s="509">
        <f t="shared" si="345"/>
        <v>2148637.7292897068</v>
      </c>
      <c r="DP14" s="509">
        <f t="shared" si="345"/>
        <v>2148637.7292897068</v>
      </c>
      <c r="DQ14" s="509">
        <f t="shared" ref="DQ14:EI14" si="346">DQ10-DQ12</f>
        <v>2148637.7292897068</v>
      </c>
      <c r="DR14" s="509">
        <f t="shared" si="346"/>
        <v>2011971.7292897068</v>
      </c>
      <c r="DS14" s="509">
        <f t="shared" si="346"/>
        <v>2011472.4092897065</v>
      </c>
      <c r="DT14" s="509">
        <f t="shared" si="346"/>
        <v>2011472.4092897065</v>
      </c>
      <c r="DU14" s="509">
        <f t="shared" si="346"/>
        <v>2011472.4092897065</v>
      </c>
      <c r="DV14" s="509">
        <f t="shared" si="346"/>
        <v>1979343.4492897056</v>
      </c>
      <c r="DW14" s="509">
        <f t="shared" si="346"/>
        <v>1979343.4492897056</v>
      </c>
      <c r="DX14" s="509">
        <f t="shared" si="346"/>
        <v>1979343.4492897056</v>
      </c>
      <c r="DY14" s="509">
        <f t="shared" si="346"/>
        <v>1979343.4492897056</v>
      </c>
      <c r="DZ14" s="509">
        <f t="shared" si="346"/>
        <v>1979343.4492897056</v>
      </c>
      <c r="EA14" s="509">
        <f t="shared" si="346"/>
        <v>1979343.4492897056</v>
      </c>
      <c r="EB14" s="509">
        <f t="shared" si="346"/>
        <v>1979343.4492897056</v>
      </c>
      <c r="EC14" s="509">
        <f t="shared" si="346"/>
        <v>1979343.4492897056</v>
      </c>
      <c r="ED14" s="509">
        <f t="shared" si="346"/>
        <v>1979343.4492897056</v>
      </c>
      <c r="EE14" s="509">
        <f t="shared" si="346"/>
        <v>1979343.4492897056</v>
      </c>
      <c r="EF14" s="509">
        <f t="shared" si="346"/>
        <v>1979343.4492897056</v>
      </c>
      <c r="EG14" s="509">
        <f t="shared" si="346"/>
        <v>1979343.4492897056</v>
      </c>
      <c r="EH14" s="509">
        <f t="shared" si="346"/>
        <v>1979343.4492897056</v>
      </c>
      <c r="EI14" s="509">
        <f t="shared" si="346"/>
        <v>1979343.4492897056</v>
      </c>
    </row>
    <row r="15" spans="1:617" s="71" customFormat="1"/>
    <row r="16" spans="1:617">
      <c r="B16" t="s">
        <v>456</v>
      </c>
      <c r="D16" s="698">
        <f>SUM(F16:BR16)</f>
        <v>2028487.686</v>
      </c>
      <c r="E16" s="71"/>
      <c r="F16">
        <f>SUMIFS('Expenditure Breakdown'!$Q$49:$Q$51,'Expenditure Breakdown'!$R$49:$R$51,"&gt;="&amp;F1,'Expenditure Breakdown'!$R$49:$R$51,"&lt;"&amp;G1)+SUMIFS('Expenditure Breakdown'!$Q$76:$Q$79,'Expenditure Breakdown'!$R$76:$R$79,"&gt;="&amp;F1,'Expenditure Breakdown'!$R$76:$R$79,"&lt;"&amp;G1)+SUMIFS('Expenditure Breakdown'!$Q$106:$Q$123,'Expenditure Breakdown'!$R$106:$R$123,"&gt;="&amp;F1,'Expenditure Breakdown'!$R$106:$R$123,"&lt;"&amp;G1)</f>
        <v>0</v>
      </c>
      <c r="G16">
        <f>SUMIFS('Expenditure Breakdown'!$Q$49:$Q$51,'Expenditure Breakdown'!$R$49:$R$51,"&gt;="&amp;G1,'Expenditure Breakdown'!$R$49:$R$51,"&lt;"&amp;H1)+SUMIFS('Expenditure Breakdown'!$Q$76:$Q$79,'Expenditure Breakdown'!$R$76:$R$79,"&gt;="&amp;G1,'Expenditure Breakdown'!$R$76:$R$79,"&lt;"&amp;H1)+SUMIFS('Expenditure Breakdown'!$Q$106:$Q$123,'Expenditure Breakdown'!$R$106:$R$123,"&gt;="&amp;G1,'Expenditure Breakdown'!$R$106:$R$123,"&lt;"&amp;H1)</f>
        <v>0</v>
      </c>
      <c r="H16">
        <f>SUMIFS('Expenditure Breakdown'!$Q$49:$Q$51,'Expenditure Breakdown'!$R$49:$R$51,"&gt;="&amp;H1,'Expenditure Breakdown'!$R$49:$R$51,"&lt;"&amp;I1)+SUMIFS('Expenditure Breakdown'!$Q$76:$Q$79,'Expenditure Breakdown'!$R$76:$R$79,"&gt;="&amp;H1,'Expenditure Breakdown'!$R$76:$R$79,"&lt;"&amp;I1)+SUMIFS('Expenditure Breakdown'!$Q$106:$Q$123,'Expenditure Breakdown'!$R$106:$R$123,"&gt;="&amp;H1,'Expenditure Breakdown'!$R$106:$R$123,"&lt;"&amp;I1)</f>
        <v>0</v>
      </c>
      <c r="I16">
        <f>SUMIFS('Expenditure Breakdown'!$Q$49:$Q$51,'Expenditure Breakdown'!$R$49:$R$51,"&gt;="&amp;I1,'Expenditure Breakdown'!$R$49:$R$51,"&lt;"&amp;J1)+SUMIFS('Expenditure Breakdown'!$Q$76:$Q$79,'Expenditure Breakdown'!$R$76:$R$79,"&gt;="&amp;I1,'Expenditure Breakdown'!$R$76:$R$79,"&lt;"&amp;J1)+SUMIFS('Expenditure Breakdown'!$Q$106:$Q$123,'Expenditure Breakdown'!$R$106:$R$123,"&gt;="&amp;I1,'Expenditure Breakdown'!$R$106:$R$123,"&lt;"&amp;J1)</f>
        <v>0</v>
      </c>
      <c r="J16">
        <f>SUMIFS('Expenditure Breakdown'!$Q$49:$Q$51,'Expenditure Breakdown'!$R$49:$R$51,"&gt;="&amp;J1,'Expenditure Breakdown'!$R$49:$R$51,"&lt;"&amp;K1)+SUMIFS('Expenditure Breakdown'!$Q$76:$Q$79,'Expenditure Breakdown'!$R$76:$R$79,"&gt;="&amp;J1,'Expenditure Breakdown'!$R$76:$R$79,"&lt;"&amp;K1)+SUMIFS('Expenditure Breakdown'!$Q$106:$Q$123,'Expenditure Breakdown'!$R$106:$R$123,"&gt;="&amp;J1,'Expenditure Breakdown'!$R$106:$R$123,"&lt;"&amp;K1)</f>
        <v>0</v>
      </c>
      <c r="K16">
        <f>SUMIFS('Expenditure Breakdown'!$Q$49:$Q$51,'Expenditure Breakdown'!$R$49:$R$51,"&gt;="&amp;K1,'Expenditure Breakdown'!$R$49:$R$51,"&lt;"&amp;L1)+SUMIFS('Expenditure Breakdown'!$Q$76:$Q$79,'Expenditure Breakdown'!$R$76:$R$79,"&gt;="&amp;K1,'Expenditure Breakdown'!$R$76:$R$79,"&lt;"&amp;L1)+SUMIFS('Expenditure Breakdown'!$Q$106:$Q$123,'Expenditure Breakdown'!$R$106:$R$123,"&gt;="&amp;K1,'Expenditure Breakdown'!$R$106:$R$123,"&lt;"&amp;L1)</f>
        <v>0</v>
      </c>
      <c r="L16">
        <f>SUMIFS('Expenditure Breakdown'!$Q$49:$Q$51,'Expenditure Breakdown'!$R$49:$R$51,"&gt;="&amp;L1,'Expenditure Breakdown'!$R$49:$R$51,"&lt;"&amp;M1)+SUMIFS('Expenditure Breakdown'!$Q$76:$Q$79,'Expenditure Breakdown'!$R$76:$R$79,"&gt;="&amp;L1,'Expenditure Breakdown'!$R$76:$R$79,"&lt;"&amp;M1)+SUMIFS('Expenditure Breakdown'!$Q$106:$Q$123,'Expenditure Breakdown'!$R$106:$R$123,"&gt;="&amp;L1,'Expenditure Breakdown'!$R$106:$R$123,"&lt;"&amp;M1)</f>
        <v>0</v>
      </c>
      <c r="M16">
        <f>SUMIFS('Expenditure Breakdown'!$Q$49:$Q$51,'Expenditure Breakdown'!$R$49:$R$51,"&gt;="&amp;M1,'Expenditure Breakdown'!$R$49:$R$51,"&lt;"&amp;N1)+SUMIFS('Expenditure Breakdown'!$Q$76:$Q$79,'Expenditure Breakdown'!$R$76:$R$79,"&gt;="&amp;M1,'Expenditure Breakdown'!$R$76:$R$79,"&lt;"&amp;N1)+SUMIFS('Expenditure Breakdown'!$Q$106:$Q$123,'Expenditure Breakdown'!$R$106:$R$123,"&gt;="&amp;M1,'Expenditure Breakdown'!$R$106:$R$123,"&lt;"&amp;N1)</f>
        <v>0</v>
      </c>
      <c r="N16">
        <f>SUMIFS('Expenditure Breakdown'!$Q$49:$Q$51,'Expenditure Breakdown'!$R$49:$R$51,"&gt;="&amp;N1,'Expenditure Breakdown'!$R$49:$R$51,"&lt;"&amp;O1)+SUMIFS('Expenditure Breakdown'!$Q$76:$Q$79,'Expenditure Breakdown'!$R$76:$R$79,"&gt;="&amp;N1,'Expenditure Breakdown'!$R$76:$R$79,"&lt;"&amp;O1)+SUMIFS('Expenditure Breakdown'!$Q$106:$Q$123,'Expenditure Breakdown'!$R$106:$R$123,"&gt;="&amp;N1,'Expenditure Breakdown'!$R$106:$R$123,"&lt;"&amp;O1)</f>
        <v>0</v>
      </c>
      <c r="O16">
        <f>SUMIFS('Expenditure Breakdown'!$Q$49:$Q$51,'Expenditure Breakdown'!$R$49:$R$51,"&gt;="&amp;O1,'Expenditure Breakdown'!$R$49:$R$51,"&lt;"&amp;P1)+SUMIFS('Expenditure Breakdown'!$Q$76:$Q$79,'Expenditure Breakdown'!$R$76:$R$79,"&gt;="&amp;O1,'Expenditure Breakdown'!$R$76:$R$79,"&lt;"&amp;P1)+SUMIFS('Expenditure Breakdown'!$Q$106:$Q$123,'Expenditure Breakdown'!$R$106:$R$123,"&gt;="&amp;O1,'Expenditure Breakdown'!$R$106:$R$123,"&lt;"&amp;P1)</f>
        <v>0</v>
      </c>
      <c r="P16">
        <f>SUMIFS('Expenditure Breakdown'!$Q$49:$Q$51,'Expenditure Breakdown'!$R$49:$R$51,"&gt;="&amp;P1,'Expenditure Breakdown'!$R$49:$R$51,"&lt;"&amp;Q1)+SUMIFS('Expenditure Breakdown'!$Q$76:$Q$79,'Expenditure Breakdown'!$R$76:$R$79,"&gt;="&amp;P1,'Expenditure Breakdown'!$R$76:$R$79,"&lt;"&amp;Q1)+SUMIFS('Expenditure Breakdown'!$Q$106:$Q$123,'Expenditure Breakdown'!$R$106:$R$123,"&gt;="&amp;P1,'Expenditure Breakdown'!$R$106:$R$123,"&lt;"&amp;Q1)</f>
        <v>0</v>
      </c>
      <c r="Q16">
        <f>SUMIFS('Expenditure Breakdown'!$Q$49:$Q$51,'Expenditure Breakdown'!$R$49:$R$51,"&gt;="&amp;Q1,'Expenditure Breakdown'!$R$49:$R$51,"&lt;"&amp;R1)+SUMIFS('Expenditure Breakdown'!$Q$76:$Q$79,'Expenditure Breakdown'!$R$76:$R$79,"&gt;="&amp;Q1,'Expenditure Breakdown'!$R$76:$R$79,"&lt;"&amp;R1)+SUMIFS('Expenditure Breakdown'!$Q$106:$Q$123,'Expenditure Breakdown'!$R$106:$R$123,"&gt;="&amp;Q1,'Expenditure Breakdown'!$R$106:$R$123,"&lt;"&amp;R1)</f>
        <v>0</v>
      </c>
      <c r="R16">
        <f>SUMIFS('Expenditure Breakdown'!$Q$49:$Q$51,'Expenditure Breakdown'!$R$49:$R$51,"&gt;="&amp;R1,'Expenditure Breakdown'!$R$49:$R$51,"&lt;"&amp;S1)+SUMIFS('Expenditure Breakdown'!$Q$76:$Q$79,'Expenditure Breakdown'!$R$76:$R$79,"&gt;="&amp;R1,'Expenditure Breakdown'!$R$76:$R$79,"&lt;"&amp;S1)+SUMIFS('Expenditure Breakdown'!$Q$106:$Q$123,'Expenditure Breakdown'!$R$106:$R$123,"&gt;="&amp;R1,'Expenditure Breakdown'!$R$106:$R$123,"&lt;"&amp;S1)</f>
        <v>0</v>
      </c>
      <c r="S16">
        <f>SUMIFS('Expenditure Breakdown'!$Q$49:$Q$51,'Expenditure Breakdown'!$R$49:$R$51,"&gt;="&amp;S1,'Expenditure Breakdown'!$R$49:$R$51,"&lt;"&amp;T1)+SUMIFS('Expenditure Breakdown'!$Q$76:$Q$79,'Expenditure Breakdown'!$R$76:$R$79,"&gt;="&amp;S1,'Expenditure Breakdown'!$R$76:$R$79,"&lt;"&amp;T1)+SUMIFS('Expenditure Breakdown'!$Q$106:$Q$123,'Expenditure Breakdown'!$R$106:$R$123,"&gt;="&amp;S1,'Expenditure Breakdown'!$R$106:$R$123,"&lt;"&amp;T1)</f>
        <v>0</v>
      </c>
      <c r="T16">
        <f>SUMIFS('Expenditure Breakdown'!$Q$49:$Q$51,'Expenditure Breakdown'!$R$49:$R$51,"&gt;="&amp;T1,'Expenditure Breakdown'!$R$49:$R$51,"&lt;"&amp;U1)+SUMIFS('Expenditure Breakdown'!$Q$76:$Q$79,'Expenditure Breakdown'!$R$76:$R$79,"&gt;="&amp;T1,'Expenditure Breakdown'!$R$76:$R$79,"&lt;"&amp;U1)+SUMIFS('Expenditure Breakdown'!$Q$106:$Q$123,'Expenditure Breakdown'!$R$106:$R$123,"&gt;="&amp;T1,'Expenditure Breakdown'!$R$106:$R$123,"&lt;"&amp;U1)</f>
        <v>0</v>
      </c>
      <c r="U16">
        <f>SUMIFS('Expenditure Breakdown'!$Q$49:$Q$51,'Expenditure Breakdown'!$R$49:$R$51,"&gt;="&amp;U1,'Expenditure Breakdown'!$R$49:$R$51,"&lt;"&amp;V1)+SUMIFS('Expenditure Breakdown'!$Q$76:$Q$79,'Expenditure Breakdown'!$R$76:$R$79,"&gt;="&amp;U1,'Expenditure Breakdown'!$R$76:$R$79,"&lt;"&amp;V1)+SUMIFS('Expenditure Breakdown'!$Q$106:$Q$123,'Expenditure Breakdown'!$R$106:$R$123,"&gt;="&amp;U1,'Expenditure Breakdown'!$R$106:$R$123,"&lt;"&amp;V1)</f>
        <v>0</v>
      </c>
      <c r="V16">
        <f>SUMIFS('Expenditure Breakdown'!$Q$49:$Q$51,'Expenditure Breakdown'!$R$49:$R$51,"&gt;="&amp;V1,'Expenditure Breakdown'!$R$49:$R$51,"&lt;"&amp;W1)+SUMIFS('Expenditure Breakdown'!$Q$76:$Q$79,'Expenditure Breakdown'!$R$76:$R$79,"&gt;="&amp;V1,'Expenditure Breakdown'!$R$76:$R$79,"&lt;"&amp;W1)+SUMIFS('Expenditure Breakdown'!$Q$106:$Q$123,'Expenditure Breakdown'!$R$106:$R$123,"&gt;="&amp;V1,'Expenditure Breakdown'!$R$106:$R$123,"&lt;"&amp;W1)</f>
        <v>0</v>
      </c>
      <c r="W16">
        <f>SUMIFS('Expenditure Breakdown'!$Q$49:$Q$51,'Expenditure Breakdown'!$R$49:$R$51,"&gt;="&amp;W1,'Expenditure Breakdown'!$R$49:$R$51,"&lt;"&amp;X1)+SUMIFS('Expenditure Breakdown'!$Q$76:$Q$79,'Expenditure Breakdown'!$R$76:$R$79,"&gt;="&amp;W1,'Expenditure Breakdown'!$R$76:$R$79,"&lt;"&amp;X1)+SUMIFS('Expenditure Breakdown'!$Q$106:$Q$123,'Expenditure Breakdown'!$R$106:$R$123,"&gt;="&amp;W1,'Expenditure Breakdown'!$R$106:$R$123,"&lt;"&amp;X1)</f>
        <v>0</v>
      </c>
      <c r="X16">
        <f>SUMIFS('Expenditure Breakdown'!$Q$49:$Q$51,'Expenditure Breakdown'!$R$49:$R$51,"&gt;="&amp;X1,'Expenditure Breakdown'!$R$49:$R$51,"&lt;"&amp;Y1)+SUMIFS('Expenditure Breakdown'!$Q$76:$Q$79,'Expenditure Breakdown'!$R$76:$R$79,"&gt;="&amp;X1,'Expenditure Breakdown'!$R$76:$R$79,"&lt;"&amp;Y1)+SUMIFS('Expenditure Breakdown'!$Q$106:$Q$123,'Expenditure Breakdown'!$R$106:$R$123,"&gt;="&amp;X1,'Expenditure Breakdown'!$R$106:$R$123,"&lt;"&amp;Y1)</f>
        <v>730704.27</v>
      </c>
      <c r="Y16">
        <f>SUMIFS('Expenditure Breakdown'!$Q$49:$Q$51,'Expenditure Breakdown'!$R$49:$R$51,"&gt;="&amp;Y1,'Expenditure Breakdown'!$R$49:$R$51,"&lt;"&amp;Z1)+SUMIFS('Expenditure Breakdown'!$Q$76:$Q$79,'Expenditure Breakdown'!$R$76:$R$79,"&gt;="&amp;Y1,'Expenditure Breakdown'!$R$76:$R$79,"&lt;"&amp;Z1)+SUMIFS('Expenditure Breakdown'!$Q$106:$Q$123,'Expenditure Breakdown'!$R$106:$R$123,"&gt;="&amp;Y1,'Expenditure Breakdown'!$R$106:$R$123,"&lt;"&amp;Z1)</f>
        <v>0</v>
      </c>
      <c r="Z16">
        <f>SUMIFS('Expenditure Breakdown'!$Q$49:$Q$51,'Expenditure Breakdown'!$R$49:$R$51,"&gt;="&amp;Z1,'Expenditure Breakdown'!$R$49:$R$51,"&lt;"&amp;AA1)+SUMIFS('Expenditure Breakdown'!$Q$76:$Q$79,'Expenditure Breakdown'!$R$76:$R$79,"&gt;="&amp;Z1,'Expenditure Breakdown'!$R$76:$R$79,"&lt;"&amp;AA1)+SUMIFS('Expenditure Breakdown'!$Q$106:$Q$123,'Expenditure Breakdown'!$R$106:$R$123,"&gt;="&amp;Z1,'Expenditure Breakdown'!$R$106:$R$123,"&lt;"&amp;AA1)</f>
        <v>0</v>
      </c>
      <c r="AA16">
        <f>SUMIFS('Expenditure Breakdown'!$Q$49:$Q$51,'Expenditure Breakdown'!$R$49:$R$51,"&gt;="&amp;AA1,'Expenditure Breakdown'!$R$49:$R$51,"&lt;"&amp;AB1)+SUMIFS('Expenditure Breakdown'!$Q$76:$Q$79,'Expenditure Breakdown'!$R$76:$R$79,"&gt;="&amp;AA1,'Expenditure Breakdown'!$R$76:$R$79,"&lt;"&amp;AB1)+SUMIFS('Expenditure Breakdown'!$Q$106:$Q$123,'Expenditure Breakdown'!$R$106:$R$123,"&gt;="&amp;AA1,'Expenditure Breakdown'!$R$106:$R$123,"&lt;"&amp;AB1)</f>
        <v>0</v>
      </c>
      <c r="AB16">
        <f>SUMIFS('Expenditure Breakdown'!$Q$49:$Q$51,'Expenditure Breakdown'!$R$49:$R$51,"&gt;="&amp;AB1,'Expenditure Breakdown'!$R$49:$R$51,"&lt;"&amp;AC1)+SUMIFS('Expenditure Breakdown'!$Q$76:$Q$79,'Expenditure Breakdown'!$R$76:$R$79,"&gt;="&amp;AB1,'Expenditure Breakdown'!$R$76:$R$79,"&lt;"&amp;AC1)+SUMIFS('Expenditure Breakdown'!$Q$106:$Q$123,'Expenditure Breakdown'!$R$106:$R$123,"&gt;="&amp;AB1,'Expenditure Breakdown'!$R$106:$R$123,"&lt;"&amp;AC1)</f>
        <v>0</v>
      </c>
      <c r="AC16">
        <f>SUMIFS('Expenditure Breakdown'!$Q$49:$Q$51,'Expenditure Breakdown'!$R$49:$R$51,"&gt;="&amp;AC1,'Expenditure Breakdown'!$R$49:$R$51,"&lt;"&amp;AD1)+SUMIFS('Expenditure Breakdown'!$Q$76:$Q$79,'Expenditure Breakdown'!$R$76:$R$79,"&gt;="&amp;AC1,'Expenditure Breakdown'!$R$76:$R$79,"&lt;"&amp;AD1)+SUMIFS('Expenditure Breakdown'!$Q$106:$Q$123,'Expenditure Breakdown'!$R$106:$R$123,"&gt;="&amp;AC1,'Expenditure Breakdown'!$R$106:$R$123,"&lt;"&amp;AD1)</f>
        <v>0</v>
      </c>
      <c r="AD16">
        <f>SUMIFS('Expenditure Breakdown'!$Q$49:$Q$51,'Expenditure Breakdown'!$R$49:$R$51,"&gt;="&amp;AD1,'Expenditure Breakdown'!$R$49:$R$51,"&lt;"&amp;AE1)+SUMIFS('Expenditure Breakdown'!$Q$76:$Q$79,'Expenditure Breakdown'!$R$76:$R$79,"&gt;="&amp;AD1,'Expenditure Breakdown'!$R$76:$R$79,"&lt;"&amp;AE1)+SUMIFS('Expenditure Breakdown'!$Q$106:$Q$123,'Expenditure Breakdown'!$R$106:$R$123,"&gt;="&amp;AD1,'Expenditure Breakdown'!$R$106:$R$123,"&lt;"&amp;AE1)</f>
        <v>0</v>
      </c>
      <c r="AE16">
        <f>SUMIFS('Expenditure Breakdown'!$Q$49:$Q$51,'Expenditure Breakdown'!$R$49:$R$51,"&gt;="&amp;AE1,'Expenditure Breakdown'!$R$49:$R$51,"&lt;"&amp;AF1)+SUMIFS('Expenditure Breakdown'!$Q$76:$Q$79,'Expenditure Breakdown'!$R$76:$R$79,"&gt;="&amp;AE1,'Expenditure Breakdown'!$R$76:$R$79,"&lt;"&amp;AF1)+SUMIFS('Expenditure Breakdown'!$Q$106:$Q$123,'Expenditure Breakdown'!$R$106:$R$123,"&gt;="&amp;AE1,'Expenditure Breakdown'!$R$106:$R$123,"&lt;"&amp;AF1)</f>
        <v>0</v>
      </c>
      <c r="AF16">
        <f>SUMIFS('Expenditure Breakdown'!$Q$49:$Q$51,'Expenditure Breakdown'!$R$49:$R$51,"&gt;="&amp;AF1,'Expenditure Breakdown'!$R$49:$R$51,"&lt;"&amp;AG1)+SUMIFS('Expenditure Breakdown'!$Q$76:$Q$79,'Expenditure Breakdown'!$R$76:$R$79,"&gt;="&amp;AF1,'Expenditure Breakdown'!$R$76:$R$79,"&lt;"&amp;AG1)+SUMIFS('Expenditure Breakdown'!$Q$106:$Q$123,'Expenditure Breakdown'!$R$106:$R$123,"&gt;="&amp;AF1,'Expenditure Breakdown'!$R$106:$R$123,"&lt;"&amp;AG1)</f>
        <v>38478</v>
      </c>
      <c r="AG16">
        <f>SUMIFS('Expenditure Breakdown'!$Q$49:$Q$51,'Expenditure Breakdown'!$R$49:$R$51,"&gt;="&amp;AG1,'Expenditure Breakdown'!$R$49:$R$51,"&lt;"&amp;AH1)+SUMIFS('Expenditure Breakdown'!$Q$76:$Q$79,'Expenditure Breakdown'!$R$76:$R$79,"&gt;="&amp;AG1,'Expenditure Breakdown'!$R$76:$R$79,"&lt;"&amp;AH1)+SUMIFS('Expenditure Breakdown'!$Q$106:$Q$123,'Expenditure Breakdown'!$R$106:$R$123,"&gt;="&amp;AG1,'Expenditure Breakdown'!$R$106:$R$123,"&lt;"&amp;AH1)</f>
        <v>0</v>
      </c>
      <c r="AH16">
        <f>SUMIFS('Expenditure Breakdown'!$Q$49:$Q$51,'Expenditure Breakdown'!$R$49:$R$51,"&gt;="&amp;AH1,'Expenditure Breakdown'!$R$49:$R$51,"&lt;"&amp;AI1)+SUMIFS('Expenditure Breakdown'!$Q$76:$Q$79,'Expenditure Breakdown'!$R$76:$R$79,"&gt;="&amp;AH1,'Expenditure Breakdown'!$R$76:$R$79,"&lt;"&amp;AI1)+SUMIFS('Expenditure Breakdown'!$Q$106:$Q$123,'Expenditure Breakdown'!$R$106:$R$123,"&gt;="&amp;AH1,'Expenditure Breakdown'!$R$106:$R$123,"&lt;"&amp;AI1)</f>
        <v>0</v>
      </c>
      <c r="AI16">
        <f>SUMIFS('Expenditure Breakdown'!$Q$49:$Q$51,'Expenditure Breakdown'!$R$49:$R$51,"&gt;="&amp;AI1,'Expenditure Breakdown'!$R$49:$R$51,"&lt;"&amp;AJ1)+SUMIFS('Expenditure Breakdown'!$Q$76:$Q$79,'Expenditure Breakdown'!$R$76:$R$79,"&gt;="&amp;AI1,'Expenditure Breakdown'!$R$76:$R$79,"&lt;"&amp;AJ1)+SUMIFS('Expenditure Breakdown'!$Q$106:$Q$123,'Expenditure Breakdown'!$R$106:$R$123,"&gt;="&amp;AI1,'Expenditure Breakdown'!$R$106:$R$123,"&lt;"&amp;AJ1)</f>
        <v>336444</v>
      </c>
      <c r="AJ16">
        <f>SUMIFS('Expenditure Breakdown'!$Q$49:$Q$51,'Expenditure Breakdown'!$R$49:$R$51,"&gt;="&amp;AJ1,'Expenditure Breakdown'!$R$49:$R$51,"&lt;"&amp;AK1)+SUMIFS('Expenditure Breakdown'!$Q$76:$Q$79,'Expenditure Breakdown'!$R$76:$R$79,"&gt;="&amp;AJ1,'Expenditure Breakdown'!$R$76:$R$79,"&lt;"&amp;AK1)+SUMIFS('Expenditure Breakdown'!$Q$106:$Q$123,'Expenditure Breakdown'!$R$106:$R$123,"&gt;="&amp;AJ1,'Expenditure Breakdown'!$R$106:$R$123,"&lt;"&amp;AK1)</f>
        <v>0</v>
      </c>
      <c r="AK16">
        <f>SUMIFS('Expenditure Breakdown'!$Q$49:$Q$51,'Expenditure Breakdown'!$R$49:$R$51,"&gt;="&amp;AK1,'Expenditure Breakdown'!$R$49:$R$51,"&lt;"&amp;AL1)+SUMIFS('Expenditure Breakdown'!$Q$76:$Q$79,'Expenditure Breakdown'!$R$76:$R$79,"&gt;="&amp;AK1,'Expenditure Breakdown'!$R$76:$R$79,"&lt;"&amp;AL1)+SUMIFS('Expenditure Breakdown'!$Q$106:$Q$123,'Expenditure Breakdown'!$R$106:$R$123,"&gt;="&amp;AK1,'Expenditure Breakdown'!$R$106:$R$123,"&lt;"&amp;AL1)</f>
        <v>0</v>
      </c>
      <c r="AL16">
        <f>SUMIFS('Expenditure Breakdown'!$Q$49:$Q$51,'Expenditure Breakdown'!$R$49:$R$51,"&gt;="&amp;AL1,'Expenditure Breakdown'!$R$49:$R$51,"&lt;"&amp;AM1)+SUMIFS('Expenditure Breakdown'!$Q$76:$Q$79,'Expenditure Breakdown'!$R$76:$R$79,"&gt;="&amp;AL1,'Expenditure Breakdown'!$R$76:$R$79,"&lt;"&amp;AM1)+SUMIFS('Expenditure Breakdown'!$Q$106:$Q$123,'Expenditure Breakdown'!$R$106:$R$123,"&gt;="&amp;AL1,'Expenditure Breakdown'!$R$106:$R$123,"&lt;"&amp;AM1)</f>
        <v>0</v>
      </c>
      <c r="AM16">
        <f>SUMIFS('Expenditure Breakdown'!$Q$49:$Q$51,'Expenditure Breakdown'!$R$49:$R$51,"&gt;="&amp;AM1,'Expenditure Breakdown'!$R$49:$R$51,"&lt;"&amp;AN1)+SUMIFS('Expenditure Breakdown'!$Q$76:$Q$79,'Expenditure Breakdown'!$R$76:$R$79,"&gt;="&amp;AM1,'Expenditure Breakdown'!$R$76:$R$79,"&lt;"&amp;AN1)+SUMIFS('Expenditure Breakdown'!$Q$106:$Q$123,'Expenditure Breakdown'!$R$106:$R$123,"&gt;="&amp;AM1,'Expenditure Breakdown'!$R$106:$R$123,"&lt;"&amp;AN1)</f>
        <v>0</v>
      </c>
      <c r="AN16">
        <f>SUMIFS('Expenditure Breakdown'!$Q$49:$Q$51,'Expenditure Breakdown'!$R$49:$R$51,"&gt;="&amp;AN1,'Expenditure Breakdown'!$R$49:$R$51,"&lt;"&amp;AO1)+SUMIFS('Expenditure Breakdown'!$Q$76:$Q$79,'Expenditure Breakdown'!$R$76:$R$79,"&gt;="&amp;AN1,'Expenditure Breakdown'!$R$76:$R$79,"&lt;"&amp;AO1)+SUMIFS('Expenditure Breakdown'!$Q$106:$Q$123,'Expenditure Breakdown'!$R$106:$R$123,"&gt;="&amp;AN1,'Expenditure Breakdown'!$R$106:$R$123,"&lt;"&amp;AO1)</f>
        <v>0</v>
      </c>
      <c r="AO16">
        <f>SUMIFS('Expenditure Breakdown'!$Q$49:$Q$51,'Expenditure Breakdown'!$R$49:$R$51,"&gt;="&amp;AO1,'Expenditure Breakdown'!$R$49:$R$51,"&lt;"&amp;AP1)+SUMIFS('Expenditure Breakdown'!$Q$76:$Q$79,'Expenditure Breakdown'!$R$76:$R$79,"&gt;="&amp;AO1,'Expenditure Breakdown'!$R$76:$R$79,"&lt;"&amp;AP1)+SUMIFS('Expenditure Breakdown'!$Q$106:$Q$123,'Expenditure Breakdown'!$R$106:$R$123,"&gt;="&amp;AO1,'Expenditure Breakdown'!$R$106:$R$123,"&lt;"&amp;AP1)</f>
        <v>0</v>
      </c>
      <c r="AP16">
        <f>SUMIFS('Expenditure Breakdown'!$Q$49:$Q$51,'Expenditure Breakdown'!$R$49:$R$51,"&gt;="&amp;AP1,'Expenditure Breakdown'!$R$49:$R$51,"&lt;"&amp;AQ1)+SUMIFS('Expenditure Breakdown'!$Q$76:$Q$79,'Expenditure Breakdown'!$R$76:$R$79,"&gt;="&amp;AP1,'Expenditure Breakdown'!$R$76:$R$79,"&lt;"&amp;AQ1)+SUMIFS('Expenditure Breakdown'!$Q$106:$Q$123,'Expenditure Breakdown'!$R$106:$R$123,"&gt;="&amp;AP1,'Expenditure Breakdown'!$R$106:$R$123,"&lt;"&amp;AQ1)</f>
        <v>0</v>
      </c>
      <c r="AQ16">
        <f>SUMIFS('Expenditure Breakdown'!$Q$49:$Q$51,'Expenditure Breakdown'!$R$49:$R$51,"&gt;="&amp;AQ1,'Expenditure Breakdown'!$R$49:$R$51,"&lt;"&amp;AR1)+SUMIFS('Expenditure Breakdown'!$Q$76:$Q$79,'Expenditure Breakdown'!$R$76:$R$79,"&gt;="&amp;AQ1,'Expenditure Breakdown'!$R$76:$R$79,"&lt;"&amp;AR1)+SUMIFS('Expenditure Breakdown'!$Q$106:$Q$123,'Expenditure Breakdown'!$R$106:$R$123,"&gt;="&amp;AQ1,'Expenditure Breakdown'!$R$106:$R$123,"&lt;"&amp;AR1)</f>
        <v>4300</v>
      </c>
      <c r="AR16">
        <f>SUMIFS('Expenditure Breakdown'!$Q$49:$Q$51,'Expenditure Breakdown'!$R$49:$R$51,"&gt;="&amp;AR1,'Expenditure Breakdown'!$R$49:$R$51,"&lt;"&amp;AS1)+SUMIFS('Expenditure Breakdown'!$Q$76:$Q$79,'Expenditure Breakdown'!$R$76:$R$79,"&gt;="&amp;AR1,'Expenditure Breakdown'!$R$76:$R$79,"&lt;"&amp;AS1)+SUMIFS('Expenditure Breakdown'!$Q$106:$Q$123,'Expenditure Breakdown'!$R$106:$R$123,"&gt;="&amp;AR1,'Expenditure Breakdown'!$R$106:$R$123,"&lt;"&amp;AS1)</f>
        <v>0</v>
      </c>
      <c r="AS16">
        <f>SUMIFS('Expenditure Breakdown'!$Q$49:$Q$51,'Expenditure Breakdown'!$R$49:$R$51,"&gt;="&amp;AS1,'Expenditure Breakdown'!$R$49:$R$51,"&lt;"&amp;AT1)+SUMIFS('Expenditure Breakdown'!$Q$76:$Q$79,'Expenditure Breakdown'!$R$76:$R$79,"&gt;="&amp;AS1,'Expenditure Breakdown'!$R$76:$R$79,"&lt;"&amp;AT1)+SUMIFS('Expenditure Breakdown'!$Q$106:$Q$123,'Expenditure Breakdown'!$R$106:$R$123,"&gt;="&amp;AS1,'Expenditure Breakdown'!$R$106:$R$123,"&lt;"&amp;AT1)</f>
        <v>0</v>
      </c>
      <c r="AT16">
        <f>SUMIFS('Expenditure Breakdown'!$Q$49:$Q$51,'Expenditure Breakdown'!$R$49:$R$51,"&gt;="&amp;AT1,'Expenditure Breakdown'!$R$49:$R$51,"&lt;"&amp;AU1)+SUMIFS('Expenditure Breakdown'!$Q$76:$Q$79,'Expenditure Breakdown'!$R$76:$R$79,"&gt;="&amp;AT1,'Expenditure Breakdown'!$R$76:$R$79,"&lt;"&amp;AU1)+SUMIFS('Expenditure Breakdown'!$Q$106:$Q$123,'Expenditure Breakdown'!$R$106:$R$123,"&gt;="&amp;AT1,'Expenditure Breakdown'!$R$106:$R$123,"&lt;"&amp;AU1)</f>
        <v>206700</v>
      </c>
      <c r="AU16">
        <f>SUMIFS('Expenditure Breakdown'!$Q$49:$Q$51,'Expenditure Breakdown'!$R$49:$R$51,"&gt;="&amp;AU1,'Expenditure Breakdown'!$R$49:$R$51,"&lt;"&amp;AV1)+SUMIFS('Expenditure Breakdown'!$Q$76:$Q$79,'Expenditure Breakdown'!$R$76:$R$79,"&gt;="&amp;AU1,'Expenditure Breakdown'!$R$76:$R$79,"&lt;"&amp;AV1)+SUMIFS('Expenditure Breakdown'!$Q$106:$Q$123,'Expenditure Breakdown'!$R$106:$R$123,"&gt;="&amp;AU1,'Expenditure Breakdown'!$R$106:$R$123,"&lt;"&amp;AV1)</f>
        <v>0</v>
      </c>
      <c r="AV16">
        <f>SUMIFS('Expenditure Breakdown'!$Q$49:$Q$51,'Expenditure Breakdown'!$R$49:$R$51,"&gt;="&amp;AV1,'Expenditure Breakdown'!$R$49:$R$51,"&lt;"&amp;AW1)+SUMIFS('Expenditure Breakdown'!$Q$76:$Q$79,'Expenditure Breakdown'!$R$76:$R$79,"&gt;="&amp;AV1,'Expenditure Breakdown'!$R$76:$R$79,"&lt;"&amp;AW1)+SUMIFS('Expenditure Breakdown'!$Q$106:$Q$123,'Expenditure Breakdown'!$R$106:$R$123,"&gt;="&amp;AV1,'Expenditure Breakdown'!$R$106:$R$123,"&lt;"&amp;AW1)</f>
        <v>0</v>
      </c>
      <c r="AW16">
        <f>SUMIFS('Expenditure Breakdown'!$Q$49:$Q$51,'Expenditure Breakdown'!$R$49:$R$51,"&gt;="&amp;AW1,'Expenditure Breakdown'!$R$49:$R$51,"&lt;"&amp;AX1)+SUMIFS('Expenditure Breakdown'!$Q$76:$Q$79,'Expenditure Breakdown'!$R$76:$R$79,"&gt;="&amp;AW1,'Expenditure Breakdown'!$R$76:$R$79,"&lt;"&amp;AX1)+SUMIFS('Expenditure Breakdown'!$Q$106:$Q$123,'Expenditure Breakdown'!$R$106:$R$123,"&gt;="&amp;AW1,'Expenditure Breakdown'!$R$106:$R$123,"&lt;"&amp;AX1)</f>
        <v>195861.42</v>
      </c>
      <c r="AX16">
        <f>SUMIFS('Expenditure Breakdown'!$Q$49:$Q$51,'Expenditure Breakdown'!$R$49:$R$51,"&gt;="&amp;AX1,'Expenditure Breakdown'!$R$49:$R$51,"&lt;"&amp;AY1)+SUMIFS('Expenditure Breakdown'!$Q$76:$Q$79,'Expenditure Breakdown'!$R$76:$R$79,"&gt;="&amp;AX1,'Expenditure Breakdown'!$R$76:$R$79,"&lt;"&amp;AY1)+SUMIFS('Expenditure Breakdown'!$Q$106:$Q$123,'Expenditure Breakdown'!$R$106:$R$123,"&gt;="&amp;AX1,'Expenditure Breakdown'!$R$106:$R$123,"&lt;"&amp;AY1)</f>
        <v>0</v>
      </c>
      <c r="AY16">
        <f>SUMIFS('Expenditure Breakdown'!$Q$49:$Q$51,'Expenditure Breakdown'!$R$49:$R$51,"&gt;="&amp;AY1,'Expenditure Breakdown'!$R$49:$R$51,"&lt;"&amp;AZ1)+SUMIFS('Expenditure Breakdown'!$Q$76:$Q$79,'Expenditure Breakdown'!$R$76:$R$79,"&gt;="&amp;AY1,'Expenditure Breakdown'!$R$76:$R$79,"&lt;"&amp;AZ1)+SUMIFS('Expenditure Breakdown'!$Q$106:$Q$123,'Expenditure Breakdown'!$R$106:$R$123,"&gt;="&amp;AY1,'Expenditure Breakdown'!$R$106:$R$123,"&lt;"&amp;AZ1)</f>
        <v>40440</v>
      </c>
      <c r="AZ16">
        <f>SUMIFS('Expenditure Breakdown'!$Q$49:$Q$51,'Expenditure Breakdown'!$R$49:$R$51,"&gt;="&amp;AZ1,'Expenditure Breakdown'!$R$49:$R$51,"&lt;"&amp;BA1)+SUMIFS('Expenditure Breakdown'!$Q$76:$Q$79,'Expenditure Breakdown'!$R$76:$R$79,"&gt;="&amp;AZ1,'Expenditure Breakdown'!$R$76:$R$79,"&lt;"&amp;BA1)+SUMIFS('Expenditure Breakdown'!$Q$106:$Q$123,'Expenditure Breakdown'!$R$106:$R$123,"&gt;="&amp;AZ1,'Expenditure Breakdown'!$R$106:$R$123,"&lt;"&amp;BA1)</f>
        <v>0</v>
      </c>
      <c r="BA16">
        <f>SUMIFS('Expenditure Breakdown'!$Q$49:$Q$51,'Expenditure Breakdown'!$R$49:$R$51,"&gt;="&amp;BA1,'Expenditure Breakdown'!$R$49:$R$51,"&lt;"&amp;BB1)+SUMIFS('Expenditure Breakdown'!$Q$76:$Q$79,'Expenditure Breakdown'!$R$76:$R$79,"&gt;="&amp;BA1,'Expenditure Breakdown'!$R$76:$R$79,"&lt;"&amp;BB1)+SUMIFS('Expenditure Breakdown'!$Q$106:$Q$123,'Expenditure Breakdown'!$R$106:$R$123,"&gt;="&amp;BA1,'Expenditure Breakdown'!$R$106:$R$123,"&lt;"&amp;BB1)</f>
        <v>0</v>
      </c>
      <c r="BB16">
        <f>SUMIFS('Expenditure Breakdown'!$Q$49:$Q$51,'Expenditure Breakdown'!$R$49:$R$51,"&gt;="&amp;BB1,'Expenditure Breakdown'!$R$49:$R$51,"&lt;"&amp;BC1)+SUMIFS('Expenditure Breakdown'!$Q$76:$Q$79,'Expenditure Breakdown'!$R$76:$R$79,"&gt;="&amp;BB1,'Expenditure Breakdown'!$R$76:$R$79,"&lt;"&amp;BC1)+SUMIFS('Expenditure Breakdown'!$Q$106:$Q$123,'Expenditure Breakdown'!$R$106:$R$123,"&gt;="&amp;BB1,'Expenditure Breakdown'!$R$106:$R$123,"&lt;"&amp;BC1)</f>
        <v>0</v>
      </c>
      <c r="BC16">
        <f>SUMIFS('Expenditure Breakdown'!$Q$49:$Q$51,'Expenditure Breakdown'!$R$49:$R$51,"&gt;="&amp;BC1,'Expenditure Breakdown'!$R$49:$R$51,"&lt;"&amp;BD1)+SUMIFS('Expenditure Breakdown'!$Q$76:$Q$79,'Expenditure Breakdown'!$R$76:$R$79,"&gt;="&amp;BC1,'Expenditure Breakdown'!$R$76:$R$79,"&lt;"&amp;BD1)+SUMIFS('Expenditure Breakdown'!$Q$106:$Q$123,'Expenditure Breakdown'!$R$106:$R$123,"&gt;="&amp;BC1,'Expenditure Breakdown'!$R$106:$R$123,"&lt;"&amp;BD1)</f>
        <v>0</v>
      </c>
      <c r="BD16">
        <f>SUMIFS('Expenditure Breakdown'!$Q$49:$Q$51,'Expenditure Breakdown'!$R$49:$R$51,"&gt;="&amp;BD1,'Expenditure Breakdown'!$R$49:$R$51,"&lt;"&amp;BE1)+SUMIFS('Expenditure Breakdown'!$Q$76:$Q$79,'Expenditure Breakdown'!$R$76:$R$79,"&gt;="&amp;BD1,'Expenditure Breakdown'!$R$76:$R$79,"&lt;"&amp;BE1)+SUMIFS('Expenditure Breakdown'!$Q$106:$Q$123,'Expenditure Breakdown'!$R$106:$R$123,"&gt;="&amp;BD1,'Expenditure Breakdown'!$R$106:$R$123,"&lt;"&amp;BE1)</f>
        <v>86956.521739130447</v>
      </c>
      <c r="BE16">
        <f>SUMIFS('Expenditure Breakdown'!$Q$49:$Q$51,'Expenditure Breakdown'!$R$49:$R$51,"&gt;="&amp;BE1,'Expenditure Breakdown'!$R$49:$R$51,"&lt;"&amp;BF1)+SUMIFS('Expenditure Breakdown'!$Q$76:$Q$79,'Expenditure Breakdown'!$R$76:$R$79,"&gt;="&amp;BE1,'Expenditure Breakdown'!$R$76:$R$79,"&lt;"&amp;BF1)+SUMIFS('Expenditure Breakdown'!$Q$106:$Q$123,'Expenditure Breakdown'!$R$106:$R$123,"&gt;="&amp;BE1,'Expenditure Breakdown'!$R$106:$R$123,"&lt;"&amp;BF1)</f>
        <v>68464.894260869551</v>
      </c>
      <c r="BF16">
        <f>SUMIFS('Expenditure Breakdown'!$Q$49:$Q$51,'Expenditure Breakdown'!$R$49:$R$51,"&gt;="&amp;BF1,'Expenditure Breakdown'!$R$49:$R$51,"&lt;"&amp;BG1)+SUMIFS('Expenditure Breakdown'!$Q$76:$Q$79,'Expenditure Breakdown'!$R$76:$R$79,"&gt;="&amp;BF1,'Expenditure Breakdown'!$R$76:$R$79,"&lt;"&amp;BG1)+SUMIFS('Expenditure Breakdown'!$Q$106:$Q$123,'Expenditure Breakdown'!$R$106:$R$123,"&gt;="&amp;BF1,'Expenditure Breakdown'!$R$106:$R$123,"&lt;"&amp;BG1)</f>
        <v>0</v>
      </c>
      <c r="BG16">
        <f>SUMIFS('Expenditure Breakdown'!$Q$49:$Q$51,'Expenditure Breakdown'!$R$49:$R$51,"&gt;="&amp;BG1,'Expenditure Breakdown'!$R$49:$R$51,"&lt;"&amp;BH1)+SUMIFS('Expenditure Breakdown'!$Q$76:$Q$79,'Expenditure Breakdown'!$R$76:$R$79,"&gt;="&amp;BG1,'Expenditure Breakdown'!$R$76:$R$79,"&lt;"&amp;BH1)+SUMIFS('Expenditure Breakdown'!$Q$106:$Q$123,'Expenditure Breakdown'!$R$106:$R$123,"&gt;="&amp;BG1,'Expenditure Breakdown'!$R$106:$R$123,"&lt;"&amp;BH1)</f>
        <v>10838.579999999987</v>
      </c>
      <c r="BH16">
        <f>SUMIFS('Expenditure Breakdown'!$Q$49:$Q$51,'Expenditure Breakdown'!$R$49:$R$51,"&gt;="&amp;BH1,'Expenditure Breakdown'!$R$49:$R$51,"&lt;"&amp;BI1)+SUMIFS('Expenditure Breakdown'!$Q$76:$Q$79,'Expenditure Breakdown'!$R$76:$R$79,"&gt;="&amp;BH1,'Expenditure Breakdown'!$R$76:$R$79,"&lt;"&amp;BI1)+SUMIFS('Expenditure Breakdown'!$Q$106:$Q$123,'Expenditure Breakdown'!$R$106:$R$123,"&gt;="&amp;BH1,'Expenditure Breakdown'!$R$106:$R$123,"&lt;"&amp;BI1)</f>
        <v>0</v>
      </c>
      <c r="BI16">
        <f>SUMIFS('Expenditure Breakdown'!$Q$49:$Q$51,'Expenditure Breakdown'!$R$49:$R$51,"&gt;="&amp;BI1,'Expenditure Breakdown'!$R$49:$R$51,"&lt;"&amp;BJ1)+SUMIFS('Expenditure Breakdown'!$Q$76:$Q$79,'Expenditure Breakdown'!$R$76:$R$79,"&gt;="&amp;BI1,'Expenditure Breakdown'!$R$76:$R$79,"&lt;"&amp;BJ1)+SUMIFS('Expenditure Breakdown'!$Q$106:$Q$123,'Expenditure Breakdown'!$R$106:$R$123,"&gt;="&amp;BI1,'Expenditure Breakdown'!$R$106:$R$123,"&lt;"&amp;BJ1)</f>
        <v>0</v>
      </c>
      <c r="BJ16">
        <f>SUMIFS('Expenditure Breakdown'!$Q$49:$Q$51,'Expenditure Breakdown'!$R$49:$R$51,"&gt;="&amp;BJ1,'Expenditure Breakdown'!$R$49:$R$51,"&lt;"&amp;BK1)+SUMIFS('Expenditure Breakdown'!$Q$76:$Q$79,'Expenditure Breakdown'!$R$76:$R$79,"&gt;="&amp;BJ1,'Expenditure Breakdown'!$R$76:$R$79,"&lt;"&amp;BK1)+SUMIFS('Expenditure Breakdown'!$Q$106:$Q$123,'Expenditure Breakdown'!$R$106:$R$123,"&gt;="&amp;BJ1,'Expenditure Breakdown'!$R$106:$R$123,"&lt;"&amp;BK1)</f>
        <v>0</v>
      </c>
      <c r="BK16">
        <f>SUMIFS('Expenditure Breakdown'!$Q$49:$Q$51,'Expenditure Breakdown'!$R$49:$R$51,"&gt;="&amp;BK1,'Expenditure Breakdown'!$R$49:$R$51,"&lt;"&amp;BL1)+SUMIFS('Expenditure Breakdown'!$Q$76:$Q$79,'Expenditure Breakdown'!$R$76:$R$79,"&gt;="&amp;BK1,'Expenditure Breakdown'!$R$76:$R$79,"&lt;"&amp;BL1)+SUMIFS('Expenditure Breakdown'!$Q$106:$Q$123,'Expenditure Breakdown'!$R$106:$R$123,"&gt;="&amp;BK1,'Expenditure Breakdown'!$R$106:$R$123,"&lt;"&amp;BL1)</f>
        <v>0</v>
      </c>
      <c r="BL16">
        <f>SUMIFS('Expenditure Breakdown'!$Q$49:$Q$51,'Expenditure Breakdown'!$R$49:$R$51,"&gt;="&amp;BL1,'Expenditure Breakdown'!$R$49:$R$51,"&lt;"&amp;BM1)+SUMIFS('Expenditure Breakdown'!$Q$76:$Q$79,'Expenditure Breakdown'!$R$76:$R$79,"&gt;="&amp;BL1,'Expenditure Breakdown'!$R$76:$R$79,"&lt;"&amp;BM1)+SUMIFS('Expenditure Breakdown'!$Q$106:$Q$123,'Expenditure Breakdown'!$R$106:$R$123,"&gt;="&amp;BL1,'Expenditure Breakdown'!$R$106:$R$123,"&lt;"&amp;BM1)</f>
        <v>0</v>
      </c>
      <c r="BM16">
        <f>SUMIFS('Expenditure Breakdown'!$Q$49:$Q$51,'Expenditure Breakdown'!$R$49:$R$51,"&gt;="&amp;BM1,'Expenditure Breakdown'!$R$49:$R$51,"&lt;"&amp;BN1)+SUMIFS('Expenditure Breakdown'!$Q$76:$Q$79,'Expenditure Breakdown'!$R$76:$R$79,"&gt;="&amp;BM1,'Expenditure Breakdown'!$R$76:$R$79,"&lt;"&amp;BN1)+SUMIFS('Expenditure Breakdown'!$Q$106:$Q$123,'Expenditure Breakdown'!$R$106:$R$123,"&gt;="&amp;BM1,'Expenditure Breakdown'!$R$106:$R$123,"&lt;"&amp;BN1)</f>
        <v>0</v>
      </c>
      <c r="BN16">
        <f>SUMIFS('Expenditure Breakdown'!$Q$49:$Q$51,'Expenditure Breakdown'!$R$49:$R$51,"&gt;="&amp;BN1,'Expenditure Breakdown'!$R$49:$R$51,"&lt;"&amp;BO1)+SUMIFS('Expenditure Breakdown'!$Q$76:$Q$79,'Expenditure Breakdown'!$R$76:$R$79,"&gt;="&amp;BN1,'Expenditure Breakdown'!$R$76:$R$79,"&lt;"&amp;BO1)+SUMIFS('Expenditure Breakdown'!$Q$106:$Q$123,'Expenditure Breakdown'!$R$106:$R$123,"&gt;="&amp;BN1,'Expenditure Breakdown'!$R$106:$R$123,"&lt;"&amp;BO1)</f>
        <v>33700</v>
      </c>
      <c r="BO16">
        <f>SUMIFS('Expenditure Breakdown'!$Q$49:$Q$51,'Expenditure Breakdown'!$R$49:$R$51,"&gt;="&amp;BO1,'Expenditure Breakdown'!$R$49:$R$51,"&lt;"&amp;BP1)+SUMIFS('Expenditure Breakdown'!$Q$76:$Q$79,'Expenditure Breakdown'!$R$76:$R$79,"&gt;="&amp;BO1,'Expenditure Breakdown'!$R$76:$R$79,"&lt;"&amp;BP1)+SUMIFS('Expenditure Breakdown'!$Q$106:$Q$123,'Expenditure Breakdown'!$R$106:$R$123,"&gt;="&amp;BO1,'Expenditure Breakdown'!$R$106:$R$123,"&lt;"&amp;BP1)</f>
        <v>0</v>
      </c>
      <c r="BP16">
        <f>SUMIFS('Expenditure Breakdown'!$Q$49:$Q$51,'Expenditure Breakdown'!$R$49:$R$51,"&gt;="&amp;BP1,'Expenditure Breakdown'!$R$49:$R$51,"&lt;"&amp;BQ1)+SUMIFS('Expenditure Breakdown'!$Q$76:$Q$79,'Expenditure Breakdown'!$R$76:$R$79,"&gt;="&amp;BP1,'Expenditure Breakdown'!$R$76:$R$79,"&lt;"&amp;BQ1)+SUMIFS('Expenditure Breakdown'!$Q$106:$Q$123,'Expenditure Breakdown'!$R$106:$R$123,"&gt;="&amp;BP1,'Expenditure Breakdown'!$R$106:$R$123,"&lt;"&amp;BQ1)</f>
        <v>275600</v>
      </c>
      <c r="BQ16">
        <f>SUMIFS('Expenditure Breakdown'!$Q$49:$Q$51,'Expenditure Breakdown'!$R$49:$R$51,"&gt;="&amp;BQ1,'Expenditure Breakdown'!$R$49:$R$51,"&lt;"&amp;BR1)+SUMIFS('Expenditure Breakdown'!$Q$76:$Q$79,'Expenditure Breakdown'!$R$76:$R$79,"&gt;="&amp;BQ1,'Expenditure Breakdown'!$R$76:$R$79,"&lt;"&amp;BR1)+SUMIFS('Expenditure Breakdown'!$Q$106:$Q$123,'Expenditure Breakdown'!$R$106:$R$123,"&gt;="&amp;BQ1,'Expenditure Breakdown'!$R$106:$R$123,"&lt;"&amp;BR1)</f>
        <v>0</v>
      </c>
      <c r="BR16">
        <f>SUMIFS('Expenditure Breakdown'!$Q$49:$Q$51,'Expenditure Breakdown'!$R$49:$R$51,"&gt;="&amp;BR1,'Expenditure Breakdown'!$R$49:$R$51,"&lt;"&amp;BS1)+SUMIFS('Expenditure Breakdown'!$Q$76:$Q$79,'Expenditure Breakdown'!$R$76:$R$79,"&gt;="&amp;BR1,'Expenditure Breakdown'!$R$76:$R$79,"&lt;"&amp;BS1)+SUMIFS('Expenditure Breakdown'!$Q$106:$Q$123,'Expenditure Breakdown'!$R$106:$R$123,"&gt;="&amp;BR1,'Expenditure Breakdown'!$R$106:$R$123,"&lt;"&amp;BS1)</f>
        <v>0</v>
      </c>
      <c r="BS16">
        <f>SUMIFS('Expenditure Breakdown'!$Q$49:$Q$51,'Expenditure Breakdown'!$R$49:$R$51,"&gt;="&amp;BS1,'Expenditure Breakdown'!$R$49:$R$51,"&lt;"&amp;BT1)+SUMIFS('Expenditure Breakdown'!$Q$76:$Q$79,'Expenditure Breakdown'!$R$76:$R$79,"&gt;="&amp;BS1,'Expenditure Breakdown'!$R$76:$R$79,"&lt;"&amp;BT1)+SUMIFS('Expenditure Breakdown'!$Q$106:$Q$123,'Expenditure Breakdown'!$R$106:$R$123,"&gt;="&amp;BS1,'Expenditure Breakdown'!$R$106:$R$123,"&lt;"&amp;BT1)</f>
        <v>0</v>
      </c>
      <c r="BT16">
        <f>SUMIFS('Expenditure Breakdown'!$Q$49:$Q$51,'Expenditure Breakdown'!$R$49:$R$51,"&gt;="&amp;BT1,'Expenditure Breakdown'!$R$49:$R$51,"&lt;"&amp;BU1)+SUMIFS('Expenditure Breakdown'!$Q$76:$Q$79,'Expenditure Breakdown'!$R$76:$R$79,"&gt;="&amp;BT1,'Expenditure Breakdown'!$R$76:$R$79,"&lt;"&amp;BU1)+SUMIFS('Expenditure Breakdown'!$Q$106:$Q$123,'Expenditure Breakdown'!$R$106:$R$123,"&gt;="&amp;BT1,'Expenditure Breakdown'!$R$106:$R$123,"&lt;"&amp;BU1)</f>
        <v>0</v>
      </c>
      <c r="BU16">
        <f>SUMIFS('Expenditure Breakdown'!$Q$49:$Q$51,'Expenditure Breakdown'!$R$49:$R$51,"&gt;="&amp;BU1,'Expenditure Breakdown'!$R$49:$R$51,"&lt;"&amp;BV1)+SUMIFS('Expenditure Breakdown'!$Q$76:$Q$79,'Expenditure Breakdown'!$R$76:$R$79,"&gt;="&amp;BU1,'Expenditure Breakdown'!$R$76:$R$79,"&lt;"&amp;BV1)+SUMIFS('Expenditure Breakdown'!$Q$106:$Q$123,'Expenditure Breakdown'!$R$106:$R$123,"&gt;="&amp;BU1,'Expenditure Breakdown'!$R$106:$R$123,"&lt;"&amp;BV1)</f>
        <v>0</v>
      </c>
      <c r="BV16">
        <f>SUMIFS('Expenditure Breakdown'!$Q$49:$Q$51,'Expenditure Breakdown'!$R$49:$R$51,"&gt;="&amp;BV1,'Expenditure Breakdown'!$R$49:$R$51,"&lt;"&amp;EJ1)+SUMIFS('Expenditure Breakdown'!$Q$76:$Q$79,'Expenditure Breakdown'!$R$76:$R$79,"&gt;="&amp;BV1,'Expenditure Breakdown'!$R$76:$R$79,"&lt;"&amp;EJ1)+SUMIFS('Expenditure Breakdown'!$Q$106:$Q$123,'Expenditure Breakdown'!$R$106:$R$123,"&gt;="&amp;BV1,'Expenditure Breakdown'!$R$106:$R$123,"&lt;"&amp;EJ1)</f>
        <v>0</v>
      </c>
      <c r="BW16">
        <f>SUMIFS('Expenditure Breakdown'!$Q$49:$Q$51,'Expenditure Breakdown'!$R$49:$R$51,"&gt;="&amp;BW1,'Expenditure Breakdown'!$R$49:$R$51,"&lt;"&amp;EK1)+SUMIFS('Expenditure Breakdown'!$Q$76:$Q$79,'Expenditure Breakdown'!$R$76:$R$79,"&gt;="&amp;BW1,'Expenditure Breakdown'!$R$76:$R$79,"&lt;"&amp;EK1)+SUMIFS('Expenditure Breakdown'!$Q$106:$Q$123,'Expenditure Breakdown'!$R$106:$R$123,"&gt;="&amp;BW1,'Expenditure Breakdown'!$R$106:$R$123,"&lt;"&amp;EK1)</f>
        <v>0</v>
      </c>
      <c r="BX16">
        <f>SUMIFS('Expenditure Breakdown'!$Q$49:$Q$51,'Expenditure Breakdown'!$R$49:$R$51,"&gt;="&amp;BX1,'Expenditure Breakdown'!$R$49:$R$51,"&lt;"&amp;EL1)+SUMIFS('Expenditure Breakdown'!$Q$76:$Q$79,'Expenditure Breakdown'!$R$76:$R$79,"&gt;="&amp;BX1,'Expenditure Breakdown'!$R$76:$R$79,"&lt;"&amp;EL1)+SUMIFS('Expenditure Breakdown'!$Q$106:$Q$123,'Expenditure Breakdown'!$R$106:$R$123,"&gt;="&amp;BX1,'Expenditure Breakdown'!$R$106:$R$123,"&lt;"&amp;EL1)</f>
        <v>0</v>
      </c>
      <c r="BY16">
        <f>SUMIFS('Expenditure Breakdown'!$Q$49:$Q$51,'Expenditure Breakdown'!$R$49:$R$51,"&gt;="&amp;BY1,'Expenditure Breakdown'!$R$49:$R$51,"&lt;"&amp;EM1)+SUMIFS('Expenditure Breakdown'!$Q$76:$Q$79,'Expenditure Breakdown'!$R$76:$R$79,"&gt;="&amp;BY1,'Expenditure Breakdown'!$R$76:$R$79,"&lt;"&amp;EM1)+SUMIFS('Expenditure Breakdown'!$Q$106:$Q$123,'Expenditure Breakdown'!$R$106:$R$123,"&gt;="&amp;BY1,'Expenditure Breakdown'!$R$106:$R$123,"&lt;"&amp;EM1)</f>
        <v>0</v>
      </c>
      <c r="BZ16">
        <f>SUMIFS('Expenditure Breakdown'!$Q$49:$Q$51,'Expenditure Breakdown'!$R$49:$R$51,"&gt;="&amp;BZ1,'Expenditure Breakdown'!$R$49:$R$51,"&lt;"&amp;EN1)+SUMIFS('Expenditure Breakdown'!$Q$76:$Q$79,'Expenditure Breakdown'!$R$76:$R$79,"&gt;="&amp;BZ1,'Expenditure Breakdown'!$R$76:$R$79,"&lt;"&amp;EN1)+SUMIFS('Expenditure Breakdown'!$Q$106:$Q$123,'Expenditure Breakdown'!$R$106:$R$123,"&gt;="&amp;BZ1,'Expenditure Breakdown'!$R$106:$R$123,"&lt;"&amp;EN1)</f>
        <v>0</v>
      </c>
      <c r="CA16">
        <f>SUMIFS('Expenditure Breakdown'!$Q$49:$Q$51,'Expenditure Breakdown'!$R$49:$R$51,"&gt;="&amp;CA1,'Expenditure Breakdown'!$R$49:$R$51,"&lt;"&amp;EO1)+SUMIFS('Expenditure Breakdown'!$Q$76:$Q$79,'Expenditure Breakdown'!$R$76:$R$79,"&gt;="&amp;CA1,'Expenditure Breakdown'!$R$76:$R$79,"&lt;"&amp;EO1)+SUMIFS('Expenditure Breakdown'!$Q$106:$Q$123,'Expenditure Breakdown'!$R$106:$R$123,"&gt;="&amp;CA1,'Expenditure Breakdown'!$R$106:$R$123,"&lt;"&amp;EO1)</f>
        <v>0</v>
      </c>
      <c r="CB16">
        <f>SUMIFS('Expenditure Breakdown'!$Q$49:$Q$51,'Expenditure Breakdown'!$R$49:$R$51,"&gt;="&amp;CB1,'Expenditure Breakdown'!$R$49:$R$51,"&lt;"&amp;EP1)+SUMIFS('Expenditure Breakdown'!$Q$76:$Q$79,'Expenditure Breakdown'!$R$76:$R$79,"&gt;="&amp;CB1,'Expenditure Breakdown'!$R$76:$R$79,"&lt;"&amp;EP1)+SUMIFS('Expenditure Breakdown'!$Q$106:$Q$123,'Expenditure Breakdown'!$R$106:$R$123,"&gt;="&amp;CB1,'Expenditure Breakdown'!$R$106:$R$123,"&lt;"&amp;EP1)</f>
        <v>0</v>
      </c>
      <c r="CC16">
        <f>SUMIFS('Expenditure Breakdown'!$Q$49:$Q$51,'Expenditure Breakdown'!$R$49:$R$51,"&gt;="&amp;CC1,'Expenditure Breakdown'!$R$49:$R$51,"&lt;"&amp;EQ1)+SUMIFS('Expenditure Breakdown'!$Q$76:$Q$79,'Expenditure Breakdown'!$R$76:$R$79,"&gt;="&amp;CC1,'Expenditure Breakdown'!$R$76:$R$79,"&lt;"&amp;EQ1)+SUMIFS('Expenditure Breakdown'!$Q$106:$Q$123,'Expenditure Breakdown'!$R$106:$R$123,"&gt;="&amp;CC1,'Expenditure Breakdown'!$R$106:$R$123,"&lt;"&amp;EQ1)</f>
        <v>0</v>
      </c>
      <c r="CD16">
        <f>SUMIFS('Expenditure Breakdown'!$Q$49:$Q$51,'Expenditure Breakdown'!$R$49:$R$51,"&gt;="&amp;CD1,'Expenditure Breakdown'!$R$49:$R$51,"&lt;"&amp;ER1)+SUMIFS('Expenditure Breakdown'!$Q$76:$Q$79,'Expenditure Breakdown'!$R$76:$R$79,"&gt;="&amp;CD1,'Expenditure Breakdown'!$R$76:$R$79,"&lt;"&amp;ER1)+SUMIFS('Expenditure Breakdown'!$Q$106:$Q$123,'Expenditure Breakdown'!$R$106:$R$123,"&gt;="&amp;CD1,'Expenditure Breakdown'!$R$106:$R$123,"&lt;"&amp;ER1)</f>
        <v>0</v>
      </c>
      <c r="CE16">
        <f>SUMIFS('Expenditure Breakdown'!$Q$49:$Q$51,'Expenditure Breakdown'!$R$49:$R$51,"&gt;="&amp;CE1,'Expenditure Breakdown'!$R$49:$R$51,"&lt;"&amp;ES1)+SUMIFS('Expenditure Breakdown'!$Q$76:$Q$79,'Expenditure Breakdown'!$R$76:$R$79,"&gt;="&amp;CE1,'Expenditure Breakdown'!$R$76:$R$79,"&lt;"&amp;ES1)+SUMIFS('Expenditure Breakdown'!$Q$106:$Q$123,'Expenditure Breakdown'!$R$106:$R$123,"&gt;="&amp;CE1,'Expenditure Breakdown'!$R$106:$R$123,"&lt;"&amp;ES1)</f>
        <v>0</v>
      </c>
      <c r="CF16">
        <f>SUMIFS('Expenditure Breakdown'!$Q$49:$Q$51,'Expenditure Breakdown'!$R$49:$R$51,"&gt;="&amp;CF1,'Expenditure Breakdown'!$R$49:$R$51,"&lt;"&amp;ET1)+SUMIFS('Expenditure Breakdown'!$Q$76:$Q$79,'Expenditure Breakdown'!$R$76:$R$79,"&gt;="&amp;CF1,'Expenditure Breakdown'!$R$76:$R$79,"&lt;"&amp;ET1)+SUMIFS('Expenditure Breakdown'!$Q$106:$Q$123,'Expenditure Breakdown'!$R$106:$R$123,"&gt;="&amp;CF1,'Expenditure Breakdown'!$R$106:$R$123,"&lt;"&amp;ET1)</f>
        <v>0</v>
      </c>
      <c r="CG16">
        <f>SUMIFS('Expenditure Breakdown'!$Q$49:$Q$51,'Expenditure Breakdown'!$R$49:$R$51,"&gt;="&amp;CG1,'Expenditure Breakdown'!$R$49:$R$51,"&lt;"&amp;EU1)+SUMIFS('Expenditure Breakdown'!$Q$76:$Q$79,'Expenditure Breakdown'!$R$76:$R$79,"&gt;="&amp;CG1,'Expenditure Breakdown'!$R$76:$R$79,"&lt;"&amp;EU1)+SUMIFS('Expenditure Breakdown'!$Q$106:$Q$123,'Expenditure Breakdown'!$R$106:$R$123,"&gt;="&amp;CG1,'Expenditure Breakdown'!$R$106:$R$123,"&lt;"&amp;EU1)</f>
        <v>0</v>
      </c>
      <c r="CH16">
        <f>SUMIFS('Expenditure Breakdown'!$Q$49:$Q$51,'Expenditure Breakdown'!$R$49:$R$51,"&gt;="&amp;CH1,'Expenditure Breakdown'!$R$49:$R$51,"&lt;"&amp;EV1)+SUMIFS('Expenditure Breakdown'!$Q$76:$Q$79,'Expenditure Breakdown'!$R$76:$R$79,"&gt;="&amp;CH1,'Expenditure Breakdown'!$R$76:$R$79,"&lt;"&amp;EV1)+SUMIFS('Expenditure Breakdown'!$Q$106:$Q$123,'Expenditure Breakdown'!$R$106:$R$123,"&gt;="&amp;CH1,'Expenditure Breakdown'!$R$106:$R$123,"&lt;"&amp;EV1)</f>
        <v>0</v>
      </c>
      <c r="CI16">
        <f>SUMIFS('Expenditure Breakdown'!$Q$49:$Q$51,'Expenditure Breakdown'!$R$49:$R$51,"&gt;="&amp;CI1,'Expenditure Breakdown'!$R$49:$R$51,"&lt;"&amp;EW1)+SUMIFS('Expenditure Breakdown'!$Q$76:$Q$79,'Expenditure Breakdown'!$R$76:$R$79,"&gt;="&amp;CI1,'Expenditure Breakdown'!$R$76:$R$79,"&lt;"&amp;EW1)+SUMIFS('Expenditure Breakdown'!$Q$106:$Q$123,'Expenditure Breakdown'!$R$106:$R$123,"&gt;="&amp;CI1,'Expenditure Breakdown'!$R$106:$R$123,"&lt;"&amp;EW1)</f>
        <v>0</v>
      </c>
      <c r="CJ16">
        <f>SUMIFS('Expenditure Breakdown'!$Q$49:$Q$51,'Expenditure Breakdown'!$R$49:$R$51,"&gt;="&amp;CJ1,'Expenditure Breakdown'!$R$49:$R$51,"&lt;"&amp;EX1)+SUMIFS('Expenditure Breakdown'!$Q$76:$Q$79,'Expenditure Breakdown'!$R$76:$R$79,"&gt;="&amp;CJ1,'Expenditure Breakdown'!$R$76:$R$79,"&lt;"&amp;EX1)+SUMIFS('Expenditure Breakdown'!$Q$106:$Q$123,'Expenditure Breakdown'!$R$106:$R$123,"&gt;="&amp;CJ1,'Expenditure Breakdown'!$R$106:$R$123,"&lt;"&amp;EX1)</f>
        <v>0</v>
      </c>
      <c r="CK16">
        <f>SUMIFS('Expenditure Breakdown'!$Q$49:$Q$51,'Expenditure Breakdown'!$R$49:$R$51,"&gt;="&amp;CK1,'Expenditure Breakdown'!$R$49:$R$51,"&lt;"&amp;EY1)+SUMIFS('Expenditure Breakdown'!$Q$76:$Q$79,'Expenditure Breakdown'!$R$76:$R$79,"&gt;="&amp;CK1,'Expenditure Breakdown'!$R$76:$R$79,"&lt;"&amp;EY1)+SUMIFS('Expenditure Breakdown'!$Q$106:$Q$123,'Expenditure Breakdown'!$R$106:$R$123,"&gt;="&amp;CK1,'Expenditure Breakdown'!$R$106:$R$123,"&lt;"&amp;EY1)</f>
        <v>0</v>
      </c>
      <c r="CL16">
        <f>SUMIFS('Expenditure Breakdown'!$Q$49:$Q$51,'Expenditure Breakdown'!$R$49:$R$51,"&gt;="&amp;CL1,'Expenditure Breakdown'!$R$49:$R$51,"&lt;"&amp;EZ1)+SUMIFS('Expenditure Breakdown'!$Q$76:$Q$79,'Expenditure Breakdown'!$R$76:$R$79,"&gt;="&amp;CL1,'Expenditure Breakdown'!$R$76:$R$79,"&lt;"&amp;EZ1)+SUMIFS('Expenditure Breakdown'!$Q$106:$Q$123,'Expenditure Breakdown'!$R$106:$R$123,"&gt;="&amp;CL1,'Expenditure Breakdown'!$R$106:$R$123,"&lt;"&amp;EZ1)</f>
        <v>0</v>
      </c>
      <c r="CM16">
        <f>SUMIFS('Expenditure Breakdown'!$Q$49:$Q$51,'Expenditure Breakdown'!$R$49:$R$51,"&gt;="&amp;CM1,'Expenditure Breakdown'!$R$49:$R$51,"&lt;"&amp;FA1)+SUMIFS('Expenditure Breakdown'!$Q$76:$Q$79,'Expenditure Breakdown'!$R$76:$R$79,"&gt;="&amp;CM1,'Expenditure Breakdown'!$R$76:$R$79,"&lt;"&amp;FA1)+SUMIFS('Expenditure Breakdown'!$Q$106:$Q$123,'Expenditure Breakdown'!$R$106:$R$123,"&gt;="&amp;CM1,'Expenditure Breakdown'!$R$106:$R$123,"&lt;"&amp;FA1)</f>
        <v>0</v>
      </c>
      <c r="CN16">
        <f>SUMIFS('Expenditure Breakdown'!$Q$49:$Q$51,'Expenditure Breakdown'!$R$49:$R$51,"&gt;="&amp;CN1,'Expenditure Breakdown'!$R$49:$R$51,"&lt;"&amp;FB1)+SUMIFS('Expenditure Breakdown'!$Q$76:$Q$79,'Expenditure Breakdown'!$R$76:$R$79,"&gt;="&amp;CN1,'Expenditure Breakdown'!$R$76:$R$79,"&lt;"&amp;FB1)+SUMIFS('Expenditure Breakdown'!$Q$106:$Q$123,'Expenditure Breakdown'!$R$106:$R$123,"&gt;="&amp;CN1,'Expenditure Breakdown'!$R$106:$R$123,"&lt;"&amp;FB1)</f>
        <v>0</v>
      </c>
      <c r="CO16">
        <f>SUMIFS('Expenditure Breakdown'!$Q$49:$Q$51,'Expenditure Breakdown'!$R$49:$R$51,"&gt;="&amp;CO1,'Expenditure Breakdown'!$R$49:$R$51,"&lt;"&amp;FC1)+SUMIFS('Expenditure Breakdown'!$Q$76:$Q$79,'Expenditure Breakdown'!$R$76:$R$79,"&gt;="&amp;CO1,'Expenditure Breakdown'!$R$76:$R$79,"&lt;"&amp;FC1)+SUMIFS('Expenditure Breakdown'!$Q$106:$Q$123,'Expenditure Breakdown'!$R$106:$R$123,"&gt;="&amp;CO1,'Expenditure Breakdown'!$R$106:$R$123,"&lt;"&amp;FC1)</f>
        <v>0</v>
      </c>
      <c r="CP16">
        <f>SUMIFS('Expenditure Breakdown'!$Q$49:$Q$51,'Expenditure Breakdown'!$R$49:$R$51,"&gt;="&amp;CP1,'Expenditure Breakdown'!$R$49:$R$51,"&lt;"&amp;FD1)+SUMIFS('Expenditure Breakdown'!$Q$76:$Q$79,'Expenditure Breakdown'!$R$76:$R$79,"&gt;="&amp;CP1,'Expenditure Breakdown'!$R$76:$R$79,"&lt;"&amp;FD1)+SUMIFS('Expenditure Breakdown'!$Q$106:$Q$123,'Expenditure Breakdown'!$R$106:$R$123,"&gt;="&amp;CP1,'Expenditure Breakdown'!$R$106:$R$123,"&lt;"&amp;FD1)</f>
        <v>0</v>
      </c>
      <c r="CQ16">
        <f>SUMIFS('Expenditure Breakdown'!$Q$49:$Q$51,'Expenditure Breakdown'!$R$49:$R$51,"&gt;="&amp;CQ1,'Expenditure Breakdown'!$R$49:$R$51,"&lt;"&amp;FE1)+SUMIFS('Expenditure Breakdown'!$Q$76:$Q$79,'Expenditure Breakdown'!$R$76:$R$79,"&gt;="&amp;CQ1,'Expenditure Breakdown'!$R$76:$R$79,"&lt;"&amp;FE1)+SUMIFS('Expenditure Breakdown'!$Q$106:$Q$123,'Expenditure Breakdown'!$R$106:$R$123,"&gt;="&amp;CQ1,'Expenditure Breakdown'!$R$106:$R$123,"&lt;"&amp;FE1)</f>
        <v>0</v>
      </c>
      <c r="CR16">
        <f>SUMIFS('Expenditure Breakdown'!$Q$49:$Q$51,'Expenditure Breakdown'!$R$49:$R$51,"&gt;="&amp;CR1,'Expenditure Breakdown'!$R$49:$R$51,"&lt;"&amp;FF1)+SUMIFS('Expenditure Breakdown'!$Q$76:$Q$79,'Expenditure Breakdown'!$R$76:$R$79,"&gt;="&amp;CR1,'Expenditure Breakdown'!$R$76:$R$79,"&lt;"&amp;FF1)+SUMIFS('Expenditure Breakdown'!$Q$106:$Q$123,'Expenditure Breakdown'!$R$106:$R$123,"&gt;="&amp;CR1,'Expenditure Breakdown'!$R$106:$R$123,"&lt;"&amp;FF1)</f>
        <v>0</v>
      </c>
      <c r="CS16">
        <f>SUMIFS('Expenditure Breakdown'!$Q$49:$Q$51,'Expenditure Breakdown'!$R$49:$R$51,"&gt;="&amp;CS1,'Expenditure Breakdown'!$R$49:$R$51,"&lt;"&amp;FG1)+SUMIFS('Expenditure Breakdown'!$Q$76:$Q$79,'Expenditure Breakdown'!$R$76:$R$79,"&gt;="&amp;CS1,'Expenditure Breakdown'!$R$76:$R$79,"&lt;"&amp;FG1)+SUMIFS('Expenditure Breakdown'!$Q$106:$Q$123,'Expenditure Breakdown'!$R$106:$R$123,"&gt;="&amp;CS1,'Expenditure Breakdown'!$R$106:$R$123,"&lt;"&amp;FG1)</f>
        <v>0</v>
      </c>
      <c r="CT16">
        <f>SUMIFS('Expenditure Breakdown'!$Q$49:$Q$51,'Expenditure Breakdown'!$R$49:$R$51,"&gt;="&amp;CT1,'Expenditure Breakdown'!$R$49:$R$51,"&lt;"&amp;FH1)+SUMIFS('Expenditure Breakdown'!$Q$76:$Q$79,'Expenditure Breakdown'!$R$76:$R$79,"&gt;="&amp;CT1,'Expenditure Breakdown'!$R$76:$R$79,"&lt;"&amp;FH1)+SUMIFS('Expenditure Breakdown'!$Q$106:$Q$123,'Expenditure Breakdown'!$R$106:$R$123,"&gt;="&amp;CT1,'Expenditure Breakdown'!$R$106:$R$123,"&lt;"&amp;FH1)</f>
        <v>0</v>
      </c>
      <c r="CU16">
        <f>SUMIFS('Expenditure Breakdown'!$Q$49:$Q$51,'Expenditure Breakdown'!$R$49:$R$51,"&gt;="&amp;CU1,'Expenditure Breakdown'!$R$49:$R$51,"&lt;"&amp;FI1)+SUMIFS('Expenditure Breakdown'!$Q$76:$Q$79,'Expenditure Breakdown'!$R$76:$R$79,"&gt;="&amp;CU1,'Expenditure Breakdown'!$R$76:$R$79,"&lt;"&amp;FI1)+SUMIFS('Expenditure Breakdown'!$Q$106:$Q$123,'Expenditure Breakdown'!$R$106:$R$123,"&gt;="&amp;CU1,'Expenditure Breakdown'!$R$106:$R$123,"&lt;"&amp;FI1)</f>
        <v>0</v>
      </c>
      <c r="CV16">
        <f>SUMIFS('Expenditure Breakdown'!$Q$49:$Q$51,'Expenditure Breakdown'!$R$49:$R$51,"&gt;="&amp;CV1,'Expenditure Breakdown'!$R$49:$R$51,"&lt;"&amp;FJ1)+SUMIFS('Expenditure Breakdown'!$Q$76:$Q$79,'Expenditure Breakdown'!$R$76:$R$79,"&gt;="&amp;CV1,'Expenditure Breakdown'!$R$76:$R$79,"&lt;"&amp;FJ1)+SUMIFS('Expenditure Breakdown'!$Q$106:$Q$123,'Expenditure Breakdown'!$R$106:$R$123,"&gt;="&amp;CV1,'Expenditure Breakdown'!$R$106:$R$123,"&lt;"&amp;FJ1)</f>
        <v>0</v>
      </c>
      <c r="CW16">
        <f>SUMIFS('Expenditure Breakdown'!$Q$49:$Q$51,'Expenditure Breakdown'!$R$49:$R$51,"&gt;="&amp;CW1,'Expenditure Breakdown'!$R$49:$R$51,"&lt;"&amp;FK1)+SUMIFS('Expenditure Breakdown'!$Q$76:$Q$79,'Expenditure Breakdown'!$R$76:$R$79,"&gt;="&amp;CW1,'Expenditure Breakdown'!$R$76:$R$79,"&lt;"&amp;FK1)+SUMIFS('Expenditure Breakdown'!$Q$106:$Q$123,'Expenditure Breakdown'!$R$106:$R$123,"&gt;="&amp;CW1,'Expenditure Breakdown'!$R$106:$R$123,"&lt;"&amp;FK1)</f>
        <v>0</v>
      </c>
      <c r="CX16">
        <f>SUMIFS('Expenditure Breakdown'!$Q$49:$Q$51,'Expenditure Breakdown'!$R$49:$R$51,"&gt;="&amp;CX1,'Expenditure Breakdown'!$R$49:$R$51,"&lt;"&amp;FL1)+SUMIFS('Expenditure Breakdown'!$Q$76:$Q$79,'Expenditure Breakdown'!$R$76:$R$79,"&gt;="&amp;CX1,'Expenditure Breakdown'!$R$76:$R$79,"&lt;"&amp;FL1)+SUMIFS('Expenditure Breakdown'!$Q$106:$Q$123,'Expenditure Breakdown'!$R$106:$R$123,"&gt;="&amp;CX1,'Expenditure Breakdown'!$R$106:$R$123,"&lt;"&amp;FL1)</f>
        <v>0</v>
      </c>
      <c r="CY16">
        <f>SUMIFS('Expenditure Breakdown'!$Q$49:$Q$51,'Expenditure Breakdown'!$R$49:$R$51,"&gt;="&amp;CY1,'Expenditure Breakdown'!$R$49:$R$51,"&lt;"&amp;FM1)+SUMIFS('Expenditure Breakdown'!$Q$76:$Q$79,'Expenditure Breakdown'!$R$76:$R$79,"&gt;="&amp;CY1,'Expenditure Breakdown'!$R$76:$R$79,"&lt;"&amp;FM1)+SUMIFS('Expenditure Breakdown'!$Q$106:$Q$123,'Expenditure Breakdown'!$R$106:$R$123,"&gt;="&amp;CY1,'Expenditure Breakdown'!$R$106:$R$123,"&lt;"&amp;FM1)</f>
        <v>0</v>
      </c>
      <c r="CZ16">
        <f>SUMIFS('Expenditure Breakdown'!$Q$49:$Q$51,'Expenditure Breakdown'!$R$49:$R$51,"&gt;="&amp;CZ1,'Expenditure Breakdown'!$R$49:$R$51,"&lt;"&amp;FN1)+SUMIFS('Expenditure Breakdown'!$Q$76:$Q$79,'Expenditure Breakdown'!$R$76:$R$79,"&gt;="&amp;CZ1,'Expenditure Breakdown'!$R$76:$R$79,"&lt;"&amp;FN1)+SUMIFS('Expenditure Breakdown'!$Q$106:$Q$123,'Expenditure Breakdown'!$R$106:$R$123,"&gt;="&amp;CZ1,'Expenditure Breakdown'!$R$106:$R$123,"&lt;"&amp;FN1)</f>
        <v>0</v>
      </c>
      <c r="DA16">
        <f>SUMIFS('Expenditure Breakdown'!$Q$49:$Q$51,'Expenditure Breakdown'!$R$49:$R$51,"&gt;="&amp;DA1,'Expenditure Breakdown'!$R$49:$R$51,"&lt;"&amp;FO1)+SUMIFS('Expenditure Breakdown'!$Q$76:$Q$79,'Expenditure Breakdown'!$R$76:$R$79,"&gt;="&amp;DA1,'Expenditure Breakdown'!$R$76:$R$79,"&lt;"&amp;FO1)+SUMIFS('Expenditure Breakdown'!$Q$106:$Q$123,'Expenditure Breakdown'!$R$106:$R$123,"&gt;="&amp;DA1,'Expenditure Breakdown'!$R$106:$R$123,"&lt;"&amp;FO1)</f>
        <v>0</v>
      </c>
      <c r="DB16">
        <f>SUMIFS('Expenditure Breakdown'!$Q$49:$Q$51,'Expenditure Breakdown'!$R$49:$R$51,"&gt;="&amp;DB1,'Expenditure Breakdown'!$R$49:$R$51,"&lt;"&amp;FP1)+SUMIFS('Expenditure Breakdown'!$Q$76:$Q$79,'Expenditure Breakdown'!$R$76:$R$79,"&gt;="&amp;DB1,'Expenditure Breakdown'!$R$76:$R$79,"&lt;"&amp;FP1)+SUMIFS('Expenditure Breakdown'!$Q$106:$Q$123,'Expenditure Breakdown'!$R$106:$R$123,"&gt;="&amp;DB1,'Expenditure Breakdown'!$R$106:$R$123,"&lt;"&amp;FP1)</f>
        <v>0</v>
      </c>
      <c r="DC16">
        <f>SUMIFS('Expenditure Breakdown'!$Q$49:$Q$51,'Expenditure Breakdown'!$R$49:$R$51,"&gt;="&amp;DC1,'Expenditure Breakdown'!$R$49:$R$51,"&lt;"&amp;FQ1)+SUMIFS('Expenditure Breakdown'!$Q$76:$Q$79,'Expenditure Breakdown'!$R$76:$R$79,"&gt;="&amp;DC1,'Expenditure Breakdown'!$R$76:$R$79,"&lt;"&amp;FQ1)+SUMIFS('Expenditure Breakdown'!$Q$106:$Q$123,'Expenditure Breakdown'!$R$106:$R$123,"&gt;="&amp;DC1,'Expenditure Breakdown'!$R$106:$R$123,"&lt;"&amp;FQ1)</f>
        <v>0</v>
      </c>
      <c r="DD16">
        <f>SUMIFS('Expenditure Breakdown'!$Q$49:$Q$51,'Expenditure Breakdown'!$R$49:$R$51,"&gt;="&amp;DD1,'Expenditure Breakdown'!$R$49:$R$51,"&lt;"&amp;FR1)+SUMIFS('Expenditure Breakdown'!$Q$76:$Q$79,'Expenditure Breakdown'!$R$76:$R$79,"&gt;="&amp;DD1,'Expenditure Breakdown'!$R$76:$R$79,"&lt;"&amp;FR1)+SUMIFS('Expenditure Breakdown'!$Q$106:$Q$123,'Expenditure Breakdown'!$R$106:$R$123,"&gt;="&amp;DD1,'Expenditure Breakdown'!$R$106:$R$123,"&lt;"&amp;FR1)</f>
        <v>0</v>
      </c>
      <c r="DE16">
        <f>SUMIFS('Expenditure Breakdown'!$Q$49:$Q$51,'Expenditure Breakdown'!$R$49:$R$51,"&gt;="&amp;DE1,'Expenditure Breakdown'!$R$49:$R$51,"&lt;"&amp;FS1)+SUMIFS('Expenditure Breakdown'!$Q$76:$Q$79,'Expenditure Breakdown'!$R$76:$R$79,"&gt;="&amp;DE1,'Expenditure Breakdown'!$R$76:$R$79,"&lt;"&amp;FS1)+SUMIFS('Expenditure Breakdown'!$Q$106:$Q$123,'Expenditure Breakdown'!$R$106:$R$123,"&gt;="&amp;DE1,'Expenditure Breakdown'!$R$106:$R$123,"&lt;"&amp;FS1)</f>
        <v>0</v>
      </c>
      <c r="DF16">
        <f>SUMIFS('Expenditure Breakdown'!$Q$49:$Q$51,'Expenditure Breakdown'!$R$49:$R$51,"&gt;="&amp;DF1,'Expenditure Breakdown'!$R$49:$R$51,"&lt;"&amp;FT1)+SUMIFS('Expenditure Breakdown'!$Q$76:$Q$79,'Expenditure Breakdown'!$R$76:$R$79,"&gt;="&amp;DF1,'Expenditure Breakdown'!$R$76:$R$79,"&lt;"&amp;FT1)+SUMIFS('Expenditure Breakdown'!$Q$106:$Q$123,'Expenditure Breakdown'!$R$106:$R$123,"&gt;="&amp;DF1,'Expenditure Breakdown'!$R$106:$R$123,"&lt;"&amp;FT1)</f>
        <v>0</v>
      </c>
      <c r="DG16">
        <f>SUMIFS('Expenditure Breakdown'!$Q$49:$Q$51,'Expenditure Breakdown'!$R$49:$R$51,"&gt;="&amp;DG1,'Expenditure Breakdown'!$R$49:$R$51,"&lt;"&amp;FU1)+SUMIFS('Expenditure Breakdown'!$Q$76:$Q$79,'Expenditure Breakdown'!$R$76:$R$79,"&gt;="&amp;DG1,'Expenditure Breakdown'!$R$76:$R$79,"&lt;"&amp;FU1)+SUMIFS('Expenditure Breakdown'!$Q$106:$Q$123,'Expenditure Breakdown'!$R$106:$R$123,"&gt;="&amp;DG1,'Expenditure Breakdown'!$R$106:$R$123,"&lt;"&amp;FU1)</f>
        <v>0</v>
      </c>
      <c r="DH16">
        <f>SUMIFS('Expenditure Breakdown'!$Q$49:$Q$51,'Expenditure Breakdown'!$R$49:$R$51,"&gt;="&amp;DH1,'Expenditure Breakdown'!$R$49:$R$51,"&lt;"&amp;FV1)+SUMIFS('Expenditure Breakdown'!$Q$76:$Q$79,'Expenditure Breakdown'!$R$76:$R$79,"&gt;="&amp;DH1,'Expenditure Breakdown'!$R$76:$R$79,"&lt;"&amp;FV1)+SUMIFS('Expenditure Breakdown'!$Q$106:$Q$123,'Expenditure Breakdown'!$R$106:$R$123,"&gt;="&amp;DH1,'Expenditure Breakdown'!$R$106:$R$123,"&lt;"&amp;FV1)</f>
        <v>0</v>
      </c>
      <c r="DI16">
        <f>SUMIFS('Expenditure Breakdown'!$Q$49:$Q$51,'Expenditure Breakdown'!$R$49:$R$51,"&gt;="&amp;DI1,'Expenditure Breakdown'!$R$49:$R$51,"&lt;"&amp;FW1)+SUMIFS('Expenditure Breakdown'!$Q$76:$Q$79,'Expenditure Breakdown'!$R$76:$R$79,"&gt;="&amp;DI1,'Expenditure Breakdown'!$R$76:$R$79,"&lt;"&amp;FW1)+SUMIFS('Expenditure Breakdown'!$Q$106:$Q$123,'Expenditure Breakdown'!$R$106:$R$123,"&gt;="&amp;DI1,'Expenditure Breakdown'!$R$106:$R$123,"&lt;"&amp;FW1)</f>
        <v>0</v>
      </c>
      <c r="DJ16">
        <f>SUMIFS('Expenditure Breakdown'!$Q$49:$Q$51,'Expenditure Breakdown'!$R$49:$R$51,"&gt;="&amp;DJ1,'Expenditure Breakdown'!$R$49:$R$51,"&lt;"&amp;FX1)+SUMIFS('Expenditure Breakdown'!$Q$76:$Q$79,'Expenditure Breakdown'!$R$76:$R$79,"&gt;="&amp;DJ1,'Expenditure Breakdown'!$R$76:$R$79,"&lt;"&amp;FX1)+SUMIFS('Expenditure Breakdown'!$Q$106:$Q$123,'Expenditure Breakdown'!$R$106:$R$123,"&gt;="&amp;DJ1,'Expenditure Breakdown'!$R$106:$R$123,"&lt;"&amp;FX1)</f>
        <v>0</v>
      </c>
      <c r="DK16">
        <f>SUMIFS('Expenditure Breakdown'!$Q$49:$Q$51,'Expenditure Breakdown'!$R$49:$R$51,"&gt;="&amp;DK1,'Expenditure Breakdown'!$R$49:$R$51,"&lt;"&amp;FY1)+SUMIFS('Expenditure Breakdown'!$Q$76:$Q$79,'Expenditure Breakdown'!$R$76:$R$79,"&gt;="&amp;DK1,'Expenditure Breakdown'!$R$76:$R$79,"&lt;"&amp;FY1)+SUMIFS('Expenditure Breakdown'!$Q$106:$Q$123,'Expenditure Breakdown'!$R$106:$R$123,"&gt;="&amp;DK1,'Expenditure Breakdown'!$R$106:$R$123,"&lt;"&amp;FY1)</f>
        <v>0</v>
      </c>
      <c r="DL16">
        <f>SUMIFS('Expenditure Breakdown'!$Q$49:$Q$51,'Expenditure Breakdown'!$R$49:$R$51,"&gt;="&amp;DL1,'Expenditure Breakdown'!$R$49:$R$51,"&lt;"&amp;FZ1)+SUMIFS('Expenditure Breakdown'!$Q$76:$Q$79,'Expenditure Breakdown'!$R$76:$R$79,"&gt;="&amp;DL1,'Expenditure Breakdown'!$R$76:$R$79,"&lt;"&amp;FZ1)+SUMIFS('Expenditure Breakdown'!$Q$106:$Q$123,'Expenditure Breakdown'!$R$106:$R$123,"&gt;="&amp;DL1,'Expenditure Breakdown'!$R$106:$R$123,"&lt;"&amp;FZ1)</f>
        <v>0</v>
      </c>
      <c r="DM16">
        <f>SUMIFS('Expenditure Breakdown'!$Q$49:$Q$51,'Expenditure Breakdown'!$R$49:$R$51,"&gt;="&amp;DM1,'Expenditure Breakdown'!$R$49:$R$51,"&lt;"&amp;GA1)+SUMIFS('Expenditure Breakdown'!$Q$76:$Q$79,'Expenditure Breakdown'!$R$76:$R$79,"&gt;="&amp;DM1,'Expenditure Breakdown'!$R$76:$R$79,"&lt;"&amp;GA1)+SUMIFS('Expenditure Breakdown'!$Q$106:$Q$123,'Expenditure Breakdown'!$R$106:$R$123,"&gt;="&amp;DM1,'Expenditure Breakdown'!$R$106:$R$123,"&lt;"&amp;GA1)</f>
        <v>0</v>
      </c>
      <c r="DN16">
        <f>SUMIFS('Expenditure Breakdown'!$Q$49:$Q$51,'Expenditure Breakdown'!$R$49:$R$51,"&gt;="&amp;DN1,'Expenditure Breakdown'!$R$49:$R$51,"&lt;"&amp;GB1)+SUMIFS('Expenditure Breakdown'!$Q$76:$Q$79,'Expenditure Breakdown'!$R$76:$R$79,"&gt;="&amp;DN1,'Expenditure Breakdown'!$R$76:$R$79,"&lt;"&amp;GB1)+SUMIFS('Expenditure Breakdown'!$Q$106:$Q$123,'Expenditure Breakdown'!$R$106:$R$123,"&gt;="&amp;DN1,'Expenditure Breakdown'!$R$106:$R$123,"&lt;"&amp;GB1)</f>
        <v>0</v>
      </c>
      <c r="DO16">
        <f>SUMIFS('Expenditure Breakdown'!$Q$49:$Q$51,'Expenditure Breakdown'!$R$49:$R$51,"&gt;="&amp;DO1,'Expenditure Breakdown'!$R$49:$R$51,"&lt;"&amp;GC1)+SUMIFS('Expenditure Breakdown'!$Q$76:$Q$79,'Expenditure Breakdown'!$R$76:$R$79,"&gt;="&amp;DO1,'Expenditure Breakdown'!$R$76:$R$79,"&lt;"&amp;GC1)+SUMIFS('Expenditure Breakdown'!$Q$106:$Q$123,'Expenditure Breakdown'!$R$106:$R$123,"&gt;="&amp;DO1,'Expenditure Breakdown'!$R$106:$R$123,"&lt;"&amp;GC1)</f>
        <v>0</v>
      </c>
      <c r="DP16">
        <f>SUMIFS('Expenditure Breakdown'!$Q$49:$Q$51,'Expenditure Breakdown'!$R$49:$R$51,"&gt;="&amp;DP1,'Expenditure Breakdown'!$R$49:$R$51,"&lt;"&amp;GD1)+SUMIFS('Expenditure Breakdown'!$Q$76:$Q$79,'Expenditure Breakdown'!$R$76:$R$79,"&gt;="&amp;DP1,'Expenditure Breakdown'!$R$76:$R$79,"&lt;"&amp;GD1)+SUMIFS('Expenditure Breakdown'!$Q$106:$Q$123,'Expenditure Breakdown'!$R$106:$R$123,"&gt;="&amp;DP1,'Expenditure Breakdown'!$R$106:$R$123,"&lt;"&amp;GD1)</f>
        <v>0</v>
      </c>
      <c r="DQ16">
        <f>SUMIFS('Expenditure Breakdown'!$Q$49:$Q$51,'Expenditure Breakdown'!$R$49:$R$51,"&gt;="&amp;DQ1,'Expenditure Breakdown'!$R$49:$R$51,"&lt;"&amp;GE1)+SUMIFS('Expenditure Breakdown'!$Q$76:$Q$79,'Expenditure Breakdown'!$R$76:$R$79,"&gt;="&amp;DQ1,'Expenditure Breakdown'!$R$76:$R$79,"&lt;"&amp;GE1)+SUMIFS('Expenditure Breakdown'!$Q$106:$Q$123,'Expenditure Breakdown'!$R$106:$R$123,"&gt;="&amp;DQ1,'Expenditure Breakdown'!$R$106:$R$123,"&lt;"&amp;GE1)</f>
        <v>0</v>
      </c>
      <c r="DR16">
        <f>SUMIFS('Expenditure Breakdown'!$Q$49:$Q$51,'Expenditure Breakdown'!$R$49:$R$51,"&gt;="&amp;DR1,'Expenditure Breakdown'!$R$49:$R$51,"&lt;"&amp;GF1)+SUMIFS('Expenditure Breakdown'!$Q$76:$Q$79,'Expenditure Breakdown'!$R$76:$R$79,"&gt;="&amp;DR1,'Expenditure Breakdown'!$R$76:$R$79,"&lt;"&amp;GF1)+SUMIFS('Expenditure Breakdown'!$Q$106:$Q$123,'Expenditure Breakdown'!$R$106:$R$123,"&gt;="&amp;DR1,'Expenditure Breakdown'!$R$106:$R$123,"&lt;"&amp;GF1)</f>
        <v>0</v>
      </c>
      <c r="DS16">
        <f>SUMIFS('Expenditure Breakdown'!$Q$49:$Q$51,'Expenditure Breakdown'!$R$49:$R$51,"&gt;="&amp;DS1,'Expenditure Breakdown'!$R$49:$R$51,"&lt;"&amp;GG1)+SUMIFS('Expenditure Breakdown'!$Q$76:$Q$79,'Expenditure Breakdown'!$R$76:$R$79,"&gt;="&amp;DS1,'Expenditure Breakdown'!$R$76:$R$79,"&lt;"&amp;GG1)+SUMIFS('Expenditure Breakdown'!$Q$106:$Q$123,'Expenditure Breakdown'!$R$106:$R$123,"&gt;="&amp;DS1,'Expenditure Breakdown'!$R$106:$R$123,"&lt;"&amp;GG1)</f>
        <v>0</v>
      </c>
      <c r="DT16">
        <f>SUMIFS('Expenditure Breakdown'!$Q$49:$Q$51,'Expenditure Breakdown'!$R$49:$R$51,"&gt;="&amp;DT1,'Expenditure Breakdown'!$R$49:$R$51,"&lt;"&amp;GH1)+SUMIFS('Expenditure Breakdown'!$Q$76:$Q$79,'Expenditure Breakdown'!$R$76:$R$79,"&gt;="&amp;DT1,'Expenditure Breakdown'!$R$76:$R$79,"&lt;"&amp;GH1)+SUMIFS('Expenditure Breakdown'!$Q$106:$Q$123,'Expenditure Breakdown'!$R$106:$R$123,"&gt;="&amp;DT1,'Expenditure Breakdown'!$R$106:$R$123,"&lt;"&amp;GH1)</f>
        <v>0</v>
      </c>
      <c r="DU16">
        <f>SUMIFS('Expenditure Breakdown'!$Q$49:$Q$51,'Expenditure Breakdown'!$R$49:$R$51,"&gt;="&amp;DU1,'Expenditure Breakdown'!$R$49:$R$51,"&lt;"&amp;GI1)+SUMIFS('Expenditure Breakdown'!$Q$76:$Q$79,'Expenditure Breakdown'!$R$76:$R$79,"&gt;="&amp;DU1,'Expenditure Breakdown'!$R$76:$R$79,"&lt;"&amp;GI1)+SUMIFS('Expenditure Breakdown'!$Q$106:$Q$123,'Expenditure Breakdown'!$R$106:$R$123,"&gt;="&amp;DU1,'Expenditure Breakdown'!$R$106:$R$123,"&lt;"&amp;GI1)</f>
        <v>0</v>
      </c>
      <c r="DV16">
        <f>SUMIFS('Expenditure Breakdown'!$Q$49:$Q$51,'Expenditure Breakdown'!$R$49:$R$51,"&gt;="&amp;DV1,'Expenditure Breakdown'!$R$49:$R$51,"&lt;"&amp;GJ1)+SUMIFS('Expenditure Breakdown'!$Q$76:$Q$79,'Expenditure Breakdown'!$R$76:$R$79,"&gt;="&amp;DV1,'Expenditure Breakdown'!$R$76:$R$79,"&lt;"&amp;GJ1)+SUMIFS('Expenditure Breakdown'!$Q$106:$Q$123,'Expenditure Breakdown'!$R$106:$R$123,"&gt;="&amp;DV1,'Expenditure Breakdown'!$R$106:$R$123,"&lt;"&amp;GJ1)</f>
        <v>0</v>
      </c>
      <c r="DW16">
        <f>SUMIFS('Expenditure Breakdown'!$Q$49:$Q$51,'Expenditure Breakdown'!$R$49:$R$51,"&gt;="&amp;DW1,'Expenditure Breakdown'!$R$49:$R$51,"&lt;"&amp;GK1)+SUMIFS('Expenditure Breakdown'!$Q$76:$Q$79,'Expenditure Breakdown'!$R$76:$R$79,"&gt;="&amp;DW1,'Expenditure Breakdown'!$R$76:$R$79,"&lt;"&amp;GK1)+SUMIFS('Expenditure Breakdown'!$Q$106:$Q$123,'Expenditure Breakdown'!$R$106:$R$123,"&gt;="&amp;DW1,'Expenditure Breakdown'!$R$106:$R$123,"&lt;"&amp;GK1)</f>
        <v>0</v>
      </c>
      <c r="DX16">
        <f>SUMIFS('Expenditure Breakdown'!$Q$49:$Q$51,'Expenditure Breakdown'!$R$49:$R$51,"&gt;="&amp;DX1,'Expenditure Breakdown'!$R$49:$R$51,"&lt;"&amp;GL1)+SUMIFS('Expenditure Breakdown'!$Q$76:$Q$79,'Expenditure Breakdown'!$R$76:$R$79,"&gt;="&amp;DX1,'Expenditure Breakdown'!$R$76:$R$79,"&lt;"&amp;GL1)+SUMIFS('Expenditure Breakdown'!$Q$106:$Q$123,'Expenditure Breakdown'!$R$106:$R$123,"&gt;="&amp;DX1,'Expenditure Breakdown'!$R$106:$R$123,"&lt;"&amp;GL1)</f>
        <v>0</v>
      </c>
      <c r="DY16">
        <f>SUMIFS('Expenditure Breakdown'!$Q$49:$Q$51,'Expenditure Breakdown'!$R$49:$R$51,"&gt;="&amp;DY1,'Expenditure Breakdown'!$R$49:$R$51,"&lt;"&amp;GM1)+SUMIFS('Expenditure Breakdown'!$Q$76:$Q$79,'Expenditure Breakdown'!$R$76:$R$79,"&gt;="&amp;DY1,'Expenditure Breakdown'!$R$76:$R$79,"&lt;"&amp;GM1)+SUMIFS('Expenditure Breakdown'!$Q$106:$Q$123,'Expenditure Breakdown'!$R$106:$R$123,"&gt;="&amp;DY1,'Expenditure Breakdown'!$R$106:$R$123,"&lt;"&amp;GM1)</f>
        <v>0</v>
      </c>
      <c r="DZ16">
        <f>SUMIFS('Expenditure Breakdown'!$Q$49:$Q$51,'Expenditure Breakdown'!$R$49:$R$51,"&gt;="&amp;DZ1,'Expenditure Breakdown'!$R$49:$R$51,"&lt;"&amp;GN1)+SUMIFS('Expenditure Breakdown'!$Q$76:$Q$79,'Expenditure Breakdown'!$R$76:$R$79,"&gt;="&amp;DZ1,'Expenditure Breakdown'!$R$76:$R$79,"&lt;"&amp;GN1)+SUMIFS('Expenditure Breakdown'!$Q$106:$Q$123,'Expenditure Breakdown'!$R$106:$R$123,"&gt;="&amp;DZ1,'Expenditure Breakdown'!$R$106:$R$123,"&lt;"&amp;GN1)</f>
        <v>0</v>
      </c>
      <c r="EA16">
        <f>SUMIFS('Expenditure Breakdown'!$Q$49:$Q$51,'Expenditure Breakdown'!$R$49:$R$51,"&gt;="&amp;EA1,'Expenditure Breakdown'!$R$49:$R$51,"&lt;"&amp;GO1)+SUMIFS('Expenditure Breakdown'!$Q$76:$Q$79,'Expenditure Breakdown'!$R$76:$R$79,"&gt;="&amp;EA1,'Expenditure Breakdown'!$R$76:$R$79,"&lt;"&amp;GO1)+SUMIFS('Expenditure Breakdown'!$Q$106:$Q$123,'Expenditure Breakdown'!$R$106:$R$123,"&gt;="&amp;EA1,'Expenditure Breakdown'!$R$106:$R$123,"&lt;"&amp;GO1)</f>
        <v>0</v>
      </c>
      <c r="EB16">
        <f>SUMIFS('Expenditure Breakdown'!$Q$49:$Q$51,'Expenditure Breakdown'!$R$49:$R$51,"&gt;="&amp;EB1,'Expenditure Breakdown'!$R$49:$R$51,"&lt;"&amp;GP1)+SUMIFS('Expenditure Breakdown'!$Q$76:$Q$79,'Expenditure Breakdown'!$R$76:$R$79,"&gt;="&amp;EB1,'Expenditure Breakdown'!$R$76:$R$79,"&lt;"&amp;GP1)+SUMIFS('Expenditure Breakdown'!$Q$106:$Q$123,'Expenditure Breakdown'!$R$106:$R$123,"&gt;="&amp;EB1,'Expenditure Breakdown'!$R$106:$R$123,"&lt;"&amp;GP1)</f>
        <v>0</v>
      </c>
      <c r="EC16">
        <f>SUMIFS('Expenditure Breakdown'!$Q$49:$Q$51,'Expenditure Breakdown'!$R$49:$R$51,"&gt;="&amp;EC1,'Expenditure Breakdown'!$R$49:$R$51,"&lt;"&amp;GQ1)+SUMIFS('Expenditure Breakdown'!$Q$76:$Q$79,'Expenditure Breakdown'!$R$76:$R$79,"&gt;="&amp;EC1,'Expenditure Breakdown'!$R$76:$R$79,"&lt;"&amp;GQ1)+SUMIFS('Expenditure Breakdown'!$Q$106:$Q$123,'Expenditure Breakdown'!$R$106:$R$123,"&gt;="&amp;EC1,'Expenditure Breakdown'!$R$106:$R$123,"&lt;"&amp;GQ1)</f>
        <v>0</v>
      </c>
      <c r="ED16">
        <f>SUMIFS('Expenditure Breakdown'!$Q$49:$Q$51,'Expenditure Breakdown'!$R$49:$R$51,"&gt;="&amp;ED1,'Expenditure Breakdown'!$R$49:$R$51,"&lt;"&amp;GR1)+SUMIFS('Expenditure Breakdown'!$Q$76:$Q$79,'Expenditure Breakdown'!$R$76:$R$79,"&gt;="&amp;ED1,'Expenditure Breakdown'!$R$76:$R$79,"&lt;"&amp;GR1)+SUMIFS('Expenditure Breakdown'!$Q$106:$Q$123,'Expenditure Breakdown'!$R$106:$R$123,"&gt;="&amp;ED1,'Expenditure Breakdown'!$R$106:$R$123,"&lt;"&amp;GR1)</f>
        <v>0</v>
      </c>
      <c r="EE16">
        <f>SUMIFS('Expenditure Breakdown'!$Q$49:$Q$51,'Expenditure Breakdown'!$R$49:$R$51,"&gt;="&amp;EE1,'Expenditure Breakdown'!$R$49:$R$51,"&lt;"&amp;GS1)+SUMIFS('Expenditure Breakdown'!$Q$76:$Q$79,'Expenditure Breakdown'!$R$76:$R$79,"&gt;="&amp;EE1,'Expenditure Breakdown'!$R$76:$R$79,"&lt;"&amp;GS1)+SUMIFS('Expenditure Breakdown'!$Q$106:$Q$123,'Expenditure Breakdown'!$R$106:$R$123,"&gt;="&amp;EE1,'Expenditure Breakdown'!$R$106:$R$123,"&lt;"&amp;GS1)</f>
        <v>0</v>
      </c>
      <c r="EF16">
        <f>SUMIFS('Expenditure Breakdown'!$Q$49:$Q$51,'Expenditure Breakdown'!$R$49:$R$51,"&gt;="&amp;EF1,'Expenditure Breakdown'!$R$49:$R$51,"&lt;"&amp;GT1)+SUMIFS('Expenditure Breakdown'!$Q$76:$Q$79,'Expenditure Breakdown'!$R$76:$R$79,"&gt;="&amp;EF1,'Expenditure Breakdown'!$R$76:$R$79,"&lt;"&amp;GT1)+SUMIFS('Expenditure Breakdown'!$Q$106:$Q$123,'Expenditure Breakdown'!$R$106:$R$123,"&gt;="&amp;EF1,'Expenditure Breakdown'!$R$106:$R$123,"&lt;"&amp;GT1)</f>
        <v>0</v>
      </c>
      <c r="EG16">
        <f>SUMIFS('Expenditure Breakdown'!$Q$49:$Q$51,'Expenditure Breakdown'!$R$49:$R$51,"&gt;="&amp;EG1,'Expenditure Breakdown'!$R$49:$R$51,"&lt;"&amp;GU1)+SUMIFS('Expenditure Breakdown'!$Q$76:$Q$79,'Expenditure Breakdown'!$R$76:$R$79,"&gt;="&amp;EG1,'Expenditure Breakdown'!$R$76:$R$79,"&lt;"&amp;GU1)+SUMIFS('Expenditure Breakdown'!$Q$106:$Q$123,'Expenditure Breakdown'!$R$106:$R$123,"&gt;="&amp;EG1,'Expenditure Breakdown'!$R$106:$R$123,"&lt;"&amp;GU1)</f>
        <v>0</v>
      </c>
      <c r="EH16">
        <f>SUMIFS('Expenditure Breakdown'!$Q$49:$Q$51,'Expenditure Breakdown'!$R$49:$R$51,"&gt;="&amp;EH1,'Expenditure Breakdown'!$R$49:$R$51,"&lt;"&amp;GV1)+SUMIFS('Expenditure Breakdown'!$Q$76:$Q$79,'Expenditure Breakdown'!$R$76:$R$79,"&gt;="&amp;EH1,'Expenditure Breakdown'!$R$76:$R$79,"&lt;"&amp;GV1)+SUMIFS('Expenditure Breakdown'!$Q$106:$Q$123,'Expenditure Breakdown'!$R$106:$R$123,"&gt;="&amp;EH1,'Expenditure Breakdown'!$R$106:$R$123,"&lt;"&amp;GV1)</f>
        <v>0</v>
      </c>
      <c r="EI16">
        <f>SUMIFS('Expenditure Breakdown'!$Q$49:$Q$51,'Expenditure Breakdown'!$R$49:$R$51,"&gt;="&amp;EI1,'Expenditure Breakdown'!$R$49:$R$51,"&lt;"&amp;GW1)+SUMIFS('Expenditure Breakdown'!$Q$76:$Q$79,'Expenditure Breakdown'!$R$76:$R$79,"&gt;="&amp;EI1,'Expenditure Breakdown'!$R$76:$R$79,"&lt;"&amp;GW1)+SUMIFS('Expenditure Breakdown'!$Q$106:$Q$123,'Expenditure Breakdown'!$R$106:$R$123,"&gt;="&amp;EI1,'Expenditure Breakdown'!$R$106:$R$123,"&lt;"&amp;GW1)</f>
        <v>0</v>
      </c>
    </row>
    <row r="17" spans="2:139">
      <c r="B17" t="s">
        <v>457</v>
      </c>
      <c r="E17" s="71"/>
      <c r="F17">
        <f>F16</f>
        <v>0</v>
      </c>
      <c r="G17">
        <f>G16+F17</f>
        <v>0</v>
      </c>
      <c r="H17">
        <f t="shared" ref="H17:BS17" si="347">H16+G17</f>
        <v>0</v>
      </c>
      <c r="I17">
        <f t="shared" si="347"/>
        <v>0</v>
      </c>
      <c r="J17">
        <f t="shared" si="347"/>
        <v>0</v>
      </c>
      <c r="K17">
        <f t="shared" si="347"/>
        <v>0</v>
      </c>
      <c r="L17">
        <f t="shared" si="347"/>
        <v>0</v>
      </c>
      <c r="M17">
        <f t="shared" si="347"/>
        <v>0</v>
      </c>
      <c r="N17">
        <f t="shared" si="347"/>
        <v>0</v>
      </c>
      <c r="O17">
        <f t="shared" si="347"/>
        <v>0</v>
      </c>
      <c r="P17">
        <f t="shared" si="347"/>
        <v>0</v>
      </c>
      <c r="Q17">
        <f t="shared" si="347"/>
        <v>0</v>
      </c>
      <c r="R17">
        <f t="shared" si="347"/>
        <v>0</v>
      </c>
      <c r="S17">
        <f t="shared" si="347"/>
        <v>0</v>
      </c>
      <c r="T17">
        <f t="shared" si="347"/>
        <v>0</v>
      </c>
      <c r="U17">
        <f t="shared" si="347"/>
        <v>0</v>
      </c>
      <c r="V17">
        <f t="shared" si="347"/>
        <v>0</v>
      </c>
      <c r="W17">
        <f t="shared" si="347"/>
        <v>0</v>
      </c>
      <c r="X17">
        <f t="shared" si="347"/>
        <v>730704.27</v>
      </c>
      <c r="Y17">
        <f t="shared" si="347"/>
        <v>730704.27</v>
      </c>
      <c r="Z17">
        <f t="shared" si="347"/>
        <v>730704.27</v>
      </c>
      <c r="AA17">
        <f t="shared" si="347"/>
        <v>730704.27</v>
      </c>
      <c r="AB17">
        <f t="shared" si="347"/>
        <v>730704.27</v>
      </c>
      <c r="AC17">
        <f t="shared" si="347"/>
        <v>730704.27</v>
      </c>
      <c r="AD17">
        <f t="shared" si="347"/>
        <v>730704.27</v>
      </c>
      <c r="AE17">
        <f t="shared" si="347"/>
        <v>730704.27</v>
      </c>
      <c r="AF17">
        <f t="shared" si="347"/>
        <v>769182.27</v>
      </c>
      <c r="AG17">
        <f t="shared" si="347"/>
        <v>769182.27</v>
      </c>
      <c r="AH17">
        <f t="shared" si="347"/>
        <v>769182.27</v>
      </c>
      <c r="AI17">
        <f t="shared" si="347"/>
        <v>1105626.27</v>
      </c>
      <c r="AJ17">
        <f t="shared" si="347"/>
        <v>1105626.27</v>
      </c>
      <c r="AK17">
        <f t="shared" si="347"/>
        <v>1105626.27</v>
      </c>
      <c r="AL17">
        <f t="shared" si="347"/>
        <v>1105626.27</v>
      </c>
      <c r="AM17">
        <f t="shared" si="347"/>
        <v>1105626.27</v>
      </c>
      <c r="AN17">
        <f t="shared" si="347"/>
        <v>1105626.27</v>
      </c>
      <c r="AO17">
        <f t="shared" si="347"/>
        <v>1105626.27</v>
      </c>
      <c r="AP17">
        <f t="shared" si="347"/>
        <v>1105626.27</v>
      </c>
      <c r="AQ17">
        <f t="shared" si="347"/>
        <v>1109926.27</v>
      </c>
      <c r="AR17">
        <f t="shared" si="347"/>
        <v>1109926.27</v>
      </c>
      <c r="AS17">
        <f t="shared" si="347"/>
        <v>1109926.27</v>
      </c>
      <c r="AT17">
        <f t="shared" si="347"/>
        <v>1316626.27</v>
      </c>
      <c r="AU17">
        <f t="shared" si="347"/>
        <v>1316626.27</v>
      </c>
      <c r="AV17">
        <f t="shared" si="347"/>
        <v>1316626.27</v>
      </c>
      <c r="AW17">
        <f t="shared" si="347"/>
        <v>1512487.69</v>
      </c>
      <c r="AX17">
        <f t="shared" si="347"/>
        <v>1512487.69</v>
      </c>
      <c r="AY17">
        <f t="shared" si="347"/>
        <v>1552927.69</v>
      </c>
      <c r="AZ17">
        <f t="shared" si="347"/>
        <v>1552927.69</v>
      </c>
      <c r="BA17">
        <f t="shared" si="347"/>
        <v>1552927.69</v>
      </c>
      <c r="BB17">
        <f t="shared" si="347"/>
        <v>1552927.69</v>
      </c>
      <c r="BC17">
        <f t="shared" si="347"/>
        <v>1552927.69</v>
      </c>
      <c r="BD17">
        <f t="shared" si="347"/>
        <v>1639884.2117391303</v>
      </c>
      <c r="BE17">
        <f t="shared" si="347"/>
        <v>1708349.1059999999</v>
      </c>
      <c r="BF17">
        <f t="shared" si="347"/>
        <v>1708349.1059999999</v>
      </c>
      <c r="BG17">
        <f t="shared" si="347"/>
        <v>1719187.686</v>
      </c>
      <c r="BH17">
        <f t="shared" si="347"/>
        <v>1719187.686</v>
      </c>
      <c r="BI17">
        <f t="shared" si="347"/>
        <v>1719187.686</v>
      </c>
      <c r="BJ17">
        <f t="shared" si="347"/>
        <v>1719187.686</v>
      </c>
      <c r="BK17">
        <f t="shared" si="347"/>
        <v>1719187.686</v>
      </c>
      <c r="BL17">
        <f t="shared" si="347"/>
        <v>1719187.686</v>
      </c>
      <c r="BM17">
        <f t="shared" si="347"/>
        <v>1719187.686</v>
      </c>
      <c r="BN17">
        <f t="shared" si="347"/>
        <v>1752887.686</v>
      </c>
      <c r="BO17">
        <f t="shared" si="347"/>
        <v>1752887.686</v>
      </c>
      <c r="BP17">
        <f t="shared" si="347"/>
        <v>2028487.686</v>
      </c>
      <c r="BQ17">
        <f t="shared" si="347"/>
        <v>2028487.686</v>
      </c>
      <c r="BR17">
        <f t="shared" si="347"/>
        <v>2028487.686</v>
      </c>
      <c r="BS17">
        <f t="shared" si="347"/>
        <v>2028487.686</v>
      </c>
      <c r="BT17">
        <f t="shared" ref="BT17:BV17" si="348">BT16+BS17</f>
        <v>2028487.686</v>
      </c>
      <c r="BU17">
        <f t="shared" si="348"/>
        <v>2028487.686</v>
      </c>
      <c r="BV17">
        <f t="shared" si="348"/>
        <v>2028487.686</v>
      </c>
      <c r="BW17">
        <f t="shared" ref="BW17" si="349">BW16+BV17</f>
        <v>2028487.686</v>
      </c>
      <c r="BX17">
        <f t="shared" ref="BX17" si="350">BX16+BW17</f>
        <v>2028487.686</v>
      </c>
      <c r="BY17">
        <f t="shared" ref="BY17" si="351">BY16+BX17</f>
        <v>2028487.686</v>
      </c>
      <c r="BZ17">
        <f t="shared" ref="BZ17" si="352">BZ16+BY17</f>
        <v>2028487.686</v>
      </c>
      <c r="CA17">
        <f t="shared" ref="CA17" si="353">CA16+BZ17</f>
        <v>2028487.686</v>
      </c>
      <c r="CB17">
        <f t="shared" ref="CB17" si="354">CB16+CA17</f>
        <v>2028487.686</v>
      </c>
      <c r="CC17">
        <f t="shared" ref="CC17" si="355">CC16+CB17</f>
        <v>2028487.686</v>
      </c>
      <c r="CD17">
        <f t="shared" ref="CD17" si="356">CD16+CC17</f>
        <v>2028487.686</v>
      </c>
      <c r="CE17">
        <f t="shared" ref="CE17" si="357">CE16+CD17</f>
        <v>2028487.686</v>
      </c>
      <c r="CF17">
        <f t="shared" ref="CF17" si="358">CF16+CE17</f>
        <v>2028487.686</v>
      </c>
      <c r="CG17">
        <f t="shared" ref="CG17" si="359">CG16+CF17</f>
        <v>2028487.686</v>
      </c>
      <c r="CH17">
        <f t="shared" ref="CH17" si="360">CH16+CG17</f>
        <v>2028487.686</v>
      </c>
      <c r="CI17">
        <f t="shared" ref="CI17" si="361">CI16+CH17</f>
        <v>2028487.686</v>
      </c>
      <c r="CJ17">
        <f t="shared" ref="CJ17" si="362">CJ16+CI17</f>
        <v>2028487.686</v>
      </c>
      <c r="CK17">
        <f t="shared" ref="CK17" si="363">CK16+CJ17</f>
        <v>2028487.686</v>
      </c>
      <c r="CL17">
        <f t="shared" ref="CL17" si="364">CL16+CK17</f>
        <v>2028487.686</v>
      </c>
      <c r="CM17">
        <f t="shared" ref="CM17" si="365">CM16+CL17</f>
        <v>2028487.686</v>
      </c>
      <c r="CN17">
        <f t="shared" ref="CN17" si="366">CN16+CM17</f>
        <v>2028487.686</v>
      </c>
      <c r="CO17">
        <f t="shared" ref="CO17" si="367">CO16+CN17</f>
        <v>2028487.686</v>
      </c>
      <c r="CP17">
        <f t="shared" ref="CP17" si="368">CP16+CO17</f>
        <v>2028487.686</v>
      </c>
      <c r="CQ17">
        <f t="shared" ref="CQ17" si="369">CQ16+CP17</f>
        <v>2028487.686</v>
      </c>
      <c r="CR17">
        <f t="shared" ref="CR17" si="370">CR16+CQ17</f>
        <v>2028487.686</v>
      </c>
      <c r="CS17">
        <f t="shared" ref="CS17" si="371">CS16+CR17</f>
        <v>2028487.686</v>
      </c>
      <c r="CT17">
        <f t="shared" ref="CT17" si="372">CT16+CS17</f>
        <v>2028487.686</v>
      </c>
      <c r="CU17">
        <f t="shared" ref="CU17" si="373">CU16+CT17</f>
        <v>2028487.686</v>
      </c>
      <c r="CV17">
        <f t="shared" ref="CV17" si="374">CV16+CU17</f>
        <v>2028487.686</v>
      </c>
      <c r="CW17">
        <f t="shared" ref="CW17" si="375">CW16+CV17</f>
        <v>2028487.686</v>
      </c>
      <c r="CX17">
        <f t="shared" ref="CX17" si="376">CX16+CW17</f>
        <v>2028487.686</v>
      </c>
      <c r="CY17">
        <f t="shared" ref="CY17" si="377">CY16+CX17</f>
        <v>2028487.686</v>
      </c>
      <c r="CZ17">
        <f t="shared" ref="CZ17" si="378">CZ16+CY17</f>
        <v>2028487.686</v>
      </c>
      <c r="DA17">
        <f t="shared" ref="DA17" si="379">DA16+CZ17</f>
        <v>2028487.686</v>
      </c>
      <c r="DB17">
        <f t="shared" ref="DB17" si="380">DB16+DA17</f>
        <v>2028487.686</v>
      </c>
      <c r="DC17">
        <f t="shared" ref="DC17" si="381">DC16+DB17</f>
        <v>2028487.686</v>
      </c>
      <c r="DD17">
        <f t="shared" ref="DD17" si="382">DD16+DC17</f>
        <v>2028487.686</v>
      </c>
      <c r="DE17">
        <f t="shared" ref="DE17" si="383">DE16+DD17</f>
        <v>2028487.686</v>
      </c>
      <c r="DF17">
        <f t="shared" ref="DF17" si="384">DF16+DE17</f>
        <v>2028487.686</v>
      </c>
      <c r="DG17">
        <f t="shared" ref="DG17" si="385">DG16+DF17</f>
        <v>2028487.686</v>
      </c>
      <c r="DH17">
        <f t="shared" ref="DH17" si="386">DH16+DG17</f>
        <v>2028487.686</v>
      </c>
      <c r="DI17">
        <f t="shared" ref="DI17" si="387">DI16+DH17</f>
        <v>2028487.686</v>
      </c>
      <c r="DJ17">
        <f t="shared" ref="DJ17" si="388">DJ16+DI17</f>
        <v>2028487.686</v>
      </c>
      <c r="DK17">
        <f t="shared" ref="DK17" si="389">DK16+DJ17</f>
        <v>2028487.686</v>
      </c>
      <c r="DL17">
        <f t="shared" ref="DL17" si="390">DL16+DK17</f>
        <v>2028487.686</v>
      </c>
      <c r="DM17">
        <f t="shared" ref="DM17" si="391">DM16+DL17</f>
        <v>2028487.686</v>
      </c>
      <c r="DN17">
        <f t="shared" ref="DN17" si="392">DN16+DM17</f>
        <v>2028487.686</v>
      </c>
      <c r="DO17">
        <f t="shared" ref="DO17" si="393">DO16+DN17</f>
        <v>2028487.686</v>
      </c>
      <c r="DP17">
        <f t="shared" ref="DP17" si="394">DP16+DO17</f>
        <v>2028487.686</v>
      </c>
      <c r="DQ17">
        <f t="shared" ref="DQ17" si="395">DQ16+DP17</f>
        <v>2028487.686</v>
      </c>
      <c r="DR17">
        <f t="shared" ref="DR17" si="396">DR16+DQ17</f>
        <v>2028487.686</v>
      </c>
      <c r="DS17">
        <f t="shared" ref="DS17" si="397">DS16+DR17</f>
        <v>2028487.686</v>
      </c>
      <c r="DT17">
        <f t="shared" ref="DT17" si="398">DT16+DS17</f>
        <v>2028487.686</v>
      </c>
      <c r="DU17">
        <f t="shared" ref="DU17" si="399">DU16+DT17</f>
        <v>2028487.686</v>
      </c>
      <c r="DV17">
        <f t="shared" ref="DV17" si="400">DV16+DU17</f>
        <v>2028487.686</v>
      </c>
      <c r="DW17">
        <f t="shared" ref="DW17" si="401">DW16+DV17</f>
        <v>2028487.686</v>
      </c>
      <c r="DX17">
        <f t="shared" ref="DX17" si="402">DX16+DW17</f>
        <v>2028487.686</v>
      </c>
      <c r="DY17">
        <f t="shared" ref="DY17" si="403">DY16+DX17</f>
        <v>2028487.686</v>
      </c>
      <c r="DZ17">
        <f t="shared" ref="DZ17" si="404">DZ16+DY17</f>
        <v>2028487.686</v>
      </c>
      <c r="EA17">
        <f t="shared" ref="EA17" si="405">EA16+DZ17</f>
        <v>2028487.686</v>
      </c>
      <c r="EB17">
        <f t="shared" ref="EB17" si="406">EB16+EA17</f>
        <v>2028487.686</v>
      </c>
      <c r="EC17">
        <f t="shared" ref="EC17" si="407">EC16+EB17</f>
        <v>2028487.686</v>
      </c>
      <c r="ED17">
        <f t="shared" ref="ED17" si="408">ED16+EC17</f>
        <v>2028487.686</v>
      </c>
      <c r="EE17">
        <f t="shared" ref="EE17" si="409">EE16+ED17</f>
        <v>2028487.686</v>
      </c>
      <c r="EF17">
        <f t="shared" ref="EF17" si="410">EF16+EE17</f>
        <v>2028487.686</v>
      </c>
      <c r="EG17">
        <f t="shared" ref="EG17" si="411">EG16+EF17</f>
        <v>2028487.686</v>
      </c>
      <c r="EH17">
        <f t="shared" ref="EH17" si="412">EH16+EG17</f>
        <v>2028487.686</v>
      </c>
      <c r="EI17">
        <f t="shared" ref="EI17" si="413">EI16+EH17</f>
        <v>2028487.686</v>
      </c>
    </row>
    <row r="18" spans="2:139" s="71" customFormat="1"/>
  </sheetData>
  <mergeCells count="2">
    <mergeCell ref="A2:A7"/>
    <mergeCell ref="A8:A14"/>
  </mergeCells>
  <conditionalFormatting sqref="D3">
    <cfRule type="cellIs" dxfId="18" priority="4" operator="notEqual">
      <formula>$C$3</formula>
    </cfRule>
  </conditionalFormatting>
  <conditionalFormatting sqref="D5">
    <cfRule type="cellIs" dxfId="17" priority="2" operator="notEqual">
      <formula>$C$5</formula>
    </cfRule>
  </conditionalFormatting>
  <conditionalFormatting sqref="D9">
    <cfRule type="cellIs" dxfId="16" priority="3" operator="notEqual">
      <formula>$C$9</formula>
    </cfRule>
  </conditionalFormatting>
  <conditionalFormatting sqref="D11">
    <cfRule type="cellIs" dxfId="15" priority="1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3204-BED1-4257-9022-FD522B288AA9}">
  <sheetPr codeName="Sheet11"/>
  <dimension ref="A1:AF34"/>
  <sheetViews>
    <sheetView topLeftCell="O1" zoomScale="89" zoomScaleNormal="89" workbookViewId="0">
      <selection activeCell="Z15" sqref="Z15"/>
    </sheetView>
  </sheetViews>
  <sheetFormatPr defaultColWidth="8.54296875" defaultRowHeight="15" customHeight="1"/>
  <cols>
    <col min="1" max="1" width="52.54296875" style="636" bestFit="1" customWidth="1"/>
    <col min="2" max="2" width="14.453125" style="637" bestFit="1" customWidth="1"/>
    <col min="3" max="3" width="8.54296875" style="636"/>
    <col min="4" max="5" width="14.453125" style="636" bestFit="1" customWidth="1"/>
    <col min="6" max="13" width="13.453125" style="636" bestFit="1" customWidth="1"/>
    <col min="14" max="20" width="13.453125" style="636" customWidth="1"/>
    <col min="21" max="25" width="13.54296875" style="636" bestFit="1" customWidth="1"/>
    <col min="26" max="30" width="13.54296875" style="636" customWidth="1"/>
    <col min="31" max="31" width="8.54296875" style="636"/>
    <col min="32" max="32" width="13.54296875" style="636" bestFit="1" customWidth="1"/>
    <col min="33" max="16384" width="8.54296875" style="636"/>
  </cols>
  <sheetData>
    <row r="1" spans="1:32" s="633" customFormat="1" ht="14.5">
      <c r="B1" s="634"/>
      <c r="D1" s="635">
        <v>45077</v>
      </c>
      <c r="E1" s="635">
        <v>45107</v>
      </c>
      <c r="F1" s="635">
        <v>45138</v>
      </c>
      <c r="G1" s="635">
        <v>45169</v>
      </c>
      <c r="H1" s="635">
        <v>45199</v>
      </c>
      <c r="I1" s="635">
        <v>45230</v>
      </c>
      <c r="J1" s="635">
        <v>45260</v>
      </c>
      <c r="K1" s="635">
        <v>45291</v>
      </c>
      <c r="L1" s="635">
        <v>45322</v>
      </c>
      <c r="M1" s="635">
        <v>45351</v>
      </c>
      <c r="N1" s="635">
        <v>45382</v>
      </c>
      <c r="O1" s="635">
        <v>45412</v>
      </c>
      <c r="P1" s="635">
        <v>45443</v>
      </c>
      <c r="Q1" s="635">
        <v>45473</v>
      </c>
      <c r="R1" s="635">
        <v>45504</v>
      </c>
      <c r="S1" s="635">
        <v>45535</v>
      </c>
      <c r="T1" s="635">
        <v>45565</v>
      </c>
      <c r="U1" s="635">
        <v>45596</v>
      </c>
      <c r="V1" s="635">
        <v>45626</v>
      </c>
      <c r="W1" s="635">
        <v>45657</v>
      </c>
      <c r="X1" s="635">
        <v>45688</v>
      </c>
      <c r="Y1" s="635">
        <v>45716</v>
      </c>
      <c r="Z1" s="635">
        <v>45747</v>
      </c>
      <c r="AA1" s="635">
        <v>45777</v>
      </c>
      <c r="AB1" s="635">
        <v>45808</v>
      </c>
      <c r="AC1" s="635">
        <v>45838</v>
      </c>
      <c r="AD1" s="635">
        <v>45721</v>
      </c>
    </row>
    <row r="2" spans="1:32" ht="14.5">
      <c r="A2" s="636" t="s">
        <v>458</v>
      </c>
      <c r="B2" s="637">
        <f>SUM('Expenditure Breakdown'!Q6:Q104)</f>
        <v>12120842.416588753</v>
      </c>
      <c r="D2" s="637">
        <f>SUMIFS('Expenditure Breakdown'!$Q$6:$Q$104, 'Expenditure Breakdown'!$U$6:$U$104, "&gt;="&amp;D1,'Expenditure Breakdown'!$U$6:$U$104, "&lt;"&amp;E1)</f>
        <v>239.13</v>
      </c>
      <c r="E2" s="637">
        <f>SUMIFS('Expenditure Breakdown'!$Q$6:$Q$104, 'Expenditure Breakdown'!$U$6:$U$104, "&gt;="&amp;E1,'Expenditure Breakdown'!$U$6:$U$104, "&lt;"&amp;F1)</f>
        <v>8777837.7326757088</v>
      </c>
      <c r="F2" s="637">
        <f>SUMIFS('Expenditure Breakdown'!$Q$6:$Q$104, 'Expenditure Breakdown'!$U$6:$U$104, "&gt;="&amp;F1,'Expenditure Breakdown'!$U$6:$U$104, "&lt;"&amp;G1)</f>
        <v>532043.58000000007</v>
      </c>
      <c r="G2" s="637">
        <f>SUMIFS('Expenditure Breakdown'!$Q$6:$Q$104, 'Expenditure Breakdown'!$U$6:$U$104, "&gt;="&amp;G1,'Expenditure Breakdown'!$U$6:$U$104, "&lt;"&amp;H1)</f>
        <v>1953116.68</v>
      </c>
      <c r="H2" s="637">
        <f>SUMIFS('Expenditure Breakdown'!$Q$6:$Q$104, 'Expenditure Breakdown'!$U$6:$U$104, "&gt;="&amp;H1,'Expenditure Breakdown'!$U$6:$U$104, "&lt;"&amp;I1)</f>
        <v>0</v>
      </c>
      <c r="I2" s="637">
        <f>SUMIFS('Expenditure Breakdown'!$Q$6:$Q$104, 'Expenditure Breakdown'!$U$6:$U$104, "&gt;="&amp;I1,'Expenditure Breakdown'!$U$6:$U$104, "&lt;"&amp;J1)</f>
        <v>132782.39999999999</v>
      </c>
      <c r="J2" s="637">
        <f>SUMIFS('Expenditure Breakdown'!$Q$6:$Q$104, 'Expenditure Breakdown'!$U$6:$U$104, "&gt;="&amp;J1,'Expenditure Breakdown'!$U$6:$U$104, "&lt;"&amp;K1)</f>
        <v>50665</v>
      </c>
      <c r="K2" s="637">
        <f>SUMIFS('Expenditure Breakdown'!$Q$6:$Q$104, 'Expenditure Breakdown'!$U$6:$U$104, "&gt;="&amp;K1,'Expenditure Breakdown'!$U$6:$U$104, "&lt;"&amp;L1)</f>
        <v>155421.416</v>
      </c>
      <c r="L2" s="637">
        <f>SUMIFS('Expenditure Breakdown'!$Q$6:$Q$104, 'Expenditure Breakdown'!$U$6:$U$104, "&gt;="&amp;L1,'Expenditure Breakdown'!$U$6:$U$104, "&lt;"&amp;M1)</f>
        <v>103542.06</v>
      </c>
      <c r="M2" s="637">
        <f>SUMIFS('Expenditure Breakdown'!$Q$6:$Q$104, 'Expenditure Breakdown'!$U$6:$U$104, "&gt;="&amp;M1,'Expenditure Breakdown'!$U$6:$U$104, "&lt;"&amp;N1)</f>
        <v>110502.75</v>
      </c>
      <c r="N2" s="637">
        <f>SUMIFS('Expenditure Breakdown'!$Q$6:$Q$104, 'Expenditure Breakdown'!$U$6:$U$104, "&gt;="&amp;N1,'Expenditure Breakdown'!$U$6:$U$104, "&lt;"&amp;O1)</f>
        <v>29350</v>
      </c>
      <c r="O2" s="637">
        <f>SUMIFS('Expenditure Breakdown'!$Q$6:$Q$104, 'Expenditure Breakdown'!$U$6:$U$104, "&gt;="&amp;O1,'Expenditure Breakdown'!$U$6:$U$104, "&lt;"&amp;P1)</f>
        <v>12100.490000000002</v>
      </c>
      <c r="P2" s="637">
        <f>SUMIFS('Expenditure Breakdown'!$Q$6:$Q$104, 'Expenditure Breakdown'!$U$6:$U$104, "&gt;="&amp;P1,'Expenditure Breakdown'!$U$6:$U$104, "&lt;"&amp;Q1)</f>
        <v>249726.32391304348</v>
      </c>
      <c r="Q2" s="637">
        <f>SUMIFS('Expenditure Breakdown'!$Q$6:$Q$104, 'Expenditure Breakdown'!$U$6:$U$104, "&gt;="&amp;Q1,'Expenditure Breakdown'!$U$6:$U$104, "&lt;"&amp;R1)</f>
        <v>102574.85400000001</v>
      </c>
      <c r="R2" s="637">
        <f>SUMIFS('Expenditure Breakdown'!$Q$6:$Q$104, 'Expenditure Breakdown'!$U$6:$U$104, "&gt;="&amp;R1,'Expenditure Breakdown'!$U$6:$U$104, "&lt;"&amp;S1)</f>
        <v>0</v>
      </c>
      <c r="S2" s="637">
        <f>SUMIFS('Expenditure Breakdown'!$Q$6:$Q$104, 'Expenditure Breakdown'!$U$6:$U$104, "&gt;="&amp;S1,'Expenditure Breakdown'!$U$6:$U$104, "&lt;"&amp;T1)</f>
        <v>-89060</v>
      </c>
      <c r="T2" s="637">
        <f>SUMIFS('Expenditure Breakdown'!$Q$6:$Q$104, 'Expenditure Breakdown'!$U$6:$U$104, "&gt;="&amp;T1,'Expenditure Breakdown'!$U$6:$U$104, "&lt;"&amp;U1)</f>
        <v>0</v>
      </c>
      <c r="U2" s="637">
        <f>SUMIFS('Expenditure Breakdown'!$Q$6:$Q$104, 'Expenditure Breakdown'!$U$6:$U$104, "&gt;="&amp;U1,'Expenditure Breakdown'!$U$6:$U$104, "&lt;"&amp;V1)</f>
        <v>0</v>
      </c>
      <c r="V2" s="637">
        <f>SUMIFS('Expenditure Breakdown'!$Q$6:$Q$104, 'Expenditure Breakdown'!$U$6:$U$104, "&gt;="&amp;V1,'Expenditure Breakdown'!$U$6:$U$104, "&lt;"&amp;W1)</f>
        <v>0</v>
      </c>
      <c r="W2" s="637">
        <f>SUMIFS('Expenditure Breakdown'!$Q$6:$Q$104, 'Expenditure Breakdown'!$U$6:$U$104, "&gt;="&amp;W1,'Expenditure Breakdown'!$U$6:$U$104, "&lt;"&amp;X1)</f>
        <v>0</v>
      </c>
      <c r="X2" s="637">
        <f>SUMIFS('Expenditure Breakdown'!$Q$6:$Q$104, 'Expenditure Breakdown'!$U$6:$U$104, "&gt;="&amp;X1,'Expenditure Breakdown'!$U$6:$U$104, "&lt;"&amp;Y1)</f>
        <v>0</v>
      </c>
      <c r="Y2" s="637">
        <f>SUMIFS('Expenditure Breakdown'!$Q$6:$Q$104, 'Expenditure Breakdown'!$U$6:$U$104, "&gt;="&amp;Y1,'Expenditure Breakdown'!$U$6:$U$104, "&lt;"&amp;Z1)</f>
        <v>0</v>
      </c>
      <c r="Z2" s="637">
        <f>SUMIFS('Expenditure Breakdown'!$Q$6:$Q$104, 'Expenditure Breakdown'!$U$6:$U$104, "&gt;="&amp;Z1,'Expenditure Breakdown'!$U$6:$U$104, "&lt;"&amp;AA1)</f>
        <v>0</v>
      </c>
      <c r="AA2" s="637">
        <f>SUMIFS('Expenditure Breakdown'!$Q$6:$Q$104, 'Expenditure Breakdown'!$U$6:$U$104, "&gt;="&amp;AA1,'Expenditure Breakdown'!$U$6:$U$104, "&lt;"&amp;AB1)</f>
        <v>0</v>
      </c>
      <c r="AB2" s="637">
        <f>SUMIFS('Expenditure Breakdown'!$Q$6:$Q$104, 'Expenditure Breakdown'!$U$6:$U$104, "&gt;="&amp;AB1,'Expenditure Breakdown'!$U$6:$U$104, "&lt;"&amp;AC1)</f>
        <v>0</v>
      </c>
      <c r="AC2" s="637">
        <f>SUMIFS('Expenditure Breakdown'!$Q$6:$Q$104, 'Expenditure Breakdown'!$U$6:$U$104, "&gt;="&amp;AC1,'Expenditure Breakdown'!$U$6:$U$104, "&lt;"&amp;AE1)</f>
        <v>0</v>
      </c>
      <c r="AD2" s="637"/>
      <c r="AF2" s="638">
        <f>B2-SUM(D2:Y2)</f>
        <v>0</v>
      </c>
    </row>
    <row r="3" spans="1:32" ht="14.5">
      <c r="A3" s="636" t="s">
        <v>31</v>
      </c>
      <c r="B3" s="637">
        <f>SUM('Expenditure Breakdown'!Q106:Q122)</f>
        <v>1517100</v>
      </c>
      <c r="D3" s="637">
        <f>SUMIFS('Expenditure Breakdown'!$Q$106:$Q$123, 'Expenditure Breakdown'!$U$106:$U$123, "&gt;="&amp;D1,'Expenditure Breakdown'!$U$106:$U$123, "&lt;"&amp;E1)</f>
        <v>0</v>
      </c>
      <c r="E3" s="637">
        <f>SUMIFS('Expenditure Breakdown'!$Q$106:$Q$123, 'Expenditure Breakdown'!$U$106:$U$123, "&gt;="&amp;E1,'Expenditure Breakdown'!$U$106:$U$123, "&lt;"&amp;F1)</f>
        <v>326150</v>
      </c>
      <c r="F3" s="637">
        <f>SUMIFS('Expenditure Breakdown'!$Q$106:$Q$123, 'Expenditure Breakdown'!$U$106:$U$123, "&gt;="&amp;F1,'Expenditure Breakdown'!$U$106:$U$123, "&lt;"&amp;G1)</f>
        <v>0</v>
      </c>
      <c r="G3" s="637">
        <f>SUMIFS('Expenditure Breakdown'!$Q$106:$Q$123, 'Expenditure Breakdown'!$U$106:$U$123, "&gt;="&amp;G1,'Expenditure Breakdown'!$U$106:$U$123, "&lt;"&amp;H1)</f>
        <v>206700</v>
      </c>
      <c r="H3" s="637">
        <f>SUMIFS('Expenditure Breakdown'!$Q$106:$Q$123, 'Expenditure Breakdown'!$U$106:$U$123, "&gt;="&amp;H1,'Expenditure Breakdown'!$U$106:$U$123, "&lt;"&amp;I1)</f>
        <v>0</v>
      </c>
      <c r="I3" s="637">
        <f>SUMIFS('Expenditure Breakdown'!$Q$106:$Q$123, 'Expenditure Breakdown'!$U$106:$U$123, "&gt;="&amp;I1,'Expenditure Breakdown'!$U$106:$U$123, "&lt;"&amp;J1)</f>
        <v>4300</v>
      </c>
      <c r="J3" s="637">
        <f>SUMIFS('Expenditure Breakdown'!$Q$106:$Q$123, 'Expenditure Breakdown'!$U$106:$U$123, "&gt;="&amp;J1,'Expenditure Breakdown'!$U$106:$U$123, "&lt;"&amp;K1)</f>
        <v>206700</v>
      </c>
      <c r="K3" s="637">
        <f>SUMIFS('Expenditure Breakdown'!$Q$106:$Q$123, 'Expenditure Breakdown'!$U$106:$U$123, "&gt;="&amp;K1,'Expenditure Breakdown'!$U$106:$U$123, "&lt;"&amp;L1)</f>
        <v>247140</v>
      </c>
      <c r="L3" s="637">
        <f>SUMIFS('Expenditure Breakdown'!$Q$106:$Q$123, 'Expenditure Breakdown'!$U$106:$U$123, "&gt;="&amp;L1,'Expenditure Breakdown'!$U$106:$U$123, "&lt;"&amp;M1)</f>
        <v>0</v>
      </c>
      <c r="M3" s="637">
        <f>SUMIFS('Expenditure Breakdown'!$Q$106:$Q$123, 'Expenditure Breakdown'!$U$106:$U$123, "&gt;="&amp;M1,'Expenditure Breakdown'!$U$106:$U$123, "&lt;"&amp;N1)</f>
        <v>0</v>
      </c>
      <c r="N3" s="637">
        <f>SUMIFS('Expenditure Breakdown'!$Q$106:$Q$123, 'Expenditure Breakdown'!$U$106:$U$123, "&gt;="&amp;N1,'Expenditure Breakdown'!$U$106:$U$123, "&lt;"&amp;O1)</f>
        <v>309300</v>
      </c>
      <c r="O3" s="637">
        <f>SUMIFS('Expenditure Breakdown'!$Q$106:$Q$123, 'Expenditure Breakdown'!$U$106:$U$123, "&gt;="&amp;O1,'Expenditure Breakdown'!$U$106:$U$123, "&lt;"&amp;P1)</f>
        <v>0</v>
      </c>
      <c r="P3" s="637">
        <f>SUMIFS('Expenditure Breakdown'!$Q$106:$Q$123, 'Expenditure Breakdown'!$U$106:$U$123, "&gt;="&amp;P1,'Expenditure Breakdown'!$U$106:$U$123, "&lt;"&amp;Q1)</f>
        <v>0</v>
      </c>
      <c r="Q3" s="637">
        <f>SUMIFS('Expenditure Breakdown'!$Q$106:$Q$123, 'Expenditure Breakdown'!$U$106:$U$123, "&gt;="&amp;Q1,'Expenditure Breakdown'!$U$106:$U$123, "&lt;"&amp;R1)</f>
        <v>216810</v>
      </c>
      <c r="R3" s="637">
        <f>SUMIFS('Expenditure Breakdown'!$Q$106:$Q$123, 'Expenditure Breakdown'!$U$106:$U$123, "&gt;="&amp;R1,'Expenditure Breakdown'!$U$106:$U$123, "&lt;"&amp;S1)</f>
        <v>0</v>
      </c>
      <c r="S3" s="637">
        <f>SUMIFS('Expenditure Breakdown'!$Q$106:$Q$123, 'Expenditure Breakdown'!$U$106:$U$123, "&gt;="&amp;S1,'Expenditure Breakdown'!$U$106:$U$123, "&lt;"&amp;T1)</f>
        <v>0</v>
      </c>
      <c r="T3" s="637">
        <f>SUMIFS('Expenditure Breakdown'!$Q$106:$Q$123, 'Expenditure Breakdown'!$U$106:$U$123, "&gt;="&amp;T1,'Expenditure Breakdown'!$U$106:$U$123, "&lt;"&amp;U1)</f>
        <v>0</v>
      </c>
      <c r="U3" s="637">
        <f>SUMIFS('Expenditure Breakdown'!$Q$106:$Q$123, 'Expenditure Breakdown'!$U$106:$U$123, "&gt;="&amp;U1,'Expenditure Breakdown'!$U$106:$U$123, "&lt;"&amp;V1)</f>
        <v>0</v>
      </c>
      <c r="V3" s="637">
        <f>SUMIFS('Expenditure Breakdown'!$Q$106:$Q$123, 'Expenditure Breakdown'!$U$106:$U$123, "&gt;="&amp;V1,'Expenditure Breakdown'!$U$106:$U$123, "&lt;"&amp;W1)</f>
        <v>0</v>
      </c>
      <c r="W3" s="637">
        <f>SUMIFS('Expenditure Breakdown'!$Q$106:$Q$123, 'Expenditure Breakdown'!$U$106:$U$123, "&gt;="&amp;W1,'Expenditure Breakdown'!$U$106:$U$123, "&lt;"&amp;X1)</f>
        <v>0</v>
      </c>
      <c r="X3" s="637">
        <f>SUMIFS('Expenditure Breakdown'!$Q$106:$Q$123, 'Expenditure Breakdown'!$U$106:$U$123, "&gt;="&amp;X1,'Expenditure Breakdown'!$U$106:$U$123, "&lt;"&amp;Y1)</f>
        <v>0</v>
      </c>
      <c r="Y3" s="637">
        <f>SUMIFS('Expenditure Breakdown'!$Q$106:$Q$123, 'Expenditure Breakdown'!$U$106:$U$123, "&gt;="&amp;Y1,'Expenditure Breakdown'!$U$106:$U$123, "&lt;"&amp;Z1)</f>
        <v>0</v>
      </c>
      <c r="Z3" s="637">
        <f>SUMIFS('Expenditure Breakdown'!$Q$106:$Q$123, 'Expenditure Breakdown'!$U$106:$U$123, "&gt;="&amp;Z1,'Expenditure Breakdown'!$U$106:$U$123, "&lt;"&amp;AA1)</f>
        <v>0</v>
      </c>
      <c r="AA3" s="637">
        <f>SUMIFS('Expenditure Breakdown'!$Q$106:$Q$123, 'Expenditure Breakdown'!$U$106:$U$123, "&gt;="&amp;AA1,'Expenditure Breakdown'!$U$106:$U$123, "&lt;"&amp;AB1)</f>
        <v>0</v>
      </c>
      <c r="AB3" s="637">
        <f>SUMIFS('Expenditure Breakdown'!$Q$106:$Q$123, 'Expenditure Breakdown'!$U$106:$U$123, "&gt;="&amp;AB1,'Expenditure Breakdown'!$U$106:$U$123, "&lt;"&amp;AC1)</f>
        <v>0</v>
      </c>
      <c r="AC3" s="637">
        <f>SUMIFS('Expenditure Breakdown'!$Q$106:$Q$123, 'Expenditure Breakdown'!$U$106:$U$123, "&gt;="&amp;AC1,'Expenditure Breakdown'!$U$106:$U$123, "&lt;"&amp;AE1)</f>
        <v>0</v>
      </c>
      <c r="AD3" s="637"/>
      <c r="AF3" s="638">
        <f t="shared" ref="AF3" si="0">B3-SUM(D3:Y3)</f>
        <v>0</v>
      </c>
    </row>
    <row r="4" spans="1:32" ht="14.5">
      <c r="A4" s="636" t="s">
        <v>459</v>
      </c>
      <c r="B4" s="637">
        <f>SUM('Expenditure Breakdown'!Q123:Q212)</f>
        <v>5604765.9538486358</v>
      </c>
      <c r="D4" s="637">
        <f>SUMIFS('Expenditure Breakdown'!$Q$124:$Q$212, 'Expenditure Breakdown'!$U$124:$U$212, "&gt;="&amp;D1,'Expenditure Breakdown'!$U$124:$U$212, "&lt;"&amp;E1)</f>
        <v>32528.199999999997</v>
      </c>
      <c r="E4" s="637">
        <f>SUMIFS('Expenditure Breakdown'!$Q$124:$Q$212, 'Expenditure Breakdown'!$U$124:$U$212, "&gt;="&amp;E1,'Expenditure Breakdown'!$U$124:$U$212, "&lt;"&amp;F1)</f>
        <v>3876.62</v>
      </c>
      <c r="F4" s="637">
        <f>SUMIFS('Expenditure Breakdown'!$Q$124:$Q$212, 'Expenditure Breakdown'!$U$124:$U$212, "&gt;="&amp;F1,'Expenditure Breakdown'!$U$124:$U$212, "&lt;"&amp;G1)</f>
        <v>5574.380000000001</v>
      </c>
      <c r="G4" s="637">
        <f>SUMIFS('Expenditure Breakdown'!$Q$124:$Q$212, 'Expenditure Breakdown'!$U$124:$U$212, "&gt;="&amp;G1,'Expenditure Breakdown'!$U$124:$U$212, "&lt;"&amp;H1)</f>
        <v>5086.42</v>
      </c>
      <c r="H4" s="637">
        <f>SUMIFS('Expenditure Breakdown'!$Q$124:$Q$212, 'Expenditure Breakdown'!$U$124:$U$212, "&gt;="&amp;H1,'Expenditure Breakdown'!$U$124:$U$212, "&lt;"&amp;I1)</f>
        <v>1005.1600000000001</v>
      </c>
      <c r="I4" s="637">
        <f>SUMIFS('Expenditure Breakdown'!$Q$124:$Q$212, 'Expenditure Breakdown'!$U$124:$U$212, "&gt;="&amp;I1,'Expenditure Breakdown'!$U$124:$U$212, "&lt;"&amp;J1)</f>
        <v>3654.83</v>
      </c>
      <c r="J4" s="637">
        <f>SUMIFS('Expenditure Breakdown'!$Q$124:$Q$212, 'Expenditure Breakdown'!$U$124:$U$212, "&gt;="&amp;J1,'Expenditure Breakdown'!$U$124:$U$212, "&lt;"&amp;K1)</f>
        <v>8758.0500000000011</v>
      </c>
      <c r="K4" s="637">
        <f>SUMIFS('Expenditure Breakdown'!$Q$124:$Q$212, 'Expenditure Breakdown'!$U$124:$U$212, "&gt;="&amp;K1,'Expenditure Breakdown'!$U$124:$U$212, "&lt;"&amp;L1)</f>
        <v>739.83</v>
      </c>
      <c r="L4" s="637">
        <f>SUMIFS('Expenditure Breakdown'!$Q$124:$Q$212, 'Expenditure Breakdown'!$U$124:$U$212, "&gt;="&amp;L1,'Expenditure Breakdown'!$U$124:$U$212, "&lt;"&amp;M1)</f>
        <v>152445.91</v>
      </c>
      <c r="M4" s="637">
        <f>SUMIFS('Expenditure Breakdown'!$Q$124:$Q$212, 'Expenditure Breakdown'!$U$124:$U$212, "&gt;="&amp;M1,'Expenditure Breakdown'!$U$124:$U$212, "&lt;"&amp;N1)</f>
        <v>948.8</v>
      </c>
      <c r="N4" s="637">
        <f>SUMIFS('Expenditure Breakdown'!$Q$124:$Q$212, 'Expenditure Breakdown'!$U$124:$U$212, "&gt;="&amp;N1,'Expenditure Breakdown'!$U$124:$U$212, "&lt;"&amp;O1)</f>
        <v>76882.759999999995</v>
      </c>
      <c r="O4" s="637">
        <f>SUMIFS('Expenditure Breakdown'!$Q$124:$Q$212, 'Expenditure Breakdown'!$U$124:$U$212, "&gt;="&amp;O1,'Expenditure Breakdown'!$U$124:$U$212, "&lt;"&amp;P1)</f>
        <v>131222.49384863547</v>
      </c>
      <c r="P4" s="637">
        <f>SUMIFS('Expenditure Breakdown'!$Q$124:$Q$212, 'Expenditure Breakdown'!$U$124:$U$212, "&gt;="&amp;P1,'Expenditure Breakdown'!$U$124:$U$212, "&lt;"&amp;Q1)</f>
        <v>4000000</v>
      </c>
      <c r="Q4" s="637">
        <f>SUMIFS('Expenditure Breakdown'!$Q$124:$Q$212, 'Expenditure Breakdown'!$U$124:$U$212, "&gt;="&amp;Q1,'Expenditure Breakdown'!$U$124:$U$212, "&lt;"&amp;R1)</f>
        <v>58.08</v>
      </c>
      <c r="R4" s="637">
        <f>SUMIFS('Expenditure Breakdown'!$Q$124:$Q$212, 'Expenditure Breakdown'!$U$124:$U$212, "&gt;="&amp;R1,'Expenditure Breakdown'!$U$124:$U$212, "&lt;"&amp;S1)</f>
        <v>0</v>
      </c>
      <c r="S4" s="637">
        <f>SUMIFS('Expenditure Breakdown'!$Q$124:$Q$212, 'Expenditure Breakdown'!$U$124:$U$212, "&gt;="&amp;S1,'Expenditure Breakdown'!$U$124:$U$212, "&lt;"&amp;T1)</f>
        <v>0</v>
      </c>
      <c r="T4" s="637">
        <f>SUMIFS('Expenditure Breakdown'!$Q$124:$Q$212, 'Expenditure Breakdown'!$U$124:$U$212, "&gt;="&amp;T1,'Expenditure Breakdown'!$U$124:$U$212, "&lt;"&amp;U1)</f>
        <v>0</v>
      </c>
      <c r="U4" s="637">
        <f>SUMIFS('Expenditure Breakdown'!$Q$124:$Q$212, 'Expenditure Breakdown'!$U$124:$U$212, "&gt;="&amp;U1,'Expenditure Breakdown'!$U$124:$U$212, "&lt;"&amp;V1)</f>
        <v>626.88</v>
      </c>
      <c r="V4" s="637">
        <f>SUMIFS('Expenditure Breakdown'!$Q$124:$Q$212, 'Expenditure Breakdown'!$U$124:$U$212, "&gt;="&amp;V1,'Expenditure Breakdown'!$U$124:$U$212, "&lt;"&amp;W1)</f>
        <v>547262.82000000007</v>
      </c>
      <c r="W4" s="637">
        <f>SUMIFS('Expenditure Breakdown'!$Q$124:$Q$212, 'Expenditure Breakdown'!$U$124:$U$212, "&gt;="&amp;W1,'Expenditure Breakdown'!$U$124:$U$212, "&lt;"&amp;X1)</f>
        <v>84657.14</v>
      </c>
      <c r="X4" s="637">
        <f>SUMIFS('Expenditure Breakdown'!$Q$124:$Q$212, 'Expenditure Breakdown'!$U$124:$U$212, "&gt;="&amp;X1,'Expenditure Breakdown'!$U$124:$U$212, "&lt;"&amp;Y1)</f>
        <v>38643.199999999997</v>
      </c>
      <c r="Y4" s="637">
        <f>SUMIFS('Expenditure Breakdown'!$Q$124:$Q$212, 'Expenditure Breakdown'!$U$124:$U$212, "&gt;="&amp;Y1,'Expenditure Breakdown'!$U$124:$U$212, "&lt;"&amp;Z1)</f>
        <v>280.72000000000003</v>
      </c>
      <c r="Z4" s="637">
        <f>SUMIFS('Expenditure Breakdown'!$Q$124:$Q$212, 'Expenditure Breakdown'!$U$124:$U$212, "&gt;="&amp;Z1,'Expenditure Breakdown'!$U$124:$U$212, "&lt;"&amp;AA1)</f>
        <v>158571.33000000002</v>
      </c>
      <c r="AA4" s="637">
        <f>SUMIFS('Expenditure Breakdown'!$Q$124:$Q$212, 'Expenditure Breakdown'!$U$124:$U$212, "&gt;="&amp;AA1,'Expenditure Breakdown'!$U$124:$U$212, "&lt;"&amp;AB1)</f>
        <v>32628.28</v>
      </c>
      <c r="AB4" s="637">
        <f>SUMIFS('Expenditure Breakdown'!$Q$124:$Q$212, 'Expenditure Breakdown'!$U$124:$U$212, "&gt;="&amp;AB1,'Expenditure Breakdown'!$U$124:$U$212, "&lt;"&amp;AC1)</f>
        <v>0</v>
      </c>
      <c r="AC4" s="637">
        <f>SUMIFS('Expenditure Breakdown'!$Q$124:$Q$212, 'Expenditure Breakdown'!$U$124:$U$212, "&gt;="&amp;AC1,'Expenditure Breakdown'!$U$124:$U$212, "&lt;"&amp;AE1)</f>
        <v>0</v>
      </c>
      <c r="AD4" s="637"/>
      <c r="AF4" s="638">
        <f>B4-SUM(D4:AC4)</f>
        <v>319314.04999999981</v>
      </c>
    </row>
    <row r="5" spans="1:32" ht="14.5">
      <c r="B5" s="637">
        <f>SUM(B3:B4)</f>
        <v>7121865.9538486358</v>
      </c>
      <c r="D5" s="639">
        <f>SUM(D2:D4)</f>
        <v>32767.329999999998</v>
      </c>
      <c r="E5" s="639">
        <f>SUM(E2:E4)</f>
        <v>9107864.352675708</v>
      </c>
      <c r="F5" s="639">
        <f t="shared" ref="F5:J5" si="1">SUM(F2:F4)</f>
        <v>537617.96000000008</v>
      </c>
      <c r="G5" s="639">
        <f t="shared" si="1"/>
        <v>2164903.0999999996</v>
      </c>
      <c r="H5" s="639">
        <f t="shared" si="1"/>
        <v>1005.1600000000001</v>
      </c>
      <c r="I5" s="639">
        <f t="shared" si="1"/>
        <v>140737.22999999998</v>
      </c>
      <c r="J5" s="639">
        <f t="shared" si="1"/>
        <v>266123.05</v>
      </c>
      <c r="K5" s="639">
        <f t="shared" ref="K5" si="2">SUM(K2:K4)</f>
        <v>403301.24599999998</v>
      </c>
      <c r="L5" s="639">
        <f t="shared" ref="L5" si="3">SUM(L2:L4)</f>
        <v>255987.97</v>
      </c>
      <c r="M5" s="639">
        <f t="shared" ref="M5:N5" si="4">SUM(M2:M4)</f>
        <v>111451.55</v>
      </c>
      <c r="N5" s="639">
        <f t="shared" si="4"/>
        <v>415532.76</v>
      </c>
      <c r="O5" s="639">
        <f t="shared" ref="O5:S5" si="5">SUM(O2:O4)</f>
        <v>143322.98384863546</v>
      </c>
      <c r="P5" s="639">
        <f t="shared" si="5"/>
        <v>4249726.3239130434</v>
      </c>
      <c r="Q5" s="639">
        <f t="shared" si="5"/>
        <v>319442.93400000001</v>
      </c>
      <c r="R5" s="639">
        <f t="shared" si="5"/>
        <v>0</v>
      </c>
      <c r="S5" s="639">
        <f t="shared" si="5"/>
        <v>-89060</v>
      </c>
      <c r="T5" s="639">
        <f t="shared" ref="T5:X5" si="6">SUM(T2:T4)</f>
        <v>0</v>
      </c>
      <c r="U5" s="639">
        <f t="shared" si="6"/>
        <v>626.88</v>
      </c>
      <c r="V5" s="639">
        <f t="shared" si="6"/>
        <v>547262.82000000007</v>
      </c>
      <c r="W5" s="639">
        <f t="shared" si="6"/>
        <v>84657.14</v>
      </c>
      <c r="X5" s="639">
        <f t="shared" si="6"/>
        <v>38643.199999999997</v>
      </c>
      <c r="Y5" s="639">
        <f t="shared" ref="Y5:AC5" si="7">SUM(Y2:Y4)</f>
        <v>280.72000000000003</v>
      </c>
      <c r="Z5" s="639">
        <f t="shared" si="7"/>
        <v>158571.33000000002</v>
      </c>
      <c r="AA5" s="639">
        <f t="shared" si="7"/>
        <v>32628.28</v>
      </c>
      <c r="AB5" s="639">
        <f t="shared" si="7"/>
        <v>0</v>
      </c>
      <c r="AC5" s="639">
        <f t="shared" si="7"/>
        <v>0</v>
      </c>
      <c r="AD5" s="887"/>
      <c r="AF5" s="638"/>
    </row>
    <row r="6" spans="1:32" ht="14.5"/>
    <row r="7" spans="1:32" ht="14.5">
      <c r="A7" s="636" t="s">
        <v>460</v>
      </c>
      <c r="D7" s="637">
        <v>6251445.3799999999</v>
      </c>
      <c r="E7" s="637">
        <v>6251445.3799999999</v>
      </c>
      <c r="F7" s="637">
        <v>6251445.3799999999</v>
      </c>
      <c r="G7" s="637">
        <v>6251445.3799999999</v>
      </c>
      <c r="H7" s="637">
        <v>6251445.3799999999</v>
      </c>
      <c r="I7" s="637">
        <v>6251445.3799999999</v>
      </c>
      <c r="J7" s="637">
        <v>6251445.3799999999</v>
      </c>
      <c r="K7" s="637">
        <v>6251445.3799999999</v>
      </c>
      <c r="L7" s="637">
        <v>6251445.3799999999</v>
      </c>
      <c r="M7" s="637">
        <v>6251445.3799999999</v>
      </c>
      <c r="N7" s="637">
        <v>6251446.3799999999</v>
      </c>
      <c r="O7" s="637">
        <v>6251447.3799999999</v>
      </c>
      <c r="P7" s="637">
        <v>6251448.3799999999</v>
      </c>
      <c r="Q7" s="637">
        <v>6251449.3799999999</v>
      </c>
      <c r="R7" s="637">
        <v>6251450.3799999999</v>
      </c>
      <c r="S7" s="637">
        <v>6251451.3799999999</v>
      </c>
      <c r="T7" s="637">
        <v>6251452.3799999999</v>
      </c>
      <c r="U7" s="637">
        <v>6251453.3799999999</v>
      </c>
      <c r="V7" s="637">
        <v>6251454.3799999999</v>
      </c>
      <c r="W7" s="637">
        <v>6251455.3799999999</v>
      </c>
      <c r="X7" s="637">
        <v>6251456.3799999999</v>
      </c>
      <c r="Y7" s="637">
        <v>6251457.3799999999</v>
      </c>
      <c r="Z7" s="637">
        <v>6251458.3799999999</v>
      </c>
      <c r="AA7" s="637">
        <v>6251459.3799999999</v>
      </c>
      <c r="AB7" s="637">
        <v>6251460.3799999999</v>
      </c>
      <c r="AC7" s="637">
        <v>6251461.3799999999</v>
      </c>
      <c r="AD7" s="637"/>
      <c r="AF7" s="638"/>
    </row>
    <row r="8" spans="1:32" ht="14.5">
      <c r="A8" s="636" t="s">
        <v>461</v>
      </c>
      <c r="D8" s="624">
        <f>(D5-D2)/D7</f>
        <v>5.2033086786723226E-3</v>
      </c>
      <c r="E8" s="624">
        <f>(E5-E2)/E7</f>
        <v>5.2792050468174957E-2</v>
      </c>
      <c r="F8" s="624">
        <f t="shared" ref="F8:J8" si="8">(F5-F2)/F7</f>
        <v>8.9169458599668754E-4</v>
      </c>
      <c r="G8" s="624">
        <f t="shared" si="8"/>
        <v>3.3877992548340827E-2</v>
      </c>
      <c r="H8" s="624">
        <f t="shared" si="8"/>
        <v>1.6078841594229846E-4</v>
      </c>
      <c r="I8" s="624">
        <f t="shared" si="8"/>
        <v>1.2724785255981853E-3</v>
      </c>
      <c r="J8" s="624">
        <f t="shared" si="8"/>
        <v>3.4465317523097352E-2</v>
      </c>
      <c r="K8" s="624">
        <f t="shared" ref="K8:M8" si="9">(K5-K2)/K7</f>
        <v>3.9651602938583143E-2</v>
      </c>
      <c r="L8" s="624">
        <f t="shared" si="9"/>
        <v>2.4385706142089018E-2</v>
      </c>
      <c r="M8" s="624">
        <f t="shared" si="9"/>
        <v>1.5177290087752522E-4</v>
      </c>
      <c r="N8" s="624">
        <f t="shared" ref="N8:P8" si="10">(N5-N2)/N7</f>
        <v>6.1774945592670993E-2</v>
      </c>
      <c r="O8" s="624">
        <f t="shared" si="10"/>
        <v>2.0990737963891407E-2</v>
      </c>
      <c r="P8" s="624">
        <f t="shared" si="10"/>
        <v>0.63985172025046777</v>
      </c>
      <c r="Q8" s="624">
        <f t="shared" ref="Q8:T8" si="11">(Q5-Q2)/Q7</f>
        <v>3.4690847964604331E-2</v>
      </c>
      <c r="R8" s="624">
        <f t="shared" si="11"/>
        <v>0</v>
      </c>
      <c r="S8" s="624">
        <f t="shared" si="11"/>
        <v>0</v>
      </c>
      <c r="T8" s="624">
        <f t="shared" si="11"/>
        <v>0</v>
      </c>
      <c r="U8" s="624">
        <f t="shared" ref="U8:Y8" si="12">(U5-U2)/U7</f>
        <v>1.0027748139425459E-4</v>
      </c>
      <c r="V8" s="624">
        <f t="shared" si="12"/>
        <v>8.7541680180988554E-2</v>
      </c>
      <c r="W8" s="624">
        <f t="shared" si="12"/>
        <v>1.3541989001607494E-2</v>
      </c>
      <c r="X8" s="624">
        <f t="shared" si="12"/>
        <v>6.1814715885452594E-3</v>
      </c>
      <c r="Y8" s="624">
        <f t="shared" si="12"/>
        <v>4.4904729079349501E-5</v>
      </c>
      <c r="Z8" s="624">
        <f t="shared" ref="Z8:AC8" si="13">(Z5-Z2)/Z7</f>
        <v>2.5365493995338734E-2</v>
      </c>
      <c r="AA8" s="624">
        <f t="shared" si="13"/>
        <v>5.2193060878530416E-3</v>
      </c>
      <c r="AB8" s="624">
        <f t="shared" si="13"/>
        <v>0</v>
      </c>
      <c r="AC8" s="624">
        <f t="shared" si="13"/>
        <v>0</v>
      </c>
      <c r="AD8" s="624"/>
    </row>
    <row r="9" spans="1:32" ht="14.5">
      <c r="A9" s="636" t="s">
        <v>462</v>
      </c>
      <c r="D9" s="637">
        <v>7849455.8005983401</v>
      </c>
      <c r="E9" s="637">
        <v>7849455.8005983401</v>
      </c>
      <c r="F9" s="637">
        <v>7849455.8005983401</v>
      </c>
      <c r="G9" s="637">
        <v>7849455.8005983401</v>
      </c>
      <c r="H9" s="637">
        <v>7849455.8005983401</v>
      </c>
      <c r="I9" s="637">
        <v>7849455.8005983401</v>
      </c>
      <c r="J9" s="637">
        <v>7849455.8005983401</v>
      </c>
      <c r="K9" s="637">
        <v>7849455.8005983401</v>
      </c>
      <c r="L9" s="637">
        <v>7849455.8005983401</v>
      </c>
      <c r="M9" s="637">
        <v>7849455.8005983401</v>
      </c>
      <c r="N9" s="637">
        <v>7849456.8005983401</v>
      </c>
      <c r="O9" s="637">
        <v>7849457.8005983401</v>
      </c>
      <c r="P9" s="637">
        <v>7849458.8005983401</v>
      </c>
      <c r="Q9" s="637">
        <v>7849459.8005983401</v>
      </c>
      <c r="R9" s="637">
        <v>7849460.8005983401</v>
      </c>
      <c r="S9" s="637">
        <v>7849461.8005983401</v>
      </c>
      <c r="T9" s="637">
        <v>7849462.8005983401</v>
      </c>
      <c r="U9" s="637">
        <v>7849463.8005983401</v>
      </c>
      <c r="V9" s="637">
        <v>7849464.8005983401</v>
      </c>
      <c r="W9" s="637">
        <v>7849465.8005983401</v>
      </c>
      <c r="X9" s="637">
        <v>7849466.8005983401</v>
      </c>
      <c r="Y9" s="637">
        <v>7849467.8005983401</v>
      </c>
      <c r="Z9" s="637">
        <v>7849468.8005983401</v>
      </c>
      <c r="AA9" s="637">
        <v>7849469.8005983401</v>
      </c>
      <c r="AB9" s="637">
        <v>7849470.8005983401</v>
      </c>
      <c r="AC9" s="637">
        <v>7849471.8005983401</v>
      </c>
      <c r="AD9" s="637"/>
    </row>
    <row r="10" spans="1:32" ht="14.5">
      <c r="A10" s="636" t="s">
        <v>463</v>
      </c>
      <c r="B10" s="637">
        <f>8395847.55317566-B18</f>
        <v>7849455.8005983401</v>
      </c>
      <c r="D10" s="637">
        <f>D9*D8</f>
        <v>40843.141490108144</v>
      </c>
      <c r="E10" s="637">
        <f>E9*E8</f>
        <v>414388.86677289626</v>
      </c>
      <c r="F10" s="637">
        <f t="shared" ref="F10:J10" si="14">F9*F8</f>
        <v>6999.317240413834</v>
      </c>
      <c r="G10" s="637">
        <f t="shared" si="14"/>
        <v>265923.80512120127</v>
      </c>
      <c r="H10" s="637">
        <f t="shared" si="14"/>
        <v>1262.1015641872932</v>
      </c>
      <c r="I10" s="637">
        <f t="shared" si="14"/>
        <v>9988.2639438934984</v>
      </c>
      <c r="J10" s="637">
        <f t="shared" si="14"/>
        <v>270533.98655114014</v>
      </c>
      <c r="K10" s="637">
        <f t="shared" ref="K10:M10" si="15">K9*K8</f>
        <v>311243.50468928361</v>
      </c>
      <c r="L10" s="637">
        <f t="shared" si="15"/>
        <v>191414.52252870722</v>
      </c>
      <c r="M10" s="637">
        <f t="shared" si="15"/>
        <v>1191.3346771667273</v>
      </c>
      <c r="N10" s="637">
        <f t="shared" ref="N10:P10" si="16">N9*N8</f>
        <v>484899.76678898378</v>
      </c>
      <c r="O10" s="637">
        <f t="shared" si="16"/>
        <v>164765.91185098313</v>
      </c>
      <c r="P10" s="637">
        <f t="shared" si="16"/>
        <v>5022489.7165980218</v>
      </c>
      <c r="Q10" s="637">
        <f t="shared" ref="Q10:T10" si="17">Q9*Q8</f>
        <v>272304.41654683044</v>
      </c>
      <c r="R10" s="637">
        <f t="shared" si="17"/>
        <v>0</v>
      </c>
      <c r="S10" s="637">
        <f t="shared" si="17"/>
        <v>0</v>
      </c>
      <c r="T10" s="637">
        <f t="shared" si="17"/>
        <v>0</v>
      </c>
      <c r="U10" s="637">
        <f t="shared" ref="U10:Y10" si="18">U9*U8</f>
        <v>787.12446021937501</v>
      </c>
      <c r="V10" s="637">
        <f t="shared" si="18"/>
        <v>687155.33716590703</v>
      </c>
      <c r="W10" s="637">
        <f t="shared" si="18"/>
        <v>106297.37954019688</v>
      </c>
      <c r="X10" s="637">
        <f t="shared" si="18"/>
        <v>48521.256013127895</v>
      </c>
      <c r="Y10" s="637">
        <f t="shared" si="18"/>
        <v>352.47822500294586</v>
      </c>
      <c r="Z10" s="637">
        <f t="shared" ref="Z10:AC10" si="19">Z9*Z8</f>
        <v>199105.65372817594</v>
      </c>
      <c r="AA10" s="637">
        <f t="shared" si="19"/>
        <v>40968.785516681521</v>
      </c>
      <c r="AB10" s="637">
        <f t="shared" si="19"/>
        <v>0</v>
      </c>
      <c r="AC10" s="637">
        <f t="shared" si="19"/>
        <v>0</v>
      </c>
      <c r="AD10" s="637"/>
      <c r="AF10" s="638">
        <f>B10-SUM(D10:M10)</f>
        <v>6335666.9560193419</v>
      </c>
    </row>
    <row r="11" spans="1:32" ht="14.5">
      <c r="D11" s="637"/>
    </row>
    <row r="12" spans="1:32" ht="14.5">
      <c r="A12" s="636" t="s">
        <v>464</v>
      </c>
      <c r="B12" s="637">
        <v>9426585.7560884394</v>
      </c>
      <c r="D12" s="637"/>
      <c r="E12" s="637">
        <v>8880628.24741745</v>
      </c>
      <c r="F12" s="637"/>
      <c r="G12" s="637">
        <f>B12-E12-K12</f>
        <v>238533.62533765606</v>
      </c>
      <c r="K12" s="637">
        <v>307423.88333333336</v>
      </c>
      <c r="L12" s="637"/>
      <c r="M12" s="637"/>
      <c r="N12" s="637"/>
      <c r="O12" s="637"/>
      <c r="P12" s="637"/>
      <c r="Q12" s="637"/>
      <c r="R12" s="637"/>
      <c r="S12" s="637"/>
      <c r="T12" s="637"/>
      <c r="AF12" s="637">
        <f t="shared" ref="AF12:AF17" si="20">B12-SUM(D12:T12)</f>
        <v>0</v>
      </c>
    </row>
    <row r="13" spans="1:32" ht="14.5">
      <c r="A13" s="636" t="s">
        <v>465</v>
      </c>
      <c r="B13" s="637">
        <v>1117464.4343291624</v>
      </c>
      <c r="D13" s="637"/>
      <c r="E13" s="637"/>
      <c r="F13" s="637"/>
      <c r="G13" s="637">
        <f>B13</f>
        <v>1117464.4343291624</v>
      </c>
      <c r="H13" s="637"/>
      <c r="I13" s="637"/>
      <c r="J13" s="637"/>
      <c r="K13" s="637"/>
      <c r="L13" s="637"/>
      <c r="M13" s="637"/>
      <c r="N13" s="637"/>
      <c r="O13" s="637"/>
      <c r="P13" s="637"/>
      <c r="Q13" s="637"/>
      <c r="R13" s="637"/>
      <c r="S13" s="637"/>
      <c r="T13" s="637"/>
      <c r="AF13" s="637">
        <f t="shared" si="20"/>
        <v>0</v>
      </c>
    </row>
    <row r="14" spans="1:32" ht="14.5">
      <c r="A14" s="636" t="s">
        <v>466</v>
      </c>
      <c r="B14" s="637">
        <v>575142.51104871498</v>
      </c>
      <c r="D14" s="637"/>
      <c r="E14" s="637">
        <v>215863.07777777774</v>
      </c>
      <c r="F14" s="637">
        <f>B14-E14</f>
        <v>359279.43327093724</v>
      </c>
      <c r="G14" s="637"/>
      <c r="H14" s="637"/>
      <c r="J14" s="637"/>
      <c r="K14" s="637"/>
      <c r="L14" s="637"/>
      <c r="M14" s="637"/>
      <c r="N14" s="637"/>
      <c r="O14" s="637"/>
      <c r="P14" s="637"/>
      <c r="Q14" s="637"/>
      <c r="R14" s="637"/>
      <c r="S14" s="637"/>
      <c r="T14" s="637"/>
      <c r="AF14" s="637">
        <f t="shared" si="20"/>
        <v>0</v>
      </c>
    </row>
    <row r="15" spans="1:32" ht="14.5">
      <c r="A15" s="636" t="s">
        <v>467</v>
      </c>
      <c r="B15" s="637">
        <v>698421.58184312051</v>
      </c>
      <c r="D15" s="637"/>
      <c r="E15" s="637">
        <v>233641.66666666666</v>
      </c>
      <c r="F15" s="637"/>
      <c r="G15" s="637">
        <f>B15-E15-I15-Q15</f>
        <v>301112.69295423169</v>
      </c>
      <c r="I15" s="637">
        <v>116938.88888888889</v>
      </c>
      <c r="J15" s="637"/>
      <c r="K15" s="637"/>
      <c r="Q15" s="637">
        <v>46728.333333333336</v>
      </c>
      <c r="R15" s="637"/>
      <c r="S15" s="637"/>
      <c r="T15" s="637"/>
      <c r="AF15" s="637">
        <f t="shared" si="20"/>
        <v>0</v>
      </c>
    </row>
    <row r="16" spans="1:32" ht="14.5">
      <c r="A16" s="636" t="s">
        <v>468</v>
      </c>
      <c r="B16" s="637">
        <v>698632.47367515892</v>
      </c>
      <c r="D16" s="637"/>
      <c r="E16" s="637"/>
      <c r="F16" s="637">
        <f>B16</f>
        <v>698632.47367515892</v>
      </c>
      <c r="G16" s="637"/>
      <c r="H16" s="637"/>
      <c r="I16" s="637"/>
      <c r="J16" s="637"/>
      <c r="K16" s="637"/>
      <c r="L16" s="637"/>
      <c r="M16" s="637"/>
      <c r="N16" s="637"/>
      <c r="O16" s="637"/>
      <c r="P16" s="637"/>
      <c r="Q16" s="637"/>
      <c r="R16" s="637"/>
      <c r="S16" s="637"/>
      <c r="T16" s="637"/>
      <c r="AF16" s="637">
        <f t="shared" si="20"/>
        <v>0</v>
      </c>
    </row>
    <row r="17" spans="1:32" ht="14.5">
      <c r="A17" s="636" t="s">
        <v>469</v>
      </c>
      <c r="B17" s="637">
        <v>26914.459566827973</v>
      </c>
      <c r="D17" s="637">
        <v>265.7</v>
      </c>
      <c r="E17" s="637"/>
      <c r="F17" s="637">
        <v>3299.2333333333336</v>
      </c>
      <c r="H17" s="637"/>
      <c r="L17" s="637">
        <f>B17-D17-F17</f>
        <v>23349.526233494638</v>
      </c>
      <c r="M17" s="637"/>
      <c r="N17" s="637"/>
      <c r="O17" s="637"/>
      <c r="P17" s="637"/>
      <c r="Q17" s="637"/>
      <c r="R17" s="637"/>
      <c r="S17" s="637"/>
      <c r="T17" s="637"/>
      <c r="AF17" s="637">
        <f t="shared" si="20"/>
        <v>0</v>
      </c>
    </row>
    <row r="18" spans="1:32" ht="29">
      <c r="A18" s="640" t="s">
        <v>470</v>
      </c>
      <c r="B18" s="637">
        <v>546391.75257731962</v>
      </c>
      <c r="D18" s="637"/>
      <c r="E18" s="637"/>
      <c r="F18" s="637">
        <v>33050</v>
      </c>
      <c r="H18" s="637"/>
      <c r="I18" s="637"/>
      <c r="J18" s="637">
        <v>56294.444444444445</v>
      </c>
      <c r="M18" s="637">
        <v>115498.83333333333</v>
      </c>
      <c r="N18" s="637">
        <v>32611.111111111109</v>
      </c>
      <c r="P18" s="637">
        <f>308937.36-131994.44</f>
        <v>176942.91999999998</v>
      </c>
      <c r="Q18" s="637">
        <v>131994.44444444444</v>
      </c>
      <c r="R18" s="637"/>
      <c r="S18" s="637"/>
      <c r="T18" s="637"/>
      <c r="AF18" s="637">
        <f>B18-SUM(D18:T18)</f>
        <v>-7.5601367279887199E-4</v>
      </c>
    </row>
    <row r="19" spans="1:32" ht="14.5">
      <c r="A19" s="640"/>
      <c r="D19" s="683">
        <f>SUM(D12:D18)</f>
        <v>265.7</v>
      </c>
      <c r="E19" s="683">
        <f t="shared" ref="E19:F19" si="21">SUM(E12:E18)</f>
        <v>9330132.9918618929</v>
      </c>
      <c r="F19" s="683">
        <f t="shared" si="21"/>
        <v>1094261.1402794295</v>
      </c>
      <c r="G19" s="683">
        <f t="shared" ref="G19:L19" si="22">SUM(G12:G18)</f>
        <v>1657110.7526210502</v>
      </c>
      <c r="H19" s="683">
        <f t="shared" si="22"/>
        <v>0</v>
      </c>
      <c r="I19" s="683">
        <f t="shared" si="22"/>
        <v>116938.88888888889</v>
      </c>
      <c r="J19" s="683">
        <f t="shared" si="22"/>
        <v>56294.444444444445</v>
      </c>
      <c r="K19" s="683">
        <f t="shared" si="22"/>
        <v>307423.88333333336</v>
      </c>
      <c r="L19" s="683">
        <f t="shared" si="22"/>
        <v>23349.526233494638</v>
      </c>
      <c r="M19" s="683">
        <f>SUM(M12:M18)</f>
        <v>115498.83333333333</v>
      </c>
      <c r="N19" s="683">
        <f t="shared" ref="N19:O19" si="23">SUM(N12:N18)</f>
        <v>32611.111111111109</v>
      </c>
      <c r="O19" s="683">
        <f t="shared" si="23"/>
        <v>0</v>
      </c>
      <c r="P19" s="683">
        <f>SUM(P12:P18)</f>
        <v>176942.91999999998</v>
      </c>
      <c r="Q19" s="683">
        <f t="shared" ref="Q19:T19" si="24">SUM(Q12:Q18)</f>
        <v>178722.77777777778</v>
      </c>
      <c r="R19" s="683">
        <f t="shared" si="24"/>
        <v>0</v>
      </c>
      <c r="S19" s="683">
        <f t="shared" si="24"/>
        <v>0</v>
      </c>
      <c r="T19" s="683">
        <f t="shared" si="24"/>
        <v>0</v>
      </c>
      <c r="U19" s="683">
        <f t="shared" ref="U19:Y19" si="25">SUM(U12:U18)</f>
        <v>0</v>
      </c>
      <c r="V19" s="683">
        <f t="shared" si="25"/>
        <v>0</v>
      </c>
      <c r="W19" s="683">
        <f t="shared" si="25"/>
        <v>0</v>
      </c>
      <c r="X19" s="683">
        <f t="shared" si="25"/>
        <v>0</v>
      </c>
      <c r="Y19" s="683">
        <f t="shared" si="25"/>
        <v>0</v>
      </c>
      <c r="Z19" s="683">
        <f t="shared" ref="Z19:AC19" si="26">SUM(Z12:Z18)</f>
        <v>0</v>
      </c>
      <c r="AA19" s="683">
        <f t="shared" si="26"/>
        <v>0</v>
      </c>
      <c r="AB19" s="683">
        <f t="shared" si="26"/>
        <v>0</v>
      </c>
      <c r="AC19" s="683">
        <f t="shared" si="26"/>
        <v>0</v>
      </c>
      <c r="AD19" s="887"/>
      <c r="AF19" s="637"/>
    </row>
    <row r="20" spans="1:32" ht="14.5">
      <c r="A20" s="640"/>
      <c r="D20" s="637"/>
      <c r="E20" s="637"/>
      <c r="F20" s="637"/>
      <c r="G20" s="637"/>
      <c r="H20" s="637"/>
      <c r="I20" s="637"/>
      <c r="J20" s="637"/>
      <c r="K20" s="637"/>
      <c r="L20" s="637"/>
      <c r="M20" s="637"/>
      <c r="N20" s="637"/>
      <c r="O20" s="637"/>
      <c r="P20" s="637"/>
      <c r="Q20" s="637"/>
      <c r="R20" s="637"/>
      <c r="S20" s="637"/>
      <c r="T20" s="637"/>
      <c r="U20" s="637"/>
      <c r="V20" s="637"/>
      <c r="W20" s="637"/>
      <c r="X20" s="637"/>
      <c r="Y20" s="637"/>
      <c r="Z20" s="637"/>
      <c r="AA20" s="637"/>
      <c r="AB20" s="637"/>
      <c r="AC20" s="637"/>
      <c r="AD20" s="637"/>
      <c r="AF20" s="637"/>
    </row>
    <row r="21" spans="1:32" ht="14.5">
      <c r="A21" s="636" t="s">
        <v>471</v>
      </c>
      <c r="D21" s="641">
        <f>D10+D19</f>
        <v>41108.841490108141</v>
      </c>
      <c r="E21" s="641">
        <f t="shared" ref="E21:M21" si="27">E10+E19</f>
        <v>9744521.8586347885</v>
      </c>
      <c r="F21" s="641">
        <f t="shared" si="27"/>
        <v>1101260.4575198432</v>
      </c>
      <c r="G21" s="641">
        <f t="shared" si="27"/>
        <v>1923034.5577422515</v>
      </c>
      <c r="H21" s="641">
        <f t="shared" si="27"/>
        <v>1262.1015641872932</v>
      </c>
      <c r="I21" s="641">
        <f t="shared" si="27"/>
        <v>126927.15283278239</v>
      </c>
      <c r="J21" s="641">
        <f t="shared" si="27"/>
        <v>326828.43099558458</v>
      </c>
      <c r="K21" s="641">
        <f t="shared" si="27"/>
        <v>618667.38802261697</v>
      </c>
      <c r="L21" s="641">
        <f t="shared" si="27"/>
        <v>214764.04876220186</v>
      </c>
      <c r="M21" s="641">
        <f t="shared" si="27"/>
        <v>116690.16801050006</v>
      </c>
      <c r="N21" s="641">
        <f t="shared" ref="N21:P21" si="28">N10+N19</f>
        <v>517510.8779000949</v>
      </c>
      <c r="O21" s="641">
        <f t="shared" si="28"/>
        <v>164765.91185098313</v>
      </c>
      <c r="P21" s="641">
        <f t="shared" si="28"/>
        <v>5199432.6365980217</v>
      </c>
      <c r="Q21" s="641">
        <f>Q10+Q19+391207.14</f>
        <v>842234.33432460821</v>
      </c>
      <c r="R21" s="641">
        <f t="shared" ref="R21" si="29">R10+R19</f>
        <v>0</v>
      </c>
      <c r="S21" s="641">
        <v>0</v>
      </c>
      <c r="T21" s="641">
        <v>0</v>
      </c>
      <c r="U21" s="641">
        <v>0</v>
      </c>
      <c r="V21" s="641">
        <v>0</v>
      </c>
      <c r="W21" s="641">
        <v>0</v>
      </c>
      <c r="X21" s="641">
        <v>0</v>
      </c>
      <c r="Y21" s="641">
        <v>0</v>
      </c>
      <c r="Z21" s="641">
        <v>0</v>
      </c>
      <c r="AA21" s="641">
        <v>0</v>
      </c>
      <c r="AB21" s="641">
        <v>0</v>
      </c>
      <c r="AC21" s="641">
        <v>0</v>
      </c>
      <c r="AD21" s="868"/>
    </row>
    <row r="22" spans="1:32" ht="14.5">
      <c r="D22" s="868"/>
      <c r="E22" s="868"/>
      <c r="F22" s="868"/>
      <c r="G22" s="868"/>
      <c r="H22" s="868"/>
      <c r="I22" s="868"/>
      <c r="J22" s="868"/>
      <c r="K22" s="868"/>
      <c r="L22" s="868"/>
      <c r="M22" s="868"/>
      <c r="N22" s="868"/>
      <c r="O22" s="868"/>
      <c r="P22" s="868"/>
      <c r="Q22" s="868"/>
      <c r="R22" s="868"/>
      <c r="S22" s="868"/>
      <c r="T22" s="868"/>
    </row>
    <row r="23" spans="1:32" ht="14.5">
      <c r="D23" s="868"/>
      <c r="E23" s="868"/>
      <c r="F23" s="868"/>
      <c r="G23" s="868"/>
      <c r="H23" s="868">
        <f>SUM(H21:R21)</f>
        <v>8129083.0508615812</v>
      </c>
      <c r="I23" s="868"/>
      <c r="J23" s="868"/>
      <c r="K23" s="868"/>
      <c r="L23" s="868"/>
      <c r="M23" s="868"/>
      <c r="N23" s="868"/>
      <c r="O23" s="868"/>
      <c r="P23" s="868"/>
      <c r="Q23" s="868"/>
      <c r="R23" s="868"/>
      <c r="S23" s="868"/>
      <c r="T23" s="868"/>
    </row>
    <row r="24" spans="1:32" ht="14.5">
      <c r="D24" s="868"/>
      <c r="E24" s="868"/>
      <c r="F24" s="868"/>
      <c r="G24" s="868"/>
      <c r="H24" s="868"/>
      <c r="I24" s="868"/>
      <c r="J24" s="868"/>
      <c r="K24" s="868"/>
      <c r="L24" s="868"/>
      <c r="M24" s="868"/>
      <c r="N24" s="868"/>
      <c r="O24" s="868"/>
      <c r="P24" s="868"/>
      <c r="Q24" s="868"/>
      <c r="R24" s="868"/>
      <c r="S24" s="868"/>
      <c r="T24" s="868"/>
    </row>
    <row r="25" spans="1:32" ht="14.5">
      <c r="D25" s="868"/>
      <c r="E25" s="868"/>
      <c r="F25" s="868"/>
      <c r="G25" s="868"/>
      <c r="H25" s="868">
        <f>SUM(H19:S19)</f>
        <v>1007782.3851223835</v>
      </c>
      <c r="I25" s="868"/>
      <c r="J25" s="868"/>
      <c r="K25" s="868"/>
      <c r="L25" s="868"/>
      <c r="M25" s="868"/>
      <c r="N25" s="868"/>
      <c r="O25" s="868"/>
      <c r="P25" s="868"/>
      <c r="Q25" s="868"/>
      <c r="R25" s="868"/>
      <c r="S25" s="868"/>
      <c r="T25" s="868"/>
    </row>
    <row r="26" spans="1:32" ht="14.5">
      <c r="D26" s="637"/>
      <c r="E26" s="637"/>
    </row>
    <row r="27" spans="1:32" ht="14.5">
      <c r="A27" s="636" t="s">
        <v>472</v>
      </c>
      <c r="D27" s="637">
        <f>'Revenue Tracking'!F4</f>
        <v>20939008.769727096</v>
      </c>
      <c r="E27" s="637"/>
    </row>
    <row r="28" spans="1:32" ht="14.5">
      <c r="A28" s="636" t="s">
        <v>473</v>
      </c>
      <c r="D28" s="637">
        <f>SUM(D21:T21)</f>
        <v>20939008.766248576</v>
      </c>
    </row>
    <row r="29" spans="1:32" ht="14.5">
      <c r="D29" s="639">
        <f>D27-D28</f>
        <v>3.4785196185112E-3</v>
      </c>
    </row>
    <row r="30" spans="1:32" ht="14.5"/>
    <row r="32" spans="1:32" ht="14.5">
      <c r="A32" s="636" t="s">
        <v>474</v>
      </c>
      <c r="C32" s="636">
        <v>100</v>
      </c>
      <c r="D32" s="642">
        <f>(D34/C34)*C32</f>
        <v>109398.88888888888</v>
      </c>
    </row>
    <row r="33" spans="1:4" ht="14.5">
      <c r="A33" s="636" t="s">
        <v>475</v>
      </c>
      <c r="C33" s="636">
        <v>10</v>
      </c>
    </row>
    <row r="34" spans="1:4" ht="14.5">
      <c r="A34" s="636" t="s">
        <v>476</v>
      </c>
      <c r="C34" s="636">
        <f>C32-C33</f>
        <v>90</v>
      </c>
      <c r="D34" s="642">
        <f>'Expenditure Breakdown'!Q91+'Expenditure Breakdown'!Q93+'Expenditure Breakdown'!Q102</f>
        <v>98459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5ED8-9152-4590-B68A-FE28E048E110}">
  <sheetPr codeName="Sheet10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958" t="s">
        <v>477</v>
      </c>
      <c r="C2" s="958"/>
      <c r="D2" s="958"/>
      <c r="E2" s="958"/>
      <c r="H2" s="959" t="s">
        <v>478</v>
      </c>
      <c r="I2" s="960"/>
      <c r="J2" s="960"/>
      <c r="K2" s="960"/>
      <c r="L2" s="960"/>
      <c r="M2" s="960"/>
      <c r="N2" s="960"/>
      <c r="O2" s="961"/>
    </row>
    <row r="3" spans="2:15">
      <c r="B3" s="893"/>
      <c r="H3" s="962"/>
      <c r="I3" s="963"/>
      <c r="J3" s="963"/>
      <c r="K3" s="963"/>
      <c r="L3" s="963"/>
      <c r="M3" s="963"/>
      <c r="N3" s="963"/>
      <c r="O3" s="964"/>
    </row>
    <row r="4" spans="2:15">
      <c r="B4" s="894" t="s">
        <v>479</v>
      </c>
      <c r="C4" s="895" t="str">
        <f>'Project Plan'!E2</f>
        <v>Mega Park Extension</v>
      </c>
      <c r="H4" s="962"/>
      <c r="I4" s="963"/>
      <c r="J4" s="963"/>
      <c r="K4" s="963"/>
      <c r="L4" s="963"/>
      <c r="M4" s="963"/>
      <c r="N4" s="963"/>
      <c r="O4" s="964"/>
    </row>
    <row r="5" spans="2:15">
      <c r="B5" s="894" t="s">
        <v>480</v>
      </c>
      <c r="C5" s="895" t="s">
        <v>481</v>
      </c>
      <c r="H5" s="962"/>
      <c r="I5" s="963"/>
      <c r="J5" s="963"/>
      <c r="K5" s="963"/>
      <c r="L5" s="963"/>
      <c r="M5" s="963"/>
      <c r="N5" s="963"/>
      <c r="O5" s="964"/>
    </row>
    <row r="6" spans="2:15">
      <c r="B6" s="894" t="s">
        <v>482</v>
      </c>
      <c r="C6" s="895" t="s">
        <v>483</v>
      </c>
      <c r="H6" s="962"/>
      <c r="I6" s="963"/>
      <c r="J6" s="963"/>
      <c r="K6" s="963"/>
      <c r="L6" s="963"/>
      <c r="M6" s="963"/>
      <c r="N6" s="963"/>
      <c r="O6" s="964"/>
    </row>
    <row r="7" spans="2:15">
      <c r="B7" s="894" t="s">
        <v>484</v>
      </c>
      <c r="C7" s="895" t="s">
        <v>485</v>
      </c>
      <c r="H7" s="962"/>
      <c r="I7" s="963"/>
      <c r="J7" s="963"/>
      <c r="K7" s="963"/>
      <c r="L7" s="963"/>
      <c r="M7" s="963"/>
      <c r="N7" s="963"/>
      <c r="O7" s="964"/>
    </row>
    <row r="8" spans="2:15">
      <c r="B8" s="893"/>
      <c r="H8" s="962"/>
      <c r="I8" s="963"/>
      <c r="J8" s="963"/>
      <c r="K8" s="963"/>
      <c r="L8" s="963"/>
      <c r="M8" s="963"/>
      <c r="N8" s="963"/>
      <c r="O8" s="964"/>
    </row>
    <row r="9" spans="2:15">
      <c r="B9" s="968" t="s">
        <v>486</v>
      </c>
      <c r="C9" s="968"/>
      <c r="D9" s="968"/>
      <c r="E9" s="968"/>
      <c r="H9" s="962"/>
      <c r="I9" s="963"/>
      <c r="J9" s="963"/>
      <c r="K9" s="963"/>
      <c r="L9" s="963"/>
      <c r="M9" s="963"/>
      <c r="N9" s="963"/>
      <c r="O9" s="964"/>
    </row>
    <row r="10" spans="2:15" ht="15" thickBot="1">
      <c r="B10" s="968" t="s">
        <v>487</v>
      </c>
      <c r="C10" s="968"/>
      <c r="D10" s="968"/>
      <c r="E10" s="968"/>
      <c r="H10" s="965"/>
      <c r="I10" s="966"/>
      <c r="J10" s="966"/>
      <c r="K10" s="966"/>
      <c r="L10" s="966"/>
      <c r="M10" s="966"/>
      <c r="N10" s="966"/>
      <c r="O10" s="967"/>
    </row>
    <row r="11" spans="2:15">
      <c r="B11" s="896" t="s">
        <v>488</v>
      </c>
      <c r="C11" s="957" t="s">
        <v>489</v>
      </c>
      <c r="D11" s="957"/>
      <c r="E11" s="957"/>
    </row>
    <row r="12" spans="2:15">
      <c r="B12" s="896" t="s">
        <v>490</v>
      </c>
      <c r="C12" s="957" t="s">
        <v>489</v>
      </c>
      <c r="D12" s="957"/>
      <c r="E12" s="957"/>
    </row>
    <row r="13" spans="2:15">
      <c r="B13" s="896" t="s">
        <v>491</v>
      </c>
      <c r="C13" s="957" t="s">
        <v>489</v>
      </c>
      <c r="D13" s="957"/>
      <c r="E13" s="957"/>
    </row>
    <row r="14" spans="2:15">
      <c r="B14" s="896" t="s">
        <v>492</v>
      </c>
      <c r="C14" s="957" t="s">
        <v>493</v>
      </c>
      <c r="D14" s="957"/>
      <c r="E14" s="957"/>
    </row>
    <row r="15" spans="2:15">
      <c r="B15" s="896" t="s">
        <v>494</v>
      </c>
      <c r="C15" s="957" t="s">
        <v>495</v>
      </c>
      <c r="D15" s="957"/>
      <c r="E15" s="957"/>
    </row>
    <row r="16" spans="2:15" ht="15" customHeight="1">
      <c r="B16" s="896" t="s">
        <v>496</v>
      </c>
      <c r="C16" s="957" t="s">
        <v>497</v>
      </c>
      <c r="D16" s="957"/>
      <c r="E16" s="957"/>
    </row>
    <row r="17" spans="2:5">
      <c r="B17" s="893"/>
    </row>
    <row r="18" spans="2:5">
      <c r="B18" s="969" t="s">
        <v>498</v>
      </c>
      <c r="C18" s="969"/>
      <c r="D18" s="969"/>
      <c r="E18" s="969"/>
    </row>
    <row r="19" spans="2:5">
      <c r="B19" s="896" t="s">
        <v>499</v>
      </c>
      <c r="C19" s="896" t="s">
        <v>500</v>
      </c>
      <c r="D19" s="896" t="s">
        <v>501</v>
      </c>
      <c r="E19" s="896" t="s">
        <v>502</v>
      </c>
    </row>
    <row r="20" spans="2:5" ht="15" customHeight="1">
      <c r="B20" s="896" t="s">
        <v>503</v>
      </c>
      <c r="C20" s="896" t="s">
        <v>504</v>
      </c>
      <c r="D20" s="897" t="s">
        <v>505</v>
      </c>
      <c r="E20" s="898">
        <v>45953</v>
      </c>
    </row>
    <row r="21" spans="2:5">
      <c r="B21" s="896"/>
      <c r="C21" s="896"/>
      <c r="D21" s="896"/>
      <c r="E21" s="896"/>
    </row>
    <row r="22" spans="2:5">
      <c r="B22" s="896"/>
      <c r="C22" s="896"/>
      <c r="D22" s="896"/>
      <c r="E22" s="896"/>
    </row>
    <row r="23" spans="2:5">
      <c r="B23" s="896"/>
      <c r="C23" s="896"/>
      <c r="D23" s="896"/>
      <c r="E23" s="896"/>
    </row>
    <row r="24" spans="2:5">
      <c r="B24" s="896"/>
      <c r="C24" s="896"/>
      <c r="D24" s="896"/>
      <c r="E24" s="896"/>
    </row>
    <row r="25" spans="2:5">
      <c r="B25" s="896"/>
      <c r="C25" s="896"/>
      <c r="D25" s="896"/>
      <c r="E25" s="896"/>
    </row>
    <row r="26" spans="2:5">
      <c r="B26" s="89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2"/>
  <dimension ref="A1:D6"/>
  <sheetViews>
    <sheetView workbookViewId="0">
      <selection activeCell="E15" sqref="E15"/>
    </sheetView>
  </sheetViews>
  <sheetFormatPr defaultRowHeight="14.5"/>
  <cols>
    <col min="4" max="4" width="9" customWidth="1"/>
  </cols>
  <sheetData>
    <row r="1" spans="1:4">
      <c r="A1" s="540" t="s">
        <v>506</v>
      </c>
    </row>
    <row r="2" spans="1:4">
      <c r="A2" s="971"/>
      <c r="B2" s="971"/>
      <c r="C2" s="971"/>
      <c r="D2" s="73"/>
    </row>
    <row r="3" spans="1:4">
      <c r="A3" s="970" t="s">
        <v>507</v>
      </c>
      <c r="B3" s="970"/>
      <c r="C3" s="970"/>
      <c r="D3" s="550">
        <v>0.32</v>
      </c>
    </row>
    <row r="4" spans="1:4">
      <c r="A4" s="970" t="s">
        <v>508</v>
      </c>
      <c r="B4" s="970"/>
      <c r="C4" s="970"/>
      <c r="D4" s="550">
        <v>0.5</v>
      </c>
    </row>
    <row r="5" spans="1:4">
      <c r="A5" s="970" t="s">
        <v>509</v>
      </c>
      <c r="B5" s="970"/>
      <c r="C5" s="970"/>
      <c r="D5" s="550">
        <v>0.15</v>
      </c>
    </row>
    <row r="6" spans="1:4">
      <c r="A6" s="970" t="s">
        <v>510</v>
      </c>
      <c r="B6" s="970"/>
      <c r="C6" s="970"/>
      <c r="D6" s="55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3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97"/>
    <col min="2" max="2" width="22.54296875" style="97" customWidth="1"/>
    <col min="3" max="3" width="4.54296875" style="97" customWidth="1"/>
    <col min="4" max="4" width="14.453125" style="97" bestFit="1" customWidth="1"/>
    <col min="5" max="5" width="3.54296875" style="97" customWidth="1"/>
    <col min="6" max="6" width="15.54296875" style="97" customWidth="1"/>
    <col min="7" max="7" width="2.453125" style="97" customWidth="1"/>
    <col min="8" max="8" width="16.453125" style="97" bestFit="1" customWidth="1"/>
    <col min="9" max="9" width="6.54296875" style="97" customWidth="1"/>
    <col min="10" max="10" width="13.54296875" style="97" bestFit="1" customWidth="1"/>
    <col min="11" max="11" width="2.54296875" style="97" customWidth="1"/>
    <col min="12" max="12" width="14.453125" style="97" bestFit="1" customWidth="1"/>
    <col min="13" max="13" width="3" style="97" customWidth="1"/>
    <col min="14" max="14" width="45.453125" style="97" customWidth="1"/>
    <col min="15" max="16384" width="9.453125" style="97"/>
  </cols>
  <sheetData>
    <row r="2" spans="2:14" s="215" customFormat="1" ht="18">
      <c r="B2" s="972" t="s">
        <v>511</v>
      </c>
      <c r="C2" s="972"/>
      <c r="D2" s="972"/>
      <c r="E2" s="972"/>
      <c r="F2" s="972"/>
      <c r="G2" s="972"/>
      <c r="H2" s="972"/>
      <c r="I2" s="972"/>
      <c r="J2" s="972"/>
      <c r="K2" s="972"/>
      <c r="L2" s="972"/>
      <c r="M2" s="972"/>
      <c r="N2" s="972"/>
    </row>
    <row r="4" spans="2:14" ht="13">
      <c r="B4" s="144" t="s">
        <v>512</v>
      </c>
      <c r="C4" s="94"/>
      <c r="D4" s="108" t="s">
        <v>513</v>
      </c>
      <c r="E4" s="216"/>
      <c r="F4" s="108" t="s">
        <v>514</v>
      </c>
      <c r="H4" s="108" t="s">
        <v>515</v>
      </c>
      <c r="I4" s="216"/>
      <c r="J4" s="108" t="s">
        <v>516</v>
      </c>
      <c r="L4" s="108" t="s">
        <v>515</v>
      </c>
      <c r="M4" s="108"/>
      <c r="N4" s="108" t="s">
        <v>517</v>
      </c>
    </row>
    <row r="5" spans="2:14" ht="4.5" customHeight="1">
      <c r="B5" s="218"/>
      <c r="C5" s="94"/>
      <c r="D5" s="218"/>
      <c r="E5" s="219"/>
      <c r="F5" s="218"/>
      <c r="H5" s="218"/>
      <c r="I5" s="219"/>
      <c r="J5" s="218"/>
      <c r="L5" s="218"/>
      <c r="M5" s="94"/>
      <c r="N5" s="218"/>
    </row>
    <row r="6" spans="2:14" ht="6.75" customHeight="1">
      <c r="B6" s="94"/>
      <c r="C6" s="94"/>
      <c r="D6" s="99"/>
      <c r="E6" s="216"/>
      <c r="F6" s="99"/>
      <c r="H6" s="220"/>
      <c r="I6" s="216"/>
      <c r="J6" s="99"/>
      <c r="L6" s="220"/>
      <c r="M6" s="220"/>
    </row>
    <row r="7" spans="2:14" ht="13">
      <c r="B7" s="94"/>
      <c r="C7" s="94"/>
      <c r="D7" s="99"/>
      <c r="E7" s="216"/>
      <c r="F7" s="228" t="s">
        <v>518</v>
      </c>
      <c r="H7" s="220"/>
      <c r="I7" s="216"/>
      <c r="J7" s="228" t="s">
        <v>518</v>
      </c>
      <c r="L7" s="220"/>
      <c r="M7" s="220"/>
    </row>
    <row r="8" spans="2:14" ht="6" customHeight="1">
      <c r="B8" s="94"/>
      <c r="C8" s="94"/>
      <c r="D8" s="99"/>
      <c r="E8" s="216"/>
      <c r="F8" s="99"/>
      <c r="H8" s="220"/>
      <c r="I8" s="216"/>
      <c r="J8" s="99"/>
      <c r="L8" s="220"/>
      <c r="M8" s="220"/>
    </row>
    <row r="9" spans="2:14" s="226" customFormat="1" ht="13">
      <c r="B9" s="144" t="s">
        <v>236</v>
      </c>
      <c r="C9" s="144"/>
      <c r="D9" s="108">
        <f>SUM(D10:D11)</f>
        <v>1020000</v>
      </c>
      <c r="E9" s="216"/>
      <c r="F9" s="108">
        <f>SUM(F10:F13)</f>
        <v>0</v>
      </c>
      <c r="H9" s="227">
        <f>$D$9-F9</f>
        <v>1020000</v>
      </c>
      <c r="I9" s="216"/>
      <c r="J9" s="108">
        <f>SUM(J10:J13)</f>
        <v>0</v>
      </c>
      <c r="L9" s="227">
        <f>$D$9-J9</f>
        <v>1020000</v>
      </c>
      <c r="M9" s="227"/>
    </row>
    <row r="10" spans="2:14" ht="13">
      <c r="B10" s="229" t="s">
        <v>236</v>
      </c>
      <c r="C10" s="94"/>
      <c r="D10" s="99">
        <f>'Expenditure Breakdown'!G28</f>
        <v>1020000</v>
      </c>
      <c r="E10" s="216"/>
      <c r="F10" s="99"/>
      <c r="H10" s="220"/>
      <c r="I10" s="216"/>
      <c r="J10" s="99"/>
      <c r="L10" s="220"/>
      <c r="M10" s="220"/>
    </row>
    <row r="11" spans="2:14" ht="13">
      <c r="B11" s="229" t="s">
        <v>519</v>
      </c>
      <c r="C11" s="94"/>
      <c r="D11" s="99">
        <f>'Expenditure Breakdown'!G29</f>
        <v>0</v>
      </c>
      <c r="E11" s="216"/>
      <c r="F11" s="99"/>
      <c r="H11" s="220"/>
      <c r="I11" s="216"/>
      <c r="J11" s="99"/>
      <c r="L11" s="220"/>
      <c r="M11" s="220"/>
    </row>
    <row r="12" spans="2:14" ht="13">
      <c r="B12" s="229" t="s">
        <v>520</v>
      </c>
      <c r="C12" s="94"/>
      <c r="D12" s="99"/>
      <c r="E12" s="216"/>
      <c r="F12" s="99"/>
      <c r="H12" s="220"/>
      <c r="I12" s="216"/>
      <c r="J12" s="99"/>
      <c r="L12" s="220"/>
      <c r="M12" s="220"/>
    </row>
    <row r="13" spans="2:14" ht="13">
      <c r="B13" s="229" t="s">
        <v>521</v>
      </c>
      <c r="C13" s="94"/>
      <c r="D13" s="99"/>
      <c r="E13" s="216"/>
      <c r="F13" s="99"/>
      <c r="H13" s="220"/>
      <c r="I13" s="216"/>
      <c r="J13" s="99"/>
      <c r="L13" s="220"/>
      <c r="M13" s="220"/>
    </row>
    <row r="14" spans="2:14" ht="13">
      <c r="B14" s="94"/>
      <c r="C14" s="94"/>
      <c r="D14" s="99"/>
      <c r="E14" s="216"/>
      <c r="F14" s="99"/>
      <c r="H14" s="220"/>
      <c r="I14" s="216"/>
      <c r="J14" s="99"/>
      <c r="L14" s="220"/>
      <c r="M14" s="220"/>
    </row>
    <row r="15" spans="2:14" ht="13">
      <c r="B15" s="94"/>
      <c r="C15" s="94"/>
      <c r="D15" s="99"/>
      <c r="E15" s="216"/>
      <c r="F15" s="228" t="s">
        <v>518</v>
      </c>
      <c r="H15" s="220"/>
      <c r="I15" s="216"/>
      <c r="J15" s="228" t="s">
        <v>518</v>
      </c>
      <c r="L15" s="220"/>
      <c r="M15" s="220"/>
    </row>
    <row r="16" spans="2:14" ht="6" customHeight="1">
      <c r="B16" s="94"/>
      <c r="C16" s="94"/>
      <c r="D16" s="99"/>
      <c r="E16" s="216"/>
      <c r="F16" s="99"/>
      <c r="H16" s="220"/>
      <c r="I16" s="216"/>
      <c r="J16" s="99"/>
      <c r="L16" s="220"/>
      <c r="M16" s="220"/>
    </row>
    <row r="17" spans="2:13" s="226" customFormat="1" ht="13">
      <c r="B17" s="144" t="s">
        <v>522</v>
      </c>
      <c r="C17" s="144"/>
      <c r="D17" s="108">
        <f>SUM(D18:D19)</f>
        <v>524979</v>
      </c>
      <c r="E17" s="216"/>
      <c r="F17" s="108">
        <f>SUM(F18:F20)</f>
        <v>0</v>
      </c>
      <c r="H17" s="227">
        <f>$D$17- F17</f>
        <v>524979</v>
      </c>
      <c r="I17" s="216"/>
      <c r="J17" s="108">
        <f>SUM(J18:J20)</f>
        <v>0</v>
      </c>
      <c r="L17" s="227">
        <f>$D$17- J17</f>
        <v>524979</v>
      </c>
      <c r="M17" s="227"/>
    </row>
    <row r="18" spans="2:13">
      <c r="B18" s="229" t="s">
        <v>522</v>
      </c>
      <c r="C18" s="94"/>
      <c r="D18" s="99">
        <f>'Expenditure Breakdown'!G34</f>
        <v>524979</v>
      </c>
      <c r="E18" s="219"/>
      <c r="F18" s="99"/>
      <c r="H18" s="220"/>
      <c r="I18" s="219"/>
      <c r="J18" s="99"/>
      <c r="L18" s="220"/>
      <c r="M18" s="220"/>
    </row>
    <row r="19" spans="2:13">
      <c r="B19" s="229" t="s">
        <v>521</v>
      </c>
      <c r="C19" s="94"/>
      <c r="D19" s="99"/>
      <c r="E19" s="219"/>
      <c r="F19" s="99"/>
      <c r="H19" s="220"/>
      <c r="I19" s="219"/>
      <c r="J19" s="99"/>
      <c r="L19" s="220"/>
      <c r="M19" s="220"/>
    </row>
    <row r="20" spans="2:13">
      <c r="B20" s="94"/>
      <c r="C20" s="94"/>
      <c r="D20" s="99"/>
      <c r="E20" s="219"/>
      <c r="F20" s="99"/>
      <c r="H20" s="220"/>
      <c r="I20" s="219"/>
      <c r="J20" s="99"/>
      <c r="L20" s="220"/>
      <c r="M20" s="220"/>
    </row>
    <row r="21" spans="2:13" ht="13">
      <c r="B21" s="94"/>
      <c r="C21" s="94"/>
      <c r="D21" s="99"/>
      <c r="E21" s="216"/>
      <c r="F21" s="228" t="s">
        <v>518</v>
      </c>
      <c r="H21" s="220"/>
      <c r="I21" s="216"/>
      <c r="J21" s="228" t="s">
        <v>518</v>
      </c>
      <c r="L21" s="220"/>
      <c r="M21" s="220"/>
    </row>
    <row r="22" spans="2:13" ht="6" customHeight="1">
      <c r="B22" s="94"/>
      <c r="C22" s="94"/>
      <c r="D22" s="99"/>
      <c r="E22" s="216"/>
      <c r="F22" s="99"/>
      <c r="H22" s="220"/>
      <c r="I22" s="216"/>
      <c r="J22" s="99"/>
      <c r="L22" s="220"/>
      <c r="M22" s="220"/>
    </row>
    <row r="23" spans="2:13" s="226" customFormat="1" ht="13">
      <c r="B23" s="144" t="s">
        <v>523</v>
      </c>
      <c r="C23" s="144"/>
      <c r="D23" s="108">
        <f>SUM(D24:D25)</f>
        <v>330413.76</v>
      </c>
      <c r="E23" s="216"/>
      <c r="F23" s="108">
        <f>SUM(F24:F25)</f>
        <v>0</v>
      </c>
      <c r="H23" s="227">
        <f>$D$23- F23</f>
        <v>330413.76</v>
      </c>
      <c r="I23" s="216"/>
      <c r="J23" s="108">
        <f>SUM(J24:J25)</f>
        <v>0</v>
      </c>
      <c r="L23" s="227">
        <f>$D$23- J23</f>
        <v>330413.76</v>
      </c>
      <c r="M23" s="227"/>
    </row>
    <row r="24" spans="2:13">
      <c r="B24" s="229" t="s">
        <v>523</v>
      </c>
      <c r="C24" s="94"/>
      <c r="D24" s="99">
        <f>'Expenditure Breakdown'!G40</f>
        <v>330413.76</v>
      </c>
      <c r="E24" s="219"/>
      <c r="F24" s="99"/>
      <c r="H24" s="220"/>
      <c r="I24" s="219"/>
      <c r="J24" s="99"/>
      <c r="L24" s="220"/>
      <c r="M24" s="220"/>
    </row>
    <row r="25" spans="2:13" s="226" customFormat="1" ht="13">
      <c r="B25" s="229" t="s">
        <v>521</v>
      </c>
      <c r="C25" s="144"/>
      <c r="D25" s="108"/>
      <c r="E25" s="216"/>
      <c r="F25" s="108"/>
      <c r="H25" s="227"/>
      <c r="I25" s="216"/>
      <c r="J25" s="108"/>
      <c r="L25" s="227"/>
      <c r="M25" s="227"/>
    </row>
    <row r="26" spans="2:13">
      <c r="B26" s="94"/>
      <c r="C26" s="94"/>
      <c r="D26" s="99"/>
      <c r="E26" s="219"/>
      <c r="F26" s="99"/>
      <c r="H26" s="220"/>
      <c r="I26" s="219"/>
      <c r="J26" s="99"/>
      <c r="L26" s="220"/>
      <c r="M26" s="220"/>
    </row>
    <row r="27" spans="2:13" ht="13">
      <c r="B27" s="94"/>
      <c r="C27" s="94"/>
      <c r="D27" s="99"/>
      <c r="E27" s="219"/>
      <c r="F27" s="228" t="s">
        <v>518</v>
      </c>
      <c r="H27" s="220"/>
      <c r="I27" s="216"/>
      <c r="J27" s="228" t="s">
        <v>518</v>
      </c>
      <c r="L27" s="220"/>
      <c r="M27" s="220"/>
    </row>
    <row r="28" spans="2:13" ht="6" customHeight="1">
      <c r="B28" s="94"/>
      <c r="C28" s="94"/>
      <c r="D28" s="99"/>
      <c r="E28" s="216"/>
      <c r="F28" s="99"/>
      <c r="H28" s="220"/>
      <c r="I28" s="216"/>
      <c r="J28" s="99"/>
      <c r="L28" s="220"/>
      <c r="M28" s="220"/>
    </row>
    <row r="29" spans="2:13" s="226" customFormat="1" ht="13">
      <c r="B29" s="144" t="s">
        <v>524</v>
      </c>
      <c r="C29" s="144"/>
      <c r="D29" s="108" t="e">
        <f>SUM(D30:D32)</f>
        <v>#REF!</v>
      </c>
      <c r="E29" s="216"/>
      <c r="F29" s="108">
        <f>SUM(F30:F42)</f>
        <v>0</v>
      </c>
      <c r="H29" s="227" t="e">
        <f>$D$29-F29</f>
        <v>#REF!</v>
      </c>
      <c r="I29" s="216"/>
      <c r="J29" s="108">
        <f>SUM(J30:J32)</f>
        <v>0</v>
      </c>
      <c r="L29" s="227" t="e">
        <f>$D$29-J29</f>
        <v>#REF!</v>
      </c>
      <c r="M29" s="227"/>
    </row>
    <row r="30" spans="2:13">
      <c r="B30" s="229" t="str">
        <f>'Expenditure Breakdown'!D54</f>
        <v>Solarlog</v>
      </c>
      <c r="C30" s="94"/>
      <c r="D30" s="99">
        <f>'Expenditure Breakdown'!G54</f>
        <v>21000</v>
      </c>
      <c r="E30" s="219"/>
      <c r="F30" s="99"/>
      <c r="H30" s="220"/>
      <c r="I30" s="219"/>
      <c r="J30" s="99"/>
      <c r="L30" s="220"/>
      <c r="M30" s="220"/>
    </row>
    <row r="31" spans="2:13">
      <c r="B31" s="229" t="e">
        <f>'Expenditure Breakdown'!#REF!</f>
        <v>#REF!</v>
      </c>
      <c r="C31" s="94"/>
      <c r="D31" s="99" t="e">
        <f>'Expenditure Breakdown'!#REF!</f>
        <v>#REF!</v>
      </c>
      <c r="E31" s="219"/>
      <c r="F31" s="99"/>
      <c r="H31" s="220"/>
      <c r="I31" s="219"/>
      <c r="J31" s="99"/>
      <c r="L31" s="220"/>
      <c r="M31" s="220"/>
    </row>
    <row r="32" spans="2:13">
      <c r="B32" s="229" t="s">
        <v>521</v>
      </c>
      <c r="C32" s="94"/>
      <c r="D32" s="99"/>
      <c r="E32" s="219"/>
      <c r="F32" s="99"/>
      <c r="H32" s="220"/>
      <c r="I32" s="219"/>
      <c r="J32" s="99"/>
      <c r="L32" s="220"/>
      <c r="M32" s="220"/>
    </row>
    <row r="33" spans="2:13">
      <c r="B33" s="229"/>
      <c r="C33" s="94"/>
      <c r="D33" s="99"/>
      <c r="E33" s="219"/>
      <c r="F33" s="99"/>
      <c r="H33" s="220"/>
      <c r="I33" s="219"/>
      <c r="J33" s="99"/>
      <c r="L33" s="220"/>
      <c r="M33" s="220"/>
    </row>
    <row r="34" spans="2:13" ht="13">
      <c r="B34" s="94"/>
      <c r="C34" s="94"/>
      <c r="D34" s="99"/>
      <c r="E34" s="219"/>
      <c r="F34" s="228" t="s">
        <v>518</v>
      </c>
      <c r="H34" s="220"/>
      <c r="I34" s="216"/>
      <c r="J34" s="228" t="s">
        <v>518</v>
      </c>
      <c r="L34" s="220"/>
      <c r="M34" s="220"/>
    </row>
    <row r="35" spans="2:13" ht="13">
      <c r="B35" s="94"/>
      <c r="C35" s="94"/>
      <c r="D35" s="99"/>
      <c r="E35" s="216"/>
      <c r="F35" s="99"/>
      <c r="H35" s="220"/>
      <c r="I35" s="216"/>
      <c r="J35" s="99"/>
      <c r="L35" s="220"/>
      <c r="M35" s="220"/>
    </row>
    <row r="36" spans="2:13" s="226" customFormat="1" ht="13">
      <c r="B36" s="144" t="s">
        <v>525</v>
      </c>
      <c r="C36" s="144"/>
      <c r="D36" s="108">
        <f>SUM(D37:D41)</f>
        <v>280000</v>
      </c>
      <c r="E36" s="216"/>
      <c r="F36" s="108">
        <f>SUM(F37:F41)</f>
        <v>0</v>
      </c>
      <c r="H36" s="227" t="e">
        <f>$D$29-F36</f>
        <v>#REF!</v>
      </c>
      <c r="I36" s="216"/>
      <c r="J36" s="108">
        <f>SUM(J37:J41)</f>
        <v>0</v>
      </c>
      <c r="L36" s="227" t="e">
        <f>$D$29-J36</f>
        <v>#REF!</v>
      </c>
      <c r="M36" s="227"/>
    </row>
    <row r="37" spans="2:13">
      <c r="B37" s="229" t="s">
        <v>526</v>
      </c>
      <c r="C37" s="94"/>
      <c r="D37" s="99">
        <f>'Expenditure Breakdown'!G88</f>
        <v>280000</v>
      </c>
      <c r="E37" s="219"/>
      <c r="F37" s="99"/>
      <c r="H37" s="220"/>
      <c r="I37" s="219"/>
      <c r="J37" s="99"/>
      <c r="L37" s="220"/>
      <c r="M37" s="220"/>
    </row>
    <row r="38" spans="2:13">
      <c r="B38" s="229" t="s">
        <v>527</v>
      </c>
      <c r="C38" s="94"/>
      <c r="D38" s="99"/>
      <c r="E38" s="219"/>
      <c r="F38" s="99"/>
      <c r="H38" s="220"/>
      <c r="I38" s="219"/>
      <c r="J38" s="99"/>
      <c r="L38" s="220"/>
      <c r="M38" s="220"/>
    </row>
    <row r="39" spans="2:13">
      <c r="B39" s="229" t="s">
        <v>528</v>
      </c>
      <c r="C39" s="94"/>
      <c r="D39" s="99"/>
      <c r="E39" s="219"/>
      <c r="F39" s="99"/>
      <c r="H39" s="220"/>
      <c r="I39" s="219"/>
      <c r="J39" s="99"/>
      <c r="L39" s="220"/>
      <c r="M39" s="220"/>
    </row>
    <row r="40" spans="2:13">
      <c r="B40" s="229" t="s">
        <v>529</v>
      </c>
      <c r="C40" s="94"/>
      <c r="D40" s="99"/>
      <c r="E40" s="219"/>
      <c r="F40" s="99"/>
      <c r="H40" s="220"/>
      <c r="I40" s="219"/>
      <c r="J40" s="99"/>
      <c r="L40" s="220"/>
      <c r="M40" s="220"/>
    </row>
    <row r="41" spans="2:13">
      <c r="B41" s="229" t="s">
        <v>530</v>
      </c>
      <c r="C41" s="94"/>
      <c r="D41" s="99"/>
      <c r="E41" s="219"/>
      <c r="F41" s="99"/>
      <c r="H41" s="220"/>
      <c r="I41" s="219"/>
      <c r="J41" s="99"/>
      <c r="L41" s="220"/>
      <c r="M41" s="220"/>
    </row>
    <row r="42" spans="2:13" ht="13">
      <c r="B42" s="221"/>
      <c r="C42" s="94"/>
      <c r="D42" s="218"/>
      <c r="E42" s="219"/>
      <c r="F42" s="218"/>
      <c r="I42" s="219"/>
      <c r="J42" s="218"/>
    </row>
    <row r="43" spans="2:13" ht="13">
      <c r="B43" s="144" t="s">
        <v>531</v>
      </c>
      <c r="C43" s="144"/>
      <c r="D43" s="108" t="e">
        <f>D36+D29+D23+D17+D9</f>
        <v>#REF!</v>
      </c>
      <c r="E43" s="216"/>
      <c r="F43" s="108"/>
      <c r="H43" s="222" t="e">
        <f>SUM(H7:H42)</f>
        <v>#REF!</v>
      </c>
      <c r="I43" s="216"/>
      <c r="J43" s="108"/>
      <c r="L43" s="222" t="e">
        <f>SUM(L7:L42)</f>
        <v>#REF!</v>
      </c>
      <c r="M43" s="108"/>
    </row>
    <row r="47" spans="2:13">
      <c r="B47" s="94" t="s">
        <v>532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4"/>
  <dimension ref="B2:O42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97"/>
    <col min="2" max="2" width="22.54296875" style="97" customWidth="1"/>
    <col min="3" max="3" width="4.54296875" style="97" customWidth="1"/>
    <col min="4" max="4" width="14.54296875" style="97" bestFit="1" customWidth="1"/>
    <col min="5" max="5" width="7" style="97" customWidth="1"/>
    <col min="6" max="6" width="3.54296875" style="97" customWidth="1"/>
    <col min="7" max="7" width="18.54296875" style="97" customWidth="1"/>
    <col min="8" max="8" width="9.453125" style="97" bestFit="1" customWidth="1"/>
    <col min="9" max="9" width="2" style="97" customWidth="1"/>
    <col min="10" max="10" width="14.54296875" style="97" bestFit="1" customWidth="1"/>
    <col min="11" max="11" width="2.54296875" style="97" customWidth="1"/>
    <col min="12" max="12" width="20.453125" style="97" customWidth="1"/>
    <col min="13" max="13" width="9.453125" style="97" bestFit="1" customWidth="1"/>
    <col min="14" max="14" width="1" style="97" customWidth="1"/>
    <col min="15" max="15" width="14.453125" style="97" bestFit="1" customWidth="1"/>
    <col min="16" max="16384" width="9.453125" style="97"/>
  </cols>
  <sheetData>
    <row r="2" spans="2:15" s="215" customFormat="1" ht="18">
      <c r="B2" s="972" t="s">
        <v>533</v>
      </c>
      <c r="C2" s="972"/>
      <c r="D2" s="972"/>
      <c r="E2" s="972"/>
      <c r="F2" s="972"/>
      <c r="G2" s="972"/>
      <c r="H2" s="972"/>
      <c r="I2" s="972"/>
      <c r="J2" s="972"/>
      <c r="K2" s="972"/>
      <c r="L2" s="972"/>
      <c r="M2" s="972"/>
      <c r="N2" s="972"/>
      <c r="O2" s="972"/>
    </row>
    <row r="4" spans="2:15" ht="13">
      <c r="B4" s="144" t="s">
        <v>512</v>
      </c>
      <c r="C4" s="94"/>
      <c r="D4" s="108" t="s">
        <v>513</v>
      </c>
      <c r="E4" s="216"/>
      <c r="F4" s="216"/>
      <c r="G4" s="108" t="s">
        <v>534</v>
      </c>
      <c r="H4" s="217"/>
      <c r="J4" s="108" t="s">
        <v>515</v>
      </c>
      <c r="L4" s="108" t="s">
        <v>535</v>
      </c>
      <c r="M4" s="217"/>
      <c r="O4" s="108" t="s">
        <v>515</v>
      </c>
    </row>
    <row r="5" spans="2:15" ht="5.25" customHeight="1">
      <c r="B5" s="218"/>
      <c r="C5" s="94"/>
      <c r="D5" s="218"/>
      <c r="E5" s="219"/>
      <c r="F5" s="219"/>
      <c r="G5" s="218"/>
      <c r="H5" s="95"/>
      <c r="J5" s="218"/>
      <c r="L5" s="218"/>
      <c r="M5" s="95"/>
      <c r="O5" s="218"/>
    </row>
    <row r="6" spans="2:15" ht="13">
      <c r="B6" s="94" t="s">
        <v>536</v>
      </c>
      <c r="C6" s="94"/>
      <c r="D6" s="99">
        <f>'Expenditure Breakdown'!C107</f>
        <v>437482.5</v>
      </c>
      <c r="E6" s="216">
        <f>D6/(1000*'Project Plan'!$E$3)</f>
        <v>0.25</v>
      </c>
      <c r="F6" s="216"/>
      <c r="G6" s="99"/>
      <c r="H6" s="217">
        <f>G6/('Project Plan'!$E$3*1000)</f>
        <v>0</v>
      </c>
      <c r="J6" s="220">
        <f>D6-G6</f>
        <v>437482.5</v>
      </c>
      <c r="L6" s="99"/>
      <c r="M6" s="217">
        <f>L6/('Project Plan'!$E$3*1000)</f>
        <v>0</v>
      </c>
      <c r="O6" s="220">
        <f>D6-L6</f>
        <v>437482.5</v>
      </c>
    </row>
    <row r="7" spans="2:15" ht="13">
      <c r="B7" s="94" t="s">
        <v>537</v>
      </c>
      <c r="C7" s="94"/>
      <c r="D7" s="99">
        <f>'Expenditure Breakdown'!C109</f>
        <v>1223989.5000000002</v>
      </c>
      <c r="E7" s="216">
        <f>D7/(1000*'Project Plan'!$E$3)</f>
        <v>0.69945054945054963</v>
      </c>
      <c r="F7" s="216"/>
      <c r="G7" s="99"/>
      <c r="H7" s="217">
        <f>G7/('Project Plan'!$E$3*1000)</f>
        <v>0</v>
      </c>
      <c r="J7" s="220">
        <f t="shared" ref="J7:J12" si="0">D7-G7</f>
        <v>1223989.5000000002</v>
      </c>
      <c r="L7" s="99"/>
      <c r="M7" s="217">
        <f>L7/('Project Plan'!$E$3*1000)</f>
        <v>0</v>
      </c>
      <c r="O7" s="220">
        <f t="shared" ref="O7:O12" si="1">D7-L7</f>
        <v>1223989.5000000002</v>
      </c>
    </row>
    <row r="8" spans="2:15" ht="13">
      <c r="B8" s="94" t="s">
        <v>538</v>
      </c>
      <c r="C8" s="94"/>
      <c r="D8" s="99">
        <f>'Expenditure Breakdown'!C86</f>
        <v>637698.25799999991</v>
      </c>
      <c r="E8" s="216">
        <f>D8/(1000*'Project Plan'!$E$3)</f>
        <v>0.36441358111467309</v>
      </c>
      <c r="F8" s="216"/>
      <c r="G8" s="99"/>
      <c r="H8" s="217">
        <f>G8/('Project Plan'!$E$3*1000)</f>
        <v>0</v>
      </c>
      <c r="J8" s="220">
        <f t="shared" si="0"/>
        <v>637698.25799999991</v>
      </c>
      <c r="L8" s="99"/>
      <c r="M8" s="217">
        <f>L8/('Project Plan'!$E$3*1000)</f>
        <v>0</v>
      </c>
      <c r="O8" s="220">
        <f t="shared" si="1"/>
        <v>637698.25799999991</v>
      </c>
    </row>
    <row r="9" spans="2:15" ht="13">
      <c r="B9" s="94" t="s">
        <v>539</v>
      </c>
      <c r="C9" s="94"/>
      <c r="D9" s="99">
        <f>SUM('Expenditure Breakdown'!G41:G49)</f>
        <v>307092.00000000006</v>
      </c>
      <c r="E9" s="216">
        <f>D9/(1000*'Project Plan'!$E$3)</f>
        <v>0.17548816238363824</v>
      </c>
      <c r="F9" s="216"/>
      <c r="G9" s="99"/>
      <c r="H9" s="217">
        <f>G9/('Project Plan'!$E$3*1000)</f>
        <v>0</v>
      </c>
      <c r="J9" s="220">
        <f t="shared" si="0"/>
        <v>307092.00000000006</v>
      </c>
      <c r="L9" s="99"/>
      <c r="M9" s="217">
        <f>L9/('Project Plan'!$E$3*1000)</f>
        <v>0</v>
      </c>
      <c r="O9" s="220">
        <f t="shared" si="1"/>
        <v>307092.00000000006</v>
      </c>
    </row>
    <row r="10" spans="2:15">
      <c r="B10" s="94" t="s">
        <v>367</v>
      </c>
      <c r="C10" s="94"/>
      <c r="D10" s="99">
        <f>'Expenditure Breakdown'!G140</f>
        <v>0</v>
      </c>
      <c r="E10" s="219"/>
      <c r="F10" s="219"/>
      <c r="G10" s="99"/>
      <c r="H10" s="143"/>
      <c r="J10" s="220">
        <f t="shared" si="0"/>
        <v>0</v>
      </c>
      <c r="L10" s="99"/>
      <c r="M10" s="143"/>
      <c r="O10" s="220">
        <f t="shared" si="1"/>
        <v>0</v>
      </c>
    </row>
    <row r="11" spans="2:15">
      <c r="B11" s="94" t="s">
        <v>540</v>
      </c>
      <c r="C11" s="94"/>
      <c r="D11" s="99">
        <f>SUM('Expenditure Breakdown'!G116:G125)</f>
        <v>239766.7</v>
      </c>
      <c r="E11" s="219"/>
      <c r="F11" s="219"/>
      <c r="G11" s="99"/>
      <c r="H11" s="143"/>
      <c r="J11" s="220">
        <f t="shared" si="0"/>
        <v>239766.7</v>
      </c>
      <c r="L11" s="99"/>
      <c r="M11" s="143"/>
      <c r="O11" s="220">
        <f t="shared" si="1"/>
        <v>239766.7</v>
      </c>
    </row>
    <row r="12" spans="2:15">
      <c r="B12" s="94" t="s">
        <v>310</v>
      </c>
      <c r="C12" s="94"/>
      <c r="D12" s="99">
        <f>'Expenditure Breakdown'!G132</f>
        <v>0</v>
      </c>
      <c r="E12" s="219"/>
      <c r="F12" s="219"/>
      <c r="G12" s="99"/>
      <c r="H12" s="143"/>
      <c r="J12" s="220">
        <f t="shared" si="0"/>
        <v>0</v>
      </c>
      <c r="L12" s="99"/>
      <c r="M12" s="143"/>
      <c r="O12" s="220">
        <f t="shared" si="1"/>
        <v>0</v>
      </c>
    </row>
    <row r="13" spans="2:15">
      <c r="B13" s="94"/>
      <c r="C13" s="94"/>
      <c r="D13" s="99"/>
      <c r="E13" s="219"/>
      <c r="F13" s="219"/>
      <c r="G13" s="99"/>
      <c r="H13" s="143"/>
      <c r="J13" s="220"/>
      <c r="L13" s="99"/>
      <c r="M13" s="143"/>
      <c r="O13" s="220"/>
    </row>
    <row r="14" spans="2:15" ht="13">
      <c r="B14" s="221"/>
      <c r="C14" s="94"/>
      <c r="D14" s="218"/>
      <c r="E14" s="219"/>
      <c r="F14" s="219"/>
      <c r="G14" s="218"/>
      <c r="H14" s="95"/>
      <c r="L14" s="218"/>
      <c r="M14" s="95"/>
    </row>
    <row r="15" spans="2:15" ht="13">
      <c r="B15" s="144" t="s">
        <v>531</v>
      </c>
      <c r="C15" s="144"/>
      <c r="D15" s="108">
        <f>SUM(D6:D13)</f>
        <v>2846028.9580000006</v>
      </c>
      <c r="E15" s="216"/>
      <c r="F15" s="216"/>
      <c r="G15" s="108">
        <f>SUM(G6:G13)</f>
        <v>0</v>
      </c>
      <c r="H15" s="217"/>
      <c r="J15" s="222">
        <f>SUM(J6:J14)</f>
        <v>2846028.9580000006</v>
      </c>
      <c r="L15" s="108">
        <f>SUM(L6:L13)</f>
        <v>0</v>
      </c>
      <c r="M15" s="217"/>
      <c r="O15" s="222">
        <f>SUM(O6:O14)</f>
        <v>2846028.9580000006</v>
      </c>
    </row>
    <row r="16" spans="2:15" ht="13">
      <c r="B16" s="144"/>
      <c r="C16" s="144"/>
      <c r="D16" s="108"/>
      <c r="E16" s="216"/>
      <c r="F16" s="216"/>
      <c r="G16" s="108"/>
      <c r="H16" s="217"/>
      <c r="J16" s="108"/>
      <c r="L16" s="108"/>
      <c r="M16" s="217"/>
      <c r="O16" s="108"/>
    </row>
    <row r="17" spans="2:15" ht="13">
      <c r="B17" s="144"/>
      <c r="C17" s="144"/>
      <c r="D17" s="108"/>
      <c r="E17" s="216"/>
      <c r="F17" s="216"/>
      <c r="G17" s="108"/>
      <c r="H17" s="217"/>
      <c r="J17" s="108"/>
      <c r="L17" s="108"/>
      <c r="M17" s="217"/>
      <c r="O17" s="108"/>
    </row>
    <row r="18" spans="2:15" ht="13">
      <c r="B18" s="144" t="s">
        <v>512</v>
      </c>
      <c r="C18" s="94"/>
      <c r="D18" s="108" t="s">
        <v>513</v>
      </c>
      <c r="E18" s="216"/>
      <c r="F18" s="216"/>
      <c r="G18" s="108" t="s">
        <v>541</v>
      </c>
      <c r="H18" s="217"/>
      <c r="J18" s="108" t="s">
        <v>515</v>
      </c>
      <c r="L18" s="108" t="s">
        <v>542</v>
      </c>
      <c r="M18" s="217"/>
      <c r="O18" s="108" t="s">
        <v>515</v>
      </c>
    </row>
    <row r="19" spans="2:15" ht="7.5" customHeight="1">
      <c r="B19" s="218"/>
      <c r="C19" s="94"/>
      <c r="D19" s="218"/>
      <c r="E19" s="219"/>
      <c r="F19" s="219"/>
      <c r="G19" s="218"/>
      <c r="H19" s="95"/>
      <c r="J19" s="218"/>
      <c r="L19" s="218"/>
      <c r="M19" s="95"/>
      <c r="O19" s="218"/>
    </row>
    <row r="20" spans="2:15" ht="13">
      <c r="B20" s="94" t="s">
        <v>536</v>
      </c>
      <c r="C20" s="94"/>
      <c r="D20" s="99">
        <f>'Expenditure Breakdown'!C107</f>
        <v>437482.5</v>
      </c>
      <c r="E20" s="216">
        <f>D20/(1000*'Project Plan'!$E$3)</f>
        <v>0.25</v>
      </c>
      <c r="F20" s="216"/>
      <c r="G20" s="99"/>
      <c r="H20" s="217">
        <f>G20/(1000*'Project Plan'!$E$3)</f>
        <v>0</v>
      </c>
      <c r="J20" s="220">
        <f>D20-G20</f>
        <v>437482.5</v>
      </c>
      <c r="L20" s="99"/>
      <c r="M20" s="217">
        <f>L20/(1000*'Project Plan'!$E$3)</f>
        <v>0</v>
      </c>
      <c r="O20" s="220">
        <f>D6-L20</f>
        <v>437482.5</v>
      </c>
    </row>
    <row r="21" spans="2:15" ht="13">
      <c r="B21" s="94" t="s">
        <v>537</v>
      </c>
      <c r="C21" s="94"/>
      <c r="D21" s="99">
        <f>'Expenditure Breakdown'!C86</f>
        <v>637698.25799999991</v>
      </c>
      <c r="E21" s="216">
        <f>D21/(1000*'Project Plan'!$E$3)</f>
        <v>0.36441358111467309</v>
      </c>
      <c r="F21" s="216"/>
      <c r="G21" s="99"/>
      <c r="H21" s="217"/>
      <c r="J21" s="220">
        <f t="shared" ref="J21:J26" si="2">D21-G21</f>
        <v>637698.25799999991</v>
      </c>
      <c r="L21" s="99"/>
      <c r="M21" s="217">
        <f>L21/(1000*'Project Plan'!$E$3)</f>
        <v>0</v>
      </c>
      <c r="O21" s="220">
        <f t="shared" ref="O21:O26" si="3">D7-L21</f>
        <v>1223989.5000000002</v>
      </c>
    </row>
    <row r="22" spans="2:15" ht="13">
      <c r="B22" s="94" t="s">
        <v>538</v>
      </c>
      <c r="C22" s="94"/>
      <c r="D22" s="99">
        <f>'Expenditure Breakdown'!C109</f>
        <v>1223989.5000000002</v>
      </c>
      <c r="E22" s="216">
        <f>D22/(1000*'Project Plan'!$E$3)</f>
        <v>0.69945054945054963</v>
      </c>
      <c r="F22" s="216"/>
      <c r="G22" s="99"/>
      <c r="H22" s="217">
        <f>G22/(1000*'Project Plan'!$E$3)</f>
        <v>0</v>
      </c>
      <c r="J22" s="220">
        <f t="shared" si="2"/>
        <v>1223989.5000000002</v>
      </c>
      <c r="L22" s="99"/>
      <c r="M22" s="217">
        <f>L22/(1000*'Project Plan'!$E$3)</f>
        <v>0</v>
      </c>
      <c r="O22" s="220">
        <f t="shared" si="3"/>
        <v>637698.25799999991</v>
      </c>
    </row>
    <row r="23" spans="2:15" ht="13">
      <c r="B23" s="94" t="s">
        <v>539</v>
      </c>
      <c r="C23" s="94"/>
      <c r="D23" s="99">
        <f>SUM('Expenditure Breakdown'!G41:G49)</f>
        <v>307092.00000000006</v>
      </c>
      <c r="E23" s="216">
        <f>D23/(1000*'Project Plan'!$E$3)</f>
        <v>0.17548816238363824</v>
      </c>
      <c r="F23" s="216"/>
      <c r="G23" s="99"/>
      <c r="H23" s="217"/>
      <c r="J23" s="220">
        <f t="shared" si="2"/>
        <v>307092.00000000006</v>
      </c>
      <c r="L23" s="99"/>
      <c r="M23" s="217"/>
      <c r="O23" s="220">
        <f t="shared" si="3"/>
        <v>307092.00000000006</v>
      </c>
    </row>
    <row r="24" spans="2:15">
      <c r="B24" s="94" t="s">
        <v>367</v>
      </c>
      <c r="C24" s="94"/>
      <c r="D24" s="99">
        <f>'Expenditure Breakdown'!G140</f>
        <v>0</v>
      </c>
      <c r="E24" s="219"/>
      <c r="F24" s="219"/>
      <c r="G24" s="99"/>
      <c r="H24" s="143"/>
      <c r="J24" s="220">
        <f t="shared" si="2"/>
        <v>0</v>
      </c>
      <c r="L24" s="99"/>
      <c r="M24" s="143"/>
      <c r="O24" s="220">
        <f t="shared" si="3"/>
        <v>0</v>
      </c>
    </row>
    <row r="25" spans="2:15">
      <c r="B25" s="94" t="s">
        <v>540</v>
      </c>
      <c r="C25" s="94"/>
      <c r="D25" s="99">
        <f>SUM('Expenditure Breakdown'!G116:G125)</f>
        <v>239766.7</v>
      </c>
      <c r="E25" s="219"/>
      <c r="F25" s="219"/>
      <c r="G25" s="99"/>
      <c r="H25" s="143"/>
      <c r="J25" s="220">
        <f t="shared" si="2"/>
        <v>239766.7</v>
      </c>
      <c r="L25" s="99"/>
      <c r="M25" s="143"/>
      <c r="O25" s="220">
        <f t="shared" si="3"/>
        <v>239766.7</v>
      </c>
    </row>
    <row r="26" spans="2:15">
      <c r="B26" s="94" t="s">
        <v>310</v>
      </c>
      <c r="C26" s="94"/>
      <c r="D26" s="99">
        <f>'Expenditure Breakdown'!G132</f>
        <v>0</v>
      </c>
      <c r="E26" s="219"/>
      <c r="F26" s="219"/>
      <c r="G26" s="99"/>
      <c r="H26" s="143"/>
      <c r="J26" s="220">
        <f t="shared" si="2"/>
        <v>0</v>
      </c>
      <c r="L26" s="99"/>
      <c r="M26" s="143"/>
      <c r="O26" s="220">
        <f t="shared" si="3"/>
        <v>0</v>
      </c>
    </row>
    <row r="27" spans="2:15">
      <c r="B27" s="94"/>
      <c r="C27" s="94"/>
      <c r="D27" s="99"/>
      <c r="E27" s="219"/>
      <c r="F27" s="219"/>
      <c r="G27" s="99"/>
      <c r="H27" s="143"/>
      <c r="J27" s="220"/>
      <c r="L27" s="99"/>
      <c r="M27" s="143"/>
      <c r="O27" s="220"/>
    </row>
    <row r="28" spans="2:15" ht="13">
      <c r="B28" s="221"/>
      <c r="C28" s="94"/>
      <c r="D28" s="218"/>
      <c r="E28" s="219"/>
      <c r="F28" s="219"/>
      <c r="G28" s="218"/>
      <c r="H28" s="95"/>
      <c r="L28" s="218"/>
      <c r="M28" s="95"/>
    </row>
    <row r="29" spans="2:15" ht="13">
      <c r="B29" s="144" t="s">
        <v>531</v>
      </c>
      <c r="C29" s="144"/>
      <c r="D29" s="108">
        <f>SUM(D20:D27)</f>
        <v>2846028.9580000006</v>
      </c>
      <c r="E29" s="216"/>
      <c r="F29" s="216"/>
      <c r="G29" s="108">
        <f>SUM(G20:G27)</f>
        <v>0</v>
      </c>
      <c r="H29" s="217"/>
      <c r="J29" s="222">
        <f>SUM(J20:J28)</f>
        <v>2846028.9580000006</v>
      </c>
      <c r="L29" s="108">
        <f>SUM(L20:L27)</f>
        <v>0</v>
      </c>
      <c r="M29" s="217"/>
      <c r="O29" s="222">
        <f>SUM(O20:O28)</f>
        <v>2846028.9580000006</v>
      </c>
    </row>
    <row r="32" spans="2:15" ht="13.5" thickBot="1">
      <c r="B32" s="223" t="s">
        <v>543</v>
      </c>
      <c r="C32" s="224"/>
      <c r="D32" s="224"/>
    </row>
    <row r="33" spans="2:4" ht="13" thickTop="1"/>
    <row r="34" spans="2:4">
      <c r="B34" s="97" t="s">
        <v>513</v>
      </c>
      <c r="D34" s="220">
        <f>D15</f>
        <v>2846028.9580000006</v>
      </c>
    </row>
    <row r="35" spans="2:4">
      <c r="B35" s="220" t="str">
        <f>G4</f>
        <v>&gt;Installer Name 1&lt;</v>
      </c>
      <c r="D35" s="220">
        <f>G15</f>
        <v>0</v>
      </c>
    </row>
    <row r="36" spans="2:4">
      <c r="B36" s="220" t="str">
        <f>L4</f>
        <v>&gt;Installer Name 2&lt;</v>
      </c>
      <c r="D36" s="220">
        <f>L15</f>
        <v>0</v>
      </c>
    </row>
    <row r="37" spans="2:4">
      <c r="B37" s="220" t="str">
        <f>G18</f>
        <v>&gt;Installer Name 3&lt;</v>
      </c>
      <c r="D37" s="220">
        <f>G29</f>
        <v>0</v>
      </c>
    </row>
    <row r="38" spans="2:4">
      <c r="B38" s="220" t="str">
        <f>L18</f>
        <v>&gt;Installer Name 4&lt;</v>
      </c>
      <c r="D38" s="220">
        <f>L29</f>
        <v>0</v>
      </c>
    </row>
    <row r="39" spans="2:4" ht="13" thickBot="1">
      <c r="B39" s="225"/>
      <c r="C39" s="224"/>
      <c r="D39" s="224"/>
    </row>
    <row r="40" spans="2:4" ht="13.5" thickTop="1">
      <c r="B40" s="226" t="str">
        <f>IF(D40&lt;D34,"Saving","Loss")</f>
        <v>Loss</v>
      </c>
      <c r="C40" s="226"/>
      <c r="D40" s="227">
        <f>D34-MIN(D35:D38)</f>
        <v>2846028.9580000006</v>
      </c>
    </row>
    <row r="41" spans="2:4" ht="13">
      <c r="B41" s="226"/>
      <c r="C41" s="226"/>
      <c r="D41" s="227"/>
    </row>
    <row r="42" spans="2:4">
      <c r="B42" s="94" t="s">
        <v>544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5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54296875" bestFit="1" customWidth="1"/>
    <col min="8" max="8" width="12.453125" bestFit="1" customWidth="1"/>
    <col min="9" max="9" width="10.54296875" customWidth="1"/>
    <col min="10" max="10" width="19.453125" bestFit="1" customWidth="1"/>
  </cols>
  <sheetData>
    <row r="1" spans="2:14">
      <c r="B1" s="974" t="str">
        <f>D15</f>
        <v>Mega Park Extension</v>
      </c>
      <c r="C1" s="974"/>
      <c r="D1" s="974"/>
      <c r="E1" s="973" t="s">
        <v>545</v>
      </c>
      <c r="F1" s="973"/>
      <c r="G1" s="973"/>
      <c r="H1" s="973"/>
      <c r="I1" s="973"/>
      <c r="J1" s="973"/>
      <c r="K1" s="79"/>
      <c r="L1" s="79"/>
      <c r="M1" s="79"/>
      <c r="N1" s="79"/>
    </row>
    <row r="2" spans="2:14" ht="6.75" customHeight="1"/>
    <row r="3" spans="2:14">
      <c r="B3" s="74" t="s">
        <v>546</v>
      </c>
      <c r="C3" s="74" t="s">
        <v>547</v>
      </c>
      <c r="D3" s="74" t="s">
        <v>548</v>
      </c>
      <c r="E3" s="80" t="s">
        <v>549</v>
      </c>
      <c r="F3" s="80" t="s">
        <v>550</v>
      </c>
      <c r="G3" s="80" t="s">
        <v>120</v>
      </c>
      <c r="H3" s="80" t="s">
        <v>551</v>
      </c>
      <c r="I3" s="80" t="s">
        <v>502</v>
      </c>
      <c r="J3" s="80" t="s">
        <v>552</v>
      </c>
    </row>
    <row r="4" spans="2:14">
      <c r="B4" s="78" t="s">
        <v>553</v>
      </c>
      <c r="C4" s="76"/>
      <c r="D4" s="76"/>
      <c r="E4" s="76"/>
      <c r="F4" s="76"/>
      <c r="G4" s="78"/>
      <c r="H4" s="78"/>
      <c r="I4" s="78"/>
      <c r="J4" s="73"/>
    </row>
    <row r="5" spans="2:14">
      <c r="B5" s="78" t="s">
        <v>554</v>
      </c>
      <c r="C5" s="76"/>
      <c r="D5" s="76"/>
      <c r="E5" s="76"/>
      <c r="F5" s="76"/>
      <c r="G5" s="78"/>
      <c r="H5" s="78"/>
      <c r="I5" s="78"/>
      <c r="J5" s="73"/>
    </row>
    <row r="6" spans="2:14">
      <c r="B6" s="78" t="s">
        <v>555</v>
      </c>
      <c r="C6" s="76"/>
      <c r="D6" s="76"/>
      <c r="E6" s="76"/>
      <c r="F6" s="76"/>
      <c r="G6" s="78"/>
      <c r="H6" s="78"/>
      <c r="I6" s="78"/>
      <c r="J6" s="73"/>
    </row>
    <row r="7" spans="2:14">
      <c r="B7" s="78" t="s">
        <v>556</v>
      </c>
      <c r="C7" s="76"/>
      <c r="D7" s="76"/>
      <c r="E7" s="76"/>
      <c r="F7" s="76"/>
      <c r="G7" s="78"/>
      <c r="H7" s="78"/>
      <c r="I7" s="78"/>
      <c r="J7" s="73"/>
    </row>
    <row r="8" spans="2:14">
      <c r="B8" s="78" t="s">
        <v>557</v>
      </c>
      <c r="C8" s="77"/>
      <c r="D8" s="77"/>
      <c r="E8" s="77"/>
      <c r="F8" s="77"/>
      <c r="G8" s="77"/>
      <c r="H8" s="77"/>
      <c r="I8" s="77"/>
      <c r="J8" s="73"/>
    </row>
    <row r="9" spans="2:14">
      <c r="B9" s="78" t="s">
        <v>558</v>
      </c>
      <c r="C9" s="77"/>
      <c r="D9" s="77"/>
      <c r="E9" s="77"/>
      <c r="F9" s="77"/>
      <c r="G9" s="77"/>
      <c r="H9" s="77"/>
      <c r="I9" s="77"/>
      <c r="J9" s="73"/>
    </row>
    <row r="10" spans="2:14">
      <c r="B10" s="78" t="s">
        <v>559</v>
      </c>
      <c r="C10" s="77"/>
      <c r="D10" s="77"/>
      <c r="E10" s="77"/>
      <c r="F10" s="77"/>
      <c r="G10" s="77"/>
      <c r="H10" s="77"/>
      <c r="I10" s="77"/>
      <c r="J10" s="73"/>
    </row>
    <row r="11" spans="2:14">
      <c r="B11" s="78" t="s">
        <v>560</v>
      </c>
      <c r="C11" s="77"/>
      <c r="D11" s="77"/>
      <c r="E11" s="77"/>
      <c r="F11" s="77"/>
      <c r="G11" s="77"/>
      <c r="H11" s="77"/>
      <c r="I11" s="77"/>
      <c r="J11" s="73"/>
    </row>
    <row r="12" spans="2:14">
      <c r="B12" s="78" t="s">
        <v>561</v>
      </c>
      <c r="C12" s="77"/>
      <c r="D12" s="77"/>
      <c r="E12" s="77"/>
      <c r="F12" s="77"/>
      <c r="G12" s="77"/>
      <c r="H12" s="77"/>
      <c r="I12" s="77"/>
      <c r="J12" s="73"/>
    </row>
    <row r="13" spans="2:14">
      <c r="B13" s="78" t="s">
        <v>562</v>
      </c>
      <c r="C13" s="77"/>
      <c r="D13" s="77"/>
      <c r="E13" s="77"/>
      <c r="F13" s="77"/>
      <c r="G13" s="77"/>
      <c r="H13" s="77"/>
      <c r="I13" s="77"/>
      <c r="J13" s="73"/>
    </row>
    <row r="15" spans="2:14">
      <c r="D15" s="86" t="str" cm="1">
        <f t="array" ref="D15:G15">'Project Plan'!E2:H2</f>
        <v>Mega Park Extension</v>
      </c>
      <c r="E15" s="86">
        <v>0</v>
      </c>
      <c r="F15" s="86">
        <v>0</v>
      </c>
      <c r="G15" s="86">
        <v>0</v>
      </c>
      <c r="H15" s="86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9330D2-0DB7-4C2D-BB81-8559CB8A8519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862EB147-1732-4E0D-85F7-6675524FCC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3D6A97-FF52-49AF-8533-42C31AC2D4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Revenue Tracking</vt:lpstr>
      <vt:lpstr>Project Plan</vt:lpstr>
      <vt:lpstr>Data</vt:lpstr>
      <vt:lpstr>Expenditure Tracking</vt:lpstr>
      <vt:lpstr>Installer Payment Schedule</vt:lpstr>
      <vt:lpstr>Expenditure Breakdown</vt:lpstr>
      <vt:lpstr>Expenditure Breakdown-IDC</vt:lpstr>
      <vt:lpstr>Cashflow</vt:lpstr>
      <vt:lpstr>Finance (2)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2026-02-27T07:37:03Z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