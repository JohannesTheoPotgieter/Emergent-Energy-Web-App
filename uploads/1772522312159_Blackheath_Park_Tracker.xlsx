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4" documentId="13_ncr:1_{FE5F7524-D858-4FC3-BA72-44A20322F279}" xr6:coauthVersionLast="47" xr6:coauthVersionMax="47" xr10:uidLastSave="{98300EEB-A879-4761-ABDA-75D4C7FB8A0E}"/>
  <bookViews>
    <workbookView xWindow="28680" yWindow="-120" windowWidth="29040" windowHeight="15720" tabRatio="633" firstSheet="9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767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Q163" i="18"/>
  <c r="W158" i="18"/>
  <c r="W157" i="18"/>
  <c r="W156" i="18"/>
  <c r="N33" i="2"/>
  <c r="K33" i="2"/>
  <c r="W40" i="18"/>
  <c r="W67" i="18"/>
  <c r="W127" i="18"/>
  <c r="Q97" i="18"/>
  <c r="Q7" i="18"/>
  <c r="H6" i="5"/>
  <c r="Q33" i="18"/>
  <c r="Q32" i="18"/>
  <c r="X149" i="18"/>
  <c r="J149" i="18"/>
  <c r="C4" i="22"/>
  <c r="Q30" i="18"/>
  <c r="I23" i="2"/>
  <c r="K23" i="2"/>
  <c r="Q29" i="18"/>
  <c r="H111" i="18"/>
  <c r="H107" i="18"/>
  <c r="W115" i="18"/>
  <c r="W114" i="18"/>
  <c r="W113" i="18"/>
  <c r="W112" i="18"/>
  <c r="E37" i="2"/>
  <c r="G37" i="2"/>
  <c r="E32" i="2"/>
  <c r="G32" i="2"/>
  <c r="E30" i="2"/>
  <c r="G30" i="2"/>
  <c r="E31" i="2"/>
  <c r="G31" i="2"/>
  <c r="E24" i="2"/>
  <c r="G24" i="2"/>
  <c r="E25" i="2"/>
  <c r="E23" i="2"/>
  <c r="G23" i="2"/>
  <c r="G22" i="2"/>
  <c r="G19" i="2"/>
  <c r="G18" i="2"/>
  <c r="F18" i="2"/>
  <c r="E18" i="2"/>
  <c r="E16" i="2"/>
  <c r="G16" i="2"/>
  <c r="E15" i="2"/>
  <c r="G15" i="2"/>
  <c r="E13" i="2"/>
  <c r="G13" i="2"/>
  <c r="G12" i="2"/>
  <c r="E14" i="2"/>
  <c r="G14" i="2"/>
  <c r="T13" i="18"/>
  <c r="T28" i="18"/>
  <c r="T46" i="18"/>
  <c r="W28" i="18"/>
  <c r="W13" i="18"/>
  <c r="P13" i="5"/>
  <c r="I37" i="2"/>
  <c r="K37" i="2"/>
  <c r="K36" i="2"/>
  <c r="I32" i="2"/>
  <c r="K32" i="2"/>
  <c r="N32" i="2"/>
  <c r="K30" i="2"/>
  <c r="I24" i="2"/>
  <c r="K24" i="2"/>
  <c r="K22" i="2"/>
  <c r="N22" i="2"/>
  <c r="K19" i="2"/>
  <c r="I18" i="2"/>
  <c r="I14" i="2"/>
  <c r="K12" i="2"/>
  <c r="N12" i="2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/>
  <c r="Q28" i="18"/>
  <c r="X28" i="18"/>
  <c r="H12" i="3"/>
  <c r="H93" i="18"/>
  <c r="W122" i="18"/>
  <c r="W35" i="18"/>
  <c r="Q6" i="18"/>
  <c r="X21" i="18"/>
  <c r="H11" i="3"/>
  <c r="Z36" i="18"/>
  <c r="E28" i="18"/>
  <c r="I139" i="18"/>
  <c r="F20" i="3"/>
  <c r="J162" i="18"/>
  <c r="G149" i="18"/>
  <c r="I149" i="18"/>
  <c r="F22" i="3"/>
  <c r="X133" i="18"/>
  <c r="H19" i="3"/>
  <c r="G111" i="18"/>
  <c r="Z18" i="18"/>
  <c r="G110" i="18"/>
  <c r="G107" i="18"/>
  <c r="Z17" i="18"/>
  <c r="G106" i="18"/>
  <c r="G93" i="18"/>
  <c r="G92" i="18"/>
  <c r="Z14" i="18"/>
  <c r="G55" i="18"/>
  <c r="Z12" i="18"/>
  <c r="G46" i="18"/>
  <c r="I46" i="18"/>
  <c r="F13" i="3"/>
  <c r="G29" i="18"/>
  <c r="I28" i="18"/>
  <c r="F12" i="3"/>
  <c r="Z13" i="18"/>
  <c r="G21" i="18"/>
  <c r="I21" i="18"/>
  <c r="F11" i="3"/>
  <c r="G13" i="18"/>
  <c r="I13" i="18"/>
  <c r="F10" i="3"/>
  <c r="G6" i="18"/>
  <c r="I6" i="18"/>
  <c r="Q142" i="18"/>
  <c r="X142" i="18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/>
  <c r="X139" i="18"/>
  <c r="H20" i="3"/>
  <c r="X82" i="18"/>
  <c r="U82" i="18"/>
  <c r="X73" i="18"/>
  <c r="H15" i="3"/>
  <c r="I73" i="18"/>
  <c r="F15" i="3"/>
  <c r="I82" i="18"/>
  <c r="F16" i="3"/>
  <c r="I142" i="18"/>
  <c r="F21" i="3"/>
  <c r="M44" i="2"/>
  <c r="M40" i="2"/>
  <c r="M47" i="2"/>
  <c r="M9" i="2" s="1"/>
  <c r="M36" i="2"/>
  <c r="M11" i="2"/>
  <c r="D8" i="7"/>
  <c r="D13" i="7"/>
  <c r="O1" i="2"/>
  <c r="N1" i="2"/>
  <c r="D12" i="7"/>
  <c r="G25" i="3"/>
  <c r="D9" i="7"/>
  <c r="E9" i="7"/>
  <c r="D10" i="7"/>
  <c r="D11" i="7"/>
  <c r="J11" i="7"/>
  <c r="J29" i="9"/>
  <c r="J36" i="9"/>
  <c r="D31" i="9"/>
  <c r="D30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J20" i="7"/>
  <c r="J29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O10" i="7"/>
  <c r="O24" i="7"/>
  <c r="O8" i="7"/>
  <c r="O22" i="7"/>
  <c r="O11" i="7"/>
  <c r="O25" i="7"/>
  <c r="D23" i="7"/>
  <c r="J23" i="7"/>
  <c r="J10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O9" i="7"/>
  <c r="J9" i="7"/>
  <c r="D15" i="10" a="1"/>
  <c r="D15" i="10"/>
  <c r="B1" i="10"/>
  <c r="L15" i="7"/>
  <c r="D36" i="7"/>
  <c r="G15" i="7"/>
  <c r="D35" i="7"/>
  <c r="D4" i="5"/>
  <c r="F13" i="5"/>
  <c r="L23" i="5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/>
  <c r="J6" i="7"/>
  <c r="O20" i="7"/>
  <c r="O29" i="7"/>
  <c r="O6" i="7"/>
  <c r="E6" i="7"/>
  <c r="E20" i="7"/>
  <c r="D29" i="7"/>
  <c r="O15" i="7"/>
  <c r="J15" i="7"/>
  <c r="F29" i="9"/>
  <c r="H29" i="9"/>
  <c r="H36" i="9"/>
  <c r="H23" i="9"/>
  <c r="O61" i="18"/>
  <c r="Q65" i="18"/>
  <c r="I133" i="18"/>
  <c r="F19" i="3"/>
  <c r="C3" i="6"/>
  <c r="H21" i="18"/>
  <c r="H15" i="5"/>
  <c r="H13" i="18"/>
  <c r="H28" i="18"/>
  <c r="H29" i="18"/>
  <c r="X13" i="18"/>
  <c r="H10" i="3"/>
  <c r="F19" i="5"/>
  <c r="F17" i="5"/>
  <c r="F18" i="5"/>
  <c r="F15" i="5"/>
  <c r="F16" i="5"/>
  <c r="F14" i="5"/>
  <c r="F21" i="5"/>
  <c r="F4" i="5"/>
  <c r="C9" i="6"/>
  <c r="K14" i="2"/>
  <c r="K18" i="2"/>
  <c r="J18" i="2"/>
  <c r="M18" i="2"/>
  <c r="N19" i="2"/>
  <c r="N18" i="2" s="1"/>
  <c r="I31" i="2"/>
  <c r="N30" i="2"/>
  <c r="W46" i="18"/>
  <c r="W61" i="18"/>
  <c r="W34" i="18"/>
  <c r="O34" i="18"/>
  <c r="O93" i="18"/>
  <c r="Q98" i="18"/>
  <c r="V13" i="18"/>
  <c r="K13" i="2"/>
  <c r="M21" i="2"/>
  <c r="V21" i="18"/>
  <c r="H22" i="3"/>
  <c r="U159" i="18"/>
  <c r="K38" i="2"/>
  <c r="N38" i="2"/>
  <c r="V28" i="18"/>
  <c r="N34" i="2"/>
  <c r="K45" i="2"/>
  <c r="K44" i="2"/>
  <c r="J44" i="2"/>
  <c r="I44" i="2"/>
  <c r="U89" i="18"/>
  <c r="U85" i="18"/>
  <c r="U87" i="18"/>
  <c r="U83" i="18"/>
  <c r="Q68" i="18"/>
  <c r="O41" i="18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/>
  <c r="Z40" i="18"/>
  <c r="Z41" i="18"/>
  <c r="U160" i="18"/>
  <c r="H16" i="3"/>
  <c r="U90" i="18"/>
  <c r="U135" i="18"/>
  <c r="I53" i="2"/>
  <c r="K52" i="2"/>
  <c r="W101" i="18"/>
  <c r="D24" i="13"/>
  <c r="E24" i="13"/>
  <c r="C24" i="13"/>
  <c r="U158" i="18"/>
  <c r="U157" i="18"/>
  <c r="J15" i="3"/>
  <c r="I92" i="18"/>
  <c r="F17" i="3"/>
  <c r="J19" i="3"/>
  <c r="J11" i="3"/>
  <c r="J13" i="3"/>
  <c r="J20" i="3"/>
  <c r="Z15" i="18"/>
  <c r="U53" i="18"/>
  <c r="V46" i="18"/>
  <c r="I106" i="18"/>
  <c r="F18" i="3"/>
  <c r="X6" i="18"/>
  <c r="H9" i="3"/>
  <c r="J9" i="3"/>
  <c r="Q95" i="18"/>
  <c r="Q99" i="18"/>
  <c r="U137" i="18"/>
  <c r="J2" i="18"/>
  <c r="J4" i="18"/>
  <c r="Q126" i="18"/>
  <c r="J12" i="3"/>
  <c r="Q125" i="18"/>
  <c r="Z16" i="18"/>
  <c r="U88" i="18"/>
  <c r="I55" i="18"/>
  <c r="F14" i="3"/>
  <c r="J16" i="3"/>
  <c r="U147" i="18"/>
  <c r="H21" i="3"/>
  <c r="J21" i="3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/>
  <c r="F6" i="6"/>
  <c r="N37" i="2"/>
  <c r="I36" i="2"/>
  <c r="J36" i="2"/>
  <c r="N23" i="2"/>
  <c r="E11" i="2"/>
  <c r="X55" i="18"/>
  <c r="U57" i="18"/>
  <c r="V82" i="18"/>
  <c r="J10" i="3"/>
  <c r="V133" i="18"/>
  <c r="J22" i="3"/>
  <c r="X162" i="18"/>
  <c r="H23" i="3"/>
  <c r="J23" i="3"/>
  <c r="H14" i="3"/>
  <c r="J14" i="3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/>
  <c r="E38" i="2"/>
  <c r="I16" i="2"/>
  <c r="N14" i="2"/>
  <c r="I15" i="2"/>
  <c r="J7" i="7"/>
  <c r="O7" i="7"/>
  <c r="O21" i="7"/>
  <c r="E7" i="7"/>
  <c r="L9" i="9"/>
  <c r="L43" i="9"/>
  <c r="H9" i="9"/>
  <c r="H43" i="9"/>
  <c r="D43" i="9"/>
  <c r="L17" i="9"/>
  <c r="H17" i="9"/>
  <c r="H1" i="6"/>
  <c r="D40" i="7"/>
  <c r="B40" i="7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/>
  <c r="I2" i="18"/>
  <c r="X106" i="18"/>
  <c r="U130" i="18"/>
  <c r="F5" i="3"/>
  <c r="D5" i="5"/>
  <c r="D6" i="5"/>
  <c r="Z22" i="18"/>
  <c r="Z23" i="18"/>
  <c r="Z24" i="18"/>
  <c r="C5" i="6"/>
  <c r="F25" i="3"/>
  <c r="F11" i="2"/>
  <c r="K26" i="2"/>
  <c r="N26" i="2"/>
  <c r="G38" i="2"/>
  <c r="E36" i="2"/>
  <c r="I21" i="2"/>
  <c r="U104" i="18"/>
  <c r="U92" i="18"/>
  <c r="U102" i="18"/>
  <c r="U103" i="18"/>
  <c r="H17" i="3"/>
  <c r="J17" i="3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/>
  <c r="E21" i="2"/>
  <c r="K41" i="2"/>
  <c r="N41" i="2"/>
  <c r="K28" i="2"/>
  <c r="J28" i="2"/>
  <c r="N31" i="2"/>
  <c r="I1" i="6"/>
  <c r="G5" i="6"/>
  <c r="H5" i="6"/>
  <c r="G9" i="6"/>
  <c r="H9" i="6"/>
  <c r="K16" i="2"/>
  <c r="N16" i="2"/>
  <c r="K48" i="2"/>
  <c r="N53" i="2"/>
  <c r="D7" i="5"/>
  <c r="G6" i="5"/>
  <c r="U129" i="18"/>
  <c r="U131" i="18"/>
  <c r="H18" i="3"/>
  <c r="F21" i="2"/>
  <c r="G6" i="6"/>
  <c r="H6" i="6"/>
  <c r="K11" i="2"/>
  <c r="J11" i="2"/>
  <c r="N48" i="2"/>
  <c r="N15" i="2"/>
  <c r="J1" i="6"/>
  <c r="I5" i="6"/>
  <c r="I9" i="6"/>
  <c r="G10" i="6"/>
  <c r="V92" i="18"/>
  <c r="I42" i="2"/>
  <c r="I51" i="2"/>
  <c r="G36" i="2"/>
  <c r="F36" i="2"/>
  <c r="E34" i="2"/>
  <c r="K21" i="2"/>
  <c r="J21" i="2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/>
  <c r="J18" i="3"/>
  <c r="J5" i="3"/>
  <c r="V106" i="18"/>
  <c r="K51" i="2"/>
  <c r="N51" i="2"/>
  <c r="K42" i="2"/>
  <c r="N42" i="2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/>
  <c r="I6" i="6"/>
  <c r="W41" i="18"/>
  <c r="W128" i="18"/>
  <c r="W68" i="18"/>
  <c r="K1" i="6"/>
  <c r="J5" i="6"/>
  <c r="J9" i="6"/>
  <c r="F5" i="5"/>
  <c r="H25" i="3"/>
  <c r="J6" i="6"/>
  <c r="I10" i="6"/>
  <c r="S19" i="2"/>
  <c r="S21" i="2"/>
  <c r="S22" i="2"/>
  <c r="J9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/>
  <c r="F7" i="5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/>
  <c r="G45" i="2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/>
  <c r="E42" i="2"/>
  <c r="N1" i="6"/>
  <c r="M5" i="6"/>
  <c r="M9" i="6"/>
  <c r="M6" i="6"/>
  <c r="K47" i="2"/>
  <c r="J47" i="2"/>
  <c r="N50" i="2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/>
  <c r="N9" i="6"/>
  <c r="L10" i="6"/>
  <c r="E48" i="2"/>
  <c r="E49" i="2"/>
  <c r="G49" i="2"/>
  <c r="E51" i="2"/>
  <c r="G51" i="2"/>
  <c r="E52" i="2"/>
  <c r="G44" i="2"/>
  <c r="F44" i="2"/>
  <c r="G42" i="2"/>
  <c r="E40" i="2"/>
  <c r="E53" i="2"/>
  <c r="G53" i="2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/>
  <c r="F40" i="2"/>
  <c r="N10" i="6"/>
  <c r="O9" i="6"/>
  <c r="O5" i="6"/>
  <c r="O6" i="6"/>
  <c r="R1" i="6"/>
  <c r="Q3" i="6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/>
  <c r="F47" i="2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/>
  <c r="Q6" i="6"/>
  <c r="W43" i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/>
  <c r="R9" i="6"/>
  <c r="T1" i="6"/>
  <c r="S3" i="6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/>
  <c r="U1" i="6"/>
  <c r="T5" i="6"/>
  <c r="T6" i="6"/>
  <c r="V1" i="6"/>
  <c r="U5" i="6"/>
  <c r="U6" i="6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/>
  <c r="V6" i="6"/>
  <c r="V3" i="6"/>
  <c r="K4" i="6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/>
  <c r="W5" i="6"/>
  <c r="W6" i="6"/>
  <c r="V10" i="6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/>
  <c r="X9" i="6"/>
  <c r="L4" i="6"/>
  <c r="K7" i="6"/>
  <c r="W9" i="6"/>
  <c r="M4" i="6"/>
  <c r="L7" i="6"/>
  <c r="Z1" i="6"/>
  <c r="Y3" i="6"/>
  <c r="Y5" i="6"/>
  <c r="Y6" i="6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/>
  <c r="Z9" i="6"/>
  <c r="N4" i="6"/>
  <c r="M7" i="6"/>
  <c r="O4" i="6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/>
  <c r="AA9" i="6"/>
  <c r="Y10" i="6"/>
  <c r="Z10" i="6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/>
  <c r="AB9" i="6"/>
  <c r="P4" i="6"/>
  <c r="O7" i="6"/>
  <c r="AB5" i="6"/>
  <c r="AB6" i="6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/>
  <c r="AE5" i="6"/>
  <c r="AD6" i="6"/>
  <c r="S4" i="6"/>
  <c r="R7" i="6"/>
  <c r="AC10" i="6"/>
  <c r="T4" i="6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/>
  <c r="AG5" i="6"/>
  <c r="AG6" i="6"/>
  <c r="W4" i="6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/>
  <c r="AJ1" i="6"/>
  <c r="AI3" i="6"/>
  <c r="AI5" i="6"/>
  <c r="AI9" i="6"/>
  <c r="AG10" i="6"/>
  <c r="AI6" i="6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/>
  <c r="X4" i="6"/>
  <c r="W7" i="6"/>
  <c r="AH10" i="6"/>
  <c r="AL1" i="6"/>
  <c r="AK3" i="6"/>
  <c r="AK5" i="6"/>
  <c r="AK6" i="6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/>
  <c r="AQ19" i="1"/>
  <c r="AQ10" i="1"/>
  <c r="AQ43" i="1"/>
  <c r="AQ23" i="1"/>
  <c r="AQ7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/>
  <c r="AL5" i="6"/>
  <c r="AL6" i="6"/>
  <c r="AL9" i="6"/>
  <c r="AA4" i="6"/>
  <c r="Z7" i="6"/>
  <c r="AK10" i="6"/>
  <c r="AN1" i="6"/>
  <c r="AM3" i="6"/>
  <c r="AM5" i="6"/>
  <c r="AM6" i="6"/>
  <c r="AB4" i="6"/>
  <c r="AA7" i="6"/>
  <c r="AO1" i="6"/>
  <c r="AN3" i="6"/>
  <c r="AN5" i="6"/>
  <c r="AN6" i="6"/>
  <c r="AN9" i="6"/>
  <c r="AL10" i="6"/>
  <c r="AM9" i="6"/>
  <c r="AP1" i="6"/>
  <c r="AC4" i="6"/>
  <c r="AB7" i="6"/>
  <c r="AM10" i="6"/>
  <c r="AQ1" i="6"/>
  <c r="AP3" i="6"/>
  <c r="AP5" i="6"/>
  <c r="AP9" i="6"/>
  <c r="AD4" i="6"/>
  <c r="AC7" i="6"/>
  <c r="AO9" i="6"/>
  <c r="AO5" i="6"/>
  <c r="AO6" i="6"/>
  <c r="AO3" i="6"/>
  <c r="AN10" i="6"/>
  <c r="AO10" i="6"/>
  <c r="AE4" i="6"/>
  <c r="AD7" i="6"/>
  <c r="AP6" i="6"/>
  <c r="AR1" i="6"/>
  <c r="AQ3" i="6"/>
  <c r="AQ5" i="6"/>
  <c r="AS1" i="6"/>
  <c r="AR3" i="6"/>
  <c r="AR5" i="6"/>
  <c r="AR9" i="6"/>
  <c r="AQ6" i="6"/>
  <c r="AF4" i="6"/>
  <c r="AE7" i="6"/>
  <c r="AQ9" i="6"/>
  <c r="AP10" i="6"/>
  <c r="AT1" i="6"/>
  <c r="AS3" i="6"/>
  <c r="AS5" i="6"/>
  <c r="AS9" i="6"/>
  <c r="AQ10" i="6"/>
  <c r="AG4" i="6"/>
  <c r="AF7" i="6"/>
  <c r="AR6" i="6"/>
  <c r="AS6" i="6"/>
  <c r="AH4" i="6"/>
  <c r="AG7" i="6"/>
  <c r="AR10" i="6"/>
  <c r="AU1" i="6"/>
  <c r="AT3" i="6"/>
  <c r="AT5" i="6"/>
  <c r="AV1" i="6"/>
  <c r="AU3" i="6"/>
  <c r="AU5" i="6"/>
  <c r="AU9" i="6"/>
  <c r="AS10" i="6"/>
  <c r="AT9" i="6"/>
  <c r="AI4" i="6"/>
  <c r="AH7" i="6"/>
  <c r="AT6" i="6"/>
  <c r="AT10" i="6"/>
  <c r="AU6" i="6"/>
  <c r="AJ4" i="6"/>
  <c r="AI7" i="6"/>
  <c r="AW1" i="6"/>
  <c r="AV3" i="6"/>
  <c r="AV5" i="6"/>
  <c r="AK4" i="6"/>
  <c r="AJ7" i="6"/>
  <c r="AX1" i="6"/>
  <c r="AW3" i="6"/>
  <c r="AW5" i="6"/>
  <c r="AW9" i="6"/>
  <c r="AV6" i="6"/>
  <c r="AV9" i="6"/>
  <c r="AU10" i="6"/>
  <c r="AW6" i="6"/>
  <c r="AV10" i="6"/>
  <c r="AY1" i="6"/>
  <c r="AX3" i="6"/>
  <c r="AX5" i="6"/>
  <c r="AX9" i="6"/>
  <c r="AL4" i="6"/>
  <c r="AK7" i="6"/>
  <c r="AX6" i="6"/>
  <c r="AZ1" i="6"/>
  <c r="AY3" i="6"/>
  <c r="AY5" i="6"/>
  <c r="AY9" i="6"/>
  <c r="AW10" i="6"/>
  <c r="AM4" i="6"/>
  <c r="AL7" i="6"/>
  <c r="AY6" i="6"/>
  <c r="AN4" i="6"/>
  <c r="AM7" i="6"/>
  <c r="AX10" i="6"/>
  <c r="BA1" i="6"/>
  <c r="AZ3" i="6"/>
  <c r="AZ5" i="6"/>
  <c r="AZ6" i="6"/>
  <c r="AZ9" i="6"/>
  <c r="BB1" i="6"/>
  <c r="BA5" i="6"/>
  <c r="BA6" i="6"/>
  <c r="BA3" i="6"/>
  <c r="AY10" i="6"/>
  <c r="AO4" i="6"/>
  <c r="AN7" i="6"/>
  <c r="AP4" i="6"/>
  <c r="AO7" i="6"/>
  <c r="AZ10" i="6"/>
  <c r="BA9" i="6"/>
  <c r="BC1" i="6"/>
  <c r="BD1" i="6"/>
  <c r="BC3" i="6"/>
  <c r="BC5" i="6"/>
  <c r="BC9" i="6"/>
  <c r="BA10" i="6"/>
  <c r="BB9" i="6"/>
  <c r="BB5" i="6"/>
  <c r="BB6" i="6"/>
  <c r="AQ4" i="6"/>
  <c r="AP7" i="6"/>
  <c r="BB3" i="6"/>
  <c r="BC6" i="6"/>
  <c r="BB10" i="6"/>
  <c r="AR4" i="6"/>
  <c r="AQ7" i="6"/>
  <c r="BE1" i="6"/>
  <c r="BD3" i="6"/>
  <c r="BD5" i="6"/>
  <c r="BD6" i="6"/>
  <c r="BD9" i="6"/>
  <c r="BF1" i="6"/>
  <c r="BE3" i="6"/>
  <c r="BE5" i="6"/>
  <c r="BE6" i="6"/>
  <c r="AS4" i="6"/>
  <c r="AR7" i="6"/>
  <c r="BC10" i="6"/>
  <c r="AT4" i="6"/>
  <c r="AS7" i="6"/>
  <c r="BE9" i="6"/>
  <c r="BG1" i="6"/>
  <c r="BF3" i="6"/>
  <c r="BF5" i="6"/>
  <c r="BF6" i="6"/>
  <c r="BD10" i="6"/>
  <c r="BH1" i="6"/>
  <c r="BG3" i="6"/>
  <c r="BG5" i="6"/>
  <c r="BG6" i="6"/>
  <c r="BG9" i="6"/>
  <c r="AU4" i="6"/>
  <c r="AT7" i="6"/>
  <c r="BE10" i="6"/>
  <c r="BF9" i="6"/>
  <c r="AV4" i="6"/>
  <c r="AU7" i="6"/>
  <c r="BI1" i="6"/>
  <c r="BH3" i="6"/>
  <c r="BH5" i="6"/>
  <c r="BH6" i="6"/>
  <c r="BH9" i="6"/>
  <c r="BF10" i="6"/>
  <c r="BJ1" i="6"/>
  <c r="AW4" i="6"/>
  <c r="AV7" i="6"/>
  <c r="BG10" i="6"/>
  <c r="BK1" i="6"/>
  <c r="BJ3" i="6"/>
  <c r="BJ5" i="6"/>
  <c r="BJ9" i="6"/>
  <c r="BH10" i="6"/>
  <c r="AX4" i="6"/>
  <c r="AW7" i="6"/>
  <c r="BI9" i="6"/>
  <c r="BI5" i="6"/>
  <c r="BI6" i="6"/>
  <c r="BJ6" i="6"/>
  <c r="BI3" i="6"/>
  <c r="AY4" i="6"/>
  <c r="AX7" i="6"/>
  <c r="BI10" i="6"/>
  <c r="BL1" i="6"/>
  <c r="BK3" i="6"/>
  <c r="BK5" i="6"/>
  <c r="BK6" i="6"/>
  <c r="BM1" i="6"/>
  <c r="BL3" i="6"/>
  <c r="BL5" i="6"/>
  <c r="BL6" i="6"/>
  <c r="BL9" i="6"/>
  <c r="BJ10" i="6"/>
  <c r="BK9" i="6"/>
  <c r="AZ4" i="6"/>
  <c r="AY7" i="6"/>
  <c r="BK10" i="6"/>
  <c r="BN1" i="6"/>
  <c r="BM3" i="6"/>
  <c r="BM5" i="6"/>
  <c r="BM6" i="6"/>
  <c r="BM9" i="6"/>
  <c r="BA4" i="6"/>
  <c r="AZ7" i="6"/>
  <c r="BL10" i="6"/>
  <c r="BO1" i="6"/>
  <c r="BN3" i="6"/>
  <c r="BN5" i="6"/>
  <c r="BN6" i="6"/>
  <c r="BN9" i="6"/>
  <c r="BB4" i="6"/>
  <c r="BA7" i="6"/>
  <c r="BP1" i="6"/>
  <c r="BO3" i="6"/>
  <c r="BO5" i="6"/>
  <c r="BO6" i="6"/>
  <c r="BO9" i="6"/>
  <c r="BM10" i="6"/>
  <c r="BC4" i="6"/>
  <c r="BB7" i="6"/>
  <c r="BD4" i="6"/>
  <c r="BC7" i="6"/>
  <c r="BN10" i="6"/>
  <c r="BQ1" i="6"/>
  <c r="BP3" i="6"/>
  <c r="BP5" i="6"/>
  <c r="BP6" i="6"/>
  <c r="BP9" i="6"/>
  <c r="BR1" i="6"/>
  <c r="BQ3" i="6"/>
  <c r="BQ5" i="6"/>
  <c r="BQ6" i="6"/>
  <c r="BQ9" i="6"/>
  <c r="BO10" i="6"/>
  <c r="BE4" i="6"/>
  <c r="BD7" i="6"/>
  <c r="BF4" i="6"/>
  <c r="BE7" i="6"/>
  <c r="BP10" i="6"/>
  <c r="BS1" i="6"/>
  <c r="BR3" i="6"/>
  <c r="BR5" i="6"/>
  <c r="BR6" i="6"/>
  <c r="BR9" i="6"/>
  <c r="BG4" i="6"/>
  <c r="BF7" i="6"/>
  <c r="BT1" i="6"/>
  <c r="BQ10" i="6"/>
  <c r="BU1" i="6"/>
  <c r="BT3" i="6"/>
  <c r="BT5" i="6"/>
  <c r="BT9" i="6"/>
  <c r="BH4" i="6"/>
  <c r="BG7" i="6"/>
  <c r="BR10" i="6"/>
  <c r="BS9" i="6"/>
  <c r="BS5" i="6"/>
  <c r="BS6" i="6"/>
  <c r="BT6" i="6"/>
  <c r="BS3" i="6"/>
  <c r="BS10" i="6"/>
  <c r="BI4" i="6"/>
  <c r="BH7" i="6"/>
  <c r="BV1" i="6"/>
  <c r="BW1" i="6"/>
  <c r="BV3" i="6"/>
  <c r="BV5" i="6"/>
  <c r="BV9" i="6"/>
  <c r="BU5" i="6"/>
  <c r="BU6" i="6"/>
  <c r="BV6" i="6"/>
  <c r="BU3" i="6"/>
  <c r="BJ4" i="6"/>
  <c r="BI7" i="6"/>
  <c r="BU9" i="6"/>
  <c r="BT10" i="6"/>
  <c r="BK4" i="6"/>
  <c r="BJ7" i="6"/>
  <c r="BU10" i="6"/>
  <c r="BX1" i="6"/>
  <c r="BW9" i="6"/>
  <c r="BW3" i="6"/>
  <c r="BW5" i="6"/>
  <c r="BW6" i="6"/>
  <c r="BY1" i="6"/>
  <c r="BX3" i="6"/>
  <c r="BX5" i="6"/>
  <c r="BX6" i="6"/>
  <c r="BX9" i="6"/>
  <c r="BV10" i="6"/>
  <c r="BL4" i="6"/>
  <c r="BK7" i="6"/>
  <c r="BM4" i="6"/>
  <c r="BL7" i="6"/>
  <c r="BW10" i="6"/>
  <c r="BZ1" i="6"/>
  <c r="BY3" i="6"/>
  <c r="BY5" i="6"/>
  <c r="BY6" i="6"/>
  <c r="BX10" i="6"/>
  <c r="CA1" i="6"/>
  <c r="BZ3" i="6"/>
  <c r="BZ5" i="6"/>
  <c r="BZ6" i="6"/>
  <c r="BZ9" i="6"/>
  <c r="BN4" i="6"/>
  <c r="BM7" i="6"/>
  <c r="BY9" i="6"/>
  <c r="CB1" i="6"/>
  <c r="CA3" i="6"/>
  <c r="CA9" i="6"/>
  <c r="CA5" i="6"/>
  <c r="CA6" i="6"/>
  <c r="BY10" i="6"/>
  <c r="BO4" i="6"/>
  <c r="BN7" i="6"/>
  <c r="BZ10" i="6"/>
  <c r="CC1" i="6"/>
  <c r="CB5" i="6"/>
  <c r="CB6" i="6"/>
  <c r="CB9" i="6"/>
  <c r="BP4" i="6"/>
  <c r="BO7" i="6"/>
  <c r="CD1" i="6"/>
  <c r="CC3" i="6"/>
  <c r="CC5" i="6"/>
  <c r="CC6" i="6"/>
  <c r="CC9" i="6"/>
  <c r="CB3" i="6"/>
  <c r="CA10" i="6"/>
  <c r="BQ4" i="6"/>
  <c r="BP7" i="6"/>
  <c r="CB10" i="6"/>
  <c r="BR4" i="6"/>
  <c r="BQ7" i="6"/>
  <c r="CE1" i="6"/>
  <c r="CD3" i="6"/>
  <c r="CD5" i="6"/>
  <c r="CD6" i="6"/>
  <c r="CD9" i="6"/>
  <c r="CF1" i="6"/>
  <c r="BS4" i="6"/>
  <c r="BR7" i="6"/>
  <c r="CC10" i="6"/>
  <c r="CG1" i="6"/>
  <c r="CF3" i="6"/>
  <c r="CF5" i="6"/>
  <c r="CF9" i="6"/>
  <c r="CD10" i="6"/>
  <c r="BT4" i="6"/>
  <c r="BS7" i="6"/>
  <c r="CE9" i="6"/>
  <c r="CE5" i="6"/>
  <c r="CE6" i="6"/>
  <c r="CE3" i="6"/>
  <c r="BU4" i="6"/>
  <c r="BT7" i="6"/>
  <c r="CE10" i="6"/>
  <c r="CF6" i="6"/>
  <c r="CH1" i="6"/>
  <c r="CG3" i="6"/>
  <c r="CG5" i="6"/>
  <c r="CG9" i="6"/>
  <c r="CI1" i="6"/>
  <c r="CH3" i="6"/>
  <c r="CH5" i="6"/>
  <c r="CH9" i="6"/>
  <c r="CG6" i="6"/>
  <c r="CF10" i="6"/>
  <c r="BV4" i="6"/>
  <c r="BU7" i="6"/>
  <c r="BW4" i="6"/>
  <c r="BV7" i="6"/>
  <c r="CG10" i="6"/>
  <c r="CH6" i="6"/>
  <c r="CJ1" i="6"/>
  <c r="CI3" i="6"/>
  <c r="CI5" i="6"/>
  <c r="CI9" i="6"/>
  <c r="CK1" i="6"/>
  <c r="CJ3" i="6"/>
  <c r="CJ5" i="6"/>
  <c r="CJ9" i="6"/>
  <c r="CI6" i="6"/>
  <c r="CH10" i="6"/>
  <c r="BX4" i="6"/>
  <c r="BW7" i="6"/>
  <c r="CI10" i="6"/>
  <c r="CJ6" i="6"/>
  <c r="BY4" i="6"/>
  <c r="BX7" i="6"/>
  <c r="CL1" i="6"/>
  <c r="CK3" i="6"/>
  <c r="CK5" i="6"/>
  <c r="CM1" i="6"/>
  <c r="CL5" i="6"/>
  <c r="CL9" i="6"/>
  <c r="BZ4" i="6"/>
  <c r="BY7" i="6"/>
  <c r="CK6" i="6"/>
  <c r="CK9" i="6"/>
  <c r="CJ10" i="6"/>
  <c r="CL6" i="6"/>
  <c r="CA4" i="6"/>
  <c r="BZ7" i="6"/>
  <c r="CN1" i="6"/>
  <c r="CM3" i="6"/>
  <c r="CM5" i="6"/>
  <c r="CM9" i="6"/>
  <c r="CK10" i="6"/>
  <c r="CL3" i="6"/>
  <c r="CO1" i="6"/>
  <c r="CN3" i="6"/>
  <c r="CN5" i="6"/>
  <c r="CN9" i="6"/>
  <c r="CB4" i="6"/>
  <c r="CA7" i="6"/>
  <c r="CM6" i="6"/>
  <c r="CL10" i="6"/>
  <c r="CM10" i="6"/>
  <c r="CN6" i="6"/>
  <c r="CC4" i="6"/>
  <c r="CB7" i="6"/>
  <c r="CP1" i="6"/>
  <c r="CO3" i="6"/>
  <c r="CO5" i="6"/>
  <c r="CO9" i="6"/>
  <c r="CO6" i="6"/>
  <c r="CN10" i="6"/>
  <c r="CQ1" i="6"/>
  <c r="CP5" i="6"/>
  <c r="CP6" i="6"/>
  <c r="CD4" i="6"/>
  <c r="CC7" i="6"/>
  <c r="CR1" i="6"/>
  <c r="CQ5" i="6"/>
  <c r="CQ6" i="6"/>
  <c r="CQ9" i="6"/>
  <c r="CE4" i="6"/>
  <c r="CD7" i="6"/>
  <c r="CP9" i="6"/>
  <c r="CP3" i="6"/>
  <c r="CO10" i="6"/>
  <c r="CF4" i="6"/>
  <c r="CE7" i="6"/>
  <c r="CP10" i="6"/>
  <c r="CS1" i="6"/>
  <c r="CR3" i="6"/>
  <c r="CR5" i="6"/>
  <c r="CR6" i="6"/>
  <c r="CQ3" i="6"/>
  <c r="CQ10" i="6"/>
  <c r="CT1" i="6"/>
  <c r="CS3" i="6"/>
  <c r="CS5" i="6"/>
  <c r="CS6" i="6"/>
  <c r="CS9" i="6"/>
  <c r="CG4" i="6"/>
  <c r="CF7" i="6"/>
  <c r="CR9" i="6"/>
  <c r="CH4" i="6"/>
  <c r="CG7" i="6"/>
  <c r="CU1" i="6"/>
  <c r="CT3" i="6"/>
  <c r="CT5" i="6"/>
  <c r="CT6" i="6"/>
  <c r="CT9" i="6"/>
  <c r="CR10" i="6"/>
  <c r="CV1" i="6"/>
  <c r="CU3" i="6"/>
  <c r="CU5" i="6"/>
  <c r="CU6" i="6"/>
  <c r="CU9" i="6"/>
  <c r="CI4" i="6"/>
  <c r="CH7" i="6"/>
  <c r="CS10" i="6"/>
  <c r="CT10" i="6"/>
  <c r="CJ4" i="6"/>
  <c r="CI7" i="6"/>
  <c r="CW1" i="6"/>
  <c r="CV3" i="6"/>
  <c r="CV5" i="6"/>
  <c r="CV6" i="6"/>
  <c r="CX1" i="6"/>
  <c r="CW5" i="6"/>
  <c r="CW6" i="6"/>
  <c r="CW3" i="6"/>
  <c r="CW9" i="6"/>
  <c r="CK4" i="6"/>
  <c r="CJ7" i="6"/>
  <c r="CU10" i="6"/>
  <c r="CV9" i="6"/>
  <c r="CV10" i="6"/>
  <c r="CL4" i="6"/>
  <c r="CK7" i="6"/>
  <c r="CY1" i="6"/>
  <c r="CX3" i="6"/>
  <c r="CX5" i="6"/>
  <c r="CX6" i="6"/>
  <c r="CZ1" i="6"/>
  <c r="CY5" i="6"/>
  <c r="CY6" i="6"/>
  <c r="CY9" i="6"/>
  <c r="CM4" i="6"/>
  <c r="CL7" i="6"/>
  <c r="CX9" i="6"/>
  <c r="CW10" i="6"/>
  <c r="CN4" i="6"/>
  <c r="CM7" i="6"/>
  <c r="DA1" i="6"/>
  <c r="CZ3" i="6"/>
  <c r="CZ5" i="6"/>
  <c r="CZ6" i="6"/>
  <c r="CZ9" i="6"/>
  <c r="CY3" i="6"/>
  <c r="CX10" i="6"/>
  <c r="DB1" i="6"/>
  <c r="DA3" i="6"/>
  <c r="DA5" i="6"/>
  <c r="DA6" i="6"/>
  <c r="DA9" i="6"/>
  <c r="CY10" i="6"/>
  <c r="CO4" i="6"/>
  <c r="CN7" i="6"/>
  <c r="CZ10" i="6"/>
  <c r="DC1" i="6"/>
  <c r="DB3" i="6"/>
  <c r="DB5" i="6"/>
  <c r="DB6" i="6"/>
  <c r="DB9" i="6"/>
  <c r="CP4" i="6"/>
  <c r="CO7" i="6"/>
  <c r="DD1" i="6"/>
  <c r="DC5" i="6"/>
  <c r="DC6" i="6"/>
  <c r="DC3" i="6"/>
  <c r="DC9" i="6"/>
  <c r="DA10" i="6"/>
  <c r="CQ4" i="6"/>
  <c r="CP7" i="6"/>
  <c r="DD3" i="6"/>
  <c r="DE1" i="6"/>
  <c r="DD5" i="6"/>
  <c r="DD6" i="6"/>
  <c r="DD9" i="6"/>
  <c r="DB10" i="6"/>
  <c r="CR4" i="6"/>
  <c r="CQ7" i="6"/>
  <c r="DF1" i="6"/>
  <c r="DE3" i="6"/>
  <c r="DE5" i="6"/>
  <c r="DE6" i="6"/>
  <c r="DE9" i="6"/>
  <c r="DC10" i="6"/>
  <c r="CS4" i="6"/>
  <c r="CR7" i="6"/>
  <c r="CT4" i="6"/>
  <c r="CS7" i="6"/>
  <c r="DD10" i="6"/>
  <c r="DG1" i="6"/>
  <c r="DF3" i="6"/>
  <c r="DF5" i="6"/>
  <c r="DF6" i="6"/>
  <c r="DH1" i="6"/>
  <c r="DG3" i="6"/>
  <c r="DE10" i="6"/>
  <c r="DF9" i="6"/>
  <c r="CU4" i="6"/>
  <c r="CT7" i="6"/>
  <c r="DI1" i="6"/>
  <c r="DH5" i="6"/>
  <c r="DH9" i="6"/>
  <c r="CV4" i="6"/>
  <c r="CU7" i="6"/>
  <c r="DF10" i="6"/>
  <c r="DG9" i="6"/>
  <c r="DG5" i="6"/>
  <c r="DG6" i="6"/>
  <c r="DH6" i="6"/>
  <c r="DG10" i="6"/>
  <c r="CW4" i="6"/>
  <c r="CV7" i="6"/>
  <c r="DJ1" i="6"/>
  <c r="DI3" i="6"/>
  <c r="DH3" i="6"/>
  <c r="DK1" i="6"/>
  <c r="DJ3" i="6"/>
  <c r="DJ5" i="6"/>
  <c r="DJ9" i="6"/>
  <c r="CX4" i="6"/>
  <c r="CW7" i="6"/>
  <c r="DI9" i="6"/>
  <c r="DH10" i="6"/>
  <c r="DI5" i="6"/>
  <c r="DI6" i="6"/>
  <c r="DJ6" i="6"/>
  <c r="CY4" i="6"/>
  <c r="CX7" i="6"/>
  <c r="DI10" i="6"/>
  <c r="DL1" i="6"/>
  <c r="DK3" i="6"/>
  <c r="DK5" i="6"/>
  <c r="DK6" i="6"/>
  <c r="DM1" i="6"/>
  <c r="DL3" i="6"/>
  <c r="DL5" i="6"/>
  <c r="DL6" i="6"/>
  <c r="DL9" i="6"/>
  <c r="DJ10" i="6"/>
  <c r="CZ4" i="6"/>
  <c r="CY7" i="6"/>
  <c r="DK9" i="6"/>
  <c r="DA4" i="6"/>
  <c r="CZ7" i="6"/>
  <c r="DK10" i="6"/>
  <c r="DN1" i="6"/>
  <c r="DM9" i="6"/>
  <c r="DO1" i="6"/>
  <c r="DN3" i="6"/>
  <c r="DN5" i="6"/>
  <c r="DN9" i="6"/>
  <c r="DM5" i="6"/>
  <c r="DM6" i="6"/>
  <c r="DN6" i="6"/>
  <c r="DM3" i="6"/>
  <c r="DL10" i="6"/>
  <c r="DB4" i="6"/>
  <c r="DA7" i="6"/>
  <c r="DC4" i="6"/>
  <c r="DB7" i="6"/>
  <c r="DM10" i="6"/>
  <c r="DP1" i="6"/>
  <c r="DO3" i="6"/>
  <c r="DO5" i="6"/>
  <c r="DO6" i="6"/>
  <c r="DQ1" i="6"/>
  <c r="DP3" i="6"/>
  <c r="DP5" i="6"/>
  <c r="DP6" i="6"/>
  <c r="DN10" i="6"/>
  <c r="DD4" i="6"/>
  <c r="DC7" i="6"/>
  <c r="DO9" i="6"/>
  <c r="DE4" i="6"/>
  <c r="DD7" i="6"/>
  <c r="DO10" i="6"/>
  <c r="DP9" i="6"/>
  <c r="DR1" i="6"/>
  <c r="DQ5" i="6"/>
  <c r="DQ6" i="6"/>
  <c r="DQ9" i="6"/>
  <c r="DS1" i="6"/>
  <c r="DR5" i="6"/>
  <c r="DR6" i="6"/>
  <c r="DR3" i="6"/>
  <c r="DR9" i="6"/>
  <c r="DF4" i="6"/>
  <c r="DE7" i="6"/>
  <c r="DQ3" i="6"/>
  <c r="DP10" i="6"/>
  <c r="DG4" i="6"/>
  <c r="DF7" i="6"/>
  <c r="DQ10" i="6"/>
  <c r="DT1" i="6"/>
  <c r="DS3" i="6"/>
  <c r="DS9" i="6"/>
  <c r="DS5" i="6"/>
  <c r="DS6" i="6"/>
  <c r="DU1" i="6"/>
  <c r="DT3" i="6"/>
  <c r="DT5" i="6"/>
  <c r="DT6" i="6"/>
  <c r="DT9" i="6"/>
  <c r="DR10" i="6"/>
  <c r="DH4" i="6"/>
  <c r="DG7" i="6"/>
  <c r="DI4" i="6"/>
  <c r="DH7" i="6"/>
  <c r="DS10" i="6"/>
  <c r="DV1" i="6"/>
  <c r="DU3" i="6"/>
  <c r="DU5" i="6"/>
  <c r="DU6" i="6"/>
  <c r="DU9" i="6"/>
  <c r="DW1" i="6"/>
  <c r="DV3" i="6"/>
  <c r="DV5" i="6"/>
  <c r="DV6" i="6"/>
  <c r="DV9" i="6"/>
  <c r="DT10" i="6"/>
  <c r="DJ4" i="6"/>
  <c r="DI7" i="6"/>
  <c r="DU10" i="6"/>
  <c r="DK4" i="6"/>
  <c r="DJ7" i="6"/>
  <c r="DX1" i="6"/>
  <c r="DW3" i="6"/>
  <c r="DW5" i="6"/>
  <c r="DW6" i="6"/>
  <c r="DW9" i="6"/>
  <c r="DY1" i="6"/>
  <c r="DX3" i="6"/>
  <c r="DX5" i="6"/>
  <c r="DX6" i="6"/>
  <c r="DX9" i="6"/>
  <c r="DL4" i="6"/>
  <c r="DK7" i="6"/>
  <c r="DV10" i="6"/>
  <c r="DW10" i="6"/>
  <c r="DM4" i="6"/>
  <c r="DL7" i="6"/>
  <c r="DZ1" i="6"/>
  <c r="DY3" i="6"/>
  <c r="DY5" i="6"/>
  <c r="DY6" i="6"/>
  <c r="DY9" i="6"/>
  <c r="EA1" i="6"/>
  <c r="DZ5" i="6"/>
  <c r="DZ6" i="6"/>
  <c r="DZ9" i="6"/>
  <c r="DN4" i="6"/>
  <c r="DM7" i="6"/>
  <c r="DX10" i="6"/>
  <c r="DY10" i="6"/>
  <c r="DO4" i="6"/>
  <c r="DN7" i="6"/>
  <c r="EB1" i="6"/>
  <c r="EA3" i="6"/>
  <c r="EA5" i="6"/>
  <c r="EA6" i="6"/>
  <c r="EA9" i="6"/>
  <c r="DZ3" i="6"/>
  <c r="EC1" i="6"/>
  <c r="EB3" i="6"/>
  <c r="EB5" i="6"/>
  <c r="EB6" i="6"/>
  <c r="EB9" i="6"/>
  <c r="DP4" i="6"/>
  <c r="DO7" i="6"/>
  <c r="DZ10" i="6"/>
  <c r="EA10" i="6"/>
  <c r="DQ4" i="6"/>
  <c r="DP7" i="6"/>
  <c r="ED1" i="6"/>
  <c r="EC3" i="6"/>
  <c r="EC5" i="6"/>
  <c r="EC6" i="6"/>
  <c r="EC9" i="6"/>
  <c r="DR4" i="6"/>
  <c r="DQ7" i="6"/>
  <c r="EE1" i="6"/>
  <c r="ED3" i="6"/>
  <c r="ED5" i="6"/>
  <c r="ED6" i="6"/>
  <c r="ED9" i="6"/>
  <c r="EB10" i="6"/>
  <c r="EC10" i="6"/>
  <c r="EF1" i="6"/>
  <c r="EE3" i="6"/>
  <c r="EE5" i="6"/>
  <c r="EE6" i="6"/>
  <c r="EE9" i="6"/>
  <c r="DS4" i="6"/>
  <c r="DR7" i="6"/>
  <c r="DT4" i="6"/>
  <c r="DS7" i="6"/>
  <c r="EG1" i="6"/>
  <c r="EF3" i="6"/>
  <c r="EF5" i="6"/>
  <c r="EF6" i="6"/>
  <c r="EF9" i="6"/>
  <c r="ED10" i="6"/>
  <c r="EE10" i="6"/>
  <c r="EH1" i="6"/>
  <c r="EG3" i="6"/>
  <c r="EG5" i="6"/>
  <c r="EG6" i="6"/>
  <c r="EG9" i="6"/>
  <c r="DU4" i="6"/>
  <c r="DT7" i="6"/>
  <c r="DV4" i="6"/>
  <c r="DU7" i="6"/>
  <c r="EI1" i="6"/>
  <c r="EH9" i="6"/>
  <c r="EH5" i="6"/>
  <c r="EH6" i="6"/>
  <c r="EF10" i="6"/>
  <c r="EG10" i="6"/>
  <c r="EJ1" i="6"/>
  <c r="EI3" i="6"/>
  <c r="EI5" i="6"/>
  <c r="EI6" i="6"/>
  <c r="EI9" i="6"/>
  <c r="EH3" i="6"/>
  <c r="DW4" i="6"/>
  <c r="DV7" i="6"/>
  <c r="EK1" i="6"/>
  <c r="EJ3" i="6"/>
  <c r="EJ5" i="6"/>
  <c r="EJ6" i="6"/>
  <c r="EJ9" i="6"/>
  <c r="EH10" i="6"/>
  <c r="DX4" i="6"/>
  <c r="DW7" i="6"/>
  <c r="EI10" i="6"/>
  <c r="EL1" i="6"/>
  <c r="EK3" i="6"/>
  <c r="EK5" i="6"/>
  <c r="EK6" i="6"/>
  <c r="EK9" i="6"/>
  <c r="DY4" i="6"/>
  <c r="DX7" i="6"/>
  <c r="EM1" i="6"/>
  <c r="EL3" i="6"/>
  <c r="EL5" i="6"/>
  <c r="EL6" i="6"/>
  <c r="EL9" i="6"/>
  <c r="EJ10" i="6"/>
  <c r="DZ4" i="6"/>
  <c r="DY7" i="6"/>
  <c r="EK10" i="6"/>
  <c r="EN1" i="6"/>
  <c r="EM5" i="6"/>
  <c r="EM6" i="6"/>
  <c r="EM3" i="6"/>
  <c r="EM9" i="6"/>
  <c r="EA4" i="6"/>
  <c r="DZ7" i="6"/>
  <c r="EO1" i="6"/>
  <c r="EN3" i="6"/>
  <c r="EN5" i="6"/>
  <c r="EN6" i="6"/>
  <c r="EN9" i="6"/>
  <c r="EL10" i="6"/>
  <c r="EB4" i="6"/>
  <c r="EA7" i="6"/>
  <c r="EM10" i="6"/>
  <c r="EP1" i="6"/>
  <c r="EO3" i="6"/>
  <c r="EO5" i="6"/>
  <c r="EO6" i="6"/>
  <c r="EO9" i="6"/>
  <c r="EC4" i="6"/>
  <c r="EB7" i="6"/>
  <c r="EQ1" i="6"/>
  <c r="EP3" i="6"/>
  <c r="EP5" i="6"/>
  <c r="EP6" i="6"/>
  <c r="EP9" i="6"/>
  <c r="EN10" i="6"/>
  <c r="ED4" i="6"/>
  <c r="EC7" i="6"/>
  <c r="EO10" i="6"/>
  <c r="ER1" i="6"/>
  <c r="EQ3" i="6"/>
  <c r="EQ5" i="6"/>
  <c r="EQ6" i="6"/>
  <c r="EQ9" i="6"/>
  <c r="EE4" i="6"/>
  <c r="ED7" i="6"/>
  <c r="ES1" i="6"/>
  <c r="ER3" i="6"/>
  <c r="EP10" i="6"/>
  <c r="EF4" i="6"/>
  <c r="EE7" i="6"/>
  <c r="EQ10" i="6"/>
  <c r="ER9" i="6"/>
  <c r="ER5" i="6"/>
  <c r="ER6" i="6"/>
  <c r="ET1" i="6"/>
  <c r="ES3" i="6"/>
  <c r="ES5" i="6"/>
  <c r="EG4" i="6"/>
  <c r="EF7" i="6"/>
  <c r="EU1" i="6"/>
  <c r="ET3" i="6"/>
  <c r="ET5" i="6"/>
  <c r="ET9" i="6"/>
  <c r="ES6" i="6"/>
  <c r="EH4" i="6"/>
  <c r="EG7" i="6"/>
  <c r="ER10" i="6"/>
  <c r="ES9" i="6"/>
  <c r="ES10" i="6"/>
  <c r="EI4" i="6"/>
  <c r="EH7" i="6"/>
  <c r="ET6" i="6"/>
  <c r="EV1" i="6"/>
  <c r="EU3" i="6"/>
  <c r="EW1" i="6"/>
  <c r="EV3" i="6"/>
  <c r="EV5" i="6"/>
  <c r="EJ4" i="6"/>
  <c r="EI7" i="6"/>
  <c r="EU9" i="6"/>
  <c r="ET10" i="6"/>
  <c r="EU5" i="6"/>
  <c r="EU6" i="6"/>
  <c r="EV6" i="6"/>
  <c r="EX1" i="6"/>
  <c r="EW3" i="6"/>
  <c r="EW5" i="6"/>
  <c r="EW6" i="6"/>
  <c r="EW9" i="6"/>
  <c r="EU10" i="6"/>
  <c r="EK4" i="6"/>
  <c r="EJ7" i="6"/>
  <c r="EV9" i="6"/>
  <c r="EL4" i="6"/>
  <c r="EK7" i="6"/>
  <c r="EV10" i="6"/>
  <c r="EY1" i="6"/>
  <c r="EX3" i="6"/>
  <c r="EX5" i="6"/>
  <c r="EX6" i="6"/>
  <c r="EX9" i="6"/>
  <c r="EZ1" i="6"/>
  <c r="EY3" i="6"/>
  <c r="EY5" i="6"/>
  <c r="EY6" i="6"/>
  <c r="EY9" i="6"/>
  <c r="EW10" i="6"/>
  <c r="EM4" i="6"/>
  <c r="EL7" i="6"/>
  <c r="EX10" i="6"/>
  <c r="EN4" i="6"/>
  <c r="EM7" i="6"/>
  <c r="FA1" i="6"/>
  <c r="EZ3" i="6"/>
  <c r="EZ5" i="6"/>
  <c r="EZ6" i="6"/>
  <c r="EZ9" i="6"/>
  <c r="FA3" i="6"/>
  <c r="FB1" i="6"/>
  <c r="FA5" i="6"/>
  <c r="FA6" i="6"/>
  <c r="FA9" i="6"/>
  <c r="EO4" i="6"/>
  <c r="EN7" i="6"/>
  <c r="EY10" i="6"/>
  <c r="FC1" i="6"/>
  <c r="FB5" i="6"/>
  <c r="FB6" i="6"/>
  <c r="EZ10" i="6"/>
  <c r="EP4" i="6"/>
  <c r="EO7" i="6"/>
  <c r="FB3" i="6"/>
  <c r="EQ4" i="6"/>
  <c r="EP7" i="6"/>
  <c r="FA10" i="6"/>
  <c r="FB9" i="6"/>
  <c r="FD1" i="6"/>
  <c r="FB10" i="6"/>
  <c r="ER4" i="6"/>
  <c r="EQ7" i="6"/>
  <c r="FE1" i="6"/>
  <c r="FD5" i="6"/>
  <c r="FD3" i="6"/>
  <c r="FD9" i="6"/>
  <c r="FC9" i="6"/>
  <c r="FC5" i="6"/>
  <c r="FC6" i="6"/>
  <c r="FC3" i="6"/>
  <c r="FF1" i="6"/>
  <c r="FE3" i="6"/>
  <c r="FE5" i="6"/>
  <c r="FD6" i="6"/>
  <c r="ES4" i="6"/>
  <c r="ER7" i="6"/>
  <c r="FC10" i="6"/>
  <c r="FG1" i="6"/>
  <c r="FF3" i="6"/>
  <c r="FF9" i="6"/>
  <c r="FF5" i="6"/>
  <c r="FD10" i="6"/>
  <c r="ET4" i="6"/>
  <c r="ES7" i="6"/>
  <c r="FE9" i="6"/>
  <c r="FE6" i="6"/>
  <c r="FE10" i="6"/>
  <c r="EU4" i="6"/>
  <c r="ET7" i="6"/>
  <c r="FF6" i="6"/>
  <c r="FH1" i="6"/>
  <c r="FG5" i="6"/>
  <c r="FG9" i="6"/>
  <c r="FG6" i="6"/>
  <c r="FI1" i="6"/>
  <c r="FH5" i="6"/>
  <c r="FH9" i="6"/>
  <c r="FG3" i="6"/>
  <c r="EV4" i="6"/>
  <c r="EU7" i="6"/>
  <c r="FF10" i="6"/>
  <c r="EW4" i="6"/>
  <c r="EV7" i="6"/>
  <c r="FG10" i="6"/>
  <c r="FJ1" i="6"/>
  <c r="FI3" i="6"/>
  <c r="FI5" i="6"/>
  <c r="FI9" i="6"/>
  <c r="FH3" i="6"/>
  <c r="FH6" i="6"/>
  <c r="FH10" i="6"/>
  <c r="EX4" i="6"/>
  <c r="EW7" i="6"/>
  <c r="FK1" i="6"/>
  <c r="FJ3" i="6"/>
  <c r="FJ5" i="6"/>
  <c r="FJ9" i="6"/>
  <c r="FI6" i="6"/>
  <c r="FJ6" i="6"/>
  <c r="FL1" i="6"/>
  <c r="FK3" i="6"/>
  <c r="FK5" i="6"/>
  <c r="FK6" i="6"/>
  <c r="FK9" i="6"/>
  <c r="EY4" i="6"/>
  <c r="EX7" i="6"/>
  <c r="FI10" i="6"/>
  <c r="FJ10" i="6"/>
  <c r="EZ4" i="6"/>
  <c r="EY7" i="6"/>
  <c r="FM1" i="6"/>
  <c r="FL3" i="6"/>
  <c r="FL5" i="6"/>
  <c r="FL6" i="6"/>
  <c r="FL9" i="6"/>
  <c r="FN1" i="6"/>
  <c r="FM3" i="6"/>
  <c r="FM5" i="6"/>
  <c r="FM6" i="6"/>
  <c r="FM9" i="6"/>
  <c r="FA4" i="6"/>
  <c r="EZ7" i="6"/>
  <c r="FK10" i="6"/>
  <c r="FL10" i="6"/>
  <c r="FB4" i="6"/>
  <c r="FA7" i="6"/>
  <c r="FO1" i="6"/>
  <c r="FN3" i="6"/>
  <c r="FN5" i="6"/>
  <c r="FN6" i="6"/>
  <c r="FN9" i="6"/>
  <c r="FP1" i="6"/>
  <c r="FO3" i="6"/>
  <c r="FO5" i="6"/>
  <c r="FO6" i="6"/>
  <c r="FO9" i="6"/>
  <c r="FC4" i="6"/>
  <c r="FB7" i="6"/>
  <c r="FM10" i="6"/>
  <c r="FN10" i="6"/>
  <c r="FD4" i="6"/>
  <c r="FC7" i="6"/>
  <c r="FQ1" i="6"/>
  <c r="FP3" i="6"/>
  <c r="FP5" i="6"/>
  <c r="FP6" i="6"/>
  <c r="FP9" i="6"/>
  <c r="FR1" i="6"/>
  <c r="FQ3" i="6"/>
  <c r="FQ5" i="6"/>
  <c r="FQ6" i="6"/>
  <c r="FQ9" i="6"/>
  <c r="FE4" i="6"/>
  <c r="FD7" i="6"/>
  <c r="FO10" i="6"/>
  <c r="FP10" i="6"/>
  <c r="FF4" i="6"/>
  <c r="FE7" i="6"/>
  <c r="FS1" i="6"/>
  <c r="FR3" i="6"/>
  <c r="FR5" i="6"/>
  <c r="FR6" i="6"/>
  <c r="FR9" i="6"/>
  <c r="FQ10" i="6"/>
  <c r="FT1" i="6"/>
  <c r="FS3" i="6"/>
  <c r="FS5" i="6"/>
  <c r="FS6" i="6"/>
  <c r="FS9" i="6"/>
  <c r="FG4" i="6"/>
  <c r="FF7" i="6"/>
  <c r="FH4" i="6"/>
  <c r="FG7" i="6"/>
  <c r="FU1" i="6"/>
  <c r="FT3" i="6"/>
  <c r="FT5" i="6"/>
  <c r="FT6" i="6"/>
  <c r="FT9" i="6"/>
  <c r="FR10" i="6"/>
  <c r="FS10" i="6"/>
  <c r="FV1" i="6"/>
  <c r="FU5" i="6"/>
  <c r="FU6" i="6"/>
  <c r="FI4" i="6"/>
  <c r="FH7" i="6"/>
  <c r="FU3" i="6"/>
  <c r="FJ4" i="6"/>
  <c r="FI7" i="6"/>
  <c r="FU9" i="6"/>
  <c r="FT10" i="6"/>
  <c r="FW1" i="6"/>
  <c r="FV3" i="6"/>
  <c r="FV5" i="6"/>
  <c r="FV6" i="6"/>
  <c r="FX1" i="6"/>
  <c r="FW5" i="6"/>
  <c r="FW6" i="6"/>
  <c r="FW3" i="6"/>
  <c r="FW9" i="6"/>
  <c r="FU10" i="6"/>
  <c r="FK4" i="6"/>
  <c r="FJ7" i="6"/>
  <c r="FV9" i="6"/>
  <c r="FL4" i="6"/>
  <c r="FK7" i="6"/>
  <c r="FV10" i="6"/>
  <c r="FY1" i="6"/>
  <c r="FX3" i="6"/>
  <c r="FX5" i="6"/>
  <c r="FX6" i="6"/>
  <c r="FX9" i="6"/>
  <c r="FZ1" i="6"/>
  <c r="FY5" i="6"/>
  <c r="FY6" i="6"/>
  <c r="FY3" i="6"/>
  <c r="FY9" i="6"/>
  <c r="FW10" i="6"/>
  <c r="FM4" i="6"/>
  <c r="FL7" i="6"/>
  <c r="FN4" i="6"/>
  <c r="FM7" i="6"/>
  <c r="FX10" i="6"/>
  <c r="GA1" i="6"/>
  <c r="FZ3" i="6"/>
  <c r="FZ5" i="6"/>
  <c r="FZ6" i="6"/>
  <c r="FZ9" i="6"/>
  <c r="GB1" i="6"/>
  <c r="GA3" i="6"/>
  <c r="GA5" i="6"/>
  <c r="GA6" i="6"/>
  <c r="GA9" i="6"/>
  <c r="FY10" i="6"/>
  <c r="FO4" i="6"/>
  <c r="FN7" i="6"/>
  <c r="FP4" i="6"/>
  <c r="FO7" i="6"/>
  <c r="FZ10" i="6"/>
  <c r="GC1" i="6"/>
  <c r="GB3" i="6"/>
  <c r="GB5" i="6"/>
  <c r="GB6" i="6"/>
  <c r="GB9" i="6"/>
  <c r="GD1" i="6"/>
  <c r="GC3" i="6"/>
  <c r="GC5" i="6"/>
  <c r="GC6" i="6"/>
  <c r="GC9" i="6"/>
  <c r="GA10" i="6"/>
  <c r="FQ4" i="6"/>
  <c r="FP7" i="6"/>
  <c r="FR4" i="6"/>
  <c r="FQ7" i="6"/>
  <c r="GB10" i="6"/>
  <c r="GD3" i="6"/>
  <c r="GE1" i="6"/>
  <c r="GD5" i="6"/>
  <c r="GD6" i="6"/>
  <c r="GD9" i="6"/>
  <c r="GF1" i="6"/>
  <c r="GE3" i="6"/>
  <c r="GE5" i="6"/>
  <c r="GE6" i="6"/>
  <c r="GE9" i="6"/>
  <c r="GC10" i="6"/>
  <c r="FS4" i="6"/>
  <c r="FR7" i="6"/>
  <c r="FT4" i="6"/>
  <c r="FS7" i="6"/>
  <c r="GD10" i="6"/>
  <c r="GG1" i="6"/>
  <c r="GF3" i="6"/>
  <c r="GF5" i="6"/>
  <c r="GF6" i="6"/>
  <c r="GF9" i="6"/>
  <c r="GH1" i="6"/>
  <c r="GG3" i="6"/>
  <c r="GG5" i="6"/>
  <c r="GG6" i="6"/>
  <c r="GG9" i="6"/>
  <c r="GE10" i="6"/>
  <c r="FU4" i="6"/>
  <c r="FT7" i="6"/>
  <c r="FV4" i="6"/>
  <c r="FU7" i="6"/>
  <c r="GF10" i="6"/>
  <c r="GI1" i="6"/>
  <c r="GH3" i="6"/>
  <c r="GH5" i="6"/>
  <c r="GH6" i="6"/>
  <c r="GH9" i="6"/>
  <c r="GJ1" i="6"/>
  <c r="GI3" i="6"/>
  <c r="GI5" i="6"/>
  <c r="GI6" i="6"/>
  <c r="GI9" i="6"/>
  <c r="GG10" i="6"/>
  <c r="FW4" i="6"/>
  <c r="FV7" i="6"/>
  <c r="GH10" i="6"/>
  <c r="FX4" i="6"/>
  <c r="FW7" i="6"/>
  <c r="GK1" i="6"/>
  <c r="GJ3" i="6"/>
  <c r="GJ5" i="6"/>
  <c r="GJ6" i="6"/>
  <c r="GJ9" i="6"/>
  <c r="GL1" i="6"/>
  <c r="GK3" i="6"/>
  <c r="GK5" i="6"/>
  <c r="GK6" i="6"/>
  <c r="GK9" i="6"/>
  <c r="FY4" i="6"/>
  <c r="FX7" i="6"/>
  <c r="GI10" i="6"/>
  <c r="GJ10" i="6"/>
  <c r="FZ4" i="6"/>
  <c r="FY7" i="6"/>
  <c r="GM1" i="6"/>
  <c r="GL3" i="6"/>
  <c r="GL5" i="6"/>
  <c r="GL6" i="6"/>
  <c r="GL9" i="6"/>
  <c r="GN1" i="6"/>
  <c r="GM3" i="6"/>
  <c r="GM5" i="6"/>
  <c r="GM6" i="6"/>
  <c r="GM9" i="6"/>
  <c r="GA4" i="6"/>
  <c r="FZ7" i="6"/>
  <c r="GK10" i="6"/>
  <c r="GB4" i="6"/>
  <c r="GA7" i="6"/>
  <c r="GO1" i="6"/>
  <c r="GN3" i="6"/>
  <c r="GN5" i="6"/>
  <c r="GN6" i="6"/>
  <c r="GN9" i="6"/>
  <c r="GL10" i="6"/>
  <c r="GP1" i="6"/>
  <c r="GO3" i="6"/>
  <c r="GO5" i="6"/>
  <c r="GO6" i="6"/>
  <c r="GO9" i="6"/>
  <c r="GC4" i="6"/>
  <c r="GB7" i="6"/>
  <c r="GM10" i="6"/>
  <c r="GD4" i="6"/>
  <c r="GC7" i="6"/>
  <c r="GQ1" i="6"/>
  <c r="GP3" i="6"/>
  <c r="GP5" i="6"/>
  <c r="GP6" i="6"/>
  <c r="GP9" i="6"/>
  <c r="GN10" i="6"/>
  <c r="GR1" i="6"/>
  <c r="GQ3" i="6"/>
  <c r="GQ5" i="6"/>
  <c r="GQ6" i="6"/>
  <c r="GQ9" i="6"/>
  <c r="GE4" i="6"/>
  <c r="GD7" i="6"/>
  <c r="GO10" i="6"/>
  <c r="GS1" i="6"/>
  <c r="GR3" i="6"/>
  <c r="GR5" i="6"/>
  <c r="GR6" i="6"/>
  <c r="GR9" i="6"/>
  <c r="GF4" i="6"/>
  <c r="GE7" i="6"/>
  <c r="GP10" i="6"/>
  <c r="GG4" i="6"/>
  <c r="GF7" i="6"/>
  <c r="GT1" i="6"/>
  <c r="GS5" i="6"/>
  <c r="GS6" i="6"/>
  <c r="GS9" i="6"/>
  <c r="GQ10" i="6"/>
  <c r="GU1" i="6"/>
  <c r="GT3" i="6"/>
  <c r="GT5" i="6"/>
  <c r="GT6" i="6"/>
  <c r="GT9" i="6"/>
  <c r="GS3" i="6"/>
  <c r="GH4" i="6"/>
  <c r="GG7" i="6"/>
  <c r="GR10" i="6"/>
  <c r="GI4" i="6"/>
  <c r="GH7" i="6"/>
  <c r="GV1" i="6"/>
  <c r="GU9" i="6"/>
  <c r="GS10" i="6"/>
  <c r="GU3" i="6"/>
  <c r="GW1" i="6"/>
  <c r="GV5" i="6"/>
  <c r="GU5" i="6"/>
  <c r="GU6" i="6"/>
  <c r="GJ4" i="6"/>
  <c r="GI7" i="6"/>
  <c r="GT10" i="6"/>
  <c r="GK4" i="6"/>
  <c r="GJ7" i="6"/>
  <c r="GV6" i="6"/>
  <c r="GV9" i="6"/>
  <c r="GX1" i="6"/>
  <c r="GW3" i="6"/>
  <c r="GW5" i="6"/>
  <c r="GW9" i="6"/>
  <c r="GU10" i="6"/>
  <c r="GV3" i="6"/>
  <c r="GW6" i="6"/>
  <c r="GY1" i="6"/>
  <c r="GX5" i="6"/>
  <c r="GX3" i="6"/>
  <c r="GX9" i="6"/>
  <c r="GV10" i="6"/>
  <c r="GL4" i="6"/>
  <c r="GK7" i="6"/>
  <c r="GW10" i="6"/>
  <c r="GZ1" i="6"/>
  <c r="GY3" i="6"/>
  <c r="GY5" i="6"/>
  <c r="GY9" i="6"/>
  <c r="GM4" i="6"/>
  <c r="GL7" i="6"/>
  <c r="GX6" i="6"/>
  <c r="GN4" i="6"/>
  <c r="GM7" i="6"/>
  <c r="HA1" i="6"/>
  <c r="GZ5" i="6"/>
  <c r="GZ9" i="6"/>
  <c r="GY6" i="6"/>
  <c r="GX10" i="6"/>
  <c r="GZ6" i="6"/>
  <c r="HB1" i="6"/>
  <c r="HA3" i="6"/>
  <c r="HA5" i="6"/>
  <c r="HA9" i="6"/>
  <c r="GZ3" i="6"/>
  <c r="GO4" i="6"/>
  <c r="GN7" i="6"/>
  <c r="GY10" i="6"/>
  <c r="HC1" i="6"/>
  <c r="HB5" i="6"/>
  <c r="HB9" i="6"/>
  <c r="GP4" i="6"/>
  <c r="GO7" i="6"/>
  <c r="GZ10" i="6"/>
  <c r="HA6" i="6"/>
  <c r="HA10" i="6"/>
  <c r="GQ4" i="6"/>
  <c r="GP7" i="6"/>
  <c r="HD1" i="6"/>
  <c r="HC3" i="6"/>
  <c r="HC5" i="6"/>
  <c r="HC9" i="6"/>
  <c r="HB6" i="6"/>
  <c r="HB3" i="6"/>
  <c r="HE1" i="6"/>
  <c r="HD9" i="6"/>
  <c r="GR4" i="6"/>
  <c r="GQ7" i="6"/>
  <c r="HC6" i="6"/>
  <c r="HB10" i="6"/>
  <c r="GS4" i="6"/>
  <c r="GR7" i="6"/>
  <c r="HD5" i="6"/>
  <c r="HD6" i="6"/>
  <c r="HF1" i="6"/>
  <c r="HE3" i="6"/>
  <c r="HE5" i="6"/>
  <c r="HD3" i="6"/>
  <c r="HC10" i="6"/>
  <c r="HE6" i="6"/>
  <c r="HD10" i="6"/>
  <c r="GT4" i="6"/>
  <c r="GS7" i="6"/>
  <c r="HG1" i="6"/>
  <c r="HF3" i="6"/>
  <c r="HF5" i="6"/>
  <c r="HF6" i="6"/>
  <c r="HE9" i="6"/>
  <c r="GU4" i="6"/>
  <c r="GT7" i="6"/>
  <c r="HE10" i="6"/>
  <c r="HH1" i="6"/>
  <c r="HG5" i="6"/>
  <c r="HG6" i="6"/>
  <c r="HG3" i="6"/>
  <c r="HG9" i="6"/>
  <c r="HF9" i="6"/>
  <c r="HI1" i="6"/>
  <c r="HH3" i="6"/>
  <c r="HH5" i="6"/>
  <c r="HH6" i="6"/>
  <c r="HH9" i="6"/>
  <c r="HF10" i="6"/>
  <c r="GV4" i="6"/>
  <c r="GU7" i="6"/>
  <c r="HG10" i="6"/>
  <c r="HJ1" i="6"/>
  <c r="HI5" i="6"/>
  <c r="HI6" i="6"/>
  <c r="GW4" i="6"/>
  <c r="GV7" i="6"/>
  <c r="HK1" i="6"/>
  <c r="HJ5" i="6"/>
  <c r="HJ6" i="6"/>
  <c r="HJ9" i="6"/>
  <c r="HI9" i="6"/>
  <c r="HI3" i="6"/>
  <c r="HH10" i="6"/>
  <c r="GX4" i="6"/>
  <c r="GW7" i="6"/>
  <c r="GY4" i="6"/>
  <c r="GX7" i="6"/>
  <c r="HL1" i="6"/>
  <c r="HK3" i="6"/>
  <c r="HK9" i="6"/>
  <c r="HK5" i="6"/>
  <c r="HK6" i="6"/>
  <c r="HJ3" i="6"/>
  <c r="HI10" i="6"/>
  <c r="GZ4" i="6"/>
  <c r="GY7" i="6"/>
  <c r="HM1" i="6"/>
  <c r="HL3" i="6"/>
  <c r="HJ10" i="6"/>
  <c r="HA4" i="6"/>
  <c r="GZ7" i="6"/>
  <c r="HK10" i="6"/>
  <c r="HL9" i="6"/>
  <c r="HL5" i="6"/>
  <c r="HL6" i="6"/>
  <c r="HN1" i="6"/>
  <c r="HM3" i="6"/>
  <c r="HL10" i="6"/>
  <c r="HM9" i="6"/>
  <c r="HO1" i="6"/>
  <c r="HN3" i="6"/>
  <c r="HN5" i="6"/>
  <c r="HM5" i="6"/>
  <c r="HM6" i="6"/>
  <c r="HN6" i="6"/>
  <c r="HB4" i="6"/>
  <c r="HA7" i="6"/>
  <c r="HP1" i="6"/>
  <c r="HO3" i="6"/>
  <c r="HO5" i="6"/>
  <c r="HO6" i="6"/>
  <c r="HO9" i="6"/>
  <c r="HC4" i="6"/>
  <c r="HB7" i="6"/>
  <c r="HM10" i="6"/>
  <c r="HN9" i="6"/>
  <c r="HD4" i="6"/>
  <c r="HC7" i="6"/>
  <c r="HQ1" i="6"/>
  <c r="HP3" i="6"/>
  <c r="HP5" i="6"/>
  <c r="HP6" i="6"/>
  <c r="HP9" i="6"/>
  <c r="HN10" i="6"/>
  <c r="HR1" i="6"/>
  <c r="HQ3" i="6"/>
  <c r="HQ5" i="6"/>
  <c r="HQ6" i="6"/>
  <c r="HQ9" i="6"/>
  <c r="HE4" i="6"/>
  <c r="HD7" i="6"/>
  <c r="HO10" i="6"/>
  <c r="HF4" i="6"/>
  <c r="HE7" i="6"/>
  <c r="HS1" i="6"/>
  <c r="HR3" i="6"/>
  <c r="HR5" i="6"/>
  <c r="HR6" i="6"/>
  <c r="HR9" i="6"/>
  <c r="HP10" i="6"/>
  <c r="HT1" i="6"/>
  <c r="HS3" i="6"/>
  <c r="HS5" i="6"/>
  <c r="HS6" i="6"/>
  <c r="HS9" i="6"/>
  <c r="HG4" i="6"/>
  <c r="HF7" i="6"/>
  <c r="HQ10" i="6"/>
  <c r="HH4" i="6"/>
  <c r="HG7" i="6"/>
  <c r="HU1" i="6"/>
  <c r="HT3" i="6"/>
  <c r="HT5" i="6"/>
  <c r="HT6" i="6"/>
  <c r="HT9" i="6"/>
  <c r="HR10" i="6"/>
  <c r="HV1" i="6"/>
  <c r="HI4" i="6"/>
  <c r="HH7" i="6"/>
  <c r="HS10" i="6"/>
  <c r="HW1" i="6"/>
  <c r="HV3" i="6"/>
  <c r="HT10" i="6"/>
  <c r="HJ4" i="6"/>
  <c r="HI7" i="6"/>
  <c r="HU9" i="6"/>
  <c r="HU5" i="6"/>
  <c r="HU6" i="6"/>
  <c r="HU3" i="6"/>
  <c r="HK4" i="6"/>
  <c r="HJ7" i="6"/>
  <c r="HU10" i="6"/>
  <c r="HV9" i="6"/>
  <c r="HV5" i="6"/>
  <c r="HV6" i="6"/>
  <c r="HX1" i="6"/>
  <c r="HW3" i="6"/>
  <c r="HW5" i="6"/>
  <c r="HW9" i="6"/>
  <c r="HW6" i="6"/>
  <c r="HV10" i="6"/>
  <c r="HL4" i="6"/>
  <c r="HK7" i="6"/>
  <c r="HY1" i="6"/>
  <c r="HX3" i="6"/>
  <c r="HX5" i="6"/>
  <c r="HX6" i="6"/>
  <c r="HX9" i="6"/>
  <c r="HZ1" i="6"/>
  <c r="HY5" i="6"/>
  <c r="HY6" i="6"/>
  <c r="HY9" i="6"/>
  <c r="HM4" i="6"/>
  <c r="HL7" i="6"/>
  <c r="HW10" i="6"/>
  <c r="HN4" i="6"/>
  <c r="HM7" i="6"/>
  <c r="IA1" i="6"/>
  <c r="HZ3" i="6"/>
  <c r="HZ5" i="6"/>
  <c r="HZ6" i="6"/>
  <c r="HZ9" i="6"/>
  <c r="HX10" i="6"/>
  <c r="HY3" i="6"/>
  <c r="HY10" i="6"/>
  <c r="IB1" i="6"/>
  <c r="IA5" i="6"/>
  <c r="IA6" i="6"/>
  <c r="IA3" i="6"/>
  <c r="HO4" i="6"/>
  <c r="HN7" i="6"/>
  <c r="IC1" i="6"/>
  <c r="IB5" i="6"/>
  <c r="IB6" i="6"/>
  <c r="IB9" i="6"/>
  <c r="HZ10" i="6"/>
  <c r="IA9" i="6"/>
  <c r="HP4" i="6"/>
  <c r="HO7" i="6"/>
  <c r="ID1" i="6"/>
  <c r="IC3" i="6"/>
  <c r="IC5" i="6"/>
  <c r="IC6" i="6"/>
  <c r="IC9" i="6"/>
  <c r="HQ4" i="6"/>
  <c r="HP7" i="6"/>
  <c r="IB3" i="6"/>
  <c r="IA10" i="6"/>
  <c r="HR4" i="6"/>
  <c r="HQ7" i="6"/>
  <c r="IE1" i="6"/>
  <c r="ID5" i="6"/>
  <c r="ID6" i="6"/>
  <c r="ID9" i="6"/>
  <c r="IB10" i="6"/>
  <c r="IF1" i="6"/>
  <c r="IE3" i="6"/>
  <c r="IE5" i="6"/>
  <c r="IE6" i="6"/>
  <c r="IE9" i="6"/>
  <c r="ID3" i="6"/>
  <c r="HS4" i="6"/>
  <c r="HR7" i="6"/>
  <c r="IC10" i="6"/>
  <c r="HT4" i="6"/>
  <c r="HS7" i="6"/>
  <c r="IG1" i="6"/>
  <c r="IF3" i="6"/>
  <c r="IF5" i="6"/>
  <c r="IF6" i="6"/>
  <c r="IF9" i="6"/>
  <c r="ID10" i="6"/>
  <c r="IH1" i="6"/>
  <c r="IG3" i="6"/>
  <c r="IG5" i="6"/>
  <c r="IG6" i="6"/>
  <c r="IG9" i="6"/>
  <c r="HU4" i="6"/>
  <c r="HT7" i="6"/>
  <c r="IE10" i="6"/>
  <c r="HV4" i="6"/>
  <c r="HU7" i="6"/>
  <c r="II1" i="6"/>
  <c r="IH9" i="6"/>
  <c r="IH5" i="6"/>
  <c r="IH6" i="6"/>
  <c r="IF10" i="6"/>
  <c r="IJ1" i="6"/>
  <c r="II3" i="6"/>
  <c r="IH3" i="6"/>
  <c r="HW4" i="6"/>
  <c r="HV7" i="6"/>
  <c r="IG10" i="6"/>
  <c r="IK1" i="6"/>
  <c r="IJ5" i="6"/>
  <c r="IJ3" i="6"/>
  <c r="IJ9" i="6"/>
  <c r="IH10" i="6"/>
  <c r="HX4" i="6"/>
  <c r="HW7" i="6"/>
  <c r="II9" i="6"/>
  <c r="II5" i="6"/>
  <c r="II6" i="6"/>
  <c r="IJ6" i="6"/>
  <c r="HY4" i="6"/>
  <c r="HX7" i="6"/>
  <c r="II10" i="6"/>
  <c r="IL1" i="6"/>
  <c r="IK5" i="6"/>
  <c r="IK6" i="6"/>
  <c r="IM1" i="6"/>
  <c r="IL5" i="6"/>
  <c r="IL6" i="6"/>
  <c r="IL3" i="6"/>
  <c r="IK3" i="6"/>
  <c r="IJ10" i="6"/>
  <c r="HZ4" i="6"/>
  <c r="HY7" i="6"/>
  <c r="IK9" i="6"/>
  <c r="IA4" i="6"/>
  <c r="HZ7" i="6"/>
  <c r="IK10" i="6"/>
  <c r="IL9" i="6"/>
  <c r="IN1" i="6"/>
  <c r="IM3" i="6"/>
  <c r="IM5" i="6"/>
  <c r="IM6" i="6"/>
  <c r="IO1" i="6"/>
  <c r="IN3" i="6"/>
  <c r="IN5" i="6"/>
  <c r="IN6" i="6"/>
  <c r="IN9" i="6"/>
  <c r="IL10" i="6"/>
  <c r="IM9" i="6"/>
  <c r="IB4" i="6"/>
  <c r="IA7" i="6"/>
  <c r="IC4" i="6"/>
  <c r="IB7" i="6"/>
  <c r="IM10" i="6"/>
  <c r="IP1" i="6"/>
  <c r="IO3" i="6"/>
  <c r="IO9" i="6"/>
  <c r="IO5" i="6"/>
  <c r="IO6" i="6"/>
  <c r="IN10" i="6"/>
  <c r="ID4" i="6"/>
  <c r="IC7" i="6"/>
  <c r="IQ1" i="6"/>
  <c r="IO10" i="6"/>
  <c r="IR1" i="6"/>
  <c r="IQ3" i="6"/>
  <c r="IQ5" i="6"/>
  <c r="IQ9" i="6"/>
  <c r="IP5" i="6"/>
  <c r="IP6" i="6"/>
  <c r="IQ6" i="6"/>
  <c r="IP3" i="6"/>
  <c r="IE4" i="6"/>
  <c r="ID7" i="6"/>
  <c r="IP9" i="6"/>
  <c r="IS1" i="6"/>
  <c r="IR3" i="6"/>
  <c r="IR5" i="6"/>
  <c r="IR6" i="6"/>
  <c r="IR9" i="6"/>
  <c r="IP10" i="6"/>
  <c r="IF4" i="6"/>
  <c r="IE7" i="6"/>
  <c r="IQ10" i="6"/>
  <c r="IT1" i="6"/>
  <c r="IS3" i="6"/>
  <c r="IS5" i="6"/>
  <c r="IS6" i="6"/>
  <c r="IS9" i="6"/>
  <c r="IG4" i="6"/>
  <c r="IF7" i="6"/>
  <c r="IU1" i="6"/>
  <c r="IT3" i="6"/>
  <c r="IT5" i="6"/>
  <c r="IT6" i="6"/>
  <c r="IT9" i="6"/>
  <c r="IR10" i="6"/>
  <c r="IH4" i="6"/>
  <c r="IG7" i="6"/>
  <c r="IS10" i="6"/>
  <c r="IV1" i="6"/>
  <c r="IU3" i="6"/>
  <c r="IU5" i="6"/>
  <c r="IU6" i="6"/>
  <c r="IU9" i="6"/>
  <c r="II4" i="6"/>
  <c r="IH7" i="6"/>
  <c r="IW1" i="6"/>
  <c r="IV3" i="6"/>
  <c r="IV9" i="6"/>
  <c r="IT10" i="6"/>
  <c r="IJ4" i="6"/>
  <c r="II7" i="6"/>
  <c r="IU10" i="6"/>
  <c r="IX1" i="6"/>
  <c r="IW3" i="6"/>
  <c r="IW5" i="6"/>
  <c r="IW9" i="6"/>
  <c r="IV5" i="6"/>
  <c r="IV6" i="6"/>
  <c r="IK4" i="6"/>
  <c r="IJ7" i="6"/>
  <c r="IW6" i="6"/>
  <c r="IY1" i="6"/>
  <c r="IX3" i="6"/>
  <c r="IX5" i="6"/>
  <c r="IX9" i="6"/>
  <c r="IV10" i="6"/>
  <c r="IL4" i="6"/>
  <c r="IK7" i="6"/>
  <c r="IW10" i="6"/>
  <c r="IZ1" i="6"/>
  <c r="IY3" i="6"/>
  <c r="IY5" i="6"/>
  <c r="IY9" i="6"/>
  <c r="IX6" i="6"/>
  <c r="IM4" i="6"/>
  <c r="IL7" i="6"/>
  <c r="IY6" i="6"/>
  <c r="JA1" i="6"/>
  <c r="IZ5" i="6"/>
  <c r="IZ9" i="6"/>
  <c r="IX10" i="6"/>
  <c r="IN4" i="6"/>
  <c r="IM7" i="6"/>
  <c r="IY10" i="6"/>
  <c r="JB1" i="6"/>
  <c r="IZ6" i="6"/>
  <c r="IZ3" i="6"/>
  <c r="IO4" i="6"/>
  <c r="IN7" i="6"/>
  <c r="JC1" i="6"/>
  <c r="JB3" i="6"/>
  <c r="JB5" i="6"/>
  <c r="JB9" i="6"/>
  <c r="IP4" i="6"/>
  <c r="IO7" i="6"/>
  <c r="IZ10" i="6"/>
  <c r="JA9" i="6"/>
  <c r="JA5" i="6"/>
  <c r="JA6" i="6"/>
  <c r="JB6" i="6"/>
  <c r="JA3" i="6"/>
  <c r="JA10" i="6"/>
  <c r="IQ4" i="6"/>
  <c r="IP7" i="6"/>
  <c r="JD1" i="6"/>
  <c r="JC3" i="6"/>
  <c r="JC5" i="6"/>
  <c r="JC6" i="6"/>
  <c r="IR4" i="6"/>
  <c r="IQ7" i="6"/>
  <c r="JE1" i="6"/>
  <c r="JB10" i="6"/>
  <c r="JC9" i="6"/>
  <c r="JF1" i="6"/>
  <c r="JE3" i="6"/>
  <c r="JE5" i="6"/>
  <c r="JE9" i="6"/>
  <c r="JC10" i="6"/>
  <c r="JD9" i="6"/>
  <c r="JD5" i="6"/>
  <c r="JD6" i="6"/>
  <c r="JD3" i="6"/>
  <c r="IS4" i="6"/>
  <c r="IR7" i="6"/>
  <c r="JD10" i="6"/>
  <c r="IT4" i="6"/>
  <c r="IS7" i="6"/>
  <c r="JE6" i="6"/>
  <c r="JG1" i="6"/>
  <c r="JF5" i="6"/>
  <c r="JH1" i="6"/>
  <c r="JG3" i="6"/>
  <c r="JG5" i="6"/>
  <c r="JG9" i="6"/>
  <c r="JF3" i="6"/>
  <c r="JF6" i="6"/>
  <c r="IU4" i="6"/>
  <c r="IT7" i="6"/>
  <c r="JF9" i="6"/>
  <c r="JE10" i="6"/>
  <c r="JG6" i="6"/>
  <c r="IV4" i="6"/>
  <c r="IU7" i="6"/>
  <c r="JF10" i="6"/>
  <c r="JI1" i="6"/>
  <c r="JH3" i="6"/>
  <c r="JH5" i="6"/>
  <c r="JH6" i="6"/>
  <c r="JJ1" i="6"/>
  <c r="JI3" i="6"/>
  <c r="JI5" i="6"/>
  <c r="JI6" i="6"/>
  <c r="JI9" i="6"/>
  <c r="JG10" i="6"/>
  <c r="JH9" i="6"/>
  <c r="IW4" i="6"/>
  <c r="IV7" i="6"/>
  <c r="JH10" i="6"/>
  <c r="JK1" i="6"/>
  <c r="JJ3" i="6"/>
  <c r="JJ5" i="6"/>
  <c r="JJ6" i="6"/>
  <c r="JJ9" i="6"/>
  <c r="IX4" i="6"/>
  <c r="IW7" i="6"/>
  <c r="JL1" i="6"/>
  <c r="JK5" i="6"/>
  <c r="JK6" i="6"/>
  <c r="JK3" i="6"/>
  <c r="JI10" i="6"/>
  <c r="IY4" i="6"/>
  <c r="IX7" i="6"/>
  <c r="JJ10" i="6"/>
  <c r="JK9" i="6"/>
  <c r="JM1" i="6"/>
  <c r="JL5" i="6"/>
  <c r="JL6" i="6"/>
  <c r="JL3" i="6"/>
  <c r="IZ4" i="6"/>
  <c r="IY7" i="6"/>
  <c r="JN1" i="6"/>
  <c r="JM3" i="6"/>
  <c r="JM5" i="6"/>
  <c r="JM6" i="6"/>
  <c r="JM9" i="6"/>
  <c r="JK10" i="6"/>
  <c r="JA4" i="6"/>
  <c r="IZ7" i="6"/>
  <c r="JL9" i="6"/>
  <c r="JB4" i="6"/>
  <c r="JA7" i="6"/>
  <c r="JL10" i="6"/>
  <c r="JO1" i="6"/>
  <c r="JN3" i="6"/>
  <c r="JN5" i="6"/>
  <c r="JN6" i="6"/>
  <c r="JN9" i="6"/>
  <c r="JP1" i="6"/>
  <c r="JO3" i="6"/>
  <c r="JM10" i="6"/>
  <c r="JC4" i="6"/>
  <c r="JB7" i="6"/>
  <c r="JD4" i="6"/>
  <c r="JC7" i="6"/>
  <c r="JN10" i="6"/>
  <c r="JO9" i="6"/>
  <c r="JO5" i="6"/>
  <c r="JO6" i="6"/>
  <c r="JQ1" i="6"/>
  <c r="JP5" i="6"/>
  <c r="JR1" i="6"/>
  <c r="JQ5" i="6"/>
  <c r="JQ9" i="6"/>
  <c r="JP3" i="6"/>
  <c r="JP6" i="6"/>
  <c r="JO10" i="6"/>
  <c r="JP9" i="6"/>
  <c r="JE4" i="6"/>
  <c r="JD7" i="6"/>
  <c r="JF4" i="6"/>
  <c r="JE7" i="6"/>
  <c r="JP10" i="6"/>
  <c r="JQ6" i="6"/>
  <c r="JS1" i="6"/>
  <c r="JR3" i="6"/>
  <c r="JR5" i="6"/>
  <c r="JQ3" i="6"/>
  <c r="JT1" i="6"/>
  <c r="JS5" i="6"/>
  <c r="JS9" i="6"/>
  <c r="JR6" i="6"/>
  <c r="JQ10" i="6"/>
  <c r="JG4" i="6"/>
  <c r="JF7" i="6"/>
  <c r="JR9" i="6"/>
  <c r="JH4" i="6"/>
  <c r="JG7" i="6"/>
  <c r="JU1" i="6"/>
  <c r="JT3" i="6"/>
  <c r="JT5" i="6"/>
  <c r="JT9" i="6"/>
  <c r="JR10" i="6"/>
  <c r="JS6" i="6"/>
  <c r="JS3" i="6"/>
  <c r="JS10" i="6"/>
  <c r="JV1" i="6"/>
  <c r="JU3" i="6"/>
  <c r="JU5" i="6"/>
  <c r="JU9" i="6"/>
  <c r="JT6" i="6"/>
  <c r="JI4" i="6"/>
  <c r="JH7" i="6"/>
  <c r="JU6" i="6"/>
  <c r="JW1" i="6"/>
  <c r="JV3" i="6"/>
  <c r="JV5" i="6"/>
  <c r="JV6" i="6"/>
  <c r="JV9" i="6"/>
  <c r="JJ4" i="6"/>
  <c r="JI7" i="6"/>
  <c r="JT10" i="6"/>
  <c r="JK4" i="6"/>
  <c r="JJ7" i="6"/>
  <c r="JX1" i="6"/>
  <c r="JW3" i="6"/>
  <c r="JW5" i="6"/>
  <c r="JW6" i="6"/>
  <c r="JW9" i="6"/>
  <c r="JU10" i="6"/>
  <c r="JY1" i="6"/>
  <c r="JX3" i="6"/>
  <c r="JX5" i="6"/>
  <c r="JX6" i="6"/>
  <c r="JX9" i="6"/>
  <c r="JL4" i="6"/>
  <c r="JK7" i="6"/>
  <c r="JV10" i="6"/>
  <c r="JM4" i="6"/>
  <c r="JL7" i="6"/>
  <c r="JZ1" i="6"/>
  <c r="JY9" i="6"/>
  <c r="JY5" i="6"/>
  <c r="JY6" i="6"/>
  <c r="JW10" i="6"/>
  <c r="KA1" i="6"/>
  <c r="JZ3" i="6"/>
  <c r="JZ9" i="6"/>
  <c r="JZ5" i="6"/>
  <c r="JZ6" i="6"/>
  <c r="JY3" i="6"/>
  <c r="JN4" i="6"/>
  <c r="JM7" i="6"/>
  <c r="JX10" i="6"/>
  <c r="JO4" i="6"/>
  <c r="JN7" i="6"/>
  <c r="JY10" i="6"/>
  <c r="KB1" i="6"/>
  <c r="KA3" i="6"/>
  <c r="KA5" i="6"/>
  <c r="KA6" i="6"/>
  <c r="KA9" i="6"/>
  <c r="KC1" i="6"/>
  <c r="KB5" i="6"/>
  <c r="KB6" i="6"/>
  <c r="KB9" i="6"/>
  <c r="JZ10" i="6"/>
  <c r="JP4" i="6"/>
  <c r="JO7" i="6"/>
  <c r="JQ4" i="6"/>
  <c r="JP7" i="6"/>
  <c r="KD1" i="6"/>
  <c r="KC5" i="6"/>
  <c r="KC6" i="6"/>
  <c r="KC9" i="6"/>
  <c r="KB3" i="6"/>
  <c r="KA10" i="6"/>
  <c r="KB10" i="6"/>
  <c r="KE1" i="6"/>
  <c r="KD5" i="6"/>
  <c r="KD6" i="6"/>
  <c r="KD3" i="6"/>
  <c r="KC3" i="6"/>
  <c r="JR4" i="6"/>
  <c r="JQ7" i="6"/>
  <c r="KD9" i="6"/>
  <c r="KF1" i="6"/>
  <c r="KE3" i="6"/>
  <c r="KE5" i="6"/>
  <c r="KE6" i="6"/>
  <c r="KE9" i="6"/>
  <c r="JS4" i="6"/>
  <c r="JR7" i="6"/>
  <c r="KC10" i="6"/>
  <c r="JT4" i="6"/>
  <c r="JS7" i="6"/>
  <c r="KG1" i="6"/>
  <c r="KF5" i="6"/>
  <c r="KF6" i="6"/>
  <c r="KF9" i="6"/>
  <c r="KD10" i="6"/>
  <c r="KE10" i="6"/>
  <c r="KH1" i="6"/>
  <c r="KG3" i="6"/>
  <c r="KG5" i="6"/>
  <c r="KG6" i="6"/>
  <c r="KG9" i="6"/>
  <c r="KF3" i="6"/>
  <c r="JU4" i="6"/>
  <c r="JT7" i="6"/>
  <c r="KI1" i="6"/>
  <c r="KH3" i="6"/>
  <c r="KF10" i="6"/>
  <c r="JV4" i="6"/>
  <c r="JU7" i="6"/>
  <c r="KH9" i="6"/>
  <c r="KH5" i="6"/>
  <c r="KH6" i="6"/>
  <c r="KJ1" i="6"/>
  <c r="KI3" i="6"/>
  <c r="KI5" i="6"/>
  <c r="KI9" i="6"/>
  <c r="JW4" i="6"/>
  <c r="JV7" i="6"/>
  <c r="KG10" i="6"/>
  <c r="KI6" i="6"/>
  <c r="KK1" i="6"/>
  <c r="KJ3" i="6"/>
  <c r="KJ5" i="6"/>
  <c r="KJ6" i="6"/>
  <c r="KJ9" i="6"/>
  <c r="KH10" i="6"/>
  <c r="JX4" i="6"/>
  <c r="JW7" i="6"/>
  <c r="JY4" i="6"/>
  <c r="JX7" i="6"/>
  <c r="KI10" i="6"/>
  <c r="KL1" i="6"/>
  <c r="KK3" i="6"/>
  <c r="KK5" i="6"/>
  <c r="KK6" i="6"/>
  <c r="KK9" i="6"/>
  <c r="KM1" i="6"/>
  <c r="KL3" i="6"/>
  <c r="KL5" i="6"/>
  <c r="KL6" i="6"/>
  <c r="KL9" i="6"/>
  <c r="KJ10" i="6"/>
  <c r="JZ4" i="6"/>
  <c r="JY7" i="6"/>
  <c r="KK10" i="6"/>
  <c r="KN1" i="6"/>
  <c r="KM5" i="6"/>
  <c r="KM6" i="6"/>
  <c r="KM3" i="6"/>
  <c r="KM9" i="6"/>
  <c r="KA4" i="6"/>
  <c r="JZ7" i="6"/>
  <c r="KO1" i="6"/>
  <c r="KN3" i="6"/>
  <c r="KN5" i="6"/>
  <c r="KN6" i="6"/>
  <c r="KN9" i="6"/>
  <c r="KL10" i="6"/>
  <c r="KB4" i="6"/>
  <c r="KA7" i="6"/>
  <c r="KM10" i="6"/>
  <c r="KP1" i="6"/>
  <c r="KC4" i="6"/>
  <c r="KB7" i="6"/>
  <c r="KQ1" i="6"/>
  <c r="KP3" i="6"/>
  <c r="KP5" i="6"/>
  <c r="KP9" i="6"/>
  <c r="KN10" i="6"/>
  <c r="KD4" i="6"/>
  <c r="KC7" i="6"/>
  <c r="KO9" i="6"/>
  <c r="KO5" i="6"/>
  <c r="KO6" i="6"/>
  <c r="KO3" i="6"/>
  <c r="KP6" i="6"/>
  <c r="KE4" i="6"/>
  <c r="KD7" i="6"/>
  <c r="KO10" i="6"/>
  <c r="KR1" i="6"/>
  <c r="KQ3" i="6"/>
  <c r="KQ5" i="6"/>
  <c r="KQ9" i="6"/>
  <c r="KQ6" i="6"/>
  <c r="KS1" i="6"/>
  <c r="KR3" i="6"/>
  <c r="KR5" i="6"/>
  <c r="KR9" i="6"/>
  <c r="KP10" i="6"/>
  <c r="KF4" i="6"/>
  <c r="KE7" i="6"/>
  <c r="KQ10" i="6"/>
  <c r="KT1" i="6"/>
  <c r="KS5" i="6"/>
  <c r="KS9" i="6"/>
  <c r="KR6" i="6"/>
  <c r="KG4" i="6"/>
  <c r="KF7" i="6"/>
  <c r="KS6" i="6"/>
  <c r="KH4" i="6"/>
  <c r="KG7" i="6"/>
  <c r="KU1" i="6"/>
  <c r="KT3" i="6"/>
  <c r="KR10" i="6"/>
  <c r="KS3" i="6"/>
  <c r="KS10" i="6"/>
  <c r="KT9" i="6"/>
  <c r="KT5" i="6"/>
  <c r="KT6" i="6"/>
  <c r="KV1" i="6"/>
  <c r="KI4" i="6"/>
  <c r="KH7" i="6"/>
  <c r="KW1" i="6"/>
  <c r="KV3" i="6"/>
  <c r="KV5" i="6"/>
  <c r="KV9" i="6"/>
  <c r="KU3" i="6"/>
  <c r="KU9" i="6"/>
  <c r="KU5" i="6"/>
  <c r="KU6" i="6"/>
  <c r="KV6" i="6"/>
  <c r="KJ4" i="6"/>
  <c r="KI7" i="6"/>
  <c r="KT10" i="6"/>
  <c r="KU10" i="6"/>
  <c r="KK4" i="6"/>
  <c r="KJ7" i="6"/>
  <c r="KX1" i="6"/>
  <c r="KW3" i="6"/>
  <c r="KW5" i="6"/>
  <c r="KW6" i="6"/>
  <c r="KX3" i="6"/>
  <c r="KY1" i="6"/>
  <c r="KX5" i="6"/>
  <c r="KX6" i="6"/>
  <c r="KX9" i="6"/>
  <c r="KL4" i="6"/>
  <c r="KK7" i="6"/>
  <c r="KV10" i="6"/>
  <c r="KW9" i="6"/>
  <c r="KM4" i="6"/>
  <c r="KL7" i="6"/>
  <c r="KZ1" i="6"/>
  <c r="KY5" i="6"/>
  <c r="KY6" i="6"/>
  <c r="KY9" i="6"/>
  <c r="KW10" i="6"/>
  <c r="LA1" i="6"/>
  <c r="KZ3" i="6"/>
  <c r="KZ9" i="6"/>
  <c r="KZ5" i="6"/>
  <c r="KZ6" i="6"/>
  <c r="KY3" i="6"/>
  <c r="KN4" i="6"/>
  <c r="KM7" i="6"/>
  <c r="KX10" i="6"/>
  <c r="KO4" i="6"/>
  <c r="KN7" i="6"/>
  <c r="KY10" i="6"/>
  <c r="LB1" i="6"/>
  <c r="LA5" i="6"/>
  <c r="LA6" i="6"/>
  <c r="LA9" i="6"/>
  <c r="LC1" i="6"/>
  <c r="LB3" i="6"/>
  <c r="LB5" i="6"/>
  <c r="LB6" i="6"/>
  <c r="LB9" i="6"/>
  <c r="LA3" i="6"/>
  <c r="KZ10" i="6"/>
  <c r="KP4" i="6"/>
  <c r="KO7" i="6"/>
  <c r="KQ4" i="6"/>
  <c r="KP7" i="6"/>
  <c r="LA10" i="6"/>
  <c r="LD1" i="6"/>
  <c r="LC5" i="6"/>
  <c r="LC6" i="6"/>
  <c r="LC9" i="6"/>
  <c r="LE1" i="6"/>
  <c r="LD3" i="6"/>
  <c r="LD5" i="6"/>
  <c r="LD6" i="6"/>
  <c r="LD9" i="6"/>
  <c r="LC3" i="6"/>
  <c r="LB10" i="6"/>
  <c r="KR4" i="6"/>
  <c r="KQ7" i="6"/>
  <c r="LC10" i="6"/>
  <c r="LF1" i="6"/>
  <c r="LE3" i="6"/>
  <c r="LE5" i="6"/>
  <c r="LE6" i="6"/>
  <c r="LE9" i="6"/>
  <c r="KS4" i="6"/>
  <c r="KR7" i="6"/>
  <c r="KT4" i="6"/>
  <c r="KS7" i="6"/>
  <c r="LG1" i="6"/>
  <c r="LF3" i="6"/>
  <c r="LF5" i="6"/>
  <c r="LF6" i="6"/>
  <c r="LF9" i="6"/>
  <c r="LD10" i="6"/>
  <c r="LE10" i="6"/>
  <c r="KU4" i="6"/>
  <c r="KT7" i="6"/>
  <c r="LH1" i="6"/>
  <c r="LG3" i="6"/>
  <c r="LG5" i="6"/>
  <c r="LG6" i="6"/>
  <c r="LG9" i="6"/>
  <c r="LI1" i="6"/>
  <c r="LH3" i="6"/>
  <c r="LH5" i="6"/>
  <c r="LH6" i="6"/>
  <c r="LH9" i="6"/>
  <c r="KV4" i="6"/>
  <c r="KU7" i="6"/>
  <c r="LF10" i="6"/>
  <c r="LG10" i="6"/>
  <c r="KW4" i="6"/>
  <c r="KV7" i="6"/>
  <c r="LJ1" i="6"/>
  <c r="LI3" i="6"/>
  <c r="LI5" i="6"/>
  <c r="LI6" i="6"/>
  <c r="LI9" i="6"/>
  <c r="LK1" i="6"/>
  <c r="LJ3" i="6"/>
  <c r="LJ5" i="6"/>
  <c r="LJ6" i="6"/>
  <c r="LJ9" i="6"/>
  <c r="KX4" i="6"/>
  <c r="KW7" i="6"/>
  <c r="LH10" i="6"/>
  <c r="LI10" i="6"/>
  <c r="KY4" i="6"/>
  <c r="KX7" i="6"/>
  <c r="LL1" i="6"/>
  <c r="LK3" i="6"/>
  <c r="LK5" i="6"/>
  <c r="LK6" i="6"/>
  <c r="LK9" i="6"/>
  <c r="LL3" i="6"/>
  <c r="LM1" i="6"/>
  <c r="LL5" i="6"/>
  <c r="LL6" i="6"/>
  <c r="LL9" i="6"/>
  <c r="KZ4" i="6"/>
  <c r="KY7" i="6"/>
  <c r="LJ10" i="6"/>
  <c r="LK10" i="6"/>
  <c r="LA4" i="6"/>
  <c r="KZ7" i="6"/>
  <c r="LN1" i="6"/>
  <c r="LM5" i="6"/>
  <c r="LM6" i="6"/>
  <c r="LM9" i="6"/>
  <c r="LB4" i="6"/>
  <c r="LA7" i="6"/>
  <c r="LO1" i="6"/>
  <c r="LN3" i="6"/>
  <c r="LN5" i="6"/>
  <c r="LN6" i="6"/>
  <c r="LN9" i="6"/>
  <c r="LM3" i="6"/>
  <c r="LL10" i="6"/>
  <c r="LM10" i="6"/>
  <c r="LP1" i="6"/>
  <c r="LO3" i="6"/>
  <c r="LO5" i="6"/>
  <c r="LO6" i="6"/>
  <c r="LO9" i="6"/>
  <c r="LC4" i="6"/>
  <c r="LB7" i="6"/>
  <c r="LD4" i="6"/>
  <c r="LC7" i="6"/>
  <c r="LQ1" i="6"/>
  <c r="LP3" i="6"/>
  <c r="LP5" i="6"/>
  <c r="LP6" i="6"/>
  <c r="LP9" i="6"/>
  <c r="LN10" i="6"/>
  <c r="LO10" i="6"/>
  <c r="LR1" i="6"/>
  <c r="LQ3" i="6"/>
  <c r="LQ5" i="6"/>
  <c r="LQ6" i="6"/>
  <c r="LQ9" i="6"/>
  <c r="LE4" i="6"/>
  <c r="LD7" i="6"/>
  <c r="LF4" i="6"/>
  <c r="LE7" i="6"/>
  <c r="LS1" i="6"/>
  <c r="LR3" i="6"/>
  <c r="LR5" i="6"/>
  <c r="LR6" i="6"/>
  <c r="LR9" i="6"/>
  <c r="LP10" i="6"/>
  <c r="LQ10" i="6"/>
  <c r="LT1" i="6"/>
  <c r="LS3" i="6"/>
  <c r="LS5" i="6"/>
  <c r="LS6" i="6"/>
  <c r="LS9" i="6"/>
  <c r="LG4" i="6"/>
  <c r="LF7" i="6"/>
  <c r="LH4" i="6"/>
  <c r="LG7" i="6"/>
  <c r="LU1" i="6"/>
  <c r="LT5" i="6"/>
  <c r="LT6" i="6"/>
  <c r="LT9" i="6"/>
  <c r="LR10" i="6"/>
  <c r="LS10" i="6"/>
  <c r="LV1" i="6"/>
  <c r="LU3" i="6"/>
  <c r="LU5" i="6"/>
  <c r="LU6" i="6"/>
  <c r="LU9" i="6"/>
  <c r="LT3" i="6"/>
  <c r="LI4" i="6"/>
  <c r="LH7" i="6"/>
  <c r="LJ4" i="6"/>
  <c r="LI7" i="6"/>
  <c r="LW1" i="6"/>
  <c r="LV3" i="6"/>
  <c r="LV5" i="6"/>
  <c r="LV6" i="6"/>
  <c r="LV9" i="6"/>
  <c r="LT10" i="6"/>
  <c r="LU10" i="6"/>
  <c r="LX1" i="6"/>
  <c r="LW3" i="6"/>
  <c r="LW5" i="6"/>
  <c r="LW6" i="6"/>
  <c r="LW9" i="6"/>
  <c r="LK4" i="6"/>
  <c r="LJ7" i="6"/>
  <c r="LL4" i="6"/>
  <c r="LK7" i="6"/>
  <c r="LY1" i="6"/>
  <c r="LX3" i="6"/>
  <c r="LX5" i="6"/>
  <c r="LX6" i="6"/>
  <c r="LX9" i="6"/>
  <c r="LV10" i="6"/>
  <c r="LW10" i="6"/>
  <c r="LM4" i="6"/>
  <c r="LL7" i="6"/>
  <c r="LZ1" i="6"/>
  <c r="LY3" i="6"/>
  <c r="LY5" i="6"/>
  <c r="LY6" i="6"/>
  <c r="LY9" i="6"/>
  <c r="MA1" i="6"/>
  <c r="LZ3" i="6"/>
  <c r="LZ5" i="6"/>
  <c r="LZ6" i="6"/>
  <c r="LZ9" i="6"/>
  <c r="LN4" i="6"/>
  <c r="LM7" i="6"/>
  <c r="LX10" i="6"/>
  <c r="LY10" i="6"/>
  <c r="LO4" i="6"/>
  <c r="LN7" i="6"/>
  <c r="MB1" i="6"/>
  <c r="MA3" i="6"/>
  <c r="MA9" i="6"/>
  <c r="MA5" i="6"/>
  <c r="MA6" i="6"/>
  <c r="MC1" i="6"/>
  <c r="MB3" i="6"/>
  <c r="MB5" i="6"/>
  <c r="MB6" i="6"/>
  <c r="MB9" i="6"/>
  <c r="LP4" i="6"/>
  <c r="LO7" i="6"/>
  <c r="LZ10" i="6"/>
  <c r="MD1" i="6"/>
  <c r="MC5" i="6"/>
  <c r="MC6" i="6"/>
  <c r="MC9" i="6"/>
  <c r="MA10" i="6"/>
  <c r="LQ4" i="6"/>
  <c r="LP7" i="6"/>
  <c r="MB10" i="6"/>
  <c r="LR4" i="6"/>
  <c r="LQ7" i="6"/>
  <c r="ME1" i="6"/>
  <c r="MD3" i="6"/>
  <c r="MD5" i="6"/>
  <c r="MD6" i="6"/>
  <c r="MD9" i="6"/>
  <c r="MC3" i="6"/>
  <c r="MF1" i="6"/>
  <c r="ME5" i="6"/>
  <c r="ME6" i="6"/>
  <c r="ME3" i="6"/>
  <c r="ME9" i="6"/>
  <c r="LS4" i="6"/>
  <c r="LR7" i="6"/>
  <c r="MC10" i="6"/>
  <c r="MD10" i="6"/>
  <c r="LT4" i="6"/>
  <c r="LS7" i="6"/>
  <c r="MG1" i="6"/>
  <c r="MF5" i="6"/>
  <c r="MF6" i="6"/>
  <c r="MF9" i="6"/>
  <c r="MH1" i="6"/>
  <c r="MG3" i="6"/>
  <c r="MG5" i="6"/>
  <c r="MG6" i="6"/>
  <c r="MG9" i="6"/>
  <c r="MF3" i="6"/>
  <c r="LU4" i="6"/>
  <c r="LT7" i="6"/>
  <c r="ME10" i="6"/>
  <c r="LV4" i="6"/>
  <c r="LU7" i="6"/>
  <c r="MF10" i="6"/>
  <c r="MI1" i="6"/>
  <c r="MH3" i="6"/>
  <c r="MH5" i="6"/>
  <c r="MH6" i="6"/>
  <c r="MH9" i="6"/>
  <c r="MJ1" i="6"/>
  <c r="MI3" i="6"/>
  <c r="MI5" i="6"/>
  <c r="MI6" i="6"/>
  <c r="MI9" i="6"/>
  <c r="MG10" i="6"/>
  <c r="LW4" i="6"/>
  <c r="LV7" i="6"/>
  <c r="MH10" i="6"/>
  <c r="LX4" i="6"/>
  <c r="LW7" i="6"/>
  <c r="MK1" i="6"/>
  <c r="MJ5" i="6"/>
  <c r="MJ6" i="6"/>
  <c r="MJ9" i="6"/>
  <c r="ML1" i="6"/>
  <c r="MK3" i="6"/>
  <c r="MJ3" i="6"/>
  <c r="LY4" i="6"/>
  <c r="LX7" i="6"/>
  <c r="MI10" i="6"/>
  <c r="MK9" i="6"/>
  <c r="MM1" i="6"/>
  <c r="ML5" i="6"/>
  <c r="ML3" i="6"/>
  <c r="MJ10" i="6"/>
  <c r="LZ4" i="6"/>
  <c r="LY7" i="6"/>
  <c r="MK5" i="6"/>
  <c r="MK6" i="6"/>
  <c r="MA4" i="6"/>
  <c r="LZ7" i="6"/>
  <c r="MK10" i="6"/>
  <c r="ML9" i="6"/>
  <c r="MN1" i="6"/>
  <c r="MM3" i="6"/>
  <c r="MM5" i="6"/>
  <c r="ML6" i="6"/>
  <c r="MO1" i="6"/>
  <c r="MN3" i="6"/>
  <c r="MN5" i="6"/>
  <c r="MN9" i="6"/>
  <c r="ML10" i="6"/>
  <c r="MM6" i="6"/>
  <c r="MM9" i="6"/>
  <c r="MB4" i="6"/>
  <c r="MA7" i="6"/>
  <c r="MC4" i="6"/>
  <c r="MB7" i="6"/>
  <c r="MN6" i="6"/>
  <c r="MM10" i="6"/>
  <c r="MP1" i="6"/>
  <c r="MO9" i="6"/>
  <c r="MO3" i="6"/>
  <c r="MO5" i="6"/>
  <c r="MQ1" i="6"/>
  <c r="MP5" i="6"/>
  <c r="MP9" i="6"/>
  <c r="MN10" i="6"/>
  <c r="MO6" i="6"/>
  <c r="MD4" i="6"/>
  <c r="MC7" i="6"/>
  <c r="MP6" i="6"/>
  <c r="MO10" i="6"/>
  <c r="MR1" i="6"/>
  <c r="MQ5" i="6"/>
  <c r="MQ6" i="6"/>
  <c r="MQ9" i="6"/>
  <c r="MP3" i="6"/>
  <c r="ME4" i="6"/>
  <c r="MD7" i="6"/>
  <c r="MS1" i="6"/>
  <c r="MQ3" i="6"/>
  <c r="MP10" i="6"/>
  <c r="MF4" i="6"/>
  <c r="ME7" i="6"/>
  <c r="MR9" i="6"/>
  <c r="MG4" i="6"/>
  <c r="MF7" i="6"/>
  <c r="MT1" i="6"/>
  <c r="MQ10" i="6"/>
  <c r="MR5" i="6"/>
  <c r="MR6" i="6"/>
  <c r="MR3" i="6"/>
  <c r="MS5" i="6"/>
  <c r="MS6" i="6"/>
  <c r="MS3" i="6"/>
  <c r="MH4" i="6"/>
  <c r="MG7" i="6"/>
  <c r="MR10" i="6"/>
  <c r="MS9" i="6"/>
  <c r="MU1" i="6"/>
  <c r="MT3" i="6"/>
  <c r="MT5" i="6"/>
  <c r="MT9" i="6"/>
  <c r="MS10" i="6"/>
  <c r="MI4" i="6"/>
  <c r="MH7" i="6"/>
  <c r="MT6" i="6"/>
  <c r="MV1" i="6"/>
  <c r="MU3" i="6"/>
  <c r="MU5" i="6"/>
  <c r="MV3" i="6"/>
  <c r="MW1" i="6"/>
  <c r="MV5" i="6"/>
  <c r="MV9" i="6"/>
  <c r="MT10" i="6"/>
  <c r="MU6" i="6"/>
  <c r="MJ4" i="6"/>
  <c r="MI7" i="6"/>
  <c r="MU9" i="6"/>
  <c r="MK4" i="6"/>
  <c r="MJ7" i="6"/>
  <c r="MV6" i="6"/>
  <c r="MU10" i="6"/>
  <c r="MX1" i="6"/>
  <c r="MW9" i="6"/>
  <c r="MW5" i="6"/>
  <c r="MW3" i="6"/>
  <c r="MV10" i="6"/>
  <c r="MY1" i="6"/>
  <c r="MX3" i="6"/>
  <c r="MX5" i="6"/>
  <c r="MX9" i="6"/>
  <c r="MW6" i="6"/>
  <c r="ML4" i="6"/>
  <c r="MK7" i="6"/>
  <c r="MX6" i="6"/>
  <c r="MZ1" i="6"/>
  <c r="MY5" i="6"/>
  <c r="MY9" i="6"/>
  <c r="MW10" i="6"/>
  <c r="MM4" i="6"/>
  <c r="ML7" i="6"/>
  <c r="MN4" i="6"/>
  <c r="MM7" i="6"/>
  <c r="MX10" i="6"/>
  <c r="NA1" i="6"/>
  <c r="MZ3" i="6"/>
  <c r="MZ5" i="6"/>
  <c r="MY3" i="6"/>
  <c r="MY6" i="6"/>
  <c r="NB1" i="6"/>
  <c r="NA3" i="6"/>
  <c r="NA5" i="6"/>
  <c r="NA9" i="6"/>
  <c r="MY10" i="6"/>
  <c r="MO4" i="6"/>
  <c r="MN7" i="6"/>
  <c r="MZ6" i="6"/>
  <c r="MZ9" i="6"/>
  <c r="NA6" i="6"/>
  <c r="MP4" i="6"/>
  <c r="MO7" i="6"/>
  <c r="MZ10" i="6"/>
  <c r="NC1" i="6"/>
  <c r="NB3" i="6"/>
  <c r="NB5" i="6"/>
  <c r="NB9" i="6"/>
  <c r="ND1" i="6"/>
  <c r="NC3" i="6"/>
  <c r="NC5" i="6"/>
  <c r="NC9" i="6"/>
  <c r="NA10" i="6"/>
  <c r="MQ4" i="6"/>
  <c r="MP7" i="6"/>
  <c r="NB6" i="6"/>
  <c r="NC6" i="6"/>
  <c r="MR4" i="6"/>
  <c r="MQ7" i="6"/>
  <c r="NB10" i="6"/>
  <c r="NE1" i="6"/>
  <c r="ND3" i="6"/>
  <c r="ND5" i="6"/>
  <c r="ND9" i="6"/>
  <c r="NF1" i="6"/>
  <c r="NE5" i="6"/>
  <c r="NE9" i="6"/>
  <c r="NC10" i="6"/>
  <c r="MS4" i="6"/>
  <c r="MR7" i="6"/>
  <c r="ND6" i="6"/>
  <c r="NE6" i="6"/>
  <c r="MT4" i="6"/>
  <c r="MS7" i="6"/>
  <c r="ND10" i="6"/>
  <c r="NG1" i="6"/>
  <c r="NF5" i="6"/>
  <c r="NF6" i="6"/>
  <c r="NF9" i="6"/>
  <c r="NE3" i="6"/>
  <c r="NH1" i="6"/>
  <c r="NG3" i="6"/>
  <c r="NG5" i="6"/>
  <c r="NG6" i="6"/>
  <c r="NG9" i="6"/>
  <c r="MU4" i="6"/>
  <c r="MT7" i="6"/>
  <c r="NE10" i="6"/>
  <c r="NF3" i="6"/>
  <c r="MV4" i="6"/>
  <c r="MU7" i="6"/>
  <c r="NI1" i="6"/>
  <c r="NH3" i="6"/>
  <c r="NH5" i="6"/>
  <c r="NH6" i="6"/>
  <c r="NH9" i="6"/>
  <c r="NF10" i="6"/>
  <c r="NJ1" i="6"/>
  <c r="NI3" i="6"/>
  <c r="NI5" i="6"/>
  <c r="NI6" i="6"/>
  <c r="NI9" i="6"/>
  <c r="MW4" i="6"/>
  <c r="MV7" i="6"/>
  <c r="NG10" i="6"/>
  <c r="MX4" i="6"/>
  <c r="MW7" i="6"/>
  <c r="NK1" i="6"/>
  <c r="NJ3" i="6"/>
  <c r="NJ5" i="6"/>
  <c r="NJ6" i="6"/>
  <c r="NJ9" i="6"/>
  <c r="NH10" i="6"/>
  <c r="NL1" i="6"/>
  <c r="NK5" i="6"/>
  <c r="NK6" i="6"/>
  <c r="NK3" i="6"/>
  <c r="NK9" i="6"/>
  <c r="MY4" i="6"/>
  <c r="MX7" i="6"/>
  <c r="NI10" i="6"/>
  <c r="MZ4" i="6"/>
  <c r="MY7" i="6"/>
  <c r="NM1" i="6"/>
  <c r="NL5" i="6"/>
  <c r="NL6" i="6"/>
  <c r="NL3" i="6"/>
  <c r="NL9" i="6"/>
  <c r="NJ10" i="6"/>
  <c r="NN1" i="6"/>
  <c r="NM5" i="6"/>
  <c r="NM6" i="6"/>
  <c r="NM3" i="6"/>
  <c r="NA4" i="6"/>
  <c r="MZ7" i="6"/>
  <c r="NK10" i="6"/>
  <c r="NO1" i="6"/>
  <c r="NN3" i="6"/>
  <c r="NN5" i="6"/>
  <c r="NN6" i="6"/>
  <c r="NL10" i="6"/>
  <c r="NB4" i="6"/>
  <c r="NA7" i="6"/>
  <c r="NM9" i="6"/>
  <c r="NP1" i="6"/>
  <c r="NO3" i="6"/>
  <c r="NO5" i="6"/>
  <c r="NO6" i="6"/>
  <c r="NO9" i="6"/>
  <c r="NC4" i="6"/>
  <c r="NB7" i="6"/>
  <c r="NM10" i="6"/>
  <c r="NN9" i="6"/>
  <c r="NN10" i="6"/>
  <c r="ND4" i="6"/>
  <c r="NC7" i="6"/>
  <c r="NQ1" i="6"/>
  <c r="NP3" i="6"/>
  <c r="NP5" i="6"/>
  <c r="NP6" i="6"/>
  <c r="NR1" i="6"/>
  <c r="NQ5" i="6"/>
  <c r="NQ6" i="6"/>
  <c r="NQ3" i="6"/>
  <c r="NQ9" i="6"/>
  <c r="NE4" i="6"/>
  <c r="ND7" i="6"/>
  <c r="NP9" i="6"/>
  <c r="NO10" i="6"/>
  <c r="NF4" i="6"/>
  <c r="NE7" i="6"/>
  <c r="NS1" i="6"/>
  <c r="NR3" i="6"/>
  <c r="NR5" i="6"/>
  <c r="NR6" i="6"/>
  <c r="NR9" i="6"/>
  <c r="NP10" i="6"/>
  <c r="NT1" i="6"/>
  <c r="NS3" i="6"/>
  <c r="NS5" i="6"/>
  <c r="NS6" i="6"/>
  <c r="NS9" i="6"/>
  <c r="NG4" i="6"/>
  <c r="NF7" i="6"/>
  <c r="NQ10" i="6"/>
  <c r="NH4" i="6"/>
  <c r="NG7" i="6"/>
  <c r="NU1" i="6"/>
  <c r="NT5" i="6"/>
  <c r="NT6" i="6"/>
  <c r="NT3" i="6"/>
  <c r="NT9" i="6"/>
  <c r="NR10" i="6"/>
  <c r="NV1" i="6"/>
  <c r="NU5" i="6"/>
  <c r="NU6" i="6"/>
  <c r="NU9" i="6"/>
  <c r="NI4" i="6"/>
  <c r="NH7" i="6"/>
  <c r="NS10" i="6"/>
  <c r="NJ4" i="6"/>
  <c r="NI7" i="6"/>
  <c r="NW1" i="6"/>
  <c r="NV3" i="6"/>
  <c r="NV5" i="6"/>
  <c r="NV6" i="6"/>
  <c r="NV9" i="6"/>
  <c r="NU3" i="6"/>
  <c r="NT10" i="6"/>
  <c r="NX1" i="6"/>
  <c r="NW3" i="6"/>
  <c r="NW5" i="6"/>
  <c r="NW6" i="6"/>
  <c r="NW9" i="6"/>
  <c r="NK4" i="6"/>
  <c r="NJ7" i="6"/>
  <c r="NU10" i="6"/>
  <c r="NL4" i="6"/>
  <c r="NK7" i="6"/>
  <c r="NY1" i="6"/>
  <c r="NX5" i="6"/>
  <c r="NX6" i="6"/>
  <c r="NX3" i="6"/>
  <c r="NX9" i="6"/>
  <c r="NV10" i="6"/>
  <c r="NZ1" i="6"/>
  <c r="NY3" i="6"/>
  <c r="NY5" i="6"/>
  <c r="NY6" i="6"/>
  <c r="NY9" i="6"/>
  <c r="NM4" i="6"/>
  <c r="NL7" i="6"/>
  <c r="NW10" i="6"/>
  <c r="NN4" i="6"/>
  <c r="NM7" i="6"/>
  <c r="OA1" i="6"/>
  <c r="NZ3" i="6"/>
  <c r="NZ5" i="6"/>
  <c r="NZ6" i="6"/>
  <c r="NZ9" i="6"/>
  <c r="NX10" i="6"/>
  <c r="OB1" i="6"/>
  <c r="OA3" i="6"/>
  <c r="OA5" i="6"/>
  <c r="OA6" i="6"/>
  <c r="OA9" i="6"/>
  <c r="NO4" i="6"/>
  <c r="NN7" i="6"/>
  <c r="NY10" i="6"/>
  <c r="NP4" i="6"/>
  <c r="NO7" i="6"/>
  <c r="OC1" i="6"/>
  <c r="OB3" i="6"/>
  <c r="OB5" i="6"/>
  <c r="OB6" i="6"/>
  <c r="OB9" i="6"/>
  <c r="NZ10" i="6"/>
  <c r="OD1" i="6"/>
  <c r="OC5" i="6"/>
  <c r="OC6" i="6"/>
  <c r="OC9" i="6"/>
  <c r="NQ4" i="6"/>
  <c r="NP7" i="6"/>
  <c r="OA10" i="6"/>
  <c r="NR4" i="6"/>
  <c r="NQ7" i="6"/>
  <c r="OE1" i="6"/>
  <c r="OD3" i="6"/>
  <c r="OD5" i="6"/>
  <c r="OD6" i="6"/>
  <c r="OD9" i="6"/>
  <c r="OC3" i="6"/>
  <c r="OB10" i="6"/>
  <c r="NS4" i="6"/>
  <c r="NR7" i="6"/>
  <c r="OC10" i="6"/>
  <c r="OF1" i="6"/>
  <c r="OE3" i="6"/>
  <c r="OE5" i="6"/>
  <c r="OE6" i="6"/>
  <c r="OE9" i="6"/>
  <c r="OG1" i="6"/>
  <c r="OF5" i="6"/>
  <c r="OF6" i="6"/>
  <c r="OF3" i="6"/>
  <c r="OF9" i="6"/>
  <c r="OD10" i="6"/>
  <c r="NT4" i="6"/>
  <c r="NS7" i="6"/>
  <c r="OE10" i="6"/>
  <c r="OH1" i="6"/>
  <c r="OG5" i="6"/>
  <c r="OG6" i="6"/>
  <c r="OG3" i="6"/>
  <c r="OG9" i="6"/>
  <c r="NU4" i="6"/>
  <c r="NT7" i="6"/>
  <c r="OI1" i="6"/>
  <c r="OH5" i="6"/>
  <c r="OH6" i="6"/>
  <c r="OH9" i="6"/>
  <c r="OF10" i="6"/>
  <c r="NV4" i="6"/>
  <c r="NU7" i="6"/>
  <c r="OG10" i="6"/>
  <c r="OI3" i="6"/>
  <c r="OJ1" i="6"/>
  <c r="OI5" i="6"/>
  <c r="OI6" i="6"/>
  <c r="OI9" i="6"/>
  <c r="NW4" i="6"/>
  <c r="NV7" i="6"/>
  <c r="OH3" i="6"/>
  <c r="OH10" i="6"/>
  <c r="NX4" i="6"/>
  <c r="NW7" i="6"/>
  <c r="OK1" i="6"/>
  <c r="OJ5" i="6"/>
  <c r="OJ6" i="6"/>
  <c r="OL1" i="6"/>
  <c r="OK5" i="6"/>
  <c r="OK6" i="6"/>
  <c r="OK9" i="6"/>
  <c r="OJ3" i="6"/>
  <c r="NY4" i="6"/>
  <c r="NX7" i="6"/>
  <c r="OI10" i="6"/>
  <c r="OJ9" i="6"/>
  <c r="NZ4" i="6"/>
  <c r="NY7" i="6"/>
  <c r="OM1" i="6"/>
  <c r="OL5" i="6"/>
  <c r="OL6" i="6"/>
  <c r="OL9" i="6"/>
  <c r="OK3" i="6"/>
  <c r="OJ10" i="6"/>
  <c r="ON1" i="6"/>
  <c r="OM3" i="6"/>
  <c r="OM5" i="6"/>
  <c r="OM6" i="6"/>
  <c r="OM9" i="6"/>
  <c r="OL3" i="6"/>
  <c r="OA4" i="6"/>
  <c r="NZ7" i="6"/>
  <c r="OK10" i="6"/>
  <c r="OB4" i="6"/>
  <c r="OA7" i="6"/>
  <c r="OL10" i="6"/>
  <c r="OO1" i="6"/>
  <c r="ON5" i="6"/>
  <c r="ON6" i="6"/>
  <c r="ON9" i="6"/>
  <c r="OP1" i="6"/>
  <c r="OO3" i="6"/>
  <c r="OO5" i="6"/>
  <c r="OO6" i="6"/>
  <c r="OO9" i="6"/>
  <c r="ON3" i="6"/>
  <c r="OM10" i="6"/>
  <c r="OC4" i="6"/>
  <c r="OB7" i="6"/>
  <c r="ON10" i="6"/>
  <c r="OQ1" i="6"/>
  <c r="OP3" i="6"/>
  <c r="OP5" i="6"/>
  <c r="OP6" i="6"/>
  <c r="OP9" i="6"/>
  <c r="OD4" i="6"/>
  <c r="OC7" i="6"/>
  <c r="OR1" i="6"/>
  <c r="OQ3" i="6"/>
  <c r="OQ5" i="6"/>
  <c r="OQ6" i="6"/>
  <c r="OQ9" i="6"/>
  <c r="OO10" i="6"/>
  <c r="OE4" i="6"/>
  <c r="OD7" i="6"/>
  <c r="OP10" i="6"/>
  <c r="OS1" i="6"/>
  <c r="OR3" i="6"/>
  <c r="OR5" i="6"/>
  <c r="OR6" i="6"/>
  <c r="OR9" i="6"/>
  <c r="OF4" i="6"/>
  <c r="OE7" i="6"/>
  <c r="OT1" i="6"/>
  <c r="OS3" i="6"/>
  <c r="OS5" i="6"/>
  <c r="OS6" i="6"/>
  <c r="OS9" i="6"/>
  <c r="OQ10" i="6"/>
  <c r="OG4" i="6"/>
  <c r="OF7" i="6"/>
  <c r="OR10" i="6"/>
  <c r="OU1" i="6"/>
  <c r="OT3" i="6"/>
  <c r="OT5" i="6"/>
  <c r="OT6" i="6"/>
  <c r="OT9" i="6"/>
  <c r="OH4" i="6"/>
  <c r="OG7" i="6"/>
  <c r="OV1" i="6"/>
  <c r="OU3" i="6"/>
  <c r="OU5" i="6"/>
  <c r="OU6" i="6"/>
  <c r="OU9" i="6"/>
  <c r="OS10" i="6"/>
  <c r="OI4" i="6"/>
  <c r="OH7" i="6"/>
  <c r="OW1" i="6"/>
  <c r="OV3" i="6"/>
  <c r="OV5" i="6"/>
  <c r="OV6" i="6"/>
  <c r="OV9" i="6"/>
  <c r="OT10" i="6"/>
  <c r="OJ4" i="6"/>
  <c r="OI7" i="6"/>
  <c r="OU10" i="6"/>
  <c r="OK4" i="6"/>
  <c r="OJ7" i="6"/>
  <c r="OX1" i="6"/>
  <c r="OW3" i="6"/>
  <c r="OW5" i="6"/>
  <c r="OW6" i="6"/>
  <c r="OY1" i="6"/>
  <c r="OX3" i="6"/>
  <c r="OX5" i="6"/>
  <c r="OX6" i="6"/>
  <c r="OX9" i="6"/>
  <c r="OL4" i="6"/>
  <c r="OK7" i="6"/>
  <c r="OV10" i="6"/>
  <c r="OW9" i="6"/>
  <c r="OM4" i="6"/>
  <c r="OL7" i="6"/>
  <c r="OZ1" i="6"/>
  <c r="OY3" i="6"/>
  <c r="OY5" i="6"/>
  <c r="OY6" i="6"/>
  <c r="OY9" i="6"/>
  <c r="OW10" i="6"/>
  <c r="PA1" i="6"/>
  <c r="OZ3" i="6"/>
  <c r="OZ5" i="6"/>
  <c r="OZ6" i="6"/>
  <c r="OZ9" i="6"/>
  <c r="ON4" i="6"/>
  <c r="OM7" i="6"/>
  <c r="OX10" i="6"/>
  <c r="OO4" i="6"/>
  <c r="ON7" i="6"/>
  <c r="PB1" i="6"/>
  <c r="PA3" i="6"/>
  <c r="PA5" i="6"/>
  <c r="PA6" i="6"/>
  <c r="PA9" i="6"/>
  <c r="OY10" i="6"/>
  <c r="PC1" i="6"/>
  <c r="PB5" i="6"/>
  <c r="PB6" i="6"/>
  <c r="PB9" i="6"/>
  <c r="OP4" i="6"/>
  <c r="OO7" i="6"/>
  <c r="OZ10" i="6"/>
  <c r="OQ4" i="6"/>
  <c r="OP7" i="6"/>
  <c r="PD1" i="6"/>
  <c r="PC3" i="6"/>
  <c r="PC5" i="6"/>
  <c r="PC6" i="6"/>
  <c r="PC9" i="6"/>
  <c r="PB3" i="6"/>
  <c r="PA10" i="6"/>
  <c r="PE1" i="6"/>
  <c r="PD3" i="6"/>
  <c r="PD5" i="6"/>
  <c r="PD6" i="6"/>
  <c r="PD9" i="6"/>
  <c r="OR4" i="6"/>
  <c r="OQ7" i="6"/>
  <c r="PB10" i="6"/>
  <c r="OS4" i="6"/>
  <c r="OR7" i="6"/>
  <c r="PF1" i="6"/>
  <c r="PE3" i="6"/>
  <c r="PE5" i="6"/>
  <c r="PE6" i="6"/>
  <c r="PE9" i="6"/>
  <c r="PC10" i="6"/>
  <c r="PG1" i="6"/>
  <c r="PF9" i="6"/>
  <c r="PF5" i="6"/>
  <c r="PF6" i="6"/>
  <c r="OT4" i="6"/>
  <c r="OS7" i="6"/>
  <c r="PD10" i="6"/>
  <c r="PF3" i="6"/>
  <c r="PH1" i="6"/>
  <c r="PE10" i="6"/>
  <c r="OU4" i="6"/>
  <c r="OT7" i="6"/>
  <c r="OV4" i="6"/>
  <c r="OU7" i="6"/>
  <c r="PF10" i="6"/>
  <c r="PG5" i="6"/>
  <c r="PG6" i="6"/>
  <c r="PG9" i="6"/>
  <c r="PI1" i="6"/>
  <c r="PG3" i="6"/>
  <c r="PJ1" i="6"/>
  <c r="PI3" i="6"/>
  <c r="PH3" i="6"/>
  <c r="PG10" i="6"/>
  <c r="PH9" i="6"/>
  <c r="OW4" i="6"/>
  <c r="OV7" i="6"/>
  <c r="PH5" i="6"/>
  <c r="PH6" i="6"/>
  <c r="PK1" i="6"/>
  <c r="PJ3" i="6"/>
  <c r="PJ5" i="6"/>
  <c r="PJ9" i="6"/>
  <c r="OX4" i="6"/>
  <c r="OW7" i="6"/>
  <c r="PI9" i="6"/>
  <c r="PH10" i="6"/>
  <c r="PI5" i="6"/>
  <c r="PI6" i="6"/>
  <c r="PJ6" i="6"/>
  <c r="OY4" i="6"/>
  <c r="OX7" i="6"/>
  <c r="PL1" i="6"/>
  <c r="PK3" i="6"/>
  <c r="PK5" i="6"/>
  <c r="PK6" i="6"/>
  <c r="PK9" i="6"/>
  <c r="PI10" i="6"/>
  <c r="PM1" i="6"/>
  <c r="PL3" i="6"/>
  <c r="PL5" i="6"/>
  <c r="PL6" i="6"/>
  <c r="PL9" i="6"/>
  <c r="OZ4" i="6"/>
  <c r="OY7" i="6"/>
  <c r="PJ10" i="6"/>
  <c r="PA4" i="6"/>
  <c r="OZ7" i="6"/>
  <c r="PN1" i="6"/>
  <c r="PM3" i="6"/>
  <c r="PM9" i="6"/>
  <c r="PM5" i="6"/>
  <c r="PM6" i="6"/>
  <c r="PK10" i="6"/>
  <c r="PO1" i="6"/>
  <c r="PN3" i="6"/>
  <c r="PN5" i="6"/>
  <c r="PN6" i="6"/>
  <c r="PN9" i="6"/>
  <c r="PB4" i="6"/>
  <c r="PA7" i="6"/>
  <c r="PL10" i="6"/>
  <c r="PC4" i="6"/>
  <c r="PB7" i="6"/>
  <c r="PP1" i="6"/>
  <c r="PO3" i="6"/>
  <c r="PO5" i="6"/>
  <c r="PO6" i="6"/>
  <c r="PO9" i="6"/>
  <c r="PM10" i="6"/>
  <c r="PQ1" i="6"/>
  <c r="PP3" i="6"/>
  <c r="PP5" i="6"/>
  <c r="PP6" i="6"/>
  <c r="PP9" i="6"/>
  <c r="PD4" i="6"/>
  <c r="PC7" i="6"/>
  <c r="PN10" i="6"/>
  <c r="PE4" i="6"/>
  <c r="PD7" i="6"/>
  <c r="PR1" i="6"/>
  <c r="PQ5" i="6"/>
  <c r="PQ6" i="6"/>
  <c r="PQ9" i="6"/>
  <c r="PO10" i="6"/>
  <c r="PS1" i="6"/>
  <c r="PR3" i="6"/>
  <c r="PR5" i="6"/>
  <c r="PR6" i="6"/>
  <c r="PR9" i="6"/>
  <c r="PQ3" i="6"/>
  <c r="PF4" i="6"/>
  <c r="PE7" i="6"/>
  <c r="PP10" i="6"/>
  <c r="PG4" i="6"/>
  <c r="PF7" i="6"/>
  <c r="PT1" i="6"/>
  <c r="PS3" i="6"/>
  <c r="PS5" i="6"/>
  <c r="PS6" i="6"/>
  <c r="PS9" i="6"/>
  <c r="PQ10" i="6"/>
  <c r="PU1" i="6"/>
  <c r="PT5" i="6"/>
  <c r="PT6" i="6"/>
  <c r="PT9" i="6"/>
  <c r="PH4" i="6"/>
  <c r="PG7" i="6"/>
  <c r="PR10" i="6"/>
  <c r="PI4" i="6"/>
  <c r="PH7" i="6"/>
  <c r="PV1" i="6"/>
  <c r="PU3" i="6"/>
  <c r="PU5" i="6"/>
  <c r="PU6" i="6"/>
  <c r="PU9" i="6"/>
  <c r="PT3" i="6"/>
  <c r="PS10" i="6"/>
  <c r="PW1" i="6"/>
  <c r="PV3" i="6"/>
  <c r="PV5" i="6"/>
  <c r="PV6" i="6"/>
  <c r="PV9" i="6"/>
  <c r="PJ4" i="6"/>
  <c r="PI7" i="6"/>
  <c r="PT10" i="6"/>
  <c r="PK4" i="6"/>
  <c r="PJ7" i="6"/>
  <c r="PX1" i="6"/>
  <c r="PW5" i="6"/>
  <c r="PW6" i="6"/>
  <c r="PW9" i="6"/>
  <c r="PU10" i="6"/>
  <c r="PY1" i="6"/>
  <c r="PX3" i="6"/>
  <c r="PX5" i="6"/>
  <c r="PX6" i="6"/>
  <c r="PX9" i="6"/>
  <c r="PW3" i="6"/>
  <c r="PL4" i="6"/>
  <c r="PK7" i="6"/>
  <c r="PV10" i="6"/>
  <c r="PM4" i="6"/>
  <c r="PL7" i="6"/>
  <c r="PZ1" i="6"/>
  <c r="PY3" i="6"/>
  <c r="PY5" i="6"/>
  <c r="PY6" i="6"/>
  <c r="PY9" i="6"/>
  <c r="PW10" i="6"/>
  <c r="QA1" i="6"/>
  <c r="PZ3" i="6"/>
  <c r="PZ5" i="6"/>
  <c r="PZ6" i="6"/>
  <c r="PZ9" i="6"/>
  <c r="PN4" i="6"/>
  <c r="PM7" i="6"/>
  <c r="PX10" i="6"/>
  <c r="PO4" i="6"/>
  <c r="PN7" i="6"/>
  <c r="QB1" i="6"/>
  <c r="QA3" i="6"/>
  <c r="QA5" i="6"/>
  <c r="QA6" i="6"/>
  <c r="QA9" i="6"/>
  <c r="PY10" i="6"/>
  <c r="QC1" i="6"/>
  <c r="QB3" i="6"/>
  <c r="QB5" i="6"/>
  <c r="QB6" i="6"/>
  <c r="QB9" i="6"/>
  <c r="PP4" i="6"/>
  <c r="PO7" i="6"/>
  <c r="PZ10" i="6"/>
  <c r="PQ4" i="6"/>
  <c r="PP7" i="6"/>
  <c r="QD1" i="6"/>
  <c r="QC5" i="6"/>
  <c r="QC6" i="6"/>
  <c r="QC9" i="6"/>
  <c r="QA10" i="6"/>
  <c r="QE1" i="6"/>
  <c r="QD3" i="6"/>
  <c r="QD5" i="6"/>
  <c r="QD6" i="6"/>
  <c r="QD9" i="6"/>
  <c r="QC3" i="6"/>
  <c r="PR4" i="6"/>
  <c r="PQ7" i="6"/>
  <c r="QB10" i="6"/>
  <c r="PS4" i="6"/>
  <c r="PR7" i="6"/>
  <c r="QF1" i="6"/>
  <c r="QE3" i="6"/>
  <c r="QE5" i="6"/>
  <c r="QE6" i="6"/>
  <c r="QE9" i="6"/>
  <c r="QC10" i="6"/>
  <c r="QG1" i="6"/>
  <c r="QF3" i="6"/>
  <c r="QF5" i="6"/>
  <c r="QF6" i="6"/>
  <c r="QF9" i="6"/>
  <c r="PT4" i="6"/>
  <c r="PS7" i="6"/>
  <c r="QD10" i="6"/>
  <c r="PU4" i="6"/>
  <c r="PT7" i="6"/>
  <c r="QH1" i="6"/>
  <c r="QG5" i="6"/>
  <c r="QG6" i="6"/>
  <c r="QG9" i="6"/>
  <c r="QE10" i="6"/>
  <c r="QI1" i="6"/>
  <c r="QH3" i="6"/>
  <c r="QH5" i="6"/>
  <c r="QH6" i="6"/>
  <c r="QH9" i="6"/>
  <c r="QG3" i="6"/>
  <c r="PV4" i="6"/>
  <c r="PU7" i="6"/>
  <c r="QF10" i="6"/>
  <c r="PW4" i="6"/>
  <c r="PV7" i="6"/>
  <c r="QJ1" i="6"/>
  <c r="QI3" i="6"/>
  <c r="QI5" i="6"/>
  <c r="QI6" i="6"/>
  <c r="QI9" i="6"/>
  <c r="QG10" i="6"/>
  <c r="QK1" i="6"/>
  <c r="QJ3" i="6"/>
  <c r="QJ5" i="6"/>
  <c r="QJ6" i="6"/>
  <c r="QJ9" i="6"/>
  <c r="PX4" i="6"/>
  <c r="PW7" i="6"/>
  <c r="QH10" i="6"/>
  <c r="PY4" i="6"/>
  <c r="PX7" i="6"/>
  <c r="QL1" i="6"/>
  <c r="QK5" i="6"/>
  <c r="QK6" i="6"/>
  <c r="QK9" i="6"/>
  <c r="QI10" i="6"/>
  <c r="QM1" i="6"/>
  <c r="QL3" i="6"/>
  <c r="QL5" i="6"/>
  <c r="QL6" i="6"/>
  <c r="QL9" i="6"/>
  <c r="QK3" i="6"/>
  <c r="PZ4" i="6"/>
  <c r="PY7" i="6"/>
  <c r="QJ10" i="6"/>
  <c r="QA4" i="6"/>
  <c r="PZ7" i="6"/>
  <c r="QN1" i="6"/>
  <c r="QM3" i="6"/>
  <c r="QM5" i="6"/>
  <c r="QM6" i="6"/>
  <c r="QM9" i="6"/>
  <c r="QK10" i="6"/>
  <c r="QO1" i="6"/>
  <c r="QN5" i="6"/>
  <c r="QN6" i="6"/>
  <c r="QN9" i="6"/>
  <c r="QB4" i="6"/>
  <c r="QA7" i="6"/>
  <c r="QL10" i="6"/>
  <c r="QC4" i="6"/>
  <c r="QB7" i="6"/>
  <c r="QP1" i="6"/>
  <c r="QO3" i="6"/>
  <c r="QO5" i="6"/>
  <c r="QO6" i="6"/>
  <c r="QO9" i="6"/>
  <c r="QN3" i="6"/>
  <c r="QM10" i="6"/>
  <c r="QD4" i="6"/>
  <c r="QC7" i="6"/>
  <c r="QN10" i="6"/>
  <c r="QQ1" i="6"/>
  <c r="QP3" i="6"/>
  <c r="QP5" i="6"/>
  <c r="QP6" i="6"/>
  <c r="QR1" i="6"/>
  <c r="QQ3" i="6"/>
  <c r="QQ5" i="6"/>
  <c r="QQ6" i="6"/>
  <c r="QQ9" i="6"/>
  <c r="QO10" i="6"/>
  <c r="QE4" i="6"/>
  <c r="QD7" i="6"/>
  <c r="QP9" i="6"/>
  <c r="QP10" i="6"/>
  <c r="QF4" i="6"/>
  <c r="QE7" i="6"/>
  <c r="QS1" i="6"/>
  <c r="QR3" i="6"/>
  <c r="QR5" i="6"/>
  <c r="QR6" i="6"/>
  <c r="QR9" i="6"/>
  <c r="QT1" i="6"/>
  <c r="QS3" i="6"/>
  <c r="QS5" i="6"/>
  <c r="QS6" i="6"/>
  <c r="QS9" i="6"/>
  <c r="QG4" i="6"/>
  <c r="QF7" i="6"/>
  <c r="QQ10" i="6"/>
  <c r="QH4" i="6"/>
  <c r="QG7" i="6"/>
  <c r="QU1" i="6"/>
  <c r="QR10" i="6"/>
  <c r="QV1" i="6"/>
  <c r="QU3" i="6"/>
  <c r="QU5" i="6"/>
  <c r="QU9" i="6"/>
  <c r="QT9" i="6"/>
  <c r="QT3" i="6"/>
  <c r="QI4" i="6"/>
  <c r="QH7" i="6"/>
  <c r="QT5" i="6"/>
  <c r="QT6" i="6"/>
  <c r="QU6" i="6"/>
  <c r="QS10" i="6"/>
  <c r="QJ4" i="6"/>
  <c r="QI7" i="6"/>
  <c r="QT10" i="6"/>
  <c r="QW1" i="6"/>
  <c r="QV3" i="6"/>
  <c r="QV5" i="6"/>
  <c r="QV6" i="6"/>
  <c r="QV9" i="6"/>
  <c r="QU10" i="6"/>
  <c r="QX1" i="6"/>
  <c r="QW3" i="6"/>
  <c r="QK4" i="6"/>
  <c r="QJ7" i="6"/>
  <c r="QY1" i="6"/>
  <c r="QX3" i="6"/>
  <c r="QX5" i="6"/>
  <c r="QX9" i="6"/>
  <c r="QL4" i="6"/>
  <c r="QK7" i="6"/>
  <c r="QW5" i="6"/>
  <c r="QW6" i="6"/>
  <c r="QW9" i="6"/>
  <c r="QV10" i="6"/>
  <c r="QM4" i="6"/>
  <c r="QL7" i="6"/>
  <c r="QW10" i="6"/>
  <c r="QZ1" i="6"/>
  <c r="QY3" i="6"/>
  <c r="QY5" i="6"/>
  <c r="QX6" i="6"/>
  <c r="QX10" i="6"/>
  <c r="RA1" i="6"/>
  <c r="QZ9" i="6"/>
  <c r="QN4" i="6"/>
  <c r="QM7" i="6"/>
  <c r="QY6" i="6"/>
  <c r="QY9" i="6"/>
  <c r="QO4" i="6"/>
  <c r="QN7" i="6"/>
  <c r="RB1" i="6"/>
  <c r="RA3" i="6"/>
  <c r="RA5" i="6"/>
  <c r="RA9" i="6"/>
  <c r="QZ5" i="6"/>
  <c r="QZ6" i="6"/>
  <c r="RA6" i="6"/>
  <c r="QZ3" i="6"/>
  <c r="QY10" i="6"/>
  <c r="QZ10" i="6"/>
  <c r="RC1" i="6"/>
  <c r="RB9" i="6"/>
  <c r="QP4" i="6"/>
  <c r="QO7" i="6"/>
  <c r="QQ4" i="6"/>
  <c r="QP7" i="6"/>
  <c r="RD1" i="6"/>
  <c r="RC3" i="6"/>
  <c r="RC5" i="6"/>
  <c r="RC9" i="6"/>
  <c r="RB5" i="6"/>
  <c r="RB6" i="6"/>
  <c r="RC6" i="6"/>
  <c r="RB3" i="6"/>
  <c r="RA10" i="6"/>
  <c r="RB10" i="6"/>
  <c r="RE1" i="6"/>
  <c r="RD5" i="6"/>
  <c r="RD6" i="6"/>
  <c r="RD3" i="6"/>
  <c r="RD9" i="6"/>
  <c r="QR4" i="6"/>
  <c r="QQ7" i="6"/>
  <c r="RF1" i="6"/>
  <c r="RE9" i="6"/>
  <c r="RC10" i="6"/>
  <c r="QS4" i="6"/>
  <c r="QR7" i="6"/>
  <c r="RD10" i="6"/>
  <c r="RG1" i="6"/>
  <c r="RF3" i="6"/>
  <c r="RF5" i="6"/>
  <c r="RF9" i="6"/>
  <c r="RE5" i="6"/>
  <c r="RE6" i="6"/>
  <c r="RE3" i="6"/>
  <c r="QT4" i="6"/>
  <c r="QS7" i="6"/>
  <c r="RF6" i="6"/>
  <c r="RH1" i="6"/>
  <c r="RG3" i="6"/>
  <c r="QU4" i="6"/>
  <c r="QT7" i="6"/>
  <c r="RE10" i="6"/>
  <c r="QV4" i="6"/>
  <c r="QU7" i="6"/>
  <c r="RG9" i="6"/>
  <c r="RG5" i="6"/>
  <c r="RG6" i="6"/>
  <c r="RI1" i="6"/>
  <c r="RH5" i="6"/>
  <c r="RF10" i="6"/>
  <c r="RH6" i="6"/>
  <c r="RJ1" i="6"/>
  <c r="RI3" i="6"/>
  <c r="RI5" i="6"/>
  <c r="RI6" i="6"/>
  <c r="RI9" i="6"/>
  <c r="RH3" i="6"/>
  <c r="RG10" i="6"/>
  <c r="RH9" i="6"/>
  <c r="QW4" i="6"/>
  <c r="QV7" i="6"/>
  <c r="RH10" i="6"/>
  <c r="QX4" i="6"/>
  <c r="QW7" i="6"/>
  <c r="RK1" i="6"/>
  <c r="RJ3" i="6"/>
  <c r="RJ9" i="6"/>
  <c r="RL1" i="6"/>
  <c r="RK3" i="6"/>
  <c r="RK5" i="6"/>
  <c r="RK9" i="6"/>
  <c r="QY4" i="6"/>
  <c r="QX7" i="6"/>
  <c r="RI10" i="6"/>
  <c r="RJ5" i="6"/>
  <c r="RJ6" i="6"/>
  <c r="RJ10" i="6"/>
  <c r="QZ4" i="6"/>
  <c r="QY7" i="6"/>
  <c r="RK6" i="6"/>
  <c r="RM1" i="6"/>
  <c r="RL3" i="6"/>
  <c r="RL5" i="6"/>
  <c r="RL9" i="6"/>
  <c r="RL6" i="6"/>
  <c r="RK10" i="6"/>
  <c r="RN1" i="6"/>
  <c r="RM3" i="6"/>
  <c r="RM5" i="6"/>
  <c r="RM9" i="6"/>
  <c r="RA4" i="6"/>
  <c r="QZ7" i="6"/>
  <c r="RB4" i="6"/>
  <c r="RA7" i="6"/>
  <c r="RO1" i="6"/>
  <c r="RN3" i="6"/>
  <c r="RN5" i="6"/>
  <c r="RN9" i="6"/>
  <c r="RL10" i="6"/>
  <c r="RM6" i="6"/>
  <c r="RN6" i="6"/>
  <c r="RM10" i="6"/>
  <c r="RP1" i="6"/>
  <c r="RO3" i="6"/>
  <c r="RO5" i="6"/>
  <c r="RO6" i="6"/>
  <c r="RO9" i="6"/>
  <c r="RC4" i="6"/>
  <c r="RB7" i="6"/>
  <c r="RD4" i="6"/>
  <c r="RC7" i="6"/>
  <c r="RQ1" i="6"/>
  <c r="RN10" i="6"/>
  <c r="RR1" i="6"/>
  <c r="RQ3" i="6"/>
  <c r="RQ5" i="6"/>
  <c r="RQ9" i="6"/>
  <c r="RO10" i="6"/>
  <c r="RP9" i="6"/>
  <c r="RP5" i="6"/>
  <c r="RP6" i="6"/>
  <c r="RP3" i="6"/>
  <c r="RE4" i="6"/>
  <c r="RD7" i="6"/>
  <c r="RQ6" i="6"/>
  <c r="RP10" i="6"/>
  <c r="RF4" i="6"/>
  <c r="RE7" i="6"/>
  <c r="RS1" i="6"/>
  <c r="RR3" i="6"/>
  <c r="RR5" i="6"/>
  <c r="RR6" i="6"/>
  <c r="RR9" i="6"/>
  <c r="RT1" i="6"/>
  <c r="RS5" i="6"/>
  <c r="RS6" i="6"/>
  <c r="RS9" i="6"/>
  <c r="RG4" i="6"/>
  <c r="RF7" i="6"/>
  <c r="RQ10" i="6"/>
  <c r="RR10" i="6"/>
  <c r="RH4" i="6"/>
  <c r="RG7" i="6"/>
  <c r="RU1" i="6"/>
  <c r="RT3" i="6"/>
  <c r="RT5" i="6"/>
  <c r="RT6" i="6"/>
  <c r="RT9" i="6"/>
  <c r="RS3" i="6"/>
  <c r="RV1" i="6"/>
  <c r="RU5" i="6"/>
  <c r="RU6" i="6"/>
  <c r="RU9" i="6"/>
  <c r="RI4" i="6"/>
  <c r="RH7" i="6"/>
  <c r="RS10" i="6"/>
  <c r="RT10" i="6"/>
  <c r="RW1" i="6"/>
  <c r="RV3" i="6"/>
  <c r="RV5" i="6"/>
  <c r="RV6" i="6"/>
  <c r="RV9" i="6"/>
  <c r="RU3" i="6"/>
  <c r="RJ4" i="6"/>
  <c r="RI7" i="6"/>
  <c r="RK4" i="6"/>
  <c r="RJ7" i="6"/>
  <c r="RX1" i="6"/>
  <c r="RW3" i="6"/>
  <c r="RW5" i="6"/>
  <c r="RW6" i="6"/>
  <c r="RW9" i="6"/>
  <c r="RU10" i="6"/>
  <c r="RV10" i="6"/>
  <c r="RY1" i="6"/>
  <c r="RX3" i="6"/>
  <c r="RX5" i="6"/>
  <c r="RX6" i="6"/>
  <c r="RX9" i="6"/>
  <c r="RL4" i="6"/>
  <c r="RK7" i="6"/>
  <c r="RZ1" i="6"/>
  <c r="RY3" i="6"/>
  <c r="RY5" i="6"/>
  <c r="RY6" i="6"/>
  <c r="RY9" i="6"/>
  <c r="RW10" i="6"/>
  <c r="RM4" i="6"/>
  <c r="RL7" i="6"/>
  <c r="RX10" i="6"/>
  <c r="SA1" i="6"/>
  <c r="RZ3" i="6"/>
  <c r="RZ5" i="6"/>
  <c r="RZ6" i="6"/>
  <c r="RZ9" i="6"/>
  <c r="RN4" i="6"/>
  <c r="RM7" i="6"/>
  <c r="SB1" i="6"/>
  <c r="SA3" i="6"/>
  <c r="SA5" i="6"/>
  <c r="SA6" i="6"/>
  <c r="SA9" i="6"/>
  <c r="RY10" i="6"/>
  <c r="RO4" i="6"/>
  <c r="RN7" i="6"/>
  <c r="RZ10" i="6"/>
  <c r="SC1" i="6"/>
  <c r="SB3" i="6"/>
  <c r="SB5" i="6"/>
  <c r="SB6" i="6"/>
  <c r="SB9" i="6"/>
  <c r="RP4" i="6"/>
  <c r="RO7" i="6"/>
  <c r="SD1" i="6"/>
  <c r="SC3" i="6"/>
  <c r="SC5" i="6"/>
  <c r="SC6" i="6"/>
  <c r="SC9" i="6"/>
  <c r="SA10" i="6"/>
  <c r="RQ4" i="6"/>
  <c r="RP7" i="6"/>
  <c r="SB10" i="6"/>
  <c r="SE1" i="6"/>
  <c r="SD3" i="6"/>
  <c r="SD5" i="6"/>
  <c r="SD6" i="6"/>
  <c r="SD9" i="6"/>
  <c r="RR4" i="6"/>
  <c r="RQ7" i="6"/>
  <c r="SF1" i="6"/>
  <c r="SE3" i="6"/>
  <c r="SE5" i="6"/>
  <c r="SE6" i="6"/>
  <c r="SE9" i="6"/>
  <c r="SC10" i="6"/>
  <c r="RS4" i="6"/>
  <c r="RR7" i="6"/>
  <c r="SD10" i="6"/>
  <c r="SG1" i="6"/>
  <c r="SF5" i="6"/>
  <c r="SF6" i="6"/>
  <c r="SF9" i="6"/>
  <c r="RT4" i="6"/>
  <c r="RS7" i="6"/>
  <c r="SH1" i="6"/>
  <c r="SG3" i="6"/>
  <c r="SG5" i="6"/>
  <c r="SG6" i="6"/>
  <c r="SG9" i="6"/>
  <c r="SF3" i="6"/>
  <c r="SE10" i="6"/>
  <c r="RU4" i="6"/>
  <c r="RT7" i="6"/>
  <c r="SF10" i="6"/>
  <c r="RV4" i="6"/>
  <c r="RU7" i="6"/>
  <c r="SI1" i="6"/>
  <c r="SH3" i="6"/>
  <c r="SH5" i="6"/>
  <c r="SH6" i="6"/>
  <c r="SJ1" i="6"/>
  <c r="SI3" i="6"/>
  <c r="SI5" i="6"/>
  <c r="SI6" i="6"/>
  <c r="SI9" i="6"/>
  <c r="RW4" i="6"/>
  <c r="RV7" i="6"/>
  <c r="SG10" i="6"/>
  <c r="SH9" i="6"/>
  <c r="SH10" i="6"/>
  <c r="RX4" i="6"/>
  <c r="RW7" i="6"/>
  <c r="SK1" i="6"/>
  <c r="SJ3" i="6"/>
  <c r="SJ5" i="6"/>
  <c r="SJ6" i="6"/>
  <c r="SJ9" i="6"/>
  <c r="SL1" i="6"/>
  <c r="SK3" i="6"/>
  <c r="SK5" i="6"/>
  <c r="SK6" i="6"/>
  <c r="SK9" i="6"/>
  <c r="RY4" i="6"/>
  <c r="RX7" i="6"/>
  <c r="SI10" i="6"/>
  <c r="SJ10" i="6"/>
  <c r="RZ4" i="6"/>
  <c r="RY7" i="6"/>
  <c r="SM1" i="6"/>
  <c r="SL5" i="6"/>
  <c r="SL6" i="6"/>
  <c r="SL9" i="6"/>
  <c r="SN1" i="6"/>
  <c r="SM3" i="6"/>
  <c r="SM5" i="6"/>
  <c r="SM6" i="6"/>
  <c r="SM9" i="6"/>
  <c r="SL3" i="6"/>
  <c r="SA4" i="6"/>
  <c r="RZ7" i="6"/>
  <c r="SK10" i="6"/>
  <c r="SL10" i="6"/>
  <c r="SB4" i="6"/>
  <c r="SA7" i="6"/>
  <c r="SO1" i="6"/>
  <c r="SN3" i="6"/>
  <c r="SN5" i="6"/>
  <c r="SN6" i="6"/>
  <c r="SN9" i="6"/>
  <c r="SP1" i="6"/>
  <c r="SO3" i="6"/>
  <c r="SO5" i="6"/>
  <c r="SO6" i="6"/>
  <c r="SO9" i="6"/>
  <c r="SC4" i="6"/>
  <c r="SB7" i="6"/>
  <c r="SM10" i="6"/>
  <c r="SD4" i="6"/>
  <c r="SC7" i="6"/>
  <c r="SN10" i="6"/>
  <c r="SQ1" i="6"/>
  <c r="SP3" i="6"/>
  <c r="SP5" i="6"/>
  <c r="SP6" i="6"/>
  <c r="SP9" i="6"/>
  <c r="SR1" i="6"/>
  <c r="SQ3" i="6"/>
  <c r="SQ5" i="6"/>
  <c r="SQ6" i="6"/>
  <c r="SQ9" i="6"/>
  <c r="SO10" i="6"/>
  <c r="SE4" i="6"/>
  <c r="SD7" i="6"/>
  <c r="SF4" i="6"/>
  <c r="SE7" i="6"/>
  <c r="SP10" i="6"/>
  <c r="SR3" i="6"/>
  <c r="SS1" i="6"/>
  <c r="SR5" i="6"/>
  <c r="SR6" i="6"/>
  <c r="SR9" i="6"/>
  <c r="ST1" i="6"/>
  <c r="SS3" i="6"/>
  <c r="SS5" i="6"/>
  <c r="SS6" i="6"/>
  <c r="SS9" i="6"/>
  <c r="SQ10" i="6"/>
  <c r="SG4" i="6"/>
  <c r="SF7" i="6"/>
  <c r="SH4" i="6"/>
  <c r="SG7" i="6"/>
  <c r="SR10" i="6"/>
  <c r="SU1" i="6"/>
  <c r="ST3" i="6"/>
  <c r="ST5" i="6"/>
  <c r="ST6" i="6"/>
  <c r="ST9" i="6"/>
  <c r="SV1" i="6"/>
  <c r="SU3" i="6"/>
  <c r="SU5" i="6"/>
  <c r="SU6" i="6"/>
  <c r="SU9" i="6"/>
  <c r="SS10" i="6"/>
  <c r="SI4" i="6"/>
  <c r="SH7" i="6"/>
  <c r="SJ4" i="6"/>
  <c r="SI7" i="6"/>
  <c r="ST10" i="6"/>
  <c r="SW1" i="6"/>
  <c r="SV3" i="6"/>
  <c r="SV5" i="6"/>
  <c r="SV6" i="6"/>
  <c r="SV9" i="6"/>
  <c r="SX1" i="6"/>
  <c r="SW5" i="6"/>
  <c r="SW6" i="6"/>
  <c r="SW9" i="6"/>
  <c r="SU10" i="6"/>
  <c r="SK4" i="6"/>
  <c r="SJ7" i="6"/>
  <c r="SL4" i="6"/>
  <c r="SK7" i="6"/>
  <c r="SV10" i="6"/>
  <c r="SY1" i="6"/>
  <c r="SX3" i="6"/>
  <c r="SX5" i="6"/>
  <c r="SX6" i="6"/>
  <c r="SX9" i="6"/>
  <c r="SW3" i="6"/>
  <c r="SM4" i="6"/>
  <c r="SL7" i="6"/>
  <c r="SW10" i="6"/>
  <c r="SZ1" i="6"/>
  <c r="SY3" i="6"/>
  <c r="SY5" i="6"/>
  <c r="SY6" i="6"/>
  <c r="TA1" i="6"/>
  <c r="SZ5" i="6"/>
  <c r="SZ6" i="6"/>
  <c r="SZ9" i="6"/>
  <c r="SX10" i="6"/>
  <c r="SN4" i="6"/>
  <c r="SM7" i="6"/>
  <c r="SY9" i="6"/>
  <c r="SY10" i="6"/>
  <c r="TB1" i="6"/>
  <c r="TA3" i="6"/>
  <c r="TA5" i="6"/>
  <c r="TA6" i="6"/>
  <c r="TA9" i="6"/>
  <c r="SZ3" i="6"/>
  <c r="SO4" i="6"/>
  <c r="SN7" i="6"/>
  <c r="TC1" i="6"/>
  <c r="TB5" i="6"/>
  <c r="TB6" i="6"/>
  <c r="TB9" i="6"/>
  <c r="SZ10" i="6"/>
  <c r="SP4" i="6"/>
  <c r="SO7" i="6"/>
  <c r="TA10" i="6"/>
  <c r="TD1" i="6"/>
  <c r="TC5" i="6"/>
  <c r="TC6" i="6"/>
  <c r="TC9" i="6"/>
  <c r="TB3" i="6"/>
  <c r="SQ4" i="6"/>
  <c r="SP7" i="6"/>
  <c r="TB10" i="6"/>
  <c r="TE1" i="6"/>
  <c r="TD5" i="6"/>
  <c r="TD6" i="6"/>
  <c r="TD9" i="6"/>
  <c r="TD3" i="6"/>
  <c r="SR4" i="6"/>
  <c r="SQ7" i="6"/>
  <c r="TC3" i="6"/>
  <c r="TF1" i="6"/>
  <c r="TE3" i="6"/>
  <c r="TE5" i="6"/>
  <c r="TE6" i="6"/>
  <c r="TE9" i="6"/>
  <c r="TC10" i="6"/>
  <c r="SS4" i="6"/>
  <c r="SR7" i="6"/>
  <c r="TD10" i="6"/>
  <c r="TF3" i="6"/>
  <c r="TG1" i="6"/>
  <c r="TF5" i="6"/>
  <c r="TF6" i="6"/>
  <c r="TF9" i="6"/>
  <c r="ST4" i="6"/>
  <c r="SS7" i="6"/>
  <c r="TH1" i="6"/>
  <c r="TG3" i="6"/>
  <c r="TG5" i="6"/>
  <c r="TG6" i="6"/>
  <c r="TG9" i="6"/>
  <c r="TE10" i="6"/>
  <c r="SU4" i="6"/>
  <c r="ST7" i="6"/>
  <c r="TF10" i="6"/>
  <c r="TI1" i="6"/>
  <c r="TH5" i="6"/>
  <c r="TH6" i="6"/>
  <c r="TH9" i="6"/>
  <c r="SV4" i="6"/>
  <c r="SU7" i="6"/>
  <c r="TJ1" i="6"/>
  <c r="TI5" i="6"/>
  <c r="TI6" i="6"/>
  <c r="TI9" i="6"/>
  <c r="TH3" i="6"/>
  <c r="TG10" i="6"/>
  <c r="SW4" i="6"/>
  <c r="SV7" i="6"/>
  <c r="TH10" i="6"/>
  <c r="TK1" i="6"/>
  <c r="TJ3" i="6"/>
  <c r="TJ5" i="6"/>
  <c r="TJ6" i="6"/>
  <c r="TJ9" i="6"/>
  <c r="TI3" i="6"/>
  <c r="SX4" i="6"/>
  <c r="SW7" i="6"/>
  <c r="TL1" i="6"/>
  <c r="TK3" i="6"/>
  <c r="TK5" i="6"/>
  <c r="TK6" i="6"/>
  <c r="TK9" i="6"/>
  <c r="SY4" i="6"/>
  <c r="SX7" i="6"/>
  <c r="TI10" i="6"/>
  <c r="TJ10" i="6"/>
  <c r="SZ4" i="6"/>
  <c r="SY7" i="6"/>
  <c r="TM1" i="6"/>
  <c r="TL3" i="6"/>
  <c r="TL5" i="6"/>
  <c r="TL6" i="6"/>
  <c r="TL9" i="6"/>
  <c r="TN1" i="6"/>
  <c r="TM3" i="6"/>
  <c r="TM5" i="6"/>
  <c r="TM6" i="6"/>
  <c r="TM9" i="6"/>
  <c r="TA4" i="6"/>
  <c r="SZ7" i="6"/>
  <c r="TK10" i="6"/>
  <c r="TB4" i="6"/>
  <c r="TA7" i="6"/>
  <c r="TL10" i="6"/>
  <c r="TO1" i="6"/>
  <c r="TN3" i="6"/>
  <c r="TN5" i="6"/>
  <c r="TN6" i="6"/>
  <c r="TN9" i="6"/>
  <c r="TM10" i="6"/>
  <c r="TP1" i="6"/>
  <c r="TO3" i="6"/>
  <c r="TO5" i="6"/>
  <c r="TO6" i="6"/>
  <c r="TO9" i="6"/>
  <c r="TC4" i="6"/>
  <c r="TB7" i="6"/>
  <c r="TD4" i="6"/>
  <c r="TC7" i="6"/>
  <c r="TQ1" i="6"/>
  <c r="TP3" i="6"/>
  <c r="TP5" i="6"/>
  <c r="TP6" i="6"/>
  <c r="TP9" i="6"/>
  <c r="TN10" i="6"/>
  <c r="TO10" i="6"/>
  <c r="TR1" i="6"/>
  <c r="TQ3" i="6"/>
  <c r="TQ5" i="6"/>
  <c r="TQ6" i="6"/>
  <c r="TQ9" i="6"/>
  <c r="TE4" i="6"/>
  <c r="TD7" i="6"/>
  <c r="TF4" i="6"/>
  <c r="TE7" i="6"/>
  <c r="TS1" i="6"/>
  <c r="TR5" i="6"/>
  <c r="TR6" i="6"/>
  <c r="TR9" i="6"/>
  <c r="TP10" i="6"/>
  <c r="TQ10" i="6"/>
  <c r="TT1" i="6"/>
  <c r="TS3" i="6"/>
  <c r="TS5" i="6"/>
  <c r="TS6" i="6"/>
  <c r="TS9" i="6"/>
  <c r="TR3" i="6"/>
  <c r="TG4" i="6"/>
  <c r="TF7" i="6"/>
  <c r="TH4" i="6"/>
  <c r="TG7" i="6"/>
  <c r="TU1" i="6"/>
  <c r="TT3" i="6"/>
  <c r="TT5" i="6"/>
  <c r="TT6" i="6"/>
  <c r="TT9" i="6"/>
  <c r="TR10" i="6"/>
  <c r="TS10" i="6"/>
  <c r="TV1" i="6"/>
  <c r="TU5" i="6"/>
  <c r="TU6" i="6"/>
  <c r="TU3" i="6"/>
  <c r="TU9" i="6"/>
  <c r="TI4" i="6"/>
  <c r="TH7" i="6"/>
  <c r="TJ4" i="6"/>
  <c r="TI7" i="6"/>
  <c r="TW1" i="6"/>
  <c r="TV3" i="6"/>
  <c r="TV5" i="6"/>
  <c r="TV6" i="6"/>
  <c r="TT10" i="6"/>
  <c r="TU10" i="6"/>
  <c r="TX1" i="6"/>
  <c r="TV9" i="6"/>
  <c r="TK4" i="6"/>
  <c r="TJ7" i="6"/>
  <c r="TY1" i="6"/>
  <c r="TX3" i="6"/>
  <c r="TX5" i="6"/>
  <c r="TX9" i="6"/>
  <c r="TL4" i="6"/>
  <c r="TK7" i="6"/>
  <c r="TV10" i="6"/>
  <c r="TW9" i="6"/>
  <c r="TW5" i="6"/>
  <c r="TW6" i="6"/>
  <c r="TW3" i="6"/>
  <c r="TW10" i="6"/>
  <c r="TM4" i="6"/>
  <c r="TL7" i="6"/>
  <c r="TX6" i="6"/>
  <c r="TZ1" i="6"/>
  <c r="TY5" i="6"/>
  <c r="UA1" i="6"/>
  <c r="TZ3" i="6"/>
  <c r="TZ5" i="6"/>
  <c r="TZ9" i="6"/>
  <c r="TY9" i="6"/>
  <c r="TY3" i="6"/>
  <c r="TY6" i="6"/>
  <c r="TN4" i="6"/>
  <c r="TM7" i="6"/>
  <c r="TX10" i="6"/>
  <c r="TO4" i="6"/>
  <c r="TN7" i="6"/>
  <c r="TY10" i="6"/>
  <c r="UB1" i="6"/>
  <c r="UA3" i="6"/>
  <c r="UA5" i="6"/>
  <c r="TZ6" i="6"/>
  <c r="UC1" i="6"/>
  <c r="UB3" i="6"/>
  <c r="UB5" i="6"/>
  <c r="UB9" i="6"/>
  <c r="TZ10" i="6"/>
  <c r="UA6" i="6"/>
  <c r="TP4" i="6"/>
  <c r="TO7" i="6"/>
  <c r="UA9" i="6"/>
  <c r="UB6" i="6"/>
  <c r="UA10" i="6"/>
  <c r="UD1" i="6"/>
  <c r="UC3" i="6"/>
  <c r="UC5" i="6"/>
  <c r="UC9" i="6"/>
  <c r="TQ4" i="6"/>
  <c r="TP7" i="6"/>
  <c r="UE1" i="6"/>
  <c r="UD5" i="6"/>
  <c r="UD9" i="6"/>
  <c r="UB10" i="6"/>
  <c r="UC6" i="6"/>
  <c r="TR4" i="6"/>
  <c r="TQ7" i="6"/>
  <c r="UD6" i="6"/>
  <c r="UC10" i="6"/>
  <c r="UF1" i="6"/>
  <c r="UE9" i="6"/>
  <c r="UD3" i="6"/>
  <c r="TS4" i="6"/>
  <c r="TR7" i="6"/>
  <c r="UG1" i="6"/>
  <c r="UF5" i="6"/>
  <c r="UF3" i="6"/>
  <c r="UF9" i="6"/>
  <c r="UE5" i="6"/>
  <c r="UE6" i="6"/>
  <c r="UF6" i="6"/>
  <c r="UE3" i="6"/>
  <c r="UD10" i="6"/>
  <c r="TT4" i="6"/>
  <c r="TS7" i="6"/>
  <c r="UE10" i="6"/>
  <c r="TU4" i="6"/>
  <c r="TT7" i="6"/>
  <c r="UH1" i="6"/>
  <c r="UG3" i="6"/>
  <c r="UG5" i="6"/>
  <c r="UG6" i="6"/>
  <c r="UI1" i="6"/>
  <c r="UH3" i="6"/>
  <c r="UH5" i="6"/>
  <c r="UH6" i="6"/>
  <c r="UH9" i="6"/>
  <c r="TV4" i="6"/>
  <c r="TU7" i="6"/>
  <c r="UF10" i="6"/>
  <c r="UG9" i="6"/>
  <c r="UG10" i="6"/>
  <c r="TW4" i="6"/>
  <c r="TV7" i="6"/>
  <c r="UJ1" i="6"/>
  <c r="UI3" i="6"/>
  <c r="UI5" i="6"/>
  <c r="UI6" i="6"/>
  <c r="UI9" i="6"/>
  <c r="UK1" i="6"/>
  <c r="UJ3" i="6"/>
  <c r="UJ5" i="6"/>
  <c r="UJ6" i="6"/>
  <c r="UJ9" i="6"/>
  <c r="TX4" i="6"/>
  <c r="TW7" i="6"/>
  <c r="UH10" i="6"/>
  <c r="TY4" i="6"/>
  <c r="TX7" i="6"/>
  <c r="UI10" i="6"/>
  <c r="UL1" i="6"/>
  <c r="UK3" i="6"/>
  <c r="UK5" i="6"/>
  <c r="UK6" i="6"/>
  <c r="UK9" i="6"/>
  <c r="UM1" i="6"/>
  <c r="UL5" i="6"/>
  <c r="UL6" i="6"/>
  <c r="UL9" i="6"/>
  <c r="UJ10" i="6"/>
  <c r="TZ4" i="6"/>
  <c r="TY7" i="6"/>
  <c r="UA4" i="6"/>
  <c r="TZ7" i="6"/>
  <c r="UK10" i="6"/>
  <c r="UN1" i="6"/>
  <c r="UM5" i="6"/>
  <c r="UM6" i="6"/>
  <c r="UM3" i="6"/>
  <c r="UL3" i="6"/>
  <c r="UO1" i="6"/>
  <c r="UN3" i="6"/>
  <c r="UN5" i="6"/>
  <c r="UN6" i="6"/>
  <c r="UN9" i="6"/>
  <c r="UL10" i="6"/>
  <c r="UB4" i="6"/>
  <c r="UA7" i="6"/>
  <c r="UM9" i="6"/>
  <c r="UM10" i="6"/>
  <c r="UC4" i="6"/>
  <c r="UB7" i="6"/>
  <c r="UP1" i="6"/>
  <c r="UO3" i="6"/>
  <c r="UO5" i="6"/>
  <c r="UO6" i="6"/>
  <c r="UO9" i="6"/>
  <c r="UQ1" i="6"/>
  <c r="UP3" i="6"/>
  <c r="UP5" i="6"/>
  <c r="UP6" i="6"/>
  <c r="UP9" i="6"/>
  <c r="UD4" i="6"/>
  <c r="UC7" i="6"/>
  <c r="UN10" i="6"/>
  <c r="UO10" i="6"/>
  <c r="UE4" i="6"/>
  <c r="UD7" i="6"/>
  <c r="UR1" i="6"/>
  <c r="UQ3" i="6"/>
  <c r="UQ5" i="6"/>
  <c r="UQ6" i="6"/>
  <c r="UF4" i="6"/>
  <c r="UE7" i="6"/>
  <c r="US1" i="6"/>
  <c r="UR3" i="6"/>
  <c r="UR5" i="6"/>
  <c r="UR6" i="6"/>
  <c r="UR9" i="6"/>
  <c r="UP10" i="6"/>
  <c r="UQ9" i="6"/>
  <c r="UQ10" i="6"/>
  <c r="UT1" i="6"/>
  <c r="US3" i="6"/>
  <c r="US5" i="6"/>
  <c r="US6" i="6"/>
  <c r="US9" i="6"/>
  <c r="UG4" i="6"/>
  <c r="UF7" i="6"/>
  <c r="UU1" i="6"/>
  <c r="UT3" i="6"/>
  <c r="UT5" i="6"/>
  <c r="UT6" i="6"/>
  <c r="UT9" i="6"/>
  <c r="UR10" i="6"/>
  <c r="UH4" i="6"/>
  <c r="UG7" i="6"/>
  <c r="US10" i="6"/>
  <c r="UV1" i="6"/>
  <c r="UU3" i="6"/>
  <c r="UU5" i="6"/>
  <c r="UU6" i="6"/>
  <c r="UU9" i="6"/>
  <c r="UI4" i="6"/>
  <c r="UH7" i="6"/>
  <c r="UW1" i="6"/>
  <c r="UV5" i="6"/>
  <c r="UV6" i="6"/>
  <c r="UV9" i="6"/>
  <c r="UT10" i="6"/>
  <c r="UJ4" i="6"/>
  <c r="UI7" i="6"/>
  <c r="UU10" i="6"/>
  <c r="UK4" i="6"/>
  <c r="UJ7" i="6"/>
  <c r="UX1" i="6"/>
  <c r="UW3" i="6"/>
  <c r="UW5" i="6"/>
  <c r="UW6" i="6"/>
  <c r="UW9" i="6"/>
  <c r="UV3" i="6"/>
  <c r="UY1" i="6"/>
  <c r="UX3" i="6"/>
  <c r="UX5" i="6"/>
  <c r="UX6" i="6"/>
  <c r="UX9" i="6"/>
  <c r="UL4" i="6"/>
  <c r="UK7" i="6"/>
  <c r="UV10" i="6"/>
  <c r="UW10" i="6"/>
  <c r="UM4" i="6"/>
  <c r="UL7" i="6"/>
  <c r="UZ1" i="6"/>
  <c r="UY3" i="6"/>
  <c r="UY5" i="6"/>
  <c r="UY6" i="6"/>
  <c r="UY9" i="6"/>
  <c r="VA1" i="6"/>
  <c r="UZ3" i="6"/>
  <c r="UZ5" i="6"/>
  <c r="UZ6" i="6"/>
  <c r="UZ9" i="6"/>
  <c r="UN4" i="6"/>
  <c r="UM7" i="6"/>
  <c r="UX10" i="6"/>
  <c r="UY10" i="6"/>
  <c r="UO4" i="6"/>
  <c r="UN7" i="6"/>
  <c r="VB1" i="6"/>
  <c r="VA3" i="6"/>
  <c r="VA9" i="6"/>
  <c r="VA5" i="6"/>
  <c r="VA6" i="6"/>
  <c r="VC1" i="6"/>
  <c r="VB3" i="6"/>
  <c r="VB5" i="6"/>
  <c r="VB6" i="6"/>
  <c r="VB9" i="6"/>
  <c r="UP4" i="6"/>
  <c r="UO7" i="6"/>
  <c r="UZ10" i="6"/>
  <c r="VA10" i="6"/>
  <c r="UQ4" i="6"/>
  <c r="UP7" i="6"/>
  <c r="VD1" i="6"/>
  <c r="VC5" i="6"/>
  <c r="VC6" i="6"/>
  <c r="VC9" i="6"/>
  <c r="VE1" i="6"/>
  <c r="VD5" i="6"/>
  <c r="VD6" i="6"/>
  <c r="VD3" i="6"/>
  <c r="VD9" i="6"/>
  <c r="VC3" i="6"/>
  <c r="UR4" i="6"/>
  <c r="UQ7" i="6"/>
  <c r="VB10" i="6"/>
  <c r="US4" i="6"/>
  <c r="UR7" i="6"/>
  <c r="VF1" i="6"/>
  <c r="VE3" i="6"/>
  <c r="VE5" i="6"/>
  <c r="VE6" i="6"/>
  <c r="VE9" i="6"/>
  <c r="VC10" i="6"/>
  <c r="VG1" i="6"/>
  <c r="VF3" i="6"/>
  <c r="VF9" i="6"/>
  <c r="VF5" i="6"/>
  <c r="VF6" i="6"/>
  <c r="UT4" i="6"/>
  <c r="US7" i="6"/>
  <c r="VD10" i="6"/>
  <c r="UU4" i="6"/>
  <c r="UT7" i="6"/>
  <c r="VH1" i="6"/>
  <c r="VG3" i="6"/>
  <c r="VG5" i="6"/>
  <c r="VG6" i="6"/>
  <c r="VG9" i="6"/>
  <c r="VE10" i="6"/>
  <c r="VI1" i="6"/>
  <c r="VH5" i="6"/>
  <c r="VH6" i="6"/>
  <c r="VH9" i="6"/>
  <c r="UV4" i="6"/>
  <c r="UU7" i="6"/>
  <c r="VF10" i="6"/>
  <c r="UW4" i="6"/>
  <c r="UV7" i="6"/>
  <c r="VJ1" i="6"/>
  <c r="VI5" i="6"/>
  <c r="VI6" i="6"/>
  <c r="VI9" i="6"/>
  <c r="VH3" i="6"/>
  <c r="VG10" i="6"/>
  <c r="VH10" i="6"/>
  <c r="VK1" i="6"/>
  <c r="VJ3" i="6"/>
  <c r="VJ5" i="6"/>
  <c r="VJ6" i="6"/>
  <c r="VJ9" i="6"/>
  <c r="VI3" i="6"/>
  <c r="UX4" i="6"/>
  <c r="UW7" i="6"/>
  <c r="VL1" i="6"/>
  <c r="VK3" i="6"/>
  <c r="VK5" i="6"/>
  <c r="VK6" i="6"/>
  <c r="VK9" i="6"/>
  <c r="VI10" i="6"/>
  <c r="UY4" i="6"/>
  <c r="UX7" i="6"/>
  <c r="VJ10" i="6"/>
  <c r="VM1" i="6"/>
  <c r="VL3" i="6"/>
  <c r="VL5" i="6"/>
  <c r="VL6" i="6"/>
  <c r="VL9" i="6"/>
  <c r="UZ4" i="6"/>
  <c r="UY7" i="6"/>
  <c r="VN1" i="6"/>
  <c r="VM5" i="6"/>
  <c r="VM6" i="6"/>
  <c r="VM3" i="6"/>
  <c r="VM9" i="6"/>
  <c r="VK10" i="6"/>
  <c r="VA4" i="6"/>
  <c r="UZ7" i="6"/>
  <c r="VL10" i="6"/>
  <c r="VO1" i="6"/>
  <c r="VN3" i="6"/>
  <c r="VN5" i="6"/>
  <c r="VN6" i="6"/>
  <c r="VN9" i="6"/>
  <c r="VB4" i="6"/>
  <c r="VA7" i="6"/>
  <c r="VP1" i="6"/>
  <c r="VO3" i="6"/>
  <c r="VO5" i="6"/>
  <c r="VO6" i="6"/>
  <c r="VO9" i="6"/>
  <c r="VM10" i="6"/>
  <c r="VC4" i="6"/>
  <c r="VB7" i="6"/>
  <c r="VN10" i="6"/>
  <c r="VQ1" i="6"/>
  <c r="VP3" i="6"/>
  <c r="VP5" i="6"/>
  <c r="VP6" i="6"/>
  <c r="VP9" i="6"/>
  <c r="VD4" i="6"/>
  <c r="VC7" i="6"/>
  <c r="VR1" i="6"/>
  <c r="VQ5" i="6"/>
  <c r="VQ6" i="6"/>
  <c r="VQ3" i="6"/>
  <c r="VQ9" i="6"/>
  <c r="VO10" i="6"/>
  <c r="VE4" i="6"/>
  <c r="VD7" i="6"/>
  <c r="VP10" i="6"/>
  <c r="VS1" i="6"/>
  <c r="VR5" i="6"/>
  <c r="VR6" i="6"/>
  <c r="VR9" i="6"/>
  <c r="VF4" i="6"/>
  <c r="VE7" i="6"/>
  <c r="VT1" i="6"/>
  <c r="VS5" i="6"/>
  <c r="VS6" i="6"/>
  <c r="VS3" i="6"/>
  <c r="VS9" i="6"/>
  <c r="VR3" i="6"/>
  <c r="VQ10" i="6"/>
  <c r="VG4" i="6"/>
  <c r="VF7" i="6"/>
  <c r="VR10" i="6"/>
  <c r="VH4" i="6"/>
  <c r="VG7" i="6"/>
  <c r="VU1" i="6"/>
  <c r="VT3" i="6"/>
  <c r="VT5" i="6"/>
  <c r="VT6" i="6"/>
  <c r="VT9" i="6"/>
  <c r="VV1" i="6"/>
  <c r="VI4" i="6"/>
  <c r="VH7" i="6"/>
  <c r="VS10" i="6"/>
  <c r="VW1" i="6"/>
  <c r="VV3" i="6"/>
  <c r="VV5" i="6"/>
  <c r="VV9" i="6"/>
  <c r="VT10" i="6"/>
  <c r="VJ4" i="6"/>
  <c r="VI7" i="6"/>
  <c r="VU9" i="6"/>
  <c r="VU5" i="6"/>
  <c r="VU6" i="6"/>
  <c r="VU3" i="6"/>
  <c r="VK4" i="6"/>
  <c r="VJ7" i="6"/>
  <c r="VU10" i="6"/>
  <c r="VV6" i="6"/>
  <c r="VX1" i="6"/>
  <c r="VW3" i="6"/>
  <c r="VW5" i="6"/>
  <c r="VY1" i="6"/>
  <c r="VX3" i="6"/>
  <c r="VX5" i="6"/>
  <c r="VX9" i="6"/>
  <c r="VW6" i="6"/>
  <c r="VV10" i="6"/>
  <c r="VW9" i="6"/>
  <c r="VL4" i="6"/>
  <c r="VK7" i="6"/>
  <c r="VX6" i="6"/>
  <c r="VW10" i="6"/>
  <c r="VM4" i="6"/>
  <c r="VL7" i="6"/>
  <c r="VZ1" i="6"/>
  <c r="VY3" i="6"/>
  <c r="VY5" i="6"/>
  <c r="VY6" i="6"/>
  <c r="VY9" i="6"/>
  <c r="WA1" i="6"/>
  <c r="VZ3" i="6"/>
  <c r="VZ5" i="6"/>
  <c r="VZ6" i="6"/>
  <c r="VZ9" i="6"/>
  <c r="VN4" i="6"/>
  <c r="VM7" i="6"/>
  <c r="VX10" i="6"/>
  <c r="VO4" i="6"/>
  <c r="VN7" i="6"/>
  <c r="WB1" i="6"/>
  <c r="WA3" i="6"/>
  <c r="WA5" i="6"/>
  <c r="WA6" i="6"/>
  <c r="WA9" i="6"/>
  <c r="VY10" i="6"/>
  <c r="WC1" i="6"/>
  <c r="WB3" i="6"/>
  <c r="WB5" i="6"/>
  <c r="WB6" i="6"/>
  <c r="WB9" i="6"/>
  <c r="VP4" i="6"/>
  <c r="VO7" i="6"/>
  <c r="VZ10" i="6"/>
  <c r="VQ4" i="6"/>
  <c r="VP7" i="6"/>
  <c r="WD1" i="6"/>
  <c r="WC3" i="6"/>
  <c r="WC5" i="6"/>
  <c r="WC6" i="6"/>
  <c r="WC9" i="6"/>
  <c r="WA10" i="6"/>
  <c r="WE1" i="6"/>
  <c r="WD3" i="6"/>
  <c r="WD5" i="6"/>
  <c r="WD6" i="6"/>
  <c r="WD9" i="6"/>
  <c r="VR4" i="6"/>
  <c r="VQ7" i="6"/>
  <c r="WB10" i="6"/>
  <c r="VS4" i="6"/>
  <c r="VR7" i="6"/>
  <c r="WF1" i="6"/>
  <c r="WE3" i="6"/>
  <c r="WE5" i="6"/>
  <c r="WE6" i="6"/>
  <c r="WE9" i="6"/>
  <c r="WC10" i="6"/>
  <c r="WG1" i="6"/>
  <c r="WF5" i="6"/>
  <c r="WF6" i="6"/>
  <c r="WF3" i="6"/>
  <c r="WF9" i="6"/>
  <c r="VT4" i="6"/>
  <c r="VS7" i="6"/>
  <c r="WD10" i="6"/>
  <c r="VU4" i="6"/>
  <c r="VT7" i="6"/>
  <c r="WH1" i="6"/>
  <c r="WG9" i="6"/>
  <c r="WE10" i="6"/>
  <c r="WI1" i="6"/>
  <c r="WH3" i="6"/>
  <c r="WH5" i="6"/>
  <c r="WH9" i="6"/>
  <c r="WG5" i="6"/>
  <c r="WG6" i="6"/>
  <c r="WH6" i="6"/>
  <c r="WG3" i="6"/>
  <c r="VV4" i="6"/>
  <c r="VU7" i="6"/>
  <c r="WF10" i="6"/>
  <c r="WG10" i="6"/>
  <c r="VW4" i="6"/>
  <c r="VV7" i="6"/>
  <c r="WJ1" i="6"/>
  <c r="WI3" i="6"/>
  <c r="WI5" i="6"/>
  <c r="WI6" i="6"/>
  <c r="WK1" i="6"/>
  <c r="WJ3" i="6"/>
  <c r="WJ5" i="6"/>
  <c r="WJ6" i="6"/>
  <c r="WJ9" i="6"/>
  <c r="VX4" i="6"/>
  <c r="VW7" i="6"/>
  <c r="WH10" i="6"/>
  <c r="WI9" i="6"/>
  <c r="WI10" i="6"/>
  <c r="VY4" i="6"/>
  <c r="VX7" i="6"/>
  <c r="WL1" i="6"/>
  <c r="WK9" i="6"/>
  <c r="WK5" i="6"/>
  <c r="WK6" i="6"/>
  <c r="WJ10" i="6"/>
  <c r="WK3" i="6"/>
  <c r="WM1" i="6"/>
  <c r="WL9" i="6"/>
  <c r="VZ4" i="6"/>
  <c r="VY7" i="6"/>
  <c r="WN1" i="6"/>
  <c r="WM3" i="6"/>
  <c r="WM5" i="6"/>
  <c r="WM9" i="6"/>
  <c r="WL5" i="6"/>
  <c r="WL6" i="6"/>
  <c r="WM6" i="6"/>
  <c r="WL3" i="6"/>
  <c r="WK10" i="6"/>
  <c r="WA4" i="6"/>
  <c r="VZ7" i="6"/>
  <c r="WL10" i="6"/>
  <c r="WB4" i="6"/>
  <c r="WA7" i="6"/>
  <c r="WO1" i="6"/>
  <c r="WN3" i="6"/>
  <c r="WN5" i="6"/>
  <c r="WN6" i="6"/>
  <c r="WN9" i="6"/>
  <c r="WP1" i="6"/>
  <c r="WO3" i="6"/>
  <c r="WO5" i="6"/>
  <c r="WO6" i="6"/>
  <c r="WO9" i="6"/>
  <c r="WC4" i="6"/>
  <c r="WB7" i="6"/>
  <c r="WM10" i="6"/>
  <c r="WD4" i="6"/>
  <c r="WC7" i="6"/>
  <c r="WQ1" i="6"/>
  <c r="WP3" i="6"/>
  <c r="WP5" i="6"/>
  <c r="WP6" i="6"/>
  <c r="WP9" i="6"/>
  <c r="WN10" i="6"/>
  <c r="WR1" i="6"/>
  <c r="WQ5" i="6"/>
  <c r="WQ6" i="6"/>
  <c r="WQ3" i="6"/>
  <c r="WQ9" i="6"/>
  <c r="WE4" i="6"/>
  <c r="WD7" i="6"/>
  <c r="WO10" i="6"/>
  <c r="WF4" i="6"/>
  <c r="WE7" i="6"/>
  <c r="WS1" i="6"/>
  <c r="WR5" i="6"/>
  <c r="WR6" i="6"/>
  <c r="WR9" i="6"/>
  <c r="WP10" i="6"/>
  <c r="WT1" i="6"/>
  <c r="WS5" i="6"/>
  <c r="WS6" i="6"/>
  <c r="WS9" i="6"/>
  <c r="WR3" i="6"/>
  <c r="WG4" i="6"/>
  <c r="WF7" i="6"/>
  <c r="WQ10" i="6"/>
  <c r="WH4" i="6"/>
  <c r="WG7" i="6"/>
  <c r="WU1" i="6"/>
  <c r="WT3" i="6"/>
  <c r="WT5" i="6"/>
  <c r="WT6" i="6"/>
  <c r="WT9" i="6"/>
  <c r="WS3" i="6"/>
  <c r="WR10" i="6"/>
  <c r="WV1" i="6"/>
  <c r="WU5" i="6"/>
  <c r="WU6" i="6"/>
  <c r="WU9" i="6"/>
  <c r="WI4" i="6"/>
  <c r="WH7" i="6"/>
  <c r="WS10" i="6"/>
  <c r="WJ4" i="6"/>
  <c r="WI7" i="6"/>
  <c r="WW1" i="6"/>
  <c r="WV3" i="6"/>
  <c r="WV5" i="6"/>
  <c r="WV6" i="6"/>
  <c r="WV9" i="6"/>
  <c r="WU3" i="6"/>
  <c r="WT10" i="6"/>
  <c r="WX1" i="6"/>
  <c r="WW3" i="6"/>
  <c r="WW5" i="6"/>
  <c r="WW6" i="6"/>
  <c r="WW9" i="6"/>
  <c r="WK4" i="6"/>
  <c r="WJ7" i="6"/>
  <c r="WU10" i="6"/>
  <c r="WL4" i="6"/>
  <c r="WK7" i="6"/>
  <c r="WY1" i="6"/>
  <c r="WX3" i="6"/>
  <c r="WX5" i="6"/>
  <c r="WX6" i="6"/>
  <c r="WX9" i="6"/>
  <c r="WV10" i="6"/>
  <c r="WZ1" i="6"/>
  <c r="WY3" i="6"/>
  <c r="WY5" i="6"/>
  <c r="WY6" i="6"/>
  <c r="WY9" i="6"/>
  <c r="WM4" i="6"/>
  <c r="WL7" i="6"/>
  <c r="WW10" i="6"/>
  <c r="WN4" i="6"/>
  <c r="WM7" i="6"/>
  <c r="XA1" i="6"/>
  <c r="WZ3" i="6"/>
  <c r="WZ5" i="6"/>
  <c r="WZ6" i="6"/>
  <c r="WZ9" i="6"/>
  <c r="WX10" i="6"/>
  <c r="WO4" i="6"/>
  <c r="WN7" i="6"/>
  <c r="XB1" i="6"/>
  <c r="XA3" i="6"/>
  <c r="XA5" i="6"/>
  <c r="XA6" i="6"/>
  <c r="XA9" i="6"/>
  <c r="WY10" i="6"/>
  <c r="XC1" i="6"/>
  <c r="XB3" i="6"/>
  <c r="XB5" i="6"/>
  <c r="XB6" i="6"/>
  <c r="XB9" i="6"/>
  <c r="WP4" i="6"/>
  <c r="WO7" i="6"/>
  <c r="WZ10" i="6"/>
  <c r="WQ4" i="6"/>
  <c r="WP7" i="6"/>
  <c r="XD1" i="6"/>
  <c r="XC3" i="6"/>
  <c r="XC5" i="6"/>
  <c r="XC6" i="6"/>
  <c r="XC9" i="6"/>
  <c r="XA10" i="6"/>
  <c r="XE1" i="6"/>
  <c r="XD5" i="6"/>
  <c r="XD6" i="6"/>
  <c r="XD9" i="6"/>
  <c r="WR4" i="6"/>
  <c r="WQ7" i="6"/>
  <c r="XB10" i="6"/>
  <c r="WS4" i="6"/>
  <c r="WR7" i="6"/>
  <c r="XF1" i="6"/>
  <c r="XE3" i="6"/>
  <c r="XE5" i="6"/>
  <c r="XE6" i="6"/>
  <c r="XE9" i="6"/>
  <c r="XD3" i="6"/>
  <c r="XC10" i="6"/>
  <c r="XG1" i="6"/>
  <c r="XF3" i="6"/>
  <c r="XF5" i="6"/>
  <c r="XF6" i="6"/>
  <c r="XF9" i="6"/>
  <c r="WT4" i="6"/>
  <c r="WS7" i="6"/>
  <c r="XD10" i="6"/>
  <c r="WU4" i="6"/>
  <c r="WT7" i="6"/>
  <c r="XH1" i="6"/>
  <c r="XG3" i="6"/>
  <c r="XG5" i="6"/>
  <c r="XG6" i="6"/>
  <c r="XG9" i="6"/>
  <c r="XE10" i="6"/>
  <c r="WV4" i="6"/>
  <c r="WU7" i="6"/>
  <c r="XI1" i="6"/>
  <c r="XH3" i="6"/>
  <c r="XH5" i="6"/>
  <c r="XH6" i="6"/>
  <c r="XH9" i="6"/>
  <c r="XF10" i="6"/>
  <c r="XJ1" i="6"/>
  <c r="XI3" i="6"/>
  <c r="XI5" i="6"/>
  <c r="XI6" i="6"/>
  <c r="XI9" i="6"/>
  <c r="WW4" i="6"/>
  <c r="WV7" i="6"/>
  <c r="XG10" i="6"/>
  <c r="WX4" i="6"/>
  <c r="WW7" i="6"/>
  <c r="XK1" i="6"/>
  <c r="XJ5" i="6"/>
  <c r="XJ6" i="6"/>
  <c r="XH10" i="6"/>
  <c r="XJ9" i="6"/>
  <c r="WY4" i="6"/>
  <c r="WX7" i="6"/>
  <c r="XL1" i="6"/>
  <c r="XK3" i="6"/>
  <c r="XK5" i="6"/>
  <c r="XK6" i="6"/>
  <c r="XK9" i="6"/>
  <c r="XJ3" i="6"/>
  <c r="XI10" i="6"/>
  <c r="XM1" i="6"/>
  <c r="XL3" i="6"/>
  <c r="XL5" i="6"/>
  <c r="XL6" i="6"/>
  <c r="XL9" i="6"/>
  <c r="XJ10" i="6"/>
  <c r="WZ4" i="6"/>
  <c r="WY7" i="6"/>
  <c r="XA4" i="6"/>
  <c r="WZ7" i="6"/>
  <c r="XK10" i="6"/>
  <c r="XN1" i="6"/>
  <c r="XM3" i="6"/>
  <c r="XM5" i="6"/>
  <c r="XM6" i="6"/>
  <c r="XM9" i="6"/>
  <c r="XO1" i="6"/>
  <c r="XN3" i="6"/>
  <c r="XN5" i="6"/>
  <c r="XN6" i="6"/>
  <c r="XN9" i="6"/>
  <c r="XL10" i="6"/>
  <c r="XB4" i="6"/>
  <c r="XA7" i="6"/>
  <c r="XC4" i="6"/>
  <c r="XB7" i="6"/>
  <c r="XM10" i="6"/>
  <c r="XP1" i="6"/>
  <c r="XO9" i="6"/>
  <c r="XQ1" i="6"/>
  <c r="XP3" i="6"/>
  <c r="XP5" i="6"/>
  <c r="XP9" i="6"/>
  <c r="XO5" i="6"/>
  <c r="XO6" i="6"/>
  <c r="XP6" i="6"/>
  <c r="XO3" i="6"/>
  <c r="XN10" i="6"/>
  <c r="XD4" i="6"/>
  <c r="XC7" i="6"/>
  <c r="XO10" i="6"/>
  <c r="XR1" i="6"/>
  <c r="XQ3" i="6"/>
  <c r="XQ5" i="6"/>
  <c r="XQ6" i="6"/>
  <c r="XQ9" i="6"/>
  <c r="XE4" i="6"/>
  <c r="XD7" i="6"/>
  <c r="XS1" i="6"/>
  <c r="XR3" i="6"/>
  <c r="XR5" i="6"/>
  <c r="XR6" i="6"/>
  <c r="XR9" i="6"/>
  <c r="XP10" i="6"/>
  <c r="XF4" i="6"/>
  <c r="XE7" i="6"/>
  <c r="XQ10" i="6"/>
  <c r="XT1" i="6"/>
  <c r="XS3" i="6"/>
  <c r="XS5" i="6"/>
  <c r="XS6" i="6"/>
  <c r="XS9" i="6"/>
  <c r="XG4" i="6"/>
  <c r="XF7" i="6"/>
  <c r="XU1" i="6"/>
  <c r="XT3" i="6"/>
  <c r="XR10" i="6"/>
  <c r="XH4" i="6"/>
  <c r="XG7" i="6"/>
  <c r="XV1" i="6"/>
  <c r="XU3" i="6"/>
  <c r="XU5" i="6"/>
  <c r="XU9" i="6"/>
  <c r="XI4" i="6"/>
  <c r="XH7" i="6"/>
  <c r="XS10" i="6"/>
  <c r="XT9" i="6"/>
  <c r="XT5" i="6"/>
  <c r="XT6" i="6"/>
  <c r="XU6" i="6"/>
  <c r="XT10" i="6"/>
  <c r="XJ4" i="6"/>
  <c r="XI7" i="6"/>
  <c r="XW1" i="6"/>
  <c r="XX1" i="6"/>
  <c r="XW3" i="6"/>
  <c r="XW5" i="6"/>
  <c r="XW9" i="6"/>
  <c r="XV9" i="6"/>
  <c r="XV5" i="6"/>
  <c r="XV6" i="6"/>
  <c r="XV3" i="6"/>
  <c r="XK4" i="6"/>
  <c r="XJ7" i="6"/>
  <c r="XU10" i="6"/>
  <c r="XL4" i="6"/>
  <c r="XK7" i="6"/>
  <c r="XW6" i="6"/>
  <c r="XY1" i="6"/>
  <c r="XX3" i="6"/>
  <c r="XX5" i="6"/>
  <c r="XX9" i="6"/>
  <c r="XV10" i="6"/>
  <c r="XZ1" i="6"/>
  <c r="XY3" i="6"/>
  <c r="XY5" i="6"/>
  <c r="XY9" i="6"/>
  <c r="XX6" i="6"/>
  <c r="XM4" i="6"/>
  <c r="XL7" i="6"/>
  <c r="XW10" i="6"/>
  <c r="XN4" i="6"/>
  <c r="XM7" i="6"/>
  <c r="XY6" i="6"/>
  <c r="YA1" i="6"/>
  <c r="XZ3" i="6"/>
  <c r="XZ5" i="6"/>
  <c r="XZ9" i="6"/>
  <c r="XX10" i="6"/>
  <c r="YB1" i="6"/>
  <c r="YA5" i="6"/>
  <c r="XZ6" i="6"/>
  <c r="XO4" i="6"/>
  <c r="XN7" i="6"/>
  <c r="XY10" i="6"/>
  <c r="YA9" i="6"/>
  <c r="YA3" i="6"/>
  <c r="XP4" i="6"/>
  <c r="XO7" i="6"/>
  <c r="YA6" i="6"/>
  <c r="YC1" i="6"/>
  <c r="YB3" i="6"/>
  <c r="YB5" i="6"/>
  <c r="YB9" i="6"/>
  <c r="XZ10" i="6"/>
  <c r="YB6" i="6"/>
  <c r="YD1" i="6"/>
  <c r="YC5" i="6"/>
  <c r="YC6" i="6"/>
  <c r="YC9" i="6"/>
  <c r="YA10" i="6"/>
  <c r="XQ4" i="6"/>
  <c r="XP7" i="6"/>
  <c r="XR4" i="6"/>
  <c r="XQ7" i="6"/>
  <c r="YB10" i="6"/>
  <c r="YE1" i="6"/>
  <c r="YD3" i="6"/>
  <c r="YD5" i="6"/>
  <c r="YD6" i="6"/>
  <c r="YD9" i="6"/>
  <c r="YC3" i="6"/>
  <c r="YF1" i="6"/>
  <c r="YE3" i="6"/>
  <c r="YE5" i="6"/>
  <c r="YE6" i="6"/>
  <c r="YE9" i="6"/>
  <c r="YC10" i="6"/>
  <c r="XS4" i="6"/>
  <c r="XR7" i="6"/>
  <c r="XT4" i="6"/>
  <c r="XS7" i="6"/>
  <c r="YD10" i="6"/>
  <c r="YG1" i="6"/>
  <c r="YF3" i="6"/>
  <c r="YF5" i="6"/>
  <c r="YF6" i="6"/>
  <c r="XU4" i="6"/>
  <c r="XT7" i="6"/>
  <c r="YH1" i="6"/>
  <c r="YG3" i="6"/>
  <c r="YG5" i="6"/>
  <c r="YG9" i="6"/>
  <c r="YE10" i="6"/>
  <c r="YF9" i="6"/>
  <c r="YG6" i="6"/>
  <c r="YF10" i="6"/>
  <c r="YI1" i="6"/>
  <c r="XV4" i="6"/>
  <c r="XU7" i="6"/>
  <c r="YJ1" i="6"/>
  <c r="YI3" i="6"/>
  <c r="YI5" i="6"/>
  <c r="YI9" i="6"/>
  <c r="YG10" i="6"/>
  <c r="XW4" i="6"/>
  <c r="XV7" i="6"/>
  <c r="YH9" i="6"/>
  <c r="YH5" i="6"/>
  <c r="YH6" i="6"/>
  <c r="YH3" i="6"/>
  <c r="YI6" i="6"/>
  <c r="XX4" i="6"/>
  <c r="XW7" i="6"/>
  <c r="YH10" i="6"/>
  <c r="YK1" i="6"/>
  <c r="YJ3" i="6"/>
  <c r="YJ5" i="6"/>
  <c r="YL1" i="6"/>
  <c r="YK3" i="6"/>
  <c r="YK5" i="6"/>
  <c r="YK9" i="6"/>
  <c r="YI10" i="6"/>
  <c r="XY4" i="6"/>
  <c r="XX7" i="6"/>
  <c r="YJ9" i="6"/>
  <c r="YJ6" i="6"/>
  <c r="XZ4" i="6"/>
  <c r="XY7" i="6"/>
  <c r="YJ10" i="6"/>
  <c r="YK6" i="6"/>
  <c r="YM1" i="6"/>
  <c r="YL9" i="6"/>
  <c r="YN1" i="6"/>
  <c r="YM3" i="6"/>
  <c r="YM5" i="6"/>
  <c r="YM9" i="6"/>
  <c r="YL5" i="6"/>
  <c r="YL6" i="6"/>
  <c r="YL3" i="6"/>
  <c r="YK10" i="6"/>
  <c r="YA4" i="6"/>
  <c r="XZ7" i="6"/>
  <c r="YM6" i="6"/>
  <c r="YO1" i="6"/>
  <c r="YN3" i="6"/>
  <c r="YN5" i="6"/>
  <c r="YN9" i="6"/>
  <c r="YL10" i="6"/>
  <c r="YB4" i="6"/>
  <c r="YA7" i="6"/>
  <c r="YM10" i="6"/>
  <c r="YP1" i="6"/>
  <c r="YO3" i="6"/>
  <c r="YN6" i="6"/>
  <c r="YC4" i="6"/>
  <c r="YB7" i="6"/>
  <c r="YO9" i="6"/>
  <c r="YO5" i="6"/>
  <c r="YO6" i="6"/>
  <c r="YQ1" i="6"/>
  <c r="YN10" i="6"/>
  <c r="YD4" i="6"/>
  <c r="YC7" i="6"/>
  <c r="YR1" i="6"/>
  <c r="YQ5" i="6"/>
  <c r="YQ9" i="6"/>
  <c r="YP5" i="6"/>
  <c r="YP6" i="6"/>
  <c r="YQ6" i="6"/>
  <c r="YP3" i="6"/>
  <c r="YE4" i="6"/>
  <c r="YD7" i="6"/>
  <c r="YO10" i="6"/>
  <c r="YP9" i="6"/>
  <c r="YS1" i="6"/>
  <c r="YR3" i="6"/>
  <c r="YR5" i="6"/>
  <c r="YR6" i="6"/>
  <c r="YR9" i="6"/>
  <c r="YQ3" i="6"/>
  <c r="YF4" i="6"/>
  <c r="YE7" i="6"/>
  <c r="YP10" i="6"/>
  <c r="YG4" i="6"/>
  <c r="YF7" i="6"/>
  <c r="YQ10" i="6"/>
  <c r="YT1" i="6"/>
  <c r="YS3" i="6"/>
  <c r="YS5" i="6"/>
  <c r="YS6" i="6"/>
  <c r="YS9" i="6"/>
  <c r="YU1" i="6"/>
  <c r="YT3" i="6"/>
  <c r="YT5" i="6"/>
  <c r="YT6" i="6"/>
  <c r="YT9" i="6"/>
  <c r="YR10" i="6"/>
  <c r="YH4" i="6"/>
  <c r="YG7" i="6"/>
  <c r="YI4" i="6"/>
  <c r="YH7" i="6"/>
  <c r="YS10" i="6"/>
  <c r="YV1" i="6"/>
  <c r="YU3" i="6"/>
  <c r="YU5" i="6"/>
  <c r="YU6" i="6"/>
  <c r="YU9" i="6"/>
  <c r="YW1" i="6"/>
  <c r="YV3" i="6"/>
  <c r="YV5" i="6"/>
  <c r="YV6" i="6"/>
  <c r="YV9" i="6"/>
  <c r="YT10" i="6"/>
  <c r="YJ4" i="6"/>
  <c r="YI7" i="6"/>
  <c r="YK4" i="6"/>
  <c r="YJ7" i="6"/>
  <c r="YU10" i="6"/>
  <c r="YX1" i="6"/>
  <c r="YW5" i="6"/>
  <c r="YW6" i="6"/>
  <c r="YW9" i="6"/>
  <c r="YY1" i="6"/>
  <c r="YX5" i="6"/>
  <c r="YX6" i="6"/>
  <c r="YX9" i="6"/>
  <c r="YW3" i="6"/>
  <c r="YV10" i="6"/>
  <c r="YL4" i="6"/>
  <c r="YK7" i="6"/>
  <c r="YM4" i="6"/>
  <c r="YL7" i="6"/>
  <c r="YW10" i="6"/>
  <c r="YZ1" i="6"/>
  <c r="YY3" i="6"/>
  <c r="YY5" i="6"/>
  <c r="YY6" i="6"/>
  <c r="YY9" i="6"/>
  <c r="YX3" i="6"/>
  <c r="YX10" i="6"/>
  <c r="ZA1" i="6"/>
  <c r="YZ5" i="6"/>
  <c r="YZ6" i="6"/>
  <c r="YZ9" i="6"/>
  <c r="YN4" i="6"/>
  <c r="YM7" i="6"/>
  <c r="ZB1" i="6"/>
  <c r="ZA3" i="6"/>
  <c r="ZA5" i="6"/>
  <c r="ZA6" i="6"/>
  <c r="ZA9" i="6"/>
  <c r="YO4" i="6"/>
  <c r="YN7" i="6"/>
  <c r="YZ3" i="6"/>
  <c r="YY10" i="6"/>
  <c r="YZ10" i="6"/>
  <c r="YP4" i="6"/>
  <c r="YO7" i="6"/>
  <c r="ZC1" i="6"/>
  <c r="ZB3" i="6"/>
  <c r="ZB5" i="6"/>
  <c r="ZB6" i="6"/>
  <c r="ZB9" i="6"/>
  <c r="ZD1" i="6"/>
  <c r="ZC3" i="6"/>
  <c r="ZC5" i="6"/>
  <c r="ZC6" i="6"/>
  <c r="ZC9" i="6"/>
  <c r="YQ4" i="6"/>
  <c r="YP7" i="6"/>
  <c r="ZA10" i="6"/>
  <c r="ZE1" i="6"/>
  <c r="ZD3" i="6"/>
  <c r="ZD5" i="6"/>
  <c r="ZD6" i="6"/>
  <c r="ZD9" i="6"/>
  <c r="ZB10" i="6"/>
  <c r="YR4" i="6"/>
  <c r="YQ7" i="6"/>
  <c r="ZF1" i="6"/>
  <c r="ZE5" i="6"/>
  <c r="ZE6" i="6"/>
  <c r="ZE9" i="6"/>
  <c r="YS4" i="6"/>
  <c r="YR7" i="6"/>
  <c r="ZC10" i="6"/>
  <c r="ZD10" i="6"/>
  <c r="YT4" i="6"/>
  <c r="YS7" i="6"/>
  <c r="ZG1" i="6"/>
  <c r="ZF3" i="6"/>
  <c r="ZF5" i="6"/>
  <c r="ZF6" i="6"/>
  <c r="ZF9" i="6"/>
  <c r="ZE3" i="6"/>
  <c r="ZH1" i="6"/>
  <c r="ZG3" i="6"/>
  <c r="ZG5" i="6"/>
  <c r="ZG6" i="6"/>
  <c r="ZG9" i="6"/>
  <c r="YU4" i="6"/>
  <c r="YT7" i="6"/>
  <c r="ZE10" i="6"/>
  <c r="ZF10" i="6"/>
  <c r="YV4" i="6"/>
  <c r="YU7" i="6"/>
  <c r="ZI1" i="6"/>
  <c r="ZH5" i="6"/>
  <c r="ZH6" i="6"/>
  <c r="ZH9" i="6"/>
  <c r="ZJ1" i="6"/>
  <c r="ZI3" i="6"/>
  <c r="ZI5" i="6"/>
  <c r="ZI6" i="6"/>
  <c r="ZI9" i="6"/>
  <c r="ZH3" i="6"/>
  <c r="YW4" i="6"/>
  <c r="YV7" i="6"/>
  <c r="ZG10" i="6"/>
  <c r="ZH10" i="6"/>
  <c r="YX4" i="6"/>
  <c r="YW7" i="6"/>
  <c r="ZK1" i="6"/>
  <c r="ZJ3" i="6"/>
  <c r="ZJ5" i="6"/>
  <c r="ZJ6" i="6"/>
  <c r="ZJ9" i="6"/>
  <c r="YY4" i="6"/>
  <c r="YX7" i="6"/>
  <c r="ZL1" i="6"/>
  <c r="ZK3" i="6"/>
  <c r="ZK5" i="6"/>
  <c r="ZK6" i="6"/>
  <c r="ZK9" i="6"/>
  <c r="ZI10" i="6"/>
  <c r="ZJ10" i="6"/>
  <c r="ZM1" i="6"/>
  <c r="ZL5" i="6"/>
  <c r="ZL6" i="6"/>
  <c r="ZL9" i="6"/>
  <c r="YZ4" i="6"/>
  <c r="YY7" i="6"/>
  <c r="ZA4" i="6"/>
  <c r="YZ7" i="6"/>
  <c r="ZN1" i="6"/>
  <c r="ZM3" i="6"/>
  <c r="ZM9" i="6"/>
  <c r="ZM5" i="6"/>
  <c r="ZM6" i="6"/>
  <c r="ZL3" i="6"/>
  <c r="ZK10" i="6"/>
  <c r="ZL10" i="6"/>
  <c r="ZO1" i="6"/>
  <c r="ZN3" i="6"/>
  <c r="ZN5" i="6"/>
  <c r="ZN6" i="6"/>
  <c r="ZN9" i="6"/>
  <c r="ZB4" i="6"/>
  <c r="ZA7" i="6"/>
  <c r="ZC4" i="6"/>
  <c r="ZB7" i="6"/>
  <c r="ZP1" i="6"/>
  <c r="ZO9" i="6"/>
  <c r="ZM10" i="6"/>
  <c r="ZN10" i="6"/>
  <c r="ZQ1" i="6"/>
  <c r="ZP3" i="6"/>
  <c r="ZP5" i="6"/>
  <c r="ZP9" i="6"/>
  <c r="ZO5" i="6"/>
  <c r="ZO6" i="6"/>
  <c r="ZP6" i="6"/>
  <c r="ZO3" i="6"/>
  <c r="ZD4" i="6"/>
  <c r="ZC7" i="6"/>
  <c r="ZE4" i="6"/>
  <c r="ZD7" i="6"/>
  <c r="ZR1" i="6"/>
  <c r="ZQ5" i="6"/>
  <c r="ZQ6" i="6"/>
  <c r="ZQ9" i="6"/>
  <c r="ZO10" i="6"/>
  <c r="ZS1" i="6"/>
  <c r="ZR5" i="6"/>
  <c r="ZR6" i="6"/>
  <c r="ZR9" i="6"/>
  <c r="ZQ3" i="6"/>
  <c r="ZF4" i="6"/>
  <c r="ZE7" i="6"/>
  <c r="ZP10" i="6"/>
  <c r="ZT1" i="6"/>
  <c r="ZS3" i="6"/>
  <c r="ZS5" i="6"/>
  <c r="ZS6" i="6"/>
  <c r="ZS9" i="6"/>
  <c r="ZR3" i="6"/>
  <c r="ZQ10" i="6"/>
  <c r="ZG4" i="6"/>
  <c r="ZF7" i="6"/>
  <c r="ZR10" i="6"/>
  <c r="ZU1" i="6"/>
  <c r="ZT3" i="6"/>
  <c r="ZT5" i="6"/>
  <c r="ZT6" i="6"/>
  <c r="ZT9" i="6"/>
  <c r="ZH4" i="6"/>
  <c r="ZG7" i="6"/>
  <c r="ZV1" i="6"/>
  <c r="ZU3" i="6"/>
  <c r="ZU5" i="6"/>
  <c r="ZU6" i="6"/>
  <c r="ZU9" i="6"/>
  <c r="ZS10" i="6"/>
  <c r="ZI4" i="6"/>
  <c r="ZH7" i="6"/>
  <c r="ZT10" i="6"/>
  <c r="ZW1" i="6"/>
  <c r="ZV3" i="6"/>
  <c r="ZV5" i="6"/>
  <c r="ZV6" i="6"/>
  <c r="ZV9" i="6"/>
  <c r="ZJ4" i="6"/>
  <c r="ZI7" i="6"/>
  <c r="ZX1" i="6"/>
  <c r="ZW5" i="6"/>
  <c r="ZW6" i="6"/>
  <c r="ZW9" i="6"/>
  <c r="ZU10" i="6"/>
  <c r="ZK4" i="6"/>
  <c r="ZJ7" i="6"/>
  <c r="ZV10" i="6"/>
  <c r="ZY1" i="6"/>
  <c r="ZX3" i="6"/>
  <c r="ZX5" i="6"/>
  <c r="ZX6" i="6"/>
  <c r="ZX9" i="6"/>
  <c r="ZW3" i="6"/>
  <c r="ZL4" i="6"/>
  <c r="ZK7" i="6"/>
  <c r="ZZ1" i="6"/>
  <c r="ZY3" i="6"/>
  <c r="ZY5" i="6"/>
  <c r="ZY6" i="6"/>
  <c r="ZY9" i="6"/>
  <c r="ZW10" i="6"/>
  <c r="ZM4" i="6"/>
  <c r="ZL7" i="6"/>
  <c r="ZX10" i="6"/>
  <c r="AAA1" i="6"/>
  <c r="ZZ9" i="6"/>
  <c r="ZN4" i="6"/>
  <c r="ZM7" i="6"/>
  <c r="AAB1" i="6"/>
  <c r="AAA5" i="6"/>
  <c r="AAA9" i="6"/>
  <c r="ZZ5" i="6"/>
  <c r="ZZ6" i="6"/>
  <c r="AAA6" i="6"/>
  <c r="ZZ3" i="6"/>
  <c r="ZY10" i="6"/>
  <c r="ZO4" i="6"/>
  <c r="ZN7" i="6"/>
  <c r="ZZ10" i="6"/>
  <c r="AAC1" i="6"/>
  <c r="AAB3" i="6"/>
  <c r="AAB5" i="6"/>
  <c r="AAB6" i="6"/>
  <c r="AAB9" i="6"/>
  <c r="ZP4" i="6"/>
  <c r="ZO7" i="6"/>
  <c r="AAA3" i="6"/>
  <c r="AAA10" i="6"/>
  <c r="AAD1" i="6"/>
  <c r="AAC3" i="6"/>
  <c r="AAC5" i="6"/>
  <c r="AAC6" i="6"/>
  <c r="AAC9" i="6"/>
  <c r="ZQ4" i="6"/>
  <c r="ZP7" i="6"/>
  <c r="AAE1" i="6"/>
  <c r="AAD3" i="6"/>
  <c r="AAD5" i="6"/>
  <c r="AAD6" i="6"/>
  <c r="AAD9" i="6"/>
  <c r="AAB10" i="6"/>
  <c r="ZR4" i="6"/>
  <c r="ZQ7" i="6"/>
  <c r="AAC10" i="6"/>
  <c r="AAF1" i="6"/>
  <c r="AAE3" i="6"/>
  <c r="AAE5" i="6"/>
  <c r="AAE6" i="6"/>
  <c r="AAE9" i="6"/>
  <c r="ZS4" i="6"/>
  <c r="ZR7" i="6"/>
  <c r="AAG1" i="6"/>
  <c r="AAF3" i="6"/>
  <c r="AAF5" i="6"/>
  <c r="AAF6" i="6"/>
  <c r="AAF9" i="6"/>
  <c r="AAD10" i="6"/>
  <c r="ZT4" i="6"/>
  <c r="ZS7" i="6"/>
  <c r="AAE10" i="6"/>
  <c r="AAH1" i="6"/>
  <c r="AAG5" i="6"/>
  <c r="AAG6" i="6"/>
  <c r="AAG9" i="6"/>
  <c r="ZU4" i="6"/>
  <c r="ZT7" i="6"/>
  <c r="AAI1" i="6"/>
  <c r="AAH3" i="6"/>
  <c r="AAH5" i="6"/>
  <c r="AAH6" i="6"/>
  <c r="AAH9" i="6"/>
  <c r="AAF10" i="6"/>
  <c r="AAG3" i="6"/>
  <c r="ZV4" i="6"/>
  <c r="ZU7" i="6"/>
  <c r="AAG10" i="6"/>
  <c r="AAJ1" i="6"/>
  <c r="AAI3" i="6"/>
  <c r="AAI5" i="6"/>
  <c r="AAI6" i="6"/>
  <c r="AAI9" i="6"/>
  <c r="ZW4" i="6"/>
  <c r="ZV7" i="6"/>
  <c r="AAK1" i="6"/>
  <c r="AAJ5" i="6"/>
  <c r="AAJ6" i="6"/>
  <c r="AAJ3" i="6"/>
  <c r="AAJ9" i="6"/>
  <c r="AAH10" i="6"/>
  <c r="ZX4" i="6"/>
  <c r="ZW7" i="6"/>
  <c r="AAI10" i="6"/>
  <c r="AAL1" i="6"/>
  <c r="AAK5" i="6"/>
  <c r="AAK6" i="6"/>
  <c r="AAK3" i="6"/>
  <c r="AAK9" i="6"/>
  <c r="ZY4" i="6"/>
  <c r="ZX7" i="6"/>
  <c r="AAM1" i="6"/>
  <c r="AAL3" i="6"/>
  <c r="AAL5" i="6"/>
  <c r="AAL6" i="6"/>
  <c r="AAL9" i="6"/>
  <c r="AAJ10" i="6"/>
  <c r="ZZ4" i="6"/>
  <c r="ZY7" i="6"/>
  <c r="AAK10" i="6"/>
  <c r="AAN1" i="6"/>
  <c r="AAM3" i="6"/>
  <c r="AAM5" i="6"/>
  <c r="AAM6" i="6"/>
  <c r="AAM9" i="6"/>
  <c r="AAA4" i="6"/>
  <c r="ZZ7" i="6"/>
  <c r="AAO1" i="6"/>
  <c r="AAN5" i="6"/>
  <c r="AAN6" i="6"/>
  <c r="AAN9" i="6"/>
  <c r="AAL10" i="6"/>
  <c r="AAB4" i="6"/>
  <c r="AAA7" i="6"/>
  <c r="AAM10" i="6"/>
  <c r="AAP1" i="6"/>
  <c r="AAO3" i="6"/>
  <c r="AAO5" i="6"/>
  <c r="AAO6" i="6"/>
  <c r="AAO9" i="6"/>
  <c r="AAN3" i="6"/>
  <c r="AAC4" i="6"/>
  <c r="AAB7" i="6"/>
  <c r="AAQ1" i="6"/>
  <c r="AAP3" i="6"/>
  <c r="AAP5" i="6"/>
  <c r="AAP6" i="6"/>
  <c r="AAP9" i="6"/>
  <c r="AAN10" i="6"/>
  <c r="AAD4" i="6"/>
  <c r="AAC7" i="6"/>
  <c r="AAO10" i="6"/>
  <c r="AAR1" i="6"/>
  <c r="AAQ3" i="6"/>
  <c r="AAQ5" i="6"/>
  <c r="AAQ6" i="6"/>
  <c r="AAQ9" i="6"/>
  <c r="AAE4" i="6"/>
  <c r="AAD7" i="6"/>
  <c r="AAS1" i="6"/>
  <c r="AAR9" i="6"/>
  <c r="AAP10" i="6"/>
  <c r="AAF4" i="6"/>
  <c r="AAE7" i="6"/>
  <c r="AAQ10" i="6"/>
  <c r="AAT1" i="6"/>
  <c r="AAS3" i="6"/>
  <c r="AAS5" i="6"/>
  <c r="AAS9" i="6"/>
  <c r="AAR5" i="6"/>
  <c r="AAR6" i="6"/>
  <c r="AAS6" i="6"/>
  <c r="AAR3" i="6"/>
  <c r="AAG4" i="6"/>
  <c r="AAF7" i="6"/>
  <c r="AAU1" i="6"/>
  <c r="AAT5" i="6"/>
  <c r="AAT6" i="6"/>
  <c r="AAT9" i="6"/>
  <c r="AAH4" i="6"/>
  <c r="AAG7" i="6"/>
  <c r="AAR10" i="6"/>
  <c r="AAS10" i="6"/>
  <c r="AAI4" i="6"/>
  <c r="AAH7" i="6"/>
  <c r="AAU3" i="6"/>
  <c r="AAV1" i="6"/>
  <c r="AAU5" i="6"/>
  <c r="AAU6" i="6"/>
  <c r="AAU9" i="6"/>
  <c r="AAT3" i="6"/>
  <c r="AAW1" i="6"/>
  <c r="AAV3" i="6"/>
  <c r="AAV5" i="6"/>
  <c r="AAV6" i="6"/>
  <c r="AAV9" i="6"/>
  <c r="AAJ4" i="6"/>
  <c r="AAI7" i="6"/>
  <c r="AAT10" i="6"/>
  <c r="AAU10" i="6"/>
  <c r="AAK4" i="6"/>
  <c r="AAJ7" i="6"/>
  <c r="AAX1" i="6"/>
  <c r="AAW3" i="6"/>
  <c r="AAW9" i="6"/>
  <c r="AAY1" i="6"/>
  <c r="AAX3" i="6"/>
  <c r="AAX5" i="6"/>
  <c r="AAX9" i="6"/>
  <c r="AAW5" i="6"/>
  <c r="AAW6" i="6"/>
  <c r="AAX6" i="6"/>
  <c r="AAL4" i="6"/>
  <c r="AAK7" i="6"/>
  <c r="AAV10" i="6"/>
  <c r="AAZ1" i="6"/>
  <c r="AAY5" i="6"/>
  <c r="AAY6" i="6"/>
  <c r="AAY9" i="6"/>
  <c r="AAW10" i="6"/>
  <c r="AAM4" i="6"/>
  <c r="AAL7" i="6"/>
  <c r="AAN4" i="6"/>
  <c r="AAM7" i="6"/>
  <c r="AAX10" i="6"/>
  <c r="ABA1" i="6"/>
  <c r="AAZ3" i="6"/>
  <c r="AAZ5" i="6"/>
  <c r="AAZ6" i="6"/>
  <c r="AAY3" i="6"/>
  <c r="ABB1" i="6"/>
  <c r="ABA3" i="6"/>
  <c r="ABA5" i="6"/>
  <c r="ABA6" i="6"/>
  <c r="ABA9" i="6"/>
  <c r="AAY10" i="6"/>
  <c r="AAO4" i="6"/>
  <c r="AAN7" i="6"/>
  <c r="AAZ9" i="6"/>
  <c r="AAP4" i="6"/>
  <c r="AAO7" i="6"/>
  <c r="AAZ10" i="6"/>
  <c r="ABC1" i="6"/>
  <c r="ABB3" i="6"/>
  <c r="ABB5" i="6"/>
  <c r="ABB6" i="6"/>
  <c r="ABA10" i="6"/>
  <c r="ABD1" i="6"/>
  <c r="ABC5" i="6"/>
  <c r="ABC6" i="6"/>
  <c r="ABC9" i="6"/>
  <c r="AAQ4" i="6"/>
  <c r="AAP7" i="6"/>
  <c r="ABB9" i="6"/>
  <c r="AAR4" i="6"/>
  <c r="AAQ7" i="6"/>
  <c r="ABE1" i="6"/>
  <c r="ABD3" i="6"/>
  <c r="ABD5" i="6"/>
  <c r="ABD6" i="6"/>
  <c r="ABC3" i="6"/>
  <c r="ABB10" i="6"/>
  <c r="ABF1" i="6"/>
  <c r="ABE3" i="6"/>
  <c r="ABE5" i="6"/>
  <c r="ABE6" i="6"/>
  <c r="ABE9" i="6"/>
  <c r="ABC10" i="6"/>
  <c r="ABD9" i="6"/>
  <c r="AAS4" i="6"/>
  <c r="AAR7" i="6"/>
  <c r="ABD10" i="6"/>
  <c r="ABG1" i="6"/>
  <c r="ABF3" i="6"/>
  <c r="ABF5" i="6"/>
  <c r="ABF6" i="6"/>
  <c r="ABF9" i="6"/>
  <c r="AAT4" i="6"/>
  <c r="AAS7" i="6"/>
  <c r="AAU4" i="6"/>
  <c r="AAT7" i="6"/>
  <c r="ABH1" i="6"/>
  <c r="ABG5" i="6"/>
  <c r="ABG6" i="6"/>
  <c r="ABG9" i="6"/>
  <c r="ABE10" i="6"/>
  <c r="ABF10" i="6"/>
  <c r="ABI1" i="6"/>
  <c r="ABH3" i="6"/>
  <c r="ABH5" i="6"/>
  <c r="ABH6" i="6"/>
  <c r="ABH9" i="6"/>
  <c r="ABG3" i="6"/>
  <c r="AAV4" i="6"/>
  <c r="AAU7" i="6"/>
  <c r="ABJ1" i="6"/>
  <c r="ABI3" i="6"/>
  <c r="ABI5" i="6"/>
  <c r="ABI6" i="6"/>
  <c r="ABI9" i="6"/>
  <c r="AAW4" i="6"/>
  <c r="AAV7" i="6"/>
  <c r="ABG10" i="6"/>
  <c r="AAX4" i="6"/>
  <c r="AAW7" i="6"/>
  <c r="ABH10" i="6"/>
  <c r="ABK1" i="6"/>
  <c r="ABJ3" i="6"/>
  <c r="ABJ5" i="6"/>
  <c r="ABJ6" i="6"/>
  <c r="ABJ9" i="6"/>
  <c r="ABL1" i="6"/>
  <c r="ABK3" i="6"/>
  <c r="ABK5" i="6"/>
  <c r="ABK6" i="6"/>
  <c r="ABK9" i="6"/>
  <c r="ABI10" i="6"/>
  <c r="AAY4" i="6"/>
  <c r="AAX7" i="6"/>
  <c r="ABJ10" i="6"/>
  <c r="ABM1" i="6"/>
  <c r="ABL3" i="6"/>
  <c r="ABL5" i="6"/>
  <c r="ABL6" i="6"/>
  <c r="ABL9" i="6"/>
  <c r="AAZ4" i="6"/>
  <c r="AAY7" i="6"/>
  <c r="ABA4" i="6"/>
  <c r="AAZ7" i="6"/>
  <c r="ABN1" i="6"/>
  <c r="ABM5" i="6"/>
  <c r="ABM6" i="6"/>
  <c r="ABM3" i="6"/>
  <c r="ABM9" i="6"/>
  <c r="ABK10" i="6"/>
  <c r="ABO1" i="6"/>
  <c r="ABN3" i="6"/>
  <c r="ABN5" i="6"/>
  <c r="ABN6" i="6"/>
  <c r="ABN9" i="6"/>
  <c r="ABB4" i="6"/>
  <c r="ABA7" i="6"/>
  <c r="ABL10" i="6"/>
  <c r="ABM10" i="6"/>
  <c r="ABC4" i="6"/>
  <c r="ABB7" i="6"/>
  <c r="ABP1" i="6"/>
  <c r="ABO3" i="6"/>
  <c r="ABQ1" i="6"/>
  <c r="ABP3" i="6"/>
  <c r="ABP5" i="6"/>
  <c r="ABP9" i="6"/>
  <c r="ABD4" i="6"/>
  <c r="ABC7" i="6"/>
  <c r="ABN10" i="6"/>
  <c r="ABO5" i="6"/>
  <c r="ABO6" i="6"/>
  <c r="ABP6" i="6"/>
  <c r="ABO9" i="6"/>
  <c r="ABO10" i="6"/>
  <c r="ABE4" i="6"/>
  <c r="ABD7" i="6"/>
  <c r="ABR1" i="6"/>
  <c r="ABQ3" i="6"/>
  <c r="ABQ5" i="6"/>
  <c r="ABQ6" i="6"/>
  <c r="ABQ9" i="6"/>
  <c r="ABP10" i="6"/>
  <c r="ABF4" i="6"/>
  <c r="ABE7" i="6"/>
  <c r="ABS1" i="6"/>
  <c r="ABR5" i="6"/>
  <c r="ABR6" i="6"/>
  <c r="ABR9" i="6"/>
  <c r="ABT1" i="6"/>
  <c r="ABS5" i="6"/>
  <c r="ABS6" i="6"/>
  <c r="ABS9" i="6"/>
  <c r="ABR3" i="6"/>
  <c r="ABG4" i="6"/>
  <c r="ABF7" i="6"/>
  <c r="ABQ10" i="6"/>
  <c r="ABR10" i="6"/>
  <c r="ABH4" i="6"/>
  <c r="ABG7" i="6"/>
  <c r="ABU1" i="6"/>
  <c r="ABT3" i="6"/>
  <c r="ABT5" i="6"/>
  <c r="ABT6" i="6"/>
  <c r="ABT9" i="6"/>
  <c r="ABS3" i="6"/>
  <c r="ABI4" i="6"/>
  <c r="ABH7" i="6"/>
  <c r="ABS10" i="6"/>
  <c r="ABV1" i="6"/>
  <c r="ABU3" i="6"/>
  <c r="ABU9" i="6"/>
  <c r="ABU5" i="6"/>
  <c r="ABU6" i="6"/>
  <c r="ABW1" i="6"/>
  <c r="ABV3" i="6"/>
  <c r="ABV5" i="6"/>
  <c r="ABV6" i="6"/>
  <c r="ABV9" i="6"/>
  <c r="ABT10" i="6"/>
  <c r="ABJ4" i="6"/>
  <c r="ABI7" i="6"/>
  <c r="ABK4" i="6"/>
  <c r="ABJ7" i="6"/>
  <c r="ABU10" i="6"/>
  <c r="ABX1" i="6"/>
  <c r="ABW3" i="6"/>
  <c r="ABW5" i="6"/>
  <c r="ABW6" i="6"/>
  <c r="ABW9" i="6"/>
  <c r="ABY1" i="6"/>
  <c r="ABX3" i="6"/>
  <c r="ABX5" i="6"/>
  <c r="ABX6" i="6"/>
  <c r="ABX9" i="6"/>
  <c r="ABV10" i="6"/>
  <c r="ABL4" i="6"/>
  <c r="ABK7" i="6"/>
  <c r="ABW10" i="6"/>
  <c r="ABM4" i="6"/>
  <c r="ABL7" i="6"/>
  <c r="ABZ1" i="6"/>
  <c r="ABY3" i="6"/>
  <c r="ABY5" i="6"/>
  <c r="ABY6" i="6"/>
  <c r="ABY9" i="6"/>
  <c r="ACA1" i="6"/>
  <c r="ABZ3" i="6"/>
  <c r="ABZ5" i="6"/>
  <c r="ABZ6" i="6"/>
  <c r="ABZ9" i="6"/>
  <c r="ABN4" i="6"/>
  <c r="ABM7" i="6"/>
  <c r="ABX10" i="6"/>
  <c r="ABY10" i="6"/>
  <c r="ABO4" i="6"/>
  <c r="ABN7" i="6"/>
  <c r="ACB1" i="6"/>
  <c r="ACA3" i="6"/>
  <c r="ACA9" i="6"/>
  <c r="ACC1" i="6"/>
  <c r="ACB3" i="6"/>
  <c r="ACB5" i="6"/>
  <c r="ACB9" i="6"/>
  <c r="ACA5" i="6"/>
  <c r="ACA6" i="6"/>
  <c r="ABP4" i="6"/>
  <c r="ABO7" i="6"/>
  <c r="ABZ10" i="6"/>
  <c r="ACB6" i="6"/>
  <c r="ACA10" i="6"/>
  <c r="ABQ4" i="6"/>
  <c r="ABP7" i="6"/>
  <c r="ACD1" i="6"/>
  <c r="ACC9" i="6"/>
  <c r="ACC5" i="6"/>
  <c r="ACC3" i="6"/>
  <c r="ACB10" i="6"/>
  <c r="ACC6" i="6"/>
  <c r="ACE1" i="6"/>
  <c r="ACD5" i="6"/>
  <c r="ABR4" i="6"/>
  <c r="ABQ7" i="6"/>
  <c r="ACD6" i="6"/>
  <c r="ACF1" i="6"/>
  <c r="ACE3" i="6"/>
  <c r="ACC10" i="6"/>
  <c r="ABS4" i="6"/>
  <c r="ABR7" i="6"/>
  <c r="ACD3" i="6"/>
  <c r="ACD9" i="6"/>
  <c r="ACG1" i="6"/>
  <c r="ACF3" i="6"/>
  <c r="ACF5" i="6"/>
  <c r="ACF9" i="6"/>
  <c r="ABT4" i="6"/>
  <c r="ABS7" i="6"/>
  <c r="ACD10" i="6"/>
  <c r="ACE9" i="6"/>
  <c r="ACE5" i="6"/>
  <c r="ACE6" i="6"/>
  <c r="ACE10" i="6"/>
  <c r="ABU4" i="6"/>
  <c r="ABT7" i="6"/>
  <c r="ACF6" i="6"/>
  <c r="ACH1" i="6"/>
  <c r="ACG3" i="6"/>
  <c r="ACG5" i="6"/>
  <c r="ACG6" i="6"/>
  <c r="ACI1" i="6"/>
  <c r="ACH3" i="6"/>
  <c r="ACH5" i="6"/>
  <c r="ACH9" i="6"/>
  <c r="ABV4" i="6"/>
  <c r="ABU7" i="6"/>
  <c r="ACG9" i="6"/>
  <c r="ACF10" i="6"/>
  <c r="ABW4" i="6"/>
  <c r="ABV7" i="6"/>
  <c r="ACJ1" i="6"/>
  <c r="ACI5" i="6"/>
  <c r="ACI9" i="6"/>
  <c r="ACG10" i="6"/>
  <c r="ACH6" i="6"/>
  <c r="ACH10" i="6"/>
  <c r="ACK1" i="6"/>
  <c r="ACJ3" i="6"/>
  <c r="ACJ5" i="6"/>
  <c r="ACJ9" i="6"/>
  <c r="ACI3" i="6"/>
  <c r="ACI6" i="6"/>
  <c r="ABX4" i="6"/>
  <c r="ABW7" i="6"/>
  <c r="ACL1" i="6"/>
  <c r="ACK5" i="6"/>
  <c r="ACK3" i="6"/>
  <c r="ACK9" i="6"/>
  <c r="ABY4" i="6"/>
  <c r="ABX7" i="6"/>
  <c r="ACI10" i="6"/>
  <c r="ACJ6" i="6"/>
  <c r="ACJ10" i="6"/>
  <c r="ABZ4" i="6"/>
  <c r="ABY7" i="6"/>
  <c r="ACM1" i="6"/>
  <c r="ACL5" i="6"/>
  <c r="ACL9" i="6"/>
  <c r="ACK6" i="6"/>
  <c r="ACL6" i="6"/>
  <c r="ACN1" i="6"/>
  <c r="ACM3" i="6"/>
  <c r="ACM9" i="6"/>
  <c r="ACM5" i="6"/>
  <c r="ACL3" i="6"/>
  <c r="ACA4" i="6"/>
  <c r="ABZ7" i="6"/>
  <c r="ACK10" i="6"/>
  <c r="ACL10" i="6"/>
  <c r="ACB4" i="6"/>
  <c r="ACA7" i="6"/>
  <c r="ACO1" i="6"/>
  <c r="ACN5" i="6"/>
  <c r="ACN3" i="6"/>
  <c r="ACN9" i="6"/>
  <c r="ACM6" i="6"/>
  <c r="ACC4" i="6"/>
  <c r="ACB7" i="6"/>
  <c r="ACP1" i="6"/>
  <c r="ACO3" i="6"/>
  <c r="ACO5" i="6"/>
  <c r="ACO9" i="6"/>
  <c r="ACN6" i="6"/>
  <c r="ACO6" i="6"/>
  <c r="ACM10" i="6"/>
  <c r="ACQ1" i="6"/>
  <c r="ACP5" i="6"/>
  <c r="ACP9" i="6"/>
  <c r="ACD4" i="6"/>
  <c r="ACC7" i="6"/>
  <c r="ACP6" i="6"/>
  <c r="ACN10" i="6"/>
  <c r="ACE4" i="6"/>
  <c r="ACD7" i="6"/>
  <c r="ACR1" i="6"/>
  <c r="ACQ3" i="6"/>
  <c r="ACQ5" i="6"/>
  <c r="ACQ6" i="6"/>
  <c r="ACQ9" i="6"/>
  <c r="ACP3" i="6"/>
  <c r="ACO10" i="6"/>
  <c r="ACS1" i="6"/>
  <c r="ACR3" i="6"/>
  <c r="ACR5" i="6"/>
  <c r="ACR6" i="6"/>
  <c r="ACR9" i="6"/>
  <c r="ACP10" i="6"/>
  <c r="ACF4" i="6"/>
  <c r="ACE7" i="6"/>
  <c r="ACQ10" i="6"/>
  <c r="ACT1" i="6"/>
  <c r="ACS3" i="6"/>
  <c r="ACS5" i="6"/>
  <c r="ACS6" i="6"/>
  <c r="ACS9" i="6"/>
  <c r="ACG4" i="6"/>
  <c r="ACF7" i="6"/>
  <c r="ACR10" i="6"/>
  <c r="ACU1" i="6"/>
  <c r="ACT5" i="6"/>
  <c r="ACT6" i="6"/>
  <c r="ACT9" i="6"/>
  <c r="ACH4" i="6"/>
  <c r="ACG7" i="6"/>
  <c r="ACV1" i="6"/>
  <c r="ACU3" i="6"/>
  <c r="ACU5" i="6"/>
  <c r="ACU6" i="6"/>
  <c r="ACU9" i="6"/>
  <c r="ACT3" i="6"/>
  <c r="ACS10" i="6"/>
  <c r="ACI4" i="6"/>
  <c r="ACH7" i="6"/>
  <c r="ACT10" i="6"/>
  <c r="ACW1" i="6"/>
  <c r="ACV3" i="6"/>
  <c r="ACV5" i="6"/>
  <c r="ACV6" i="6"/>
  <c r="ACV9" i="6"/>
  <c r="ACJ4" i="6"/>
  <c r="ACI7" i="6"/>
  <c r="ACX1" i="6"/>
  <c r="ACW3" i="6"/>
  <c r="ACU10" i="6"/>
  <c r="ACK4" i="6"/>
  <c r="ACJ7" i="6"/>
  <c r="ACW5" i="6"/>
  <c r="ACW6" i="6"/>
  <c r="ACV10" i="6"/>
  <c r="ACW9" i="6"/>
  <c r="ACY1" i="6"/>
  <c r="ACX5" i="6"/>
  <c r="ACX3" i="6"/>
  <c r="ACL4" i="6"/>
  <c r="ACK7" i="6"/>
  <c r="ACZ1" i="6"/>
  <c r="ACY5" i="6"/>
  <c r="ACY3" i="6"/>
  <c r="ACY9" i="6"/>
  <c r="ACW10" i="6"/>
  <c r="ACM4" i="6"/>
  <c r="ACL7" i="6"/>
  <c r="ACX9" i="6"/>
  <c r="ACX6" i="6"/>
  <c r="ACX10" i="6"/>
  <c r="ACN4" i="6"/>
  <c r="ACM7" i="6"/>
  <c r="ACY6" i="6"/>
  <c r="ADA1" i="6"/>
  <c r="ACZ3" i="6"/>
  <c r="ACZ5" i="6"/>
  <c r="ADA3" i="6"/>
  <c r="ADB1" i="6"/>
  <c r="ADA5" i="6"/>
  <c r="ADA9" i="6"/>
  <c r="ACZ6" i="6"/>
  <c r="ACO4" i="6"/>
  <c r="ACN7" i="6"/>
  <c r="ACZ9" i="6"/>
  <c r="ACY10" i="6"/>
  <c r="ACP4" i="6"/>
  <c r="ACO7" i="6"/>
  <c r="ADA6" i="6"/>
  <c r="ACZ10" i="6"/>
  <c r="ADC1" i="6"/>
  <c r="ADB3" i="6"/>
  <c r="ADB5" i="6"/>
  <c r="ADB6" i="6"/>
  <c r="ADD1" i="6"/>
  <c r="ADC3" i="6"/>
  <c r="ADC5" i="6"/>
  <c r="ADC9" i="6"/>
  <c r="ADA10" i="6"/>
  <c r="ACQ4" i="6"/>
  <c r="ACP7" i="6"/>
  <c r="ADB9" i="6"/>
  <c r="ACR4" i="6"/>
  <c r="ACQ7" i="6"/>
  <c r="ADB10" i="6"/>
  <c r="ADE1" i="6"/>
  <c r="ADD3" i="6"/>
  <c r="ADD5" i="6"/>
  <c r="ADD9" i="6"/>
  <c r="ADC6" i="6"/>
  <c r="ADF1" i="6"/>
  <c r="ADE3" i="6"/>
  <c r="ADE5" i="6"/>
  <c r="ADE9" i="6"/>
  <c r="ADC10" i="6"/>
  <c r="ADD6" i="6"/>
  <c r="ACS4" i="6"/>
  <c r="ACR7" i="6"/>
  <c r="ADE6" i="6"/>
  <c r="ADD10" i="6"/>
  <c r="ACT4" i="6"/>
  <c r="ACS7" i="6"/>
  <c r="ADG1" i="6"/>
  <c r="ADF3" i="6"/>
  <c r="ADF5" i="6"/>
  <c r="ADG3" i="6"/>
  <c r="ADH1" i="6"/>
  <c r="ADG5" i="6"/>
  <c r="ADG9" i="6"/>
  <c r="ADF6" i="6"/>
  <c r="ACU4" i="6"/>
  <c r="ACT7" i="6"/>
  <c r="ADE10" i="6"/>
  <c r="ADF9" i="6"/>
  <c r="ADF10" i="6"/>
  <c r="ACV4" i="6"/>
  <c r="ACU7" i="6"/>
  <c r="ADG6" i="6"/>
  <c r="ADI1" i="6"/>
  <c r="ADH3" i="6"/>
  <c r="ADH5" i="6"/>
  <c r="ADJ1" i="6"/>
  <c r="ADI3" i="6"/>
  <c r="ADI5" i="6"/>
  <c r="ADI9" i="6"/>
  <c r="ADH6" i="6"/>
  <c r="ADI6" i="6"/>
  <c r="ACW4" i="6"/>
  <c r="ACV7" i="6"/>
  <c r="ADH9" i="6"/>
  <c r="ADG10" i="6"/>
  <c r="ACX4" i="6"/>
  <c r="ACW7" i="6"/>
  <c r="ADH10" i="6"/>
  <c r="ADK1" i="6"/>
  <c r="ADJ9" i="6"/>
  <c r="ADJ3" i="6"/>
  <c r="ADJ5" i="6"/>
  <c r="ADJ6" i="6"/>
  <c r="ADL1" i="6"/>
  <c r="ADK3" i="6"/>
  <c r="ADK5" i="6"/>
  <c r="ADK6" i="6"/>
  <c r="ADK9" i="6"/>
  <c r="ADI10" i="6"/>
  <c r="ACY4" i="6"/>
  <c r="ACX7" i="6"/>
  <c r="ACZ4" i="6"/>
  <c r="ACY7" i="6"/>
  <c r="ADJ10" i="6"/>
  <c r="ADM1" i="6"/>
  <c r="ADL5" i="6"/>
  <c r="ADL6" i="6"/>
  <c r="ADL9" i="6"/>
  <c r="ADN1" i="6"/>
  <c r="ADM3" i="6"/>
  <c r="ADM5" i="6"/>
  <c r="ADM6" i="6"/>
  <c r="ADM9" i="6"/>
  <c r="ADL3" i="6"/>
  <c r="ADK10" i="6"/>
  <c r="ADA4" i="6"/>
  <c r="ACZ7" i="6"/>
  <c r="ADL10" i="6"/>
  <c r="ADB4" i="6"/>
  <c r="ADA7" i="6"/>
  <c r="ADO1" i="6"/>
  <c r="ADN5" i="6"/>
  <c r="ADN6" i="6"/>
  <c r="ADN9" i="6"/>
  <c r="ADP1" i="6"/>
  <c r="ADO5" i="6"/>
  <c r="ADO6" i="6"/>
  <c r="ADO9" i="6"/>
  <c r="ADN3" i="6"/>
  <c r="ADC4" i="6"/>
  <c r="ADB7" i="6"/>
  <c r="ADM10" i="6"/>
  <c r="ADN10" i="6"/>
  <c r="ADD4" i="6"/>
  <c r="ADC7" i="6"/>
  <c r="ADQ1" i="6"/>
  <c r="ADP3" i="6"/>
  <c r="ADP5" i="6"/>
  <c r="ADP6" i="6"/>
  <c r="ADP9" i="6"/>
  <c r="ADO3" i="6"/>
  <c r="ADR1" i="6"/>
  <c r="ADQ3" i="6"/>
  <c r="ADQ5" i="6"/>
  <c r="ADQ6" i="6"/>
  <c r="ADQ9" i="6"/>
  <c r="ADE4" i="6"/>
  <c r="ADD7" i="6"/>
  <c r="ADO10" i="6"/>
  <c r="ADP10" i="6"/>
  <c r="ADF4" i="6"/>
  <c r="ADE7" i="6"/>
  <c r="ADS1" i="6"/>
  <c r="ADR3" i="6"/>
  <c r="ADR9" i="6"/>
  <c r="ADR5" i="6"/>
  <c r="ADR6" i="6"/>
  <c r="ADG4" i="6"/>
  <c r="ADF7" i="6"/>
  <c r="ADQ10" i="6"/>
  <c r="ADT1" i="6"/>
  <c r="ADS9" i="6"/>
  <c r="ADU1" i="6"/>
  <c r="ADT3" i="6"/>
  <c r="ADT5" i="6"/>
  <c r="ADT9" i="6"/>
  <c r="ADS5" i="6"/>
  <c r="ADS6" i="6"/>
  <c r="ADT6" i="6"/>
  <c r="ADS3" i="6"/>
  <c r="ADR10" i="6"/>
  <c r="ADH4" i="6"/>
  <c r="ADG7" i="6"/>
  <c r="ADS10" i="6"/>
  <c r="ADV1" i="6"/>
  <c r="ADU3" i="6"/>
  <c r="ADU5" i="6"/>
  <c r="ADU6" i="6"/>
  <c r="ADU9" i="6"/>
  <c r="ADI4" i="6"/>
  <c r="ADH7" i="6"/>
  <c r="ADW1" i="6"/>
  <c r="ADV5" i="6"/>
  <c r="ADV6" i="6"/>
  <c r="ADV3" i="6"/>
  <c r="ADV9" i="6"/>
  <c r="ADT10" i="6"/>
  <c r="ADJ4" i="6"/>
  <c r="ADI7" i="6"/>
  <c r="ADU10" i="6"/>
  <c r="ADX1" i="6"/>
  <c r="ADW3" i="6"/>
  <c r="ADW5" i="6"/>
  <c r="ADW6" i="6"/>
  <c r="ADW9" i="6"/>
  <c r="ADK4" i="6"/>
  <c r="ADJ7" i="6"/>
  <c r="ADV10" i="6"/>
  <c r="ADY1" i="6"/>
  <c r="ADX3" i="6"/>
  <c r="ADX5" i="6"/>
  <c r="ADX6" i="6"/>
  <c r="ADX9" i="6"/>
  <c r="ADL4" i="6"/>
  <c r="ADK7" i="6"/>
  <c r="ADZ1" i="6"/>
  <c r="ADY3" i="6"/>
  <c r="ADY5" i="6"/>
  <c r="ADY6" i="6"/>
  <c r="ADY9" i="6"/>
  <c r="ADW10" i="6"/>
  <c r="ADM4" i="6"/>
  <c r="ADL7" i="6"/>
  <c r="ADX10" i="6"/>
  <c r="AEA1" i="6"/>
  <c r="ADZ9" i="6"/>
  <c r="ADN4" i="6"/>
  <c r="ADM7" i="6"/>
  <c r="AEB1" i="6"/>
  <c r="AEA3" i="6"/>
  <c r="AEA5" i="6"/>
  <c r="AEA9" i="6"/>
  <c r="ADZ5" i="6"/>
  <c r="ADZ6" i="6"/>
  <c r="AEA6" i="6"/>
  <c r="ADZ3" i="6"/>
  <c r="ADY10" i="6"/>
  <c r="ADO4" i="6"/>
  <c r="ADN7" i="6"/>
  <c r="AEC1" i="6"/>
  <c r="AEB3" i="6"/>
  <c r="AEB5" i="6"/>
  <c r="AEB6" i="6"/>
  <c r="AEB9" i="6"/>
  <c r="ADP4" i="6"/>
  <c r="ADO7" i="6"/>
  <c r="ADZ10" i="6"/>
  <c r="ADQ4" i="6"/>
  <c r="ADP7" i="6"/>
  <c r="AED1" i="6"/>
  <c r="AEA10" i="6"/>
  <c r="AEE1" i="6"/>
  <c r="AED3" i="6"/>
  <c r="AED5" i="6"/>
  <c r="AED9" i="6"/>
  <c r="AEC9" i="6"/>
  <c r="AEC5" i="6"/>
  <c r="AEC6" i="6"/>
  <c r="AED6" i="6"/>
  <c r="AEC3" i="6"/>
  <c r="ADR4" i="6"/>
  <c r="ADQ7" i="6"/>
  <c r="AEB10" i="6"/>
  <c r="AEC10" i="6"/>
  <c r="ADS4" i="6"/>
  <c r="ADR7" i="6"/>
  <c r="AEF1" i="6"/>
  <c r="AEE3" i="6"/>
  <c r="AEE5" i="6"/>
  <c r="AEE6" i="6"/>
  <c r="AEG1" i="6"/>
  <c r="AEF3" i="6"/>
  <c r="AEF5" i="6"/>
  <c r="AEF6" i="6"/>
  <c r="AEF9" i="6"/>
  <c r="ADT4" i="6"/>
  <c r="ADS7" i="6"/>
  <c r="AED10" i="6"/>
  <c r="AEE9" i="6"/>
  <c r="AEE10" i="6"/>
  <c r="ADU4" i="6"/>
  <c r="ADT7" i="6"/>
  <c r="AEH1" i="6"/>
  <c r="AEG3" i="6"/>
  <c r="AEG5" i="6"/>
  <c r="AEG6" i="6"/>
  <c r="AEG9" i="6"/>
  <c r="AEI1" i="6"/>
  <c r="AEH3" i="6"/>
  <c r="AEH5" i="6"/>
  <c r="AEH6" i="6"/>
  <c r="AEH9" i="6"/>
  <c r="ADV4" i="6"/>
  <c r="ADU7" i="6"/>
  <c r="AEF10" i="6"/>
  <c r="ADW4" i="6"/>
  <c r="ADV7" i="6"/>
  <c r="AEG10" i="6"/>
  <c r="AEJ1" i="6"/>
  <c r="AEI3" i="6"/>
  <c r="AEI5" i="6"/>
  <c r="AEI6" i="6"/>
  <c r="AEI9" i="6"/>
  <c r="AEK1" i="6"/>
  <c r="AEJ3" i="6"/>
  <c r="AEJ5" i="6"/>
  <c r="AEJ6" i="6"/>
  <c r="AEJ9" i="6"/>
  <c r="AEH10" i="6"/>
  <c r="ADX4" i="6"/>
  <c r="ADW7" i="6"/>
  <c r="ADY4" i="6"/>
  <c r="ADX7" i="6"/>
  <c r="AEI10" i="6"/>
  <c r="AEL1" i="6"/>
  <c r="AEK5" i="6"/>
  <c r="AEK6" i="6"/>
  <c r="AEK9" i="6"/>
  <c r="AEM1" i="6"/>
  <c r="AEL3" i="6"/>
  <c r="AEL5" i="6"/>
  <c r="AEL6" i="6"/>
  <c r="AEL9" i="6"/>
  <c r="AEK3" i="6"/>
  <c r="AEJ10" i="6"/>
  <c r="ADZ4" i="6"/>
  <c r="ADY7" i="6"/>
  <c r="AEA4" i="6"/>
  <c r="ADZ7" i="6"/>
  <c r="AEK10" i="6"/>
  <c r="AEN1" i="6"/>
  <c r="AEM3" i="6"/>
  <c r="AEM5" i="6"/>
  <c r="AEM6" i="6"/>
  <c r="AEM9" i="6"/>
  <c r="AEO1" i="6"/>
  <c r="AEN3" i="6"/>
  <c r="AEN5" i="6"/>
  <c r="AEN6" i="6"/>
  <c r="AEN9" i="6"/>
  <c r="AEL10" i="6"/>
  <c r="AEB4" i="6"/>
  <c r="AEA7" i="6"/>
  <c r="AEC4" i="6"/>
  <c r="AEB7" i="6"/>
  <c r="AEM10" i="6"/>
  <c r="AEP1" i="6"/>
  <c r="AEO9" i="6"/>
  <c r="AEO5" i="6"/>
  <c r="AEO6" i="6"/>
  <c r="AEQ1" i="6"/>
  <c r="AEP5" i="6"/>
  <c r="AEP6" i="6"/>
  <c r="AEP9" i="6"/>
  <c r="AEO3" i="6"/>
  <c r="AEN10" i="6"/>
  <c r="AED4" i="6"/>
  <c r="AEC7" i="6"/>
  <c r="AEE4" i="6"/>
  <c r="AED7" i="6"/>
  <c r="AEO10" i="6"/>
  <c r="AER1" i="6"/>
  <c r="AEQ5" i="6"/>
  <c r="AEQ6" i="6"/>
  <c r="AEQ9" i="6"/>
  <c r="AEP3" i="6"/>
  <c r="AES1" i="6"/>
  <c r="AER3" i="6"/>
  <c r="AER5" i="6"/>
  <c r="AER6" i="6"/>
  <c r="AER9" i="6"/>
  <c r="AEF4" i="6"/>
  <c r="AEE7" i="6"/>
  <c r="AEQ3" i="6"/>
  <c r="AEP10" i="6"/>
  <c r="AEG4" i="6"/>
  <c r="AEF7" i="6"/>
  <c r="AEQ10" i="6"/>
  <c r="AET1" i="6"/>
  <c r="AES3" i="6"/>
  <c r="AES5" i="6"/>
  <c r="AES6" i="6"/>
  <c r="AES9" i="6"/>
  <c r="AER10" i="6"/>
  <c r="AEU1" i="6"/>
  <c r="AEH4" i="6"/>
  <c r="AEG7" i="6"/>
  <c r="AEV1" i="6"/>
  <c r="AEU3" i="6"/>
  <c r="AEU5" i="6"/>
  <c r="AEU9" i="6"/>
  <c r="AEI4" i="6"/>
  <c r="AEH7" i="6"/>
  <c r="AET9" i="6"/>
  <c r="AET5" i="6"/>
  <c r="AET6" i="6"/>
  <c r="AEU6" i="6"/>
  <c r="AET3" i="6"/>
  <c r="AES10" i="6"/>
  <c r="AEJ4" i="6"/>
  <c r="AEI7" i="6"/>
  <c r="AET10" i="6"/>
  <c r="AEW1" i="6"/>
  <c r="AEV3" i="6"/>
  <c r="AEV5" i="6"/>
  <c r="AEV6" i="6"/>
  <c r="AEV9" i="6"/>
  <c r="AEX1" i="6"/>
  <c r="AEW3" i="6"/>
  <c r="AEW5" i="6"/>
  <c r="AEW6" i="6"/>
  <c r="AEW9" i="6"/>
  <c r="AEU10" i="6"/>
  <c r="AEK4" i="6"/>
  <c r="AEJ7" i="6"/>
  <c r="AEL4" i="6"/>
  <c r="AEK7" i="6"/>
  <c r="AEV10" i="6"/>
  <c r="AEY1" i="6"/>
  <c r="AEZ1" i="6"/>
  <c r="AEY3" i="6"/>
  <c r="AEY5" i="6"/>
  <c r="AEY9" i="6"/>
  <c r="AEX3" i="6"/>
  <c r="AEW10" i="6"/>
  <c r="AEM4" i="6"/>
  <c r="AEL7" i="6"/>
  <c r="AEX9" i="6"/>
  <c r="AEX5" i="6"/>
  <c r="AEX6" i="6"/>
  <c r="AEY6" i="6"/>
  <c r="AEX10" i="6"/>
  <c r="AEN4" i="6"/>
  <c r="AEM7" i="6"/>
  <c r="AFA1" i="6"/>
  <c r="AEZ3" i="6"/>
  <c r="AEZ5" i="6"/>
  <c r="AEZ6" i="6"/>
  <c r="AFB1" i="6"/>
  <c r="AFA5" i="6"/>
  <c r="AFA6" i="6"/>
  <c r="AFA3" i="6"/>
  <c r="AFA9" i="6"/>
  <c r="AEO4" i="6"/>
  <c r="AEN7" i="6"/>
  <c r="AEZ9" i="6"/>
  <c r="AEY10" i="6"/>
  <c r="AEP4" i="6"/>
  <c r="AEO7" i="6"/>
  <c r="AFC1" i="6"/>
  <c r="AFB9" i="6"/>
  <c r="AEZ10" i="6"/>
  <c r="AFC3" i="6"/>
  <c r="AFD1" i="6"/>
  <c r="AFC5" i="6"/>
  <c r="AFC9" i="6"/>
  <c r="AEQ4" i="6"/>
  <c r="AEP7" i="6"/>
  <c r="AFB5" i="6"/>
  <c r="AFB6" i="6"/>
  <c r="AFB3" i="6"/>
  <c r="AFA10" i="6"/>
  <c r="AFC6" i="6"/>
  <c r="AER4" i="6"/>
  <c r="AEQ7" i="6"/>
  <c r="AFB10" i="6"/>
  <c r="AFE1" i="6"/>
  <c r="AFD3" i="6"/>
  <c r="AFD5" i="6"/>
  <c r="AFD9" i="6"/>
  <c r="AFF1" i="6"/>
  <c r="AFE3" i="6"/>
  <c r="AFE5" i="6"/>
  <c r="AFE9" i="6"/>
  <c r="AFC10" i="6"/>
  <c r="AES4" i="6"/>
  <c r="AER7" i="6"/>
  <c r="AFD6" i="6"/>
  <c r="AET4" i="6"/>
  <c r="AES7" i="6"/>
  <c r="AFD10" i="6"/>
  <c r="AFE6" i="6"/>
  <c r="AFG1" i="6"/>
  <c r="AFF5" i="6"/>
  <c r="AFH1" i="6"/>
  <c r="AFG3" i="6"/>
  <c r="AFG5" i="6"/>
  <c r="AFG9" i="6"/>
  <c r="AFE10" i="6"/>
  <c r="AEU4" i="6"/>
  <c r="AET7" i="6"/>
  <c r="AFF3" i="6"/>
  <c r="AFF6" i="6"/>
  <c r="AFF9" i="6"/>
  <c r="AFF10" i="6"/>
  <c r="AEV4" i="6"/>
  <c r="AEU7" i="6"/>
  <c r="AFG6" i="6"/>
  <c r="AFI1" i="6"/>
  <c r="AFH3" i="6"/>
  <c r="AFH5" i="6"/>
  <c r="AFJ1" i="6"/>
  <c r="AFH6" i="6"/>
  <c r="AEW4" i="6"/>
  <c r="AEV7" i="6"/>
  <c r="AFH9" i="6"/>
  <c r="AFG10" i="6"/>
  <c r="AFH10" i="6"/>
  <c r="AFK1" i="6"/>
  <c r="AFJ3" i="6"/>
  <c r="AFJ5" i="6"/>
  <c r="AFJ9" i="6"/>
  <c r="AEX4" i="6"/>
  <c r="AEW7" i="6"/>
  <c r="AFI9" i="6"/>
  <c r="AFI5" i="6"/>
  <c r="AFI6" i="6"/>
  <c r="AFJ6" i="6"/>
  <c r="AFI3" i="6"/>
  <c r="AEY4" i="6"/>
  <c r="AEX7" i="6"/>
  <c r="AFL1" i="6"/>
  <c r="AFK3" i="6"/>
  <c r="AFK5" i="6"/>
  <c r="AFK6" i="6"/>
  <c r="AFK9" i="6"/>
  <c r="AFI10" i="6"/>
  <c r="AFM1" i="6"/>
  <c r="AFL3" i="6"/>
  <c r="AFL5" i="6"/>
  <c r="AFL6" i="6"/>
  <c r="AFL9" i="6"/>
  <c r="AEZ4" i="6"/>
  <c r="AEY7" i="6"/>
  <c r="AFJ10" i="6"/>
  <c r="AFA4" i="6"/>
  <c r="AEZ7" i="6"/>
  <c r="AFN1" i="6"/>
  <c r="AFM3" i="6"/>
  <c r="AFM5" i="6"/>
  <c r="AFM6" i="6"/>
  <c r="AFM9" i="6"/>
  <c r="AFK10" i="6"/>
  <c r="AFO1" i="6"/>
  <c r="AFN3" i="6"/>
  <c r="AFN5" i="6"/>
  <c r="AFN6" i="6"/>
  <c r="AFN9" i="6"/>
  <c r="AFB4" i="6"/>
  <c r="AFA7" i="6"/>
  <c r="AFL10" i="6"/>
  <c r="AFM10" i="6"/>
  <c r="AFC4" i="6"/>
  <c r="AFB7" i="6"/>
  <c r="AFP1" i="6"/>
  <c r="AFO9" i="6"/>
  <c r="AFO3" i="6"/>
  <c r="AFO5" i="6"/>
  <c r="AFO6" i="6"/>
  <c r="AFQ1" i="6"/>
  <c r="AFD4" i="6"/>
  <c r="AFC7" i="6"/>
  <c r="AFN10" i="6"/>
  <c r="AFP9" i="6"/>
  <c r="AFP5" i="6"/>
  <c r="AFP6" i="6"/>
  <c r="AFO10" i="6"/>
  <c r="AFE4" i="6"/>
  <c r="AFD7" i="6"/>
  <c r="AFR1" i="6"/>
  <c r="AFQ3" i="6"/>
  <c r="AFQ5" i="6"/>
  <c r="AFP3" i="6"/>
  <c r="AFS1" i="6"/>
  <c r="AFF4" i="6"/>
  <c r="AFE7" i="6"/>
  <c r="AFQ6" i="6"/>
  <c r="AFP10" i="6"/>
  <c r="AFQ9" i="6"/>
  <c r="AFR5" i="6"/>
  <c r="AFR6" i="6"/>
  <c r="AFR3" i="6"/>
  <c r="AFQ10" i="6"/>
  <c r="AFG4" i="6"/>
  <c r="AFF7" i="6"/>
  <c r="AFR9" i="6"/>
  <c r="AFT1" i="6"/>
  <c r="AFS3" i="6"/>
  <c r="AFS5" i="6"/>
  <c r="AFS9" i="6"/>
  <c r="AFS6" i="6"/>
  <c r="AFR10" i="6"/>
  <c r="AFH4" i="6"/>
  <c r="AFG7" i="6"/>
  <c r="AFU1" i="6"/>
  <c r="AFT3" i="6"/>
  <c r="AFT5" i="6"/>
  <c r="AFS10" i="6"/>
  <c r="AFV1" i="6"/>
  <c r="AFU3" i="6"/>
  <c r="AFU5" i="6"/>
  <c r="AFU9" i="6"/>
  <c r="AFI4" i="6"/>
  <c r="AFH7" i="6"/>
  <c r="AFT9" i="6"/>
  <c r="AFT6" i="6"/>
  <c r="AFJ4" i="6"/>
  <c r="AFI7" i="6"/>
  <c r="AFW1" i="6"/>
  <c r="AFV5" i="6"/>
  <c r="AFV9" i="6"/>
  <c r="AFU6" i="6"/>
  <c r="AFT10" i="6"/>
  <c r="AFU10" i="6"/>
  <c r="AFV6" i="6"/>
  <c r="AFX1" i="6"/>
  <c r="AFW3" i="6"/>
  <c r="AFW5" i="6"/>
  <c r="AFW9" i="6"/>
  <c r="AFV3" i="6"/>
  <c r="AFK4" i="6"/>
  <c r="AFJ7" i="6"/>
  <c r="AFW6" i="6"/>
  <c r="AFL4" i="6"/>
  <c r="AFK7" i="6"/>
  <c r="AFV10" i="6"/>
  <c r="AFY1" i="6"/>
  <c r="AFX5" i="6"/>
  <c r="AFX3" i="6"/>
  <c r="AFZ1" i="6"/>
  <c r="AFY3" i="6"/>
  <c r="AFY5" i="6"/>
  <c r="AFY9" i="6"/>
  <c r="AFW10" i="6"/>
  <c r="AFM4" i="6"/>
  <c r="AFL7" i="6"/>
  <c r="AFX6" i="6"/>
  <c r="AFX9" i="6"/>
  <c r="AFY6" i="6"/>
  <c r="AFN4" i="6"/>
  <c r="AFM7" i="6"/>
  <c r="AFX10" i="6"/>
  <c r="AGA1" i="6"/>
  <c r="AFZ9" i="6"/>
  <c r="AFZ3" i="6"/>
  <c r="AFZ5" i="6"/>
  <c r="AFY10" i="6"/>
  <c r="AGB1" i="6"/>
  <c r="AGA3" i="6"/>
  <c r="AGA5" i="6"/>
  <c r="AGA9" i="6"/>
  <c r="AFO4" i="6"/>
  <c r="AFN7" i="6"/>
  <c r="AFZ6" i="6"/>
  <c r="AGA6" i="6"/>
  <c r="AFP4" i="6"/>
  <c r="AFO7" i="6"/>
  <c r="AGC1" i="6"/>
  <c r="AGB3" i="6"/>
  <c r="AGB5" i="6"/>
  <c r="AGB9" i="6"/>
  <c r="AFZ10" i="6"/>
  <c r="AGD1" i="6"/>
  <c r="AGC3" i="6"/>
  <c r="AGC5" i="6"/>
  <c r="AGC9" i="6"/>
  <c r="AFQ4" i="6"/>
  <c r="AFP7" i="6"/>
  <c r="AGB6" i="6"/>
  <c r="AGA10" i="6"/>
  <c r="AGC6" i="6"/>
  <c r="AFR4" i="6"/>
  <c r="AFQ7" i="6"/>
  <c r="AGB10" i="6"/>
  <c r="AGE1" i="6"/>
  <c r="AGD3" i="6"/>
  <c r="AGD5" i="6"/>
  <c r="AGD9" i="6"/>
  <c r="AGF1" i="6"/>
  <c r="AGE3" i="6"/>
  <c r="AGE9" i="6"/>
  <c r="AGC10" i="6"/>
  <c r="AFS4" i="6"/>
  <c r="AFR7" i="6"/>
  <c r="AGD6" i="6"/>
  <c r="AGE5" i="6"/>
  <c r="AGE6" i="6"/>
  <c r="AFT4" i="6"/>
  <c r="AFS7" i="6"/>
  <c r="AGD10" i="6"/>
  <c r="AGG1" i="6"/>
  <c r="AGF3" i="6"/>
  <c r="AGF5" i="6"/>
  <c r="AGF9" i="6"/>
  <c r="AGF6" i="6"/>
  <c r="AFU4" i="6"/>
  <c r="AFT7" i="6"/>
  <c r="AGH1" i="6"/>
  <c r="AGG5" i="6"/>
  <c r="AGG6" i="6"/>
  <c r="AGG9" i="6"/>
  <c r="AGE10" i="6"/>
  <c r="AGF10" i="6"/>
  <c r="AFV4" i="6"/>
  <c r="AFU7" i="6"/>
  <c r="AGI1" i="6"/>
  <c r="AGH3" i="6"/>
  <c r="AGH5" i="6"/>
  <c r="AGH6" i="6"/>
  <c r="AGH9" i="6"/>
  <c r="AGG3" i="6"/>
  <c r="AGJ1" i="6"/>
  <c r="AGI3" i="6"/>
  <c r="AGI5" i="6"/>
  <c r="AGI6" i="6"/>
  <c r="AGI9" i="6"/>
  <c r="AFW4" i="6"/>
  <c r="AFV7" i="6"/>
  <c r="AGG10" i="6"/>
  <c r="AGH10" i="6"/>
  <c r="AFX4" i="6"/>
  <c r="AFW7" i="6"/>
  <c r="AGK1" i="6"/>
  <c r="AGJ5" i="6"/>
  <c r="AGJ6" i="6"/>
  <c r="AFY4" i="6"/>
  <c r="AFX7" i="6"/>
  <c r="AGL1" i="6"/>
  <c r="AGK5" i="6"/>
  <c r="AGK6" i="6"/>
  <c r="AGK9" i="6"/>
  <c r="AGJ3" i="6"/>
  <c r="AGI10" i="6"/>
  <c r="AGJ9" i="6"/>
  <c r="AGJ10" i="6"/>
  <c r="AGM1" i="6"/>
  <c r="AGL3" i="6"/>
  <c r="AGL5" i="6"/>
  <c r="AGL6" i="6"/>
  <c r="AGL9" i="6"/>
  <c r="AGK3" i="6"/>
  <c r="AFZ4" i="6"/>
  <c r="AFY7" i="6"/>
  <c r="AGN1" i="6"/>
  <c r="AGM3" i="6"/>
  <c r="AGM5" i="6"/>
  <c r="AGM6" i="6"/>
  <c r="AGM9" i="6"/>
  <c r="AGK10" i="6"/>
  <c r="AGA4" i="6"/>
  <c r="AFZ7" i="6"/>
  <c r="AGO1" i="6"/>
  <c r="AGN3" i="6"/>
  <c r="AGN5" i="6"/>
  <c r="AGN6" i="6"/>
  <c r="AGN9" i="6"/>
  <c r="AGL10" i="6"/>
  <c r="AGB4" i="6"/>
  <c r="AGA7" i="6"/>
  <c r="AGM10" i="6"/>
  <c r="AGP1" i="6"/>
  <c r="AGO3" i="6"/>
  <c r="AGO5" i="6"/>
  <c r="AGO6" i="6"/>
  <c r="AGO9" i="6"/>
  <c r="AGC4" i="6"/>
  <c r="AGB7" i="6"/>
  <c r="AGQ1" i="6"/>
  <c r="AGP5" i="6"/>
  <c r="AGP6" i="6"/>
  <c r="AGP9" i="6"/>
  <c r="AGN10" i="6"/>
  <c r="AGD4" i="6"/>
  <c r="AGC7" i="6"/>
  <c r="AGO10" i="6"/>
  <c r="AGR1" i="6"/>
  <c r="AGQ3" i="6"/>
  <c r="AGQ5" i="6"/>
  <c r="AGQ6" i="6"/>
  <c r="AGQ9" i="6"/>
  <c r="AGP3" i="6"/>
  <c r="AGE4" i="6"/>
  <c r="AGD7" i="6"/>
  <c r="AGS1" i="6"/>
  <c r="AGR3" i="6"/>
  <c r="AGR5" i="6"/>
  <c r="AGR6" i="6"/>
  <c r="AGR9" i="6"/>
  <c r="AGP10" i="6"/>
  <c r="AGF4" i="6"/>
  <c r="AGE7" i="6"/>
  <c r="AGQ10" i="6"/>
  <c r="AGT1" i="6"/>
  <c r="AGS5" i="6"/>
  <c r="AGS6" i="6"/>
  <c r="AGS9" i="6"/>
  <c r="AGG4" i="6"/>
  <c r="AGF7" i="6"/>
  <c r="AGU1" i="6"/>
  <c r="AGT5" i="6"/>
  <c r="AGT6" i="6"/>
  <c r="AGT9" i="6"/>
  <c r="AGR10" i="6"/>
  <c r="AGS3" i="6"/>
  <c r="AGH4" i="6"/>
  <c r="AGG7" i="6"/>
  <c r="AGS10" i="6"/>
  <c r="AGV1" i="6"/>
  <c r="AGU5" i="6"/>
  <c r="AGU6" i="6"/>
  <c r="AGU9" i="6"/>
  <c r="AGT3" i="6"/>
  <c r="AGI4" i="6"/>
  <c r="AGH7" i="6"/>
  <c r="AGW1" i="6"/>
  <c r="AGV5" i="6"/>
  <c r="AGV6" i="6"/>
  <c r="AGV9" i="6"/>
  <c r="AGU3" i="6"/>
  <c r="AGT10" i="6"/>
  <c r="AGJ4" i="6"/>
  <c r="AGI7" i="6"/>
  <c r="AGU10" i="6"/>
  <c r="AGX1" i="6"/>
  <c r="AGW3" i="6"/>
  <c r="AGW5" i="6"/>
  <c r="AGW6" i="6"/>
  <c r="AGW9" i="6"/>
  <c r="AGV3" i="6"/>
  <c r="AGK4" i="6"/>
  <c r="AGJ7" i="6"/>
  <c r="AGY1" i="6"/>
  <c r="AGX3" i="6"/>
  <c r="AGX5" i="6"/>
  <c r="AGX6" i="6"/>
  <c r="AGX9" i="6"/>
  <c r="AGV10" i="6"/>
  <c r="AGL4" i="6"/>
  <c r="AGK7" i="6"/>
  <c r="AGW10" i="6"/>
  <c r="AGZ1" i="6"/>
  <c r="AGY5" i="6"/>
  <c r="AGY6" i="6"/>
  <c r="AGY3" i="6"/>
  <c r="AGY9" i="6"/>
  <c r="AGM4" i="6"/>
  <c r="AGL7" i="6"/>
  <c r="AHA1" i="6"/>
  <c r="AGZ3" i="6"/>
  <c r="AGZ5" i="6"/>
  <c r="AGZ6" i="6"/>
  <c r="AGZ9" i="6"/>
  <c r="AGX10" i="6"/>
  <c r="AGN4" i="6"/>
  <c r="AGM7" i="6"/>
  <c r="AGY10" i="6"/>
  <c r="AHB1" i="6"/>
  <c r="AHA3" i="6"/>
  <c r="AHA5" i="6"/>
  <c r="AHA6" i="6"/>
  <c r="AHA9" i="6"/>
  <c r="AGO4" i="6"/>
  <c r="AGN7" i="6"/>
  <c r="AHC1" i="6"/>
  <c r="AHB3" i="6"/>
  <c r="AHB5" i="6"/>
  <c r="AHB6" i="6"/>
  <c r="AHB9" i="6"/>
  <c r="AGZ10" i="6"/>
  <c r="AGP4" i="6"/>
  <c r="AGO7" i="6"/>
  <c r="AHA10" i="6"/>
  <c r="AHD1" i="6"/>
  <c r="AHC3" i="6"/>
  <c r="AHC5" i="6"/>
  <c r="AHC6" i="6"/>
  <c r="AHC9" i="6"/>
  <c r="AGQ4" i="6"/>
  <c r="AGP7" i="6"/>
  <c r="AHE1" i="6"/>
  <c r="AHD5" i="6"/>
  <c r="AHD6" i="6"/>
  <c r="AHD9" i="6"/>
  <c r="AHB10" i="6"/>
  <c r="AGR4" i="6"/>
  <c r="AGQ7" i="6"/>
  <c r="AHC10" i="6"/>
  <c r="AHF1" i="6"/>
  <c r="AHE3" i="6"/>
  <c r="AHE9" i="6"/>
  <c r="AHE5" i="6"/>
  <c r="AHE6" i="6"/>
  <c r="AHD3" i="6"/>
  <c r="AGS4" i="6"/>
  <c r="AGR7" i="6"/>
  <c r="AHG1" i="6"/>
  <c r="AHF3" i="6"/>
  <c r="AHF5" i="6"/>
  <c r="AHF6" i="6"/>
  <c r="AHF9" i="6"/>
  <c r="AHD10" i="6"/>
  <c r="AGT4" i="6"/>
  <c r="AGS7" i="6"/>
  <c r="AHH1" i="6"/>
  <c r="AHG3" i="6"/>
  <c r="AHG5" i="6"/>
  <c r="AHG6" i="6"/>
  <c r="AHG9" i="6"/>
  <c r="AHE10" i="6"/>
  <c r="AGU4" i="6"/>
  <c r="AGT7" i="6"/>
  <c r="AHF10" i="6"/>
  <c r="AHI1" i="6"/>
  <c r="AHH9" i="6"/>
  <c r="AGV4" i="6"/>
  <c r="AGU7" i="6"/>
  <c r="AHJ1" i="6"/>
  <c r="AHI3" i="6"/>
  <c r="AHI5" i="6"/>
  <c r="AHI9" i="6"/>
  <c r="AHH5" i="6"/>
  <c r="AHH6" i="6"/>
  <c r="AHH3" i="6"/>
  <c r="AHG10" i="6"/>
  <c r="AGW4" i="6"/>
  <c r="AGV7" i="6"/>
  <c r="AHI6" i="6"/>
  <c r="AGX4" i="6"/>
  <c r="AGW7" i="6"/>
  <c r="AHK1" i="6"/>
  <c r="AHJ9" i="6"/>
  <c r="AHH10" i="6"/>
  <c r="AHL1" i="6"/>
  <c r="AHK3" i="6"/>
  <c r="AHK5" i="6"/>
  <c r="AHK9" i="6"/>
  <c r="AHJ5" i="6"/>
  <c r="AHJ6" i="6"/>
  <c r="AHK6" i="6"/>
  <c r="AHJ3" i="6"/>
  <c r="AGY4" i="6"/>
  <c r="AGX7" i="6"/>
  <c r="AHI10" i="6"/>
  <c r="AGZ4" i="6"/>
  <c r="AGY7" i="6"/>
  <c r="AHJ10" i="6"/>
  <c r="AHM1" i="6"/>
  <c r="AHL5" i="6"/>
  <c r="AHL6" i="6"/>
  <c r="AHL3" i="6"/>
  <c r="AHL9" i="6"/>
  <c r="AHN1" i="6"/>
  <c r="AHK10" i="6"/>
  <c r="AHA4" i="6"/>
  <c r="AGZ7" i="6"/>
  <c r="AHO1" i="6"/>
  <c r="AHN3" i="6"/>
  <c r="AHN5" i="6"/>
  <c r="AHN9" i="6"/>
  <c r="AHM3" i="6"/>
  <c r="AHB4" i="6"/>
  <c r="AHA7" i="6"/>
  <c r="AHL10" i="6"/>
  <c r="AHM9" i="6"/>
  <c r="AHM5" i="6"/>
  <c r="AHM6" i="6"/>
  <c r="AHN6" i="6"/>
  <c r="AHC4" i="6"/>
  <c r="AHB7" i="6"/>
  <c r="AHP1" i="6"/>
  <c r="AHO3" i="6"/>
  <c r="AHO5" i="6"/>
  <c r="AHO9" i="6"/>
  <c r="AHM10" i="6"/>
  <c r="AHQ1" i="6"/>
  <c r="AHP5" i="6"/>
  <c r="AHP3" i="6"/>
  <c r="AHP9" i="6"/>
  <c r="AHO6" i="6"/>
  <c r="AHD4" i="6"/>
  <c r="AHC7" i="6"/>
  <c r="AHN10" i="6"/>
  <c r="AHE4" i="6"/>
  <c r="AHD7" i="6"/>
  <c r="AHP6" i="6"/>
  <c r="AHR1" i="6"/>
  <c r="AHQ3" i="6"/>
  <c r="AHQ5" i="6"/>
  <c r="AHQ9" i="6"/>
  <c r="AHO10" i="6"/>
  <c r="AHS1" i="6"/>
  <c r="AHR5" i="6"/>
  <c r="AHR3" i="6"/>
  <c r="AHR9" i="6"/>
  <c r="AHQ6" i="6"/>
  <c r="AHF4" i="6"/>
  <c r="AHE7" i="6"/>
  <c r="AHP10" i="6"/>
  <c r="AHR6" i="6"/>
  <c r="AHG4" i="6"/>
  <c r="AHF7" i="6"/>
  <c r="AHT1" i="6"/>
  <c r="AHS3" i="6"/>
  <c r="AHS5" i="6"/>
  <c r="AHS6" i="6"/>
  <c r="AHS9" i="6"/>
  <c r="AHQ10" i="6"/>
  <c r="AHU1" i="6"/>
  <c r="AHT5" i="6"/>
  <c r="AHT6" i="6"/>
  <c r="AHT9" i="6"/>
  <c r="AHR10" i="6"/>
  <c r="AHH4" i="6"/>
  <c r="AHG7" i="6"/>
  <c r="AHS10" i="6"/>
  <c r="AHV1" i="6"/>
  <c r="AHU5" i="6"/>
  <c r="AHU6" i="6"/>
  <c r="AHU9" i="6"/>
  <c r="AHT3" i="6"/>
  <c r="AHI4" i="6"/>
  <c r="AHH7" i="6"/>
  <c r="AHW1" i="6"/>
  <c r="AHV3" i="6"/>
  <c r="AHV5" i="6"/>
  <c r="AHV6" i="6"/>
  <c r="AHV9" i="6"/>
  <c r="AHU3" i="6"/>
  <c r="AHT10" i="6"/>
  <c r="AHJ4" i="6"/>
  <c r="AHI7" i="6"/>
  <c r="AHU10" i="6"/>
  <c r="AHK4" i="6"/>
  <c r="AHJ7" i="6"/>
  <c r="AHX1" i="6"/>
  <c r="AHW3" i="6"/>
  <c r="AHW5" i="6"/>
  <c r="AHW6" i="6"/>
  <c r="AHW9" i="6"/>
  <c r="AHY1" i="6"/>
  <c r="AHL4" i="6"/>
  <c r="AHK7" i="6"/>
  <c r="AHV10" i="6"/>
  <c r="AHZ1" i="6"/>
  <c r="AHY3" i="6"/>
  <c r="AHY5" i="6"/>
  <c r="AHY9" i="6"/>
  <c r="AHW10" i="6"/>
  <c r="AHM4" i="6"/>
  <c r="AHL7" i="6"/>
  <c r="AHX9" i="6"/>
  <c r="AHX5" i="6"/>
  <c r="AHX6" i="6"/>
  <c r="AHX3" i="6"/>
  <c r="AHN4" i="6"/>
  <c r="AHM7" i="6"/>
  <c r="AHX10" i="6"/>
  <c r="AHY6" i="6"/>
  <c r="AIA1" i="6"/>
  <c r="AHZ3" i="6"/>
  <c r="AHZ5" i="6"/>
  <c r="AHZ9" i="6"/>
  <c r="AIB1" i="6"/>
  <c r="AIA3" i="6"/>
  <c r="AIA5" i="6"/>
  <c r="AIA9" i="6"/>
  <c r="AHZ6" i="6"/>
  <c r="AHY10" i="6"/>
  <c r="AHO4" i="6"/>
  <c r="AHN7" i="6"/>
  <c r="AHP4" i="6"/>
  <c r="AHO7" i="6"/>
  <c r="AHZ10" i="6"/>
  <c r="AIA6" i="6"/>
  <c r="AIC1" i="6"/>
  <c r="AIB3" i="6"/>
  <c r="AIB5" i="6"/>
  <c r="AID1" i="6"/>
  <c r="AIC3" i="6"/>
  <c r="AIC5" i="6"/>
  <c r="AIC9" i="6"/>
  <c r="AHQ4" i="6"/>
  <c r="AHP7" i="6"/>
  <c r="AIB6" i="6"/>
  <c r="AIA10" i="6"/>
  <c r="AIB9" i="6"/>
  <c r="AIC6" i="6"/>
  <c r="AHR4" i="6"/>
  <c r="AHQ7" i="6"/>
  <c r="AIE1" i="6"/>
  <c r="AID3" i="6"/>
  <c r="AID5" i="6"/>
  <c r="AID9" i="6"/>
  <c r="AIB10" i="6"/>
  <c r="AIF1" i="6"/>
  <c r="AIE3" i="6"/>
  <c r="AIE5" i="6"/>
  <c r="AIE9" i="6"/>
  <c r="AHS4" i="6"/>
  <c r="AHR7" i="6"/>
  <c r="AID6" i="6"/>
  <c r="AIC10" i="6"/>
  <c r="AIE6" i="6"/>
  <c r="AHT4" i="6"/>
  <c r="AHS7" i="6"/>
  <c r="AIG1" i="6"/>
  <c r="AIF3" i="6"/>
  <c r="AIF5" i="6"/>
  <c r="AIF9" i="6"/>
  <c r="AID10" i="6"/>
  <c r="AIH1" i="6"/>
  <c r="AIG5" i="6"/>
  <c r="AIG9" i="6"/>
  <c r="AHU4" i="6"/>
  <c r="AHT7" i="6"/>
  <c r="AIF6" i="6"/>
  <c r="AIE10" i="6"/>
  <c r="AIG6" i="6"/>
  <c r="AHV4" i="6"/>
  <c r="AHU7" i="6"/>
  <c r="AII1" i="6"/>
  <c r="AIH3" i="6"/>
  <c r="AIH5" i="6"/>
  <c r="AIH6" i="6"/>
  <c r="AIH9" i="6"/>
  <c r="AIG3" i="6"/>
  <c r="AIF10" i="6"/>
  <c r="AIJ1" i="6"/>
  <c r="AII3" i="6"/>
  <c r="AII5" i="6"/>
  <c r="AII6" i="6"/>
  <c r="AII9" i="6"/>
  <c r="AIG10" i="6"/>
  <c r="AHW4" i="6"/>
  <c r="AHV7" i="6"/>
  <c r="AIH10" i="6"/>
  <c r="AIK1" i="6"/>
  <c r="AIJ3" i="6"/>
  <c r="AIJ5" i="6"/>
  <c r="AIJ6" i="6"/>
  <c r="AIJ9" i="6"/>
  <c r="AHX4" i="6"/>
  <c r="AHW7" i="6"/>
  <c r="AIL1" i="6"/>
  <c r="AIK5" i="6"/>
  <c r="AIK6" i="6"/>
  <c r="AIK9" i="6"/>
  <c r="AII10" i="6"/>
  <c r="AHY4" i="6"/>
  <c r="AHX7" i="6"/>
  <c r="AIJ10" i="6"/>
  <c r="AIM1" i="6"/>
  <c r="AIL3" i="6"/>
  <c r="AIL5" i="6"/>
  <c r="AIL6" i="6"/>
  <c r="AIL9" i="6"/>
  <c r="AIK3" i="6"/>
  <c r="AHZ4" i="6"/>
  <c r="AHY7" i="6"/>
  <c r="AIN1" i="6"/>
  <c r="AIM3" i="6"/>
  <c r="AIM5" i="6"/>
  <c r="AIM6" i="6"/>
  <c r="AIM9" i="6"/>
  <c r="AIK10" i="6"/>
  <c r="AIA4" i="6"/>
  <c r="AHZ7" i="6"/>
  <c r="AIL10" i="6"/>
  <c r="AIO1" i="6"/>
  <c r="AIN3" i="6"/>
  <c r="AIN5" i="6"/>
  <c r="AIN6" i="6"/>
  <c r="AIN9" i="6"/>
  <c r="AIB4" i="6"/>
  <c r="AIA7" i="6"/>
  <c r="AIP1" i="6"/>
  <c r="AIO3" i="6"/>
  <c r="AIO5" i="6"/>
  <c r="AIO6" i="6"/>
  <c r="AIO9" i="6"/>
  <c r="AIM10" i="6"/>
  <c r="AIC4" i="6"/>
  <c r="AIB7" i="6"/>
  <c r="AIN10" i="6"/>
  <c r="AIQ1" i="6"/>
  <c r="AIP3" i="6"/>
  <c r="AIP5" i="6"/>
  <c r="AIP6" i="6"/>
  <c r="AIP9" i="6"/>
  <c r="AID4" i="6"/>
  <c r="AIC7" i="6"/>
  <c r="AIR1" i="6"/>
  <c r="AIQ3" i="6"/>
  <c r="AIQ5" i="6"/>
  <c r="AIQ6" i="6"/>
  <c r="AIQ9" i="6"/>
  <c r="AIO10" i="6"/>
  <c r="AIE4" i="6"/>
  <c r="AID7" i="6"/>
  <c r="AIP10" i="6"/>
  <c r="AIS1" i="6"/>
  <c r="AIR3" i="6"/>
  <c r="AIR5" i="6"/>
  <c r="AIR6" i="6"/>
  <c r="AIR9" i="6"/>
  <c r="AIF4" i="6"/>
  <c r="AIE7" i="6"/>
  <c r="AIT1" i="6"/>
  <c r="AIS3" i="6"/>
  <c r="AIS5" i="6"/>
  <c r="AIS6" i="6"/>
  <c r="AIS9" i="6"/>
  <c r="AIQ10" i="6"/>
  <c r="AIG4" i="6"/>
  <c r="AIF7" i="6"/>
  <c r="AIR10" i="6"/>
  <c r="AIU1" i="6"/>
  <c r="AIT3" i="6"/>
  <c r="AIT5" i="6"/>
  <c r="AIT6" i="6"/>
  <c r="AIT9" i="6"/>
  <c r="AIH4" i="6"/>
  <c r="AIG7" i="6"/>
  <c r="AIV1" i="6"/>
  <c r="AIU5" i="6"/>
  <c r="AIU6" i="6"/>
  <c r="AIU3" i="6"/>
  <c r="AIU9" i="6"/>
  <c r="AIS10" i="6"/>
  <c r="AII4" i="6"/>
  <c r="AIH7" i="6"/>
  <c r="AIT10" i="6"/>
  <c r="AIW1" i="6"/>
  <c r="AIV3" i="6"/>
  <c r="AIV5" i="6"/>
  <c r="AIV6" i="6"/>
  <c r="AIV9" i="6"/>
  <c r="AIJ4" i="6"/>
  <c r="AII7" i="6"/>
  <c r="AIX1" i="6"/>
  <c r="AIW5" i="6"/>
  <c r="AIW6" i="6"/>
  <c r="AIW9" i="6"/>
  <c r="AIU10" i="6"/>
  <c r="AIK4" i="6"/>
  <c r="AIJ7" i="6"/>
  <c r="AIV10" i="6"/>
  <c r="AIY1" i="6"/>
  <c r="AIX3" i="6"/>
  <c r="AIX5" i="6"/>
  <c r="AIX6" i="6"/>
  <c r="AIX9" i="6"/>
  <c r="AIW3" i="6"/>
  <c r="AIL4" i="6"/>
  <c r="AIK7" i="6"/>
  <c r="AIZ1" i="6"/>
  <c r="AIY3" i="6"/>
  <c r="AIY5" i="6"/>
  <c r="AIY6" i="6"/>
  <c r="AIY9" i="6"/>
  <c r="AIW10" i="6"/>
  <c r="AIM4" i="6"/>
  <c r="AIL7" i="6"/>
  <c r="AIX10" i="6"/>
  <c r="AJA1" i="6"/>
  <c r="AIZ3" i="6"/>
  <c r="AIZ5" i="6"/>
  <c r="AIZ6" i="6"/>
  <c r="AIZ9" i="6"/>
  <c r="AIN4" i="6"/>
  <c r="AIM7" i="6"/>
  <c r="AJB1" i="6"/>
  <c r="AJA5" i="6"/>
  <c r="AJA6" i="6"/>
  <c r="AJA9" i="6"/>
  <c r="AIY10" i="6"/>
  <c r="AIO4" i="6"/>
  <c r="AIN7" i="6"/>
  <c r="AIZ10" i="6"/>
  <c r="AJC1" i="6"/>
  <c r="AJB5" i="6"/>
  <c r="AJB6" i="6"/>
  <c r="AJB9" i="6"/>
  <c r="AJA3" i="6"/>
  <c r="AIP4" i="6"/>
  <c r="AIO7" i="6"/>
  <c r="AJD1" i="6"/>
  <c r="AJC3" i="6"/>
  <c r="AJC5" i="6"/>
  <c r="AJC6" i="6"/>
  <c r="AJC9" i="6"/>
  <c r="AJB3" i="6"/>
  <c r="AJA10" i="6"/>
  <c r="AIQ4" i="6"/>
  <c r="AIP7" i="6"/>
  <c r="AJB10" i="6"/>
  <c r="AJE1" i="6"/>
  <c r="AJD5" i="6"/>
  <c r="AJD6" i="6"/>
  <c r="AJD9" i="6"/>
  <c r="AIR4" i="6"/>
  <c r="AIQ7" i="6"/>
  <c r="AJF1" i="6"/>
  <c r="AJD3" i="6"/>
  <c r="AJC10" i="6"/>
  <c r="AIS4" i="6"/>
  <c r="AIR7" i="6"/>
  <c r="AJG1" i="6"/>
  <c r="AJF5" i="6"/>
  <c r="AIT4" i="6"/>
  <c r="AIS7" i="6"/>
  <c r="AJD10" i="6"/>
  <c r="AJE9" i="6"/>
  <c r="AJE3" i="6"/>
  <c r="AJE5" i="6"/>
  <c r="AJE6" i="6"/>
  <c r="AJE10" i="6"/>
  <c r="AIU4" i="6"/>
  <c r="AIT7" i="6"/>
  <c r="AJF9" i="6"/>
  <c r="AJF6" i="6"/>
  <c r="AJH1" i="6"/>
  <c r="AJG3" i="6"/>
  <c r="AJG5" i="6"/>
  <c r="AJG9" i="6"/>
  <c r="AJF3" i="6"/>
  <c r="AJI1" i="6"/>
  <c r="AJH3" i="6"/>
  <c r="AJH5" i="6"/>
  <c r="AJH9" i="6"/>
  <c r="AJG6" i="6"/>
  <c r="AIV4" i="6"/>
  <c r="AIU7" i="6"/>
  <c r="AJF10" i="6"/>
  <c r="AJH6" i="6"/>
  <c r="AIW4" i="6"/>
  <c r="AIV7" i="6"/>
  <c r="AJG10" i="6"/>
  <c r="AJJ1" i="6"/>
  <c r="AJI5" i="6"/>
  <c r="AJI6" i="6"/>
  <c r="AJK1" i="6"/>
  <c r="AJJ3" i="6"/>
  <c r="AJJ5" i="6"/>
  <c r="AJJ6" i="6"/>
  <c r="AJJ9" i="6"/>
  <c r="AJI3" i="6"/>
  <c r="AJH10" i="6"/>
  <c r="AIX4" i="6"/>
  <c r="AIW7" i="6"/>
  <c r="AJI9" i="6"/>
  <c r="AIY4" i="6"/>
  <c r="AIX7" i="6"/>
  <c r="AJI10" i="6"/>
  <c r="AJL1" i="6"/>
  <c r="AJK3" i="6"/>
  <c r="AJK5" i="6"/>
  <c r="AJK6" i="6"/>
  <c r="AJM1" i="6"/>
  <c r="AJL5" i="6"/>
  <c r="AJL6" i="6"/>
  <c r="AJL9" i="6"/>
  <c r="AJJ10" i="6"/>
  <c r="AIZ4" i="6"/>
  <c r="AIY7" i="6"/>
  <c r="AJK9" i="6"/>
  <c r="AJA4" i="6"/>
  <c r="AIZ7" i="6"/>
  <c r="AJK10" i="6"/>
  <c r="AJN1" i="6"/>
  <c r="AJM3" i="6"/>
  <c r="AJM5" i="6"/>
  <c r="AJM6" i="6"/>
  <c r="AJM9" i="6"/>
  <c r="AJL3" i="6"/>
  <c r="AJL10" i="6"/>
  <c r="AJO1" i="6"/>
  <c r="AJN3" i="6"/>
  <c r="AJN5" i="6"/>
  <c r="AJN6" i="6"/>
  <c r="AJB4" i="6"/>
  <c r="AJA7" i="6"/>
  <c r="AJP1" i="6"/>
  <c r="AJO3" i="6"/>
  <c r="AJO5" i="6"/>
  <c r="AJO6" i="6"/>
  <c r="AJO9" i="6"/>
  <c r="AJM10" i="6"/>
  <c r="AJC4" i="6"/>
  <c r="AJB7" i="6"/>
  <c r="AJN9" i="6"/>
  <c r="AJD4" i="6"/>
  <c r="AJC7" i="6"/>
  <c r="AJN10" i="6"/>
  <c r="AJQ1" i="6"/>
  <c r="AJP3" i="6"/>
  <c r="AJP5" i="6"/>
  <c r="AJP6" i="6"/>
  <c r="AJR1" i="6"/>
  <c r="AJQ3" i="6"/>
  <c r="AJQ5" i="6"/>
  <c r="AJQ6" i="6"/>
  <c r="AJQ9" i="6"/>
  <c r="AJE4" i="6"/>
  <c r="AJD7" i="6"/>
  <c r="AJO10" i="6"/>
  <c r="AJP9" i="6"/>
  <c r="AJF4" i="6"/>
  <c r="AJE7" i="6"/>
  <c r="AJP10" i="6"/>
  <c r="AJS1" i="6"/>
  <c r="AJR3" i="6"/>
  <c r="AJR5" i="6"/>
  <c r="AJR6" i="6"/>
  <c r="AJR9" i="6"/>
  <c r="AJT1" i="6"/>
  <c r="AJS5" i="6"/>
  <c r="AJS6" i="6"/>
  <c r="AJS3" i="6"/>
  <c r="AJS9" i="6"/>
  <c r="AJQ10" i="6"/>
  <c r="AJG4" i="6"/>
  <c r="AJF7" i="6"/>
  <c r="AJH4" i="6"/>
  <c r="AJG7" i="6"/>
  <c r="AJR10" i="6"/>
  <c r="AJU1" i="6"/>
  <c r="AJT9" i="6"/>
  <c r="AJV1" i="6"/>
  <c r="AJU3" i="6"/>
  <c r="AJU5" i="6"/>
  <c r="AJU9" i="6"/>
  <c r="AJT5" i="6"/>
  <c r="AJT6" i="6"/>
  <c r="AJU6" i="6"/>
  <c r="AJT3" i="6"/>
  <c r="AJS10" i="6"/>
  <c r="AJI4" i="6"/>
  <c r="AJH7" i="6"/>
  <c r="AJJ4" i="6"/>
  <c r="AJI7" i="6"/>
  <c r="AJT10" i="6"/>
  <c r="AJW1" i="6"/>
  <c r="AJV3" i="6"/>
  <c r="AJV5" i="6"/>
  <c r="AJV6" i="6"/>
  <c r="AJV9" i="6"/>
  <c r="AJX1" i="6"/>
  <c r="AJW3" i="6"/>
  <c r="AJW5" i="6"/>
  <c r="AJW6" i="6"/>
  <c r="AJW9" i="6"/>
  <c r="AJU10" i="6"/>
  <c r="AJK4" i="6"/>
  <c r="AJJ7" i="6"/>
  <c r="AJV10" i="6"/>
  <c r="AJY1" i="6"/>
  <c r="AJX3" i="6"/>
  <c r="AJX5" i="6"/>
  <c r="AJX6" i="6"/>
  <c r="AJX9" i="6"/>
  <c r="AJL4" i="6"/>
  <c r="AJK7" i="6"/>
  <c r="AJZ1" i="6"/>
  <c r="AJY3" i="6"/>
  <c r="AJY5" i="6"/>
  <c r="AJY6" i="6"/>
  <c r="AJY9" i="6"/>
  <c r="AJW10" i="6"/>
  <c r="AJM4" i="6"/>
  <c r="AJL7" i="6"/>
  <c r="AJX10" i="6"/>
  <c r="AKA1" i="6"/>
  <c r="AJZ3" i="6"/>
  <c r="AJZ5" i="6"/>
  <c r="AJZ6" i="6"/>
  <c r="AJZ9" i="6"/>
  <c r="AJN4" i="6"/>
  <c r="AJM7" i="6"/>
  <c r="AKB1" i="6"/>
  <c r="AKA3" i="6"/>
  <c r="AKA5" i="6"/>
  <c r="AKA6" i="6"/>
  <c r="AKA9" i="6"/>
  <c r="AJY10" i="6"/>
  <c r="AJO4" i="6"/>
  <c r="AJN7" i="6"/>
  <c r="AJZ10" i="6"/>
  <c r="AKC1" i="6"/>
  <c r="AKB3" i="6"/>
  <c r="AKB5" i="6"/>
  <c r="AKB6" i="6"/>
  <c r="AKB9" i="6"/>
  <c r="AJP4" i="6"/>
  <c r="AJO7" i="6"/>
  <c r="AKD1" i="6"/>
  <c r="AKC3" i="6"/>
  <c r="AKC5" i="6"/>
  <c r="AKC6" i="6"/>
  <c r="AKC9" i="6"/>
  <c r="AKA10" i="6"/>
  <c r="AJQ4" i="6"/>
  <c r="AJP7" i="6"/>
  <c r="AKB10" i="6"/>
  <c r="AKE1" i="6"/>
  <c r="AKD3" i="6"/>
  <c r="AKD5" i="6"/>
  <c r="AKD6" i="6"/>
  <c r="AKD9" i="6"/>
  <c r="AJR4" i="6"/>
  <c r="AJQ7" i="6"/>
  <c r="AKF1" i="6"/>
  <c r="AKE3" i="6"/>
  <c r="AKE5" i="6"/>
  <c r="AKE6" i="6"/>
  <c r="AKE9" i="6"/>
  <c r="AKC10" i="6"/>
  <c r="AJS4" i="6"/>
  <c r="AJR7" i="6"/>
  <c r="AKD10" i="6"/>
  <c r="AKG1" i="6"/>
  <c r="AKF3" i="6"/>
  <c r="AKF9" i="6"/>
  <c r="AKF5" i="6"/>
  <c r="AKF6" i="6"/>
  <c r="AJT4" i="6"/>
  <c r="AJS7" i="6"/>
  <c r="AKH1" i="6"/>
  <c r="AKG3" i="6"/>
  <c r="AKG5" i="6"/>
  <c r="AKG6" i="6"/>
  <c r="AKG9" i="6"/>
  <c r="AKE10" i="6"/>
  <c r="AJU4" i="6"/>
  <c r="AJT7" i="6"/>
  <c r="AKF10" i="6"/>
  <c r="AKI1" i="6"/>
  <c r="AKH3" i="6"/>
  <c r="AKH5" i="6"/>
  <c r="AKH6" i="6"/>
  <c r="AKH9" i="6"/>
  <c r="AJV4" i="6"/>
  <c r="AJU7" i="6"/>
  <c r="AKJ1" i="6"/>
  <c r="AKI3" i="6"/>
  <c r="AKI5" i="6"/>
  <c r="AKI6" i="6"/>
  <c r="AKI9" i="6"/>
  <c r="AKG10" i="6"/>
  <c r="AJW4" i="6"/>
  <c r="AJV7" i="6"/>
  <c r="AKH10" i="6"/>
  <c r="AKK1" i="6"/>
  <c r="AKJ3" i="6"/>
  <c r="AKJ5" i="6"/>
  <c r="AKJ6" i="6"/>
  <c r="AKJ9" i="6"/>
  <c r="AJX4" i="6"/>
  <c r="AJW7" i="6"/>
  <c r="AKL1" i="6"/>
  <c r="AKK5" i="6"/>
  <c r="AKK6" i="6"/>
  <c r="AKK9" i="6"/>
  <c r="AKI10" i="6"/>
  <c r="AJY4" i="6"/>
  <c r="AJX7" i="6"/>
  <c r="AKJ10" i="6"/>
  <c r="AKM1" i="6"/>
  <c r="AKL5" i="6"/>
  <c r="AKL6" i="6"/>
  <c r="AKL9" i="6"/>
  <c r="AKK3" i="6"/>
  <c r="AJZ4" i="6"/>
  <c r="AJY7" i="6"/>
  <c r="AKN1" i="6"/>
  <c r="AKM3" i="6"/>
  <c r="AKM5" i="6"/>
  <c r="AKM6" i="6"/>
  <c r="AKM9" i="6"/>
  <c r="AKL3" i="6"/>
  <c r="AKK10" i="6"/>
  <c r="AKA4" i="6"/>
  <c r="AJZ7" i="6"/>
  <c r="AKL10" i="6"/>
  <c r="AKO1" i="6"/>
  <c r="AKN3" i="6"/>
  <c r="AKN5" i="6"/>
  <c r="AKN6" i="6"/>
  <c r="AKN9" i="6"/>
  <c r="AKB4" i="6"/>
  <c r="AKA7" i="6"/>
  <c r="AKP1" i="6"/>
  <c r="AKO5" i="6"/>
  <c r="AKO6" i="6"/>
  <c r="AKO9" i="6"/>
  <c r="AKM10" i="6"/>
  <c r="AKC4" i="6"/>
  <c r="AKB7" i="6"/>
  <c r="AKN10" i="6"/>
  <c r="AKQ1" i="6"/>
  <c r="AKP3" i="6"/>
  <c r="AKO3" i="6"/>
  <c r="AKD4" i="6"/>
  <c r="AKC7" i="6"/>
  <c r="AKR1" i="6"/>
  <c r="AKQ5" i="6"/>
  <c r="AKQ9" i="6"/>
  <c r="AKO10" i="6"/>
  <c r="AKE4" i="6"/>
  <c r="AKD7" i="6"/>
  <c r="AKP9" i="6"/>
  <c r="AKP5" i="6"/>
  <c r="AKP6" i="6"/>
  <c r="AKQ6" i="6"/>
  <c r="AKF4" i="6"/>
  <c r="AKE7" i="6"/>
  <c r="AKP10" i="6"/>
  <c r="AKS1" i="6"/>
  <c r="AKR3" i="6"/>
  <c r="AKR5" i="6"/>
  <c r="AKR6" i="6"/>
  <c r="AKQ3" i="6"/>
  <c r="AKT1" i="6"/>
  <c r="AKS3" i="6"/>
  <c r="AKS5" i="6"/>
  <c r="AKS6" i="6"/>
  <c r="AKS9" i="6"/>
  <c r="AKQ10" i="6"/>
  <c r="AKR9" i="6"/>
  <c r="AKG4" i="6"/>
  <c r="AKF7" i="6"/>
  <c r="AKR10" i="6"/>
  <c r="AKU1" i="6"/>
  <c r="AKT3" i="6"/>
  <c r="AKT5" i="6"/>
  <c r="AKT6" i="6"/>
  <c r="AKT9" i="6"/>
  <c r="AKH4" i="6"/>
  <c r="AKG7" i="6"/>
  <c r="AKI4" i="6"/>
  <c r="AKH7" i="6"/>
  <c r="AKV1" i="6"/>
  <c r="AKU5" i="6"/>
  <c r="AKU6" i="6"/>
  <c r="AKU9" i="6"/>
  <c r="AKS10" i="6"/>
  <c r="AKT10" i="6"/>
  <c r="AKW1" i="6"/>
  <c r="AKV5" i="6"/>
  <c r="AKV6" i="6"/>
  <c r="AKV9" i="6"/>
  <c r="AKU3" i="6"/>
  <c r="AKJ4" i="6"/>
  <c r="AKI7" i="6"/>
  <c r="AKX1" i="6"/>
  <c r="AKW3" i="6"/>
  <c r="AKW5" i="6"/>
  <c r="AKW6" i="6"/>
  <c r="AKW9" i="6"/>
  <c r="AKK4" i="6"/>
  <c r="AKJ7" i="6"/>
  <c r="AKV3" i="6"/>
  <c r="AKU10" i="6"/>
  <c r="AKV10" i="6"/>
  <c r="AKL4" i="6"/>
  <c r="AKK7" i="6"/>
  <c r="AKY1" i="6"/>
  <c r="AKX3" i="6"/>
  <c r="AKX5" i="6"/>
  <c r="AKX6" i="6"/>
  <c r="AKM4" i="6"/>
  <c r="AKL7" i="6"/>
  <c r="AKZ1" i="6"/>
  <c r="AKY5" i="6"/>
  <c r="AKY6" i="6"/>
  <c r="AKY3" i="6"/>
  <c r="AKY9" i="6"/>
  <c r="AKW10" i="6"/>
  <c r="AKX9" i="6"/>
  <c r="ALA1" i="6"/>
  <c r="AKZ3" i="6"/>
  <c r="AKZ5" i="6"/>
  <c r="AKZ6" i="6"/>
  <c r="AKZ9" i="6"/>
  <c r="AKX10" i="6"/>
  <c r="AKM7" i="6"/>
  <c r="AKN4" i="6"/>
  <c r="AKY10" i="6"/>
  <c r="AKO4" i="6"/>
  <c r="AKN7" i="6"/>
  <c r="ALB1" i="6"/>
  <c r="ALA3" i="6"/>
  <c r="ALA5" i="6"/>
  <c r="ALA6" i="6"/>
  <c r="ALC1" i="6"/>
  <c r="ALB5" i="6"/>
  <c r="ALB6" i="6"/>
  <c r="ALB9" i="6"/>
  <c r="AKP4" i="6"/>
  <c r="AKO7" i="6"/>
  <c r="AKZ10" i="6"/>
  <c r="ALA9" i="6"/>
  <c r="ALA10" i="6"/>
  <c r="AKQ4" i="6"/>
  <c r="AKP7" i="6"/>
  <c r="ALD1" i="6"/>
  <c r="ALC3" i="6"/>
  <c r="ALC5" i="6"/>
  <c r="ALC6" i="6"/>
  <c r="ALC9" i="6"/>
  <c r="ALB3" i="6"/>
  <c r="ALE1" i="6"/>
  <c r="ALD5" i="6"/>
  <c r="ALD6" i="6"/>
  <c r="ALD9" i="6"/>
  <c r="AKR4" i="6"/>
  <c r="AKQ7" i="6"/>
  <c r="ALB10" i="6"/>
  <c r="ALF1" i="6"/>
  <c r="ALE3" i="6"/>
  <c r="ALE5" i="6"/>
  <c r="ALE6" i="6"/>
  <c r="ALE9" i="6"/>
  <c r="ALD3" i="6"/>
  <c r="ALC10" i="6"/>
  <c r="AKS4" i="6"/>
  <c r="AKR7" i="6"/>
  <c r="AKT4" i="6"/>
  <c r="AKS7" i="6"/>
  <c r="ALD10" i="6"/>
  <c r="ALG1" i="6"/>
  <c r="ALF3" i="6"/>
  <c r="ALF5" i="6"/>
  <c r="ALF6" i="6"/>
  <c r="ALF9" i="6"/>
  <c r="ALH1" i="6"/>
  <c r="ALG3" i="6"/>
  <c r="ALG5" i="6"/>
  <c r="ALG6" i="6"/>
  <c r="ALG9" i="6"/>
  <c r="ALE10" i="6"/>
  <c r="AKU4" i="6"/>
  <c r="AKT7" i="6"/>
  <c r="AKV4" i="6"/>
  <c r="AKU7" i="6"/>
  <c r="ALF10" i="6"/>
  <c r="ALI1" i="6"/>
  <c r="ALH9" i="6"/>
  <c r="ALJ1" i="6"/>
  <c r="ALI3" i="6"/>
  <c r="ALI5" i="6"/>
  <c r="ALI9" i="6"/>
  <c r="ALG10" i="6"/>
  <c r="ALH5" i="6"/>
  <c r="ALH6" i="6"/>
  <c r="ALH3" i="6"/>
  <c r="AKV7" i="6"/>
  <c r="AKW4" i="6"/>
  <c r="ALI6" i="6"/>
  <c r="ALH10" i="6"/>
  <c r="AKX4" i="6"/>
  <c r="AKW7" i="6"/>
  <c r="ALK1" i="6"/>
  <c r="ALJ3" i="6"/>
  <c r="ALJ5" i="6"/>
  <c r="ALJ6" i="6"/>
  <c r="ALL1" i="6"/>
  <c r="ALK3" i="6"/>
  <c r="ALK5" i="6"/>
  <c r="ALK6" i="6"/>
  <c r="ALK9" i="6"/>
  <c r="AKY4" i="6"/>
  <c r="AKX7" i="6"/>
  <c r="ALJ9" i="6"/>
  <c r="ALI10" i="6"/>
  <c r="AKZ4" i="6"/>
  <c r="AKY7" i="6"/>
  <c r="ALJ10" i="6"/>
  <c r="ALM1" i="6"/>
  <c r="ALL3" i="6"/>
  <c r="ALL5" i="6"/>
  <c r="ALL6" i="6"/>
  <c r="ALN1" i="6"/>
  <c r="ALM3" i="6"/>
  <c r="ALM5" i="6"/>
  <c r="ALM6" i="6"/>
  <c r="ALM9" i="6"/>
  <c r="ALK10" i="6"/>
  <c r="ALA4" i="6"/>
  <c r="AKZ7" i="6"/>
  <c r="ALL9" i="6"/>
  <c r="ALB4" i="6"/>
  <c r="ALA7" i="6"/>
  <c r="ALL10" i="6"/>
  <c r="ALO1" i="6"/>
  <c r="ALN3" i="6"/>
  <c r="ALN5" i="6"/>
  <c r="ALN6" i="6"/>
  <c r="ALC4" i="6"/>
  <c r="ALB7" i="6"/>
  <c r="ALP1" i="6"/>
  <c r="ALO3" i="6"/>
  <c r="ALO5" i="6"/>
  <c r="ALO6" i="6"/>
  <c r="ALM10" i="6"/>
  <c r="ALN9" i="6"/>
  <c r="ALN10" i="6"/>
  <c r="ALO9" i="6"/>
  <c r="ALQ1" i="6"/>
  <c r="ALP3" i="6"/>
  <c r="ALP5" i="6"/>
  <c r="ALP6" i="6"/>
  <c r="ALD4" i="6"/>
  <c r="ALC7" i="6"/>
  <c r="ALR1" i="6"/>
  <c r="ALQ5" i="6"/>
  <c r="ALQ6" i="6"/>
  <c r="ALQ9" i="6"/>
  <c r="ALO10" i="6"/>
  <c r="ALE4" i="6"/>
  <c r="ALD7" i="6"/>
  <c r="ALP9" i="6"/>
  <c r="ALS1" i="6"/>
  <c r="ALR3" i="6"/>
  <c r="ALR5" i="6"/>
  <c r="ALR6" i="6"/>
  <c r="ALR9" i="6"/>
  <c r="ALP10" i="6"/>
  <c r="ALQ3" i="6"/>
  <c r="ALF4" i="6"/>
  <c r="ALE7" i="6"/>
  <c r="ALQ10" i="6"/>
  <c r="ALT1" i="6"/>
  <c r="ALS5" i="6"/>
  <c r="ALS6" i="6"/>
  <c r="ALG4" i="6"/>
  <c r="ALF7" i="6"/>
  <c r="ALS9" i="6"/>
  <c r="ALU1" i="6"/>
  <c r="ALT9" i="6"/>
  <c r="ALT5" i="6"/>
  <c r="ALT6" i="6"/>
  <c r="ALS3" i="6"/>
  <c r="ALR10" i="6"/>
  <c r="ALH4" i="6"/>
  <c r="ALG7" i="6"/>
  <c r="ALV1" i="6"/>
  <c r="ALU3" i="6"/>
  <c r="ALU5" i="6"/>
  <c r="ALU6" i="6"/>
  <c r="ALU9" i="6"/>
  <c r="ALT3" i="6"/>
  <c r="ALI4" i="6"/>
  <c r="ALH7" i="6"/>
  <c r="ALS10" i="6"/>
  <c r="ALJ4" i="6"/>
  <c r="ALI7" i="6"/>
  <c r="ALW1" i="6"/>
  <c r="ALV3" i="6"/>
  <c r="ALV5" i="6"/>
  <c r="ALV6" i="6"/>
  <c r="ALV9" i="6"/>
  <c r="ALT10" i="6"/>
  <c r="ALU10" i="6"/>
  <c r="ALK4" i="6"/>
  <c r="ALJ7" i="6"/>
  <c r="ALX1" i="6"/>
  <c r="ALW5" i="6"/>
  <c r="ALW6" i="6"/>
  <c r="ALW9" i="6"/>
  <c r="ALY1" i="6"/>
  <c r="ALX3" i="6"/>
  <c r="ALX5" i="6"/>
  <c r="ALX6" i="6"/>
  <c r="ALX9" i="6"/>
  <c r="ALW3" i="6"/>
  <c r="ALL4" i="6"/>
  <c r="ALK7" i="6"/>
  <c r="ALV10" i="6"/>
  <c r="ALW10" i="6"/>
  <c r="ALM4" i="6"/>
  <c r="ALL7" i="6"/>
  <c r="ALZ1" i="6"/>
  <c r="ALY5" i="6"/>
  <c r="ALY6" i="6"/>
  <c r="AMA1" i="6"/>
  <c r="ALZ3" i="6"/>
  <c r="ALZ5" i="6"/>
  <c r="ALZ6" i="6"/>
  <c r="ALZ9" i="6"/>
  <c r="ALY3" i="6"/>
  <c r="ALN4" i="6"/>
  <c r="ALM7" i="6"/>
  <c r="ALX10" i="6"/>
  <c r="ALY9" i="6"/>
  <c r="ALO4" i="6"/>
  <c r="ALN7" i="6"/>
  <c r="AMB1" i="6"/>
  <c r="AMA3" i="6"/>
  <c r="AMA5" i="6"/>
  <c r="AMA6" i="6"/>
  <c r="AMA9" i="6"/>
  <c r="ALY10" i="6"/>
  <c r="AMC1" i="6"/>
  <c r="AMB3" i="6"/>
  <c r="AMB5" i="6"/>
  <c r="AMB6" i="6"/>
  <c r="AMB9" i="6"/>
  <c r="ALP4" i="6"/>
  <c r="ALO7" i="6"/>
  <c r="ALZ10" i="6"/>
  <c r="ALQ4" i="6"/>
  <c r="ALP7" i="6"/>
  <c r="AMD1" i="6"/>
  <c r="AMC5" i="6"/>
  <c r="AMC6" i="6"/>
  <c r="AMC9" i="6"/>
  <c r="AMA10" i="6"/>
  <c r="AME1" i="6"/>
  <c r="AMD5" i="6"/>
  <c r="AMD6" i="6"/>
  <c r="AMD9" i="6"/>
  <c r="AMC3" i="6"/>
  <c r="ALR4" i="6"/>
  <c r="ALQ7" i="6"/>
  <c r="AMB10" i="6"/>
  <c r="ALS4" i="6"/>
  <c r="ALR7" i="6"/>
  <c r="AMF1" i="6"/>
  <c r="AME3" i="6"/>
  <c r="AME5" i="6"/>
  <c r="AME6" i="6"/>
  <c r="AME9" i="6"/>
  <c r="AMD3" i="6"/>
  <c r="AMC10" i="6"/>
  <c r="AMG1" i="6"/>
  <c r="AMF3" i="6"/>
  <c r="AMF5" i="6"/>
  <c r="AMF6" i="6"/>
  <c r="AMF9" i="6"/>
  <c r="ALT4" i="6"/>
  <c r="ALS7" i="6"/>
  <c r="AMD10" i="6"/>
  <c r="ALU4" i="6"/>
  <c r="ALT7" i="6"/>
  <c r="AMH1" i="6"/>
  <c r="AMG3" i="6"/>
  <c r="AMG5" i="6"/>
  <c r="AMG6" i="6"/>
  <c r="AMG9" i="6"/>
  <c r="AME10" i="6"/>
  <c r="AMI1" i="6"/>
  <c r="AMH5" i="6"/>
  <c r="AMH6" i="6"/>
  <c r="AMH9" i="6"/>
  <c r="ALV4" i="6"/>
  <c r="ALU7" i="6"/>
  <c r="AMF10" i="6"/>
  <c r="ALW4" i="6"/>
  <c r="ALV7" i="6"/>
  <c r="AMJ1" i="6"/>
  <c r="AMI5" i="6"/>
  <c r="AMI6" i="6"/>
  <c r="AMI9" i="6"/>
  <c r="AMH3" i="6"/>
  <c r="AMG10" i="6"/>
  <c r="AMK1" i="6"/>
  <c r="AMJ3" i="6"/>
  <c r="AMJ5" i="6"/>
  <c r="AMJ6" i="6"/>
  <c r="AMJ9" i="6"/>
  <c r="AMI3" i="6"/>
  <c r="AMH10" i="6"/>
  <c r="ALX4" i="6"/>
  <c r="ALW7" i="6"/>
  <c r="AMI10" i="6"/>
  <c r="AML1" i="6"/>
  <c r="AMK5" i="6"/>
  <c r="AMK6" i="6"/>
  <c r="AMK9" i="6"/>
  <c r="ALY4" i="6"/>
  <c r="ALX7" i="6"/>
  <c r="AMM1" i="6"/>
  <c r="AML5" i="6"/>
  <c r="AML6" i="6"/>
  <c r="AML3" i="6"/>
  <c r="AML9" i="6"/>
  <c r="AMK3" i="6"/>
  <c r="AMJ10" i="6"/>
  <c r="ALZ4" i="6"/>
  <c r="ALY7" i="6"/>
  <c r="AMK10" i="6"/>
  <c r="AMN1" i="6"/>
  <c r="AMM3" i="6"/>
  <c r="AMM5" i="6"/>
  <c r="AMM6" i="6"/>
  <c r="AMM9" i="6"/>
  <c r="AMA4" i="6"/>
  <c r="ALZ7" i="6"/>
  <c r="AMO1" i="6"/>
  <c r="AMN5" i="6"/>
  <c r="AMN6" i="6"/>
  <c r="AMN3" i="6"/>
  <c r="AMN9" i="6"/>
  <c r="AML10" i="6"/>
  <c r="AMB4" i="6"/>
  <c r="AMA7" i="6"/>
  <c r="AMM10" i="6"/>
  <c r="AMP1" i="6"/>
  <c r="AMO3" i="6"/>
  <c r="AMO5" i="6"/>
  <c r="AMO6" i="6"/>
  <c r="AMO9" i="6"/>
  <c r="AMC4" i="6"/>
  <c r="AMB7" i="6"/>
  <c r="AMQ1" i="6"/>
  <c r="AMP3" i="6"/>
  <c r="AMP5" i="6"/>
  <c r="AMP6" i="6"/>
  <c r="AMP9" i="6"/>
  <c r="AMN10" i="6"/>
  <c r="AMD4" i="6"/>
  <c r="AMC7" i="6"/>
  <c r="AMO10" i="6"/>
  <c r="AMR1" i="6"/>
  <c r="AMQ3" i="6"/>
  <c r="AMQ5" i="6"/>
  <c r="AMQ6" i="6"/>
  <c r="AMQ9" i="6"/>
  <c r="AME4" i="6"/>
  <c r="AMD7" i="6"/>
  <c r="AMS1" i="6"/>
  <c r="AMR3" i="6"/>
  <c r="AMR5" i="6"/>
  <c r="AMR6" i="6"/>
  <c r="AMR9" i="6"/>
  <c r="AMP10" i="6"/>
  <c r="AMF4" i="6"/>
  <c r="AME7" i="6"/>
  <c r="AMQ10" i="6"/>
  <c r="AMT1" i="6"/>
  <c r="AMS3" i="6"/>
  <c r="AMG4" i="6"/>
  <c r="AMF7" i="6"/>
  <c r="AMR10" i="6"/>
  <c r="AMU1" i="6"/>
  <c r="AMT5" i="6"/>
  <c r="AMS9" i="6"/>
  <c r="AMS5" i="6"/>
  <c r="AMS6" i="6"/>
  <c r="AMH4" i="6"/>
  <c r="AMG7" i="6"/>
  <c r="AMT6" i="6"/>
  <c r="AMT9" i="6"/>
  <c r="AMV1" i="6"/>
  <c r="AMU5" i="6"/>
  <c r="AMU9" i="6"/>
  <c r="AMT3" i="6"/>
  <c r="AMI4" i="6"/>
  <c r="AMH7" i="6"/>
  <c r="AMS10" i="6"/>
  <c r="AMU3" i="6"/>
  <c r="AMW1" i="6"/>
  <c r="AMV5" i="6"/>
  <c r="AMV9" i="6"/>
  <c r="AMT10" i="6"/>
  <c r="AMJ4" i="6"/>
  <c r="AMI7" i="6"/>
  <c r="AMU6" i="6"/>
  <c r="AMU10" i="6"/>
  <c r="AMX1" i="6"/>
  <c r="AMW3" i="6"/>
  <c r="AMW5" i="6"/>
  <c r="AMW9" i="6"/>
  <c r="AMV3" i="6"/>
  <c r="AMV6" i="6"/>
  <c r="AMK4" i="6"/>
  <c r="AMJ7" i="6"/>
  <c r="AMY1" i="6"/>
  <c r="AMX3" i="6"/>
  <c r="AMX5" i="6"/>
  <c r="AMX9" i="6"/>
  <c r="AML4" i="6"/>
  <c r="AMK7" i="6"/>
  <c r="AMW6" i="6"/>
  <c r="AMV10" i="6"/>
  <c r="AMX6" i="6"/>
  <c r="AMM4" i="6"/>
  <c r="AML7" i="6"/>
  <c r="AMZ1" i="6"/>
  <c r="AMY3" i="6"/>
  <c r="AMY5" i="6"/>
  <c r="AMY9" i="6"/>
  <c r="AMW10" i="6"/>
  <c r="ANA1" i="6"/>
  <c r="AMZ5" i="6"/>
  <c r="AMZ3" i="6"/>
  <c r="AMZ9" i="6"/>
  <c r="AMN4" i="6"/>
  <c r="AMM7" i="6"/>
  <c r="AMY6" i="6"/>
  <c r="AMX10" i="6"/>
  <c r="AMO4" i="6"/>
  <c r="AMN7" i="6"/>
  <c r="AMZ6" i="6"/>
  <c r="ANB1" i="6"/>
  <c r="ANA3" i="6"/>
  <c r="ANA5" i="6"/>
  <c r="ANA9" i="6"/>
  <c r="AMY10" i="6"/>
  <c r="ANC1" i="6"/>
  <c r="ANB3" i="6"/>
  <c r="ANB5" i="6"/>
  <c r="ANB9" i="6"/>
  <c r="ANA6" i="6"/>
  <c r="AMP4" i="6"/>
  <c r="AMO7" i="6"/>
  <c r="AMZ10" i="6"/>
  <c r="AMQ4" i="6"/>
  <c r="AMP7" i="6"/>
  <c r="ANB6" i="6"/>
  <c r="AND1" i="6"/>
  <c r="ANC3" i="6"/>
  <c r="ANC5" i="6"/>
  <c r="ANC9" i="6"/>
  <c r="ANA10" i="6"/>
  <c r="ANE1" i="6"/>
  <c r="AND3" i="6"/>
  <c r="AND5" i="6"/>
  <c r="AND9" i="6"/>
  <c r="ANC6" i="6"/>
  <c r="AMR4" i="6"/>
  <c r="AMQ7" i="6"/>
  <c r="ANB10" i="6"/>
  <c r="AND6" i="6"/>
  <c r="AMS4" i="6"/>
  <c r="AMR7" i="6"/>
  <c r="ANF1" i="6"/>
  <c r="ANE3" i="6"/>
  <c r="ANE5" i="6"/>
  <c r="ANE6" i="6"/>
  <c r="ANE9" i="6"/>
  <c r="ANC10" i="6"/>
  <c r="ANG1" i="6"/>
  <c r="ANF3" i="6"/>
  <c r="ANF5" i="6"/>
  <c r="ANF6" i="6"/>
  <c r="ANF9" i="6"/>
  <c r="AMT4" i="6"/>
  <c r="AMS7" i="6"/>
  <c r="AND10" i="6"/>
  <c r="AMU4" i="6"/>
  <c r="AMT7" i="6"/>
  <c r="ANH1" i="6"/>
  <c r="ANG3" i="6"/>
  <c r="ANG5" i="6"/>
  <c r="ANG6" i="6"/>
  <c r="ANG9" i="6"/>
  <c r="ANE10" i="6"/>
  <c r="ANI1" i="6"/>
  <c r="ANH3" i="6"/>
  <c r="ANH5" i="6"/>
  <c r="ANH6" i="6"/>
  <c r="ANH9" i="6"/>
  <c r="AMV4" i="6"/>
  <c r="AMU7" i="6"/>
  <c r="ANF10" i="6"/>
  <c r="AMW4" i="6"/>
  <c r="AMV7" i="6"/>
  <c r="ANJ1" i="6"/>
  <c r="ANI5" i="6"/>
  <c r="ANI6" i="6"/>
  <c r="ANI9" i="6"/>
  <c r="ANG10" i="6"/>
  <c r="ANK1" i="6"/>
  <c r="ANJ5" i="6"/>
  <c r="ANJ6" i="6"/>
  <c r="ANJ9" i="6"/>
  <c r="AMX4" i="6"/>
  <c r="AMW7" i="6"/>
  <c r="ANI3" i="6"/>
  <c r="ANH10" i="6"/>
  <c r="AMY4" i="6"/>
  <c r="AMX7" i="6"/>
  <c r="ANL1" i="6"/>
  <c r="ANK3" i="6"/>
  <c r="ANK5" i="6"/>
  <c r="ANK6" i="6"/>
  <c r="ANK9" i="6"/>
  <c r="ANJ3" i="6"/>
  <c r="ANI10" i="6"/>
  <c r="ANM1" i="6"/>
  <c r="ANL3" i="6"/>
  <c r="ANL5" i="6"/>
  <c r="ANL6" i="6"/>
  <c r="ANL9" i="6"/>
  <c r="AMZ4" i="6"/>
  <c r="AMY7" i="6"/>
  <c r="ANJ10" i="6"/>
  <c r="ANA4" i="6"/>
  <c r="AMZ7" i="6"/>
  <c r="ANN1" i="6"/>
  <c r="ANM3" i="6"/>
  <c r="ANM5" i="6"/>
  <c r="ANM6" i="6"/>
  <c r="ANM9" i="6"/>
  <c r="ANK10" i="6"/>
  <c r="ANO1" i="6"/>
  <c r="ANN3" i="6"/>
  <c r="ANN5" i="6"/>
  <c r="ANN6" i="6"/>
  <c r="ANN9" i="6"/>
  <c r="ANB4" i="6"/>
  <c r="ANA7" i="6"/>
  <c r="ANL10" i="6"/>
  <c r="ANC4" i="6"/>
  <c r="ANB7" i="6"/>
  <c r="ANP1" i="6"/>
  <c r="ANO3" i="6"/>
  <c r="ANO5" i="6"/>
  <c r="ANO6" i="6"/>
  <c r="ANO9" i="6"/>
  <c r="ANM10" i="6"/>
  <c r="ANQ1" i="6"/>
  <c r="ANP3" i="6"/>
  <c r="ANP5" i="6"/>
  <c r="ANP6" i="6"/>
  <c r="ANP9" i="6"/>
  <c r="AND4" i="6"/>
  <c r="ANC7" i="6"/>
  <c r="ANN10" i="6"/>
  <c r="ANE4" i="6"/>
  <c r="AND7" i="6"/>
  <c r="ANR1" i="6"/>
  <c r="ANQ3" i="6"/>
  <c r="ANQ5" i="6"/>
  <c r="ANQ6" i="6"/>
  <c r="ANQ9" i="6"/>
  <c r="ANO10" i="6"/>
  <c r="ANS1" i="6"/>
  <c r="ANR3" i="6"/>
  <c r="ANR5" i="6"/>
  <c r="ANR6" i="6"/>
  <c r="ANR9" i="6"/>
  <c r="ANF4" i="6"/>
  <c r="ANE7" i="6"/>
  <c r="ANP10" i="6"/>
  <c r="ANG4" i="6"/>
  <c r="ANF7" i="6"/>
  <c r="ANT1" i="6"/>
  <c r="ANS3" i="6"/>
  <c r="ANS5" i="6"/>
  <c r="ANS6" i="6"/>
  <c r="ANS9" i="6"/>
  <c r="ANQ10" i="6"/>
  <c r="ANH4" i="6"/>
  <c r="ANG7" i="6"/>
  <c r="ANU1" i="6"/>
  <c r="ANT3" i="6"/>
  <c r="ANT5" i="6"/>
  <c r="ANT6" i="6"/>
  <c r="ANT9" i="6"/>
  <c r="ANR10" i="6"/>
  <c r="ANV1" i="6"/>
  <c r="ANU3" i="6"/>
  <c r="ANU5" i="6"/>
  <c r="ANU6" i="6"/>
  <c r="ANU9" i="6"/>
  <c r="ANI4" i="6"/>
  <c r="ANH7" i="6"/>
  <c r="ANS10" i="6"/>
  <c r="ANJ4" i="6"/>
  <c r="ANI7" i="6"/>
  <c r="ANW1" i="6"/>
  <c r="ANV9" i="6"/>
  <c r="ANV3" i="6"/>
  <c r="ANT10" i="6"/>
  <c r="ANX1" i="6"/>
  <c r="ANW9" i="6"/>
  <c r="ANV5" i="6"/>
  <c r="ANV6" i="6"/>
  <c r="ANK4" i="6"/>
  <c r="ANJ7" i="6"/>
  <c r="ANU10" i="6"/>
  <c r="ANL4" i="6"/>
  <c r="ANK7" i="6"/>
  <c r="ANY1" i="6"/>
  <c r="ANV10" i="6"/>
  <c r="ANW5" i="6"/>
  <c r="ANW6" i="6"/>
  <c r="ANW3" i="6"/>
  <c r="ANZ1" i="6"/>
  <c r="ANY3" i="6"/>
  <c r="ANY9" i="6"/>
  <c r="ANX9" i="6"/>
  <c r="ANX5" i="6"/>
  <c r="ANX6" i="6"/>
  <c r="ANM4" i="6"/>
  <c r="ANL7" i="6"/>
  <c r="ANW10" i="6"/>
  <c r="ANX3" i="6"/>
  <c r="ANX10" i="6"/>
  <c r="ANY5" i="6"/>
  <c r="ANY6" i="6"/>
  <c r="AOA1" i="6"/>
  <c r="ANZ3" i="6"/>
  <c r="ANN4" i="6"/>
  <c r="ANM7" i="6"/>
  <c r="AOB1" i="6"/>
  <c r="AOA5" i="6"/>
  <c r="AOA3" i="6"/>
  <c r="AOA9" i="6"/>
  <c r="ANO4" i="6"/>
  <c r="ANN7" i="6"/>
  <c r="ANZ9" i="6"/>
  <c r="ANZ5" i="6"/>
  <c r="ANZ6" i="6"/>
  <c r="ANY10" i="6"/>
  <c r="AOA6" i="6"/>
  <c r="ANP4" i="6"/>
  <c r="ANO7" i="6"/>
  <c r="AOC1" i="6"/>
  <c r="AOB3" i="6"/>
  <c r="ANZ10" i="6"/>
  <c r="AOD1" i="6"/>
  <c r="AOC5" i="6"/>
  <c r="AOC9" i="6"/>
  <c r="AOA10" i="6"/>
  <c r="AOB9" i="6"/>
  <c r="AOB5" i="6"/>
  <c r="AOB6" i="6"/>
  <c r="ANQ4" i="6"/>
  <c r="ANP7" i="6"/>
  <c r="AOB10" i="6"/>
  <c r="ANR4" i="6"/>
  <c r="ANQ7" i="6"/>
  <c r="AOE1" i="6"/>
  <c r="AOD5" i="6"/>
  <c r="AOD3" i="6"/>
  <c r="AOC6" i="6"/>
  <c r="AOC3" i="6"/>
  <c r="AOF1" i="6"/>
  <c r="AOE5" i="6"/>
  <c r="AOE9" i="6"/>
  <c r="ANS4" i="6"/>
  <c r="ANR7" i="6"/>
  <c r="AOD6" i="6"/>
  <c r="AOD9" i="6"/>
  <c r="AOC10" i="6"/>
  <c r="AOE6" i="6"/>
  <c r="ANT4" i="6"/>
  <c r="ANS7" i="6"/>
  <c r="AOG1" i="6"/>
  <c r="AOF3" i="6"/>
  <c r="AOF5" i="6"/>
  <c r="AOF9" i="6"/>
  <c r="AOD10" i="6"/>
  <c r="AOE3" i="6"/>
  <c r="AOH1" i="6"/>
  <c r="AOG3" i="6"/>
  <c r="AOG5" i="6"/>
  <c r="AOG9" i="6"/>
  <c r="ANU4" i="6"/>
  <c r="ANT7" i="6"/>
  <c r="AOF6" i="6"/>
  <c r="AOE10" i="6"/>
  <c r="AOG6" i="6"/>
  <c r="ANV4" i="6"/>
  <c r="ANU7" i="6"/>
  <c r="AOI1" i="6"/>
  <c r="AOH3" i="6"/>
  <c r="AOH5" i="6"/>
  <c r="AOH9" i="6"/>
  <c r="AOF10" i="6"/>
  <c r="AOH6" i="6"/>
  <c r="AOJ1" i="6"/>
  <c r="AOI3" i="6"/>
  <c r="AOI5" i="6"/>
  <c r="AOI9" i="6"/>
  <c r="ANW4" i="6"/>
  <c r="ANV7" i="6"/>
  <c r="AOG10" i="6"/>
  <c r="ANX4" i="6"/>
  <c r="ANW7" i="6"/>
  <c r="AOK1" i="6"/>
  <c r="AOJ3" i="6"/>
  <c r="AOJ5" i="6"/>
  <c r="AOJ9" i="6"/>
  <c r="AOI6" i="6"/>
  <c r="AOH10" i="6"/>
  <c r="AOJ6" i="6"/>
  <c r="AOL1" i="6"/>
  <c r="AOK9" i="6"/>
  <c r="ANY4" i="6"/>
  <c r="ANX7" i="6"/>
  <c r="AOI10" i="6"/>
  <c r="ANZ4" i="6"/>
  <c r="ANY7" i="6"/>
  <c r="AOM1" i="6"/>
  <c r="AOK5" i="6"/>
  <c r="AOK6" i="6"/>
  <c r="AOK3" i="6"/>
  <c r="AOJ10" i="6"/>
  <c r="AOL9" i="6"/>
  <c r="AOL5" i="6"/>
  <c r="AOL6" i="6"/>
  <c r="AON1" i="6"/>
  <c r="AOM3" i="6"/>
  <c r="AOM5" i="6"/>
  <c r="AOM9" i="6"/>
  <c r="AOL3" i="6"/>
  <c r="AOK10" i="6"/>
  <c r="AOA4" i="6"/>
  <c r="ANZ7" i="6"/>
  <c r="AOM6" i="6"/>
  <c r="AOO1" i="6"/>
  <c r="AON3" i="6"/>
  <c r="AON5" i="6"/>
  <c r="AON6" i="6"/>
  <c r="AON9" i="6"/>
  <c r="AOB4" i="6"/>
  <c r="AOA7" i="6"/>
  <c r="AOL10" i="6"/>
  <c r="AOC4" i="6"/>
  <c r="AOB7" i="6"/>
  <c r="AOP1" i="6"/>
  <c r="AOO3" i="6"/>
  <c r="AOO5" i="6"/>
  <c r="AOO6" i="6"/>
  <c r="AOO9" i="6"/>
  <c r="AOM10" i="6"/>
  <c r="AOQ1" i="6"/>
  <c r="AOP3" i="6"/>
  <c r="AOP5" i="6"/>
  <c r="AOP6" i="6"/>
  <c r="AOP9" i="6"/>
  <c r="AOD4" i="6"/>
  <c r="AOC7" i="6"/>
  <c r="AON10" i="6"/>
  <c r="AOE4" i="6"/>
  <c r="AOD7" i="6"/>
  <c r="AOR1" i="6"/>
  <c r="AOQ5" i="6"/>
  <c r="AOQ6" i="6"/>
  <c r="AOQ9" i="6"/>
  <c r="AOO10" i="6"/>
  <c r="AOS1" i="6"/>
  <c r="AOR3" i="6"/>
  <c r="AOR5" i="6"/>
  <c r="AOR6" i="6"/>
  <c r="AOR9" i="6"/>
  <c r="AOQ3" i="6"/>
  <c r="AOF4" i="6"/>
  <c r="AOE7" i="6"/>
  <c r="AOP10" i="6"/>
  <c r="AOG4" i="6"/>
  <c r="AOF7" i="6"/>
  <c r="AOQ10" i="6"/>
  <c r="AOT1" i="6"/>
  <c r="AOS3" i="6"/>
  <c r="AOS5" i="6"/>
  <c r="AOS6" i="6"/>
  <c r="AOU1" i="6"/>
  <c r="AOT3" i="6"/>
  <c r="AOT5" i="6"/>
  <c r="AOT6" i="6"/>
  <c r="AOT9" i="6"/>
  <c r="AOR10" i="6"/>
  <c r="AOH4" i="6"/>
  <c r="AOG7" i="6"/>
  <c r="AOS9" i="6"/>
  <c r="AOI4" i="6"/>
  <c r="AOH7" i="6"/>
  <c r="AOS10" i="6"/>
  <c r="AOV1" i="6"/>
  <c r="AOU3" i="6"/>
  <c r="AOU5" i="6"/>
  <c r="AOU6" i="6"/>
  <c r="AOU9" i="6"/>
  <c r="AOW1" i="6"/>
  <c r="AOV3" i="6"/>
  <c r="AOV5" i="6"/>
  <c r="AOV6" i="6"/>
  <c r="AOV9" i="6"/>
  <c r="AOT10" i="6"/>
  <c r="AOJ4" i="6"/>
  <c r="AOI7" i="6"/>
  <c r="AOK4" i="6"/>
  <c r="AOJ7" i="6"/>
  <c r="AOU10" i="6"/>
  <c r="AOX1" i="6"/>
  <c r="AOW3" i="6"/>
  <c r="AOW5" i="6"/>
  <c r="AOW6" i="6"/>
  <c r="AOY1" i="6"/>
  <c r="AOX3" i="6"/>
  <c r="AOX5" i="6"/>
  <c r="AOX6" i="6"/>
  <c r="AOX9" i="6"/>
  <c r="AOV10" i="6"/>
  <c r="AOL4" i="6"/>
  <c r="AOK7" i="6"/>
  <c r="AOW9" i="6"/>
  <c r="AOM4" i="6"/>
  <c r="AOL7" i="6"/>
  <c r="AOW10" i="6"/>
  <c r="AOZ1" i="6"/>
  <c r="AOY3" i="6"/>
  <c r="AOY5" i="6"/>
  <c r="AOY6" i="6"/>
  <c r="AOY9" i="6"/>
  <c r="AOX10" i="6"/>
  <c r="APA1" i="6"/>
  <c r="AOZ5" i="6"/>
  <c r="AOZ6" i="6"/>
  <c r="AOZ9" i="6"/>
  <c r="AON4" i="6"/>
  <c r="AOM7" i="6"/>
  <c r="AOO4" i="6"/>
  <c r="AON7" i="6"/>
  <c r="APB1" i="6"/>
  <c r="APA3" i="6"/>
  <c r="APA5" i="6"/>
  <c r="APA6" i="6"/>
  <c r="APA9" i="6"/>
  <c r="AOY10" i="6"/>
  <c r="AOZ3" i="6"/>
  <c r="AOZ10" i="6"/>
  <c r="APC1" i="6"/>
  <c r="APB5" i="6"/>
  <c r="APB6" i="6"/>
  <c r="APB3" i="6"/>
  <c r="APB9" i="6"/>
  <c r="AOP4" i="6"/>
  <c r="AOO7" i="6"/>
  <c r="AOQ4" i="6"/>
  <c r="AOP7" i="6"/>
  <c r="APA10" i="6"/>
  <c r="APD1" i="6"/>
  <c r="APC3" i="6"/>
  <c r="APC5" i="6"/>
  <c r="APC6" i="6"/>
  <c r="APE1" i="6"/>
  <c r="APD3" i="6"/>
  <c r="APD5" i="6"/>
  <c r="APD6" i="6"/>
  <c r="APD9" i="6"/>
  <c r="APB10" i="6"/>
  <c r="AOR4" i="6"/>
  <c r="AOQ7" i="6"/>
  <c r="APC9" i="6"/>
  <c r="APC10" i="6"/>
  <c r="APF1" i="6"/>
  <c r="APE3" i="6"/>
  <c r="APE5" i="6"/>
  <c r="APE6" i="6"/>
  <c r="APE9" i="6"/>
  <c r="AOS4" i="6"/>
  <c r="AOR7" i="6"/>
  <c r="APG1" i="6"/>
  <c r="APF5" i="6"/>
  <c r="APF6" i="6"/>
  <c r="APF9" i="6"/>
  <c r="APD10" i="6"/>
  <c r="AOT4" i="6"/>
  <c r="AOS7" i="6"/>
  <c r="APE10" i="6"/>
  <c r="APH1" i="6"/>
  <c r="APG3" i="6"/>
  <c r="APG5" i="6"/>
  <c r="APG6" i="6"/>
  <c r="APG9" i="6"/>
  <c r="APF3" i="6"/>
  <c r="AOU4" i="6"/>
  <c r="AOT7" i="6"/>
  <c r="API1" i="6"/>
  <c r="APH5" i="6"/>
  <c r="APH6" i="6"/>
  <c r="APH3" i="6"/>
  <c r="APH9" i="6"/>
  <c r="APF10" i="6"/>
  <c r="AOV4" i="6"/>
  <c r="AOU7" i="6"/>
  <c r="AOW4" i="6"/>
  <c r="AOV7" i="6"/>
  <c r="APG10" i="6"/>
  <c r="APJ1" i="6"/>
  <c r="API3" i="6"/>
  <c r="API5" i="6"/>
  <c r="API6" i="6"/>
  <c r="API9" i="6"/>
  <c r="APK1" i="6"/>
  <c r="APJ3" i="6"/>
  <c r="APJ5" i="6"/>
  <c r="APJ6" i="6"/>
  <c r="APJ9" i="6"/>
  <c r="APH10" i="6"/>
  <c r="AOX4" i="6"/>
  <c r="AOW7" i="6"/>
  <c r="AOY4" i="6"/>
  <c r="AOX7" i="6"/>
  <c r="API10" i="6"/>
  <c r="APL1" i="6"/>
  <c r="APK3" i="6"/>
  <c r="APK5" i="6"/>
  <c r="APK6" i="6"/>
  <c r="APK9" i="6"/>
  <c r="APM1" i="6"/>
  <c r="APL3" i="6"/>
  <c r="APL9" i="6"/>
  <c r="APJ10" i="6"/>
  <c r="AOZ4" i="6"/>
  <c r="AOY7" i="6"/>
  <c r="APA4" i="6"/>
  <c r="AOZ7" i="6"/>
  <c r="APK10" i="6"/>
  <c r="APN1" i="6"/>
  <c r="APM5" i="6"/>
  <c r="APM9" i="6"/>
  <c r="APL5" i="6"/>
  <c r="APL6" i="6"/>
  <c r="APM6" i="6"/>
  <c r="APO1" i="6"/>
  <c r="APN3" i="6"/>
  <c r="APN5" i="6"/>
  <c r="APN9" i="6"/>
  <c r="APM3" i="6"/>
  <c r="APL10" i="6"/>
  <c r="APB4" i="6"/>
  <c r="APA7" i="6"/>
  <c r="APM10" i="6"/>
  <c r="APC4" i="6"/>
  <c r="APB7" i="6"/>
  <c r="APP1" i="6"/>
  <c r="APO3" i="6"/>
  <c r="APO5" i="6"/>
  <c r="APN6" i="6"/>
  <c r="APQ1" i="6"/>
  <c r="APP5" i="6"/>
  <c r="APP3" i="6"/>
  <c r="APP9" i="6"/>
  <c r="APD4" i="6"/>
  <c r="APC7" i="6"/>
  <c r="APN10" i="6"/>
  <c r="APO6" i="6"/>
  <c r="APO9" i="6"/>
  <c r="APP6" i="6"/>
  <c r="APO10" i="6"/>
  <c r="APE4" i="6"/>
  <c r="APD7" i="6"/>
  <c r="APR1" i="6"/>
  <c r="APQ5" i="6"/>
  <c r="APS1" i="6"/>
  <c r="APR3" i="6"/>
  <c r="APR5" i="6"/>
  <c r="APR9" i="6"/>
  <c r="APQ3" i="6"/>
  <c r="APF4" i="6"/>
  <c r="APE7" i="6"/>
  <c r="APP10" i="6"/>
  <c r="APQ6" i="6"/>
  <c r="APQ9" i="6"/>
  <c r="APQ10" i="6"/>
  <c r="APG4" i="6"/>
  <c r="APF7" i="6"/>
  <c r="APR6" i="6"/>
  <c r="APT1" i="6"/>
  <c r="APU1" i="6"/>
  <c r="APT5" i="6"/>
  <c r="APT3" i="6"/>
  <c r="APT9" i="6"/>
  <c r="APS5" i="6"/>
  <c r="APS6" i="6"/>
  <c r="APT6" i="6"/>
  <c r="APS3" i="6"/>
  <c r="APH4" i="6"/>
  <c r="APG7" i="6"/>
  <c r="APR10" i="6"/>
  <c r="APS9" i="6"/>
  <c r="API4" i="6"/>
  <c r="APH7" i="6"/>
  <c r="APS10" i="6"/>
  <c r="APV1" i="6"/>
  <c r="APU9" i="6"/>
  <c r="APU3" i="6"/>
  <c r="APU5" i="6"/>
  <c r="APU6" i="6"/>
  <c r="APW1" i="6"/>
  <c r="APV3" i="6"/>
  <c r="APV5" i="6"/>
  <c r="APV6" i="6"/>
  <c r="APV9" i="6"/>
  <c r="APT10" i="6"/>
  <c r="APJ4" i="6"/>
  <c r="API7" i="6"/>
  <c r="APU10" i="6"/>
  <c r="APX1" i="6"/>
  <c r="APW3" i="6"/>
  <c r="APW5" i="6"/>
  <c r="APW6" i="6"/>
  <c r="APW9" i="6"/>
  <c r="APK4" i="6"/>
  <c r="APJ7" i="6"/>
  <c r="APY1" i="6"/>
  <c r="APX3" i="6"/>
  <c r="APX5" i="6"/>
  <c r="APX6" i="6"/>
  <c r="APX9" i="6"/>
  <c r="APV10" i="6"/>
  <c r="APL4" i="6"/>
  <c r="APK7" i="6"/>
  <c r="APW10" i="6"/>
  <c r="APZ1" i="6"/>
  <c r="APY3" i="6"/>
  <c r="APY5" i="6"/>
  <c r="APY6" i="6"/>
  <c r="APY9" i="6"/>
  <c r="APM4" i="6"/>
  <c r="APL7" i="6"/>
  <c r="APX10" i="6"/>
  <c r="AQA1" i="6"/>
  <c r="APZ3" i="6"/>
  <c r="APZ5" i="6"/>
  <c r="APZ6" i="6"/>
  <c r="APZ9" i="6"/>
  <c r="APN4" i="6"/>
  <c r="APM7" i="6"/>
  <c r="APO4" i="6"/>
  <c r="APN7" i="6"/>
  <c r="AQB1" i="6"/>
  <c r="AQA9" i="6"/>
  <c r="APY10" i="6"/>
  <c r="APZ10" i="6"/>
  <c r="AQC1" i="6"/>
  <c r="AQB5" i="6"/>
  <c r="AQB9" i="6"/>
  <c r="AQA5" i="6"/>
  <c r="AQA6" i="6"/>
  <c r="AQA3" i="6"/>
  <c r="APP4" i="6"/>
  <c r="APO7" i="6"/>
  <c r="AQB6" i="6"/>
  <c r="APQ4" i="6"/>
  <c r="APP7" i="6"/>
  <c r="AQD1" i="6"/>
  <c r="AQC3" i="6"/>
  <c r="AQC5" i="6"/>
  <c r="AQC9" i="6"/>
  <c r="AQB3" i="6"/>
  <c r="AQA10" i="6"/>
  <c r="AQD5" i="6"/>
  <c r="AQE1" i="6"/>
  <c r="AQD9" i="6"/>
  <c r="APR4" i="6"/>
  <c r="APQ7" i="6"/>
  <c r="AQB10" i="6"/>
  <c r="AQC6" i="6"/>
  <c r="AQC10" i="6"/>
  <c r="AQF1" i="6"/>
  <c r="AQE5" i="6"/>
  <c r="AQE3" i="6"/>
  <c r="AQE9" i="6"/>
  <c r="APS4" i="6"/>
  <c r="APR7" i="6"/>
  <c r="AQD6" i="6"/>
  <c r="AQD3" i="6"/>
  <c r="AQG1" i="6"/>
  <c r="AQF5" i="6"/>
  <c r="AQF3" i="6"/>
  <c r="AQF9" i="6"/>
  <c r="AQE6" i="6"/>
  <c r="APT4" i="6"/>
  <c r="APS7" i="6"/>
  <c r="AQD10" i="6"/>
  <c r="AQE10" i="6"/>
  <c r="APU4" i="6"/>
  <c r="APT7" i="6"/>
  <c r="AQF6" i="6"/>
  <c r="AQH1" i="6"/>
  <c r="AQG9" i="6"/>
  <c r="AQG5" i="6"/>
  <c r="AQI1" i="6"/>
  <c r="AQH5" i="6"/>
  <c r="AQH9" i="6"/>
  <c r="AQG6" i="6"/>
  <c r="AQH6" i="6"/>
  <c r="AQF10" i="6"/>
  <c r="AQG3" i="6"/>
  <c r="APV4" i="6"/>
  <c r="APU7" i="6"/>
  <c r="AQG10" i="6"/>
  <c r="APW4" i="6"/>
  <c r="APV7" i="6"/>
  <c r="AQJ1" i="6"/>
  <c r="AQI3" i="6"/>
  <c r="AQI5" i="6"/>
  <c r="AQI6" i="6"/>
  <c r="AQI9" i="6"/>
  <c r="AQH3" i="6"/>
  <c r="AQK1" i="6"/>
  <c r="AQJ3" i="6"/>
  <c r="AQJ5" i="6"/>
  <c r="AQJ6" i="6"/>
  <c r="AQJ9" i="6"/>
  <c r="APX4" i="6"/>
  <c r="APW7" i="6"/>
  <c r="AQH10" i="6"/>
  <c r="AQI10" i="6"/>
  <c r="APY4" i="6"/>
  <c r="APX7" i="6"/>
  <c r="AQL1" i="6"/>
  <c r="AQK9" i="6"/>
  <c r="AQM1" i="6"/>
  <c r="AQL3" i="6"/>
  <c r="AQL5" i="6"/>
  <c r="AQL9" i="6"/>
  <c r="AQK5" i="6"/>
  <c r="AQK6" i="6"/>
  <c r="AQL6" i="6"/>
  <c r="AQK3" i="6"/>
  <c r="APZ4" i="6"/>
  <c r="APY7" i="6"/>
  <c r="AQJ10" i="6"/>
  <c r="AQA4" i="6"/>
  <c r="APZ7" i="6"/>
  <c r="AQN1" i="6"/>
  <c r="AQM5" i="6"/>
  <c r="AQM6" i="6"/>
  <c r="AQK10" i="6"/>
  <c r="AQO1" i="6"/>
  <c r="AQN3" i="6"/>
  <c r="AQN5" i="6"/>
  <c r="AQN6" i="6"/>
  <c r="AQN9" i="6"/>
  <c r="AQM9" i="6"/>
  <c r="AQM3" i="6"/>
  <c r="AQB4" i="6"/>
  <c r="AQA7" i="6"/>
  <c r="AQL10" i="6"/>
  <c r="AQM10" i="6"/>
  <c r="AQP1" i="6"/>
  <c r="AQO3" i="6"/>
  <c r="AQO5" i="6"/>
  <c r="AQO6" i="6"/>
  <c r="AQO9" i="6"/>
  <c r="AQC4" i="6"/>
  <c r="AQB7" i="6"/>
  <c r="AQQ1" i="6"/>
  <c r="AQP5" i="6"/>
  <c r="AQP6" i="6"/>
  <c r="AQP9" i="6"/>
  <c r="AQN10" i="6"/>
  <c r="AQD4" i="6"/>
  <c r="AQC7" i="6"/>
  <c r="AQO10" i="6"/>
  <c r="AQR1" i="6"/>
  <c r="AQQ3" i="6"/>
  <c r="AQQ5" i="6"/>
  <c r="AQQ6" i="6"/>
  <c r="AQQ9" i="6"/>
  <c r="AQP3" i="6"/>
  <c r="AQE4" i="6"/>
  <c r="AQD7" i="6"/>
  <c r="AQP10" i="6"/>
  <c r="AQS1" i="6"/>
  <c r="AQR9" i="6"/>
  <c r="AQF4" i="6"/>
  <c r="AQE7" i="6"/>
  <c r="AQT1" i="6"/>
  <c r="AQS3" i="6"/>
  <c r="AQR5" i="6"/>
  <c r="AQR6" i="6"/>
  <c r="AQR3" i="6"/>
  <c r="AQQ10" i="6"/>
  <c r="AQG4" i="6"/>
  <c r="AQF7" i="6"/>
  <c r="AQS9" i="6"/>
  <c r="AQS5" i="6"/>
  <c r="AQS6" i="6"/>
  <c r="AQR10" i="6"/>
  <c r="AQH4" i="6"/>
  <c r="AQG7" i="6"/>
  <c r="AQU1" i="6"/>
  <c r="AQI4" i="6"/>
  <c r="AQH7" i="6"/>
  <c r="AQV1" i="6"/>
  <c r="AQU5" i="6"/>
  <c r="AQS10" i="6"/>
  <c r="AQT9" i="6"/>
  <c r="AQT5" i="6"/>
  <c r="AQT6" i="6"/>
  <c r="AQT3" i="6"/>
  <c r="AQU6" i="6"/>
  <c r="AQT10" i="6"/>
  <c r="AQU9" i="6"/>
  <c r="AQW1" i="6"/>
  <c r="AQV3" i="6"/>
  <c r="AQV5" i="6"/>
  <c r="AQV6" i="6"/>
  <c r="AQV9" i="6"/>
  <c r="AQU3" i="6"/>
  <c r="AQJ4" i="6"/>
  <c r="AQI7" i="6"/>
  <c r="AQX1" i="6"/>
  <c r="AQW5" i="6"/>
  <c r="AQW6" i="6"/>
  <c r="AQW3" i="6"/>
  <c r="AQW9" i="6"/>
  <c r="AQK4" i="6"/>
  <c r="AQJ7" i="6"/>
  <c r="AQU10" i="6"/>
  <c r="AQL4" i="6"/>
  <c r="AQK7" i="6"/>
  <c r="AQV10" i="6"/>
  <c r="AQY1" i="6"/>
  <c r="AQX3" i="6"/>
  <c r="AQX5" i="6"/>
  <c r="AQX6" i="6"/>
  <c r="AQX9" i="6"/>
  <c r="AQZ1" i="6"/>
  <c r="AQY3" i="6"/>
  <c r="AQY9" i="6"/>
  <c r="AQY5" i="6"/>
  <c r="AQY6" i="6"/>
  <c r="AQW10" i="6"/>
  <c r="AQM4" i="6"/>
  <c r="AQL7" i="6"/>
  <c r="AQN4" i="6"/>
  <c r="AQM7" i="6"/>
  <c r="AQX10" i="6"/>
  <c r="ARA1" i="6"/>
  <c r="AQZ3" i="6"/>
  <c r="AQZ5" i="6"/>
  <c r="AQZ6" i="6"/>
  <c r="AQZ9" i="6"/>
  <c r="ARB1" i="6"/>
  <c r="ARA5" i="6"/>
  <c r="ARA6" i="6"/>
  <c r="ARA9" i="6"/>
  <c r="AQY10" i="6"/>
  <c r="AQO4" i="6"/>
  <c r="AQN7" i="6"/>
  <c r="AQP4" i="6"/>
  <c r="AQO7" i="6"/>
  <c r="AQZ10" i="6"/>
  <c r="ARC1" i="6"/>
  <c r="ARB3" i="6"/>
  <c r="ARB5" i="6"/>
  <c r="ARB6" i="6"/>
  <c r="ARB9" i="6"/>
  <c r="ARA3" i="6"/>
  <c r="ARD1" i="6"/>
  <c r="ARA10" i="6"/>
  <c r="AQQ4" i="6"/>
  <c r="AQP7" i="6"/>
  <c r="AQR4" i="6"/>
  <c r="AQQ7" i="6"/>
  <c r="ARB10" i="6"/>
  <c r="ARE1" i="6"/>
  <c r="ARD3" i="6"/>
  <c r="ARC5" i="6"/>
  <c r="ARC6" i="6"/>
  <c r="ARC9" i="6"/>
  <c r="ARC3" i="6"/>
  <c r="ARD9" i="6"/>
  <c r="ARD5" i="6"/>
  <c r="ARD6" i="6"/>
  <c r="ARC10" i="6"/>
  <c r="AQS4" i="6"/>
  <c r="AQR7" i="6"/>
  <c r="ARF1" i="6"/>
  <c r="ARE3" i="6"/>
  <c r="ARE5" i="6"/>
  <c r="ARE9" i="6"/>
  <c r="ARE6" i="6"/>
  <c r="ARG1" i="6"/>
  <c r="ARF5" i="6"/>
  <c r="ARF6" i="6"/>
  <c r="ARF9" i="6"/>
  <c r="AQT4" i="6"/>
  <c r="AQS7" i="6"/>
  <c r="ARD10" i="6"/>
  <c r="ARE10" i="6"/>
  <c r="AQU4" i="6"/>
  <c r="AQT7" i="6"/>
  <c r="ARH1" i="6"/>
  <c r="ARG3" i="6"/>
  <c r="ARG5" i="6"/>
  <c r="ARG6" i="6"/>
  <c r="ARG9" i="6"/>
  <c r="ARF3" i="6"/>
  <c r="ARI1" i="6"/>
  <c r="ARH3" i="6"/>
  <c r="ARH5" i="6"/>
  <c r="ARH6" i="6"/>
  <c r="ARH9" i="6"/>
  <c r="AQV4" i="6"/>
  <c r="AQU7" i="6"/>
  <c r="ARF10" i="6"/>
  <c r="ARG10" i="6"/>
  <c r="AQW4" i="6"/>
  <c r="AQV7" i="6"/>
  <c r="ARJ1" i="6"/>
  <c r="ARI3" i="6"/>
  <c r="ARI5" i="6"/>
  <c r="ARI6" i="6"/>
  <c r="ARK1" i="6"/>
  <c r="ARJ9" i="6"/>
  <c r="AQX4" i="6"/>
  <c r="AQW7" i="6"/>
  <c r="ARH10" i="6"/>
  <c r="ARI9" i="6"/>
  <c r="ARI10" i="6"/>
  <c r="AQY4" i="6"/>
  <c r="AQX7" i="6"/>
  <c r="ARL1" i="6"/>
  <c r="ARK3" i="6"/>
  <c r="ARK5" i="6"/>
  <c r="ARK9" i="6"/>
  <c r="ARJ5" i="6"/>
  <c r="ARJ6" i="6"/>
  <c r="ARK6" i="6"/>
  <c r="ARJ3" i="6"/>
  <c r="ARM1" i="6"/>
  <c r="ARL3" i="6"/>
  <c r="ARL5" i="6"/>
  <c r="ARL6" i="6"/>
  <c r="ARL9" i="6"/>
  <c r="AQZ4" i="6"/>
  <c r="AQY7" i="6"/>
  <c r="ARJ10" i="6"/>
  <c r="ARA4" i="6"/>
  <c r="AQZ7" i="6"/>
  <c r="ARN1" i="6"/>
  <c r="ARM5" i="6"/>
  <c r="ARM6" i="6"/>
  <c r="ARM3" i="6"/>
  <c r="ARM9" i="6"/>
  <c r="ARK10" i="6"/>
  <c r="ARO1" i="6"/>
  <c r="ARN5" i="6"/>
  <c r="ARN6" i="6"/>
  <c r="ARN9" i="6"/>
  <c r="ARB4" i="6"/>
  <c r="ARA7" i="6"/>
  <c r="ARL10" i="6"/>
  <c r="ARC4" i="6"/>
  <c r="ARB7" i="6"/>
  <c r="ARP1" i="6"/>
  <c r="ARO3" i="6"/>
  <c r="ARO5" i="6"/>
  <c r="ARO6" i="6"/>
  <c r="ARO9" i="6"/>
  <c r="ARN3" i="6"/>
  <c r="ARM10" i="6"/>
  <c r="ARP3" i="6"/>
  <c r="ARQ1" i="6"/>
  <c r="ARP5" i="6"/>
  <c r="ARP6" i="6"/>
  <c r="ARP9" i="6"/>
  <c r="ARD4" i="6"/>
  <c r="ARC7" i="6"/>
  <c r="ARN10" i="6"/>
  <c r="ARE4" i="6"/>
  <c r="ARD7" i="6"/>
  <c r="ARR1" i="6"/>
  <c r="ARQ3" i="6"/>
  <c r="ARQ5" i="6"/>
  <c r="ARQ6" i="6"/>
  <c r="ARQ9" i="6"/>
  <c r="ARO10" i="6"/>
  <c r="ARS1" i="6"/>
  <c r="ARR5" i="6"/>
  <c r="ARR6" i="6"/>
  <c r="ARR9" i="6"/>
  <c r="ARF4" i="6"/>
  <c r="ARE7" i="6"/>
  <c r="ARP10" i="6"/>
  <c r="ARG4" i="6"/>
  <c r="ARF7" i="6"/>
  <c r="ART1" i="6"/>
  <c r="ARS3" i="6"/>
  <c r="ARS5" i="6"/>
  <c r="ARS6" i="6"/>
  <c r="ARS9" i="6"/>
  <c r="ARR3" i="6"/>
  <c r="ARQ10" i="6"/>
  <c r="ARU1" i="6"/>
  <c r="ART3" i="6"/>
  <c r="ART5" i="6"/>
  <c r="ART6" i="6"/>
  <c r="ART9" i="6"/>
  <c r="ARH4" i="6"/>
  <c r="ARG7" i="6"/>
  <c r="ARR10" i="6"/>
  <c r="ARS10" i="6"/>
  <c r="ARI4" i="6"/>
  <c r="ARH7" i="6"/>
  <c r="ARV1" i="6"/>
  <c r="ARU3" i="6"/>
  <c r="ARU5" i="6"/>
  <c r="ARU6" i="6"/>
  <c r="ARU9" i="6"/>
  <c r="ARJ4" i="6"/>
  <c r="ARI7" i="6"/>
  <c r="ARW1" i="6"/>
  <c r="ARV5" i="6"/>
  <c r="ARV6" i="6"/>
  <c r="ARV9" i="6"/>
  <c r="ART10" i="6"/>
  <c r="ARX1" i="6"/>
  <c r="ARW3" i="6"/>
  <c r="ARW5" i="6"/>
  <c r="ARW6" i="6"/>
  <c r="ARW9" i="6"/>
  <c r="ARV3" i="6"/>
  <c r="ARK4" i="6"/>
  <c r="ARJ7" i="6"/>
  <c r="ARU10" i="6"/>
  <c r="ARL4" i="6"/>
  <c r="ARK7" i="6"/>
  <c r="ARY1" i="6"/>
  <c r="ARX3" i="6"/>
  <c r="ARX5" i="6"/>
  <c r="ARX6" i="6"/>
  <c r="ARX9" i="6"/>
  <c r="ARV10" i="6"/>
  <c r="ARZ1" i="6"/>
  <c r="ARY3" i="6"/>
  <c r="ARY5" i="6"/>
  <c r="ARY6" i="6"/>
  <c r="ARY9" i="6"/>
  <c r="ARM4" i="6"/>
  <c r="ARL7" i="6"/>
  <c r="ARW10" i="6"/>
  <c r="ARN4" i="6"/>
  <c r="ARM7" i="6"/>
  <c r="ASA1" i="6"/>
  <c r="ARZ3" i="6"/>
  <c r="ARZ5" i="6"/>
  <c r="ARZ6" i="6"/>
  <c r="ARZ9" i="6"/>
  <c r="ARX10" i="6"/>
  <c r="ASB1" i="6"/>
  <c r="ASA3" i="6"/>
  <c r="ASA5" i="6"/>
  <c r="ASA6" i="6"/>
  <c r="ASA9" i="6"/>
  <c r="ARO4" i="6"/>
  <c r="ARN7" i="6"/>
  <c r="ARY10" i="6"/>
  <c r="ARP4" i="6"/>
  <c r="ARO7" i="6"/>
  <c r="ASC1" i="6"/>
  <c r="ASB3" i="6"/>
  <c r="ASB5" i="6"/>
  <c r="ASB6" i="6"/>
  <c r="ASB9" i="6"/>
  <c r="ARZ10" i="6"/>
  <c r="ASD1" i="6"/>
  <c r="ASC3" i="6"/>
  <c r="ASC5" i="6"/>
  <c r="ASC6" i="6"/>
  <c r="ASC9" i="6"/>
  <c r="ARQ4" i="6"/>
  <c r="ARP7" i="6"/>
  <c r="ASA10" i="6"/>
  <c r="ARR4" i="6"/>
  <c r="ARQ7" i="6"/>
  <c r="ASE1" i="6"/>
  <c r="ASD5" i="6"/>
  <c r="ASD6" i="6"/>
  <c r="ASD9" i="6"/>
  <c r="ASB10" i="6"/>
  <c r="ASF1" i="6"/>
  <c r="ASE5" i="6"/>
  <c r="ASE6" i="6"/>
  <c r="ASE3" i="6"/>
  <c r="ASE9" i="6"/>
  <c r="ASD3" i="6"/>
  <c r="ARS4" i="6"/>
  <c r="ARR7" i="6"/>
  <c r="ASC10" i="6"/>
  <c r="ART4" i="6"/>
  <c r="ARS7" i="6"/>
  <c r="ASG1" i="6"/>
  <c r="ASF5" i="6"/>
  <c r="ASF6" i="6"/>
  <c r="ASF9" i="6"/>
  <c r="ASD10" i="6"/>
  <c r="ASH1" i="6"/>
  <c r="ASG3" i="6"/>
  <c r="ASG5" i="6"/>
  <c r="ASG6" i="6"/>
  <c r="ASG9" i="6"/>
  <c r="ASF3" i="6"/>
  <c r="ARU4" i="6"/>
  <c r="ART7" i="6"/>
  <c r="ASE10" i="6"/>
  <c r="ARV4" i="6"/>
  <c r="ARU7" i="6"/>
  <c r="ASF10" i="6"/>
  <c r="ASI1" i="6"/>
  <c r="ASJ1" i="6"/>
  <c r="ASI5" i="6"/>
  <c r="ASI3" i="6"/>
  <c r="ASI9" i="6"/>
  <c r="ASH5" i="6"/>
  <c r="ASH6" i="6"/>
  <c r="ASH3" i="6"/>
  <c r="ASG10" i="6"/>
  <c r="ARW4" i="6"/>
  <c r="ARV7" i="6"/>
  <c r="ASH9" i="6"/>
  <c r="ASH10" i="6"/>
  <c r="ASI6" i="6"/>
  <c r="ARX4" i="6"/>
  <c r="ARW7" i="6"/>
  <c r="ASK1" i="6"/>
  <c r="ASJ3" i="6"/>
  <c r="ASJ5" i="6"/>
  <c r="ASL1" i="6"/>
  <c r="ASK5" i="6"/>
  <c r="ASK9" i="6"/>
  <c r="ASJ6" i="6"/>
  <c r="ASJ9" i="6"/>
  <c r="ARY4" i="6"/>
  <c r="ARX7" i="6"/>
  <c r="ASI10" i="6"/>
  <c r="ASJ10" i="6"/>
  <c r="ARZ4" i="6"/>
  <c r="ARY7" i="6"/>
  <c r="ASK6" i="6"/>
  <c r="ASM1" i="6"/>
  <c r="ASL3" i="6"/>
  <c r="ASL5" i="6"/>
  <c r="ASL9" i="6"/>
  <c r="ASK3" i="6"/>
  <c r="ASN1" i="6"/>
  <c r="ASM3" i="6"/>
  <c r="ASM5" i="6"/>
  <c r="ASM9" i="6"/>
  <c r="ASL6" i="6"/>
  <c r="ASM6" i="6"/>
  <c r="ASA4" i="6"/>
  <c r="ARZ7" i="6"/>
  <c r="ASK10" i="6"/>
  <c r="ASL10" i="6"/>
  <c r="ASO1" i="6"/>
  <c r="ASN3" i="6"/>
  <c r="ASN9" i="6"/>
  <c r="ASB4" i="6"/>
  <c r="ASA7" i="6"/>
  <c r="ASN5" i="6"/>
  <c r="ASN6" i="6"/>
  <c r="ASC4" i="6"/>
  <c r="ASB7" i="6"/>
  <c r="ASP1" i="6"/>
  <c r="ASO3" i="6"/>
  <c r="ASO5" i="6"/>
  <c r="ASO9" i="6"/>
  <c r="ASM10" i="6"/>
  <c r="ASQ1" i="6"/>
  <c r="ASP5" i="6"/>
  <c r="ASP9" i="6"/>
  <c r="ASD4" i="6"/>
  <c r="ASC7" i="6"/>
  <c r="ASO6" i="6"/>
  <c r="ASN10" i="6"/>
  <c r="ASO10" i="6"/>
  <c r="ASP6" i="6"/>
  <c r="ASE4" i="6"/>
  <c r="ASD7" i="6"/>
  <c r="ASR1" i="6"/>
  <c r="ASQ5" i="6"/>
  <c r="ASQ9" i="6"/>
  <c r="ASP3" i="6"/>
  <c r="ASS1" i="6"/>
  <c r="ASR5" i="6"/>
  <c r="ASR3" i="6"/>
  <c r="ASR9" i="6"/>
  <c r="ASQ3" i="6"/>
  <c r="ASF4" i="6"/>
  <c r="ASE7" i="6"/>
  <c r="ASQ6" i="6"/>
  <c r="ASP10" i="6"/>
  <c r="ASR6" i="6"/>
  <c r="ASG4" i="6"/>
  <c r="ASF7" i="6"/>
  <c r="ASQ10" i="6"/>
  <c r="AST1" i="6"/>
  <c r="ASS3" i="6"/>
  <c r="ASS5" i="6"/>
  <c r="ASU1" i="6"/>
  <c r="AST3" i="6"/>
  <c r="AST5" i="6"/>
  <c r="AST9" i="6"/>
  <c r="ASH4" i="6"/>
  <c r="ASG7" i="6"/>
  <c r="ASR10" i="6"/>
  <c r="ASS9" i="6"/>
  <c r="ASS6" i="6"/>
  <c r="ASS10" i="6"/>
  <c r="ASI4" i="6"/>
  <c r="ASH7" i="6"/>
  <c r="AST6" i="6"/>
  <c r="ASU3" i="6"/>
  <c r="ASV1" i="6"/>
  <c r="ASU5" i="6"/>
  <c r="ASW1" i="6"/>
  <c r="ASV3" i="6"/>
  <c r="ASV5" i="6"/>
  <c r="ASV9" i="6"/>
  <c r="ASU6" i="6"/>
  <c r="ASJ4" i="6"/>
  <c r="ASI7" i="6"/>
  <c r="ASU9" i="6"/>
  <c r="AST10" i="6"/>
  <c r="ASK4" i="6"/>
  <c r="ASJ7" i="6"/>
  <c r="ASV6" i="6"/>
  <c r="ASU10" i="6"/>
  <c r="ASX1" i="6"/>
  <c r="ASV10" i="6"/>
  <c r="ASY1" i="6"/>
  <c r="ASX5" i="6"/>
  <c r="ASX9" i="6"/>
  <c r="ASW9" i="6"/>
  <c r="ASW5" i="6"/>
  <c r="ASW6" i="6"/>
  <c r="ASX6" i="6"/>
  <c r="ASW3" i="6"/>
  <c r="ASL4" i="6"/>
  <c r="ASK7" i="6"/>
  <c r="ASM4" i="6"/>
  <c r="ASL7" i="6"/>
  <c r="ASZ1" i="6"/>
  <c r="ASY3" i="6"/>
  <c r="ASY5" i="6"/>
  <c r="ASY6" i="6"/>
  <c r="ASY9" i="6"/>
  <c r="ASX3" i="6"/>
  <c r="ASW10" i="6"/>
  <c r="ATA1" i="6"/>
  <c r="ASZ3" i="6"/>
  <c r="ASZ5" i="6"/>
  <c r="ASZ6" i="6"/>
  <c r="ASZ9" i="6"/>
  <c r="ASX10" i="6"/>
  <c r="ASN4" i="6"/>
  <c r="ASM7" i="6"/>
  <c r="ASY10" i="6"/>
  <c r="ATB1" i="6"/>
  <c r="ATA3" i="6"/>
  <c r="ATA5" i="6"/>
  <c r="ATA6" i="6"/>
  <c r="ATA9" i="6"/>
  <c r="ASO4" i="6"/>
  <c r="ASN7" i="6"/>
  <c r="ATC1" i="6"/>
  <c r="ATB5" i="6"/>
  <c r="ATB6" i="6"/>
  <c r="ATB9" i="6"/>
  <c r="ASZ10" i="6"/>
  <c r="ASP4" i="6"/>
  <c r="ASO7" i="6"/>
  <c r="ATA10" i="6"/>
  <c r="ATD1" i="6"/>
  <c r="ATC5" i="6"/>
  <c r="ATC6" i="6"/>
  <c r="ATC9" i="6"/>
  <c r="ATB3" i="6"/>
  <c r="ASQ4" i="6"/>
  <c r="ASP7" i="6"/>
  <c r="ATE1" i="6"/>
  <c r="ATD3" i="6"/>
  <c r="ATD5" i="6"/>
  <c r="ATD6" i="6"/>
  <c r="ATD9" i="6"/>
  <c r="ATC3" i="6"/>
  <c r="ATB10" i="6"/>
  <c r="ASR4" i="6"/>
  <c r="ASQ7" i="6"/>
  <c r="ATC10" i="6"/>
  <c r="ATF1" i="6"/>
  <c r="ATE5" i="6"/>
  <c r="ATE6" i="6"/>
  <c r="ATE3" i="6"/>
  <c r="ATE9" i="6"/>
  <c r="ASS4" i="6"/>
  <c r="ASR7" i="6"/>
  <c r="ATG1" i="6"/>
  <c r="ATF5" i="6"/>
  <c r="ATF6" i="6"/>
  <c r="ATF9" i="6"/>
  <c r="ATD10" i="6"/>
  <c r="AST4" i="6"/>
  <c r="ASS7" i="6"/>
  <c r="ATE10" i="6"/>
  <c r="ATH1" i="6"/>
  <c r="ATG3" i="6"/>
  <c r="ATG5" i="6"/>
  <c r="ATG6" i="6"/>
  <c r="ATG9" i="6"/>
  <c r="ATF3" i="6"/>
  <c r="ASU4" i="6"/>
  <c r="AST7" i="6"/>
  <c r="ATI1" i="6"/>
  <c r="ATH3" i="6"/>
  <c r="ATH5" i="6"/>
  <c r="ATH6" i="6"/>
  <c r="ATH9" i="6"/>
  <c r="ATF10" i="6"/>
  <c r="ASV4" i="6"/>
  <c r="ASU7" i="6"/>
  <c r="ATG10" i="6"/>
  <c r="ATJ1" i="6"/>
  <c r="ATI9" i="6"/>
  <c r="ASW4" i="6"/>
  <c r="ASV7" i="6"/>
  <c r="ATK1" i="6"/>
  <c r="ATJ3" i="6"/>
  <c r="ATJ5" i="6"/>
  <c r="ATJ9" i="6"/>
  <c r="ATI5" i="6"/>
  <c r="ATI6" i="6"/>
  <c r="ATJ6" i="6"/>
  <c r="ATI3" i="6"/>
  <c r="ATH10" i="6"/>
  <c r="ASX4" i="6"/>
  <c r="ASW7" i="6"/>
  <c r="ATI10" i="6"/>
  <c r="ASY4" i="6"/>
  <c r="ASX7" i="6"/>
  <c r="ATL1" i="6"/>
  <c r="ATK5" i="6"/>
  <c r="ATK6" i="6"/>
  <c r="ATK3" i="6"/>
  <c r="ATK9" i="6"/>
  <c r="ATM1" i="6"/>
  <c r="ATL3" i="6"/>
  <c r="ATL5" i="6"/>
  <c r="ATL6" i="6"/>
  <c r="ATL9" i="6"/>
  <c r="ASZ4" i="6"/>
  <c r="ASY7" i="6"/>
  <c r="ATJ10" i="6"/>
  <c r="ATK10" i="6"/>
  <c r="ATA4" i="6"/>
  <c r="ASZ7" i="6"/>
  <c r="ATN1" i="6"/>
  <c r="ATM3" i="6"/>
  <c r="ATM5" i="6"/>
  <c r="ATM6" i="6"/>
  <c r="ATM9" i="6"/>
  <c r="ATO1" i="6"/>
  <c r="ATN3" i="6"/>
  <c r="ATN5" i="6"/>
  <c r="ATN6" i="6"/>
  <c r="ATN9" i="6"/>
  <c r="ATB4" i="6"/>
  <c r="ATA7" i="6"/>
  <c r="ATL10" i="6"/>
  <c r="ATM10" i="6"/>
  <c r="ATC4" i="6"/>
  <c r="ATB7" i="6"/>
  <c r="ATP1" i="6"/>
  <c r="ATO3" i="6"/>
  <c r="ATO9" i="6"/>
  <c r="ATO5" i="6"/>
  <c r="ATO6" i="6"/>
  <c r="ATD4" i="6"/>
  <c r="ATC7" i="6"/>
  <c r="ATN10" i="6"/>
  <c r="ATQ1" i="6"/>
  <c r="ATP3" i="6"/>
  <c r="ATP9" i="6"/>
  <c r="ATP5" i="6"/>
  <c r="ATP6" i="6"/>
  <c r="ATR1" i="6"/>
  <c r="ATQ5" i="6"/>
  <c r="ATQ6" i="6"/>
  <c r="ATQ9" i="6"/>
  <c r="ATO10" i="6"/>
  <c r="ATE4" i="6"/>
  <c r="ATD7" i="6"/>
  <c r="ATF4" i="6"/>
  <c r="ATE7" i="6"/>
  <c r="ATP10" i="6"/>
  <c r="ATS1" i="6"/>
  <c r="ATR3" i="6"/>
  <c r="ATR5" i="6"/>
  <c r="ATR6" i="6"/>
  <c r="ATR9" i="6"/>
  <c r="ATQ3" i="6"/>
  <c r="ATT1" i="6"/>
  <c r="ATS5" i="6"/>
  <c r="ATS6" i="6"/>
  <c r="ATS9" i="6"/>
  <c r="ATQ10" i="6"/>
  <c r="ATG4" i="6"/>
  <c r="ATF7" i="6"/>
  <c r="ATR10" i="6"/>
  <c r="ATU1" i="6"/>
  <c r="ATT3" i="6"/>
  <c r="ATT5" i="6"/>
  <c r="ATT6" i="6"/>
  <c r="ATT9" i="6"/>
  <c r="ATS3" i="6"/>
  <c r="ATH4" i="6"/>
  <c r="ATG7" i="6"/>
  <c r="ATV1" i="6"/>
  <c r="ATU3" i="6"/>
  <c r="ATU5" i="6"/>
  <c r="ATU6" i="6"/>
  <c r="ATU9" i="6"/>
  <c r="ATS10" i="6"/>
  <c r="ATI4" i="6"/>
  <c r="ATH7" i="6"/>
  <c r="ATT10" i="6"/>
  <c r="ATW1" i="6"/>
  <c r="ATV3" i="6"/>
  <c r="ATV5" i="6"/>
  <c r="ATV6" i="6"/>
  <c r="ATV9" i="6"/>
  <c r="ATJ4" i="6"/>
  <c r="ATI7" i="6"/>
  <c r="ATX1" i="6"/>
  <c r="ATW3" i="6"/>
  <c r="ATW5" i="6"/>
  <c r="ATW6" i="6"/>
  <c r="ATW9" i="6"/>
  <c r="ATU10" i="6"/>
  <c r="ATK4" i="6"/>
  <c r="ATJ7" i="6"/>
  <c r="ATV10" i="6"/>
  <c r="ATY1" i="6"/>
  <c r="ATX3" i="6"/>
  <c r="ATL4" i="6"/>
  <c r="ATK7" i="6"/>
  <c r="ATX5" i="6"/>
  <c r="ATX6" i="6"/>
  <c r="ATX9" i="6"/>
  <c r="ATZ1" i="6"/>
  <c r="ATY3" i="6"/>
  <c r="ATY5" i="6"/>
  <c r="ATY9" i="6"/>
  <c r="ATW10" i="6"/>
  <c r="ATM4" i="6"/>
  <c r="ATL7" i="6"/>
  <c r="ATN4" i="6"/>
  <c r="ATM7" i="6"/>
  <c r="AUA1" i="6"/>
  <c r="ATZ3" i="6"/>
  <c r="ATZ5" i="6"/>
  <c r="ATZ9" i="6"/>
  <c r="ATX10" i="6"/>
  <c r="ATY6" i="6"/>
  <c r="ATY10" i="6"/>
  <c r="AUB1" i="6"/>
  <c r="AUA3" i="6"/>
  <c r="AUA5" i="6"/>
  <c r="AUA9" i="6"/>
  <c r="ATZ6" i="6"/>
  <c r="AUA6" i="6"/>
  <c r="ATO4" i="6"/>
  <c r="ATN7" i="6"/>
  <c r="ATP4" i="6"/>
  <c r="ATO7" i="6"/>
  <c r="AUC1" i="6"/>
  <c r="AUB3" i="6"/>
  <c r="AUB5" i="6"/>
  <c r="AUB6" i="6"/>
  <c r="AUB9" i="6"/>
  <c r="ATZ10" i="6"/>
  <c r="AUD1" i="6"/>
  <c r="AUC3" i="6"/>
  <c r="AUC5" i="6"/>
  <c r="AUC6" i="6"/>
  <c r="AUC9" i="6"/>
  <c r="AUA10" i="6"/>
  <c r="ATQ4" i="6"/>
  <c r="ATP7" i="6"/>
  <c r="AUB10" i="6"/>
  <c r="AUE1" i="6"/>
  <c r="AUD3" i="6"/>
  <c r="AUD5" i="6"/>
  <c r="AUD6" i="6"/>
  <c r="AUD9" i="6"/>
  <c r="ATR4" i="6"/>
  <c r="ATQ7" i="6"/>
  <c r="AUF1" i="6"/>
  <c r="AUE3" i="6"/>
  <c r="AUE5" i="6"/>
  <c r="AUE6" i="6"/>
  <c r="AUE9" i="6"/>
  <c r="AUC10" i="6"/>
  <c r="ATS4" i="6"/>
  <c r="ATR7" i="6"/>
  <c r="AUD10" i="6"/>
  <c r="AUG1" i="6"/>
  <c r="AUF3" i="6"/>
  <c r="AUF5" i="6"/>
  <c r="AUF6" i="6"/>
  <c r="AUF9" i="6"/>
  <c r="ATT4" i="6"/>
  <c r="ATS7" i="6"/>
  <c r="AUH1" i="6"/>
  <c r="AUG3" i="6"/>
  <c r="AUG5" i="6"/>
  <c r="AUG6" i="6"/>
  <c r="AUG9" i="6"/>
  <c r="AUE10" i="6"/>
  <c r="ATU4" i="6"/>
  <c r="ATT7" i="6"/>
  <c r="AUF10" i="6"/>
  <c r="AUI1" i="6"/>
  <c r="ATV4" i="6"/>
  <c r="ATU7" i="6"/>
  <c r="AUJ1" i="6"/>
  <c r="AUI3" i="6"/>
  <c r="AUI5" i="6"/>
  <c r="AUI9" i="6"/>
  <c r="AUH9" i="6"/>
  <c r="AUH5" i="6"/>
  <c r="AUH6" i="6"/>
  <c r="AUI6" i="6"/>
  <c r="AUH3" i="6"/>
  <c r="AUG10" i="6"/>
  <c r="ATW4" i="6"/>
  <c r="ATV7" i="6"/>
  <c r="ATX4" i="6"/>
  <c r="ATW7" i="6"/>
  <c r="AUH10" i="6"/>
  <c r="AUK1" i="6"/>
  <c r="AUJ5" i="6"/>
  <c r="AUJ6" i="6"/>
  <c r="AUL1" i="6"/>
  <c r="AUK3" i="6"/>
  <c r="AUK5" i="6"/>
  <c r="AUK6" i="6"/>
  <c r="AUK9" i="6"/>
  <c r="AUJ9" i="6"/>
  <c r="AUJ3" i="6"/>
  <c r="AUI10" i="6"/>
  <c r="ATY4" i="6"/>
  <c r="ATX7" i="6"/>
  <c r="ATZ4" i="6"/>
  <c r="ATY7" i="6"/>
  <c r="AUM1" i="6"/>
  <c r="AUL3" i="6"/>
  <c r="AUL5" i="6"/>
  <c r="AUL6" i="6"/>
  <c r="AUL9" i="6"/>
  <c r="AUJ10" i="6"/>
  <c r="AUN1" i="6"/>
  <c r="AUM5" i="6"/>
  <c r="AUM6" i="6"/>
  <c r="AUM9" i="6"/>
  <c r="AUA4" i="6"/>
  <c r="ATZ7" i="6"/>
  <c r="AUK10" i="6"/>
  <c r="AUB4" i="6"/>
  <c r="AUA7" i="6"/>
  <c r="AUO1" i="6"/>
  <c r="AUM3" i="6"/>
  <c r="AUL10" i="6"/>
  <c r="AUP1" i="6"/>
  <c r="AUO3" i="6"/>
  <c r="AUO5" i="6"/>
  <c r="AUO9" i="6"/>
  <c r="AUN9" i="6"/>
  <c r="AUN5" i="6"/>
  <c r="AUN6" i="6"/>
  <c r="AUO6" i="6"/>
  <c r="AUN3" i="6"/>
  <c r="AUC4" i="6"/>
  <c r="AUB7" i="6"/>
  <c r="AUM10" i="6"/>
  <c r="AUD4" i="6"/>
  <c r="AUC7" i="6"/>
  <c r="AUN10" i="6"/>
  <c r="AUQ1" i="6"/>
  <c r="AUP5" i="6"/>
  <c r="AUP6" i="6"/>
  <c r="AUR1" i="6"/>
  <c r="AUQ3" i="6"/>
  <c r="AUQ5" i="6"/>
  <c r="AUQ6" i="6"/>
  <c r="AUQ9" i="6"/>
  <c r="AUP3" i="6"/>
  <c r="AUO10" i="6"/>
  <c r="AUP9" i="6"/>
  <c r="AUE4" i="6"/>
  <c r="AUD7" i="6"/>
  <c r="AUF4" i="6"/>
  <c r="AUE7" i="6"/>
  <c r="AUP10" i="6"/>
  <c r="AUS1" i="6"/>
  <c r="AUR5" i="6"/>
  <c r="AUR6" i="6"/>
  <c r="AUR3" i="6"/>
  <c r="AUT1" i="6"/>
  <c r="AUS9" i="6"/>
  <c r="AUS5" i="6"/>
  <c r="AUS6" i="6"/>
  <c r="AUQ10" i="6"/>
  <c r="AUG4" i="6"/>
  <c r="AUF7" i="6"/>
  <c r="AUR9" i="6"/>
  <c r="AUH4" i="6"/>
  <c r="AUG7" i="6"/>
  <c r="AUR10" i="6"/>
  <c r="AUU1" i="6"/>
  <c r="AUT5" i="6"/>
  <c r="AUT6" i="6"/>
  <c r="AUT9" i="6"/>
  <c r="AUS3" i="6"/>
  <c r="AUI4" i="6"/>
  <c r="AUH7" i="6"/>
  <c r="AUV1" i="6"/>
  <c r="AUU3" i="6"/>
  <c r="AUU5" i="6"/>
  <c r="AUU6" i="6"/>
  <c r="AUU9" i="6"/>
  <c r="AUT3" i="6"/>
  <c r="AUS10" i="6"/>
  <c r="AUW1" i="6"/>
  <c r="AUV3" i="6"/>
  <c r="AUV5" i="6"/>
  <c r="AUV6" i="6"/>
  <c r="AUV9" i="6"/>
  <c r="AUJ4" i="6"/>
  <c r="AUI7" i="6"/>
  <c r="AUT10" i="6"/>
  <c r="AUK4" i="6"/>
  <c r="AUJ7" i="6"/>
  <c r="AUX1" i="6"/>
  <c r="AUW3" i="6"/>
  <c r="AUW5" i="6"/>
  <c r="AUW6" i="6"/>
  <c r="AUW9" i="6"/>
  <c r="AUU10" i="6"/>
  <c r="AUY1" i="6"/>
  <c r="AUX3" i="6"/>
  <c r="AUX9" i="6"/>
  <c r="AUL4" i="6"/>
  <c r="AUK7" i="6"/>
  <c r="AUV10" i="6"/>
  <c r="AUX5" i="6"/>
  <c r="AUX6" i="6"/>
  <c r="AUM4" i="6"/>
  <c r="AUL7" i="6"/>
  <c r="AUZ1" i="6"/>
  <c r="AUY3" i="6"/>
  <c r="AUY5" i="6"/>
  <c r="AUY9" i="6"/>
  <c r="AUW10" i="6"/>
  <c r="AVA1" i="6"/>
  <c r="AUZ5" i="6"/>
  <c r="AUZ3" i="6"/>
  <c r="AUZ9" i="6"/>
  <c r="AUN4" i="6"/>
  <c r="AUM7" i="6"/>
  <c r="AUY6" i="6"/>
  <c r="AUZ6" i="6"/>
  <c r="AUX10" i="6"/>
  <c r="AUO4" i="6"/>
  <c r="AUN7" i="6"/>
  <c r="AVB1" i="6"/>
  <c r="AVA3" i="6"/>
  <c r="AVA5" i="6"/>
  <c r="AVA6" i="6"/>
  <c r="AVA9" i="6"/>
  <c r="AUY10" i="6"/>
  <c r="AUP4" i="6"/>
  <c r="AUO7" i="6"/>
  <c r="AVC1" i="6"/>
  <c r="AVB9" i="6"/>
  <c r="AUZ10" i="6"/>
  <c r="AVD1" i="6"/>
  <c r="AVC3" i="6"/>
  <c r="AVC5" i="6"/>
  <c r="AVC9" i="6"/>
  <c r="AVB5" i="6"/>
  <c r="AVB6" i="6"/>
  <c r="AVB3" i="6"/>
  <c r="AUQ4" i="6"/>
  <c r="AUP7" i="6"/>
  <c r="AVA10" i="6"/>
  <c r="AVC6" i="6"/>
  <c r="AVB10" i="6"/>
  <c r="AUR4" i="6"/>
  <c r="AUQ7" i="6"/>
  <c r="AVE1" i="6"/>
  <c r="AVD3" i="6"/>
  <c r="AVD5" i="6"/>
  <c r="AVD6" i="6"/>
  <c r="AVF1" i="6"/>
  <c r="AVE3" i="6"/>
  <c r="AVE5" i="6"/>
  <c r="AVE6" i="6"/>
  <c r="AVE9" i="6"/>
  <c r="AUS4" i="6"/>
  <c r="AUR7" i="6"/>
  <c r="AVC10" i="6"/>
  <c r="AVD9" i="6"/>
  <c r="AVD10" i="6"/>
  <c r="AUT4" i="6"/>
  <c r="AUS7" i="6"/>
  <c r="AVG1" i="6"/>
  <c r="AVF5" i="6"/>
  <c r="AVF6" i="6"/>
  <c r="AVF9" i="6"/>
  <c r="AVH1" i="6"/>
  <c r="AVG9" i="6"/>
  <c r="AVF3" i="6"/>
  <c r="AUU4" i="6"/>
  <c r="AUT7" i="6"/>
  <c r="AVE10" i="6"/>
  <c r="AVF10" i="6"/>
  <c r="AUV4" i="6"/>
  <c r="AUU7" i="6"/>
  <c r="AVI1" i="6"/>
  <c r="AVH3" i="6"/>
  <c r="AVH5" i="6"/>
  <c r="AVH9" i="6"/>
  <c r="AVG5" i="6"/>
  <c r="AVG6" i="6"/>
  <c r="AVG3" i="6"/>
  <c r="AVH6" i="6"/>
  <c r="AUW4" i="6"/>
  <c r="AUV7" i="6"/>
  <c r="AVJ1" i="6"/>
  <c r="AVI3" i="6"/>
  <c r="AVI5" i="6"/>
  <c r="AVI9" i="6"/>
  <c r="AVG10" i="6"/>
  <c r="AVK1" i="6"/>
  <c r="AVJ3" i="6"/>
  <c r="AVJ5" i="6"/>
  <c r="AVJ9" i="6"/>
  <c r="AUX4" i="6"/>
  <c r="AUW7" i="6"/>
  <c r="AVH10" i="6"/>
  <c r="AVI6" i="6"/>
  <c r="AVI10" i="6"/>
  <c r="AUY4" i="6"/>
  <c r="AUX7" i="6"/>
  <c r="AVL1" i="6"/>
  <c r="AVK3" i="6"/>
  <c r="AVK5" i="6"/>
  <c r="AVK9" i="6"/>
  <c r="AVJ6" i="6"/>
  <c r="AVK6" i="6"/>
  <c r="AVM1" i="6"/>
  <c r="AVL3" i="6"/>
  <c r="AVL5" i="6"/>
  <c r="AVL9" i="6"/>
  <c r="AUZ4" i="6"/>
  <c r="AUY7" i="6"/>
  <c r="AVJ10" i="6"/>
  <c r="AVA4" i="6"/>
  <c r="AUZ7" i="6"/>
  <c r="AVN1" i="6"/>
  <c r="AVM3" i="6"/>
  <c r="AVM5" i="6"/>
  <c r="AVM9" i="6"/>
  <c r="AVL6" i="6"/>
  <c r="AVK10" i="6"/>
  <c r="AVM6" i="6"/>
  <c r="AVO1" i="6"/>
  <c r="AVN5" i="6"/>
  <c r="AVN9" i="6"/>
  <c r="AVB4" i="6"/>
  <c r="AVA7" i="6"/>
  <c r="AVL10" i="6"/>
  <c r="AVC4" i="6"/>
  <c r="AVB7" i="6"/>
  <c r="AVN6" i="6"/>
  <c r="AVP1" i="6"/>
  <c r="AVO5" i="6"/>
  <c r="AVO9" i="6"/>
  <c r="AVN3" i="6"/>
  <c r="AVM10" i="6"/>
  <c r="AVQ1" i="6"/>
  <c r="AVP3" i="6"/>
  <c r="AVP5" i="6"/>
  <c r="AVP9" i="6"/>
  <c r="AVO3" i="6"/>
  <c r="AVO6" i="6"/>
  <c r="AVN10" i="6"/>
  <c r="AVD4" i="6"/>
  <c r="AVC7" i="6"/>
  <c r="AVO10" i="6"/>
  <c r="AVE4" i="6"/>
  <c r="AVD7" i="6"/>
  <c r="AVP6" i="6"/>
  <c r="AVR1" i="6"/>
  <c r="AVQ5" i="6"/>
  <c r="AVQ9" i="6"/>
  <c r="AVS1" i="6"/>
  <c r="AVR3" i="6"/>
  <c r="AVR5" i="6"/>
  <c r="AVR9" i="6"/>
  <c r="AVF4" i="6"/>
  <c r="AVE7" i="6"/>
  <c r="AVQ3" i="6"/>
  <c r="AVQ6" i="6"/>
  <c r="AVP10" i="6"/>
  <c r="AVG4" i="6"/>
  <c r="AVF7" i="6"/>
  <c r="AVQ10" i="6"/>
  <c r="AVR6" i="6"/>
  <c r="AVT1" i="6"/>
  <c r="AVS3" i="6"/>
  <c r="AVS5" i="6"/>
  <c r="AVS9" i="6"/>
  <c r="AVU1" i="6"/>
  <c r="AVT3" i="6"/>
  <c r="AVT5" i="6"/>
  <c r="AVT9" i="6"/>
  <c r="AVR10" i="6"/>
  <c r="AVS6" i="6"/>
  <c r="AVH4" i="6"/>
  <c r="AVG7" i="6"/>
  <c r="AVS10" i="6"/>
  <c r="AVT6" i="6"/>
  <c r="AVV1" i="6"/>
  <c r="AVU3" i="6"/>
  <c r="AVU5" i="6"/>
  <c r="AVU9" i="6"/>
  <c r="AVI4" i="6"/>
  <c r="AVH7" i="6"/>
  <c r="AVW1" i="6"/>
  <c r="AVV3" i="6"/>
  <c r="AVV5" i="6"/>
  <c r="AVV9" i="6"/>
  <c r="AVU6" i="6"/>
  <c r="AVT10" i="6"/>
  <c r="AVJ4" i="6"/>
  <c r="AVI7" i="6"/>
  <c r="AVU10" i="6"/>
  <c r="AVV6" i="6"/>
  <c r="AVX1" i="6"/>
  <c r="AVW3" i="6"/>
  <c r="AVW5" i="6"/>
  <c r="AVW9" i="6"/>
  <c r="AVK4" i="6"/>
  <c r="AVJ7" i="6"/>
  <c r="AVY1" i="6"/>
  <c r="AVX5" i="6"/>
  <c r="AVX9" i="6"/>
  <c r="AVW6" i="6"/>
  <c r="AVV10" i="6"/>
  <c r="AVL4" i="6"/>
  <c r="AVK7" i="6"/>
  <c r="AVW10" i="6"/>
  <c r="AVM4" i="6"/>
  <c r="AVL7" i="6"/>
  <c r="AVX6" i="6"/>
  <c r="AVZ1" i="6"/>
  <c r="AVY3" i="6"/>
  <c r="AVY5" i="6"/>
  <c r="AVX3" i="6"/>
  <c r="AWA1" i="6"/>
  <c r="AVZ3" i="6"/>
  <c r="AVZ5" i="6"/>
  <c r="AVZ9" i="6"/>
  <c r="AVY6" i="6"/>
  <c r="AVN4" i="6"/>
  <c r="AVM7" i="6"/>
  <c r="AVY9" i="6"/>
  <c r="AVX10" i="6"/>
  <c r="AVO4" i="6"/>
  <c r="AVN7" i="6"/>
  <c r="AVZ6" i="6"/>
  <c r="AVY10" i="6"/>
  <c r="AWB1" i="6"/>
  <c r="AWA3" i="6"/>
  <c r="AWA5" i="6"/>
  <c r="AWA9" i="6"/>
  <c r="AWC1" i="6"/>
  <c r="AWB3" i="6"/>
  <c r="AWB5" i="6"/>
  <c r="AWB9" i="6"/>
  <c r="AVZ10" i="6"/>
  <c r="AWA6" i="6"/>
  <c r="AVP4" i="6"/>
  <c r="AVO7" i="6"/>
  <c r="AWB6" i="6"/>
  <c r="AWA10" i="6"/>
  <c r="AVQ4" i="6"/>
  <c r="AVP7" i="6"/>
  <c r="AWD1" i="6"/>
  <c r="AWC3" i="6"/>
  <c r="AWC9" i="6"/>
  <c r="AWE1" i="6"/>
  <c r="AWD3" i="6"/>
  <c r="AWD5" i="6"/>
  <c r="AWD9" i="6"/>
  <c r="AVR4" i="6"/>
  <c r="AVQ7" i="6"/>
  <c r="AWB10" i="6"/>
  <c r="AWC5" i="6"/>
  <c r="AWC6" i="6"/>
  <c r="AWD6" i="6"/>
  <c r="AWC10" i="6"/>
  <c r="AVS4" i="6"/>
  <c r="AVR7" i="6"/>
  <c r="AWF1" i="6"/>
  <c r="AWE5" i="6"/>
  <c r="AWG1" i="6"/>
  <c r="AWF5" i="6"/>
  <c r="AWF3" i="6"/>
  <c r="AWF9" i="6"/>
  <c r="AWD10" i="6"/>
  <c r="AWE3" i="6"/>
  <c r="AVT4" i="6"/>
  <c r="AVS7" i="6"/>
  <c r="AWE9" i="6"/>
  <c r="AWE6" i="6"/>
  <c r="AWF6" i="6"/>
  <c r="AWE10" i="6"/>
  <c r="AVU4" i="6"/>
  <c r="AVT7" i="6"/>
  <c r="AWH1" i="6"/>
  <c r="AWG3" i="6"/>
  <c r="AWG9" i="6"/>
  <c r="AWG5" i="6"/>
  <c r="AWG6" i="6"/>
  <c r="AWI1" i="6"/>
  <c r="AWH9" i="6"/>
  <c r="AWH3" i="6"/>
  <c r="AWH5" i="6"/>
  <c r="AWH6" i="6"/>
  <c r="AVV4" i="6"/>
  <c r="AVU7" i="6"/>
  <c r="AWF10" i="6"/>
  <c r="AVW4" i="6"/>
  <c r="AVV7" i="6"/>
  <c r="AWJ1" i="6"/>
  <c r="AWI9" i="6"/>
  <c r="AWG10" i="6"/>
  <c r="AWK1" i="6"/>
  <c r="AWJ5" i="6"/>
  <c r="AWJ9" i="6"/>
  <c r="AWI5" i="6"/>
  <c r="AWI6" i="6"/>
  <c r="AWJ6" i="6"/>
  <c r="AWI3" i="6"/>
  <c r="AVX4" i="6"/>
  <c r="AVW7" i="6"/>
  <c r="AWH10" i="6"/>
  <c r="AWI10" i="6"/>
  <c r="AVY4" i="6"/>
  <c r="AVX7" i="6"/>
  <c r="AWL1" i="6"/>
  <c r="AWK5" i="6"/>
  <c r="AWK6" i="6"/>
  <c r="AWJ3" i="6"/>
  <c r="AWM1" i="6"/>
  <c r="AWL3" i="6"/>
  <c r="AWL5" i="6"/>
  <c r="AWL6" i="6"/>
  <c r="AWL9" i="6"/>
  <c r="AWK3" i="6"/>
  <c r="AVZ4" i="6"/>
  <c r="AVY7" i="6"/>
  <c r="AWJ10" i="6"/>
  <c r="AWK9" i="6"/>
  <c r="AWA4" i="6"/>
  <c r="AVZ7" i="6"/>
  <c r="AWK10" i="6"/>
  <c r="AWN1" i="6"/>
  <c r="AWM3" i="6"/>
  <c r="AWM5" i="6"/>
  <c r="AWM6" i="6"/>
  <c r="AWO1" i="6"/>
  <c r="AWN3" i="6"/>
  <c r="AWN5" i="6"/>
  <c r="AWN6" i="6"/>
  <c r="AWN9" i="6"/>
  <c r="AWL10" i="6"/>
  <c r="AWB4" i="6"/>
  <c r="AWA7" i="6"/>
  <c r="AWM9" i="6"/>
  <c r="AWM10" i="6"/>
  <c r="AWC4" i="6"/>
  <c r="AWB7" i="6"/>
  <c r="AWP1" i="6"/>
  <c r="AWO3" i="6"/>
  <c r="AWO5" i="6"/>
  <c r="AWO6" i="6"/>
  <c r="AWO9" i="6"/>
  <c r="AWQ1" i="6"/>
  <c r="AWP5" i="6"/>
  <c r="AWP6" i="6"/>
  <c r="AWP9" i="6"/>
  <c r="AWD4" i="6"/>
  <c r="AWC7" i="6"/>
  <c r="AWN10" i="6"/>
  <c r="AWO10" i="6"/>
  <c r="AWE4" i="6"/>
  <c r="AWD7" i="6"/>
  <c r="AWR1" i="6"/>
  <c r="AWQ3" i="6"/>
  <c r="AWQ5" i="6"/>
  <c r="AWQ6" i="6"/>
  <c r="AWP3" i="6"/>
  <c r="AWS1" i="6"/>
  <c r="AWR3" i="6"/>
  <c r="AWR5" i="6"/>
  <c r="AWR6" i="6"/>
  <c r="AWR9" i="6"/>
  <c r="AWF4" i="6"/>
  <c r="AWE7" i="6"/>
  <c r="AWP10" i="6"/>
  <c r="AWQ9" i="6"/>
  <c r="AWQ10" i="6"/>
  <c r="AWG4" i="6"/>
  <c r="AWF7" i="6"/>
  <c r="AWT1" i="6"/>
  <c r="AWS3" i="6"/>
  <c r="AWS5" i="6"/>
  <c r="AWS6" i="6"/>
  <c r="AWU1" i="6"/>
  <c r="AWT5" i="6"/>
  <c r="AWT6" i="6"/>
  <c r="AWT9" i="6"/>
  <c r="AWH4" i="6"/>
  <c r="AWG7" i="6"/>
  <c r="AWS9" i="6"/>
  <c r="AWR10" i="6"/>
  <c r="AWI4" i="6"/>
  <c r="AWH7" i="6"/>
  <c r="AWV1" i="6"/>
  <c r="AWU3" i="6"/>
  <c r="AWU5" i="6"/>
  <c r="AWU6" i="6"/>
  <c r="AWU9" i="6"/>
  <c r="AWS10" i="6"/>
  <c r="AWT3" i="6"/>
  <c r="AWW1" i="6"/>
  <c r="AWV5" i="6"/>
  <c r="AWV6" i="6"/>
  <c r="AWV9" i="6"/>
  <c r="AWJ4" i="6"/>
  <c r="AWI7" i="6"/>
  <c r="AWT10" i="6"/>
  <c r="AWK4" i="6"/>
  <c r="AWJ7" i="6"/>
  <c r="AWW3" i="6"/>
  <c r="AWX1" i="6"/>
  <c r="AWW5" i="6"/>
  <c r="AWW6" i="6"/>
  <c r="AWW9" i="6"/>
  <c r="AWV3" i="6"/>
  <c r="AWU10" i="6"/>
  <c r="AWY1" i="6"/>
  <c r="AWX5" i="6"/>
  <c r="AWX6" i="6"/>
  <c r="AWX9" i="6"/>
  <c r="AWL4" i="6"/>
  <c r="AWK7" i="6"/>
  <c r="AWV10" i="6"/>
  <c r="AWM4" i="6"/>
  <c r="AWL7" i="6"/>
  <c r="AWZ1" i="6"/>
  <c r="AWY5" i="6"/>
  <c r="AWY6" i="6"/>
  <c r="AWY3" i="6"/>
  <c r="AWY9" i="6"/>
  <c r="AWX3" i="6"/>
  <c r="AWW10" i="6"/>
  <c r="AXA1" i="6"/>
  <c r="AWZ3" i="6"/>
  <c r="AWZ5" i="6"/>
  <c r="AWZ6" i="6"/>
  <c r="AWZ9" i="6"/>
  <c r="AWN4" i="6"/>
  <c r="AWM7" i="6"/>
  <c r="AWX10" i="6"/>
  <c r="AWO4" i="6"/>
  <c r="AWN7" i="6"/>
  <c r="AXB1" i="6"/>
  <c r="AXA3" i="6"/>
  <c r="AXA5" i="6"/>
  <c r="AXA6" i="6"/>
  <c r="AXA9" i="6"/>
  <c r="AWY10" i="6"/>
  <c r="AXC1" i="6"/>
  <c r="AXB5" i="6"/>
  <c r="AXB6" i="6"/>
  <c r="AXB9" i="6"/>
  <c r="AWP4" i="6"/>
  <c r="AWO7" i="6"/>
  <c r="AWZ10" i="6"/>
  <c r="AWQ4" i="6"/>
  <c r="AWP7" i="6"/>
  <c r="AXD1" i="6"/>
  <c r="AXC3" i="6"/>
  <c r="AXC5" i="6"/>
  <c r="AXC6" i="6"/>
  <c r="AXC9" i="6"/>
  <c r="AXB3" i="6"/>
  <c r="AXA10" i="6"/>
  <c r="AXE1" i="6"/>
  <c r="AXD3" i="6"/>
  <c r="AXD5" i="6"/>
  <c r="AXD6" i="6"/>
  <c r="AXD9" i="6"/>
  <c r="AWR4" i="6"/>
  <c r="AWQ7" i="6"/>
  <c r="AXB10" i="6"/>
  <c r="AWS4" i="6"/>
  <c r="AWR7" i="6"/>
  <c r="AXF1" i="6"/>
  <c r="AXE3" i="6"/>
  <c r="AXE5" i="6"/>
  <c r="AXE6" i="6"/>
  <c r="AXE9" i="6"/>
  <c r="AXC10" i="6"/>
  <c r="AXG1" i="6"/>
  <c r="AXF3" i="6"/>
  <c r="AXF5" i="6"/>
  <c r="AXF6" i="6"/>
  <c r="AXF9" i="6"/>
  <c r="AWT4" i="6"/>
  <c r="AWS7" i="6"/>
  <c r="AXD10" i="6"/>
  <c r="AWU4" i="6"/>
  <c r="AWT7" i="6"/>
  <c r="AXH1" i="6"/>
  <c r="AXG9" i="6"/>
  <c r="AXE10" i="6"/>
  <c r="AXI1" i="6"/>
  <c r="AXH5" i="6"/>
  <c r="AXH9" i="6"/>
  <c r="AXG5" i="6"/>
  <c r="AXG6" i="6"/>
  <c r="AXG3" i="6"/>
  <c r="AWV4" i="6"/>
  <c r="AWU7" i="6"/>
  <c r="AXF10" i="6"/>
  <c r="AXH6" i="6"/>
  <c r="AXG10" i="6"/>
  <c r="AXJ1" i="6"/>
  <c r="AXI5" i="6"/>
  <c r="AXI6" i="6"/>
  <c r="AWW4" i="6"/>
  <c r="AWV7" i="6"/>
  <c r="AXH3" i="6"/>
  <c r="AXI9" i="6"/>
  <c r="AXI3" i="6"/>
  <c r="AXK1" i="6"/>
  <c r="AXJ3" i="6"/>
  <c r="AXJ5" i="6"/>
  <c r="AXJ6" i="6"/>
  <c r="AXH10" i="6"/>
  <c r="AWX4" i="6"/>
  <c r="AWW7" i="6"/>
  <c r="AXL1" i="6"/>
  <c r="AXK5" i="6"/>
  <c r="AXK6" i="6"/>
  <c r="AXK9" i="6"/>
  <c r="AWY4" i="6"/>
  <c r="AWX7" i="6"/>
  <c r="AXI10" i="6"/>
  <c r="AXJ9" i="6"/>
  <c r="AWZ4" i="6"/>
  <c r="AWY7" i="6"/>
  <c r="AXM1" i="6"/>
  <c r="AXL3" i="6"/>
  <c r="AXK3" i="6"/>
  <c r="AXJ10" i="6"/>
  <c r="AXN1" i="6"/>
  <c r="AXM5" i="6"/>
  <c r="AXM9" i="6"/>
  <c r="AXA4" i="6"/>
  <c r="AWZ7" i="6"/>
  <c r="AXK10" i="6"/>
  <c r="AXL9" i="6"/>
  <c r="AXL5" i="6"/>
  <c r="AXL6" i="6"/>
  <c r="AXM6" i="6"/>
  <c r="AXO1" i="6"/>
  <c r="AXN5" i="6"/>
  <c r="AXN6" i="6"/>
  <c r="AXN3" i="6"/>
  <c r="AXN9" i="6"/>
  <c r="AXL10" i="6"/>
  <c r="AXB4" i="6"/>
  <c r="AXA7" i="6"/>
  <c r="AXM3" i="6"/>
  <c r="AXP1" i="6"/>
  <c r="AXO3" i="6"/>
  <c r="AXM10" i="6"/>
  <c r="AXC4" i="6"/>
  <c r="AXB7" i="6"/>
  <c r="AXN10" i="6"/>
  <c r="AXO9" i="6"/>
  <c r="AXQ1" i="6"/>
  <c r="AXP3" i="6"/>
  <c r="AXO5" i="6"/>
  <c r="AXO6" i="6"/>
  <c r="AXD4" i="6"/>
  <c r="AXC7" i="6"/>
  <c r="AXP5" i="6"/>
  <c r="AXP6" i="6"/>
  <c r="AXE4" i="6"/>
  <c r="AXD7" i="6"/>
  <c r="AXO10" i="6"/>
  <c r="AXR1" i="6"/>
  <c r="AXQ5" i="6"/>
  <c r="AXP9" i="6"/>
  <c r="AXS1" i="6"/>
  <c r="AXR5" i="6"/>
  <c r="AXR9" i="6"/>
  <c r="AXQ3" i="6"/>
  <c r="AXP10" i="6"/>
  <c r="AXQ6" i="6"/>
  <c r="AXF4" i="6"/>
  <c r="AXE7" i="6"/>
  <c r="AXQ9" i="6"/>
  <c r="AXR6" i="6"/>
  <c r="AXQ10" i="6"/>
  <c r="AXG4" i="6"/>
  <c r="AXF7" i="6"/>
  <c r="AXT1" i="6"/>
  <c r="AXS3" i="6"/>
  <c r="AXR3" i="6"/>
  <c r="AXU1" i="6"/>
  <c r="AXT3" i="6"/>
  <c r="AXT5" i="6"/>
  <c r="AXT9" i="6"/>
  <c r="AXH4" i="6"/>
  <c r="AXG7" i="6"/>
  <c r="AXS9" i="6"/>
  <c r="AXR10" i="6"/>
  <c r="AXS5" i="6"/>
  <c r="AXS6" i="6"/>
  <c r="AXT6" i="6"/>
  <c r="AXI4" i="6"/>
  <c r="AXH7" i="6"/>
  <c r="AXS10" i="6"/>
  <c r="AXV1" i="6"/>
  <c r="AXU3" i="6"/>
  <c r="AXU5" i="6"/>
  <c r="AXU6" i="6"/>
  <c r="AXW1" i="6"/>
  <c r="AXV5" i="6"/>
  <c r="AXV6" i="6"/>
  <c r="AXV9" i="6"/>
  <c r="AXT10" i="6"/>
  <c r="AXU9" i="6"/>
  <c r="AXJ4" i="6"/>
  <c r="AXI7" i="6"/>
  <c r="AXU10" i="6"/>
  <c r="AXX1" i="6"/>
  <c r="AXW5" i="6"/>
  <c r="AXW6" i="6"/>
  <c r="AXW9" i="6"/>
  <c r="AXV3" i="6"/>
  <c r="AXK4" i="6"/>
  <c r="AXJ7" i="6"/>
  <c r="AXY1" i="6"/>
  <c r="AXX3" i="6"/>
  <c r="AXW3" i="6"/>
  <c r="AXV10" i="6"/>
  <c r="AXL4" i="6"/>
  <c r="AXK7" i="6"/>
  <c r="AXX9" i="6"/>
  <c r="AXX5" i="6"/>
  <c r="AXX6" i="6"/>
  <c r="AXM4" i="6"/>
  <c r="AXL7" i="6"/>
  <c r="AXW10" i="6"/>
  <c r="AXZ1" i="6"/>
  <c r="AXY5" i="6"/>
  <c r="AXY9" i="6"/>
  <c r="AXY6" i="6"/>
  <c r="AYA1" i="6"/>
  <c r="AXZ9" i="6"/>
  <c r="AXZ5" i="6"/>
  <c r="AXZ6" i="6"/>
  <c r="AXY3" i="6"/>
  <c r="AXX10" i="6"/>
  <c r="AXN4" i="6"/>
  <c r="AXM7" i="6"/>
  <c r="AYB1" i="6"/>
  <c r="AYA3" i="6"/>
  <c r="AYA5" i="6"/>
  <c r="AYA6" i="6"/>
  <c r="AYA9" i="6"/>
  <c r="AXY10" i="6"/>
  <c r="AXZ3" i="6"/>
  <c r="AXO4" i="6"/>
  <c r="AXN7" i="6"/>
  <c r="AXZ10" i="6"/>
  <c r="AYC1" i="6"/>
  <c r="AYB3" i="6"/>
  <c r="AYB5" i="6"/>
  <c r="AYB6" i="6"/>
  <c r="AYB9" i="6"/>
  <c r="AXP4" i="6"/>
  <c r="AXO7" i="6"/>
  <c r="AYD1" i="6"/>
  <c r="AYC3" i="6"/>
  <c r="AYC5" i="6"/>
  <c r="AYC6" i="6"/>
  <c r="AYC9" i="6"/>
  <c r="AYA10" i="6"/>
  <c r="AXQ4" i="6"/>
  <c r="AXP7" i="6"/>
  <c r="AYB10" i="6"/>
  <c r="AYE1" i="6"/>
  <c r="AYD3" i="6"/>
  <c r="AYD5" i="6"/>
  <c r="AYD6" i="6"/>
  <c r="AYD9" i="6"/>
  <c r="AXR4" i="6"/>
  <c r="AXQ7" i="6"/>
  <c r="AYC10" i="6"/>
  <c r="AYF1" i="6"/>
  <c r="AYE3" i="6"/>
  <c r="AYE5" i="6"/>
  <c r="AYE6" i="6"/>
  <c r="AYE9" i="6"/>
  <c r="AXS4" i="6"/>
  <c r="AXR7" i="6"/>
  <c r="AYF3" i="6"/>
  <c r="AYG1" i="6"/>
  <c r="AYF5" i="6"/>
  <c r="AYF6" i="6"/>
  <c r="AYF9" i="6"/>
  <c r="AYD10" i="6"/>
  <c r="AXT4" i="6"/>
  <c r="AXS7" i="6"/>
  <c r="AYE10" i="6"/>
  <c r="AYH1" i="6"/>
  <c r="AXU4" i="6"/>
  <c r="AXT7" i="6"/>
  <c r="AYI1" i="6"/>
  <c r="AYH3" i="6"/>
  <c r="AYH5" i="6"/>
  <c r="AYH9" i="6"/>
  <c r="AYG9" i="6"/>
  <c r="AYG3" i="6"/>
  <c r="AYF10" i="6"/>
  <c r="AYG5" i="6"/>
  <c r="AYG6" i="6"/>
  <c r="AYH6" i="6"/>
  <c r="AXV4" i="6"/>
  <c r="AXU7" i="6"/>
  <c r="AXW4" i="6"/>
  <c r="AXV7" i="6"/>
  <c r="AYG10" i="6"/>
  <c r="AYJ1" i="6"/>
  <c r="AYI5" i="6"/>
  <c r="AYI6" i="6"/>
  <c r="AYK1" i="6"/>
  <c r="AYJ3" i="6"/>
  <c r="AYJ5" i="6"/>
  <c r="AYJ6" i="6"/>
  <c r="AYJ9" i="6"/>
  <c r="AYI3" i="6"/>
  <c r="AYH10" i="6"/>
  <c r="AYI9" i="6"/>
  <c r="AXX4" i="6"/>
  <c r="AXW7" i="6"/>
  <c r="AYI10" i="6"/>
  <c r="AYL1" i="6"/>
  <c r="AYK3" i="6"/>
  <c r="AYK5" i="6"/>
  <c r="AYK6" i="6"/>
  <c r="AYK9" i="6"/>
  <c r="AXY4" i="6"/>
  <c r="AXX7" i="6"/>
  <c r="AYM1" i="6"/>
  <c r="AYL5" i="6"/>
  <c r="AYL6" i="6"/>
  <c r="AYL9" i="6"/>
  <c r="AYJ10" i="6"/>
  <c r="AXZ4" i="6"/>
  <c r="AXY7" i="6"/>
  <c r="AYK10" i="6"/>
  <c r="AYN1" i="6"/>
  <c r="AYM3" i="6"/>
  <c r="AYM5" i="6"/>
  <c r="AYM6" i="6"/>
  <c r="AYM9" i="6"/>
  <c r="AYL3" i="6"/>
  <c r="AYA4" i="6"/>
  <c r="AXZ7" i="6"/>
  <c r="AYO1" i="6"/>
  <c r="AYN3" i="6"/>
  <c r="AYN5" i="6"/>
  <c r="AYN6" i="6"/>
  <c r="AYN9" i="6"/>
  <c r="AYL10" i="6"/>
  <c r="AYB4" i="6"/>
  <c r="AYA7" i="6"/>
  <c r="AYM10" i="6"/>
  <c r="AYP1" i="6"/>
  <c r="AYC4" i="6"/>
  <c r="AYB7" i="6"/>
  <c r="AYQ1" i="6"/>
  <c r="AYP3" i="6"/>
  <c r="AYP5" i="6"/>
  <c r="AYP9" i="6"/>
  <c r="AYO9" i="6"/>
  <c r="AYN10" i="6"/>
  <c r="AYO5" i="6"/>
  <c r="AYO6" i="6"/>
  <c r="AYP6" i="6"/>
  <c r="AYO3" i="6"/>
  <c r="AYD4" i="6"/>
  <c r="AYC7" i="6"/>
  <c r="AYO10" i="6"/>
  <c r="AYE4" i="6"/>
  <c r="AYD7" i="6"/>
  <c r="AYR1" i="6"/>
  <c r="AYS1" i="6"/>
  <c r="AYR3" i="6"/>
  <c r="AYR9" i="6"/>
  <c r="AYQ5" i="6"/>
  <c r="AYQ6" i="6"/>
  <c r="AYQ3" i="6"/>
  <c r="AYF4" i="6"/>
  <c r="AYE7" i="6"/>
  <c r="AYQ9" i="6"/>
  <c r="AYP10" i="6"/>
  <c r="AYQ10" i="6"/>
  <c r="AYR5" i="6"/>
  <c r="AYR6" i="6"/>
  <c r="AYG4" i="6"/>
  <c r="AYF7" i="6"/>
  <c r="AYT1" i="6"/>
  <c r="AYS3" i="6"/>
  <c r="AYS5" i="6"/>
  <c r="AYS6" i="6"/>
  <c r="AYR10" i="6"/>
  <c r="AYU1" i="6"/>
  <c r="AYT3" i="6"/>
  <c r="AYT5" i="6"/>
  <c r="AYT9" i="6"/>
  <c r="AYH4" i="6"/>
  <c r="AYG7" i="6"/>
  <c r="AYS9" i="6"/>
  <c r="AYT6" i="6"/>
  <c r="AYV1" i="6"/>
  <c r="AYU3" i="6"/>
  <c r="AYU5" i="6"/>
  <c r="AYU9" i="6"/>
  <c r="AYI4" i="6"/>
  <c r="AYH7" i="6"/>
  <c r="AYS10" i="6"/>
  <c r="AYU6" i="6"/>
  <c r="AYJ4" i="6"/>
  <c r="AYI7" i="6"/>
  <c r="AYT10" i="6"/>
  <c r="AYW1" i="6"/>
  <c r="AYV3" i="6"/>
  <c r="AYV5" i="6"/>
  <c r="AYV6" i="6"/>
  <c r="AYX1" i="6"/>
  <c r="AYW5" i="6"/>
  <c r="AYW6" i="6"/>
  <c r="AYW9" i="6"/>
  <c r="AYU10" i="6"/>
  <c r="AYK4" i="6"/>
  <c r="AYJ7" i="6"/>
  <c r="AYV9" i="6"/>
  <c r="AYV10" i="6"/>
  <c r="AYY1" i="6"/>
  <c r="AYX9" i="6"/>
  <c r="AYW3" i="6"/>
  <c r="AYL4" i="6"/>
  <c r="AYK7" i="6"/>
  <c r="AYZ1" i="6"/>
  <c r="AYY5" i="6"/>
  <c r="AYY9" i="6"/>
  <c r="AYX5" i="6"/>
  <c r="AYX6" i="6"/>
  <c r="AYY6" i="6"/>
  <c r="AYX3" i="6"/>
  <c r="AYW10" i="6"/>
  <c r="AYM4" i="6"/>
  <c r="AYL7" i="6"/>
  <c r="AYN4" i="6"/>
  <c r="AYM7" i="6"/>
  <c r="AYX10" i="6"/>
  <c r="AZA1" i="6"/>
  <c r="AYZ3" i="6"/>
  <c r="AYZ5" i="6"/>
  <c r="AYZ6" i="6"/>
  <c r="AYZ9" i="6"/>
  <c r="AYY3" i="6"/>
  <c r="AZB1" i="6"/>
  <c r="AZA5" i="6"/>
  <c r="AZA6" i="6"/>
  <c r="AZA3" i="6"/>
  <c r="AZA9" i="6"/>
  <c r="AYY10" i="6"/>
  <c r="AYO4" i="6"/>
  <c r="AYN7" i="6"/>
  <c r="AYP4" i="6"/>
  <c r="AYO7" i="6"/>
  <c r="AYZ10" i="6"/>
  <c r="AZC1" i="6"/>
  <c r="AZB3" i="6"/>
  <c r="AZB5" i="6"/>
  <c r="AZB6" i="6"/>
  <c r="AZB9" i="6"/>
  <c r="AZD1" i="6"/>
  <c r="AZC5" i="6"/>
  <c r="AZC6" i="6"/>
  <c r="AZC9" i="6"/>
  <c r="AZA10" i="6"/>
  <c r="AYQ4" i="6"/>
  <c r="AYP7" i="6"/>
  <c r="AYR4" i="6"/>
  <c r="AYQ7" i="6"/>
  <c r="AZB10" i="6"/>
  <c r="AZE1" i="6"/>
  <c r="AZC3" i="6"/>
  <c r="AZF1" i="6"/>
  <c r="AZE3" i="6"/>
  <c r="AZE5" i="6"/>
  <c r="AZE9" i="6"/>
  <c r="AZD3" i="6"/>
  <c r="AYS4" i="6"/>
  <c r="AYR7" i="6"/>
  <c r="AZD9" i="6"/>
  <c r="AZD5" i="6"/>
  <c r="AZD6" i="6"/>
  <c r="AZE6" i="6"/>
  <c r="AZC10" i="6"/>
  <c r="AYT4" i="6"/>
  <c r="AYS7" i="6"/>
  <c r="AZD10" i="6"/>
  <c r="AZG1" i="6"/>
  <c r="AZF9" i="6"/>
  <c r="AZF5" i="6"/>
  <c r="AZF6" i="6"/>
  <c r="AYU4" i="6"/>
  <c r="AYT7" i="6"/>
  <c r="AZG3" i="6"/>
  <c r="AZG5" i="6"/>
  <c r="D5" i="6"/>
  <c r="AZG9" i="6"/>
  <c r="D9" i="6"/>
  <c r="AZF3" i="6"/>
  <c r="AZE10" i="6"/>
  <c r="AZF10" i="6"/>
  <c r="D3" i="6"/>
  <c r="AYV4" i="6"/>
  <c r="AYU7" i="6"/>
  <c r="AZG6" i="6"/>
  <c r="AYW4" i="6"/>
  <c r="AYV7" i="6"/>
  <c r="AZG10" i="6"/>
  <c r="AYX4" i="6"/>
  <c r="AYW7" i="6"/>
  <c r="AYY4" i="6"/>
  <c r="AYX7" i="6"/>
  <c r="AYZ4" i="6"/>
  <c r="AYY7" i="6"/>
  <c r="AZA4" i="6"/>
  <c r="AYZ7" i="6"/>
  <c r="AZB4" i="6"/>
  <c r="AZA7" i="6"/>
  <c r="AZC4" i="6"/>
  <c r="AZB7" i="6"/>
  <c r="AZD4" i="6"/>
  <c r="AZC7" i="6"/>
  <c r="AZE4" i="6"/>
  <c r="AZD7" i="6"/>
  <c r="AZF4" i="6"/>
  <c r="AZE7" i="6"/>
  <c r="AZG4" i="6"/>
  <c r="AZG7" i="6"/>
  <c r="AZF7" i="6"/>
  <c r="F11" i="6"/>
  <c r="F12" i="6" s="1"/>
  <c r="F14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G12" i="6"/>
  <c r="D17" i="6"/>
  <c r="F18" i="6"/>
  <c r="G18" i="6"/>
  <c r="C17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D18" i="6"/>
  <c r="C18" i="6"/>
  <c r="N28" i="2" l="1"/>
  <c r="D11" i="6"/>
  <c r="H12" i="6"/>
  <c r="G14" i="6"/>
  <c r="N36" i="2"/>
  <c r="N40" i="2"/>
  <c r="N11" i="2"/>
  <c r="N21" i="2"/>
  <c r="N47" i="2"/>
  <c r="N9" i="2" l="1"/>
  <c r="I12" i="6"/>
  <c r="H14" i="6"/>
  <c r="J12" i="6" l="1"/>
  <c r="I14" i="6"/>
  <c r="J14" i="6" l="1"/>
  <c r="K12" i="6"/>
  <c r="L12" i="6" l="1"/>
  <c r="K14" i="6"/>
  <c r="M12" i="6" l="1"/>
  <c r="L14" i="6"/>
  <c r="N12" i="6" l="1"/>
  <c r="M14" i="6"/>
  <c r="O12" i="6" l="1"/>
  <c r="N14" i="6"/>
  <c r="O14" i="6" l="1"/>
  <c r="P12" i="6"/>
  <c r="P14" i="6" l="1"/>
  <c r="Q12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E14" i="6" l="1"/>
  <c r="AF12" i="6"/>
  <c r="AG12" i="6" l="1"/>
  <c r="AF14" i="6"/>
  <c r="AH12" i="6" l="1"/>
  <c r="AG14" i="6"/>
  <c r="AH14" i="6" l="1"/>
  <c r="AI12" i="6"/>
  <c r="AI14" i="6" l="1"/>
  <c r="AJ12" i="6"/>
  <c r="AK12" i="6" l="1"/>
  <c r="AJ14" i="6"/>
  <c r="AL12" i="6" l="1"/>
  <c r="AK14" i="6"/>
  <c r="AM12" i="6" l="1"/>
  <c r="AL14" i="6"/>
  <c r="AM14" i="6" l="1"/>
  <c r="AN12" i="6"/>
  <c r="AN14" i="6" l="1"/>
  <c r="AO12" i="6"/>
  <c r="AP12" i="6" l="1"/>
  <c r="AO14" i="6"/>
  <c r="AQ12" i="6" l="1"/>
  <c r="AP14" i="6"/>
  <c r="AQ14" i="6" l="1"/>
  <c r="AR12" i="6"/>
  <c r="AS12" i="6" l="1"/>
  <c r="AR14" i="6"/>
  <c r="AS14" i="6" l="1"/>
  <c r="AT12" i="6"/>
  <c r="AT14" i="6" l="1"/>
  <c r="AU12" i="6"/>
  <c r="AV12" i="6" l="1"/>
  <c r="AU14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C12" i="6" l="1"/>
  <c r="BB14" i="6"/>
  <c r="BC14" i="6" l="1"/>
  <c r="BD12" i="6"/>
  <c r="BE12" i="6" l="1"/>
  <c r="BD14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K14" i="6" l="1"/>
  <c r="BL12" i="6"/>
  <c r="BM12" i="6" l="1"/>
  <c r="BL14" i="6"/>
  <c r="BN12" i="6" l="1"/>
  <c r="BM14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X14" i="6" l="1"/>
  <c r="BY12" i="6"/>
  <c r="BY14" i="6" l="1"/>
  <c r="BZ12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G12" i="6" l="1"/>
  <c r="CF14" i="6"/>
  <c r="CG14" i="6" l="1"/>
  <c r="CH12" i="6"/>
  <c r="CI12" i="6" l="1"/>
  <c r="CH14" i="6"/>
  <c r="CI14" i="6" l="1"/>
  <c r="CJ12" i="6"/>
  <c r="CK12" i="6" l="1"/>
  <c r="CJ14" i="6"/>
  <c r="CK14" i="6" l="1"/>
  <c r="CL12" i="6"/>
  <c r="CM12" i="6" l="1"/>
  <c r="CL14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S14" i="6" l="1"/>
  <c r="CT12" i="6"/>
  <c r="CU12" i="6" l="1"/>
  <c r="CT14" i="6"/>
  <c r="CU14" i="6" l="1"/>
  <c r="CV12" i="6"/>
  <c r="CV14" i="6" l="1"/>
  <c r="CW12" i="6"/>
  <c r="CW14" i="6" l="1"/>
  <c r="CX12" i="6"/>
  <c r="CY12" i="6" l="1"/>
  <c r="CX14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N14" i="6" l="1"/>
  <c r="DO12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D12" i="6" l="1"/>
  <c r="EC14" i="6"/>
  <c r="EE12" i="6" l="1"/>
  <c r="ED14" i="6"/>
  <c r="EE14" i="6" l="1"/>
  <c r="EF12" i="6"/>
  <c r="EG12" i="6" l="1"/>
  <c r="EF14" i="6"/>
  <c r="EH12" i="6" l="1"/>
  <c r="EG14" i="6"/>
  <c r="EI12" i="6" l="1"/>
  <c r="EH14" i="6"/>
  <c r="EI14" i="6" l="1"/>
  <c r="EJ12" i="6"/>
  <c r="EK12" i="6" l="1"/>
  <c r="EJ14" i="6"/>
  <c r="EK14" i="6" l="1"/>
  <c r="EL12" i="6"/>
  <c r="EL14" i="6" l="1"/>
  <c r="EM12" i="6"/>
  <c r="EN12" i="6" l="1"/>
  <c r="EM14" i="6"/>
  <c r="EO12" i="6" l="1"/>
  <c r="EN14" i="6"/>
  <c r="EP12" i="6" l="1"/>
  <c r="EO14" i="6"/>
  <c r="EQ12" i="6" l="1"/>
  <c r="EP14" i="6"/>
  <c r="EQ14" i="6" l="1"/>
  <c r="ER12" i="6"/>
  <c r="ER14" i="6" l="1"/>
  <c r="ES12" i="6"/>
  <c r="ET12" i="6" l="1"/>
  <c r="ES14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C14" i="6" l="1"/>
  <c r="FD12" i="6"/>
  <c r="FD14" i="6" l="1"/>
  <c r="FE12" i="6"/>
  <c r="FF12" i="6" l="1"/>
  <c r="FE14" i="6"/>
  <c r="FG12" i="6" l="1"/>
  <c r="FF14" i="6"/>
  <c r="FG14" i="6" l="1"/>
  <c r="FH12" i="6"/>
  <c r="FI12" i="6" l="1"/>
  <c r="FH14" i="6"/>
  <c r="FI14" i="6" l="1"/>
  <c r="FJ12" i="6"/>
  <c r="FJ14" i="6" l="1"/>
  <c r="FK12" i="6"/>
  <c r="FL12" i="6" l="1"/>
  <c r="FK14" i="6"/>
  <c r="FM12" i="6" l="1"/>
  <c r="FL14" i="6"/>
  <c r="FM14" i="6" l="1"/>
  <c r="FN12" i="6"/>
  <c r="FO12" i="6" l="1"/>
  <c r="FN14" i="6"/>
  <c r="FP12" i="6" l="1"/>
  <c r="FO14" i="6"/>
  <c r="FQ12" i="6" l="1"/>
  <c r="FP14" i="6"/>
  <c r="FQ14" i="6" l="1"/>
  <c r="FR12" i="6"/>
  <c r="FS12" i="6" l="1"/>
  <c r="FR14" i="6"/>
  <c r="FS14" i="6" l="1"/>
  <c r="FT12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E14" i="6" l="1"/>
  <c r="GF12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Q12" i="6" l="1"/>
  <c r="GP14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Y12" i="6" l="1"/>
  <c r="GX14" i="6"/>
  <c r="GY14" i="6" l="1"/>
  <c r="GZ12" i="6"/>
  <c r="GZ14" i="6" l="1"/>
  <c r="HA12" i="6"/>
  <c r="HB12" i="6" l="1"/>
  <c r="HA14" i="6"/>
  <c r="HC12" i="6" l="1"/>
  <c r="HB14" i="6"/>
  <c r="HC14" i="6" l="1"/>
  <c r="HD12" i="6"/>
  <c r="HE12" i="6" l="1"/>
  <c r="HD14" i="6"/>
  <c r="HE14" i="6" l="1"/>
  <c r="HF12" i="6"/>
  <c r="HF14" i="6" l="1"/>
  <c r="HG12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Q12" i="6" l="1"/>
  <c r="HP14" i="6"/>
  <c r="HR12" i="6" l="1"/>
  <c r="HQ14" i="6"/>
  <c r="HR14" i="6" l="1"/>
  <c r="HS12" i="6"/>
  <c r="HS14" i="6" l="1"/>
  <c r="HT12" i="6"/>
  <c r="HU12" i="6" l="1"/>
  <c r="HT14" i="6"/>
  <c r="HU14" i="6" l="1"/>
  <c r="HV12" i="6"/>
  <c r="HW12" i="6" l="1"/>
  <c r="HV14" i="6"/>
  <c r="HW14" i="6" l="1"/>
  <c r="HX12" i="6"/>
  <c r="HX14" i="6" l="1"/>
  <c r="HY12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F12" i="6" l="1"/>
  <c r="IE14" i="6"/>
  <c r="IG12" i="6" l="1"/>
  <c r="IF14" i="6"/>
  <c r="IG14" i="6" l="1"/>
  <c r="IH12" i="6"/>
  <c r="II12" i="6" l="1"/>
  <c r="IH14" i="6"/>
  <c r="IJ12" i="6" l="1"/>
  <c r="II14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P14" i="6" l="1"/>
  <c r="IQ12" i="6"/>
  <c r="IR12" i="6" l="1"/>
  <c r="IQ14" i="6"/>
  <c r="IS12" i="6" l="1"/>
  <c r="IR14" i="6"/>
  <c r="IS14" i="6" l="1"/>
  <c r="IT12" i="6"/>
  <c r="IU12" i="6" l="1"/>
  <c r="IT14" i="6"/>
  <c r="IU14" i="6" l="1"/>
  <c r="IV12" i="6"/>
  <c r="IV14" i="6" l="1"/>
  <c r="IW12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G12" i="6" l="1"/>
  <c r="JF14" i="6"/>
  <c r="JH12" i="6" l="1"/>
  <c r="JG14" i="6"/>
  <c r="JH14" i="6" l="1"/>
  <c r="JI12" i="6"/>
  <c r="JJ12" i="6" l="1"/>
  <c r="JI14" i="6"/>
  <c r="JK12" i="6" l="1"/>
  <c r="JJ14" i="6"/>
  <c r="JK14" i="6" l="1"/>
  <c r="JL12" i="6"/>
  <c r="JM12" i="6" l="1"/>
  <c r="JL14" i="6"/>
  <c r="JN12" i="6" l="1"/>
  <c r="JM14" i="6"/>
  <c r="JO12" i="6" l="1"/>
  <c r="JN14" i="6"/>
  <c r="JO14" i="6" l="1"/>
  <c r="JP12" i="6"/>
  <c r="JQ12" i="6" l="1"/>
  <c r="JP14" i="6"/>
  <c r="JQ14" i="6" l="1"/>
  <c r="JR12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JZ14" i="6" l="1"/>
  <c r="KA12" i="6"/>
  <c r="KB12" i="6" l="1"/>
  <c r="KA14" i="6"/>
  <c r="KC12" i="6" l="1"/>
  <c r="KB14" i="6"/>
  <c r="KC14" i="6" l="1"/>
  <c r="KD12" i="6"/>
  <c r="KE12" i="6" l="1"/>
  <c r="KD14" i="6"/>
  <c r="KE14" i="6" l="1"/>
  <c r="KF12" i="6"/>
  <c r="KG12" i="6" l="1"/>
  <c r="KF14" i="6"/>
  <c r="KH12" i="6" l="1"/>
  <c r="KG14" i="6"/>
  <c r="KI12" i="6" l="1"/>
  <c r="KH14" i="6"/>
  <c r="KI14" i="6" l="1"/>
  <c r="KJ12" i="6"/>
  <c r="KK12" i="6" l="1"/>
  <c r="KJ14" i="6"/>
  <c r="KL12" i="6" l="1"/>
  <c r="KK14" i="6"/>
  <c r="KM12" i="6" l="1"/>
  <c r="KL14" i="6"/>
  <c r="KM14" i="6" l="1"/>
  <c r="KN12" i="6"/>
  <c r="KO12" i="6" l="1"/>
  <c r="KN14" i="6"/>
  <c r="KO14" i="6" l="1"/>
  <c r="KP12" i="6"/>
  <c r="KQ12" i="6" l="1"/>
  <c r="KP14" i="6"/>
  <c r="KQ14" i="6" l="1"/>
  <c r="KR12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G14" i="6" l="1"/>
  <c r="LH12" i="6"/>
  <c r="LI12" i="6" l="1"/>
  <c r="LH14" i="6"/>
  <c r="LI14" i="6" l="1"/>
  <c r="LJ12" i="6"/>
  <c r="LJ14" i="6" l="1"/>
  <c r="LK12" i="6"/>
  <c r="LK14" i="6" l="1"/>
  <c r="LL12" i="6"/>
  <c r="LM12" i="6" l="1"/>
  <c r="LL14" i="6"/>
  <c r="LM14" i="6" l="1"/>
  <c r="LN12" i="6"/>
  <c r="LO12" i="6" l="1"/>
  <c r="LN14" i="6"/>
  <c r="LO14" i="6" l="1"/>
  <c r="LP12" i="6"/>
  <c r="LQ12" i="6" l="1"/>
  <c r="LP14" i="6"/>
  <c r="LQ14" i="6" l="1"/>
  <c r="LR12" i="6"/>
  <c r="LS12" i="6" l="1"/>
  <c r="LR14" i="6"/>
  <c r="LS14" i="6" l="1"/>
  <c r="LT12" i="6"/>
  <c r="LU12" i="6" l="1"/>
  <c r="LT14" i="6"/>
  <c r="LU14" i="6" l="1"/>
  <c r="LV12" i="6"/>
  <c r="LV14" i="6" l="1"/>
  <c r="LW12" i="6"/>
  <c r="LX12" i="6" l="1"/>
  <c r="LW14" i="6"/>
  <c r="LY12" i="6" l="1"/>
  <c r="LX14" i="6"/>
  <c r="LY14" i="6" l="1"/>
  <c r="LZ12" i="6"/>
  <c r="MA12" i="6" l="1"/>
  <c r="LZ14" i="6"/>
  <c r="MA14" i="6" l="1"/>
  <c r="MB12" i="6"/>
  <c r="MC12" i="6" l="1"/>
  <c r="MB14" i="6"/>
  <c r="MD12" i="6" l="1"/>
  <c r="MC14" i="6"/>
  <c r="ME12" i="6" l="1"/>
  <c r="MD14" i="6"/>
  <c r="ME14" i="6" l="1"/>
  <c r="MF12" i="6"/>
  <c r="MG12" i="6" l="1"/>
  <c r="MF14" i="6"/>
  <c r="MH12" i="6" l="1"/>
  <c r="MG14" i="6"/>
  <c r="MH14" i="6" l="1"/>
  <c r="MI12" i="6"/>
  <c r="MI14" i="6" l="1"/>
  <c r="MJ12" i="6"/>
  <c r="MK12" i="6" l="1"/>
  <c r="MJ14" i="6"/>
  <c r="ML12" i="6" l="1"/>
  <c r="MK14" i="6"/>
  <c r="MM12" i="6" l="1"/>
  <c r="ML14" i="6"/>
  <c r="MM14" i="6" l="1"/>
  <c r="MN12" i="6"/>
  <c r="MN14" i="6" l="1"/>
  <c r="MO12" i="6"/>
  <c r="MP12" i="6" l="1"/>
  <c r="MO14" i="6"/>
  <c r="MQ12" i="6" l="1"/>
  <c r="MP14" i="6"/>
  <c r="MR12" i="6" l="1"/>
  <c r="MQ14" i="6"/>
  <c r="MS12" i="6" l="1"/>
  <c r="MR14" i="6"/>
  <c r="MT12" i="6" l="1"/>
  <c r="MS14" i="6"/>
  <c r="MT14" i="6" l="1"/>
  <c r="MU12" i="6"/>
  <c r="MV12" i="6" l="1"/>
  <c r="MU14" i="6"/>
  <c r="MW12" i="6" l="1"/>
  <c r="MV14" i="6"/>
  <c r="MX12" i="6" l="1"/>
  <c r="MW14" i="6"/>
  <c r="MY12" i="6" l="1"/>
  <c r="MX14" i="6"/>
  <c r="MZ12" i="6" l="1"/>
  <c r="MY14" i="6"/>
  <c r="MZ14" i="6" l="1"/>
  <c r="NA12" i="6"/>
  <c r="NA14" i="6" l="1"/>
  <c r="NB12" i="6"/>
  <c r="NC12" i="6" l="1"/>
  <c r="NB14" i="6"/>
  <c r="NC14" i="6" l="1"/>
  <c r="ND12" i="6"/>
  <c r="NE12" i="6" l="1"/>
  <c r="ND14" i="6"/>
  <c r="NE14" i="6" l="1"/>
  <c r="NF12" i="6"/>
  <c r="NF14" i="6" l="1"/>
  <c r="NG12" i="6"/>
  <c r="NG14" i="6" l="1"/>
  <c r="NH12" i="6"/>
  <c r="NI12" i="6" l="1"/>
  <c r="NH14" i="6"/>
  <c r="NI14" i="6" l="1"/>
  <c r="NJ12" i="6"/>
  <c r="NK12" i="6" l="1"/>
  <c r="NJ14" i="6"/>
  <c r="NK14" i="6" l="1"/>
  <c r="NL12" i="6"/>
  <c r="NM12" i="6" l="1"/>
  <c r="NL14" i="6"/>
  <c r="NM14" i="6" l="1"/>
  <c r="NN12" i="6"/>
  <c r="NO12" i="6" l="1"/>
  <c r="NN14" i="6"/>
  <c r="NO14" i="6" l="1"/>
  <c r="NP12" i="6"/>
  <c r="NQ12" i="6" l="1"/>
  <c r="NP14" i="6"/>
  <c r="NQ14" i="6" l="1"/>
  <c r="NR12" i="6"/>
  <c r="NR14" i="6" l="1"/>
  <c r="NS12" i="6"/>
  <c r="NT12" i="6" l="1"/>
  <c r="NS14" i="6"/>
  <c r="NU12" i="6" l="1"/>
  <c r="NT14" i="6"/>
  <c r="NV12" i="6" l="1"/>
  <c r="NU14" i="6"/>
  <c r="NW12" i="6" l="1"/>
  <c r="NV14" i="6"/>
  <c r="NW14" i="6" l="1"/>
  <c r="NX12" i="6"/>
  <c r="NY12" i="6" l="1"/>
  <c r="NX14" i="6"/>
  <c r="NY14" i="6" l="1"/>
  <c r="NZ12" i="6"/>
  <c r="OA12" i="6" l="1"/>
  <c r="NZ14" i="6"/>
  <c r="OA14" i="6" l="1"/>
  <c r="OB12" i="6"/>
  <c r="OC12" i="6" l="1"/>
  <c r="OB14" i="6"/>
  <c r="OC14" i="6" l="1"/>
  <c r="OD12" i="6"/>
  <c r="OD14" i="6" l="1"/>
  <c r="OE12" i="6"/>
  <c r="OF12" i="6" l="1"/>
  <c r="OE14" i="6"/>
  <c r="OG12" i="6" l="1"/>
  <c r="OF14" i="6"/>
  <c r="OG14" i="6" l="1"/>
  <c r="OH12" i="6"/>
  <c r="OI12" i="6" l="1"/>
  <c r="OH14" i="6"/>
  <c r="OI14" i="6" l="1"/>
  <c r="OJ12" i="6"/>
  <c r="OJ14" i="6" l="1"/>
  <c r="OK12" i="6"/>
  <c r="OL12" i="6" l="1"/>
  <c r="OK14" i="6"/>
  <c r="OM12" i="6" l="1"/>
  <c r="OL14" i="6"/>
  <c r="ON12" i="6" l="1"/>
  <c r="OM14" i="6"/>
  <c r="OO12" i="6" l="1"/>
  <c r="ON14" i="6"/>
  <c r="OP12" i="6" l="1"/>
  <c r="OO14" i="6"/>
  <c r="OP14" i="6" l="1"/>
  <c r="OQ12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W14" i="6" l="1"/>
  <c r="OX12" i="6"/>
  <c r="OY12" i="6" l="1"/>
  <c r="OX14" i="6"/>
  <c r="OY14" i="6" l="1"/>
  <c r="OZ12" i="6"/>
  <c r="PA12" i="6" l="1"/>
  <c r="OZ14" i="6"/>
  <c r="PA14" i="6" l="1"/>
  <c r="PB12" i="6"/>
  <c r="PC12" i="6" l="1"/>
  <c r="PB14" i="6"/>
  <c r="PC14" i="6" l="1"/>
  <c r="PD12" i="6"/>
  <c r="PE12" i="6" l="1"/>
  <c r="PD14" i="6"/>
  <c r="PE14" i="6" l="1"/>
  <c r="PF12" i="6"/>
  <c r="PG12" i="6" l="1"/>
  <c r="PF14" i="6"/>
  <c r="PG14" i="6" l="1"/>
  <c r="PH12" i="6"/>
  <c r="PI12" i="6" l="1"/>
  <c r="PH14" i="6"/>
  <c r="PI14" i="6" l="1"/>
  <c r="PJ12" i="6"/>
  <c r="PJ14" i="6" l="1"/>
  <c r="PK12" i="6"/>
  <c r="PK14" i="6" l="1"/>
  <c r="PL12" i="6"/>
  <c r="PM12" i="6" l="1"/>
  <c r="PL14" i="6"/>
  <c r="PN12" i="6" l="1"/>
  <c r="PM14" i="6"/>
  <c r="PN14" i="6" l="1"/>
  <c r="PO12" i="6"/>
  <c r="PP12" i="6" l="1"/>
  <c r="PO14" i="6"/>
  <c r="PP14" i="6" l="1"/>
  <c r="PQ12" i="6"/>
  <c r="PQ14" i="6" l="1"/>
  <c r="PR12" i="6"/>
  <c r="PS12" i="6" l="1"/>
  <c r="PR14" i="6"/>
  <c r="PT12" i="6" l="1"/>
  <c r="PS14" i="6"/>
  <c r="PU12" i="6" l="1"/>
  <c r="PT14" i="6"/>
  <c r="PU14" i="6" l="1"/>
  <c r="PV12" i="6"/>
  <c r="PV14" i="6" l="1"/>
  <c r="PW12" i="6"/>
  <c r="PW14" i="6" l="1"/>
  <c r="PX12" i="6"/>
  <c r="PY12" i="6" l="1"/>
  <c r="PX14" i="6"/>
  <c r="PY14" i="6" l="1"/>
  <c r="PZ12" i="6"/>
  <c r="QA12" i="6" l="1"/>
  <c r="PZ14" i="6"/>
  <c r="QA14" i="6" l="1"/>
  <c r="QB12" i="6"/>
  <c r="QB14" i="6" l="1"/>
  <c r="QC12" i="6"/>
  <c r="QD12" i="6" l="1"/>
  <c r="QC14" i="6"/>
  <c r="QE12" i="6" l="1"/>
  <c r="QD14" i="6"/>
  <c r="QF12" i="6" l="1"/>
  <c r="QE14" i="6"/>
  <c r="QF14" i="6" l="1"/>
  <c r="QG12" i="6"/>
  <c r="QH12" i="6" l="1"/>
  <c r="QG14" i="6"/>
  <c r="QH14" i="6" l="1"/>
  <c r="QI12" i="6"/>
  <c r="QI14" i="6" l="1"/>
  <c r="QJ12" i="6"/>
  <c r="QK12" i="6" l="1"/>
  <c r="QJ14" i="6"/>
  <c r="QK14" i="6" l="1"/>
  <c r="QL12" i="6"/>
  <c r="QM12" i="6" l="1"/>
  <c r="QL14" i="6"/>
  <c r="QN12" i="6" l="1"/>
  <c r="QM14" i="6"/>
  <c r="QN14" i="6" l="1"/>
  <c r="QO12" i="6"/>
  <c r="QO14" i="6" l="1"/>
  <c r="QP12" i="6"/>
  <c r="QQ12" i="6" l="1"/>
  <c r="QP14" i="6"/>
  <c r="QQ14" i="6" l="1"/>
  <c r="QR12" i="6"/>
  <c r="QS12" i="6" l="1"/>
  <c r="QR14" i="6"/>
  <c r="QT12" i="6" l="1"/>
  <c r="QS14" i="6"/>
  <c r="QT14" i="6" l="1"/>
  <c r="QU12" i="6"/>
  <c r="QU14" i="6" l="1"/>
  <c r="QV12" i="6"/>
  <c r="QW12" i="6" l="1"/>
  <c r="QV14" i="6"/>
  <c r="QW14" i="6" l="1"/>
  <c r="QX12" i="6"/>
  <c r="QX14" i="6" l="1"/>
  <c r="QY12" i="6"/>
  <c r="QZ12" i="6" l="1"/>
  <c r="QY14" i="6"/>
  <c r="QZ14" i="6" l="1"/>
  <c r="RA12" i="6"/>
  <c r="RA14" i="6" l="1"/>
  <c r="RB12" i="6"/>
  <c r="RC12" i="6" l="1"/>
  <c r="RB14" i="6"/>
  <c r="RD12" i="6" l="1"/>
  <c r="RC14" i="6"/>
  <c r="RE12" i="6" l="1"/>
  <c r="RD14" i="6"/>
  <c r="RE14" i="6" l="1"/>
  <c r="RF12" i="6"/>
  <c r="RF14" i="6" l="1"/>
  <c r="RG12" i="6"/>
  <c r="RG14" i="6" l="1"/>
  <c r="RH12" i="6"/>
  <c r="RI12" i="6" l="1"/>
  <c r="RH14" i="6"/>
  <c r="RI14" i="6" l="1"/>
  <c r="RJ12" i="6"/>
  <c r="RJ14" i="6" l="1"/>
  <c r="RK12" i="6"/>
  <c r="RL12" i="6" l="1"/>
  <c r="RK14" i="6"/>
  <c r="RL14" i="6" l="1"/>
  <c r="RM12" i="6"/>
  <c r="RN12" i="6" l="1"/>
  <c r="RM14" i="6"/>
  <c r="RO12" i="6" l="1"/>
  <c r="RN14" i="6"/>
  <c r="RP12" i="6" l="1"/>
  <c r="RO14" i="6"/>
  <c r="RQ12" i="6" l="1"/>
  <c r="RP14" i="6"/>
  <c r="RR12" i="6" l="1"/>
  <c r="RQ14" i="6"/>
  <c r="RR14" i="6" l="1"/>
  <c r="RS12" i="6"/>
  <c r="RS14" i="6" l="1"/>
  <c r="RT12" i="6"/>
  <c r="RU12" i="6" l="1"/>
  <c r="RT14" i="6"/>
  <c r="RU14" i="6" l="1"/>
  <c r="RV12" i="6"/>
  <c r="RW12" i="6" l="1"/>
  <c r="RV14" i="6"/>
  <c r="RX12" i="6" l="1"/>
  <c r="RW14" i="6"/>
  <c r="RX14" i="6" l="1"/>
  <c r="RY12" i="6"/>
  <c r="RZ12" i="6" l="1"/>
  <c r="RY14" i="6"/>
  <c r="SA12" i="6" l="1"/>
  <c r="RZ14" i="6"/>
  <c r="SB12" i="6" l="1"/>
  <c r="SA14" i="6"/>
  <c r="SB14" i="6" l="1"/>
  <c r="SC12" i="6"/>
  <c r="SD12" i="6" l="1"/>
  <c r="SC14" i="6"/>
  <c r="SD14" i="6" l="1"/>
  <c r="SE12" i="6"/>
  <c r="SF12" i="6" l="1"/>
  <c r="SE14" i="6"/>
  <c r="SG12" i="6" l="1"/>
  <c r="SF14" i="6"/>
  <c r="SG14" i="6" l="1"/>
  <c r="SH12" i="6"/>
  <c r="SH14" i="6" l="1"/>
  <c r="SI12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P14" i="6" l="1"/>
  <c r="SQ12" i="6"/>
  <c r="SR12" i="6" l="1"/>
  <c r="SQ14" i="6"/>
  <c r="SS12" i="6" l="1"/>
  <c r="SR14" i="6"/>
  <c r="ST12" i="6" l="1"/>
  <c r="SS14" i="6"/>
  <c r="ST14" i="6" l="1"/>
  <c r="SU12" i="6"/>
  <c r="SV12" i="6" l="1"/>
  <c r="SU14" i="6"/>
  <c r="SW12" i="6" l="1"/>
  <c r="SV14" i="6"/>
  <c r="SX12" i="6" l="1"/>
  <c r="SW14" i="6"/>
  <c r="SY12" i="6" l="1"/>
  <c r="SX14" i="6"/>
  <c r="SZ12" i="6" l="1"/>
  <c r="SY14" i="6"/>
  <c r="SZ14" i="6" l="1"/>
  <c r="TA12" i="6"/>
  <c r="TB12" i="6" l="1"/>
  <c r="TA14" i="6"/>
  <c r="TB14" i="6" l="1"/>
  <c r="TC12" i="6"/>
  <c r="TC14" i="6" l="1"/>
  <c r="TD12" i="6"/>
  <c r="TE12" i="6" l="1"/>
  <c r="TD14" i="6"/>
  <c r="TF12" i="6" l="1"/>
  <c r="TE14" i="6"/>
  <c r="TG12" i="6" l="1"/>
  <c r="TF14" i="6"/>
  <c r="TH12" i="6" l="1"/>
  <c r="TG14" i="6"/>
  <c r="TI12" i="6" l="1"/>
  <c r="TH14" i="6"/>
  <c r="TI14" i="6" l="1"/>
  <c r="TJ12" i="6"/>
  <c r="TK12" i="6" l="1"/>
  <c r="TJ14" i="6"/>
  <c r="TK14" i="6" l="1"/>
  <c r="TL12" i="6"/>
  <c r="TM12" i="6" l="1"/>
  <c r="TL14" i="6"/>
  <c r="TN12" i="6" l="1"/>
  <c r="TM14" i="6"/>
  <c r="TN14" i="6" l="1"/>
  <c r="TO12" i="6"/>
  <c r="TO14" i="6" l="1"/>
  <c r="TP12" i="6"/>
  <c r="TP14" i="6" l="1"/>
  <c r="TQ12" i="6"/>
  <c r="TR12" i="6" l="1"/>
  <c r="TQ14" i="6"/>
  <c r="TS12" i="6" l="1"/>
  <c r="TR14" i="6"/>
  <c r="TT12" i="6" l="1"/>
  <c r="TS14" i="6"/>
  <c r="TU12" i="6" l="1"/>
  <c r="TT14" i="6"/>
  <c r="TU14" i="6" l="1"/>
  <c r="TV12" i="6"/>
  <c r="TW12" i="6" l="1"/>
  <c r="TV14" i="6"/>
  <c r="TW14" i="6" l="1"/>
  <c r="TX12" i="6"/>
  <c r="TX14" i="6" l="1"/>
  <c r="TY12" i="6"/>
  <c r="TZ12" i="6" l="1"/>
  <c r="TY14" i="6"/>
  <c r="UA12" i="6" l="1"/>
  <c r="TZ14" i="6"/>
  <c r="UA14" i="6" l="1"/>
  <c r="UB12" i="6"/>
  <c r="UB14" i="6" l="1"/>
  <c r="UC12" i="6"/>
  <c r="UD12" i="6" l="1"/>
  <c r="UC14" i="6"/>
  <c r="UD14" i="6" l="1"/>
  <c r="UE12" i="6"/>
  <c r="UF12" i="6" l="1"/>
  <c r="UE14" i="6"/>
  <c r="UG12" i="6" l="1"/>
  <c r="UF14" i="6"/>
  <c r="UH12" i="6" l="1"/>
  <c r="UG14" i="6"/>
  <c r="UH14" i="6" l="1"/>
  <c r="UI12" i="6"/>
  <c r="UJ12" i="6" l="1"/>
  <c r="UI14" i="6"/>
  <c r="UK12" i="6" l="1"/>
  <c r="UJ14" i="6"/>
  <c r="UL12" i="6" l="1"/>
  <c r="UK14" i="6"/>
  <c r="UM12" i="6" l="1"/>
  <c r="UL14" i="6"/>
  <c r="UN12" i="6" l="1"/>
  <c r="UM14" i="6"/>
  <c r="UN14" i="6" l="1"/>
  <c r="UO12" i="6"/>
  <c r="UO14" i="6" l="1"/>
  <c r="UP12" i="6"/>
  <c r="UP14" i="6" l="1"/>
  <c r="UQ12" i="6"/>
  <c r="UR12" i="6" l="1"/>
  <c r="UQ14" i="6"/>
  <c r="UR14" i="6" l="1"/>
  <c r="US12" i="6"/>
  <c r="US14" i="6" l="1"/>
  <c r="UT12" i="6"/>
  <c r="UU12" i="6" l="1"/>
  <c r="UT14" i="6"/>
  <c r="UU14" i="6" l="1"/>
  <c r="UV12" i="6"/>
  <c r="UW12" i="6" l="1"/>
  <c r="UV14" i="6"/>
  <c r="UX12" i="6" l="1"/>
  <c r="UW14" i="6"/>
  <c r="UX14" i="6" l="1"/>
  <c r="UY12" i="6"/>
  <c r="UZ12" i="6" l="1"/>
  <c r="UY14" i="6"/>
  <c r="UZ14" i="6" l="1"/>
  <c r="VA12" i="6"/>
  <c r="VB12" i="6" l="1"/>
  <c r="VA14" i="6"/>
  <c r="VC12" i="6" l="1"/>
  <c r="VB14" i="6"/>
  <c r="VD12" i="6" l="1"/>
  <c r="VC14" i="6"/>
  <c r="VD14" i="6" l="1"/>
  <c r="VE12" i="6"/>
  <c r="VE14" i="6" l="1"/>
  <c r="VF12" i="6"/>
  <c r="VF14" i="6" l="1"/>
  <c r="VG12" i="6"/>
  <c r="VG14" i="6" l="1"/>
  <c r="VH12" i="6"/>
  <c r="VI12" i="6" l="1"/>
  <c r="VH14" i="6"/>
  <c r="VJ12" i="6" l="1"/>
  <c r="VI14" i="6"/>
  <c r="VJ14" i="6" l="1"/>
  <c r="VK12" i="6"/>
  <c r="VL12" i="6" l="1"/>
  <c r="VK14" i="6"/>
  <c r="VM12" i="6" l="1"/>
  <c r="VL14" i="6"/>
  <c r="VM14" i="6" l="1"/>
  <c r="VN12" i="6"/>
  <c r="VN14" i="6" l="1"/>
  <c r="VO12" i="6"/>
  <c r="VP12" i="6" l="1"/>
  <c r="VO14" i="6"/>
  <c r="VQ12" i="6" l="1"/>
  <c r="VP14" i="6"/>
  <c r="VR12" i="6" l="1"/>
  <c r="VQ14" i="6"/>
  <c r="VR14" i="6" l="1"/>
  <c r="VS12" i="6"/>
  <c r="VS14" i="6" l="1"/>
  <c r="VT12" i="6"/>
  <c r="VU12" i="6" l="1"/>
  <c r="VT14" i="6"/>
  <c r="VV12" i="6" l="1"/>
  <c r="VU14" i="6"/>
  <c r="VW12" i="6" l="1"/>
  <c r="VV14" i="6"/>
  <c r="VW14" i="6" l="1"/>
  <c r="VX12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E14" i="6" l="1"/>
  <c r="WF12" i="6"/>
  <c r="WF14" i="6" l="1"/>
  <c r="WG12" i="6"/>
  <c r="WH12" i="6" l="1"/>
  <c r="WG14" i="6"/>
  <c r="WI12" i="6" l="1"/>
  <c r="WH14" i="6"/>
  <c r="WJ12" i="6" l="1"/>
  <c r="WI14" i="6"/>
  <c r="WK12" i="6" l="1"/>
  <c r="WJ14" i="6"/>
  <c r="WK14" i="6" l="1"/>
  <c r="WL12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R14" i="6" l="1"/>
  <c r="WS12" i="6"/>
  <c r="WT12" i="6" l="1"/>
  <c r="WS14" i="6"/>
  <c r="WU12" i="6" l="1"/>
  <c r="WT14" i="6"/>
  <c r="WV12" i="6" l="1"/>
  <c r="WU14" i="6"/>
  <c r="WW12" i="6" l="1"/>
  <c r="WV14" i="6"/>
  <c r="WW14" i="6" l="1"/>
  <c r="WX12" i="6"/>
  <c r="WY12" i="6" l="1"/>
  <c r="WX14" i="6"/>
  <c r="WZ12" i="6" l="1"/>
  <c r="WY14" i="6"/>
  <c r="XA12" i="6" l="1"/>
  <c r="WZ14" i="6"/>
  <c r="XA14" i="6" l="1"/>
  <c r="XB12" i="6"/>
  <c r="XB14" i="6" l="1"/>
  <c r="XC12" i="6"/>
  <c r="XC14" i="6" l="1"/>
  <c r="XD12" i="6"/>
  <c r="XE12" i="6" l="1"/>
  <c r="XD14" i="6"/>
  <c r="XF12" i="6" l="1"/>
  <c r="XE14" i="6"/>
  <c r="XG12" i="6" l="1"/>
  <c r="XF14" i="6"/>
  <c r="XG14" i="6" l="1"/>
  <c r="XH12" i="6"/>
  <c r="XH14" i="6" l="1"/>
  <c r="XI12" i="6"/>
  <c r="XJ12" i="6" l="1"/>
  <c r="XI14" i="6"/>
  <c r="XJ14" i="6" l="1"/>
  <c r="XK12" i="6"/>
  <c r="XL12" i="6" l="1"/>
  <c r="XK14" i="6"/>
  <c r="XL14" i="6" l="1"/>
  <c r="XM12" i="6"/>
  <c r="XN12" i="6" l="1"/>
  <c r="XM14" i="6"/>
  <c r="XO12" i="6" l="1"/>
  <c r="XN14" i="6"/>
  <c r="XP12" i="6" l="1"/>
  <c r="XO14" i="6"/>
  <c r="XP14" i="6" l="1"/>
  <c r="XQ12" i="6"/>
  <c r="XR12" i="6" l="1"/>
  <c r="XQ14" i="6"/>
  <c r="XR14" i="6" l="1"/>
  <c r="XS12" i="6"/>
  <c r="XS14" i="6" l="1"/>
  <c r="XT12" i="6"/>
  <c r="XT14" i="6" l="1"/>
  <c r="XU12" i="6"/>
  <c r="XU14" i="6" l="1"/>
  <c r="XV12" i="6"/>
  <c r="XW12" i="6" l="1"/>
  <c r="XV14" i="6"/>
  <c r="XW14" i="6" l="1"/>
  <c r="XX12" i="6"/>
  <c r="XX14" i="6" l="1"/>
  <c r="XY12" i="6"/>
  <c r="XY14" i="6" l="1"/>
  <c r="XZ12" i="6"/>
  <c r="YA12" i="6" l="1"/>
  <c r="XZ14" i="6"/>
  <c r="YB12" i="6" l="1"/>
  <c r="YA14" i="6"/>
  <c r="YB14" i="6" l="1"/>
  <c r="YC12" i="6"/>
  <c r="YC14" i="6" l="1"/>
  <c r="YD12" i="6"/>
  <c r="YD14" i="6" l="1"/>
  <c r="YE12" i="6"/>
  <c r="YF12" i="6" l="1"/>
  <c r="YE14" i="6"/>
  <c r="YF14" i="6" l="1"/>
  <c r="YG12" i="6"/>
  <c r="YG14" i="6" l="1"/>
  <c r="YH12" i="6"/>
  <c r="YH14" i="6" l="1"/>
  <c r="YI12" i="6"/>
  <c r="YJ12" i="6" l="1"/>
  <c r="YI14" i="6"/>
  <c r="YJ14" i="6" l="1"/>
  <c r="YK12" i="6"/>
  <c r="YK14" i="6" l="1"/>
  <c r="YL12" i="6"/>
  <c r="YM12" i="6" l="1"/>
  <c r="YL14" i="6"/>
  <c r="YN12" i="6" l="1"/>
  <c r="YM14" i="6"/>
  <c r="YO12" i="6" l="1"/>
  <c r="YN14" i="6"/>
  <c r="YP12" i="6" l="1"/>
  <c r="YO14" i="6"/>
  <c r="YP14" i="6" l="1"/>
  <c r="YQ12" i="6"/>
  <c r="YQ14" i="6" l="1"/>
  <c r="YR12" i="6"/>
  <c r="YR14" i="6" l="1"/>
  <c r="YS12" i="6"/>
  <c r="YS14" i="6" l="1"/>
  <c r="YT12" i="6"/>
  <c r="YT14" i="6" l="1"/>
  <c r="YU12" i="6"/>
  <c r="YU14" i="6" l="1"/>
  <c r="YV12" i="6"/>
  <c r="YV14" i="6" l="1"/>
  <c r="YW12" i="6"/>
  <c r="YW14" i="6" l="1"/>
  <c r="YX12" i="6"/>
  <c r="YY12" i="6" l="1"/>
  <c r="YX14" i="6"/>
  <c r="YY14" i="6" l="1"/>
  <c r="YZ12" i="6"/>
  <c r="ZA12" i="6" l="1"/>
  <c r="YZ14" i="6"/>
  <c r="ZB12" i="6" l="1"/>
  <c r="ZA14" i="6"/>
  <c r="ZB14" i="6" l="1"/>
  <c r="ZC12" i="6"/>
  <c r="ZD12" i="6" l="1"/>
  <c r="ZC14" i="6"/>
  <c r="ZE12" i="6" l="1"/>
  <c r="ZD14" i="6"/>
  <c r="ZE14" i="6" l="1"/>
  <c r="ZF12" i="6"/>
  <c r="ZF14" i="6" l="1"/>
  <c r="ZG12" i="6"/>
  <c r="ZG14" i="6" l="1"/>
  <c r="ZH12" i="6"/>
  <c r="ZH14" i="6" l="1"/>
  <c r="ZI12" i="6"/>
  <c r="ZI14" i="6" l="1"/>
  <c r="ZJ12" i="6"/>
  <c r="ZJ14" i="6" l="1"/>
  <c r="ZK12" i="6"/>
  <c r="ZL12" i="6" l="1"/>
  <c r="ZK14" i="6"/>
  <c r="ZM12" i="6" l="1"/>
  <c r="ZL14" i="6"/>
  <c r="ZN12" i="6" l="1"/>
  <c r="ZM14" i="6"/>
  <c r="ZN14" i="6" l="1"/>
  <c r="ZO12" i="6"/>
  <c r="ZP12" i="6" l="1"/>
  <c r="ZO14" i="6"/>
  <c r="ZQ12" i="6" l="1"/>
  <c r="ZP14" i="6"/>
  <c r="ZQ14" i="6" l="1"/>
  <c r="ZR12" i="6"/>
  <c r="ZR14" i="6" l="1"/>
  <c r="ZS12" i="6"/>
  <c r="ZS14" i="6" l="1"/>
  <c r="ZT12" i="6"/>
  <c r="ZT14" i="6" l="1"/>
  <c r="ZU12" i="6"/>
  <c r="ZU14" i="6" l="1"/>
  <c r="ZV12" i="6"/>
  <c r="ZW12" i="6" l="1"/>
  <c r="ZV14" i="6"/>
  <c r="ZW14" i="6" l="1"/>
  <c r="ZX12" i="6"/>
  <c r="ZY12" i="6" l="1"/>
  <c r="ZX14" i="6"/>
  <c r="ZY14" i="6" l="1"/>
  <c r="ZZ12" i="6"/>
  <c r="ZZ14" i="6" l="1"/>
  <c r="AAA12" i="6"/>
  <c r="AAB12" i="6" l="1"/>
  <c r="AAA14" i="6"/>
  <c r="AAB14" i="6" l="1"/>
  <c r="AAC12" i="6"/>
  <c r="AAD12" i="6" l="1"/>
  <c r="AAC14" i="6"/>
  <c r="AAE12" i="6" l="1"/>
  <c r="AAD14" i="6"/>
  <c r="AAE14" i="6" l="1"/>
  <c r="AAF12" i="6"/>
  <c r="AAF14" i="6" l="1"/>
  <c r="AAG12" i="6"/>
  <c r="AAH12" i="6" l="1"/>
  <c r="AAG14" i="6"/>
  <c r="AAH14" i="6" l="1"/>
  <c r="AAI12" i="6"/>
  <c r="AAI14" i="6" l="1"/>
  <c r="AAJ12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O14" i="6" l="1"/>
  <c r="AAP12" i="6"/>
  <c r="AAP14" i="6" l="1"/>
  <c r="AAQ12" i="6"/>
  <c r="AAR12" i="6" l="1"/>
  <c r="AAQ14" i="6"/>
  <c r="AAR14" i="6" l="1"/>
  <c r="AAS12" i="6"/>
  <c r="AAT12" i="6" l="1"/>
  <c r="AAS14" i="6"/>
  <c r="AAU12" i="6" l="1"/>
  <c r="AAT14" i="6"/>
  <c r="AAV12" i="6" l="1"/>
  <c r="AAU14" i="6"/>
  <c r="AAV14" i="6" l="1"/>
  <c r="AAW12" i="6"/>
  <c r="AAX12" i="6" l="1"/>
  <c r="AAW14" i="6"/>
  <c r="AAX14" i="6" l="1"/>
  <c r="AAY12" i="6"/>
  <c r="AAZ12" i="6" l="1"/>
  <c r="AAY14" i="6"/>
  <c r="AAZ14" i="6" l="1"/>
  <c r="ABA12" i="6"/>
  <c r="ABA14" i="6" l="1"/>
  <c r="ABB12" i="6"/>
  <c r="ABB14" i="6" l="1"/>
  <c r="ABC12" i="6"/>
  <c r="ABC14" i="6" l="1"/>
  <c r="ABD12" i="6"/>
  <c r="ABE12" i="6" l="1"/>
  <c r="ABD14" i="6"/>
  <c r="ABF12" i="6" l="1"/>
  <c r="ABE14" i="6"/>
  <c r="ABF14" i="6" l="1"/>
  <c r="ABG12" i="6"/>
  <c r="ABH12" i="6" l="1"/>
  <c r="ABG14" i="6"/>
  <c r="ABI12" i="6" l="1"/>
  <c r="ABH14" i="6"/>
  <c r="ABI14" i="6" l="1"/>
  <c r="ABJ12" i="6"/>
  <c r="ABK12" i="6" l="1"/>
  <c r="ABJ14" i="6"/>
  <c r="ABL12" i="6" l="1"/>
  <c r="ABK14" i="6"/>
  <c r="ABM12" i="6" l="1"/>
  <c r="ABL14" i="6"/>
  <c r="ABM14" i="6" l="1"/>
  <c r="ABN12" i="6"/>
  <c r="ABO12" i="6" l="1"/>
  <c r="ABN14" i="6"/>
  <c r="ABO14" i="6" l="1"/>
  <c r="ABP12" i="6"/>
  <c r="ABP14" i="6" l="1"/>
  <c r="ABQ12" i="6"/>
  <c r="ABR12" i="6" l="1"/>
  <c r="ABQ14" i="6"/>
  <c r="ABS12" i="6" l="1"/>
  <c r="ABR14" i="6"/>
  <c r="ABS14" i="6" l="1"/>
  <c r="ABT12" i="6"/>
  <c r="ABU12" i="6" l="1"/>
  <c r="ABT14" i="6"/>
  <c r="ABU14" i="6" l="1"/>
  <c r="ABV12" i="6"/>
  <c r="ABV14" i="6" l="1"/>
  <c r="ABW12" i="6"/>
  <c r="ABX12" i="6" l="1"/>
  <c r="ABW14" i="6"/>
  <c r="ABX14" i="6" l="1"/>
  <c r="ABY12" i="6"/>
  <c r="ABY14" i="6" l="1"/>
  <c r="ABZ12" i="6"/>
  <c r="ACA12" i="6" l="1"/>
  <c r="ABZ14" i="6"/>
  <c r="ACA14" i="6" l="1"/>
  <c r="ACB12" i="6"/>
  <c r="ACB14" i="6" l="1"/>
  <c r="ACC12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J14" i="6" l="1"/>
  <c r="ACK12" i="6"/>
  <c r="ACL12" i="6" l="1"/>
  <c r="ACK14" i="6"/>
  <c r="ACM12" i="6" l="1"/>
  <c r="ACL14" i="6"/>
  <c r="ACM14" i="6" l="1"/>
  <c r="ACN12" i="6"/>
  <c r="ACN14" i="6" l="1"/>
  <c r="ACO12" i="6"/>
  <c r="ACP12" i="6" l="1"/>
  <c r="ACO14" i="6"/>
  <c r="ACP14" i="6" l="1"/>
  <c r="ACQ12" i="6"/>
  <c r="ACR12" i="6" l="1"/>
  <c r="ACQ14" i="6"/>
  <c r="ACS12" i="6" l="1"/>
  <c r="ACR14" i="6"/>
  <c r="ACS14" i="6" l="1"/>
  <c r="ACT12" i="6"/>
  <c r="ACU12" i="6" l="1"/>
  <c r="ACT14" i="6"/>
  <c r="ACV12" i="6" l="1"/>
  <c r="ACU14" i="6"/>
  <c r="ACV14" i="6" l="1"/>
  <c r="ACW12" i="6"/>
  <c r="ACW14" i="6" l="1"/>
  <c r="ACX12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C14" i="6" l="1"/>
  <c r="ADD12" i="6"/>
  <c r="ADE12" i="6" l="1"/>
  <c r="ADD14" i="6"/>
  <c r="ADF12" i="6" l="1"/>
  <c r="ADE14" i="6"/>
  <c r="ADF14" i="6" l="1"/>
  <c r="ADG12" i="6"/>
  <c r="ADH12" i="6" l="1"/>
  <c r="ADG14" i="6"/>
  <c r="ADH14" i="6" l="1"/>
  <c r="ADI12" i="6"/>
  <c r="ADJ12" i="6" l="1"/>
  <c r="ADI14" i="6"/>
  <c r="ADJ14" i="6" l="1"/>
  <c r="ADK12" i="6"/>
  <c r="ADK14" i="6" l="1"/>
  <c r="ADL12" i="6"/>
  <c r="ADL14" i="6" l="1"/>
  <c r="ADM12" i="6"/>
  <c r="ADN12" i="6" l="1"/>
  <c r="ADM14" i="6"/>
  <c r="ADO12" i="6" l="1"/>
  <c r="ADN14" i="6"/>
  <c r="ADP12" i="6" l="1"/>
  <c r="ADO14" i="6"/>
  <c r="ADP14" i="6" l="1"/>
  <c r="ADQ12" i="6"/>
  <c r="ADR12" i="6" l="1"/>
  <c r="ADQ14" i="6"/>
  <c r="ADR14" i="6" l="1"/>
  <c r="ADS12" i="6"/>
  <c r="ADT12" i="6" l="1"/>
  <c r="ADS14" i="6"/>
  <c r="ADT14" i="6" l="1"/>
  <c r="ADU12" i="6"/>
  <c r="ADV12" i="6" l="1"/>
  <c r="ADU14" i="6"/>
  <c r="ADV14" i="6" l="1"/>
  <c r="ADW12" i="6"/>
  <c r="ADW14" i="6" l="1"/>
  <c r="ADX12" i="6"/>
  <c r="ADY12" i="6" l="1"/>
  <c r="ADX14" i="6"/>
  <c r="ADZ12" i="6" l="1"/>
  <c r="ADY14" i="6"/>
  <c r="AEA12" i="6" l="1"/>
  <c r="ADZ14" i="6"/>
  <c r="AEB12" i="6" l="1"/>
  <c r="AEA14" i="6"/>
  <c r="AEB14" i="6" l="1"/>
  <c r="AEC12" i="6"/>
  <c r="AEC14" i="6" l="1"/>
  <c r="AED12" i="6"/>
  <c r="AEE12" i="6" l="1"/>
  <c r="AED14" i="6"/>
  <c r="AEF12" i="6" l="1"/>
  <c r="AEE14" i="6"/>
  <c r="AEF14" i="6" l="1"/>
  <c r="AEG12" i="6"/>
  <c r="AEH12" i="6" l="1"/>
  <c r="AEG14" i="6"/>
  <c r="AEH14" i="6" l="1"/>
  <c r="AEI12" i="6"/>
  <c r="AEJ12" i="6" l="1"/>
  <c r="AEI14" i="6"/>
  <c r="AEJ14" i="6" l="1"/>
  <c r="AEK12" i="6"/>
  <c r="AEL12" i="6" l="1"/>
  <c r="AEK14" i="6"/>
  <c r="AEL14" i="6" l="1"/>
  <c r="AEM12" i="6"/>
  <c r="AEN12" i="6" l="1"/>
  <c r="AEM14" i="6"/>
  <c r="AEN14" i="6" l="1"/>
  <c r="AEO12" i="6"/>
  <c r="AEP12" i="6" l="1"/>
  <c r="AEO14" i="6"/>
  <c r="AEP14" i="6" l="1"/>
  <c r="AEQ12" i="6"/>
  <c r="AER12" i="6" l="1"/>
  <c r="AEQ14" i="6"/>
  <c r="AER14" i="6" l="1"/>
  <c r="AES12" i="6"/>
  <c r="AET12" i="6" l="1"/>
  <c r="AES14" i="6"/>
  <c r="AEU12" i="6" l="1"/>
  <c r="AET14" i="6"/>
  <c r="AEU14" i="6" l="1"/>
  <c r="AEV12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A14" i="6" l="1"/>
  <c r="AFB12" i="6"/>
  <c r="AFC12" i="6" l="1"/>
  <c r="AFB14" i="6"/>
  <c r="AFD12" i="6" l="1"/>
  <c r="AFC14" i="6"/>
  <c r="AFD14" i="6" l="1"/>
  <c r="AFE12" i="6"/>
  <c r="AFF12" i="6" l="1"/>
  <c r="AFE14" i="6"/>
  <c r="AFF14" i="6" l="1"/>
  <c r="AFG12" i="6"/>
  <c r="AFG14" i="6" l="1"/>
  <c r="AFH12" i="6"/>
  <c r="AFH14" i="6" l="1"/>
  <c r="AFI12" i="6"/>
  <c r="AFJ12" i="6" l="1"/>
  <c r="AFI14" i="6"/>
  <c r="AFJ14" i="6" l="1"/>
  <c r="AFK12" i="6"/>
  <c r="AFL12" i="6" l="1"/>
  <c r="AFK14" i="6"/>
  <c r="AFL14" i="6" l="1"/>
  <c r="AFM12" i="6"/>
  <c r="AFN12" i="6" l="1"/>
  <c r="AFM14" i="6"/>
  <c r="AFO12" i="6" l="1"/>
  <c r="AFN14" i="6"/>
  <c r="AFP12" i="6" l="1"/>
  <c r="AFO14" i="6"/>
  <c r="AFQ12" i="6" l="1"/>
  <c r="AFP14" i="6"/>
  <c r="AFQ14" i="6" l="1"/>
  <c r="AFR12" i="6"/>
  <c r="AFR14" i="6" l="1"/>
  <c r="AFS12" i="6"/>
  <c r="AFT12" i="6" l="1"/>
  <c r="AFS14" i="6"/>
  <c r="AFU12" i="6" l="1"/>
  <c r="AFT14" i="6"/>
  <c r="AFV12" i="6" l="1"/>
  <c r="AFU14" i="6"/>
  <c r="AFW12" i="6" l="1"/>
  <c r="AFV14" i="6"/>
  <c r="AFW14" i="6" l="1"/>
  <c r="AFX12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C14" i="6" l="1"/>
  <c r="AGD12" i="6"/>
  <c r="AGD14" i="6" l="1"/>
  <c r="AGE12" i="6"/>
  <c r="AGF12" i="6" l="1"/>
  <c r="AGE14" i="6"/>
  <c r="AGF14" i="6" l="1"/>
  <c r="AGG12" i="6"/>
  <c r="AGH12" i="6" l="1"/>
  <c r="AGG14" i="6"/>
  <c r="AGI12" i="6" l="1"/>
  <c r="AGH14" i="6"/>
  <c r="AGI14" i="6" l="1"/>
  <c r="AGJ12" i="6"/>
  <c r="AGJ14" i="6" l="1"/>
  <c r="AGK12" i="6"/>
  <c r="AGL12" i="6" l="1"/>
  <c r="AGK14" i="6"/>
  <c r="AGM12" i="6" l="1"/>
  <c r="AGL14" i="6"/>
  <c r="AGN12" i="6" l="1"/>
  <c r="AGM14" i="6"/>
  <c r="AGO12" i="6" l="1"/>
  <c r="AGN14" i="6"/>
  <c r="AGO14" i="6" l="1"/>
  <c r="AGP12" i="6"/>
  <c r="AGP14" i="6" l="1"/>
  <c r="AGQ12" i="6"/>
  <c r="AGQ14" i="6" l="1"/>
  <c r="AGR12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W14" i="6" l="1"/>
  <c r="AGX12" i="6"/>
  <c r="AGY12" i="6" l="1"/>
  <c r="AGX14" i="6"/>
  <c r="AGZ12" i="6" l="1"/>
  <c r="AGY14" i="6"/>
  <c r="AHA12" i="6" l="1"/>
  <c r="AGZ14" i="6"/>
  <c r="AHA14" i="6" l="1"/>
  <c r="AHB12" i="6"/>
  <c r="AHC12" i="6" l="1"/>
  <c r="AHB14" i="6"/>
  <c r="AHD12" i="6" l="1"/>
  <c r="AHC14" i="6"/>
  <c r="AHD14" i="6" l="1"/>
  <c r="AHE12" i="6"/>
  <c r="AHF12" i="6" l="1"/>
  <c r="AHE14" i="6"/>
  <c r="AHG12" i="6" l="1"/>
  <c r="AHF14" i="6"/>
  <c r="AHG14" i="6" l="1"/>
  <c r="AHH12" i="6"/>
  <c r="AHI12" i="6" l="1"/>
  <c r="AHH14" i="6"/>
  <c r="AHJ12" i="6" l="1"/>
  <c r="AHI14" i="6"/>
  <c r="AHJ14" i="6" l="1"/>
  <c r="AHK12" i="6"/>
  <c r="AHL12" i="6" l="1"/>
  <c r="AHK14" i="6"/>
  <c r="AHL14" i="6" l="1"/>
  <c r="AHM12" i="6"/>
  <c r="AHN12" i="6" l="1"/>
  <c r="AHM14" i="6"/>
  <c r="AHO12" i="6" l="1"/>
  <c r="AHN14" i="6"/>
  <c r="AHP12" i="6" l="1"/>
  <c r="AHO14" i="6"/>
  <c r="AHP14" i="6" l="1"/>
  <c r="AHQ12" i="6"/>
  <c r="AHR12" i="6" l="1"/>
  <c r="AHQ14" i="6"/>
  <c r="AHS12" i="6" l="1"/>
  <c r="AHR14" i="6"/>
  <c r="AHT12" i="6" l="1"/>
  <c r="AHS14" i="6"/>
  <c r="AHU12" i="6" l="1"/>
  <c r="AHT14" i="6"/>
  <c r="AHU14" i="6" l="1"/>
  <c r="AHV12" i="6"/>
  <c r="AHV14" i="6" l="1"/>
  <c r="AHW12" i="6"/>
  <c r="AHX12" i="6" l="1"/>
  <c r="AHW14" i="6"/>
  <c r="AHX14" i="6" l="1"/>
  <c r="AHY12" i="6"/>
  <c r="AHY14" i="6" l="1"/>
  <c r="AHZ12" i="6"/>
  <c r="AIA12" i="6" l="1"/>
  <c r="AHZ14" i="6"/>
  <c r="AIB12" i="6" l="1"/>
  <c r="AIA14" i="6"/>
  <c r="AIB14" i="6" l="1"/>
  <c r="AIC12" i="6"/>
  <c r="AID12" i="6" l="1"/>
  <c r="AIC14" i="6"/>
  <c r="AID14" i="6" l="1"/>
  <c r="AIE12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K14" i="6" l="1"/>
  <c r="AIL12" i="6"/>
  <c r="AIM12" i="6" l="1"/>
  <c r="AIL14" i="6"/>
  <c r="AIN12" i="6" l="1"/>
  <c r="AIM14" i="6"/>
  <c r="AIN14" i="6" l="1"/>
  <c r="AIO12" i="6"/>
  <c r="AIP12" i="6" l="1"/>
  <c r="AIO14" i="6"/>
  <c r="AIQ12" i="6" l="1"/>
  <c r="AIP14" i="6"/>
  <c r="AIQ14" i="6" l="1"/>
  <c r="AIR12" i="6"/>
  <c r="AIS12" i="6" l="1"/>
  <c r="AIR14" i="6"/>
  <c r="AIT12" i="6" l="1"/>
  <c r="AIS14" i="6"/>
  <c r="AIU12" i="6" l="1"/>
  <c r="AIT14" i="6"/>
  <c r="AIV12" i="6" l="1"/>
  <c r="AIU14" i="6"/>
  <c r="AIV14" i="6" l="1"/>
  <c r="AIW12" i="6"/>
  <c r="AIW14" i="6" l="1"/>
  <c r="AIX12" i="6"/>
  <c r="AIX14" i="6" l="1"/>
  <c r="AIY12" i="6"/>
  <c r="AIZ12" i="6" l="1"/>
  <c r="AIY14" i="6"/>
  <c r="AIZ14" i="6" l="1"/>
  <c r="AJA12" i="6"/>
  <c r="AJB12" i="6" l="1"/>
  <c r="AJA14" i="6"/>
  <c r="AJB14" i="6" l="1"/>
  <c r="AJC12" i="6"/>
  <c r="AJD12" i="6" l="1"/>
  <c r="AJC14" i="6"/>
  <c r="AJD14" i="6" l="1"/>
  <c r="AJE12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J14" i="6" l="1"/>
  <c r="AJK12" i="6"/>
  <c r="AJK14" i="6" l="1"/>
  <c r="AJL12" i="6"/>
  <c r="AJL14" i="6" l="1"/>
  <c r="AJM12" i="6"/>
  <c r="AJN12" i="6" l="1"/>
  <c r="AJM14" i="6"/>
  <c r="AJN14" i="6" l="1"/>
  <c r="AJO12" i="6"/>
  <c r="AJP12" i="6" l="1"/>
  <c r="AJO14" i="6"/>
  <c r="AJP14" i="6" l="1"/>
  <c r="AJQ12" i="6"/>
  <c r="AJQ14" i="6" l="1"/>
  <c r="AJR12" i="6"/>
  <c r="AJS12" i="6" l="1"/>
  <c r="AJR14" i="6"/>
  <c r="AJT12" i="6" l="1"/>
  <c r="AJS14" i="6"/>
  <c r="AJT14" i="6" l="1"/>
  <c r="AJU12" i="6"/>
  <c r="AJV12" i="6" l="1"/>
  <c r="AJU14" i="6"/>
  <c r="AJW12" i="6" l="1"/>
  <c r="AJV14" i="6"/>
  <c r="AJX12" i="6" l="1"/>
  <c r="AJW14" i="6"/>
  <c r="AJX14" i="6" l="1"/>
  <c r="AJY12" i="6"/>
  <c r="AJZ12" i="6" l="1"/>
  <c r="AJY14" i="6"/>
  <c r="AJZ14" i="6" l="1"/>
  <c r="AKA12" i="6"/>
  <c r="AKB12" i="6" l="1"/>
  <c r="AKA14" i="6"/>
  <c r="AKC12" i="6" l="1"/>
  <c r="AKB14" i="6"/>
  <c r="AKD12" i="6" l="1"/>
  <c r="AKC14" i="6"/>
  <c r="AKD14" i="6" l="1"/>
  <c r="AKE12" i="6"/>
  <c r="AKF12" i="6" l="1"/>
  <c r="AKE14" i="6"/>
  <c r="AKG12" i="6" l="1"/>
  <c r="AKF14" i="6"/>
  <c r="AKH12" i="6" l="1"/>
  <c r="AKG14" i="6"/>
  <c r="AKH14" i="6" l="1"/>
  <c r="AKI12" i="6"/>
  <c r="AKI14" i="6" l="1"/>
  <c r="AKJ12" i="6"/>
  <c r="AKJ14" i="6" l="1"/>
  <c r="AKK12" i="6"/>
  <c r="AKL12" i="6" l="1"/>
  <c r="AKK14" i="6"/>
  <c r="AKM12" i="6" l="1"/>
  <c r="AKL14" i="6"/>
  <c r="AKN12" i="6" l="1"/>
  <c r="AKM14" i="6"/>
  <c r="AKN14" i="6" l="1"/>
  <c r="AKO12" i="6"/>
  <c r="AKO14" i="6" l="1"/>
  <c r="AKP12" i="6"/>
  <c r="AKQ12" i="6" l="1"/>
  <c r="AKP14" i="6"/>
  <c r="AKR12" i="6" l="1"/>
  <c r="AKQ14" i="6"/>
  <c r="AKR14" i="6" l="1"/>
  <c r="AKS12" i="6"/>
  <c r="AKS14" i="6" l="1"/>
  <c r="AKT12" i="6"/>
  <c r="AKU12" i="6" l="1"/>
  <c r="AKT14" i="6"/>
  <c r="AKV12" i="6" l="1"/>
  <c r="AKU14" i="6"/>
  <c r="AKW12" i="6" l="1"/>
  <c r="AKV14" i="6"/>
  <c r="AKX12" i="6" l="1"/>
  <c r="AKW14" i="6"/>
  <c r="AKX14" i="6" l="1"/>
  <c r="AKY12" i="6"/>
  <c r="AKZ12" i="6" l="1"/>
  <c r="AKY14" i="6"/>
  <c r="ALA12" i="6" l="1"/>
  <c r="AKZ14" i="6"/>
  <c r="ALA14" i="6" l="1"/>
  <c r="ALB12" i="6"/>
  <c r="ALC12" i="6" l="1"/>
  <c r="ALB14" i="6"/>
  <c r="ALD12" i="6" l="1"/>
  <c r="ALC14" i="6"/>
  <c r="ALE12" i="6" l="1"/>
  <c r="ALD14" i="6"/>
  <c r="ALE14" i="6" l="1"/>
  <c r="ALF12" i="6"/>
  <c r="ALG12" i="6" l="1"/>
  <c r="ALF14" i="6"/>
  <c r="ALG14" i="6" l="1"/>
  <c r="ALH12" i="6"/>
  <c r="ALH14" i="6" l="1"/>
  <c r="ALI12" i="6"/>
  <c r="ALJ12" i="6" l="1"/>
  <c r="ALI14" i="6"/>
  <c r="ALJ14" i="6" l="1"/>
  <c r="ALK12" i="6"/>
  <c r="ALK14" i="6" l="1"/>
  <c r="ALL12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Q14" i="6" l="1"/>
  <c r="ALR12" i="6"/>
  <c r="ALR14" i="6" l="1"/>
  <c r="ALS12" i="6"/>
  <c r="ALS14" i="6" l="1"/>
  <c r="ALT12" i="6"/>
  <c r="ALT14" i="6" l="1"/>
  <c r="ALU12" i="6"/>
  <c r="ALV12" i="6" l="1"/>
  <c r="ALU14" i="6"/>
  <c r="ALW12" i="6" l="1"/>
  <c r="ALV14" i="6"/>
  <c r="ALX12" i="6" l="1"/>
  <c r="ALW14" i="6"/>
  <c r="ALX14" i="6" l="1"/>
  <c r="ALY12" i="6"/>
  <c r="ALZ12" i="6" l="1"/>
  <c r="ALY14" i="6"/>
  <c r="AMA12" i="6" l="1"/>
  <c r="ALZ14" i="6"/>
  <c r="AMB12" i="6" l="1"/>
  <c r="AMA14" i="6"/>
  <c r="AMC12" i="6" l="1"/>
  <c r="AMB14" i="6"/>
  <c r="AMC14" i="6" l="1"/>
  <c r="AMD12" i="6"/>
  <c r="AMD14" i="6" l="1"/>
  <c r="AME12" i="6"/>
  <c r="AME14" i="6" l="1"/>
  <c r="AMF12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K14" i="6" l="1"/>
  <c r="AML12" i="6"/>
  <c r="AMM12" i="6" l="1"/>
  <c r="AML14" i="6"/>
  <c r="AMN12" i="6" l="1"/>
  <c r="AMM14" i="6"/>
  <c r="AMN14" i="6" l="1"/>
  <c r="AMO12" i="6"/>
  <c r="AMP12" i="6" l="1"/>
  <c r="AMO14" i="6"/>
  <c r="AMQ12" i="6" l="1"/>
  <c r="AMP14" i="6"/>
  <c r="AMQ14" i="6" l="1"/>
  <c r="AMR12" i="6"/>
  <c r="AMR14" i="6" l="1"/>
  <c r="AMS12" i="6"/>
  <c r="AMT12" i="6" l="1"/>
  <c r="AMS14" i="6"/>
  <c r="AMT14" i="6" l="1"/>
  <c r="AMU12" i="6"/>
  <c r="AMV12" i="6" l="1"/>
  <c r="AMU14" i="6"/>
  <c r="AMV14" i="6" l="1"/>
  <c r="AMW12" i="6"/>
  <c r="AMX12" i="6" l="1"/>
  <c r="AMW14" i="6"/>
  <c r="AMX14" i="6" l="1"/>
  <c r="AMY12" i="6"/>
  <c r="AMZ12" i="6" l="1"/>
  <c r="AMY14" i="6"/>
  <c r="ANA12" i="6" l="1"/>
  <c r="AMZ14" i="6"/>
  <c r="ANA14" i="6" l="1"/>
  <c r="ANB12" i="6"/>
  <c r="ANB14" i="6" l="1"/>
  <c r="ANC12" i="6"/>
  <c r="ANC14" i="6" l="1"/>
  <c r="AND12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I14" i="6" l="1"/>
  <c r="ANJ12" i="6"/>
  <c r="ANK12" i="6" l="1"/>
  <c r="ANJ14" i="6"/>
  <c r="ANL12" i="6" l="1"/>
  <c r="ANK14" i="6"/>
  <c r="ANL14" i="6" l="1"/>
  <c r="ANM12" i="6"/>
  <c r="ANM14" i="6" l="1"/>
  <c r="ANN12" i="6"/>
  <c r="ANO12" i="6" l="1"/>
  <c r="ANN14" i="6"/>
  <c r="ANO14" i="6" l="1"/>
  <c r="ANP12" i="6"/>
  <c r="ANQ12" i="6" l="1"/>
  <c r="ANP14" i="6"/>
  <c r="ANR12" i="6" l="1"/>
  <c r="ANQ14" i="6"/>
  <c r="ANR14" i="6" l="1"/>
  <c r="ANS12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X14" i="6" l="1"/>
  <c r="ANY12" i="6"/>
  <c r="ANY14" i="6" l="1"/>
  <c r="ANZ12" i="6"/>
  <c r="ANZ14" i="6" l="1"/>
  <c r="AOA12" i="6"/>
  <c r="AOA14" i="6" l="1"/>
  <c r="AOB12" i="6"/>
  <c r="AOC12" i="6" l="1"/>
  <c r="AOB14" i="6"/>
  <c r="AOD12" i="6" l="1"/>
  <c r="AOC14" i="6"/>
  <c r="AOE12" i="6" l="1"/>
  <c r="AOD14" i="6"/>
  <c r="AOE14" i="6" l="1"/>
  <c r="AOF12" i="6"/>
  <c r="AOG12" i="6" l="1"/>
  <c r="AOF14" i="6"/>
  <c r="AOG14" i="6" l="1"/>
  <c r="AOH12" i="6"/>
  <c r="AOI12" i="6" l="1"/>
  <c r="AOH14" i="6"/>
  <c r="AOJ12" i="6" l="1"/>
  <c r="AOI14" i="6"/>
  <c r="AOK12" i="6" l="1"/>
  <c r="AOJ14" i="6"/>
  <c r="AOL12" i="6" l="1"/>
  <c r="AOK14" i="6"/>
  <c r="AOL14" i="6" l="1"/>
  <c r="AOM12" i="6"/>
  <c r="AON12" i="6" l="1"/>
  <c r="AOM14" i="6"/>
  <c r="AON14" i="6" l="1"/>
  <c r="AOO12" i="6"/>
  <c r="AOP12" i="6" l="1"/>
  <c r="AOO14" i="6"/>
  <c r="AOQ12" i="6" l="1"/>
  <c r="AOP14" i="6"/>
  <c r="AOQ14" i="6" l="1"/>
  <c r="AOR12" i="6"/>
  <c r="AOR14" i="6" l="1"/>
  <c r="AOS12" i="6"/>
  <c r="AOT12" i="6" l="1"/>
  <c r="AOS14" i="6"/>
  <c r="AOU12" i="6" l="1"/>
  <c r="AOT14" i="6"/>
  <c r="AOV12" i="6" l="1"/>
  <c r="AOU14" i="6"/>
  <c r="AOW12" i="6" l="1"/>
  <c r="AOV14" i="6"/>
  <c r="AOW14" i="6" l="1"/>
  <c r="AOX12" i="6"/>
  <c r="AOY12" i="6" l="1"/>
  <c r="AOX14" i="6"/>
  <c r="AOY14" i="6" l="1"/>
  <c r="AOZ12" i="6"/>
  <c r="AOZ14" i="6" l="1"/>
  <c r="APA12" i="6"/>
  <c r="APB12" i="6" l="1"/>
  <c r="APA14" i="6"/>
  <c r="APB14" i="6" l="1"/>
  <c r="APC12" i="6"/>
  <c r="APD12" i="6" l="1"/>
  <c r="APC14" i="6"/>
  <c r="APE12" i="6" l="1"/>
  <c r="APD14" i="6"/>
  <c r="APE14" i="6" l="1"/>
  <c r="APF12" i="6"/>
  <c r="APG12" i="6" l="1"/>
  <c r="APF14" i="6"/>
  <c r="APH12" i="6" l="1"/>
  <c r="APG14" i="6"/>
  <c r="APH14" i="6" l="1"/>
  <c r="API12" i="6"/>
  <c r="APJ12" i="6" l="1"/>
  <c r="API14" i="6"/>
  <c r="APK12" i="6" l="1"/>
  <c r="APJ14" i="6"/>
  <c r="APL12" i="6" l="1"/>
  <c r="APK14" i="6"/>
  <c r="APL14" i="6" l="1"/>
  <c r="APM12" i="6"/>
  <c r="APN12" i="6" l="1"/>
  <c r="APM14" i="6"/>
  <c r="APO12" i="6" l="1"/>
  <c r="APN14" i="6"/>
  <c r="APP12" i="6" l="1"/>
  <c r="APO14" i="6"/>
  <c r="APP14" i="6" l="1"/>
  <c r="APQ12" i="6"/>
  <c r="APR12" i="6" l="1"/>
  <c r="APQ14" i="6"/>
  <c r="APR14" i="6" l="1"/>
  <c r="APS12" i="6"/>
  <c r="APT12" i="6" l="1"/>
  <c r="APS14" i="6"/>
  <c r="APU12" i="6" l="1"/>
  <c r="APT14" i="6"/>
  <c r="APU14" i="6" l="1"/>
  <c r="APV12" i="6"/>
  <c r="APW12" i="6" l="1"/>
  <c r="APV14" i="6"/>
  <c r="APX12" i="6" l="1"/>
  <c r="APW14" i="6"/>
  <c r="APX14" i="6" l="1"/>
  <c r="APY12" i="6"/>
  <c r="APZ12" i="6" l="1"/>
  <c r="APY14" i="6"/>
  <c r="AQA12" i="6" l="1"/>
  <c r="APZ14" i="6"/>
  <c r="AQA14" i="6" l="1"/>
  <c r="AQB12" i="6"/>
  <c r="AQC12" i="6" l="1"/>
  <c r="AQB14" i="6"/>
  <c r="AQD12" i="6" l="1"/>
  <c r="AQC14" i="6"/>
  <c r="AQE12" i="6" l="1"/>
  <c r="AQD14" i="6"/>
  <c r="AQF12" i="6" l="1"/>
  <c r="AQE14" i="6"/>
  <c r="AQF14" i="6" l="1"/>
  <c r="AQG12" i="6"/>
  <c r="AQH12" i="6" l="1"/>
  <c r="AQG14" i="6"/>
  <c r="AQH14" i="6" l="1"/>
  <c r="AQI12" i="6"/>
  <c r="AQJ12" i="6" l="1"/>
  <c r="AQI14" i="6"/>
  <c r="AQJ14" i="6" l="1"/>
  <c r="AQK12" i="6"/>
  <c r="AQL12" i="6" l="1"/>
  <c r="AQK14" i="6"/>
  <c r="AQL14" i="6" l="1"/>
  <c r="AQM12" i="6"/>
  <c r="AQN12" i="6" l="1"/>
  <c r="AQM14" i="6"/>
  <c r="AQO12" i="6" l="1"/>
  <c r="AQN14" i="6"/>
  <c r="AQO14" i="6" l="1"/>
  <c r="AQP12" i="6"/>
  <c r="AQQ12" i="6" l="1"/>
  <c r="AQP14" i="6"/>
  <c r="AQR12" i="6" l="1"/>
  <c r="AQQ14" i="6"/>
  <c r="AQS12" i="6" l="1"/>
  <c r="AQR14" i="6"/>
  <c r="AQT12" i="6" l="1"/>
  <c r="AQS14" i="6"/>
  <c r="AQT14" i="6" l="1"/>
  <c r="AQU12" i="6"/>
  <c r="AQU14" i="6" l="1"/>
  <c r="AQV12" i="6"/>
  <c r="AQW12" i="6" l="1"/>
  <c r="AQV14" i="6"/>
  <c r="AQX12" i="6" l="1"/>
  <c r="AQW14" i="6"/>
  <c r="AQY12" i="6" l="1"/>
  <c r="AQX14" i="6"/>
  <c r="AQY14" i="6" l="1"/>
  <c r="AQZ12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E14" i="6" l="1"/>
  <c r="ARF12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L14" i="6" l="1"/>
  <c r="ARM12" i="6"/>
  <c r="ARM14" i="6" l="1"/>
  <c r="ARN12" i="6"/>
  <c r="ARO12" i="6" l="1"/>
  <c r="ARN14" i="6"/>
  <c r="ARP12" i="6" l="1"/>
  <c r="ARO14" i="6"/>
  <c r="ARQ12" i="6" l="1"/>
  <c r="ARP14" i="6"/>
  <c r="ARQ14" i="6" l="1"/>
  <c r="ARR12" i="6"/>
  <c r="ARS12" i="6" l="1"/>
  <c r="ARR14" i="6"/>
  <c r="ART12" i="6" l="1"/>
  <c r="ARS14" i="6"/>
  <c r="ART14" i="6" l="1"/>
  <c r="ARU12" i="6"/>
  <c r="ARV12" i="6" l="1"/>
  <c r="ARU14" i="6"/>
  <c r="ARW12" i="6" l="1"/>
  <c r="ARV14" i="6"/>
  <c r="ARX12" i="6" l="1"/>
  <c r="ARW14" i="6"/>
  <c r="ARY12" i="6" l="1"/>
  <c r="ARX14" i="6"/>
  <c r="ARY14" i="6" l="1"/>
  <c r="ARZ12" i="6"/>
  <c r="ASA12" i="6" l="1"/>
  <c r="ARZ14" i="6"/>
  <c r="ASB12" i="6" l="1"/>
  <c r="ASA14" i="6"/>
  <c r="ASC12" i="6" l="1"/>
  <c r="ASB14" i="6"/>
  <c r="ASC14" i="6" l="1"/>
  <c r="ASD12" i="6"/>
  <c r="ASE12" i="6" l="1"/>
  <c r="ASD14" i="6"/>
  <c r="ASF12" i="6" l="1"/>
  <c r="ASE14" i="6"/>
  <c r="ASG12" i="6" l="1"/>
  <c r="ASF14" i="6"/>
  <c r="ASH12" i="6" l="1"/>
  <c r="ASG14" i="6"/>
  <c r="ASH14" i="6" l="1"/>
  <c r="ASI12" i="6"/>
  <c r="ASJ12" i="6" l="1"/>
  <c r="ASI14" i="6"/>
  <c r="ASJ14" i="6" l="1"/>
  <c r="ASK12" i="6"/>
  <c r="ASL12" i="6" l="1"/>
  <c r="ASK14" i="6"/>
  <c r="ASL14" i="6" l="1"/>
  <c r="ASM12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R14" i="6" l="1"/>
  <c r="ASS12" i="6"/>
  <c r="AST12" i="6" l="1"/>
  <c r="ASS14" i="6"/>
  <c r="ASU12" i="6" l="1"/>
  <c r="AST14" i="6"/>
  <c r="ASV12" i="6" l="1"/>
  <c r="ASU14" i="6"/>
  <c r="ASV14" i="6" l="1"/>
  <c r="ASW12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F14" i="6" l="1"/>
  <c r="ATG12" i="6"/>
  <c r="ATH12" i="6" l="1"/>
  <c r="ATG14" i="6"/>
  <c r="ATH14" i="6" l="1"/>
  <c r="ATI12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O14" i="6" l="1"/>
  <c r="ATP12" i="6"/>
  <c r="ATQ12" i="6" l="1"/>
  <c r="ATP14" i="6"/>
  <c r="ATR12" i="6" l="1"/>
  <c r="ATQ14" i="6"/>
  <c r="ATR14" i="6" l="1"/>
  <c r="ATS12" i="6"/>
  <c r="ATS14" i="6" l="1"/>
  <c r="ATT12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Y14" i="6" l="1"/>
  <c r="ATZ12" i="6"/>
  <c r="AUA12" i="6" l="1"/>
  <c r="ATZ14" i="6"/>
  <c r="AUB12" i="6" l="1"/>
  <c r="AUA14" i="6"/>
  <c r="AUC12" i="6" l="1"/>
  <c r="AUB14" i="6"/>
  <c r="AUD12" i="6" l="1"/>
  <c r="AUC14" i="6"/>
  <c r="AUD14" i="6" l="1"/>
  <c r="AUE12" i="6"/>
  <c r="AUE14" i="6" l="1"/>
  <c r="AUF12" i="6"/>
  <c r="AUF14" i="6" l="1"/>
  <c r="AUG12" i="6"/>
  <c r="AUH12" i="6" l="1"/>
  <c r="AUG14" i="6"/>
  <c r="AUI12" i="6" l="1"/>
  <c r="AUH14" i="6"/>
  <c r="AUJ12" i="6" l="1"/>
  <c r="AUI14" i="6"/>
  <c r="AUJ14" i="6" l="1"/>
  <c r="AUK12" i="6"/>
  <c r="AUL12" i="6" l="1"/>
  <c r="AUK14" i="6"/>
  <c r="AUL14" i="6" l="1"/>
  <c r="AUM12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R14" i="6" l="1"/>
  <c r="AUS12" i="6"/>
  <c r="AUS14" i="6" l="1"/>
  <c r="AUT12" i="6"/>
  <c r="AUT14" i="6" l="1"/>
  <c r="AUU12" i="6"/>
  <c r="AUV12" i="6" l="1"/>
  <c r="AUU14" i="6"/>
  <c r="AUW12" i="6" l="1"/>
  <c r="AUV14" i="6"/>
  <c r="AUW14" i="6" l="1"/>
  <c r="AUX12" i="6"/>
  <c r="AUX14" i="6" l="1"/>
  <c r="AUY12" i="6"/>
  <c r="AUZ12" i="6" l="1"/>
  <c r="AUY14" i="6"/>
  <c r="AVA12" i="6" l="1"/>
  <c r="AUZ14" i="6"/>
  <c r="AVB12" i="6" l="1"/>
  <c r="AVA14" i="6"/>
  <c r="AVB14" i="6" l="1"/>
  <c r="AVC12" i="6"/>
  <c r="AVC14" i="6" l="1"/>
  <c r="AVD12" i="6"/>
  <c r="AVE12" i="6" l="1"/>
  <c r="AVD14" i="6"/>
  <c r="AVF12" i="6" l="1"/>
  <c r="AVE14" i="6"/>
  <c r="AVF14" i="6" l="1"/>
  <c r="AVG12" i="6"/>
  <c r="AVH12" i="6" l="1"/>
  <c r="AVG14" i="6"/>
  <c r="AVI12" i="6" l="1"/>
  <c r="AVH14" i="6"/>
  <c r="AVI14" i="6" l="1"/>
  <c r="AVJ12" i="6"/>
  <c r="AVJ14" i="6" l="1"/>
  <c r="AVK12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P14" i="6" l="1"/>
  <c r="AVQ12" i="6"/>
  <c r="AVR12" i="6" l="1"/>
  <c r="AVQ14" i="6"/>
  <c r="AVR14" i="6" l="1"/>
  <c r="AVS12" i="6"/>
  <c r="AVS14" i="6" l="1"/>
  <c r="AVT12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Y14" i="6" l="1"/>
  <c r="AVZ12" i="6"/>
  <c r="AWA12" i="6" l="1"/>
  <c r="AVZ14" i="6"/>
  <c r="AWB12" i="6" l="1"/>
  <c r="AWA14" i="6"/>
  <c r="AWB14" i="6" l="1"/>
  <c r="AWC12" i="6"/>
  <c r="AWC14" i="6" l="1"/>
  <c r="AWD12" i="6"/>
  <c r="AWE12" i="6" l="1"/>
  <c r="AWD14" i="6"/>
  <c r="AWE14" i="6" l="1"/>
  <c r="AWF12" i="6"/>
  <c r="AWF14" i="6" l="1"/>
  <c r="AWG12" i="6"/>
  <c r="AWH12" i="6" l="1"/>
  <c r="AWG14" i="6"/>
  <c r="AWI12" i="6" l="1"/>
  <c r="AWH14" i="6"/>
  <c r="AWJ12" i="6" l="1"/>
  <c r="AWI14" i="6"/>
  <c r="AWK12" i="6" l="1"/>
  <c r="AWJ14" i="6"/>
  <c r="AWK14" i="6" l="1"/>
  <c r="AWL12" i="6"/>
  <c r="AWM12" i="6" l="1"/>
  <c r="AWL14" i="6"/>
  <c r="AWM14" i="6" l="1"/>
  <c r="AWN12" i="6"/>
  <c r="AWO12" i="6" l="1"/>
  <c r="AWN14" i="6"/>
  <c r="AWO14" i="6" l="1"/>
  <c r="AWP12" i="6"/>
  <c r="AWP14" i="6" l="1"/>
  <c r="AWQ12" i="6"/>
  <c r="AWQ14" i="6" l="1"/>
  <c r="AWR12" i="6"/>
  <c r="AWR14" i="6" l="1"/>
  <c r="AWS12" i="6"/>
  <c r="AWT12" i="6" l="1"/>
  <c r="AWS14" i="6"/>
  <c r="AWT14" i="6" l="1"/>
  <c r="AWU12" i="6"/>
  <c r="AWV12" i="6" l="1"/>
  <c r="AWU14" i="6"/>
  <c r="AWW12" i="6" l="1"/>
  <c r="AWV14" i="6"/>
  <c r="AWW14" i="6" l="1"/>
  <c r="AWX12" i="6"/>
  <c r="AWY12" i="6" l="1"/>
  <c r="AWX14" i="6"/>
  <c r="AWZ12" i="6" l="1"/>
  <c r="AWY14" i="6"/>
  <c r="AXA12" i="6" l="1"/>
  <c r="AWZ14" i="6"/>
  <c r="AXA14" i="6" l="1"/>
  <c r="AXB12" i="6"/>
  <c r="AXC12" i="6" l="1"/>
  <c r="AXB14" i="6"/>
  <c r="AXC14" i="6" l="1"/>
  <c r="AXD12" i="6"/>
  <c r="AXE12" i="6" l="1"/>
  <c r="AXD14" i="6"/>
  <c r="AXE14" i="6" l="1"/>
  <c r="AXF12" i="6"/>
  <c r="AXG12" i="6" l="1"/>
  <c r="AXF14" i="6"/>
  <c r="AXG14" i="6" l="1"/>
  <c r="AXH12" i="6"/>
  <c r="AXH14" i="6" l="1"/>
  <c r="AXI12" i="6"/>
  <c r="AXI14" i="6" l="1"/>
  <c r="AXJ12" i="6"/>
  <c r="AXJ14" i="6" l="1"/>
  <c r="AXK12" i="6"/>
  <c r="AXL12" i="6" l="1"/>
  <c r="AXK14" i="6"/>
  <c r="AXM12" i="6" l="1"/>
  <c r="AXL14" i="6"/>
  <c r="AXN12" i="6" l="1"/>
  <c r="AXM14" i="6"/>
  <c r="AXO12" i="6" l="1"/>
  <c r="AXN14" i="6"/>
  <c r="AXO14" i="6" l="1"/>
  <c r="AXP12" i="6"/>
  <c r="AXP14" i="6" l="1"/>
  <c r="AXQ12" i="6"/>
  <c r="AXR12" i="6" l="1"/>
  <c r="AXQ14" i="6"/>
  <c r="AXR14" i="6" l="1"/>
  <c r="AXS12" i="6"/>
  <c r="AXT12" i="6" l="1"/>
  <c r="AXS14" i="6"/>
  <c r="AXT14" i="6" l="1"/>
  <c r="AXU12" i="6"/>
  <c r="AXU14" i="6" l="1"/>
  <c r="AXV12" i="6"/>
  <c r="AXW12" i="6" l="1"/>
  <c r="AXV14" i="6"/>
  <c r="AXW14" i="6" l="1"/>
  <c r="AXX12" i="6"/>
  <c r="AXY12" i="6" l="1"/>
  <c r="AXX14" i="6"/>
  <c r="AXZ12" i="6" l="1"/>
  <c r="AXY14" i="6"/>
  <c r="AYA12" i="6" l="1"/>
  <c r="AXZ14" i="6"/>
  <c r="AYA14" i="6" l="1"/>
  <c r="AYB12" i="6"/>
  <c r="AYB14" i="6" l="1"/>
  <c r="AYC12" i="6"/>
  <c r="AYD12" i="6" l="1"/>
  <c r="AYC14" i="6"/>
  <c r="AYE12" i="6" l="1"/>
  <c r="AYD14" i="6"/>
  <c r="AYF12" i="6" l="1"/>
  <c r="AYE14" i="6"/>
  <c r="AYG12" i="6" l="1"/>
  <c r="AYF14" i="6"/>
  <c r="AYG14" i="6" l="1"/>
  <c r="AYH12" i="6"/>
  <c r="AYI12" i="6" l="1"/>
  <c r="AYH14" i="6"/>
  <c r="AYJ12" i="6" l="1"/>
  <c r="AYI14" i="6"/>
  <c r="AYJ14" i="6" l="1"/>
  <c r="AYK12" i="6"/>
  <c r="AYK14" i="6" l="1"/>
  <c r="AYL12" i="6"/>
  <c r="AYM12" i="6" l="1"/>
  <c r="AYL14" i="6"/>
  <c r="AYM14" i="6" l="1"/>
  <c r="AYN12" i="6"/>
  <c r="AYO12" i="6" l="1"/>
  <c r="AYN14" i="6"/>
  <c r="AYO14" i="6" l="1"/>
  <c r="AYP12" i="6"/>
  <c r="AYQ12" i="6" l="1"/>
  <c r="AYP14" i="6"/>
  <c r="AYR12" i="6" l="1"/>
  <c r="AYQ14" i="6"/>
  <c r="AYR14" i="6" l="1"/>
  <c r="AYS12" i="6"/>
  <c r="AYS14" i="6" l="1"/>
  <c r="AYT12" i="6"/>
  <c r="AYU12" i="6" l="1"/>
  <c r="AYT14" i="6"/>
  <c r="AYV12" i="6" l="1"/>
  <c r="AYU14" i="6"/>
  <c r="AYW12" i="6" l="1"/>
  <c r="AYV14" i="6"/>
  <c r="AYW14" i="6" l="1"/>
  <c r="AYX12" i="6"/>
  <c r="AYY12" i="6" l="1"/>
  <c r="AYX14" i="6"/>
  <c r="AYY14" i="6" l="1"/>
  <c r="AYZ12" i="6"/>
  <c r="AZA12" i="6" l="1"/>
  <c r="AYZ14" i="6"/>
  <c r="AZB12" i="6" l="1"/>
  <c r="AZA14" i="6"/>
  <c r="AZC12" i="6" l="1"/>
  <c r="AZB14" i="6"/>
  <c r="AZC14" i="6" l="1"/>
  <c r="AZD12" i="6"/>
  <c r="AZD14" i="6" l="1"/>
  <c r="AZE12" i="6"/>
  <c r="AZF12" i="6" l="1"/>
  <c r="AZE14" i="6"/>
  <c r="AZF14" i="6" l="1"/>
  <c r="AZG12" i="6"/>
  <c r="AZG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<sst xmlns="http://schemas.openxmlformats.org/spreadsheetml/2006/main" count="934" uniqueCount="543">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</sst>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4099829.98</c:v>
                </c:pt>
                <c:pt idx="45">
                  <c:v>4101173.5</c:v>
                </c:pt>
                <c:pt idx="46">
                  <c:v>4254195.21</c:v>
                </c:pt>
                <c:pt idx="47">
                  <c:v>4262295.21</c:v>
                </c:pt>
                <c:pt idx="48">
                  <c:v>4277587.28</c:v>
                </c:pt>
                <c:pt idx="49">
                  <c:v>4278437.28</c:v>
                </c:pt>
                <c:pt idx="50">
                  <c:v>4525457.28</c:v>
                </c:pt>
                <c:pt idx="51">
                  <c:v>4533166.4800000004</c:v>
                </c:pt>
                <c:pt idx="52">
                  <c:v>4545416.4800000004</c:v>
                </c:pt>
                <c:pt idx="53">
                  <c:v>4567258.49</c:v>
                </c:pt>
                <c:pt idx="54">
                  <c:v>4567818.49</c:v>
                </c:pt>
                <c:pt idx="55">
                  <c:v>4567818.49</c:v>
                </c:pt>
                <c:pt idx="56">
                  <c:v>4567818.49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1302217.449308109</c:v>
                </c:pt>
                <c:pt idx="45">
                  <c:v>1300873.929308109</c:v>
                </c:pt>
                <c:pt idx="46">
                  <c:v>1147852.219308109</c:v>
                </c:pt>
                <c:pt idx="47">
                  <c:v>1775287.2109914161</c:v>
                </c:pt>
                <c:pt idx="48">
                  <c:v>1759995.1409914158</c:v>
                </c:pt>
                <c:pt idx="49">
                  <c:v>1759145.1409914158</c:v>
                </c:pt>
                <c:pt idx="50">
                  <c:v>1512125.1409914158</c:v>
                </c:pt>
                <c:pt idx="51">
                  <c:v>1504415.9409914156</c:v>
                </c:pt>
                <c:pt idx="52">
                  <c:v>1492165.9409914156</c:v>
                </c:pt>
                <c:pt idx="53">
                  <c:v>1470323.9309914159</c:v>
                </c:pt>
                <c:pt idx="54">
                  <c:v>1469763.9309914159</c:v>
                </c:pt>
                <c:pt idx="55">
                  <c:v>1787531.426833069</c:v>
                </c:pt>
                <c:pt idx="56">
                  <c:v>1787531.426833069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626745</xdr:colOff>
      <xdr:row>52</xdr:row>
      <xdr:rowOff>18573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731712962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Installation LV Panel - 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4.45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5"/>
  <cols>
    <col min="1" max="1" width="6" customWidth="1"/>
    <col min="2" max="2" width="21.140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86"/>
      <c r="H3" s="724"/>
      <c r="I3" s="725"/>
      <c r="J3" s="725"/>
      <c r="K3" s="725"/>
      <c r="L3" s="725"/>
      <c r="M3" s="725"/>
      <c r="N3" s="725"/>
      <c r="O3" s="726"/>
    </row>
    <row r="4" spans="2:15">
      <c r="B4" s="687" t="s">
        <v>60</v>
      </c>
      <c r="C4" s="688" t="str">
        <f>'Project Plan'!E2</f>
        <v>Blackheath Park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7" t="s">
        <v>61</v>
      </c>
      <c r="C5" s="688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7" t="s">
        <v>63</v>
      </c>
      <c r="C6" s="688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7" t="s">
        <v>65</v>
      </c>
      <c r="C7" s="688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86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9" t="s">
        <v>69</v>
      </c>
      <c r="C11" s="719" t="s">
        <v>70</v>
      </c>
      <c r="D11" s="719"/>
      <c r="E11" s="719"/>
    </row>
    <row r="12" spans="2:15">
      <c r="B12" s="689" t="s">
        <v>71</v>
      </c>
      <c r="C12" s="719" t="s">
        <v>72</v>
      </c>
      <c r="D12" s="719"/>
      <c r="E12" s="719"/>
    </row>
    <row r="13" spans="2:15">
      <c r="B13" s="689" t="s">
        <v>73</v>
      </c>
      <c r="C13" s="719" t="s">
        <v>70</v>
      </c>
      <c r="D13" s="719"/>
      <c r="E13" s="719"/>
    </row>
    <row r="14" spans="2:15">
      <c r="B14" s="689" t="s">
        <v>74</v>
      </c>
      <c r="C14" s="719" t="s">
        <v>72</v>
      </c>
      <c r="D14" s="719"/>
      <c r="E14" s="719"/>
    </row>
    <row r="15" spans="2:15">
      <c r="B15" s="689" t="s">
        <v>75</v>
      </c>
      <c r="C15" s="719" t="s">
        <v>72</v>
      </c>
      <c r="D15" s="719"/>
      <c r="E15" s="719"/>
    </row>
    <row r="16" spans="2:15" ht="15" customHeight="1">
      <c r="B16" s="689" t="s">
        <v>76</v>
      </c>
      <c r="C16" s="719" t="s">
        <v>77</v>
      </c>
      <c r="D16" s="719"/>
      <c r="E16" s="719"/>
    </row>
    <row r="17" spans="2:5">
      <c r="B17" s="686"/>
    </row>
    <row r="18" spans="2:5">
      <c r="B18" s="731" t="s">
        <v>78</v>
      </c>
      <c r="C18" s="731"/>
      <c r="D18" s="731"/>
      <c r="E18" s="731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5.855468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0.28515625" customWidth="1"/>
    <col min="11" max="11" width="75.140625" customWidth="1"/>
  </cols>
  <sheetData>
    <row r="1" spans="2:15">
      <c r="B1" s="732"/>
      <c r="C1" s="733"/>
      <c r="D1" s="733"/>
      <c r="E1" s="733"/>
      <c r="F1" s="734" t="s">
        <v>86</v>
      </c>
      <c r="G1" s="734"/>
      <c r="H1" s="734"/>
      <c r="I1" s="734"/>
      <c r="J1" s="734"/>
      <c r="K1" s="735"/>
      <c r="L1" s="77"/>
      <c r="M1" s="77"/>
      <c r="N1" s="77"/>
      <c r="O1" s="77"/>
    </row>
    <row r="2" spans="2:15" ht="6.75" customHeight="1"/>
    <row r="3" spans="2:15" ht="43.15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855468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B1" zoomScale="85" zoomScaleNormal="85" workbookViewId="0">
      <selection activeCell="O42" sqref="O42"/>
    </sheetView>
  </sheetViews>
  <sheetFormatPr defaultColWidth="8.42578125" defaultRowHeight="13.9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1406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46083</v>
      </c>
      <c r="O1" s="396">
        <f ca="1">TODAY()</f>
        <v>46083</v>
      </c>
      <c r="Q1" s="3"/>
    </row>
    <row r="2" spans="2:28">
      <c r="B2" s="168"/>
      <c r="C2" s="169" t="s">
        <v>0</v>
      </c>
      <c r="D2" s="170"/>
      <c r="E2" s="739" t="s">
        <v>129</v>
      </c>
      <c r="F2" s="740"/>
      <c r="G2" s="740"/>
      <c r="H2" s="741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42" t="s">
        <v>132</v>
      </c>
      <c r="F4" s="743"/>
      <c r="G4" s="743"/>
      <c r="H4" s="744"/>
      <c r="Q4" s="3"/>
    </row>
    <row r="5" spans="2:28" s="112" customFormat="1">
      <c r="B5" s="171"/>
      <c r="C5" s="172" t="s">
        <v>133</v>
      </c>
      <c r="D5" s="170"/>
      <c r="E5" s="742" t="s">
        <v>134</v>
      </c>
      <c r="F5" s="743"/>
      <c r="G5" s="743"/>
      <c r="H5" s="744"/>
      <c r="J5" s="113"/>
      <c r="Q5" s="3"/>
    </row>
    <row r="6" spans="2:28">
      <c r="B6" s="176"/>
      <c r="C6" s="177" t="s">
        <v>135</v>
      </c>
      <c r="D6" s="170"/>
      <c r="E6" s="745">
        <v>6355349.9168330701</v>
      </c>
      <c r="F6" s="746"/>
      <c r="G6" s="746"/>
      <c r="H6" s="747"/>
      <c r="M6" s="24"/>
      <c r="N6" s="649" t="s">
        <v>136</v>
      </c>
      <c r="O6" s="650">
        <v>45869</v>
      </c>
    </row>
    <row r="7" spans="2:28" s="112" customFormat="1" ht="14.45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736" t="s">
        <v>139</v>
      </c>
      <c r="C8" s="737" t="s">
        <v>140</v>
      </c>
      <c r="D8" s="207"/>
      <c r="E8" s="738" t="s">
        <v>141</v>
      </c>
      <c r="F8" s="229" t="s">
        <v>142</v>
      </c>
      <c r="G8" s="738" t="s">
        <v>143</v>
      </c>
      <c r="H8" s="230"/>
      <c r="I8" s="738" t="s">
        <v>144</v>
      </c>
      <c r="J8" s="229" t="s">
        <v>142</v>
      </c>
      <c r="K8" s="738" t="s">
        <v>145</v>
      </c>
      <c r="M8" s="403" t="s">
        <v>93</v>
      </c>
      <c r="N8" s="676" t="s">
        <v>146</v>
      </c>
      <c r="O8" s="748" t="s">
        <v>147</v>
      </c>
      <c r="Z8" s="112"/>
      <c r="AA8" s="112"/>
      <c r="AB8" s="112"/>
    </row>
    <row r="9" spans="2:28">
      <c r="B9" s="736"/>
      <c r="C9" s="737"/>
      <c r="D9" s="207"/>
      <c r="E9" s="738"/>
      <c r="F9" s="126">
        <f>G42-E19</f>
        <v>85</v>
      </c>
      <c r="G9" s="738"/>
      <c r="H9" s="230"/>
      <c r="I9" s="738"/>
      <c r="J9" s="127">
        <f>K42-I19</f>
        <v>80</v>
      </c>
      <c r="K9" s="738"/>
      <c r="M9" s="354">
        <f>AVERAGE(M11,M18,M21,M28,M36,M40,M47,M44)</f>
        <v>1</v>
      </c>
      <c r="N9" s="354">
        <f ca="1">AVERAGE(N11,N18,N21,N28,N36,N40,N47,N44)</f>
        <v>1</v>
      </c>
      <c r="O9" s="749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(J30*M30+J31*M31+J32*M32+J33*M33+J34*M34)/SUM(J30:J34)</f>
        <v>1</v>
      </c>
      <c r="N28" s="353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1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/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1</v>
      </c>
      <c r="N53" s="246">
        <f t="shared" ca="1" si="6"/>
        <v>1</v>
      </c>
      <c r="O53" s="122"/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L2" sqref="L2"/>
    </sheetView>
  </sheetViews>
  <sheetFormatPr defaultColWidth="8.42578125" defaultRowHeight="14.4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7109375" style="129" bestFit="1" customWidth="1"/>
    <col min="9" max="9" width="1.7109375" style="129" customWidth="1"/>
    <col min="10" max="10" width="3.42578125" style="93" customWidth="1"/>
    <col min="11" max="11" width="1.7109375" style="167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5" width="15.140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15">
      <c r="B3" s="117"/>
      <c r="D3" s="125" t="s">
        <v>205</v>
      </c>
      <c r="F3" s="125" t="s">
        <v>206</v>
      </c>
      <c r="J3" s="142"/>
      <c r="L3" s="401" t="s">
        <v>207</v>
      </c>
      <c r="N3" s="401" t="s">
        <v>208</v>
      </c>
      <c r="S3" s="142"/>
      <c r="T3" s="684" t="s">
        <v>209</v>
      </c>
      <c r="U3" s="684" t="s">
        <v>210</v>
      </c>
      <c r="V3" s="684" t="s">
        <v>211</v>
      </c>
      <c r="W3" s="684" t="s">
        <v>212</v>
      </c>
      <c r="X3" s="684" t="s">
        <v>213</v>
      </c>
      <c r="Y3" s="684" t="s">
        <v>214</v>
      </c>
    </row>
    <row r="4" spans="1:25" s="93" customFormat="1" ht="13.15">
      <c r="B4" s="344">
        <v>1</v>
      </c>
      <c r="C4" s="345" t="s">
        <v>215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216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1246554.349141004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1247604.9939604136</v>
      </c>
    </row>
    <row r="5" spans="1:25" s="93" customFormat="1" ht="15" customHeight="1">
      <c r="B5" s="344">
        <v>2</v>
      </c>
      <c r="C5" s="345" t="s">
        <v>217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218</v>
      </c>
      <c r="H5" s="684" t="s">
        <v>219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220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221</v>
      </c>
      <c r="S6" s="142"/>
    </row>
    <row r="7" spans="1:25" s="93" customFormat="1" ht="15" customHeight="1" thickBot="1">
      <c r="B7" s="344">
        <v>4</v>
      </c>
      <c r="C7" s="345" t="s">
        <v>222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15">
      <c r="B10" s="128" t="s">
        <v>223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5">
      <c r="B12" s="132" t="s">
        <v>139</v>
      </c>
      <c r="C12" s="133" t="s">
        <v>224</v>
      </c>
      <c r="D12" s="134"/>
      <c r="E12" s="132" t="s">
        <v>225</v>
      </c>
      <c r="F12" s="132" t="s">
        <v>226</v>
      </c>
      <c r="H12" s="349" t="s">
        <v>227</v>
      </c>
      <c r="J12" s="142"/>
      <c r="L12" s="158" t="s">
        <v>228</v>
      </c>
      <c r="M12" s="135"/>
      <c r="N12" s="158" t="s">
        <v>229</v>
      </c>
      <c r="O12" s="129"/>
      <c r="P12" s="158" t="s">
        <v>230</v>
      </c>
      <c r="R12" s="370" t="s">
        <v>231</v>
      </c>
      <c r="S12" s="142"/>
    </row>
    <row r="13" spans="1:25" s="93" customFormat="1" ht="13.15">
      <c r="B13" s="344">
        <v>1</v>
      </c>
      <c r="C13" s="752" t="s">
        <v>232</v>
      </c>
      <c r="D13" s="753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233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15">
      <c r="B14" s="155">
        <v>2</v>
      </c>
      <c r="C14" s="752" t="s">
        <v>234</v>
      </c>
      <c r="D14" s="753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235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15">
      <c r="B15" s="344">
        <v>3</v>
      </c>
      <c r="C15" s="752" t="s">
        <v>236</v>
      </c>
      <c r="D15" s="753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235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15">
      <c r="B16" s="344">
        <v>4</v>
      </c>
      <c r="C16" s="750" t="s">
        <v>194</v>
      </c>
      <c r="D16" s="751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237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3.15">
      <c r="B17" s="344">
        <v>5</v>
      </c>
      <c r="C17" s="750" t="s">
        <v>54</v>
      </c>
      <c r="D17" s="751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238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3.15">
      <c r="B18" s="344">
        <v>6</v>
      </c>
      <c r="C18" s="750" t="s">
        <v>239</v>
      </c>
      <c r="D18" s="751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15">
      <c r="B19" s="344">
        <v>7</v>
      </c>
      <c r="C19" s="752" t="s">
        <v>239</v>
      </c>
      <c r="D19" s="753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1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240</v>
      </c>
      <c r="C23" s="146" t="s">
        <v>241</v>
      </c>
      <c r="D23" s="146"/>
      <c r="F23" s="147"/>
      <c r="L23" s="116">
        <f>F13*1.15</f>
        <v>2558028.3415253102</v>
      </c>
    </row>
    <row r="24" spans="2:19" s="93" customFormat="1" ht="13.15">
      <c r="C24" s="148" t="s">
        <v>242</v>
      </c>
      <c r="D24" s="149"/>
      <c r="F24" s="150"/>
    </row>
    <row r="25" spans="2:19" s="93" customFormat="1" ht="13.15">
      <c r="C25" s="148" t="s">
        <v>243</v>
      </c>
      <c r="D25" s="149"/>
    </row>
    <row r="26" spans="2:19" s="93" customFormat="1" ht="13.15">
      <c r="C26" s="151" t="s">
        <v>244</v>
      </c>
      <c r="D26" s="152"/>
    </row>
    <row r="27" spans="2:19" s="93" customFormat="1" ht="13.15">
      <c r="C27" s="153" t="s">
        <v>245</v>
      </c>
      <c r="D27" s="149"/>
    </row>
    <row r="28" spans="2:19" s="93" customFormat="1" ht="13.15">
      <c r="B28" s="117"/>
      <c r="C28" s="153" t="s">
        <v>246</v>
      </c>
      <c r="D28" s="149"/>
    </row>
    <row r="29" spans="2:19" s="93" customFormat="1" ht="13.15">
      <c r="B29" s="117"/>
      <c r="C29" s="93" t="s">
        <v>247</v>
      </c>
    </row>
    <row r="30" spans="2:19" s="93" customFormat="1" ht="27.75" customHeight="1">
      <c r="B30" s="117"/>
      <c r="C30" s="154" t="s">
        <v>248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54" t="s">
        <v>154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249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250</v>
      </c>
      <c r="C5" s="76"/>
      <c r="D5" s="76"/>
      <c r="E5" s="76"/>
      <c r="F5" s="71"/>
    </row>
    <row r="6" spans="2:10">
      <c r="B6" s="74" t="s">
        <v>251</v>
      </c>
      <c r="C6" s="76"/>
      <c r="D6" s="76"/>
      <c r="E6" s="76"/>
      <c r="F6" s="71"/>
    </row>
    <row r="7" spans="2:10">
      <c r="B7" s="74" t="s">
        <v>252</v>
      </c>
      <c r="C7" s="76"/>
      <c r="D7" s="76"/>
      <c r="E7" s="76"/>
      <c r="F7" s="71"/>
    </row>
    <row r="8" spans="2:10">
      <c r="B8" s="74" t="s">
        <v>253</v>
      </c>
      <c r="C8" s="76"/>
      <c r="D8" s="76"/>
      <c r="E8" s="76"/>
      <c r="F8" s="71"/>
    </row>
    <row r="9" spans="2:10">
      <c r="B9" s="75" t="s">
        <v>254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255</v>
      </c>
      <c r="C16" s="755"/>
      <c r="D16" s="755"/>
      <c r="E16" s="755"/>
      <c r="F16" s="756"/>
    </row>
    <row r="17" spans="2:6" ht="15" thickTop="1"/>
    <row r="18" spans="2:6">
      <c r="B18" s="72" t="s">
        <v>249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256</v>
      </c>
      <c r="C19" s="76"/>
      <c r="D19" s="76"/>
      <c r="E19" s="76"/>
      <c r="F19" s="71"/>
    </row>
    <row r="20" spans="2:6">
      <c r="B20" s="74" t="s">
        <v>257</v>
      </c>
      <c r="C20" s="76"/>
      <c r="D20" s="76"/>
      <c r="E20" s="76"/>
      <c r="F20" s="71"/>
    </row>
    <row r="21" spans="2:6">
      <c r="B21" s="74" t="s">
        <v>258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259</v>
      </c>
      <c r="F2" s="83" t="s">
        <v>260</v>
      </c>
    </row>
    <row r="3" spans="3:8">
      <c r="C3" s="79">
        <v>45658</v>
      </c>
      <c r="D3" s="73" t="s">
        <v>261</v>
      </c>
      <c r="F3" s="81" t="s">
        <v>262</v>
      </c>
    </row>
    <row r="4" spans="3:8">
      <c r="C4" s="79">
        <v>45737</v>
      </c>
      <c r="D4" s="73" t="s">
        <v>263</v>
      </c>
      <c r="F4" s="81" t="s">
        <v>264</v>
      </c>
    </row>
    <row r="5" spans="3:8">
      <c r="C5" s="79">
        <v>45765</v>
      </c>
      <c r="D5" s="73" t="s">
        <v>265</v>
      </c>
      <c r="F5" s="81" t="s">
        <v>266</v>
      </c>
    </row>
    <row r="6" spans="3:8" ht="13.9" thickBot="1">
      <c r="C6" s="79">
        <v>45768</v>
      </c>
      <c r="D6" s="73" t="s">
        <v>267</v>
      </c>
      <c r="F6" s="82" t="s">
        <v>268</v>
      </c>
    </row>
    <row r="7" spans="3:8">
      <c r="C7" s="79">
        <v>45774</v>
      </c>
      <c r="D7" s="73" t="s">
        <v>269</v>
      </c>
    </row>
    <row r="8" spans="3:8">
      <c r="C8" s="79">
        <v>45765</v>
      </c>
      <c r="D8" s="73" t="s">
        <v>270</v>
      </c>
    </row>
    <row r="9" spans="3:8">
      <c r="C9" s="79">
        <v>45778</v>
      </c>
      <c r="D9" s="73" t="s">
        <v>271</v>
      </c>
    </row>
    <row r="10" spans="3:8">
      <c r="C10" s="79">
        <v>45824</v>
      </c>
      <c r="D10" s="73" t="s">
        <v>272</v>
      </c>
    </row>
    <row r="11" spans="3:8">
      <c r="C11" s="79">
        <v>45878</v>
      </c>
      <c r="D11" s="73" t="s">
        <v>273</v>
      </c>
    </row>
    <row r="12" spans="3:8">
      <c r="C12" s="79">
        <v>45924</v>
      </c>
      <c r="D12" s="73" t="s">
        <v>274</v>
      </c>
    </row>
    <row r="13" spans="3:8">
      <c r="C13" s="79">
        <v>46007</v>
      </c>
      <c r="D13" s="73" t="s">
        <v>275</v>
      </c>
      <c r="F13" s="85"/>
      <c r="H13" s="73" t="s">
        <v>276</v>
      </c>
    </row>
    <row r="14" spans="3:8">
      <c r="C14" s="79">
        <v>46016</v>
      </c>
      <c r="D14" s="73" t="s">
        <v>277</v>
      </c>
    </row>
    <row r="15" spans="3:8" ht="13.9" thickBot="1">
      <c r="C15" s="80">
        <v>46017</v>
      </c>
      <c r="D15" s="73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279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5" thickBot="1">
      <c r="A4" s="207"/>
      <c r="B4" s="757"/>
      <c r="C4" s="757"/>
      <c r="D4" s="757"/>
      <c r="E4" s="405"/>
      <c r="F4" s="212" t="s">
        <v>205</v>
      </c>
      <c r="G4" s="207"/>
      <c r="H4" s="212" t="s">
        <v>206</v>
      </c>
      <c r="I4" s="207"/>
      <c r="J4" s="213" t="s">
        <v>280</v>
      </c>
      <c r="K4" s="112"/>
      <c r="L4" s="112"/>
    </row>
    <row r="5" spans="1:12" ht="14.45" thickBot="1">
      <c r="A5" s="207"/>
      <c r="B5" s="758" t="s">
        <v>281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139</v>
      </c>
      <c r="C7" s="218"/>
      <c r="D7" s="217" t="s">
        <v>106</v>
      </c>
      <c r="E7" s="218"/>
      <c r="F7" s="219" t="s">
        <v>282</v>
      </c>
      <c r="G7" s="220"/>
      <c r="H7" s="219" t="s">
        <v>283</v>
      </c>
      <c r="I7" s="220"/>
      <c r="J7" s="219" t="s">
        <v>284</v>
      </c>
      <c r="K7" s="164"/>
      <c r="L7" s="115" t="s">
        <v>285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286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abSelected="1" topLeftCell="L1" zoomScale="70" zoomScaleNormal="70" workbookViewId="0">
      <pane ySplit="4" topLeftCell="A55" activePane="bottomLeft" state="frozen"/>
      <selection pane="bottomLeft" activeCell="Z72" sqref="Z71:Z72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140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140625" style="112" customWidth="1"/>
    <col min="25" max="25" width="29.425781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80" t="s">
        <v>287</v>
      </c>
      <c r="C2" s="781"/>
      <c r="D2" s="781"/>
      <c r="E2" s="781"/>
      <c r="F2" s="781"/>
      <c r="G2" s="781"/>
      <c r="H2" s="494"/>
      <c r="I2" s="250">
        <f>SUM(I6:I176)</f>
        <v>5466419.9740652163</v>
      </c>
      <c r="J2" s="250">
        <f>SUM(J6:J176)</f>
        <v>6355349.9168330664</v>
      </c>
      <c r="L2" s="782" t="s">
        <v>288</v>
      </c>
      <c r="M2" s="783"/>
      <c r="N2" s="783"/>
      <c r="O2" s="783"/>
      <c r="P2" s="783"/>
      <c r="Q2" s="783"/>
      <c r="R2" s="784" t="s">
        <v>289</v>
      </c>
      <c r="S2" s="785"/>
      <c r="T2" s="785"/>
      <c r="U2" s="785"/>
      <c r="V2" s="785"/>
      <c r="W2" s="786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290</v>
      </c>
      <c r="C4" s="252" t="s">
        <v>291</v>
      </c>
      <c r="D4" s="252" t="s">
        <v>292</v>
      </c>
      <c r="E4" s="252" t="s">
        <v>293</v>
      </c>
      <c r="F4" s="457" t="s">
        <v>294</v>
      </c>
      <c r="G4" s="253" t="s">
        <v>295</v>
      </c>
      <c r="H4" s="364" t="s">
        <v>296</v>
      </c>
      <c r="I4" s="254" t="s">
        <v>297</v>
      </c>
      <c r="J4" s="254" t="str">
        <f>IF(J2-'Revenue Tracking'!D4&gt;=0, "Total Revenue", "ERROR on REV" )</f>
        <v>ERROR on REV</v>
      </c>
      <c r="K4" s="157"/>
      <c r="L4" s="251" t="s">
        <v>290</v>
      </c>
      <c r="M4" s="252" t="s">
        <v>298</v>
      </c>
      <c r="N4" s="252" t="s">
        <v>292</v>
      </c>
      <c r="O4" s="252" t="s">
        <v>293</v>
      </c>
      <c r="P4" s="457" t="s">
        <v>294</v>
      </c>
      <c r="Q4" s="365" t="s">
        <v>299</v>
      </c>
      <c r="R4" s="622" t="s">
        <v>300</v>
      </c>
      <c r="S4" s="623" t="s">
        <v>228</v>
      </c>
      <c r="T4" s="647" t="s">
        <v>229</v>
      </c>
      <c r="U4" s="648" t="s">
        <v>301</v>
      </c>
      <c r="V4" s="365" t="s">
        <v>302</v>
      </c>
      <c r="W4" s="647" t="s">
        <v>303</v>
      </c>
      <c r="X4" s="472" t="s">
        <v>297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304</v>
      </c>
      <c r="D6" s="274" t="s">
        <v>305</v>
      </c>
      <c r="E6" s="275"/>
      <c r="F6" s="429"/>
      <c r="G6" s="383">
        <f>D177</f>
        <v>1702080.56</v>
      </c>
      <c r="H6" s="526">
        <f>'Project Plan'!E37+60</f>
        <v>45898</v>
      </c>
      <c r="I6" s="774">
        <f>SUM(G6:G11)</f>
        <v>1702080.56</v>
      </c>
      <c r="J6" s="774">
        <f>F177</f>
        <v>1979163.4418604653</v>
      </c>
      <c r="K6" s="380"/>
      <c r="L6" s="273">
        <v>1</v>
      </c>
      <c r="M6" s="409" t="s">
        <v>306</v>
      </c>
      <c r="N6" s="274" t="s">
        <v>307</v>
      </c>
      <c r="O6" s="646">
        <v>1356</v>
      </c>
      <c r="P6" s="429">
        <v>1168.2</v>
      </c>
      <c r="Q6" s="383">
        <f>O6*P6</f>
        <v>1584079.2</v>
      </c>
      <c r="R6" s="588" t="s">
        <v>308</v>
      </c>
      <c r="S6" s="625" t="s">
        <v>309</v>
      </c>
      <c r="T6" s="653">
        <v>45838</v>
      </c>
      <c r="U6" s="657">
        <v>1979163.4418604653</v>
      </c>
      <c r="V6" s="762">
        <f>J6-SUM(U6:U11)</f>
        <v>0</v>
      </c>
      <c r="W6" s="526">
        <v>45900</v>
      </c>
      <c r="X6" s="759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310</v>
      </c>
      <c r="E7" s="382"/>
      <c r="F7" s="451"/>
      <c r="G7" s="307"/>
      <c r="H7" s="527"/>
      <c r="I7" s="775"/>
      <c r="J7" s="775"/>
      <c r="K7" s="280"/>
      <c r="L7" s="303">
        <v>1</v>
      </c>
      <c r="M7" s="305" t="s">
        <v>306</v>
      </c>
      <c r="N7" s="381" t="s">
        <v>311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312</v>
      </c>
      <c r="T7" s="696">
        <v>45991</v>
      </c>
      <c r="U7" s="657">
        <v>0</v>
      </c>
      <c r="V7" s="763"/>
      <c r="W7" s="707">
        <v>46037</v>
      </c>
      <c r="X7" s="760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75"/>
      <c r="J8" s="775"/>
      <c r="K8" s="280"/>
      <c r="L8" s="303">
        <v>1</v>
      </c>
      <c r="M8" s="305" t="s">
        <v>306</v>
      </c>
      <c r="N8" s="477" t="s">
        <v>313</v>
      </c>
      <c r="O8" s="552"/>
      <c r="P8" s="436"/>
      <c r="Q8" s="307">
        <v>700</v>
      </c>
      <c r="R8" s="589"/>
      <c r="S8" s="626" t="s">
        <v>312</v>
      </c>
      <c r="T8" s="696">
        <v>45991</v>
      </c>
      <c r="U8" s="657">
        <v>0</v>
      </c>
      <c r="V8" s="763"/>
      <c r="W8" s="707">
        <v>46037</v>
      </c>
      <c r="X8" s="760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75"/>
      <c r="J9" s="775"/>
      <c r="K9" s="280"/>
      <c r="L9" s="303">
        <v>1</v>
      </c>
      <c r="M9" s="305" t="s">
        <v>306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63"/>
      <c r="W9" s="574"/>
      <c r="X9" s="760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75"/>
      <c r="J10" s="775"/>
      <c r="K10" s="280"/>
      <c r="L10" s="303">
        <v>1</v>
      </c>
      <c r="M10" s="305" t="s">
        <v>306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63"/>
      <c r="W10" s="574"/>
      <c r="X10" s="760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76"/>
      <c r="J11" s="776"/>
      <c r="K11" s="281"/>
      <c r="L11" s="308">
        <v>1</v>
      </c>
      <c r="M11" s="411" t="s">
        <v>306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4"/>
      <c r="W11" s="575"/>
      <c r="X11" s="761"/>
      <c r="Y11" s="606" t="s">
        <v>314</v>
      </c>
      <c r="Z11" s="607" t="s">
        <v>315</v>
      </c>
    </row>
    <row r="12" spans="1:76" ht="14.4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316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317</v>
      </c>
      <c r="E13" s="357"/>
      <c r="F13" s="449"/>
      <c r="G13" s="288">
        <f>D178</f>
        <v>420000</v>
      </c>
      <c r="H13" s="531">
        <f>'Project Plan'!E22+60</f>
        <v>45898</v>
      </c>
      <c r="I13" s="771">
        <f>SUM(G13:G19)</f>
        <v>420000</v>
      </c>
      <c r="J13" s="771">
        <f>F178</f>
        <v>488372.09302325582</v>
      </c>
      <c r="K13" s="289"/>
      <c r="L13" s="285">
        <v>2</v>
      </c>
      <c r="M13" s="412" t="s">
        <v>318</v>
      </c>
      <c r="N13" s="311" t="s">
        <v>319</v>
      </c>
      <c r="O13" s="555">
        <v>6</v>
      </c>
      <c r="P13" s="449">
        <v>68870.357999999993</v>
      </c>
      <c r="Q13" s="288">
        <v>413222.15</v>
      </c>
      <c r="R13" s="593" t="s">
        <v>308</v>
      </c>
      <c r="S13" s="630" t="s">
        <v>309</v>
      </c>
      <c r="T13" s="654">
        <f>T6</f>
        <v>45838</v>
      </c>
      <c r="U13" s="658">
        <v>488372.09302325582</v>
      </c>
      <c r="V13" s="765">
        <f>J13-SUM(U13:U19)</f>
        <v>0</v>
      </c>
      <c r="W13" s="531">
        <f>W6</f>
        <v>45900</v>
      </c>
      <c r="X13" s="768">
        <f>SUM(Q13:Q19)</f>
        <v>413222.15</v>
      </c>
      <c r="Y13" s="608" t="s">
        <v>320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72"/>
      <c r="J14" s="772"/>
      <c r="K14" s="293"/>
      <c r="L14" s="290">
        <v>2</v>
      </c>
      <c r="M14" s="418" t="s">
        <v>318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6"/>
      <c r="W14" s="578"/>
      <c r="X14" s="769"/>
      <c r="Y14" s="608" t="s">
        <v>321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72"/>
      <c r="J15" s="772"/>
      <c r="K15" s="293"/>
      <c r="L15" s="290">
        <v>2</v>
      </c>
      <c r="M15" s="418" t="s">
        <v>318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6"/>
      <c r="W15" s="578"/>
      <c r="X15" s="769"/>
      <c r="Y15" s="608" t="s">
        <v>322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72"/>
      <c r="J16" s="772"/>
      <c r="K16" s="293"/>
      <c r="L16" s="290">
        <v>2</v>
      </c>
      <c r="M16" s="418" t="s">
        <v>318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6"/>
      <c r="W16" s="578"/>
      <c r="X16" s="769"/>
      <c r="Y16" s="608" t="s">
        <v>323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72"/>
      <c r="J17" s="772"/>
      <c r="K17" s="293"/>
      <c r="L17" s="290">
        <v>2</v>
      </c>
      <c r="M17" s="418" t="s">
        <v>318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6"/>
      <c r="W17" s="578"/>
      <c r="X17" s="769"/>
      <c r="Y17" s="608" t="s">
        <v>324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72"/>
      <c r="J18" s="772"/>
      <c r="K18" s="293"/>
      <c r="L18" s="290">
        <v>2</v>
      </c>
      <c r="M18" s="418" t="s">
        <v>318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6"/>
      <c r="W18" s="578"/>
      <c r="X18" s="769"/>
      <c r="Y18" s="608" t="s">
        <v>325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73"/>
      <c r="J19" s="773"/>
      <c r="K19" s="298"/>
      <c r="L19" s="387">
        <v>2</v>
      </c>
      <c r="M19" s="413" t="s">
        <v>318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7"/>
      <c r="W19" s="579"/>
      <c r="X19" s="770"/>
      <c r="Y19" s="608" t="s">
        <v>326</v>
      </c>
      <c r="Z19" s="609">
        <v>0</v>
      </c>
    </row>
    <row r="20" spans="1:28" ht="14.4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327</v>
      </c>
      <c r="D21" s="319" t="s">
        <v>328</v>
      </c>
      <c r="E21" s="275"/>
      <c r="F21" s="429"/>
      <c r="G21" s="276">
        <f>D179</f>
        <v>320128</v>
      </c>
      <c r="H21" s="534">
        <f>'Project Plan'!E30+30</f>
        <v>45910</v>
      </c>
      <c r="I21" s="774">
        <f>SUM(G21:G26)</f>
        <v>320128</v>
      </c>
      <c r="J21" s="774">
        <f>F179</f>
        <v>372241.86046511628</v>
      </c>
      <c r="K21" s="277"/>
      <c r="L21" s="273">
        <v>3</v>
      </c>
      <c r="M21" s="414" t="s">
        <v>329</v>
      </c>
      <c r="N21" s="319" t="s">
        <v>330</v>
      </c>
      <c r="O21" s="550"/>
      <c r="P21" s="429"/>
      <c r="Q21" s="276">
        <v>161835</v>
      </c>
      <c r="R21" s="596" t="s">
        <v>331</v>
      </c>
      <c r="S21" s="633" t="s">
        <v>332</v>
      </c>
      <c r="T21" s="663">
        <v>45869</v>
      </c>
      <c r="U21" s="657">
        <v>372241.86046511628</v>
      </c>
      <c r="V21" s="762">
        <f>J21-SUM(U21:U26)</f>
        <v>0</v>
      </c>
      <c r="W21" s="534">
        <v>45899</v>
      </c>
      <c r="X21" s="759">
        <f>SUM(Q21:Q26)</f>
        <v>161835</v>
      </c>
      <c r="Y21" s="608" t="s">
        <v>333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75"/>
      <c r="J22" s="775"/>
      <c r="K22" s="280"/>
      <c r="L22" s="303">
        <v>3</v>
      </c>
      <c r="M22" s="415" t="s">
        <v>329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63"/>
      <c r="W22" s="573"/>
      <c r="X22" s="760"/>
      <c r="Y22" s="608" t="s">
        <v>334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75"/>
      <c r="J23" s="775"/>
      <c r="K23" s="280"/>
      <c r="L23" s="303">
        <v>3</v>
      </c>
      <c r="M23" s="415" t="s">
        <v>329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63"/>
      <c r="W23" s="573"/>
      <c r="X23" s="760"/>
      <c r="Y23" s="608" t="s">
        <v>335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75"/>
      <c r="J24" s="775"/>
      <c r="K24" s="280"/>
      <c r="L24" s="303">
        <v>3</v>
      </c>
      <c r="M24" s="415" t="s">
        <v>329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63"/>
      <c r="W24" s="574"/>
      <c r="X24" s="760"/>
      <c r="Y24" s="613" t="s">
        <v>336</v>
      </c>
      <c r="Z24" s="611">
        <f>Z23/'Project Plan'!$E$3/1000</f>
        <v>2.121794930253623</v>
      </c>
      <c r="AB24" s="114" t="s">
        <v>337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75"/>
      <c r="J25" s="775"/>
      <c r="K25" s="280"/>
      <c r="L25" s="303">
        <v>3</v>
      </c>
      <c r="M25" s="415" t="s">
        <v>329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63"/>
      <c r="W25" s="574"/>
      <c r="X25" s="760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76"/>
      <c r="J26" s="776"/>
      <c r="K26" s="281"/>
      <c r="L26" s="308">
        <v>3</v>
      </c>
      <c r="M26" s="416" t="s">
        <v>329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4"/>
      <c r="W26" s="575"/>
      <c r="X26" s="761"/>
      <c r="Y26" s="614" t="s">
        <v>338</v>
      </c>
      <c r="Z26" s="615" t="s">
        <v>339</v>
      </c>
    </row>
    <row r="27" spans="1:28" ht="14.4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320</v>
      </c>
      <c r="D28" s="286" t="s">
        <v>340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71">
        <f>SUM(G28:G44)</f>
        <v>635424.19999999995</v>
      </c>
      <c r="J28" s="771">
        <f>F180</f>
        <v>738865.34883720928</v>
      </c>
      <c r="K28" s="289"/>
      <c r="L28" s="285">
        <v>4</v>
      </c>
      <c r="M28" s="417" t="s">
        <v>341</v>
      </c>
      <c r="N28" s="286" t="s">
        <v>342</v>
      </c>
      <c r="O28" s="547">
        <v>20000</v>
      </c>
      <c r="P28" s="449">
        <v>13.5</v>
      </c>
      <c r="Q28" s="288">
        <f>O28*P28</f>
        <v>270000</v>
      </c>
      <c r="R28" s="593" t="s">
        <v>308</v>
      </c>
      <c r="S28" s="630" t="s">
        <v>309</v>
      </c>
      <c r="T28" s="654">
        <f>T6</f>
        <v>45838</v>
      </c>
      <c r="U28" s="658">
        <v>371547.09388589539</v>
      </c>
      <c r="V28" s="765">
        <f>J28-SUM(U28:U44)</f>
        <v>1.0556925553828478E-4</v>
      </c>
      <c r="W28" s="531">
        <f>W6</f>
        <v>45900</v>
      </c>
      <c r="X28" s="768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343</v>
      </c>
      <c r="E29" s="386"/>
      <c r="F29" s="445"/>
      <c r="G29" s="642">
        <f>D180-G28</f>
        <v>381324.19999999995</v>
      </c>
      <c r="H29" s="532">
        <f>H28</f>
        <v>45898</v>
      </c>
      <c r="I29" s="772"/>
      <c r="J29" s="772"/>
      <c r="K29" s="293"/>
      <c r="L29" s="290">
        <v>4</v>
      </c>
      <c r="M29" s="418" t="s">
        <v>341</v>
      </c>
      <c r="N29" s="400" t="s">
        <v>344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345</v>
      </c>
      <c r="T29" s="677">
        <v>45930</v>
      </c>
      <c r="U29" s="693">
        <v>0</v>
      </c>
      <c r="V29" s="766"/>
      <c r="W29" s="678">
        <v>45930</v>
      </c>
      <c r="X29" s="769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72"/>
      <c r="J30" s="772"/>
      <c r="K30" s="293"/>
      <c r="L30" s="290">
        <v>4</v>
      </c>
      <c r="M30" s="418" t="s">
        <v>341</v>
      </c>
      <c r="N30" s="400" t="s">
        <v>346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347</v>
      </c>
      <c r="T30" s="677">
        <v>45961</v>
      </c>
      <c r="U30" s="693">
        <v>0</v>
      </c>
      <c r="V30" s="766"/>
      <c r="W30" s="532">
        <v>46003</v>
      </c>
      <c r="X30" s="769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72"/>
      <c r="J31" s="772"/>
      <c r="K31" s="293"/>
      <c r="L31" s="290">
        <v>4</v>
      </c>
      <c r="M31" s="418" t="s">
        <v>341</v>
      </c>
      <c r="N31" s="400" t="s">
        <v>346</v>
      </c>
      <c r="O31" s="556"/>
      <c r="P31" s="445"/>
      <c r="Q31" s="292">
        <v>246400</v>
      </c>
      <c r="R31" s="594"/>
      <c r="S31" s="631" t="s">
        <v>348</v>
      </c>
      <c r="T31" s="677">
        <v>45991</v>
      </c>
      <c r="U31" s="693">
        <v>0</v>
      </c>
      <c r="V31" s="766"/>
      <c r="W31" s="678">
        <v>46031</v>
      </c>
      <c r="X31" s="769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72"/>
      <c r="J32" s="772"/>
      <c r="K32" s="293"/>
      <c r="L32" s="290">
        <v>4</v>
      </c>
      <c r="M32" s="418" t="s">
        <v>341</v>
      </c>
      <c r="N32" s="400" t="s">
        <v>349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350</v>
      </c>
      <c r="T32" s="677">
        <v>45991</v>
      </c>
      <c r="U32" s="693">
        <v>0</v>
      </c>
      <c r="V32" s="766"/>
      <c r="W32" s="678">
        <v>45991</v>
      </c>
      <c r="X32" s="769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72"/>
      <c r="J33" s="772"/>
      <c r="K33" s="293"/>
      <c r="L33" s="290">
        <v>4</v>
      </c>
      <c r="M33" s="418" t="s">
        <v>341</v>
      </c>
      <c r="N33" s="400" t="s">
        <v>351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350</v>
      </c>
      <c r="T33" s="677">
        <v>45991</v>
      </c>
      <c r="U33" s="693">
        <v>0</v>
      </c>
      <c r="V33" s="766"/>
      <c r="W33" s="678">
        <v>45991</v>
      </c>
      <c r="X33" s="769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72"/>
      <c r="J34" s="772"/>
      <c r="K34" s="293"/>
      <c r="L34" s="290">
        <v>4</v>
      </c>
      <c r="M34" s="418" t="s">
        <v>341</v>
      </c>
      <c r="N34" s="400" t="s">
        <v>352</v>
      </c>
      <c r="O34" s="567">
        <f>Z28</f>
        <v>356584.25</v>
      </c>
      <c r="P34" s="568">
        <v>0.1</v>
      </c>
      <c r="Q34" s="292">
        <v>35658.43</v>
      </c>
      <c r="R34" s="777"/>
      <c r="S34" s="631" t="s">
        <v>353</v>
      </c>
      <c r="T34" s="665">
        <v>45869</v>
      </c>
      <c r="U34" s="658">
        <v>42048.26138055211</v>
      </c>
      <c r="V34" s="766"/>
      <c r="W34" s="532">
        <f>W93</f>
        <v>45899</v>
      </c>
      <c r="X34" s="769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72"/>
      <c r="J35" s="772"/>
      <c r="K35" s="293"/>
      <c r="L35" s="290">
        <v>4</v>
      </c>
      <c r="M35" s="418" t="s">
        <v>341</v>
      </c>
      <c r="N35" s="400" t="s">
        <v>159</v>
      </c>
      <c r="O35" s="556"/>
      <c r="P35" s="568">
        <v>0.15</v>
      </c>
      <c r="Q35" s="292">
        <v>53487.64</v>
      </c>
      <c r="R35" s="778"/>
      <c r="S35" s="631" t="s">
        <v>353</v>
      </c>
      <c r="T35" s="665">
        <v>45869</v>
      </c>
      <c r="U35" s="658">
        <v>63072.386174850493</v>
      </c>
      <c r="V35" s="766"/>
      <c r="W35" s="532">
        <f t="shared" ref="W35" si="2">W94</f>
        <v>45939</v>
      </c>
      <c r="X35" s="769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72"/>
      <c r="J36" s="772"/>
      <c r="K36" s="293"/>
      <c r="L36" s="290">
        <v>4</v>
      </c>
      <c r="M36" s="418" t="s">
        <v>341</v>
      </c>
      <c r="N36" s="400" t="s">
        <v>354</v>
      </c>
      <c r="O36" s="556"/>
      <c r="P36" s="568">
        <v>0.2</v>
      </c>
      <c r="Q36" s="292">
        <v>71316.850000000006</v>
      </c>
      <c r="R36" s="778"/>
      <c r="S36" s="631" t="s">
        <v>353</v>
      </c>
      <c r="T36" s="665">
        <v>45869</v>
      </c>
      <c r="U36" s="658">
        <v>84096.510969148891</v>
      </c>
      <c r="V36" s="766"/>
      <c r="W36" s="532">
        <v>45974</v>
      </c>
      <c r="X36" s="769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72"/>
      <c r="J37" s="772"/>
      <c r="K37" s="293"/>
      <c r="L37" s="290">
        <v>4</v>
      </c>
      <c r="M37" s="418" t="s">
        <v>341</v>
      </c>
      <c r="N37" s="400" t="s">
        <v>355</v>
      </c>
      <c r="O37" s="556"/>
      <c r="P37" s="568">
        <v>0.25</v>
      </c>
      <c r="Q37" s="292">
        <v>89146.05</v>
      </c>
      <c r="R37" s="778"/>
      <c r="S37" s="631" t="s">
        <v>353</v>
      </c>
      <c r="T37" s="665">
        <v>45869</v>
      </c>
      <c r="U37" s="658">
        <v>51956.323971491947</v>
      </c>
      <c r="V37" s="766"/>
      <c r="W37" s="678">
        <v>45980</v>
      </c>
      <c r="X37" s="769"/>
      <c r="Y37" s="616" t="s">
        <v>154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72"/>
      <c r="J38" s="772"/>
      <c r="K38" s="293"/>
      <c r="L38" s="290">
        <v>4</v>
      </c>
      <c r="M38" s="418" t="s">
        <v>341</v>
      </c>
      <c r="N38" s="400" t="s">
        <v>356</v>
      </c>
      <c r="O38" s="556"/>
      <c r="P38" s="568">
        <v>0.1</v>
      </c>
      <c r="Q38" s="292">
        <v>35658.43</v>
      </c>
      <c r="R38" s="778"/>
      <c r="S38" s="631" t="s">
        <v>353</v>
      </c>
      <c r="T38" s="665">
        <v>45869</v>
      </c>
      <c r="U38" s="658">
        <v>42048.26138055211</v>
      </c>
      <c r="V38" s="766"/>
      <c r="W38" s="678">
        <v>45989</v>
      </c>
      <c r="X38" s="769"/>
      <c r="Y38" s="616" t="s">
        <v>333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72"/>
      <c r="J39" s="772"/>
      <c r="K39" s="293"/>
      <c r="L39" s="290">
        <v>4</v>
      </c>
      <c r="M39" s="418" t="s">
        <v>341</v>
      </c>
      <c r="N39" s="400" t="s">
        <v>357</v>
      </c>
      <c r="O39" s="556"/>
      <c r="P39" s="568">
        <v>0.1</v>
      </c>
      <c r="Q39" s="292">
        <v>35658.43</v>
      </c>
      <c r="R39" s="778"/>
      <c r="S39" s="631" t="s">
        <v>353</v>
      </c>
      <c r="T39" s="665">
        <v>45869</v>
      </c>
      <c r="U39" s="658">
        <v>42048.26138055211</v>
      </c>
      <c r="V39" s="766"/>
      <c r="W39" s="678">
        <v>45989</v>
      </c>
      <c r="X39" s="769"/>
      <c r="Y39" s="616" t="s">
        <v>333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72"/>
      <c r="J40" s="772"/>
      <c r="K40" s="293"/>
      <c r="L40" s="290">
        <v>4</v>
      </c>
      <c r="M40" s="418" t="s">
        <v>341</v>
      </c>
      <c r="N40" s="400" t="s">
        <v>358</v>
      </c>
      <c r="O40" s="556"/>
      <c r="P40" s="568">
        <v>0.05</v>
      </c>
      <c r="Q40" s="292">
        <v>17829.21</v>
      </c>
      <c r="R40" s="778"/>
      <c r="S40" s="631" t="s">
        <v>353</v>
      </c>
      <c r="T40" s="665">
        <v>45869</v>
      </c>
      <c r="U40" s="658">
        <v>21024.12479429839</v>
      </c>
      <c r="V40" s="766"/>
      <c r="W40" s="532">
        <f>W100</f>
        <v>46003</v>
      </c>
      <c r="X40" s="769"/>
      <c r="Y40" s="616" t="s">
        <v>334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72"/>
      <c r="J41" s="772"/>
      <c r="K41" s="293"/>
      <c r="L41" s="290">
        <v>4</v>
      </c>
      <c r="M41" s="418" t="s">
        <v>341</v>
      </c>
      <c r="N41" s="400" t="s">
        <v>359</v>
      </c>
      <c r="O41" s="699">
        <f>Q41+Q68+Q128</f>
        <v>29121.71</v>
      </c>
      <c r="P41" s="568">
        <v>0.05</v>
      </c>
      <c r="Q41" s="292">
        <v>17829.21</v>
      </c>
      <c r="R41" s="779"/>
      <c r="S41" s="631" t="s">
        <v>353</v>
      </c>
      <c r="T41" s="665">
        <v>45869</v>
      </c>
      <c r="U41" s="658">
        <v>21024.12479429839</v>
      </c>
      <c r="V41" s="766"/>
      <c r="W41" s="578">
        <f>W101</f>
        <v>46085</v>
      </c>
      <c r="X41" s="769"/>
      <c r="Y41" s="619" t="s">
        <v>336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72"/>
      <c r="J42" s="772"/>
      <c r="K42" s="293"/>
      <c r="L42" s="290">
        <v>4</v>
      </c>
      <c r="M42" s="418" t="s">
        <v>341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6"/>
      <c r="W42" s="578"/>
      <c r="X42" s="769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72"/>
      <c r="J43" s="772"/>
      <c r="K43" s="293"/>
      <c r="L43" s="290">
        <v>4</v>
      </c>
      <c r="M43" s="418" t="s">
        <v>341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6"/>
      <c r="W43" s="578"/>
      <c r="X43" s="769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73"/>
      <c r="J44" s="773"/>
      <c r="K44" s="298"/>
      <c r="L44" s="294">
        <v>4</v>
      </c>
      <c r="M44" s="419" t="s">
        <v>341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7"/>
      <c r="W44" s="579"/>
      <c r="X44" s="770"/>
      <c r="Y44" s="474"/>
    </row>
    <row r="45" spans="1:26" ht="14.4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360</v>
      </c>
      <c r="D46" s="319" t="s">
        <v>361</v>
      </c>
      <c r="E46" s="275"/>
      <c r="F46" s="429"/>
      <c r="G46" s="276">
        <f>D182-G47</f>
        <v>34000</v>
      </c>
      <c r="H46" s="534">
        <v>45869</v>
      </c>
      <c r="I46" s="774">
        <f>SUM(G46:G53)</f>
        <v>49000</v>
      </c>
      <c r="J46" s="774">
        <f>F182</f>
        <v>56976.744186046511</v>
      </c>
      <c r="K46" s="277"/>
      <c r="L46" s="273">
        <v>5</v>
      </c>
      <c r="M46" s="414" t="s">
        <v>362</v>
      </c>
      <c r="N46" s="319" t="s">
        <v>363</v>
      </c>
      <c r="O46" s="550"/>
      <c r="P46" s="429"/>
      <c r="Q46" s="276">
        <v>8598.34</v>
      </c>
      <c r="R46" s="596" t="s">
        <v>308</v>
      </c>
      <c r="S46" s="633" t="s">
        <v>309</v>
      </c>
      <c r="T46" s="655">
        <f>T6</f>
        <v>45838</v>
      </c>
      <c r="U46" s="660">
        <v>3373.3923102699632</v>
      </c>
      <c r="V46" s="762">
        <f>J46-SUM(U46:U53)</f>
        <v>2.7633971330942586E-3</v>
      </c>
      <c r="W46" s="534">
        <f>W6</f>
        <v>45900</v>
      </c>
      <c r="X46" s="759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364</v>
      </c>
      <c r="E47" s="443"/>
      <c r="F47" s="444"/>
      <c r="G47" s="307">
        <v>15000</v>
      </c>
      <c r="H47" s="527">
        <f>H46</f>
        <v>45869</v>
      </c>
      <c r="I47" s="775"/>
      <c r="J47" s="775"/>
      <c r="K47" s="280"/>
      <c r="L47" s="278">
        <v>5</v>
      </c>
      <c r="M47" s="420" t="s">
        <v>362</v>
      </c>
      <c r="N47" s="279" t="s">
        <v>365</v>
      </c>
      <c r="O47" s="558"/>
      <c r="P47" s="444"/>
      <c r="Q47" s="307">
        <v>21628</v>
      </c>
      <c r="R47" s="643" t="s">
        <v>366</v>
      </c>
      <c r="S47" s="626" t="s">
        <v>367</v>
      </c>
      <c r="T47" s="655">
        <v>45838</v>
      </c>
      <c r="U47" s="660">
        <v>8485.3272709056364</v>
      </c>
      <c r="V47" s="763"/>
      <c r="W47" s="664">
        <v>45867</v>
      </c>
      <c r="X47" s="760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75"/>
      <c r="J48" s="775"/>
      <c r="K48" s="280"/>
      <c r="L48" s="278">
        <v>5</v>
      </c>
      <c r="M48" s="420" t="s">
        <v>362</v>
      </c>
      <c r="N48" s="305" t="s">
        <v>128</v>
      </c>
      <c r="O48" s="551"/>
      <c r="P48" s="451"/>
      <c r="Q48" s="307">
        <v>11169</v>
      </c>
      <c r="R48" s="589"/>
      <c r="S48" s="626" t="s">
        <v>368</v>
      </c>
      <c r="T48" s="655">
        <v>45869</v>
      </c>
      <c r="U48" s="660">
        <v>44834.550955435981</v>
      </c>
      <c r="V48" s="763"/>
      <c r="W48" s="655">
        <v>45869</v>
      </c>
      <c r="X48" s="760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75"/>
      <c r="J49" s="775"/>
      <c r="K49" s="280"/>
      <c r="L49" s="303">
        <v>5</v>
      </c>
      <c r="M49" s="420" t="s">
        <v>362</v>
      </c>
      <c r="N49" s="305" t="s">
        <v>369</v>
      </c>
      <c r="O49" s="551"/>
      <c r="P49" s="451"/>
      <c r="Q49" s="307">
        <v>206.98</v>
      </c>
      <c r="R49" s="589"/>
      <c r="S49" s="626" t="s">
        <v>370</v>
      </c>
      <c r="T49" s="655">
        <v>45869</v>
      </c>
      <c r="U49" s="660">
        <v>283.47088603779565</v>
      </c>
      <c r="V49" s="763"/>
      <c r="W49" s="527">
        <v>45898</v>
      </c>
      <c r="X49" s="760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75"/>
      <c r="J50" s="775"/>
      <c r="K50" s="280"/>
      <c r="L50" s="303">
        <v>5</v>
      </c>
      <c r="M50" s="420" t="s">
        <v>362</v>
      </c>
      <c r="N50" s="379" t="s">
        <v>371</v>
      </c>
      <c r="O50" s="552"/>
      <c r="P50" s="436"/>
      <c r="Q50" s="378">
        <v>2360</v>
      </c>
      <c r="R50" s="590" t="s">
        <v>372</v>
      </c>
      <c r="S50" s="627" t="s">
        <v>373</v>
      </c>
      <c r="T50" s="666">
        <v>45900</v>
      </c>
      <c r="U50" s="682">
        <v>0</v>
      </c>
      <c r="V50" s="763"/>
      <c r="W50" s="528">
        <v>45930</v>
      </c>
      <c r="X50" s="760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75"/>
      <c r="J51" s="775"/>
      <c r="K51" s="280"/>
      <c r="L51" s="303">
        <v>5</v>
      </c>
      <c r="M51" s="420" t="s">
        <v>362</v>
      </c>
      <c r="N51" s="379" t="s">
        <v>374</v>
      </c>
      <c r="O51" s="552"/>
      <c r="P51" s="436"/>
      <c r="Q51" s="378">
        <v>975</v>
      </c>
      <c r="R51" s="590"/>
      <c r="S51" s="627" t="s">
        <v>375</v>
      </c>
      <c r="T51" s="675">
        <v>45930</v>
      </c>
      <c r="U51" s="683">
        <v>0</v>
      </c>
      <c r="V51" s="763"/>
      <c r="W51" s="692">
        <v>45925</v>
      </c>
      <c r="X51" s="760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75"/>
      <c r="J52" s="775"/>
      <c r="K52" s="280"/>
      <c r="L52" s="375"/>
      <c r="M52" s="420" t="s">
        <v>362</v>
      </c>
      <c r="N52" s="379" t="s">
        <v>376</v>
      </c>
      <c r="O52" s="552"/>
      <c r="P52" s="436"/>
      <c r="Q52" s="378">
        <v>850</v>
      </c>
      <c r="R52" s="590"/>
      <c r="S52" s="627" t="s">
        <v>377</v>
      </c>
      <c r="T52" s="675">
        <v>46022</v>
      </c>
      <c r="U52" s="683"/>
      <c r="V52" s="763"/>
      <c r="W52" s="692">
        <v>46022</v>
      </c>
      <c r="X52" s="760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76"/>
      <c r="J53" s="776"/>
      <c r="K53" s="281"/>
      <c r="L53" s="308">
        <v>5</v>
      </c>
      <c r="M53" s="416" t="s">
        <v>362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4"/>
      <c r="W53" s="575"/>
      <c r="X53" s="761"/>
      <c r="Y53" s="474"/>
    </row>
    <row r="54" spans="1:25" ht="14.4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316</v>
      </c>
      <c r="D55" s="287" t="s">
        <v>378</v>
      </c>
      <c r="E55" s="467"/>
      <c r="F55" s="449"/>
      <c r="G55" s="288">
        <f>D181</f>
        <v>918851.93043478252</v>
      </c>
      <c r="H55" s="531">
        <v>45838</v>
      </c>
      <c r="I55" s="771">
        <f>SUM(G55:G71)</f>
        <v>918851.93043478252</v>
      </c>
      <c r="J55" s="771">
        <f>F181</f>
        <v>1134385.0993022006</v>
      </c>
      <c r="K55" s="289"/>
      <c r="L55" s="285">
        <v>6</v>
      </c>
      <c r="M55" s="423" t="s">
        <v>379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5">
        <f>J55-SUM(U55:U71)</f>
        <v>-2.729443134739995E-3</v>
      </c>
      <c r="W55" s="577"/>
      <c r="X55" s="768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72"/>
      <c r="J56" s="772"/>
      <c r="K56" s="293"/>
      <c r="L56" s="290">
        <v>6</v>
      </c>
      <c r="M56" s="421" t="s">
        <v>379</v>
      </c>
      <c r="N56" s="435" t="s">
        <v>120</v>
      </c>
      <c r="O56" s="556"/>
      <c r="P56" s="445"/>
      <c r="Q56" s="313">
        <v>177868.46</v>
      </c>
      <c r="R56" s="594" t="s">
        <v>380</v>
      </c>
      <c r="S56" s="631" t="s">
        <v>381</v>
      </c>
      <c r="T56" s="665">
        <v>45900</v>
      </c>
      <c r="U56" s="658">
        <v>399377.33147836546</v>
      </c>
      <c r="V56" s="766"/>
      <c r="W56" s="532">
        <v>45930</v>
      </c>
      <c r="X56" s="769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72"/>
      <c r="J57" s="772"/>
      <c r="K57" s="293"/>
      <c r="L57" s="290">
        <v>6</v>
      </c>
      <c r="M57" s="421" t="s">
        <v>379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6"/>
      <c r="W57" s="578"/>
      <c r="X57" s="769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72"/>
      <c r="J58" s="772"/>
      <c r="K58" s="293"/>
      <c r="L58" s="290">
        <v>6</v>
      </c>
      <c r="M58" s="421" t="s">
        <v>379</v>
      </c>
      <c r="N58" s="435" t="s">
        <v>382</v>
      </c>
      <c r="O58" s="567">
        <v>148321.32</v>
      </c>
      <c r="P58" s="651">
        <v>0.5</v>
      </c>
      <c r="Q58" s="313">
        <v>70885.66</v>
      </c>
      <c r="R58" s="777" t="s">
        <v>383</v>
      </c>
      <c r="S58" s="631" t="s">
        <v>384</v>
      </c>
      <c r="T58" s="665">
        <v>45961</v>
      </c>
      <c r="U58" s="693">
        <v>162840.03057415099</v>
      </c>
      <c r="V58" s="766"/>
      <c r="W58" s="532">
        <v>45841</v>
      </c>
      <c r="X58" s="769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72"/>
      <c r="J59" s="772"/>
      <c r="K59" s="293"/>
      <c r="L59" s="290">
        <v>6</v>
      </c>
      <c r="M59" s="421" t="s">
        <v>379</v>
      </c>
      <c r="N59" s="435"/>
      <c r="O59" s="556"/>
      <c r="P59" s="651">
        <v>0.5</v>
      </c>
      <c r="Q59" s="313">
        <v>70885.66</v>
      </c>
      <c r="R59" s="779"/>
      <c r="S59" s="631" t="s">
        <v>385</v>
      </c>
      <c r="T59" s="665">
        <v>45961</v>
      </c>
      <c r="U59" s="693">
        <v>162840.040574151</v>
      </c>
      <c r="V59" s="766"/>
      <c r="W59" s="532">
        <v>45989</v>
      </c>
      <c r="X59" s="769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72"/>
      <c r="J60" s="772"/>
      <c r="K60" s="293"/>
      <c r="L60" s="290">
        <v>6</v>
      </c>
      <c r="M60" s="421" t="s">
        <v>379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6"/>
      <c r="W60" s="578"/>
      <c r="X60" s="769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72"/>
      <c r="J61" s="772"/>
      <c r="K61" s="293"/>
      <c r="L61" s="290">
        <v>6</v>
      </c>
      <c r="M61" s="421" t="s">
        <v>379</v>
      </c>
      <c r="N61" s="400" t="s">
        <v>352</v>
      </c>
      <c r="O61" s="567">
        <f>Z27</f>
        <v>182300</v>
      </c>
      <c r="P61" s="568">
        <v>0.1</v>
      </c>
      <c r="Q61" s="292">
        <f>$O$61*P61</f>
        <v>18230</v>
      </c>
      <c r="R61" s="777"/>
      <c r="S61" s="631" t="s">
        <v>353</v>
      </c>
      <c r="T61" s="665">
        <v>45869</v>
      </c>
      <c r="U61" s="658">
        <v>40932.769940497616</v>
      </c>
      <c r="V61" s="766"/>
      <c r="W61" s="532">
        <f>W93</f>
        <v>45899</v>
      </c>
      <c r="X61" s="769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72"/>
      <c r="J62" s="772"/>
      <c r="K62" s="293"/>
      <c r="L62" s="290">
        <v>6</v>
      </c>
      <c r="M62" s="422" t="s">
        <v>379</v>
      </c>
      <c r="N62" s="400" t="s">
        <v>159</v>
      </c>
      <c r="O62" s="556"/>
      <c r="P62" s="568">
        <v>0.15</v>
      </c>
      <c r="Q62" s="292">
        <f t="shared" ref="Q62:Q68" si="3">$O$61*P62</f>
        <v>27345</v>
      </c>
      <c r="R62" s="778"/>
      <c r="S62" s="631" t="s">
        <v>353</v>
      </c>
      <c r="T62" s="665">
        <v>45869</v>
      </c>
      <c r="U62" s="658">
        <v>61399.154910746416</v>
      </c>
      <c r="V62" s="766"/>
      <c r="W62" s="532">
        <f t="shared" ref="W62" si="4">W94</f>
        <v>45939</v>
      </c>
      <c r="X62" s="769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72"/>
      <c r="J63" s="772"/>
      <c r="K63" s="293"/>
      <c r="L63" s="290">
        <v>6</v>
      </c>
      <c r="M63" s="422" t="s">
        <v>379</v>
      </c>
      <c r="N63" s="400" t="s">
        <v>354</v>
      </c>
      <c r="O63" s="556"/>
      <c r="P63" s="568">
        <v>0.2</v>
      </c>
      <c r="Q63" s="292">
        <f>$O$61*P63</f>
        <v>36460</v>
      </c>
      <c r="R63" s="778"/>
      <c r="S63" s="631" t="s">
        <v>353</v>
      </c>
      <c r="T63" s="665">
        <v>45869</v>
      </c>
      <c r="U63" s="658">
        <v>81865.539880995231</v>
      </c>
      <c r="V63" s="766"/>
      <c r="W63" s="532">
        <v>45974</v>
      </c>
      <c r="X63" s="769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72"/>
      <c r="J64" s="772"/>
      <c r="K64" s="293"/>
      <c r="L64" s="290">
        <v>6</v>
      </c>
      <c r="M64" s="422" t="s">
        <v>379</v>
      </c>
      <c r="N64" s="400" t="s">
        <v>355</v>
      </c>
      <c r="O64" s="556"/>
      <c r="P64" s="568">
        <v>0.25</v>
      </c>
      <c r="Q64" s="292">
        <f>$O$61*P64</f>
        <v>45575</v>
      </c>
      <c r="R64" s="778"/>
      <c r="S64" s="631" t="s">
        <v>353</v>
      </c>
      <c r="T64" s="665">
        <v>45869</v>
      </c>
      <c r="U64" s="658">
        <v>102331.92485124404</v>
      </c>
      <c r="V64" s="766"/>
      <c r="W64" s="678">
        <v>45980</v>
      </c>
      <c r="X64" s="769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72"/>
      <c r="J65" s="772"/>
      <c r="K65" s="293"/>
      <c r="L65" s="290">
        <v>6</v>
      </c>
      <c r="M65" s="422" t="s">
        <v>379</v>
      </c>
      <c r="N65" s="400" t="s">
        <v>356</v>
      </c>
      <c r="O65" s="556"/>
      <c r="P65" s="568">
        <v>0.1</v>
      </c>
      <c r="Q65" s="292">
        <f t="shared" si="3"/>
        <v>18230</v>
      </c>
      <c r="R65" s="778"/>
      <c r="S65" s="631" t="s">
        <v>353</v>
      </c>
      <c r="T65" s="665">
        <v>45869</v>
      </c>
      <c r="U65" s="658">
        <v>40932.769940497616</v>
      </c>
      <c r="V65" s="766"/>
      <c r="W65" s="678">
        <v>45989</v>
      </c>
      <c r="X65" s="769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72"/>
      <c r="J66" s="772"/>
      <c r="K66" s="293"/>
      <c r="L66" s="290">
        <v>6</v>
      </c>
      <c r="M66" s="422" t="s">
        <v>379</v>
      </c>
      <c r="N66" s="400" t="s">
        <v>357</v>
      </c>
      <c r="O66" s="556"/>
      <c r="P66" s="568">
        <v>0.1</v>
      </c>
      <c r="Q66" s="292">
        <f t="shared" si="3"/>
        <v>18230</v>
      </c>
      <c r="R66" s="778"/>
      <c r="S66" s="635" t="s">
        <v>353</v>
      </c>
      <c r="T66" s="665">
        <v>45869</v>
      </c>
      <c r="U66" s="669">
        <v>40932.769940497616</v>
      </c>
      <c r="V66" s="766"/>
      <c r="W66" s="678">
        <v>45989</v>
      </c>
      <c r="X66" s="769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72"/>
      <c r="J67" s="772"/>
      <c r="K67" s="293"/>
      <c r="L67" s="290">
        <v>6</v>
      </c>
      <c r="M67" s="422" t="s">
        <v>379</v>
      </c>
      <c r="N67" s="400" t="s">
        <v>358</v>
      </c>
      <c r="O67" s="556"/>
      <c r="P67" s="568">
        <v>0.05</v>
      </c>
      <c r="Q67" s="292">
        <f t="shared" si="3"/>
        <v>9115</v>
      </c>
      <c r="R67" s="778"/>
      <c r="S67" s="635" t="s">
        <v>353</v>
      </c>
      <c r="T67" s="665">
        <v>45869</v>
      </c>
      <c r="U67" s="669">
        <v>20466.384970248808</v>
      </c>
      <c r="V67" s="766"/>
      <c r="W67" s="532">
        <f>W100</f>
        <v>46003</v>
      </c>
      <c r="X67" s="769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72"/>
      <c r="J68" s="772"/>
      <c r="K68" s="293"/>
      <c r="L68" s="290">
        <v>6</v>
      </c>
      <c r="M68" s="422" t="s">
        <v>379</v>
      </c>
      <c r="N68" s="400" t="s">
        <v>359</v>
      </c>
      <c r="O68" s="556"/>
      <c r="P68" s="568">
        <v>0.05</v>
      </c>
      <c r="Q68" s="292">
        <f t="shared" si="3"/>
        <v>9115</v>
      </c>
      <c r="R68" s="779"/>
      <c r="S68" s="635" t="s">
        <v>353</v>
      </c>
      <c r="T68" s="665">
        <v>45869</v>
      </c>
      <c r="U68" s="669">
        <v>20466.384970248808</v>
      </c>
      <c r="V68" s="766"/>
      <c r="W68" s="578">
        <f>W101</f>
        <v>46085</v>
      </c>
      <c r="X68" s="769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72"/>
      <c r="J69" s="772"/>
      <c r="K69" s="293"/>
      <c r="L69" s="290">
        <v>6</v>
      </c>
      <c r="M69" s="422" t="s">
        <v>379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6"/>
      <c r="W69" s="581"/>
      <c r="X69" s="769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72"/>
      <c r="J70" s="772"/>
      <c r="K70" s="293"/>
      <c r="L70" s="290">
        <v>6</v>
      </c>
      <c r="M70" s="422" t="s">
        <v>379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6"/>
      <c r="W70" s="581"/>
      <c r="X70" s="769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73"/>
      <c r="J71" s="773"/>
      <c r="K71" s="298"/>
      <c r="L71" s="294">
        <v>6</v>
      </c>
      <c r="M71" s="424" t="s">
        <v>379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7"/>
      <c r="W71" s="579"/>
      <c r="X71" s="770"/>
      <c r="Y71" s="474"/>
    </row>
    <row r="72" spans="1:25" ht="14.4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386</v>
      </c>
      <c r="D73" s="373"/>
      <c r="E73" s="454"/>
      <c r="F73" s="460"/>
      <c r="G73" s="374"/>
      <c r="H73" s="538"/>
      <c r="I73" s="774">
        <f>SUM(G73:G80)</f>
        <v>0</v>
      </c>
      <c r="J73" s="774">
        <v>0</v>
      </c>
      <c r="K73" s="277"/>
      <c r="L73" s="372">
        <v>7</v>
      </c>
      <c r="M73" s="301" t="s">
        <v>387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87">
        <f>J73-SUM(U73:U80)</f>
        <v>0</v>
      </c>
      <c r="W73" s="583"/>
      <c r="X73" s="759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75"/>
      <c r="J74" s="775"/>
      <c r="K74" s="280"/>
      <c r="L74" s="375">
        <v>7</v>
      </c>
      <c r="M74" s="376" t="s">
        <v>387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88"/>
      <c r="W74" s="574"/>
      <c r="X74" s="760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75"/>
      <c r="J75" s="775"/>
      <c r="K75" s="280"/>
      <c r="L75" s="375">
        <v>7</v>
      </c>
      <c r="M75" s="376" t="s">
        <v>387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88"/>
      <c r="W75" s="574"/>
      <c r="X75" s="760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75"/>
      <c r="J76" s="775"/>
      <c r="K76" s="280"/>
      <c r="L76" s="375">
        <v>7</v>
      </c>
      <c r="M76" s="376" t="s">
        <v>387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88"/>
      <c r="W76" s="574"/>
      <c r="X76" s="760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75"/>
      <c r="J77" s="775"/>
      <c r="K77" s="280"/>
      <c r="L77" s="375">
        <v>7</v>
      </c>
      <c r="M77" s="376" t="s">
        <v>387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88"/>
      <c r="W77" s="574"/>
      <c r="X77" s="760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75"/>
      <c r="J78" s="775"/>
      <c r="K78" s="280"/>
      <c r="L78" s="375">
        <v>7</v>
      </c>
      <c r="M78" s="376" t="s">
        <v>387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88"/>
      <c r="W78" s="574"/>
      <c r="X78" s="760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75"/>
      <c r="J79" s="775"/>
      <c r="K79" s="280"/>
      <c r="L79" s="375">
        <v>7</v>
      </c>
      <c r="M79" s="376" t="s">
        <v>387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88"/>
      <c r="W79" s="574"/>
      <c r="X79" s="760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76"/>
      <c r="J80" s="776"/>
      <c r="K80" s="281"/>
      <c r="L80" s="308">
        <v>7</v>
      </c>
      <c r="M80" s="329" t="s">
        <v>387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89"/>
      <c r="W80" s="575"/>
      <c r="X80" s="761"/>
      <c r="Y80" s="474"/>
    </row>
    <row r="81" spans="1:25" ht="14.4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388</v>
      </c>
      <c r="D82" s="325"/>
      <c r="E82" s="455"/>
      <c r="F82" s="408"/>
      <c r="G82" s="326"/>
      <c r="H82" s="531"/>
      <c r="I82" s="771">
        <f>SUM(G82:G90)</f>
        <v>260000</v>
      </c>
      <c r="J82" s="771">
        <f>F184+F185</f>
        <v>293798.44961240311</v>
      </c>
      <c r="K82" s="289"/>
      <c r="L82" s="324">
        <v>8</v>
      </c>
      <c r="M82" s="417" t="s">
        <v>389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811">
        <f>J82-SUM(U82:U90)</f>
        <v>0</v>
      </c>
      <c r="W82" s="577"/>
      <c r="X82" s="768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390</v>
      </c>
      <c r="E83" s="407"/>
      <c r="F83" s="453"/>
      <c r="G83" s="316">
        <v>80000</v>
      </c>
      <c r="H83" s="532">
        <v>45869</v>
      </c>
      <c r="I83" s="772"/>
      <c r="J83" s="772"/>
      <c r="K83" s="293"/>
      <c r="L83" s="314">
        <v>8</v>
      </c>
      <c r="M83" s="425" t="s">
        <v>389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812"/>
      <c r="W83" s="578"/>
      <c r="X83" s="769"/>
      <c r="Y83" s="474"/>
    </row>
    <row r="84" spans="1:25" ht="14.25" customHeight="1">
      <c r="B84" s="314">
        <v>8</v>
      </c>
      <c r="C84" s="315"/>
      <c r="D84" s="327" t="s">
        <v>391</v>
      </c>
      <c r="E84" s="407"/>
      <c r="F84" s="453"/>
      <c r="G84" s="316">
        <v>85000</v>
      </c>
      <c r="H84" s="532">
        <v>45869</v>
      </c>
      <c r="I84" s="772"/>
      <c r="J84" s="772"/>
      <c r="K84" s="293"/>
      <c r="L84" s="314">
        <v>8</v>
      </c>
      <c r="M84" s="425" t="s">
        <v>389</v>
      </c>
      <c r="N84" s="327" t="s">
        <v>390</v>
      </c>
      <c r="O84" s="407"/>
      <c r="P84" s="453"/>
      <c r="Q84" s="316">
        <v>82302</v>
      </c>
      <c r="R84" s="594" t="s">
        <v>392</v>
      </c>
      <c r="S84" s="631" t="s">
        <v>393</v>
      </c>
      <c r="T84" s="665">
        <v>45900</v>
      </c>
      <c r="U84" s="658">
        <v>293798.44961240311</v>
      </c>
      <c r="V84" s="812"/>
      <c r="W84" s="532">
        <v>45899</v>
      </c>
      <c r="X84" s="769"/>
      <c r="Y84" s="474"/>
    </row>
    <row r="85" spans="1:25" ht="14.25" customHeight="1">
      <c r="B85" s="314">
        <v>8</v>
      </c>
      <c r="C85" s="315"/>
      <c r="D85" s="327" t="s">
        <v>394</v>
      </c>
      <c r="E85" s="407"/>
      <c r="F85" s="453"/>
      <c r="G85" s="316">
        <v>95000</v>
      </c>
      <c r="H85" s="532">
        <v>45869</v>
      </c>
      <c r="I85" s="772"/>
      <c r="J85" s="772"/>
      <c r="K85" s="293"/>
      <c r="L85" s="314">
        <v>8</v>
      </c>
      <c r="M85" s="425" t="s">
        <v>389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812"/>
      <c r="W85" s="578"/>
      <c r="X85" s="769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72"/>
      <c r="J86" s="772"/>
      <c r="K86" s="293"/>
      <c r="L86" s="314">
        <v>8</v>
      </c>
      <c r="M86" s="425" t="s">
        <v>389</v>
      </c>
      <c r="N86" s="327" t="s">
        <v>395</v>
      </c>
      <c r="O86" s="559"/>
      <c r="P86" s="453"/>
      <c r="Q86" s="316">
        <v>10830</v>
      </c>
      <c r="R86" s="594" t="s">
        <v>396</v>
      </c>
      <c r="S86" s="631" t="s">
        <v>397</v>
      </c>
      <c r="T86" s="665">
        <v>45991</v>
      </c>
      <c r="U86" s="500">
        <v>0</v>
      </c>
      <c r="V86" s="812"/>
      <c r="W86" s="678">
        <v>45980</v>
      </c>
      <c r="X86" s="769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72"/>
      <c r="J87" s="772"/>
      <c r="K87" s="293"/>
      <c r="L87" s="314">
        <v>8</v>
      </c>
      <c r="M87" s="425" t="s">
        <v>389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812"/>
      <c r="W87" s="578"/>
      <c r="X87" s="769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72"/>
      <c r="J88" s="772"/>
      <c r="K88" s="293"/>
      <c r="L88" s="314">
        <v>8</v>
      </c>
      <c r="M88" s="425" t="s">
        <v>389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812"/>
      <c r="W88" s="578"/>
      <c r="X88" s="769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72"/>
      <c r="J89" s="772"/>
      <c r="K89" s="293"/>
      <c r="L89" s="314">
        <v>8</v>
      </c>
      <c r="M89" s="425" t="s">
        <v>389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812"/>
      <c r="W89" s="581"/>
      <c r="X89" s="769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73"/>
      <c r="J90" s="773"/>
      <c r="K90" s="298"/>
      <c r="L90" s="294">
        <v>8</v>
      </c>
      <c r="M90" s="424" t="s">
        <v>389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13"/>
      <c r="W90" s="579"/>
      <c r="X90" s="770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398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399</v>
      </c>
      <c r="D92" s="319" t="s">
        <v>400</v>
      </c>
      <c r="E92" s="306"/>
      <c r="F92" s="429"/>
      <c r="G92" s="621">
        <f>D190</f>
        <v>200080</v>
      </c>
      <c r="H92" s="534">
        <v>45991</v>
      </c>
      <c r="I92" s="790">
        <f>SUM(G92:G104)</f>
        <v>636320</v>
      </c>
      <c r="J92" s="774">
        <f>F190+F191</f>
        <v>707022.22222222225</v>
      </c>
      <c r="K92" s="280"/>
      <c r="L92" s="303">
        <v>9</v>
      </c>
      <c r="M92" s="415" t="s">
        <v>401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62">
        <f>J92-SUM(U92:U104)</f>
        <v>0</v>
      </c>
      <c r="W92" s="580"/>
      <c r="X92" s="793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402</v>
      </c>
      <c r="E93" s="306"/>
      <c r="F93" s="451"/>
      <c r="G93" s="621">
        <f>D191</f>
        <v>436240</v>
      </c>
      <c r="H93" s="527">
        <f>'Project Plan'!E19-7</f>
        <v>45873</v>
      </c>
      <c r="I93" s="791"/>
      <c r="J93" s="775"/>
      <c r="K93" s="280"/>
      <c r="L93" s="303">
        <v>9</v>
      </c>
      <c r="M93" s="415" t="s">
        <v>401</v>
      </c>
      <c r="N93" s="320" t="s">
        <v>352</v>
      </c>
      <c r="O93" s="570">
        <f>Z30+Z29</f>
        <v>840000</v>
      </c>
      <c r="P93" s="571">
        <v>0.1</v>
      </c>
      <c r="Q93" s="307">
        <f>$O$93*P93</f>
        <v>84000</v>
      </c>
      <c r="R93" s="799"/>
      <c r="S93" s="626" t="s">
        <v>353</v>
      </c>
      <c r="T93" s="666">
        <v>45869</v>
      </c>
      <c r="U93" s="657">
        <v>70702.222222222234</v>
      </c>
      <c r="V93" s="763"/>
      <c r="W93" s="527">
        <v>45899</v>
      </c>
      <c r="X93" s="794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91"/>
      <c r="J94" s="775"/>
      <c r="K94" s="280"/>
      <c r="L94" s="375">
        <v>9</v>
      </c>
      <c r="M94" s="493" t="s">
        <v>401</v>
      </c>
      <c r="N94" s="377" t="s">
        <v>159</v>
      </c>
      <c r="O94" s="552"/>
      <c r="P94" s="569">
        <v>0.15</v>
      </c>
      <c r="Q94" s="307">
        <f t="shared" ref="Q94:Q101" si="7">$O$93*P94</f>
        <v>126000</v>
      </c>
      <c r="R94" s="800"/>
      <c r="S94" s="627" t="s">
        <v>353</v>
      </c>
      <c r="T94" s="666">
        <v>45869</v>
      </c>
      <c r="U94" s="657">
        <v>106053.33333333333</v>
      </c>
      <c r="V94" s="763"/>
      <c r="W94" s="528">
        <v>45939</v>
      </c>
      <c r="X94" s="794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91"/>
      <c r="J95" s="775"/>
      <c r="K95" s="280"/>
      <c r="L95" s="375">
        <v>9</v>
      </c>
      <c r="M95" s="493" t="s">
        <v>401</v>
      </c>
      <c r="N95" s="377" t="s">
        <v>354</v>
      </c>
      <c r="O95" s="552"/>
      <c r="P95" s="569">
        <v>0.2</v>
      </c>
      <c r="Q95" s="307">
        <f t="shared" si="7"/>
        <v>168000</v>
      </c>
      <c r="R95" s="800"/>
      <c r="S95" s="627" t="s">
        <v>403</v>
      </c>
      <c r="T95" s="675">
        <v>45991</v>
      </c>
      <c r="U95" s="683">
        <v>141404.44444444447</v>
      </c>
      <c r="V95" s="763"/>
      <c r="W95" s="692">
        <v>45980</v>
      </c>
      <c r="X95" s="794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91"/>
      <c r="J96" s="775"/>
      <c r="K96" s="280"/>
      <c r="L96" s="375">
        <v>9</v>
      </c>
      <c r="M96" s="493" t="s">
        <v>401</v>
      </c>
      <c r="N96" s="377" t="s">
        <v>355</v>
      </c>
      <c r="O96" s="552"/>
      <c r="P96" s="569">
        <v>0.25</v>
      </c>
      <c r="Q96" s="307">
        <v>193200</v>
      </c>
      <c r="R96" s="800"/>
      <c r="S96" s="627" t="s">
        <v>404</v>
      </c>
      <c r="T96" s="675">
        <v>45991</v>
      </c>
      <c r="U96" s="683">
        <v>162615.11111111112</v>
      </c>
      <c r="V96" s="763"/>
      <c r="W96" s="692">
        <v>45980</v>
      </c>
      <c r="X96" s="794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91"/>
      <c r="J97" s="775"/>
      <c r="K97" s="280"/>
      <c r="L97" s="375">
        <v>9</v>
      </c>
      <c r="M97" s="493" t="s">
        <v>401</v>
      </c>
      <c r="N97" s="377" t="s">
        <v>355</v>
      </c>
      <c r="O97" s="552"/>
      <c r="P97" s="569"/>
      <c r="Q97" s="307">
        <f>210000-Q96</f>
        <v>16800</v>
      </c>
      <c r="R97" s="800"/>
      <c r="S97" s="627" t="s">
        <v>404</v>
      </c>
      <c r="T97" s="675">
        <v>45991</v>
      </c>
      <c r="U97" s="683">
        <v>14140.444444444445</v>
      </c>
      <c r="V97" s="763"/>
      <c r="W97" s="692">
        <v>45980</v>
      </c>
      <c r="X97" s="794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91"/>
      <c r="J98" s="775"/>
      <c r="K98" s="280"/>
      <c r="L98" s="375">
        <v>9</v>
      </c>
      <c r="M98" s="493" t="s">
        <v>401</v>
      </c>
      <c r="N98" s="377" t="s">
        <v>356</v>
      </c>
      <c r="O98" s="552"/>
      <c r="P98" s="569">
        <v>0.1</v>
      </c>
      <c r="Q98" s="307">
        <f t="shared" si="7"/>
        <v>84000</v>
      </c>
      <c r="R98" s="800"/>
      <c r="S98" s="627" t="s">
        <v>405</v>
      </c>
      <c r="T98" s="675">
        <v>45991</v>
      </c>
      <c r="U98" s="683">
        <v>70702.222222222234</v>
      </c>
      <c r="V98" s="763"/>
      <c r="W98" s="692">
        <v>45989</v>
      </c>
      <c r="X98" s="794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91"/>
      <c r="J99" s="775"/>
      <c r="K99" s="280"/>
      <c r="L99" s="375">
        <v>9</v>
      </c>
      <c r="M99" s="493" t="s">
        <v>401</v>
      </c>
      <c r="N99" s="377" t="s">
        <v>357</v>
      </c>
      <c r="O99" s="552"/>
      <c r="P99" s="569">
        <v>0.1</v>
      </c>
      <c r="Q99" s="307">
        <f t="shared" si="7"/>
        <v>84000</v>
      </c>
      <c r="R99" s="800"/>
      <c r="S99" s="627" t="s">
        <v>406</v>
      </c>
      <c r="T99" s="675">
        <v>45991</v>
      </c>
      <c r="U99" s="683">
        <v>70702.222222222234</v>
      </c>
      <c r="V99" s="763"/>
      <c r="W99" s="528">
        <v>46079</v>
      </c>
      <c r="X99" s="794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91"/>
      <c r="J100" s="775"/>
      <c r="K100" s="280"/>
      <c r="L100" s="375">
        <v>9</v>
      </c>
      <c r="M100" s="493" t="s">
        <v>401</v>
      </c>
      <c r="N100" s="377" t="s">
        <v>358</v>
      </c>
      <c r="O100" s="552"/>
      <c r="P100" s="569">
        <v>0.05</v>
      </c>
      <c r="Q100" s="307">
        <f t="shared" si="7"/>
        <v>42000</v>
      </c>
      <c r="R100" s="800"/>
      <c r="S100" s="627" t="s">
        <v>407</v>
      </c>
      <c r="T100" s="666">
        <v>46022</v>
      </c>
      <c r="U100" s="683">
        <v>35351.111111111117</v>
      </c>
      <c r="V100" s="763"/>
      <c r="W100" s="528">
        <v>46003</v>
      </c>
      <c r="X100" s="794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91"/>
      <c r="J101" s="775"/>
      <c r="K101" s="280"/>
      <c r="L101" s="375">
        <v>9</v>
      </c>
      <c r="M101" s="493" t="s">
        <v>401</v>
      </c>
      <c r="N101" s="377" t="s">
        <v>359</v>
      </c>
      <c r="O101" s="552"/>
      <c r="P101" s="569">
        <v>0.05</v>
      </c>
      <c r="Q101" s="307">
        <f t="shared" si="7"/>
        <v>42000</v>
      </c>
      <c r="R101" s="801"/>
      <c r="S101" s="627" t="s">
        <v>408</v>
      </c>
      <c r="T101" s="675">
        <v>46053</v>
      </c>
      <c r="U101" s="683">
        <v>35351.111111111117</v>
      </c>
      <c r="V101" s="763"/>
      <c r="W101" s="574">
        <f>'Project Plan'!K52+30</f>
        <v>46085</v>
      </c>
      <c r="X101" s="794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91"/>
      <c r="J102" s="775"/>
      <c r="K102" s="280"/>
      <c r="L102" s="375">
        <v>9</v>
      </c>
      <c r="M102" s="493" t="s">
        <v>401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63"/>
      <c r="W102" s="574"/>
      <c r="X102" s="794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91"/>
      <c r="J103" s="775"/>
      <c r="K103" s="280"/>
      <c r="L103" s="375">
        <v>9</v>
      </c>
      <c r="M103" s="493" t="s">
        <v>401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63"/>
      <c r="W103" s="574"/>
      <c r="X103" s="794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92"/>
      <c r="J104" s="776"/>
      <c r="K104" s="356"/>
      <c r="L104" s="308">
        <v>9</v>
      </c>
      <c r="M104" s="433" t="s">
        <v>401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4"/>
      <c r="W104" s="575"/>
      <c r="X104" s="795"/>
      <c r="Y104" s="474"/>
    </row>
    <row r="105" spans="1:25" ht="14.4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409</v>
      </c>
      <c r="D106" s="262" t="s">
        <v>323</v>
      </c>
      <c r="E106" s="263"/>
      <c r="F106" s="462"/>
      <c r="G106" s="330">
        <f>D194</f>
        <v>8500</v>
      </c>
      <c r="H106" s="541">
        <v>45845</v>
      </c>
      <c r="I106" s="802">
        <f>SUM(G106:G131)</f>
        <v>156487.33333333331</v>
      </c>
      <c r="J106" s="802">
        <f>F194+F197+F198+F196</f>
        <v>173874.8148148148</v>
      </c>
      <c r="K106" s="331"/>
      <c r="L106" s="261">
        <v>10</v>
      </c>
      <c r="M106" s="426" t="s">
        <v>410</v>
      </c>
      <c r="N106" s="262" t="s">
        <v>323</v>
      </c>
      <c r="O106" s="564"/>
      <c r="P106" s="462"/>
      <c r="Q106" s="330">
        <v>12508.5</v>
      </c>
      <c r="R106" s="602"/>
      <c r="S106" s="638" t="s">
        <v>411</v>
      </c>
      <c r="T106" s="656">
        <v>45900</v>
      </c>
      <c r="U106" s="483">
        <v>29556.176989436244</v>
      </c>
      <c r="V106" s="808">
        <f>J106-SUM(U106:U131)</f>
        <v>-3.1713130883872509E-3</v>
      </c>
      <c r="W106" s="541">
        <v>45918</v>
      </c>
      <c r="X106" s="805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324</v>
      </c>
      <c r="E107" s="334"/>
      <c r="F107" s="463"/>
      <c r="G107" s="335">
        <f>D198</f>
        <v>42120.666666666664</v>
      </c>
      <c r="H107" s="542">
        <f>H106</f>
        <v>45845</v>
      </c>
      <c r="I107" s="803"/>
      <c r="J107" s="803"/>
      <c r="K107" s="264"/>
      <c r="L107" s="332">
        <v>10</v>
      </c>
      <c r="M107" s="427" t="s">
        <v>410</v>
      </c>
      <c r="N107" s="333" t="s">
        <v>412</v>
      </c>
      <c r="O107" s="565"/>
      <c r="P107" s="463"/>
      <c r="Q107" s="335">
        <v>6400</v>
      </c>
      <c r="R107" s="603"/>
      <c r="S107" s="639" t="s">
        <v>413</v>
      </c>
      <c r="T107" s="652">
        <v>45838</v>
      </c>
      <c r="U107" s="661">
        <v>9662.1722094874967</v>
      </c>
      <c r="V107" s="809"/>
      <c r="W107" s="542">
        <v>45835</v>
      </c>
      <c r="X107" s="806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803"/>
      <c r="J108" s="803"/>
      <c r="K108" s="264"/>
      <c r="L108" s="332">
        <v>10</v>
      </c>
      <c r="M108" s="427" t="s">
        <v>410</v>
      </c>
      <c r="N108" s="333"/>
      <c r="O108" s="565"/>
      <c r="P108" s="463"/>
      <c r="Q108" s="335">
        <v>100</v>
      </c>
      <c r="R108" s="603"/>
      <c r="S108" s="639" t="s">
        <v>414</v>
      </c>
      <c r="T108" s="652">
        <v>45838</v>
      </c>
      <c r="U108" s="662">
        <v>150.97144077324214</v>
      </c>
      <c r="V108" s="809"/>
      <c r="W108" s="542">
        <v>45876</v>
      </c>
      <c r="X108" s="806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803"/>
      <c r="J109" s="803"/>
      <c r="K109" s="264"/>
      <c r="L109" s="332">
        <v>10</v>
      </c>
      <c r="M109" s="427" t="s">
        <v>410</v>
      </c>
      <c r="N109" s="333"/>
      <c r="O109" s="565"/>
      <c r="P109" s="463"/>
      <c r="Q109" s="335">
        <v>5200</v>
      </c>
      <c r="R109" s="603"/>
      <c r="S109" s="639" t="s">
        <v>415</v>
      </c>
      <c r="T109" s="652">
        <v>45869</v>
      </c>
      <c r="U109" s="662">
        <v>12243.047217833948</v>
      </c>
      <c r="V109" s="809"/>
      <c r="W109" s="542">
        <v>45890</v>
      </c>
      <c r="X109" s="806"/>
      <c r="Y109" s="474"/>
    </row>
    <row r="110" spans="1:25" ht="14.25" customHeight="1">
      <c r="B110" s="332">
        <v>10</v>
      </c>
      <c r="C110" s="333"/>
      <c r="D110" s="333" t="s">
        <v>416</v>
      </c>
      <c r="E110" s="334"/>
      <c r="F110" s="463"/>
      <c r="G110" s="335">
        <f>D197</f>
        <v>96000</v>
      </c>
      <c r="H110" s="542">
        <v>45838</v>
      </c>
      <c r="I110" s="803"/>
      <c r="J110" s="803"/>
      <c r="K110" s="264"/>
      <c r="L110" s="332">
        <v>10</v>
      </c>
      <c r="M110" s="427" t="s">
        <v>410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809"/>
      <c r="W110" s="585"/>
      <c r="X110" s="806"/>
      <c r="Y110" s="474"/>
    </row>
    <row r="111" spans="1:25" ht="14.25" customHeight="1">
      <c r="B111" s="332">
        <v>10</v>
      </c>
      <c r="C111" s="333"/>
      <c r="D111" s="333" t="s">
        <v>325</v>
      </c>
      <c r="E111" s="334"/>
      <c r="F111" s="463"/>
      <c r="G111" s="335">
        <f>D196</f>
        <v>9866.6666666666661</v>
      </c>
      <c r="H111" s="542">
        <f>H110</f>
        <v>45838</v>
      </c>
      <c r="I111" s="803"/>
      <c r="J111" s="803"/>
      <c r="K111" s="264"/>
      <c r="L111" s="332">
        <v>10</v>
      </c>
      <c r="M111" s="427" t="s">
        <v>410</v>
      </c>
      <c r="N111" s="333" t="s">
        <v>417</v>
      </c>
      <c r="O111" s="565"/>
      <c r="P111" s="463"/>
      <c r="Q111" s="335">
        <v>620</v>
      </c>
      <c r="R111" s="603"/>
      <c r="S111" s="639" t="s">
        <v>418</v>
      </c>
      <c r="T111" s="652">
        <v>45869</v>
      </c>
      <c r="U111" s="662">
        <v>1459.7479375109704</v>
      </c>
      <c r="V111" s="809"/>
      <c r="W111" s="542">
        <v>45901</v>
      </c>
      <c r="X111" s="806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803"/>
      <c r="J112" s="803"/>
      <c r="K112" s="264"/>
      <c r="L112" s="332">
        <v>10</v>
      </c>
      <c r="M112" s="427" t="s">
        <v>410</v>
      </c>
      <c r="N112" s="333" t="s">
        <v>419</v>
      </c>
      <c r="O112" s="565"/>
      <c r="P112" s="463"/>
      <c r="Q112" s="335">
        <v>600</v>
      </c>
      <c r="R112" s="604"/>
      <c r="S112" s="640" t="s">
        <v>420</v>
      </c>
      <c r="T112" s="667">
        <v>45900</v>
      </c>
      <c r="U112" s="662">
        <v>11750.695154371066</v>
      </c>
      <c r="V112" s="809"/>
      <c r="W112" s="681">
        <f>T112+30</f>
        <v>45930</v>
      </c>
      <c r="X112" s="806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803"/>
      <c r="J113" s="803"/>
      <c r="K113" s="264"/>
      <c r="L113" s="332">
        <v>10</v>
      </c>
      <c r="M113" s="427" t="s">
        <v>410</v>
      </c>
      <c r="N113" s="333"/>
      <c r="O113" s="565"/>
      <c r="P113" s="463"/>
      <c r="Q113" s="335">
        <v>-5400</v>
      </c>
      <c r="R113" s="604"/>
      <c r="S113" s="640" t="s">
        <v>421</v>
      </c>
      <c r="T113" s="667">
        <v>45900</v>
      </c>
      <c r="U113" s="662">
        <v>0</v>
      </c>
      <c r="V113" s="809"/>
      <c r="W113" s="543">
        <f>T113+30</f>
        <v>45930</v>
      </c>
      <c r="X113" s="806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803"/>
      <c r="J114" s="803"/>
      <c r="K114" s="264"/>
      <c r="L114" s="332">
        <v>10</v>
      </c>
      <c r="M114" s="427" t="s">
        <v>410</v>
      </c>
      <c r="N114" s="333"/>
      <c r="O114" s="565"/>
      <c r="P114" s="463"/>
      <c r="Q114" s="335">
        <v>-6400</v>
      </c>
      <c r="R114" s="604"/>
      <c r="S114" s="640" t="s">
        <v>422</v>
      </c>
      <c r="T114" s="667">
        <v>45900</v>
      </c>
      <c r="U114" s="662">
        <v>0</v>
      </c>
      <c r="V114" s="809"/>
      <c r="W114" s="543">
        <f>T114+30</f>
        <v>45930</v>
      </c>
      <c r="X114" s="806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803"/>
      <c r="J115" s="803"/>
      <c r="K115" s="264"/>
      <c r="L115" s="332">
        <v>10</v>
      </c>
      <c r="M115" s="427" t="s">
        <v>410</v>
      </c>
      <c r="N115" s="333"/>
      <c r="O115" s="565"/>
      <c r="P115" s="463"/>
      <c r="Q115" s="335">
        <v>6600</v>
      </c>
      <c r="R115" s="604"/>
      <c r="S115" s="640" t="s">
        <v>423</v>
      </c>
      <c r="T115" s="667">
        <v>45900</v>
      </c>
      <c r="U115" s="662">
        <v>1642.3651543710653</v>
      </c>
      <c r="V115" s="809"/>
      <c r="W115" s="543">
        <f>T115+30</f>
        <v>45930</v>
      </c>
      <c r="X115" s="806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803"/>
      <c r="J116" s="803"/>
      <c r="K116" s="264"/>
      <c r="L116" s="332">
        <v>10</v>
      </c>
      <c r="M116" s="427" t="s">
        <v>410</v>
      </c>
      <c r="N116" s="333" t="s">
        <v>424</v>
      </c>
      <c r="O116" s="565"/>
      <c r="P116" s="463"/>
      <c r="Q116" s="335">
        <v>620</v>
      </c>
      <c r="R116" s="604"/>
      <c r="S116" s="640" t="s">
        <v>425</v>
      </c>
      <c r="T116" s="667">
        <v>45930</v>
      </c>
      <c r="U116" s="680">
        <v>1589.3856332623213</v>
      </c>
      <c r="V116" s="809"/>
      <c r="W116" s="667">
        <v>45930</v>
      </c>
      <c r="X116" s="806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803"/>
      <c r="J117" s="803"/>
      <c r="K117" s="264"/>
      <c r="L117" s="332">
        <v>10</v>
      </c>
      <c r="M117" s="427" t="s">
        <v>410</v>
      </c>
      <c r="N117" s="333" t="s">
        <v>426</v>
      </c>
      <c r="O117" s="565"/>
      <c r="P117" s="463"/>
      <c r="Q117" s="335">
        <v>600</v>
      </c>
      <c r="R117" s="604"/>
      <c r="S117" s="640" t="s">
        <v>427</v>
      </c>
      <c r="T117" s="679">
        <v>45961</v>
      </c>
      <c r="U117" s="680">
        <v>1694.8657342850747</v>
      </c>
      <c r="V117" s="809"/>
      <c r="W117" s="543">
        <v>45974</v>
      </c>
      <c r="X117" s="806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803"/>
      <c r="J118" s="803"/>
      <c r="K118" s="264"/>
      <c r="L118" s="332">
        <v>10</v>
      </c>
      <c r="M118" s="427" t="s">
        <v>410</v>
      </c>
      <c r="N118" s="333" t="s">
        <v>428</v>
      </c>
      <c r="O118" s="565"/>
      <c r="P118" s="463"/>
      <c r="Q118" s="335">
        <v>620</v>
      </c>
      <c r="R118" s="604"/>
      <c r="S118" s="640" t="s">
        <v>429</v>
      </c>
      <c r="T118" s="667">
        <v>45991</v>
      </c>
      <c r="U118" s="680">
        <v>1589.8700654371692</v>
      </c>
      <c r="V118" s="809"/>
      <c r="W118" s="543">
        <v>45995</v>
      </c>
      <c r="X118" s="806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803"/>
      <c r="J119" s="803"/>
      <c r="K119" s="264"/>
      <c r="L119" s="332">
        <v>10</v>
      </c>
      <c r="M119" s="427" t="s">
        <v>410</v>
      </c>
      <c r="N119" s="333" t="s">
        <v>430</v>
      </c>
      <c r="O119" s="565"/>
      <c r="P119" s="463"/>
      <c r="Q119" s="335">
        <v>620</v>
      </c>
      <c r="R119" s="604"/>
      <c r="S119" s="640" t="s">
        <v>431</v>
      </c>
      <c r="T119" s="667">
        <v>46022</v>
      </c>
      <c r="U119" s="680">
        <v>0</v>
      </c>
      <c r="V119" s="809"/>
      <c r="W119" s="681">
        <v>46031</v>
      </c>
      <c r="X119" s="806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803"/>
      <c r="J120" s="803"/>
      <c r="K120" s="264"/>
      <c r="L120" s="332">
        <v>10</v>
      </c>
      <c r="M120" s="427" t="s">
        <v>410</v>
      </c>
      <c r="N120" s="333" t="s">
        <v>432</v>
      </c>
      <c r="O120" s="565"/>
      <c r="P120" s="463"/>
      <c r="Q120" s="335">
        <v>560</v>
      </c>
      <c r="R120" s="604"/>
      <c r="S120" s="640" t="s">
        <v>433</v>
      </c>
      <c r="T120" s="667">
        <v>46053</v>
      </c>
      <c r="U120" s="680">
        <v>0</v>
      </c>
      <c r="V120" s="809"/>
      <c r="W120" s="543">
        <v>46058</v>
      </c>
      <c r="X120" s="806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803"/>
      <c r="J121" s="803"/>
      <c r="K121" s="264"/>
      <c r="L121" s="332">
        <v>10</v>
      </c>
      <c r="M121" s="427" t="s">
        <v>410</v>
      </c>
      <c r="N121" s="333" t="s">
        <v>352</v>
      </c>
      <c r="O121" s="620">
        <f>SUM(Z31:Z37)</f>
        <v>43550</v>
      </c>
      <c r="P121" s="572">
        <v>0.1</v>
      </c>
      <c r="Q121" s="335">
        <v>4355</v>
      </c>
      <c r="R121" s="796"/>
      <c r="S121" s="645" t="s">
        <v>353</v>
      </c>
      <c r="T121" s="667">
        <v>45869</v>
      </c>
      <c r="U121" s="662">
        <v>10253.55204493593</v>
      </c>
      <c r="V121" s="809"/>
      <c r="W121" s="543">
        <f>W93</f>
        <v>45899</v>
      </c>
      <c r="X121" s="806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803"/>
      <c r="J122" s="803"/>
      <c r="K122" s="264"/>
      <c r="L122" s="332">
        <v>10</v>
      </c>
      <c r="M122" s="427" t="s">
        <v>410</v>
      </c>
      <c r="N122" s="333" t="s">
        <v>159</v>
      </c>
      <c r="O122" s="565"/>
      <c r="P122" s="572">
        <v>0.15</v>
      </c>
      <c r="Q122" s="335">
        <v>6532.5</v>
      </c>
      <c r="R122" s="797"/>
      <c r="S122" s="645" t="s">
        <v>353</v>
      </c>
      <c r="T122" s="667">
        <v>45869</v>
      </c>
      <c r="U122" s="662">
        <v>15380.328067403894</v>
      </c>
      <c r="V122" s="809"/>
      <c r="W122" s="543">
        <f>W94</f>
        <v>45939</v>
      </c>
      <c r="X122" s="806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803"/>
      <c r="J123" s="803"/>
      <c r="K123" s="264"/>
      <c r="L123" s="332">
        <v>10</v>
      </c>
      <c r="M123" s="427" t="s">
        <v>410</v>
      </c>
      <c r="N123" s="333" t="s">
        <v>354</v>
      </c>
      <c r="O123" s="565"/>
      <c r="P123" s="572">
        <v>0.2</v>
      </c>
      <c r="Q123" s="335">
        <f t="shared" ref="Q123:Q126" si="9">$O$121*P123</f>
        <v>8710</v>
      </c>
      <c r="R123" s="797"/>
      <c r="S123" s="640" t="s">
        <v>353</v>
      </c>
      <c r="T123" s="667">
        <v>45869</v>
      </c>
      <c r="U123" s="662">
        <v>20507.10408987186</v>
      </c>
      <c r="V123" s="809"/>
      <c r="W123" s="543">
        <v>45974</v>
      </c>
      <c r="X123" s="806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803"/>
      <c r="J124" s="803"/>
      <c r="K124" s="264"/>
      <c r="L124" s="332">
        <v>10</v>
      </c>
      <c r="M124" s="427" t="s">
        <v>410</v>
      </c>
      <c r="N124" s="333" t="s">
        <v>355</v>
      </c>
      <c r="O124" s="565"/>
      <c r="P124" s="572">
        <v>0.25</v>
      </c>
      <c r="Q124" s="335">
        <v>10887.5</v>
      </c>
      <c r="R124" s="797"/>
      <c r="S124" s="640" t="s">
        <v>353</v>
      </c>
      <c r="T124" s="667">
        <v>45869</v>
      </c>
      <c r="U124" s="662">
        <v>25633.880112339826</v>
      </c>
      <c r="V124" s="809"/>
      <c r="W124" s="681">
        <v>45980</v>
      </c>
      <c r="X124" s="806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803"/>
      <c r="J125" s="803"/>
      <c r="K125" s="264"/>
      <c r="L125" s="332">
        <v>10</v>
      </c>
      <c r="M125" s="427" t="s">
        <v>410</v>
      </c>
      <c r="N125" s="333" t="s">
        <v>356</v>
      </c>
      <c r="O125" s="565"/>
      <c r="P125" s="572">
        <v>0.1</v>
      </c>
      <c r="Q125" s="335">
        <f t="shared" si="9"/>
        <v>4355</v>
      </c>
      <c r="R125" s="797"/>
      <c r="S125" s="640" t="s">
        <v>353</v>
      </c>
      <c r="T125" s="667">
        <v>45869</v>
      </c>
      <c r="U125" s="662">
        <v>10253.55204493593</v>
      </c>
      <c r="V125" s="809"/>
      <c r="W125" s="681">
        <v>45989</v>
      </c>
      <c r="X125" s="806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803"/>
      <c r="J126" s="803"/>
      <c r="K126" s="264"/>
      <c r="L126" s="332">
        <v>10</v>
      </c>
      <c r="M126" s="427" t="s">
        <v>410</v>
      </c>
      <c r="N126" s="333" t="s">
        <v>357</v>
      </c>
      <c r="O126" s="565"/>
      <c r="P126" s="572">
        <v>0.1</v>
      </c>
      <c r="Q126" s="335">
        <f t="shared" si="9"/>
        <v>4355</v>
      </c>
      <c r="R126" s="797"/>
      <c r="S126" s="640" t="s">
        <v>353</v>
      </c>
      <c r="T126" s="667">
        <v>45869</v>
      </c>
      <c r="U126" s="662">
        <v>10253.55204493593</v>
      </c>
      <c r="V126" s="809"/>
      <c r="W126" s="681">
        <v>45989</v>
      </c>
      <c r="X126" s="806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803"/>
      <c r="J127" s="803"/>
      <c r="K127" s="264"/>
      <c r="L127" s="332">
        <v>10</v>
      </c>
      <c r="M127" s="427" t="s">
        <v>410</v>
      </c>
      <c r="N127" s="333" t="s">
        <v>358</v>
      </c>
      <c r="O127" s="565"/>
      <c r="P127" s="572">
        <v>0.05</v>
      </c>
      <c r="Q127" s="335">
        <v>2177.5</v>
      </c>
      <c r="R127" s="797"/>
      <c r="S127" s="640" t="s">
        <v>353</v>
      </c>
      <c r="T127" s="667">
        <v>45869</v>
      </c>
      <c r="U127" s="662">
        <v>5126.776022467965</v>
      </c>
      <c r="V127" s="809"/>
      <c r="W127" s="543">
        <f>W100</f>
        <v>46003</v>
      </c>
      <c r="X127" s="806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803"/>
      <c r="J128" s="803"/>
      <c r="K128" s="264"/>
      <c r="L128" s="332">
        <v>10</v>
      </c>
      <c r="M128" s="427" t="s">
        <v>410</v>
      </c>
      <c r="N128" s="333" t="s">
        <v>359</v>
      </c>
      <c r="O128" s="565"/>
      <c r="P128" s="572">
        <v>0.05</v>
      </c>
      <c r="Q128" s="335">
        <v>2177.5</v>
      </c>
      <c r="R128" s="798"/>
      <c r="S128" s="640" t="s">
        <v>353</v>
      </c>
      <c r="T128" s="667">
        <v>45869</v>
      </c>
      <c r="U128" s="662">
        <v>5126.776022467965</v>
      </c>
      <c r="V128" s="809"/>
      <c r="W128" s="586">
        <f>W101</f>
        <v>46085</v>
      </c>
      <c r="X128" s="806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803"/>
      <c r="J129" s="803"/>
      <c r="K129" s="264"/>
      <c r="L129" s="332">
        <v>10</v>
      </c>
      <c r="M129" s="427" t="s">
        <v>410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809"/>
      <c r="W129" s="586"/>
      <c r="X129" s="806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803"/>
      <c r="J130" s="803"/>
      <c r="K130" s="264"/>
      <c r="L130" s="332">
        <v>10</v>
      </c>
      <c r="M130" s="427" t="s">
        <v>410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809"/>
      <c r="W130" s="586"/>
      <c r="X130" s="806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804"/>
      <c r="J131" s="804"/>
      <c r="K131" s="267"/>
      <c r="L131" s="265">
        <v>10</v>
      </c>
      <c r="M131" s="428" t="s">
        <v>410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810"/>
      <c r="W131" s="587"/>
      <c r="X131" s="807"/>
      <c r="Y131" s="474"/>
    </row>
    <row r="132" spans="1:25" ht="14.4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434</v>
      </c>
      <c r="D133" s="343" t="s">
        <v>435</v>
      </c>
      <c r="E133" s="275"/>
      <c r="F133" s="429"/>
      <c r="G133" s="276">
        <v>20008.000000000004</v>
      </c>
      <c r="H133" s="534">
        <v>45894</v>
      </c>
      <c r="I133" s="774">
        <f>SUM(G133:G137)</f>
        <v>290024</v>
      </c>
      <c r="J133" s="774">
        <f>F193</f>
        <v>322248.88888888888</v>
      </c>
      <c r="K133" s="277"/>
      <c r="L133" s="273">
        <v>11</v>
      </c>
      <c r="M133" s="343" t="s">
        <v>436</v>
      </c>
      <c r="N133" s="343" t="s">
        <v>435</v>
      </c>
      <c r="O133" s="275"/>
      <c r="P133" s="429"/>
      <c r="Q133" s="276">
        <v>12250</v>
      </c>
      <c r="R133" s="596"/>
      <c r="S133" s="633" t="s">
        <v>437</v>
      </c>
      <c r="T133" s="663">
        <v>46022</v>
      </c>
      <c r="U133" s="706">
        <v>282226.89760821866</v>
      </c>
      <c r="V133" s="762">
        <f>J133-SUM(U133:U137)</f>
        <v>1.4194645336829126E-3</v>
      </c>
      <c r="W133" s="534">
        <v>46045</v>
      </c>
      <c r="X133" s="759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438</v>
      </c>
      <c r="E134" s="306"/>
      <c r="F134" s="451"/>
      <c r="G134" s="307">
        <v>40016.000000000007</v>
      </c>
      <c r="H134" s="534">
        <v>45894</v>
      </c>
      <c r="I134" s="775"/>
      <c r="J134" s="775"/>
      <c r="K134" s="280"/>
      <c r="L134" s="303">
        <v>11</v>
      </c>
      <c r="M134" s="381" t="s">
        <v>436</v>
      </c>
      <c r="N134" s="305" t="s">
        <v>438</v>
      </c>
      <c r="O134" s="306"/>
      <c r="P134" s="451"/>
      <c r="Q134" s="307">
        <v>7500</v>
      </c>
      <c r="R134" s="643"/>
      <c r="S134" s="626" t="s">
        <v>439</v>
      </c>
      <c r="T134" s="655">
        <v>45869</v>
      </c>
      <c r="U134" s="657">
        <v>13028.368947251152</v>
      </c>
      <c r="V134" s="763"/>
      <c r="W134" s="527">
        <v>45899</v>
      </c>
      <c r="X134" s="760"/>
      <c r="Y134" s="474"/>
    </row>
    <row r="135" spans="1:25" ht="15" customHeight="1">
      <c r="B135" s="303">
        <v>11</v>
      </c>
      <c r="C135" s="305"/>
      <c r="D135" s="305" t="s">
        <v>440</v>
      </c>
      <c r="E135" s="306"/>
      <c r="F135" s="451"/>
      <c r="G135" s="307">
        <v>150000</v>
      </c>
      <c r="H135" s="534">
        <v>45894</v>
      </c>
      <c r="I135" s="775"/>
      <c r="J135" s="775"/>
      <c r="K135" s="280"/>
      <c r="L135" s="303">
        <v>11</v>
      </c>
      <c r="M135" s="381" t="s">
        <v>436</v>
      </c>
      <c r="N135" s="305" t="s">
        <v>440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63"/>
      <c r="W135" s="573"/>
      <c r="X135" s="760"/>
      <c r="Y135" s="474"/>
    </row>
    <row r="136" spans="1:25" ht="15" customHeight="1">
      <c r="B136" s="303">
        <v>11</v>
      </c>
      <c r="C136" s="379"/>
      <c r="D136" s="379" t="s">
        <v>441</v>
      </c>
      <c r="E136" s="398"/>
      <c r="F136" s="436"/>
      <c r="G136" s="378">
        <v>80000</v>
      </c>
      <c r="H136" s="528">
        <v>45894</v>
      </c>
      <c r="I136" s="775"/>
      <c r="J136" s="775"/>
      <c r="K136" s="280"/>
      <c r="L136" s="303">
        <v>11</v>
      </c>
      <c r="M136" s="381" t="s">
        <v>436</v>
      </c>
      <c r="N136" s="379" t="s">
        <v>442</v>
      </c>
      <c r="O136" s="398"/>
      <c r="P136" s="436"/>
      <c r="Q136" s="378">
        <v>8100</v>
      </c>
      <c r="R136" s="590" t="s">
        <v>443</v>
      </c>
      <c r="S136" s="627" t="s">
        <v>444</v>
      </c>
      <c r="T136" s="666">
        <v>45991</v>
      </c>
      <c r="U136" s="683">
        <v>26993.620913954528</v>
      </c>
      <c r="V136" s="763"/>
      <c r="W136" s="692">
        <v>46009</v>
      </c>
      <c r="X136" s="760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76"/>
      <c r="J137" s="776"/>
      <c r="K137" s="281"/>
      <c r="L137" s="308">
        <v>11</v>
      </c>
      <c r="M137" s="411" t="s">
        <v>436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4"/>
      <c r="W137" s="575"/>
      <c r="X137" s="761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445</v>
      </c>
      <c r="D139" s="262"/>
      <c r="E139" s="263"/>
      <c r="F139" s="462"/>
      <c r="G139" s="330"/>
      <c r="H139" s="541"/>
      <c r="I139" s="802">
        <f>SUM(G139:G140)</f>
        <v>0</v>
      </c>
      <c r="J139" s="802">
        <v>0</v>
      </c>
      <c r="K139" s="814"/>
      <c r="L139" s="261">
        <v>12</v>
      </c>
      <c r="M139" s="262" t="s">
        <v>446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805">
        <f>SUM(Q139:Q140)</f>
        <v>0</v>
      </c>
      <c r="Y139" s="474"/>
    </row>
    <row r="140" spans="1:25" ht="15" customHeight="1" thickBot="1">
      <c r="B140" s="265">
        <v>12</v>
      </c>
      <c r="C140" s="336" t="s">
        <v>445</v>
      </c>
      <c r="D140" s="336"/>
      <c r="E140" s="337"/>
      <c r="F140" s="464"/>
      <c r="G140" s="266"/>
      <c r="H140" s="544"/>
      <c r="I140" s="804"/>
      <c r="J140" s="804"/>
      <c r="K140" s="815"/>
      <c r="L140" s="265">
        <v>12</v>
      </c>
      <c r="M140" s="336" t="s">
        <v>446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807"/>
      <c r="Y140" s="474"/>
    </row>
    <row r="141" spans="1:25" ht="14.4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447</v>
      </c>
      <c r="D142" s="343" t="s">
        <v>448</v>
      </c>
      <c r="E142" s="275"/>
      <c r="F142" s="429"/>
      <c r="G142" s="276">
        <v>64103.950297101452</v>
      </c>
      <c r="H142" s="534">
        <v>45900</v>
      </c>
      <c r="I142" s="774">
        <f>SUM(G142:G146)</f>
        <v>64103.950297101452</v>
      </c>
      <c r="J142" s="774">
        <f>F192</f>
        <v>72845.39806488801</v>
      </c>
      <c r="K142" s="277"/>
      <c r="L142" s="273">
        <v>13</v>
      </c>
      <c r="M142" s="343" t="s">
        <v>449</v>
      </c>
      <c r="N142" s="343" t="s">
        <v>450</v>
      </c>
      <c r="O142" s="550"/>
      <c r="P142" s="429"/>
      <c r="Q142" s="276">
        <f>'Project Plan'!$E$6*1.25%</f>
        <v>79441.873960413388</v>
      </c>
      <c r="R142" s="596"/>
      <c r="S142" s="633" t="s">
        <v>451</v>
      </c>
      <c r="T142" s="663">
        <v>46081</v>
      </c>
      <c r="U142" s="503">
        <f t="shared" ref="U142:U147" si="11">(Q142/$X$142*$J$142)</f>
        <v>72845.39806488801</v>
      </c>
      <c r="V142" s="762">
        <f>J142-SUM(U142:U147)</f>
        <v>0</v>
      </c>
      <c r="W142" s="580">
        <v>46112</v>
      </c>
      <c r="X142" s="759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75"/>
      <c r="J143" s="775"/>
      <c r="K143" s="280"/>
      <c r="L143" s="303">
        <v>13</v>
      </c>
      <c r="M143" s="381" t="s">
        <v>449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63"/>
      <c r="W143" s="573"/>
      <c r="X143" s="760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75"/>
      <c r="J144" s="775"/>
      <c r="K144" s="280"/>
      <c r="L144" s="303">
        <v>13</v>
      </c>
      <c r="M144" s="381" t="s">
        <v>449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63"/>
      <c r="W144" s="573"/>
      <c r="X144" s="760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75"/>
      <c r="J145" s="775"/>
      <c r="K145" s="280"/>
      <c r="L145" s="303">
        <v>13</v>
      </c>
      <c r="M145" s="381" t="s">
        <v>449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63"/>
      <c r="W145" s="573"/>
      <c r="X145" s="760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75"/>
      <c r="J146" s="775"/>
      <c r="K146" s="280"/>
      <c r="L146" s="303">
        <v>13</v>
      </c>
      <c r="M146" s="381" t="s">
        <v>449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63"/>
      <c r="W146" s="573"/>
      <c r="X146" s="760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76"/>
      <c r="J147" s="776"/>
      <c r="K147" s="356"/>
      <c r="L147" s="308">
        <v>13</v>
      </c>
      <c r="M147" s="411" t="s">
        <v>449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4"/>
      <c r="W147" s="575"/>
      <c r="X147" s="761"/>
      <c r="Y147" s="474"/>
    </row>
    <row r="148" spans="1:25" ht="14.4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802">
        <f>SUM(G149:G160)</f>
        <v>14000</v>
      </c>
      <c r="J149" s="802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808">
        <f>J149-SUM(U149:U160)</f>
        <v>-4.9699080955178943E-3</v>
      </c>
      <c r="W149" s="543">
        <v>45842</v>
      </c>
      <c r="X149" s="805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803"/>
      <c r="J150" s="803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809"/>
      <c r="W150" s="543">
        <v>45876</v>
      </c>
      <c r="X150" s="806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803"/>
      <c r="J151" s="803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809"/>
      <c r="W151" s="543">
        <v>45905</v>
      </c>
      <c r="X151" s="806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803"/>
      <c r="J152" s="803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809"/>
      <c r="W152" s="681">
        <v>45930</v>
      </c>
      <c r="X152" s="806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803"/>
      <c r="J153" s="803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809"/>
      <c r="W153" s="681">
        <v>45961</v>
      </c>
      <c r="X153" s="806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803"/>
      <c r="J154" s="803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809"/>
      <c r="W154" s="681">
        <v>45996</v>
      </c>
      <c r="X154" s="806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803"/>
      <c r="J155" s="803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809"/>
      <c r="W155" s="681">
        <v>46031</v>
      </c>
      <c r="X155" s="806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803"/>
      <c r="J156" s="803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809"/>
      <c r="W156" s="681">
        <f>T156+7</f>
        <v>46060</v>
      </c>
      <c r="X156" s="806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803"/>
      <c r="J157" s="803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809"/>
      <c r="W157" s="586">
        <f t="shared" ref="W157:W158" si="12">T157+7</f>
        <v>46088</v>
      </c>
      <c r="X157" s="806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803"/>
      <c r="J158" s="803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809"/>
      <c r="W158" s="586">
        <f t="shared" si="12"/>
        <v>46119</v>
      </c>
      <c r="X158" s="806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803"/>
      <c r="J159" s="803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809"/>
      <c r="W159" s="586"/>
      <c r="X159" s="806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804"/>
      <c r="J160" s="804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810"/>
      <c r="W160" s="587"/>
      <c r="X160" s="807"/>
      <c r="Y160" s="474"/>
    </row>
    <row r="161" spans="1:25" ht="14.4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74">
        <f>SUM(G162:G175)</f>
        <v>0</v>
      </c>
      <c r="J162" s="774">
        <f>F200</f>
        <v>0</v>
      </c>
      <c r="K162" s="277"/>
      <c r="L162" s="713">
        <v>15</v>
      </c>
      <c r="M162" s="714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816" t="s">
        <v>460</v>
      </c>
      <c r="S162" s="633" t="s">
        <v>461</v>
      </c>
      <c r="T162" s="663">
        <v>46022</v>
      </c>
      <c r="U162" s="503"/>
      <c r="V162" s="762">
        <v>0</v>
      </c>
      <c r="W162" s="700">
        <v>46015</v>
      </c>
      <c r="X162" s="759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75"/>
      <c r="J163" s="775"/>
      <c r="K163" s="280"/>
      <c r="L163" s="278">
        <v>15</v>
      </c>
      <c r="M163" s="711" t="s">
        <v>458</v>
      </c>
      <c r="N163" s="279"/>
      <c r="O163" s="712"/>
      <c r="P163" s="444"/>
      <c r="Q163" s="710">
        <f>-Q162</f>
        <v>-15292.07</v>
      </c>
      <c r="R163" s="800"/>
      <c r="S163" s="633" t="s">
        <v>461</v>
      </c>
      <c r="T163" s="663">
        <v>46053</v>
      </c>
      <c r="U163" s="503"/>
      <c r="V163" s="763"/>
      <c r="W163" s="700">
        <v>46053</v>
      </c>
      <c r="X163" s="760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75"/>
      <c r="J164" s="775"/>
      <c r="K164" s="280"/>
      <c r="L164" s="278">
        <v>15</v>
      </c>
      <c r="M164" s="711" t="s">
        <v>458</v>
      </c>
      <c r="N164" s="279"/>
      <c r="O164" s="712"/>
      <c r="P164" s="444"/>
      <c r="Q164" s="710">
        <v>15292.04</v>
      </c>
      <c r="R164" s="800"/>
      <c r="S164" s="633" t="s">
        <v>461</v>
      </c>
      <c r="T164" s="663">
        <v>46053</v>
      </c>
      <c r="U164" s="503"/>
      <c r="V164" s="763"/>
      <c r="W164" s="700">
        <v>46053</v>
      </c>
      <c r="X164" s="760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75"/>
      <c r="J165" s="775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801"/>
      <c r="S165" s="633" t="s">
        <v>463</v>
      </c>
      <c r="T165" s="655">
        <v>46053</v>
      </c>
      <c r="U165" s="495"/>
      <c r="V165" s="763"/>
      <c r="W165" s="527">
        <v>46051</v>
      </c>
      <c r="X165" s="760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75"/>
      <c r="J166" s="775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63"/>
      <c r="W166" s="527">
        <v>46052</v>
      </c>
      <c r="X166" s="760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75"/>
      <c r="J167" s="775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63"/>
      <c r="W167" s="573"/>
      <c r="X167" s="760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75"/>
      <c r="J168" s="775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63"/>
      <c r="W168" s="573"/>
      <c r="X168" s="760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75"/>
      <c r="J169" s="775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63"/>
      <c r="W169" s="573"/>
      <c r="X169" s="760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75"/>
      <c r="J170" s="775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63"/>
      <c r="W170" s="573"/>
      <c r="X170" s="760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75"/>
      <c r="J171" s="775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63"/>
      <c r="W171" s="573"/>
      <c r="X171" s="760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75"/>
      <c r="J172" s="775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63"/>
      <c r="W172" s="573"/>
      <c r="X172" s="760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75"/>
      <c r="J173" s="775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63"/>
      <c r="W173" s="573"/>
      <c r="X173" s="760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75"/>
      <c r="J174" s="775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63"/>
      <c r="W174" s="573"/>
      <c r="X174" s="760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76"/>
      <c r="J175" s="776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64"/>
      <c r="W175" s="575"/>
      <c r="X175" s="761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343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378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361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  <mergeCell ref="I139:I140"/>
    <mergeCell ref="J139:J140"/>
    <mergeCell ref="K139:K140"/>
    <mergeCell ref="X139:X140"/>
    <mergeCell ref="V133:V137"/>
    <mergeCell ref="I133:I137"/>
    <mergeCell ref="J133:J137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B2:G2"/>
    <mergeCell ref="L2:Q2"/>
    <mergeCell ref="I6:I11"/>
    <mergeCell ref="J6:J11"/>
    <mergeCell ref="R2:W2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X6:X11"/>
    <mergeCell ref="V6:V11"/>
    <mergeCell ref="V13:V19"/>
    <mergeCell ref="V21:V26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488</v>
      </c>
      <c r="B2" s="184"/>
      <c r="C2" s="185" t="s">
        <v>302</v>
      </c>
      <c r="D2" s="185" t="s">
        <v>302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215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217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206</v>
      </c>
      <c r="B8" s="184"/>
      <c r="C8" s="185" t="s">
        <v>302</v>
      </c>
      <c r="D8" s="185" t="s">
        <v>302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494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338872.52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84000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4099829.98</v>
      </c>
      <c r="AY12" s="206">
        <f t="shared" si="111"/>
        <v>4101173.5</v>
      </c>
      <c r="AZ12" s="206">
        <f t="shared" si="111"/>
        <v>4254195.21</v>
      </c>
      <c r="BA12" s="206">
        <f t="shared" si="111"/>
        <v>4262295.21</v>
      </c>
      <c r="BB12" s="206">
        <f t="shared" si="111"/>
        <v>4277587.28</v>
      </c>
      <c r="BC12" s="206">
        <f t="shared" si="111"/>
        <v>4278437.28</v>
      </c>
      <c r="BD12" s="206">
        <f t="shared" si="111"/>
        <v>4525457.28</v>
      </c>
      <c r="BE12" s="206">
        <f t="shared" si="111"/>
        <v>4533166.4800000004</v>
      </c>
      <c r="BF12" s="206">
        <f t="shared" si="111"/>
        <v>4545416.4800000004</v>
      </c>
      <c r="BG12" s="206">
        <f t="shared" si="111"/>
        <v>4567258.49</v>
      </c>
      <c r="BH12" s="206">
        <f t="shared" si="111"/>
        <v>4567818.49</v>
      </c>
      <c r="BI12" s="206">
        <f t="shared" si="111"/>
        <v>4567818.49</v>
      </c>
      <c r="BJ12" s="206">
        <f t="shared" si="111"/>
        <v>4567818.49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1302217.449308109</v>
      </c>
      <c r="AY14" s="199">
        <f t="shared" si="134"/>
        <v>1300873.929308109</v>
      </c>
      <c r="AZ14" s="199">
        <f t="shared" si="134"/>
        <v>1147852.219308109</v>
      </c>
      <c r="BA14" s="199">
        <f t="shared" si="134"/>
        <v>1775287.2109914161</v>
      </c>
      <c r="BB14" s="199">
        <f t="shared" si="134"/>
        <v>1759995.1409914158</v>
      </c>
      <c r="BC14" s="199">
        <f t="shared" si="134"/>
        <v>1759145.1409914158</v>
      </c>
      <c r="BD14" s="199">
        <f t="shared" si="134"/>
        <v>1512125.1409914158</v>
      </c>
      <c r="BE14" s="199">
        <f t="shared" si="134"/>
        <v>1504415.9409914156</v>
      </c>
      <c r="BF14" s="199">
        <f t="shared" si="134"/>
        <v>1492165.9409914156</v>
      </c>
      <c r="BG14" s="199">
        <f t="shared" si="134"/>
        <v>1470323.9309914159</v>
      </c>
      <c r="BH14" s="199">
        <f t="shared" si="134"/>
        <v>1469763.9309914159</v>
      </c>
      <c r="BI14" s="199">
        <f t="shared" si="134"/>
        <v>1787531.426833069</v>
      </c>
      <c r="BJ14" s="199">
        <f t="shared" si="134"/>
        <v>1787531.426833069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302</v>
      </c>
      <c r="D16" s="185" t="s">
        <v>302</v>
      </c>
    </row>
    <row r="17" spans="1:1359">
      <c r="A17" s="819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28515625" defaultRowHeight="14.45"/>
  <cols>
    <col min="1" max="1" width="36" style="358" bestFit="1" customWidth="1"/>
    <col min="2" max="2" width="15.28515625" style="359" bestFit="1" customWidth="1"/>
    <col min="3" max="4" width="13.7109375" style="358" bestFit="1" customWidth="1"/>
    <col min="5" max="5" width="12.28515625" style="358" bestFit="1" customWidth="1"/>
    <col min="6" max="6" width="10.42578125" style="358" bestFit="1" customWidth="1"/>
    <col min="7" max="9" width="12.28515625" style="358" bestFit="1" customWidth="1"/>
    <col min="10" max="10" width="6" style="358" bestFit="1" customWidth="1"/>
    <col min="11" max="12" width="11.140625" style="358" bestFit="1" customWidth="1"/>
    <col min="13" max="13" width="10.42578125" style="358" bestFit="1" customWidth="1"/>
    <col min="14" max="14" width="13.7109375" style="358" bestFit="1" customWidth="1"/>
    <col min="15" max="15" width="14.85546875" style="358" bestFit="1" customWidth="1"/>
    <col min="16" max="18" width="11.42578125" style="358" bestFit="1" customWidth="1"/>
    <col min="19" max="19" width="13.5703125" style="358" bestFit="1" customWidth="1"/>
    <col min="20" max="16384" width="12.28515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306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318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329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341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362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379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389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401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410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436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449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446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387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C4" sqref="C4:M4"/>
    </sheetView>
  </sheetViews>
  <sheetFormatPr defaultColWidth="8.42578125" defaultRowHeight="14.45"/>
  <cols>
    <col min="1" max="1" width="20.42578125" bestFit="1" customWidth="1"/>
    <col min="2" max="2" width="15.5703125" style="399" bestFit="1" customWidth="1"/>
    <col min="3" max="3" width="13.7109375" style="399" bestFit="1" customWidth="1"/>
    <col min="4" max="5" width="12.28515625" style="399" bestFit="1" customWidth="1"/>
    <col min="6" max="6" width="11.140625" style="399" bestFit="1" customWidth="1"/>
    <col min="7" max="8" width="12.28515625" style="399" bestFit="1" customWidth="1"/>
    <col min="9" max="9" width="11.140625" style="399" bestFit="1" customWidth="1"/>
    <col min="10" max="10" width="12" bestFit="1" customWidth="1"/>
    <col min="11" max="12" width="11.140625" bestFit="1" customWidth="1"/>
    <col min="13" max="13" width="10.42578125" bestFit="1" customWidth="1"/>
    <col min="14" max="14" width="13.7109375" bestFit="1" customWidth="1"/>
    <col min="15" max="15" width="14.855468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306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318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329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341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362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379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389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401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410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436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449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446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387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505</v>
      </c>
    </row>
    <row r="2" spans="1:4">
      <c r="A2" s="821"/>
      <c r="B2" s="821"/>
      <c r="C2" s="821"/>
      <c r="D2" s="71"/>
    </row>
    <row r="3" spans="1:4">
      <c r="A3" s="820" t="s">
        <v>506</v>
      </c>
      <c r="B3" s="820"/>
      <c r="C3" s="820"/>
      <c r="D3" s="111">
        <v>0.32</v>
      </c>
    </row>
    <row r="4" spans="1:4">
      <c r="A4" s="820" t="s">
        <v>474</v>
      </c>
      <c r="B4" s="820"/>
      <c r="C4" s="820"/>
      <c r="D4" s="111">
        <v>0.5</v>
      </c>
    </row>
    <row r="5" spans="1:4">
      <c r="A5" s="820" t="s">
        <v>485</v>
      </c>
      <c r="B5" s="820"/>
      <c r="C5" s="820"/>
      <c r="D5" s="111">
        <v>0.15</v>
      </c>
    </row>
    <row r="6" spans="1:4">
      <c r="A6" s="820" t="s">
        <v>507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22" t="s">
        <v>508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22" t="s">
        <v>527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538</v>
      </c>
      <c r="C32" s="103"/>
      <c r="D32" s="103"/>
    </row>
    <row r="33" spans="2:4" ht="13.9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5703125" bestFit="1" customWidth="1"/>
  </cols>
  <sheetData>
    <row r="1" spans="2:14">
      <c r="B1" s="824" t="str">
        <f>D15</f>
        <v>Blackheath Park</v>
      </c>
      <c r="C1" s="824"/>
      <c r="D1" s="824"/>
      <c r="E1" s="823" t="s">
        <v>540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D141CE4B-00FB-40F8-9406-5904CF8D506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2026-03-02T12:56:59Z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