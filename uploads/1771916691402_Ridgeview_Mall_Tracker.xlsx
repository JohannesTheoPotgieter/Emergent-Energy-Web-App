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" documentId="13_ncr:1_{7555EFAC-2CE3-4750-A639-D7E7B14543EB}" xr6:coauthVersionLast="47" xr6:coauthVersionMax="47" xr10:uidLastSave="{5571D209-2A3A-41D0-8684-95DC809BF8F3}"/>
  <bookViews>
    <workbookView xWindow="-28920" yWindow="720" windowWidth="29040" windowHeight="15720" tabRatio="779" firstSheet="2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619" r:id="rId17"/>
    <pivotCache cacheId="62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W110" i="4"/>
  <c r="W111" i="4" s="1"/>
  <c r="T111" i="4" s="1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AK11" i="6" s="1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T110" i="4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H11" i="6" l="1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<sst xmlns="http://schemas.openxmlformats.org/spreadsheetml/2006/main" count="834" uniqueCount="521">
  <si>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</si>
  <si>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</si>
  <si>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</si>
  <si>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</si>
  <si>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</si>
  <si>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</si>
  <si>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</si>
  <si>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</si>
  <si>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</si>
  <si>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</si>
  <si>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</si>
  <si>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</si>
  <si>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</si>
  <si>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</si>
  <si>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</si>
  <si>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</si>
  <si>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</si>
  <si>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</si>
  <si>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</si>
  <si>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</si>
  <si>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</si>
  <si>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</si>
  <si>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</si>
  <si>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</si>
  <si>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</si>
  <si>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</si>
  <si>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</si>
  <si>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</si>
  <si>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</si>
  <si>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</si>
  <si>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</si>
  <si>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</si>
  <si>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</si>
  <si>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</si>
  <si>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</si>
  <si>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</si>
  <si>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</si>
  <si>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</si>
  <si>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</si>
  <si>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</si>
  <si>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</si>
  <si>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</si>
  <si>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</si>
  <si>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</si>
  <si>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</si>
  <si>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</si>
  <si>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</si>
  <si>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</si>
  <si>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</si>
  <si>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</si>
  <si>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</si>
  <si>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</si>
  <si>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</si>
  <si>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</si>
  <si>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</si>
  <si>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</si>
  <si>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</si>
  <si>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</si>
  <si>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</si>
  <si>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</si>
  <si>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</si>
  <si>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</si>
  <si>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</si>
  <si>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</si>
  <si>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</si>
  <si>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</si>
  <si>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</si>
  <si>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</si>
  <si>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</si>
  <si>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</si>
  <si>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</si>
  <si>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</si>
  <si>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</si>
  <si>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</si>
  <si>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</si>
  <si>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</si>
  <si>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</si>
  <si>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</si>
  <si>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</si>
  <si>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</si>
  <si>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</si>
  <si>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</si>
  <si>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</si>
  <si>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</si>
  <si>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</si>
  <si>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</si>
  <si>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</si>
  <si>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</si>
  <si>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</si>
  <si>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</si>
  <si>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</si>
  <si>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</si>
  <si>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</si>
  <si>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</si>
  <si>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</si>
  <si>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</si>
  <si>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</si>
  <si>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</si>
  <si>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</si>
  <si>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</si>
  <si>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</si>
  <si>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</si>
  <si>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</si>
  <si>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</si>
  <si>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</si>
  <si>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</si>
  <si>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</si>
  <si>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</si>
  <si>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</si>
  <si>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</si>
  <si>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</si>
  <si>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</si>
  <si>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</si>
  <si>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</si>
  <si>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</si>
  <si>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</si>
  <si>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</si>
  <si>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</si>
  <si>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</si>
  <si>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</si>
  <si>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</si>
  <si>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</si>
  <si>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</si>
  <si>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</si>
  <si>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</si>
  <si>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</si>
  <si>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</si>
  <si>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</si>
  <si>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</si>
  <si>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</si>
  <si>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</si>
  <si>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</si>
  <si>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</si>
  <si>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</si>
  <si>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</si>
  <si>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</si>
  <si>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</si>
  <si>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</si>
  <si>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</si>
  <si>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</si>
  <si>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</si>
  <si>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</si>
  <si>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</si>
  <si>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</si>
  <si>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</si>
  <si>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</si>
  <si>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</si>
  <si>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</si>
  <si>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</si>
  <si>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</si>
  <si>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</si>
  <si>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</si>
  <si>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</si>
  <si>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</si>
  <si>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</si>
  <si>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</si>
  <si>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</si>
  <si>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</si>
  <si>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</si>
  <si>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</si>
  <si>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</si>
  <si>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</si>
  <si>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</si>
  <si>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</si>
  <si>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</si>
  <si>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</si>
  <si>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</si>
  <si>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</si>
  <si>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</si>
  <si>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</si>
  <si>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</si>
  <si>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</si>
  <si>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</si>
  <si>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</si>
  <si>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</si>
  <si>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</si>
  <si>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</si>
  <si>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</si>
  <si>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</si>
  <si>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</si>
  <si>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</si>
  <si>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</si>
  <si>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</si>
  <si>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</si>
  <si>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</si>
  <si>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</si>
  <si>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</si>
  <si>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</si>
  <si>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</si>
  <si>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</si>
  <si>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</si>
  <si>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</si>
  <si>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</si>
  <si>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</si>
  <si>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</si>
  <si>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</si>
  <si>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</si>
  <si>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</si>
  <si>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</si>
  <si>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</si>
  <si>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</si>
  <si>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</si>
  <si>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</si>
  <si>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</si>
  <si>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</si>
  <si>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</si>
  <si>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</si>
  <si>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</si>
  <si>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</si>
  <si>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</si>
  <si>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</si>
  <si>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</si>
  <si>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</si>
  <si>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</si>
  <si>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</si>
  <si>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</si>
  <si>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</si>
  <si>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</si>
  <si>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</si>
  <si>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</si>
  <si>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</si>
  <si>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</si>
  <si>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</si>
  <si>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</si>
  <si>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</si>
  <si>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</si>
  <si>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</si>
  <si>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</si>
  <si>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</si>
  <si>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</si>
  <si>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</si>
  <si>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</si>
  <si>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</si>
  <si>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</si>
  <si>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</si>
  <si>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</si>
  <si>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</si>
  <si>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</si>
  <si>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</si>
  <si>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</si>
  <si>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</si>
  <si>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</si>
  <si>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</si>
  <si>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</si>
  <si>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</si>
  <si>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</si>
  <si>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</si>
  <si>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</si>
  <si>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</si>
  <si>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</si>
  <si>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</si>
  <si>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</si>
  <si>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</si>
  <si>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</si>
  <si>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</si>
  <si>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</si>
  <si>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</si>
  <si>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</si>
  <si>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</si>
  <si>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</si>
  <si>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</si>
  <si>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</si>
  <si>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</si>
  <si>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</si>
  <si>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</si>
  <si>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</si>
  <si>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</si>
  <si>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</si>
  <si>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</si>
  <si>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</si>
  <si>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</si>
  <si>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</si>
  <si>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</si>
  <si>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</si>
  <si>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</si>
  <si>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</si>
  <si>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</si>
  <si>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</si>
  <si>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</si>
  <si>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</si>
  <si>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</si>
  <si>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</si>
  <si>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</si>
  <si>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</si>
  <si>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</si>
  <si>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</si>
  <si>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</si>
  <si>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</si>
  <si>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</si>
  <si>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</si>
  <si>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</si>
  <si>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</si>
  <si>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</si>
  <si>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</si>
  <si>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</si>
  <si>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</si>
  <si>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</si>
  <si>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</si>
  <si>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</si>
  <si>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</si>
  <si>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</si>
  <si>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</si>
  <si>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</si>
  <si>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</si>
  <si>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</si>
  <si>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</si>
  <si>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</si>
  <si>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 xml:space="preserve">3P Breaker moved to Stock 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</si>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</sst>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_-* #,##0_-;\-* #,##0_-;_-* &quot;-&quot;??_-;_-@_-"/>
    <numFmt numFmtId="172" formatCode="#,##0_ ;\-#,##0\ "/>
    <numFmt numFmtId="173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6" fontId="13" fillId="11" borderId="90" xfId="3" applyFont="1" applyFill="1" applyBorder="1" applyAlignment="1" applyProtection="1">
      <alignment horizontal="center"/>
      <protection locked="0"/>
    </xf>
    <xf numFmtId="166" fontId="13" fillId="11" borderId="91" xfId="3" applyFont="1" applyFill="1" applyBorder="1" applyAlignment="1" applyProtection="1">
      <alignment horizontal="center"/>
      <protection locked="0"/>
    </xf>
    <xf numFmtId="166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2" xfId="0" applyNumberFormat="1" applyFont="1" applyFill="1" applyBorder="1" applyAlignment="1" applyProtection="1">
      <alignment horizontal="center" vertical="center"/>
      <protection locked="0"/>
    </xf>
    <xf numFmtId="171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6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6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73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6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6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166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6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66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6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6" fontId="6" fillId="11" borderId="77" xfId="3" applyFont="1" applyFill="1" applyBorder="1" applyAlignment="1" applyProtection="1">
      <alignment horizontal="center"/>
      <protection locked="0"/>
    </xf>
    <xf numFmtId="166" fontId="6" fillId="11" borderId="78" xfId="3" applyFont="1" applyFill="1" applyBorder="1" applyAlignment="1" applyProtection="1">
      <alignment horizontal="center"/>
      <protection locked="0"/>
    </xf>
    <xf numFmtId="166" fontId="6" fillId="10" borderId="96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7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6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6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3" borderId="57" xfId="0" applyNumberFormat="1" applyFont="1" applyFill="1" applyBorder="1" applyAlignment="1" applyProtection="1">
      <alignment horizontal="center" vertical="center"/>
      <protection locked="0"/>
    </xf>
    <xf numFmtId="167" fontId="7" fillId="13" borderId="94" xfId="0" applyNumberFormat="1" applyFont="1" applyFill="1" applyBorder="1" applyAlignment="1" applyProtection="1">
      <alignment horizontal="center" vertical="center"/>
      <protection locked="0"/>
    </xf>
    <xf numFmtId="167" fontId="7" fillId="13" borderId="56" xfId="0" applyNumberFormat="1" applyFont="1" applyFill="1" applyBorder="1" applyAlignment="1" applyProtection="1">
      <alignment horizontal="center" vertical="center"/>
      <protection locked="0"/>
    </xf>
    <xf numFmtId="167" fontId="7" fillId="13" borderId="8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66" fontId="13" fillId="11" borderId="28" xfId="3" applyFont="1" applyFill="1" applyBorder="1" applyAlignment="1" applyProtection="1">
      <alignment horizontal="center" vertical="center"/>
      <protection locked="0"/>
    </xf>
    <xf numFmtId="166" fontId="13" fillId="11" borderId="47" xfId="3" applyFont="1" applyFill="1" applyBorder="1" applyAlignment="1" applyProtection="1">
      <alignment horizontal="center" vertical="center"/>
      <protection locked="0"/>
    </xf>
    <xf numFmtId="166" fontId="13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0711F3A-C130-4F95-90EF-C2F9CBCB63A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6B8839-A63B-440B-8290-7512656F558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0E1B73-F341-41ED-A29E-FDE5BD037AF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CE11B0-594C-4DB2-A139-5C2B62A8291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4A124E-A4EA-4B4D-9A02-9AD9BC98BE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755879-B129-4BA6-A67F-6495C8D3927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3971A0-009E-4CD4-9985-18E1F81722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3A0CC5-4370-490C-9EFA-2270852854C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3971860.0575003629</c:v>
                </c:pt>
                <c:pt idx="32">
                  <c:v>3971860.0575003629</c:v>
                </c:pt>
                <c:pt idx="33">
                  <c:v>3976960.0575003629</c:v>
                </c:pt>
                <c:pt idx="34">
                  <c:v>3976960.0575003629</c:v>
                </c:pt>
                <c:pt idx="35">
                  <c:v>3976960.0575003629</c:v>
                </c:pt>
                <c:pt idx="36">
                  <c:v>3980434.0475003631</c:v>
                </c:pt>
                <c:pt idx="37">
                  <c:v>3980434.0475003631</c:v>
                </c:pt>
                <c:pt idx="38">
                  <c:v>3980434.0475003631</c:v>
                </c:pt>
                <c:pt idx="39">
                  <c:v>3980434.0475003631</c:v>
                </c:pt>
                <c:pt idx="40">
                  <c:v>3980434.0475003631</c:v>
                </c:pt>
                <c:pt idx="41">
                  <c:v>3980434.0475003631</c:v>
                </c:pt>
                <c:pt idx="42">
                  <c:v>3980434.0475003631</c:v>
                </c:pt>
                <c:pt idx="43">
                  <c:v>3980434.0475003631</c:v>
                </c:pt>
                <c:pt idx="44">
                  <c:v>3980434.0475003631</c:v>
                </c:pt>
                <c:pt idx="45">
                  <c:v>3980434.0475003631</c:v>
                </c:pt>
                <c:pt idx="46">
                  <c:v>3980434.0475003631</c:v>
                </c:pt>
                <c:pt idx="47">
                  <c:v>3980434.0475003631</c:v>
                </c:pt>
                <c:pt idx="48">
                  <c:v>3980434.0475003631</c:v>
                </c:pt>
                <c:pt idx="49">
                  <c:v>3980434.0475003631</c:v>
                </c:pt>
                <c:pt idx="50">
                  <c:v>3980434.0475003631</c:v>
                </c:pt>
                <c:pt idx="51">
                  <c:v>3980434.0475003631</c:v>
                </c:pt>
                <c:pt idx="52">
                  <c:v>3980434.0475003631</c:v>
                </c:pt>
                <c:pt idx="53">
                  <c:v>3980434.0475003631</c:v>
                </c:pt>
                <c:pt idx="54">
                  <c:v>3980434.0475003631</c:v>
                </c:pt>
                <c:pt idx="55">
                  <c:v>3980434.0475003631</c:v>
                </c:pt>
                <c:pt idx="56">
                  <c:v>3980434.0475003631</c:v>
                </c:pt>
                <c:pt idx="57">
                  <c:v>3980434.0475003631</c:v>
                </c:pt>
                <c:pt idx="58">
                  <c:v>3980434.0475003631</c:v>
                </c:pt>
                <c:pt idx="59">
                  <c:v>3980434.0475003631</c:v>
                </c:pt>
                <c:pt idx="60">
                  <c:v>3980434.0475003631</c:v>
                </c:pt>
                <c:pt idx="61">
                  <c:v>3980434.0475003631</c:v>
                </c:pt>
                <c:pt idx="62">
                  <c:v>4046134.0475003631</c:v>
                </c:pt>
                <c:pt idx="63">
                  <c:v>4046134.0475003631</c:v>
                </c:pt>
                <c:pt idx="64">
                  <c:v>4046134.0475003631</c:v>
                </c:pt>
                <c:pt idx="65">
                  <c:v>4046134.0475003631</c:v>
                </c:pt>
                <c:pt idx="66">
                  <c:v>4046134.0475003631</c:v>
                </c:pt>
                <c:pt idx="67">
                  <c:v>4046134.0475003631</c:v>
                </c:pt>
                <c:pt idx="68">
                  <c:v>4046134.0475003631</c:v>
                </c:pt>
                <c:pt idx="69">
                  <c:v>4046134.0475003631</c:v>
                </c:pt>
                <c:pt idx="70">
                  <c:v>4046134.0475003631</c:v>
                </c:pt>
                <c:pt idx="71">
                  <c:v>4046134.0475003631</c:v>
                </c:pt>
                <c:pt idx="72">
                  <c:v>4046134.0475003631</c:v>
                </c:pt>
                <c:pt idx="73">
                  <c:v>4046134.0475003631</c:v>
                </c:pt>
                <c:pt idx="74">
                  <c:v>4046134.0475003631</c:v>
                </c:pt>
                <c:pt idx="75">
                  <c:v>4046134.0475003631</c:v>
                </c:pt>
                <c:pt idx="76">
                  <c:v>4046134.0475003631</c:v>
                </c:pt>
                <c:pt idx="77">
                  <c:v>4046134.0475003631</c:v>
                </c:pt>
                <c:pt idx="78">
                  <c:v>4046134.0475003631</c:v>
                </c:pt>
                <c:pt idx="79">
                  <c:v>4046134.0475003631</c:v>
                </c:pt>
                <c:pt idx="80">
                  <c:v>4046134.0475003631</c:v>
                </c:pt>
                <c:pt idx="81">
                  <c:v>4046134.0475003631</c:v>
                </c:pt>
                <c:pt idx="82">
                  <c:v>4046134.0475003631</c:v>
                </c:pt>
                <c:pt idx="83">
                  <c:v>4046134.0475003631</c:v>
                </c:pt>
                <c:pt idx="84">
                  <c:v>4046134.0475003631</c:v>
                </c:pt>
                <c:pt idx="85">
                  <c:v>4046134.0475003631</c:v>
                </c:pt>
                <c:pt idx="86">
                  <c:v>4046134.0475003631</c:v>
                </c:pt>
                <c:pt idx="87">
                  <c:v>4046134.0475003631</c:v>
                </c:pt>
                <c:pt idx="88">
                  <c:v>4046134.0475003631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1841939.9425286767</c:v>
                </c:pt>
                <c:pt idx="32">
                  <c:v>1841939.9425286767</c:v>
                </c:pt>
                <c:pt idx="33">
                  <c:v>1836839.9425286767</c:v>
                </c:pt>
                <c:pt idx="34">
                  <c:v>1836839.9425286767</c:v>
                </c:pt>
                <c:pt idx="35">
                  <c:v>1836839.9425286767</c:v>
                </c:pt>
                <c:pt idx="36">
                  <c:v>1833365.9525286765</c:v>
                </c:pt>
                <c:pt idx="37">
                  <c:v>1833365.9525286765</c:v>
                </c:pt>
                <c:pt idx="38">
                  <c:v>1833365.9525286765</c:v>
                </c:pt>
                <c:pt idx="39">
                  <c:v>1833365.9525286765</c:v>
                </c:pt>
                <c:pt idx="40">
                  <c:v>1833365.9525286765</c:v>
                </c:pt>
                <c:pt idx="41">
                  <c:v>1833365.9525286765</c:v>
                </c:pt>
                <c:pt idx="42">
                  <c:v>1833365.9525286765</c:v>
                </c:pt>
                <c:pt idx="43">
                  <c:v>1833365.9525286765</c:v>
                </c:pt>
                <c:pt idx="44">
                  <c:v>1833365.9525286765</c:v>
                </c:pt>
                <c:pt idx="45">
                  <c:v>1833365.9525286765</c:v>
                </c:pt>
                <c:pt idx="46">
                  <c:v>1833365.9525286765</c:v>
                </c:pt>
                <c:pt idx="47">
                  <c:v>1833365.9525286765</c:v>
                </c:pt>
                <c:pt idx="48">
                  <c:v>1833365.9525286765</c:v>
                </c:pt>
                <c:pt idx="49">
                  <c:v>1833365.9525286765</c:v>
                </c:pt>
                <c:pt idx="50">
                  <c:v>1833365.9525286765</c:v>
                </c:pt>
                <c:pt idx="51">
                  <c:v>1833365.9525286765</c:v>
                </c:pt>
                <c:pt idx="52">
                  <c:v>1833365.9525286765</c:v>
                </c:pt>
                <c:pt idx="53">
                  <c:v>1833365.9525286765</c:v>
                </c:pt>
                <c:pt idx="54">
                  <c:v>1833365.9525286765</c:v>
                </c:pt>
                <c:pt idx="55">
                  <c:v>1833365.9525286765</c:v>
                </c:pt>
                <c:pt idx="56">
                  <c:v>1833365.9525286765</c:v>
                </c:pt>
                <c:pt idx="57">
                  <c:v>1871744.2125286763</c:v>
                </c:pt>
                <c:pt idx="58">
                  <c:v>1871744.2125286763</c:v>
                </c:pt>
                <c:pt idx="59">
                  <c:v>1871744.2125286763</c:v>
                </c:pt>
                <c:pt idx="60">
                  <c:v>1871744.2125286763</c:v>
                </c:pt>
                <c:pt idx="61">
                  <c:v>1871744.2125286763</c:v>
                </c:pt>
                <c:pt idx="62">
                  <c:v>1806044.2125286763</c:v>
                </c:pt>
                <c:pt idx="63">
                  <c:v>1806044.2125286763</c:v>
                </c:pt>
                <c:pt idx="64">
                  <c:v>1806044.2125286763</c:v>
                </c:pt>
                <c:pt idx="65">
                  <c:v>1806044.2125286763</c:v>
                </c:pt>
                <c:pt idx="66">
                  <c:v>1806044.2125286763</c:v>
                </c:pt>
                <c:pt idx="67">
                  <c:v>1806044.2125286763</c:v>
                </c:pt>
                <c:pt idx="68">
                  <c:v>1806044.2125286763</c:v>
                </c:pt>
                <c:pt idx="69">
                  <c:v>1806044.2125286763</c:v>
                </c:pt>
                <c:pt idx="70">
                  <c:v>1806044.2125286763</c:v>
                </c:pt>
                <c:pt idx="71">
                  <c:v>1806044.2125286763</c:v>
                </c:pt>
                <c:pt idx="72">
                  <c:v>1806044.2125286763</c:v>
                </c:pt>
                <c:pt idx="73">
                  <c:v>1806044.2125286763</c:v>
                </c:pt>
                <c:pt idx="74">
                  <c:v>1806044.2125286763</c:v>
                </c:pt>
                <c:pt idx="75">
                  <c:v>1806044.2125286763</c:v>
                </c:pt>
                <c:pt idx="76">
                  <c:v>1806044.2125286763</c:v>
                </c:pt>
                <c:pt idx="77">
                  <c:v>1806044.2125286763</c:v>
                </c:pt>
                <c:pt idx="78">
                  <c:v>1806044.2125286763</c:v>
                </c:pt>
                <c:pt idx="79">
                  <c:v>1806044.2125286763</c:v>
                </c:pt>
                <c:pt idx="80">
                  <c:v>1806044.2125286763</c:v>
                </c:pt>
                <c:pt idx="81">
                  <c:v>1806044.2125286763</c:v>
                </c:pt>
                <c:pt idx="82">
                  <c:v>1806044.2125286763</c:v>
                </c:pt>
                <c:pt idx="83">
                  <c:v>1806044.2125286763</c:v>
                </c:pt>
                <c:pt idx="84">
                  <c:v>1806044.2125286763</c:v>
                </c:pt>
                <c:pt idx="85">
                  <c:v>1806044.2125286763</c:v>
                </c:pt>
                <c:pt idx="86">
                  <c:v>1806044.2125286763</c:v>
                </c:pt>
                <c:pt idx="87">
                  <c:v>1806044.2125286763</c:v>
                </c:pt>
                <c:pt idx="88">
                  <c:v>1806044.2125286763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6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6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3" t="s">
        <v>57</v>
      </c>
      <c r="E47" s="853"/>
      <c r="F47" s="854"/>
      <c r="G47" s="67"/>
      <c r="I47" s="68"/>
      <c r="J47" s="68"/>
    </row>
    <row r="48" spans="1:49" ht="14.45" thickBot="1">
      <c r="C48" s="69">
        <v>44014</v>
      </c>
      <c r="D48" s="855"/>
      <c r="E48" s="855"/>
      <c r="F48" s="85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57" t="s">
        <v>58</v>
      </c>
      <c r="C2" s="858"/>
      <c r="D2" s="858"/>
      <c r="E2" s="858"/>
      <c r="F2" s="85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57" t="s">
        <v>69</v>
      </c>
      <c r="C16" s="858"/>
      <c r="D16" s="858"/>
      <c r="E16" s="858"/>
      <c r="F16" s="85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85" zoomScaleNormal="85" workbookViewId="0">
      <selection activeCell="F7" sqref="F7"/>
    </sheetView>
  </sheetViews>
  <sheetFormatPr defaultColWidth="8.42578125" defaultRowHeight="14.1"/>
  <cols>
    <col min="1" max="1" width="1.42578125" style="114" customWidth="1"/>
    <col min="2" max="2" width="6.42578125" style="191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8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46076</v>
      </c>
      <c r="O1" s="597">
        <f ca="1">TODAY()</f>
        <v>46076</v>
      </c>
      <c r="Q1" s="3"/>
    </row>
    <row r="2" spans="2:28">
      <c r="B2" s="225"/>
      <c r="C2" s="226" t="s">
        <v>0</v>
      </c>
      <c r="D2" s="227"/>
      <c r="E2" s="860" t="s">
        <v>73</v>
      </c>
      <c r="F2" s="861"/>
      <c r="G2" s="861"/>
      <c r="H2" s="862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63" t="s">
        <v>76</v>
      </c>
      <c r="F4" s="864"/>
      <c r="G4" s="864"/>
      <c r="H4" s="865"/>
      <c r="J4" s="115"/>
      <c r="Q4" s="3"/>
    </row>
    <row r="5" spans="2:28" s="114" customFormat="1">
      <c r="B5" s="228"/>
      <c r="C5" s="229" t="s">
        <v>77</v>
      </c>
      <c r="D5" s="227"/>
      <c r="E5" s="863" t="s">
        <v>78</v>
      </c>
      <c r="F5" s="864"/>
      <c r="G5" s="864"/>
      <c r="H5" s="865"/>
      <c r="J5" s="115"/>
      <c r="Q5" s="3"/>
    </row>
    <row r="6" spans="2:28">
      <c r="B6" s="233"/>
      <c r="C6" s="234" t="s">
        <v>79</v>
      </c>
      <c r="D6" s="227"/>
      <c r="E6" s="866">
        <v>5813800.0000290396</v>
      </c>
      <c r="F6" s="867"/>
      <c r="G6" s="867"/>
      <c r="H6" s="868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872" t="s">
        <v>82</v>
      </c>
      <c r="C8" s="873" t="s">
        <v>83</v>
      </c>
      <c r="D8" s="264"/>
      <c r="E8" s="871" t="s">
        <v>84</v>
      </c>
      <c r="F8" s="286" t="s">
        <v>85</v>
      </c>
      <c r="G8" s="871" t="s">
        <v>86</v>
      </c>
      <c r="H8" s="287"/>
      <c r="I8" s="871" t="s">
        <v>87</v>
      </c>
      <c r="J8" s="286" t="s">
        <v>85</v>
      </c>
      <c r="K8" s="871" t="s">
        <v>88</v>
      </c>
      <c r="M8" s="637" t="s">
        <v>60</v>
      </c>
      <c r="N8" s="637" t="s">
        <v>60</v>
      </c>
      <c r="O8" s="869" t="s">
        <v>89</v>
      </c>
      <c r="Z8" s="114"/>
      <c r="AA8" s="114"/>
      <c r="AB8" s="114"/>
    </row>
    <row r="9" spans="2:28">
      <c r="B9" s="872"/>
      <c r="C9" s="873"/>
      <c r="D9" s="264"/>
      <c r="E9" s="871"/>
      <c r="F9" s="128">
        <f>G42-E20</f>
        <v>74</v>
      </c>
      <c r="G9" s="871"/>
      <c r="H9" s="287"/>
      <c r="I9" s="871"/>
      <c r="J9" s="129">
        <f>K42-I20</f>
        <v>133</v>
      </c>
      <c r="K9" s="871"/>
      <c r="M9" s="482">
        <f>AVERAGE(M11,M19,M22,M29,M36,M40,M47,M44)</f>
        <v>1</v>
      </c>
      <c r="N9" s="482">
        <f>AVERAGE(N11,N19,N22,N29,N36,N40,N47,N44)</f>
        <v>1</v>
      </c>
      <c r="O9" s="870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6" zoomScale="85" zoomScaleNormal="85" workbookViewId="0">
      <selection activeCell="P6" sqref="P6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112.140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2.95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4046134.0475003636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1806044.2125286758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0.3086105945993029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1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2.95">
      <c r="B13" s="472">
        <v>1</v>
      </c>
      <c r="C13" s="874" t="s">
        <v>164</v>
      </c>
      <c r="D13" s="875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2.6">
      <c r="B14" s="157">
        <v>2</v>
      </c>
      <c r="C14" s="874" t="s">
        <v>166</v>
      </c>
      <c r="D14" s="875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2.6">
      <c r="B15" s="472">
        <v>3</v>
      </c>
      <c r="C15" s="874" t="s">
        <v>167</v>
      </c>
      <c r="D15" s="875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2.6">
      <c r="B16" s="472">
        <v>4</v>
      </c>
      <c r="C16" s="874" t="s">
        <v>134</v>
      </c>
      <c r="D16" s="875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2.6">
      <c r="B17" s="472">
        <v>5</v>
      </c>
      <c r="C17" s="876" t="s">
        <v>54</v>
      </c>
      <c r="D17" s="877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2.6">
      <c r="B18" s="472">
        <v>6</v>
      </c>
      <c r="C18" s="874" t="s">
        <v>168</v>
      </c>
      <c r="D18" s="875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>
        <v>46081</v>
      </c>
      <c r="R18" s="544"/>
      <c r="S18" s="144"/>
    </row>
    <row r="19" spans="2:19" s="93" customFormat="1" ht="12.6">
      <c r="B19" s="472">
        <v>7</v>
      </c>
      <c r="C19" s="874" t="s">
        <v>170</v>
      </c>
      <c r="D19" s="875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2.95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171</v>
      </c>
      <c r="C23" s="148" t="s">
        <v>172</v>
      </c>
      <c r="D23" s="148"/>
      <c r="F23" s="149"/>
    </row>
    <row r="24" spans="2:19" s="93" customFormat="1" ht="12.6">
      <c r="C24" s="150" t="s">
        <v>173</v>
      </c>
      <c r="D24" s="151"/>
      <c r="F24" s="152"/>
      <c r="H24" s="793">
        <f>(F13+F14+F15)*1.15</f>
        <v>5682989.5000283858</v>
      </c>
    </row>
    <row r="25" spans="2:19" s="93" customFormat="1" ht="12.6">
      <c r="C25" s="150" t="s">
        <v>174</v>
      </c>
      <c r="D25" s="151"/>
    </row>
    <row r="26" spans="2:19" s="93" customFormat="1" ht="12.6">
      <c r="C26" s="153" t="s">
        <v>175</v>
      </c>
      <c r="D26" s="154"/>
    </row>
    <row r="27" spans="2:19" s="93" customFormat="1" ht="12.6">
      <c r="C27" s="155" t="s">
        <v>176</v>
      </c>
      <c r="D27" s="151"/>
    </row>
    <row r="28" spans="2:19" s="93" customFormat="1" ht="12.6">
      <c r="B28" s="119"/>
      <c r="C28" s="155" t="s">
        <v>177</v>
      </c>
      <c r="D28" s="151"/>
    </row>
    <row r="29" spans="2:19" s="93" customFormat="1" ht="12.6">
      <c r="B29" s="119"/>
      <c r="C29" s="93" t="s">
        <v>178</v>
      </c>
    </row>
    <row r="30" spans="2:19" s="93" customFormat="1" ht="27.75" customHeight="1">
      <c r="B30" s="119"/>
      <c r="C30" s="156" t="s">
        <v>179</v>
      </c>
      <c r="D30" s="156"/>
      <c r="F30" s="152"/>
    </row>
    <row r="31" spans="2:19" s="93" customFormat="1" ht="12.6">
      <c r="B31" s="119"/>
      <c r="F31" s="149"/>
    </row>
    <row r="32" spans="2:19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180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181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182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183</v>
      </c>
      <c r="F2" s="83" t="s">
        <v>184</v>
      </c>
    </row>
    <row r="3" spans="3:8">
      <c r="C3" s="79">
        <v>45658</v>
      </c>
      <c r="D3" s="73" t="s">
        <v>185</v>
      </c>
      <c r="F3" s="81" t="s">
        <v>186</v>
      </c>
    </row>
    <row r="4" spans="3:8">
      <c r="C4" s="79">
        <v>45737</v>
      </c>
      <c r="D4" s="73" t="s">
        <v>187</v>
      </c>
      <c r="F4" s="81" t="s">
        <v>188</v>
      </c>
    </row>
    <row r="5" spans="3:8">
      <c r="C5" s="79">
        <v>45765</v>
      </c>
      <c r="D5" s="73" t="s">
        <v>189</v>
      </c>
      <c r="F5" s="81" t="s">
        <v>190</v>
      </c>
    </row>
    <row r="6" spans="3:8" ht="12.95" thickBot="1">
      <c r="C6" s="79">
        <v>45768</v>
      </c>
      <c r="D6" s="73" t="s">
        <v>191</v>
      </c>
      <c r="F6" s="82" t="s">
        <v>192</v>
      </c>
    </row>
    <row r="7" spans="3:8">
      <c r="C7" s="79">
        <v>45774</v>
      </c>
      <c r="D7" s="73" t="s">
        <v>193</v>
      </c>
    </row>
    <row r="8" spans="3:8">
      <c r="C8" s="79">
        <v>45765</v>
      </c>
      <c r="D8" s="73" t="s">
        <v>194</v>
      </c>
    </row>
    <row r="9" spans="3:8">
      <c r="C9" s="79">
        <v>45778</v>
      </c>
      <c r="D9" s="73" t="s">
        <v>195</v>
      </c>
    </row>
    <row r="10" spans="3:8">
      <c r="C10" s="79">
        <v>45824</v>
      </c>
      <c r="D10" s="73" t="s">
        <v>196</v>
      </c>
    </row>
    <row r="11" spans="3:8">
      <c r="C11" s="79">
        <v>45878</v>
      </c>
      <c r="D11" s="73" t="s">
        <v>197</v>
      </c>
    </row>
    <row r="12" spans="3:8">
      <c r="C12" s="79">
        <v>45924</v>
      </c>
      <c r="D12" s="73" t="s">
        <v>198</v>
      </c>
    </row>
    <row r="13" spans="3:8">
      <c r="C13" s="79">
        <v>46007</v>
      </c>
      <c r="D13" s="73" t="s">
        <v>199</v>
      </c>
      <c r="F13" s="85"/>
      <c r="H13" s="73" t="s">
        <v>200</v>
      </c>
    </row>
    <row r="14" spans="3:8">
      <c r="C14" s="79">
        <v>46016</v>
      </c>
      <c r="D14" s="73" t="s">
        <v>201</v>
      </c>
    </row>
    <row r="15" spans="3:8" ht="12.95" thickBot="1">
      <c r="C15" s="80">
        <v>46017</v>
      </c>
      <c r="D15" s="7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N7" sqref="N7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203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878"/>
      <c r="C4" s="878"/>
      <c r="D4" s="878"/>
      <c r="E4" s="639"/>
      <c r="F4" s="269" t="s">
        <v>204</v>
      </c>
      <c r="G4" s="264"/>
      <c r="H4" s="269" t="s">
        <v>145</v>
      </c>
      <c r="I4" s="264"/>
      <c r="J4" s="269" t="s">
        <v>146</v>
      </c>
      <c r="K4" s="264"/>
      <c r="L4" s="270" t="s">
        <v>205</v>
      </c>
      <c r="M4" s="114"/>
      <c r="N4" s="270" t="s">
        <v>206</v>
      </c>
      <c r="O4" s="114"/>
      <c r="P4" s="114"/>
    </row>
    <row r="5" spans="1:16" ht="14.45" thickBot="1">
      <c r="A5" s="264"/>
      <c r="B5" s="879" t="s">
        <v>207</v>
      </c>
      <c r="C5" s="879"/>
      <c r="D5" s="879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4046134.0475003636</v>
      </c>
      <c r="K5" s="264"/>
      <c r="L5" s="272">
        <f>SUM(L9:L23)</f>
        <v>1105476.6736219192</v>
      </c>
      <c r="M5" s="114"/>
      <c r="N5" s="272">
        <f>SUM(N9:N23)</f>
        <v>181789.8284199998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82</v>
      </c>
      <c r="C7" s="275"/>
      <c r="D7" s="274" t="s">
        <v>208</v>
      </c>
      <c r="E7" s="275"/>
      <c r="F7" s="276" t="s">
        <v>209</v>
      </c>
      <c r="G7" s="277"/>
      <c r="H7" s="276" t="s">
        <v>210</v>
      </c>
      <c r="I7" s="277"/>
      <c r="J7" s="276" t="s">
        <v>211</v>
      </c>
      <c r="K7" s="277"/>
      <c r="L7" s="276" t="s">
        <v>212</v>
      </c>
      <c r="M7" s="192"/>
      <c r="N7" s="276" t="s">
        <v>212</v>
      </c>
      <c r="O7" s="192"/>
      <c r="P7" s="117" t="s">
        <v>213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72672.500000362998</v>
      </c>
      <c r="K21" s="89"/>
      <c r="L21" s="281">
        <f t="shared" si="0"/>
        <v>306140.89655670221</v>
      </c>
      <c r="M21" s="193"/>
      <c r="N21" s="281">
        <f t="shared" si="1"/>
        <v>328034.68</v>
      </c>
      <c r="O21" s="193"/>
      <c r="P21" s="304" t="s">
        <v>214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215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216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opLeftCell="N1" zoomScale="85" zoomScaleNormal="85" workbookViewId="0">
      <pane ySplit="4" topLeftCell="A116" activePane="bottomLeft" state="frozen"/>
      <selection pane="bottomLeft" activeCell="N54" sqref="N54"/>
      <selection activeCell="Q24" sqref="Q24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36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0.42578125" style="446" hidden="1" customWidth="1"/>
    <col min="10" max="10" width="20.42578125" style="446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48.140625" style="24" customWidth="1"/>
    <col min="15" max="15" width="15.5703125" style="70" customWidth="1"/>
    <col min="16" max="16" width="17.42578125" style="64" customWidth="1"/>
    <col min="17" max="17" width="16.5703125" style="447" customWidth="1"/>
    <col min="18" max="18" width="38.5703125" style="65" customWidth="1"/>
    <col min="19" max="19" width="31.42578125" style="452" customWidth="1"/>
    <col min="20" max="20" width="13" style="65" customWidth="1"/>
    <col min="21" max="22" width="16.42578125" style="65" customWidth="1"/>
    <col min="23" max="23" width="13.42578125" style="463" customWidth="1"/>
    <col min="24" max="24" width="21.42578125" style="24" customWidth="1"/>
    <col min="25" max="25" width="62.5703125" style="114" customWidth="1"/>
    <col min="26" max="26" width="29.42578125" style="114" bestFit="1" customWidth="1"/>
    <col min="27" max="27" width="19.5703125" style="114" customWidth="1"/>
    <col min="28" max="28" width="2.42578125" style="114" customWidth="1"/>
    <col min="29" max="29" width="31.42578125" style="114" bestFit="1" customWidth="1"/>
    <col min="30" max="30" width="17.42578125" style="114" customWidth="1"/>
    <col min="31" max="31" width="12.5703125" style="114" bestFit="1" customWidth="1"/>
    <col min="32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914" t="s">
        <v>217</v>
      </c>
      <c r="C2" s="915"/>
      <c r="D2" s="915"/>
      <c r="E2" s="915"/>
      <c r="F2" s="915"/>
      <c r="G2" s="915"/>
      <c r="H2" s="916"/>
      <c r="I2" s="307">
        <f>SUM(I6:I130)</f>
        <v>5151610.7211222816</v>
      </c>
      <c r="J2" s="307">
        <f>SUM(J6:J130)</f>
        <v>5813800.0000290414</v>
      </c>
      <c r="L2" s="917" t="s">
        <v>218</v>
      </c>
      <c r="M2" s="918"/>
      <c r="N2" s="918"/>
      <c r="O2" s="918"/>
      <c r="P2" s="918"/>
      <c r="Q2" s="918"/>
      <c r="R2" s="114"/>
      <c r="S2" s="932" t="s">
        <v>219</v>
      </c>
      <c r="T2" s="933"/>
      <c r="U2" s="933"/>
      <c r="V2" s="933"/>
      <c r="W2" s="934"/>
      <c r="X2" s="464">
        <f>SUM(X6:X130)</f>
        <v>4046134.0475003636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.6" thickBot="1">
      <c r="A4" s="168"/>
      <c r="B4" s="308" t="s">
        <v>220</v>
      </c>
      <c r="C4" s="309" t="s">
        <v>221</v>
      </c>
      <c r="D4" s="309" t="s">
        <v>222</v>
      </c>
      <c r="E4" s="309" t="s">
        <v>223</v>
      </c>
      <c r="F4" s="309" t="s">
        <v>224</v>
      </c>
      <c r="G4" s="310" t="s">
        <v>225</v>
      </c>
      <c r="H4" s="311" t="s">
        <v>226</v>
      </c>
      <c r="I4" s="312" t="s">
        <v>227</v>
      </c>
      <c r="J4" s="312" t="str">
        <f>IF(J2-'Revenue Tracking'!D4&gt;=0, "Total Revenue", "ERROR on REV" )</f>
        <v>Total Revenue</v>
      </c>
      <c r="K4" s="168"/>
      <c r="L4" s="308" t="s">
        <v>220</v>
      </c>
      <c r="M4" s="309" t="s">
        <v>228</v>
      </c>
      <c r="N4" s="309" t="s">
        <v>222</v>
      </c>
      <c r="O4" s="309" t="s">
        <v>223</v>
      </c>
      <c r="P4" s="309" t="s">
        <v>224</v>
      </c>
      <c r="Q4" s="545" t="s">
        <v>229</v>
      </c>
      <c r="R4" s="113" t="s">
        <v>230</v>
      </c>
      <c r="S4" s="113" t="s">
        <v>160</v>
      </c>
      <c r="T4" s="515" t="s">
        <v>161</v>
      </c>
      <c r="U4" s="516" t="s">
        <v>231</v>
      </c>
      <c r="V4" s="517" t="s">
        <v>232</v>
      </c>
      <c r="W4" s="515" t="s">
        <v>233</v>
      </c>
      <c r="X4" s="465" t="s">
        <v>227</v>
      </c>
      <c r="Y4" s="113" t="s">
        <v>234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235</v>
      </c>
      <c r="D6" s="343" t="s">
        <v>236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908">
        <f>G6+G8</f>
        <v>1496537.0049999999</v>
      </c>
      <c r="J6" s="908">
        <f>D131</f>
        <v>1689109.4327626899</v>
      </c>
      <c r="K6" s="569"/>
      <c r="L6" s="342">
        <v>1</v>
      </c>
      <c r="M6" s="652" t="s">
        <v>237</v>
      </c>
      <c r="N6" s="343" t="s">
        <v>238</v>
      </c>
      <c r="O6" s="344">
        <v>1044</v>
      </c>
      <c r="P6" s="568">
        <v>1138.9596799999999</v>
      </c>
      <c r="Q6" s="574">
        <v>1189070.8999999999</v>
      </c>
      <c r="R6" s="216" t="s">
        <v>239</v>
      </c>
      <c r="S6" s="769" t="s">
        <v>240</v>
      </c>
      <c r="T6" s="755">
        <v>45747</v>
      </c>
      <c r="U6" s="770">
        <v>1666674.4449367679</v>
      </c>
      <c r="V6" s="935">
        <f>J6-SUM(U6:U11)</f>
        <v>0</v>
      </c>
      <c r="W6" s="755">
        <f>'Project Plan'!I37+58</f>
        <v>45799</v>
      </c>
      <c r="X6" s="884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909"/>
      <c r="J7" s="909"/>
      <c r="K7" s="351"/>
      <c r="L7" s="387">
        <v>1</v>
      </c>
      <c r="M7" s="389" t="s">
        <v>237</v>
      </c>
      <c r="N7" s="571" t="s">
        <v>241</v>
      </c>
      <c r="O7" s="572"/>
      <c r="P7" s="729"/>
      <c r="Q7" s="391">
        <v>5526</v>
      </c>
      <c r="R7" s="211"/>
      <c r="S7" s="772" t="s">
        <v>240</v>
      </c>
      <c r="T7" s="774">
        <v>45747</v>
      </c>
      <c r="U7" s="773">
        <v>7745.5793281297019</v>
      </c>
      <c r="V7" s="882"/>
      <c r="W7" s="788">
        <f>'Project Plan'!I38+58</f>
        <v>45799</v>
      </c>
      <c r="X7" s="885"/>
      <c r="Y7" s="202"/>
      <c r="Z7" s="172" t="s">
        <v>242</v>
      </c>
      <c r="AA7" s="173" t="s">
        <v>243</v>
      </c>
      <c r="AB7" s="24"/>
      <c r="AC7" s="24"/>
    </row>
    <row r="8" spans="1:42" ht="15" customHeight="1">
      <c r="B8" s="387">
        <v>1</v>
      </c>
      <c r="C8" s="571"/>
      <c r="D8" s="389" t="s">
        <v>244</v>
      </c>
      <c r="E8" s="640"/>
      <c r="F8" s="713"/>
      <c r="G8" s="574">
        <v>40000</v>
      </c>
      <c r="H8" s="350">
        <f>H6</f>
        <v>45756</v>
      </c>
      <c r="I8" s="909"/>
      <c r="J8" s="909"/>
      <c r="K8" s="351"/>
      <c r="L8" s="387">
        <v>1</v>
      </c>
      <c r="M8" s="389" t="s">
        <v>237</v>
      </c>
      <c r="N8" s="389" t="s">
        <v>245</v>
      </c>
      <c r="O8" s="640"/>
      <c r="P8" s="713"/>
      <c r="Q8" s="574">
        <v>10480</v>
      </c>
      <c r="R8" s="211"/>
      <c r="S8" s="531" t="s">
        <v>240</v>
      </c>
      <c r="T8" s="771">
        <v>45747</v>
      </c>
      <c r="U8" s="737">
        <v>14689.408497792127</v>
      </c>
      <c r="V8" s="882"/>
      <c r="W8" s="771">
        <v>45799</v>
      </c>
      <c r="X8" s="885"/>
      <c r="Y8" s="202"/>
      <c r="Z8" s="174" t="s">
        <v>246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909"/>
      <c r="J9" s="909"/>
      <c r="K9" s="351"/>
      <c r="L9" s="387">
        <v>1</v>
      </c>
      <c r="M9" s="389" t="s">
        <v>237</v>
      </c>
      <c r="N9" s="571" t="s">
        <v>247</v>
      </c>
      <c r="O9" s="572"/>
      <c r="P9" s="528"/>
      <c r="Q9" s="391">
        <v>3473.99</v>
      </c>
      <c r="R9" s="211"/>
      <c r="S9" s="531" t="s">
        <v>248</v>
      </c>
      <c r="T9" s="750">
        <v>45900</v>
      </c>
      <c r="U9" s="509">
        <v>0</v>
      </c>
      <c r="V9" s="882"/>
      <c r="W9" s="851">
        <v>45932</v>
      </c>
      <c r="X9" s="885"/>
      <c r="Y9" s="202"/>
      <c r="Z9" s="174" t="s">
        <v>249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909"/>
      <c r="J10" s="909"/>
      <c r="K10" s="351"/>
      <c r="L10" s="387">
        <v>1</v>
      </c>
      <c r="M10" s="389" t="s">
        <v>237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82"/>
      <c r="W10" s="459"/>
      <c r="X10" s="885"/>
      <c r="Y10" s="202"/>
      <c r="Z10" s="174" t="s">
        <v>250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910"/>
      <c r="J11" s="910"/>
      <c r="K11" s="353"/>
      <c r="L11" s="393">
        <v>1</v>
      </c>
      <c r="M11" s="654" t="s">
        <v>237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83"/>
      <c r="W11" s="460"/>
      <c r="X11" s="886"/>
      <c r="Y11" s="203"/>
      <c r="Z11" s="174" t="s">
        <v>251</v>
      </c>
      <c r="AA11" s="175">
        <f>C77</f>
        <v>359765</v>
      </c>
      <c r="AC11" s="636">
        <f>AA11/600000</f>
        <v>0.5996083333333333</v>
      </c>
    </row>
    <row r="12" spans="1:42" ht="14.45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252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253</v>
      </c>
      <c r="D13" s="397" t="s">
        <v>254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905">
        <f>SUM(G13:G17)</f>
        <v>350000</v>
      </c>
      <c r="J13" s="905">
        <f>D132</f>
        <v>395037.543002113</v>
      </c>
      <c r="K13" s="363"/>
      <c r="L13" s="358">
        <v>2</v>
      </c>
      <c r="M13" s="655" t="s">
        <v>255</v>
      </c>
      <c r="N13" s="397" t="s">
        <v>254</v>
      </c>
      <c r="O13" s="488">
        <v>5</v>
      </c>
      <c r="P13" s="577">
        <v>68870</v>
      </c>
      <c r="Q13" s="361">
        <f>O13*P13</f>
        <v>344350</v>
      </c>
      <c r="R13" s="218" t="s">
        <v>239</v>
      </c>
      <c r="S13" s="578" t="s">
        <v>256</v>
      </c>
      <c r="T13" s="743">
        <f>T6</f>
        <v>45747</v>
      </c>
      <c r="U13" s="759">
        <v>395037.543002113</v>
      </c>
      <c r="V13" s="936">
        <f>J13-SUM(U13:U17)</f>
        <v>0</v>
      </c>
      <c r="W13" s="781">
        <v>45785</v>
      </c>
      <c r="X13" s="911">
        <f>SUM(Q13:Q17)</f>
        <v>344350</v>
      </c>
      <c r="Y13" s="204"/>
      <c r="Z13" s="174" t="s">
        <v>257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906"/>
      <c r="J14" s="906"/>
      <c r="K14" s="371"/>
      <c r="L14" s="398">
        <v>2</v>
      </c>
      <c r="M14" s="656" t="s">
        <v>255</v>
      </c>
      <c r="N14" s="399"/>
      <c r="O14" s="579"/>
      <c r="P14" s="580"/>
      <c r="Q14" s="400"/>
      <c r="R14" s="212"/>
      <c r="S14" s="533"/>
      <c r="T14" s="498"/>
      <c r="U14" s="760">
        <v>0</v>
      </c>
      <c r="V14" s="937"/>
      <c r="W14" s="455"/>
      <c r="X14" s="912"/>
      <c r="Y14" s="197"/>
      <c r="Z14" s="174" t="s">
        <v>258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906"/>
      <c r="J15" s="906"/>
      <c r="K15" s="371"/>
      <c r="L15" s="398">
        <v>2</v>
      </c>
      <c r="M15" s="656" t="s">
        <v>255</v>
      </c>
      <c r="N15" s="399"/>
      <c r="O15" s="579"/>
      <c r="P15" s="580"/>
      <c r="Q15" s="400"/>
      <c r="R15" s="212"/>
      <c r="S15" s="533"/>
      <c r="T15" s="498"/>
      <c r="U15" s="760">
        <v>0</v>
      </c>
      <c r="V15" s="937"/>
      <c r="W15" s="455"/>
      <c r="X15" s="912"/>
      <c r="Y15" s="197"/>
      <c r="Z15" s="174" t="s">
        <v>259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906"/>
      <c r="J16" s="906"/>
      <c r="K16" s="371"/>
      <c r="L16" s="398">
        <v>2</v>
      </c>
      <c r="M16" s="656" t="s">
        <v>255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937"/>
      <c r="W16" s="462"/>
      <c r="X16" s="912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907"/>
      <c r="J17" s="907"/>
      <c r="K17" s="379"/>
      <c r="L17" s="581">
        <v>2</v>
      </c>
      <c r="M17" s="657" t="s">
        <v>255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38"/>
      <c r="W17" s="461"/>
      <c r="X17" s="913"/>
      <c r="Y17" s="205"/>
      <c r="Z17" s="174" t="s">
        <v>260</v>
      </c>
      <c r="AA17" s="176">
        <v>0</v>
      </c>
    </row>
    <row r="18" spans="1:42" ht="14.45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182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261</v>
      </c>
      <c r="D19" s="408" t="s">
        <v>262</v>
      </c>
      <c r="E19" s="344"/>
      <c r="F19" s="439"/>
      <c r="G19" s="345">
        <v>270229.5</v>
      </c>
      <c r="H19" s="346">
        <f>'Project Plan'!E31+30</f>
        <v>45757</v>
      </c>
      <c r="I19" s="908">
        <f>SUM(G19:G26)</f>
        <v>270229.5</v>
      </c>
      <c r="J19" s="908">
        <f>D133</f>
        <v>305002.27921911288</v>
      </c>
      <c r="K19" s="347"/>
      <c r="L19" s="342">
        <v>3</v>
      </c>
      <c r="M19" s="658" t="s">
        <v>263</v>
      </c>
      <c r="N19" s="408" t="s">
        <v>264</v>
      </c>
      <c r="O19" s="344"/>
      <c r="P19" s="675"/>
      <c r="Q19" s="345">
        <f>74296.52-Q20</f>
        <v>71546.52</v>
      </c>
      <c r="R19" s="896" t="s">
        <v>265</v>
      </c>
      <c r="S19" s="521" t="s">
        <v>266</v>
      </c>
      <c r="T19" s="730">
        <v>45747</v>
      </c>
      <c r="U19" s="758">
        <v>234881.4785535009</v>
      </c>
      <c r="V19" s="880">
        <f>J19-SUM(U19:U26)</f>
        <v>1.4800188364461064E-3</v>
      </c>
      <c r="W19" s="779">
        <f>T19+30</f>
        <v>45777</v>
      </c>
      <c r="X19" s="884">
        <f>SUM(Q19:Q26)</f>
        <v>93481.82</v>
      </c>
      <c r="Y19" s="201"/>
      <c r="Z19" s="174" t="s">
        <v>267</v>
      </c>
      <c r="AA19" s="177">
        <f>+AA18*0.85</f>
        <v>1496561.4841304349</v>
      </c>
      <c r="AC19" s="178" t="s">
        <v>268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909"/>
      <c r="J20" s="909"/>
      <c r="K20" s="351"/>
      <c r="L20" s="387">
        <v>3</v>
      </c>
      <c r="M20" s="659" t="s">
        <v>263</v>
      </c>
      <c r="N20" s="410" t="s">
        <v>244</v>
      </c>
      <c r="O20" s="392"/>
      <c r="P20" s="411"/>
      <c r="Q20" s="391">
        <v>2750</v>
      </c>
      <c r="R20" s="897"/>
      <c r="S20" s="531" t="s">
        <v>266</v>
      </c>
      <c r="T20" s="750">
        <v>45747</v>
      </c>
      <c r="U20" s="737">
        <v>9028.0291203838769</v>
      </c>
      <c r="V20" s="882"/>
      <c r="W20" s="731">
        <f>T20+30</f>
        <v>45777</v>
      </c>
      <c r="X20" s="885"/>
      <c r="Y20" s="202"/>
      <c r="Z20" s="180" t="s">
        <v>269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909"/>
      <c r="J21" s="909"/>
      <c r="K21" s="351"/>
      <c r="L21" s="387">
        <v>3</v>
      </c>
      <c r="M21" s="659" t="s">
        <v>263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82"/>
      <c r="W21" s="459"/>
      <c r="X21" s="885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909"/>
      <c r="J22" s="909"/>
      <c r="K22" s="351"/>
      <c r="L22" s="387">
        <v>3</v>
      </c>
      <c r="M22" s="659" t="s">
        <v>263</v>
      </c>
      <c r="N22" s="410" t="s">
        <v>270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271</v>
      </c>
      <c r="T22" s="750">
        <v>45747</v>
      </c>
      <c r="U22" s="737">
        <v>35448.704072572902</v>
      </c>
      <c r="V22" s="882"/>
      <c r="W22" s="731">
        <f>T22</f>
        <v>45747</v>
      </c>
      <c r="X22" s="885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909"/>
      <c r="J23" s="909"/>
      <c r="K23" s="351"/>
      <c r="L23" s="387">
        <v>3</v>
      </c>
      <c r="M23" s="659" t="s">
        <v>263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271</v>
      </c>
      <c r="T23" s="750">
        <v>45869</v>
      </c>
      <c r="U23" s="823">
        <v>13558.719432532092</v>
      </c>
      <c r="V23" s="882"/>
      <c r="W23" s="731">
        <f>T23</f>
        <v>45869</v>
      </c>
      <c r="X23" s="885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909"/>
      <c r="J24" s="909"/>
      <c r="K24" s="351"/>
      <c r="L24" s="387">
        <v>3</v>
      </c>
      <c r="M24" s="659" t="s">
        <v>263</v>
      </c>
      <c r="N24" s="410" t="s">
        <v>272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271</v>
      </c>
      <c r="T24" s="750">
        <v>45747</v>
      </c>
      <c r="U24" s="737">
        <v>5502.4360174883677</v>
      </c>
      <c r="V24" s="882"/>
      <c r="W24" s="731">
        <f>T24</f>
        <v>45747</v>
      </c>
      <c r="X24" s="885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909"/>
      <c r="J25" s="909"/>
      <c r="K25" s="351"/>
      <c r="L25" s="387">
        <v>3</v>
      </c>
      <c r="M25" s="659" t="s">
        <v>263</v>
      </c>
      <c r="N25" s="410" t="s">
        <v>273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271</v>
      </c>
      <c r="T25" s="750">
        <v>45747</v>
      </c>
      <c r="U25" s="737">
        <v>6582.9105426159094</v>
      </c>
      <c r="V25" s="882"/>
      <c r="W25" s="731">
        <f>T25</f>
        <v>45747</v>
      </c>
      <c r="X25" s="885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910"/>
      <c r="J26" s="910"/>
      <c r="K26" s="353"/>
      <c r="L26" s="393">
        <v>3</v>
      </c>
      <c r="M26" s="660" t="s">
        <v>263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83"/>
      <c r="W26" s="460"/>
      <c r="X26" s="886"/>
      <c r="Y26" s="203"/>
      <c r="Z26" s="181" t="s">
        <v>274</v>
      </c>
      <c r="AA26" s="182" t="s">
        <v>275</v>
      </c>
      <c r="AO26" s="24"/>
      <c r="AP26" s="24"/>
    </row>
    <row r="27" spans="1:42" ht="14.45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249</v>
      </c>
      <c r="D28" s="359" t="s">
        <v>276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905">
        <f>SUM(G28:G39)</f>
        <v>548101.19999999995</v>
      </c>
      <c r="J28" s="905">
        <f>D134</f>
        <v>618630.14675574214</v>
      </c>
      <c r="K28" s="363"/>
      <c r="L28" s="358">
        <v>4</v>
      </c>
      <c r="M28" s="661" t="s">
        <v>277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39">
        <f>J28-SUM(U28:U39)</f>
        <v>1.8643818330019712E-3</v>
      </c>
      <c r="W28" s="619"/>
      <c r="X28" s="911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906"/>
      <c r="J29" s="906"/>
      <c r="K29" s="371"/>
      <c r="L29" s="364">
        <v>4</v>
      </c>
      <c r="M29" s="662" t="s">
        <v>277</v>
      </c>
      <c r="N29" s="616" t="s">
        <v>278</v>
      </c>
      <c r="O29" s="579">
        <v>16000</v>
      </c>
      <c r="P29" s="580">
        <v>13.89</v>
      </c>
      <c r="Q29" s="400">
        <f>O29*P29</f>
        <v>222240</v>
      </c>
      <c r="R29" s="617" t="s">
        <v>239</v>
      </c>
      <c r="S29" s="533" t="s">
        <v>256</v>
      </c>
      <c r="T29" s="743">
        <f>T6</f>
        <v>45747</v>
      </c>
      <c r="U29" s="762">
        <v>205240.59555651515</v>
      </c>
      <c r="V29" s="940"/>
      <c r="W29" s="752">
        <v>45785</v>
      </c>
      <c r="X29" s="912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906"/>
      <c r="J30" s="906"/>
      <c r="K30" s="371"/>
      <c r="L30" s="364">
        <v>4</v>
      </c>
      <c r="M30" s="662" t="s">
        <v>277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279</v>
      </c>
      <c r="T30" s="743">
        <v>45747</v>
      </c>
      <c r="U30" s="762">
        <v>102620.29777825758</v>
      </c>
      <c r="V30" s="940"/>
      <c r="W30" s="752">
        <v>45785</v>
      </c>
      <c r="X30" s="912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280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906"/>
      <c r="J31" s="906"/>
      <c r="K31" s="371"/>
      <c r="L31" s="364">
        <v>4</v>
      </c>
      <c r="M31" s="662" t="s">
        <v>277</v>
      </c>
      <c r="N31" s="616" t="s">
        <v>281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282</v>
      </c>
      <c r="T31" s="743">
        <v>45900</v>
      </c>
      <c r="U31" s="801">
        <v>1225.8328447050419</v>
      </c>
      <c r="V31" s="940"/>
      <c r="W31" s="752">
        <v>45900</v>
      </c>
      <c r="X31" s="912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906"/>
      <c r="J32" s="906"/>
      <c r="K32" s="371"/>
      <c r="L32" s="364">
        <v>4</v>
      </c>
      <c r="M32" s="662" t="s">
        <v>277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890" t="s">
        <v>283</v>
      </c>
      <c r="S32" s="533" t="s">
        <v>284</v>
      </c>
      <c r="T32" s="743">
        <f>T75</f>
        <v>45747</v>
      </c>
      <c r="U32" s="762">
        <v>93230.776026290827</v>
      </c>
      <c r="V32" s="940"/>
      <c r="W32" s="751">
        <f>W75</f>
        <v>45729</v>
      </c>
      <c r="X32" s="912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285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906"/>
      <c r="J33" s="906"/>
      <c r="K33" s="371"/>
      <c r="L33" s="364">
        <v>4</v>
      </c>
      <c r="M33" s="662" t="s">
        <v>277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901"/>
      <c r="S33" s="533" t="s">
        <v>286</v>
      </c>
      <c r="T33" s="743">
        <f t="shared" ref="T33:T36" si="7">T76</f>
        <v>45777</v>
      </c>
      <c r="U33" s="762">
        <v>62153.850684193887</v>
      </c>
      <c r="V33" s="940"/>
      <c r="W33" s="751">
        <f t="shared" ref="W33:W36" si="8">W76</f>
        <v>45785</v>
      </c>
      <c r="X33" s="912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287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906"/>
      <c r="J34" s="906"/>
      <c r="K34" s="371"/>
      <c r="L34" s="364">
        <v>4</v>
      </c>
      <c r="M34" s="662" t="s">
        <v>277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901"/>
      <c r="S34" s="533" t="s">
        <v>288</v>
      </c>
      <c r="T34" s="743">
        <f t="shared" si="7"/>
        <v>45838</v>
      </c>
      <c r="U34" s="801">
        <v>93230.769600002983</v>
      </c>
      <c r="V34" s="940"/>
      <c r="W34" s="751">
        <f t="shared" si="8"/>
        <v>45855</v>
      </c>
      <c r="X34" s="912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289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906"/>
      <c r="J35" s="906"/>
      <c r="K35" s="371"/>
      <c r="L35" s="364">
        <v>4</v>
      </c>
      <c r="M35" s="662" t="s">
        <v>277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901"/>
      <c r="S35" s="533" t="s">
        <v>290</v>
      </c>
      <c r="T35" s="743">
        <f t="shared" si="7"/>
        <v>45838</v>
      </c>
      <c r="U35" s="801">
        <v>46615.389800001489</v>
      </c>
      <c r="V35" s="940"/>
      <c r="W35" s="751">
        <f t="shared" si="8"/>
        <v>45862</v>
      </c>
      <c r="X35" s="912"/>
      <c r="Y35" s="618"/>
      <c r="Z35" s="183" t="s">
        <v>260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291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906"/>
      <c r="J36" s="906"/>
      <c r="K36" s="371"/>
      <c r="L36" s="364">
        <v>4</v>
      </c>
      <c r="M36" s="662" t="s">
        <v>277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901"/>
      <c r="S36" s="533" t="s">
        <v>292</v>
      </c>
      <c r="T36" s="743">
        <f t="shared" si="7"/>
        <v>45900</v>
      </c>
      <c r="U36" s="801">
        <v>14312.632601393241</v>
      </c>
      <c r="V36" s="940"/>
      <c r="W36" s="751">
        <f t="shared" si="8"/>
        <v>45890</v>
      </c>
      <c r="X36" s="912"/>
      <c r="Y36" s="618"/>
      <c r="Z36" s="183" t="s">
        <v>260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293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906"/>
      <c r="J37" s="906"/>
      <c r="K37" s="371"/>
      <c r="L37" s="364">
        <v>4</v>
      </c>
      <c r="M37" s="662" t="s">
        <v>277</v>
      </c>
      <c r="N37" s="401"/>
      <c r="O37" s="644"/>
      <c r="P37" s="676"/>
      <c r="Q37" s="369"/>
      <c r="R37" s="901"/>
      <c r="S37" s="529"/>
      <c r="T37" s="502"/>
      <c r="U37" s="615">
        <f t="shared" ref="U37:U39" si="9">(Q37/$X$28*$J$28)</f>
        <v>0</v>
      </c>
      <c r="V37" s="937"/>
      <c r="W37" s="455"/>
      <c r="X37" s="912"/>
      <c r="Y37" s="197"/>
      <c r="Z37" s="183" t="s">
        <v>260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294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906"/>
      <c r="J38" s="906"/>
      <c r="K38" s="371"/>
      <c r="L38" s="364">
        <v>4</v>
      </c>
      <c r="M38" s="662" t="s">
        <v>277</v>
      </c>
      <c r="N38" s="643"/>
      <c r="O38" s="586"/>
      <c r="P38" s="677"/>
      <c r="Q38" s="369"/>
      <c r="R38" s="901"/>
      <c r="S38" s="533"/>
      <c r="T38" s="502"/>
      <c r="U38" s="512">
        <f t="shared" si="9"/>
        <v>0</v>
      </c>
      <c r="V38" s="937"/>
      <c r="W38" s="455"/>
      <c r="X38" s="912"/>
      <c r="Y38" s="197"/>
      <c r="Z38" s="183" t="s">
        <v>182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907"/>
      <c r="J39" s="907"/>
      <c r="K39" s="379"/>
      <c r="L39" s="372">
        <v>4</v>
      </c>
      <c r="M39" s="663" t="s">
        <v>277</v>
      </c>
      <c r="N39" s="406"/>
      <c r="O39" s="583"/>
      <c r="P39" s="678"/>
      <c r="Q39" s="587"/>
      <c r="R39" s="902"/>
      <c r="S39" s="532"/>
      <c r="T39" s="503"/>
      <c r="U39" s="513">
        <f t="shared" si="9"/>
        <v>0</v>
      </c>
      <c r="V39" s="938"/>
      <c r="W39" s="461"/>
      <c r="X39" s="913"/>
      <c r="Y39" s="205"/>
      <c r="Z39" s="614" t="s">
        <v>269</v>
      </c>
      <c r="AA39" s="185">
        <f>+AA38/'Project Plan'!$E$3/1000</f>
        <v>2.2497120833333333</v>
      </c>
      <c r="AO39" s="24"/>
      <c r="AP39" s="24"/>
    </row>
    <row r="40" spans="1:42" ht="14.45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295</v>
      </c>
      <c r="D41" s="408" t="s">
        <v>296</v>
      </c>
      <c r="E41" s="344"/>
      <c r="F41" s="646"/>
      <c r="G41" s="345">
        <v>26000</v>
      </c>
      <c r="H41" s="346">
        <f>H13</f>
        <v>45757</v>
      </c>
      <c r="I41" s="908">
        <f>SUM(G41:G46)</f>
        <v>49000</v>
      </c>
      <c r="J41" s="908">
        <f>D136</f>
        <v>55305.256020295827</v>
      </c>
      <c r="K41" s="347"/>
      <c r="L41" s="342">
        <v>5</v>
      </c>
      <c r="M41" s="658" t="s">
        <v>297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80">
        <f>J41-SUM(U41:U46)</f>
        <v>0</v>
      </c>
      <c r="W41" s="458"/>
      <c r="X41" s="884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298</v>
      </c>
      <c r="E42" s="392"/>
      <c r="F42" s="651"/>
      <c r="G42" s="391">
        <v>8000</v>
      </c>
      <c r="H42" s="350">
        <f>H41</f>
        <v>45757</v>
      </c>
      <c r="I42" s="909"/>
      <c r="J42" s="909"/>
      <c r="K42" s="351"/>
      <c r="L42" s="348">
        <v>5</v>
      </c>
      <c r="M42" s="664" t="s">
        <v>297</v>
      </c>
      <c r="N42" s="410" t="s">
        <v>299</v>
      </c>
      <c r="O42" s="392"/>
      <c r="P42" s="651"/>
      <c r="Q42" s="391">
        <v>13396</v>
      </c>
      <c r="R42" s="220" t="s">
        <v>300</v>
      </c>
      <c r="S42" s="521" t="s">
        <v>301</v>
      </c>
      <c r="T42" s="730">
        <v>45747</v>
      </c>
      <c r="U42" s="737">
        <v>22167.138302118816</v>
      </c>
      <c r="V42" s="881"/>
      <c r="W42" s="780">
        <f>T42+30</f>
        <v>45777</v>
      </c>
      <c r="X42" s="885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909"/>
      <c r="J43" s="909"/>
      <c r="K43" s="351"/>
      <c r="L43" s="348">
        <v>5</v>
      </c>
      <c r="M43" s="664" t="s">
        <v>297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82"/>
      <c r="W43" s="459"/>
      <c r="X43" s="885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909"/>
      <c r="J44" s="909"/>
      <c r="K44" s="351"/>
      <c r="L44" s="387">
        <v>5</v>
      </c>
      <c r="M44" s="664" t="s">
        <v>297</v>
      </c>
      <c r="N44" s="389" t="s">
        <v>296</v>
      </c>
      <c r="O44" s="714"/>
      <c r="P44" s="711"/>
      <c r="Q44" s="391">
        <v>8333.33</v>
      </c>
      <c r="R44" s="211" t="s">
        <v>239</v>
      </c>
      <c r="S44" s="531" t="s">
        <v>256</v>
      </c>
      <c r="T44" s="730">
        <f>T6</f>
        <v>45747</v>
      </c>
      <c r="U44" s="737">
        <v>13789.644567572095</v>
      </c>
      <c r="V44" s="882"/>
      <c r="W44" s="731">
        <v>45785</v>
      </c>
      <c r="X44" s="885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302</v>
      </c>
      <c r="E45" s="714"/>
      <c r="F45" s="711"/>
      <c r="G45" s="391">
        <v>15000</v>
      </c>
      <c r="H45" s="350">
        <f>H38</f>
        <v>45848</v>
      </c>
      <c r="I45" s="909"/>
      <c r="J45" s="909"/>
      <c r="K45" s="351"/>
      <c r="L45" s="387">
        <v>5</v>
      </c>
      <c r="M45" s="664" t="s">
        <v>297</v>
      </c>
      <c r="N45" s="389" t="s">
        <v>302</v>
      </c>
      <c r="O45" s="714"/>
      <c r="P45" s="711"/>
      <c r="Q45" s="391">
        <v>11169</v>
      </c>
      <c r="R45" s="211"/>
      <c r="S45" s="531" t="s">
        <v>303</v>
      </c>
      <c r="T45" s="730">
        <v>45747</v>
      </c>
      <c r="U45" s="737">
        <v>18481.99221382241</v>
      </c>
      <c r="V45" s="882"/>
      <c r="W45" s="731">
        <f>T45+30</f>
        <v>45777</v>
      </c>
      <c r="X45" s="885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910"/>
      <c r="J46" s="910"/>
      <c r="K46" s="353"/>
      <c r="L46" s="393">
        <v>5</v>
      </c>
      <c r="M46" s="660" t="s">
        <v>297</v>
      </c>
      <c r="N46" s="394" t="s">
        <v>304</v>
      </c>
      <c r="O46" s="567"/>
      <c r="P46" s="441"/>
      <c r="Q46" s="414">
        <v>523.63</v>
      </c>
      <c r="R46" s="217"/>
      <c r="S46" s="777" t="s">
        <v>305</v>
      </c>
      <c r="T46" s="778">
        <v>45747</v>
      </c>
      <c r="U46" s="763">
        <v>866.48093678250791</v>
      </c>
      <c r="V46" s="883"/>
      <c r="W46" s="776">
        <v>45777</v>
      </c>
      <c r="X46" s="886"/>
      <c r="Y46" s="203"/>
    </row>
    <row r="47" spans="1:42" ht="14.45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246</v>
      </c>
      <c r="D48" s="360"/>
      <c r="E48" s="715"/>
      <c r="F48" s="712"/>
      <c r="G48" s="361"/>
      <c r="H48" s="362"/>
      <c r="I48" s="905">
        <f>SUM(G48:G56)</f>
        <v>842399.36956521741</v>
      </c>
      <c r="J48" s="905">
        <f>D135</f>
        <v>950798.22051306418</v>
      </c>
      <c r="K48" s="363"/>
      <c r="L48" s="358">
        <v>6</v>
      </c>
      <c r="M48" s="667" t="s">
        <v>306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936">
        <f>J48-SUM(U48:U56)</f>
        <v>-2.4492538068443537E-3</v>
      </c>
      <c r="W48" s="641"/>
      <c r="X48" s="922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280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906"/>
      <c r="J49" s="906"/>
      <c r="K49" s="371"/>
      <c r="L49" s="364">
        <v>6</v>
      </c>
      <c r="M49" s="665" t="s">
        <v>306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894" t="s">
        <v>283</v>
      </c>
      <c r="S49" s="533" t="s">
        <v>284</v>
      </c>
      <c r="T49" s="744">
        <f>T75</f>
        <v>45747</v>
      </c>
      <c r="U49" s="760">
        <v>285239.46615391923</v>
      </c>
      <c r="V49" s="941"/>
      <c r="W49" s="752">
        <f>W75</f>
        <v>45729</v>
      </c>
      <c r="X49" s="923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906"/>
      <c r="J50" s="906"/>
      <c r="K50" s="371"/>
      <c r="L50" s="364">
        <v>6</v>
      </c>
      <c r="M50" s="665" t="s">
        <v>306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895"/>
      <c r="S50" s="533" t="s">
        <v>286</v>
      </c>
      <c r="T50" s="744">
        <f t="shared" ref="T50:T53" si="12">T76</f>
        <v>45777</v>
      </c>
      <c r="U50" s="760">
        <v>190159.64410261283</v>
      </c>
      <c r="V50" s="941"/>
      <c r="W50" s="752">
        <f t="shared" ref="W50:W53" si="13">W76</f>
        <v>45785</v>
      </c>
      <c r="X50" s="923"/>
      <c r="Y50" s="197"/>
    </row>
    <row r="51" spans="1:42" ht="14.25" customHeight="1">
      <c r="B51" s="364">
        <v>6</v>
      </c>
      <c r="C51" s="588"/>
      <c r="D51" s="366" t="s">
        <v>285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906"/>
      <c r="J51" s="906"/>
      <c r="K51" s="371"/>
      <c r="L51" s="364">
        <v>6</v>
      </c>
      <c r="M51" s="666" t="s">
        <v>306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895"/>
      <c r="S51" s="533" t="s">
        <v>288</v>
      </c>
      <c r="T51" s="744">
        <f t="shared" si="12"/>
        <v>45838</v>
      </c>
      <c r="U51" s="802">
        <v>208441.99234143723</v>
      </c>
      <c r="V51" s="941"/>
      <c r="W51" s="752">
        <f t="shared" si="13"/>
        <v>45855</v>
      </c>
      <c r="X51" s="923"/>
      <c r="Y51" s="197"/>
    </row>
    <row r="52" spans="1:42" ht="14.25" customHeight="1">
      <c r="B52" s="364">
        <v>6</v>
      </c>
      <c r="C52" s="588"/>
      <c r="D52" s="366" t="s">
        <v>287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906"/>
      <c r="J52" s="906"/>
      <c r="K52" s="371"/>
      <c r="L52" s="364">
        <v>6</v>
      </c>
      <c r="M52" s="665" t="s">
        <v>306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895"/>
      <c r="S52" s="533" t="s">
        <v>290</v>
      </c>
      <c r="T52" s="744">
        <f t="shared" si="12"/>
        <v>45838</v>
      </c>
      <c r="U52" s="802">
        <v>92421.511170718615</v>
      </c>
      <c r="V52" s="941"/>
      <c r="W52" s="752">
        <f t="shared" si="13"/>
        <v>45862</v>
      </c>
      <c r="X52" s="923"/>
      <c r="Y52" s="197"/>
    </row>
    <row r="53" spans="1:42" ht="14.25" customHeight="1">
      <c r="B53" s="364">
        <v>6</v>
      </c>
      <c r="C53" s="588"/>
      <c r="D53" s="366" t="s">
        <v>289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906"/>
      <c r="J53" s="906"/>
      <c r="K53" s="371"/>
      <c r="L53" s="364">
        <v>6</v>
      </c>
      <c r="M53" s="666" t="s">
        <v>306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895"/>
      <c r="S53" s="533" t="s">
        <v>292</v>
      </c>
      <c r="T53" s="744">
        <f t="shared" si="12"/>
        <v>45900</v>
      </c>
      <c r="U53" s="802">
        <v>40855.60824720173</v>
      </c>
      <c r="V53" s="941"/>
      <c r="W53" s="752">
        <f t="shared" si="13"/>
        <v>45890</v>
      </c>
      <c r="X53" s="923"/>
      <c r="Y53" s="197"/>
    </row>
    <row r="54" spans="1:42" ht="14.25" customHeight="1">
      <c r="B54" s="364">
        <v>6</v>
      </c>
      <c r="C54" s="588"/>
      <c r="D54" s="366" t="s">
        <v>291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906"/>
      <c r="J54" s="906"/>
      <c r="K54" s="371"/>
      <c r="L54" s="364">
        <v>6</v>
      </c>
      <c r="M54" s="665" t="s">
        <v>306</v>
      </c>
      <c r="N54" s="366" t="s">
        <v>307</v>
      </c>
      <c r="O54" s="367"/>
      <c r="P54" s="368"/>
      <c r="Q54" s="369">
        <v>-24757</v>
      </c>
      <c r="R54" s="895"/>
      <c r="S54" s="533" t="s">
        <v>308</v>
      </c>
      <c r="T54" s="744">
        <v>45900</v>
      </c>
      <c r="U54" s="802">
        <v>0</v>
      </c>
      <c r="V54" s="941"/>
      <c r="W54" s="752">
        <v>45900</v>
      </c>
      <c r="X54" s="923"/>
      <c r="Y54" s="197"/>
    </row>
    <row r="55" spans="1:42" ht="14.25" customHeight="1">
      <c r="B55" s="364">
        <v>6</v>
      </c>
      <c r="C55" s="365"/>
      <c r="D55" s="366" t="s">
        <v>293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906"/>
      <c r="J55" s="906"/>
      <c r="K55" s="371"/>
      <c r="L55" s="364">
        <v>6</v>
      </c>
      <c r="M55" s="666" t="s">
        <v>306</v>
      </c>
      <c r="N55" s="366" t="s">
        <v>309</v>
      </c>
      <c r="O55" s="367"/>
      <c r="P55" s="368"/>
      <c r="Q55" s="369">
        <v>29881.5</v>
      </c>
      <c r="R55" s="797" t="s">
        <v>310</v>
      </c>
      <c r="S55" s="533" t="s">
        <v>311</v>
      </c>
      <c r="T55" s="744">
        <v>45869</v>
      </c>
      <c r="U55" s="802">
        <v>68344.393657225635</v>
      </c>
      <c r="V55" s="941"/>
      <c r="W55" s="752">
        <v>45849</v>
      </c>
      <c r="X55" s="924"/>
      <c r="Y55" s="796"/>
    </row>
    <row r="56" spans="1:42" ht="15" customHeight="1" thickBot="1">
      <c r="B56" s="372">
        <v>6</v>
      </c>
      <c r="C56" s="589"/>
      <c r="D56" s="374" t="s">
        <v>294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907"/>
      <c r="J56" s="907"/>
      <c r="K56" s="379"/>
      <c r="L56" s="372">
        <v>6</v>
      </c>
      <c r="M56" s="668" t="s">
        <v>306</v>
      </c>
      <c r="N56" s="406" t="s">
        <v>312</v>
      </c>
      <c r="O56" s="375"/>
      <c r="P56" s="376"/>
      <c r="Q56" s="377">
        <v>28566</v>
      </c>
      <c r="R56" s="795" t="s">
        <v>313</v>
      </c>
      <c r="S56" s="807" t="s">
        <v>314</v>
      </c>
      <c r="T56" s="775">
        <v>45869</v>
      </c>
      <c r="U56" s="826">
        <v>65335.607289202599</v>
      </c>
      <c r="V56" s="942"/>
      <c r="W56" s="808">
        <v>45849</v>
      </c>
      <c r="X56" s="925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315</v>
      </c>
      <c r="D58" s="548"/>
      <c r="E58" s="549"/>
      <c r="F58" s="550"/>
      <c r="G58" s="551"/>
      <c r="H58" s="552"/>
      <c r="I58" s="908">
        <f>SUM(G58:G65)</f>
        <v>0</v>
      </c>
      <c r="J58" s="908">
        <v>0</v>
      </c>
      <c r="K58" s="347"/>
      <c r="L58" s="547">
        <v>7</v>
      </c>
      <c r="M58" s="384" t="s">
        <v>315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80">
        <f>J58-SUM(U58:U65)</f>
        <v>0</v>
      </c>
      <c r="W58" s="553"/>
      <c r="X58" s="884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909"/>
      <c r="J59" s="909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881"/>
      <c r="W59" s="563"/>
      <c r="X59" s="885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909"/>
      <c r="J60" s="909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881"/>
      <c r="W60" s="563"/>
      <c r="X60" s="885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909"/>
      <c r="J61" s="909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82"/>
      <c r="W61" s="563"/>
      <c r="X61" s="885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909"/>
      <c r="J62" s="909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82"/>
      <c r="W62" s="563"/>
      <c r="X62" s="885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909"/>
      <c r="J63" s="909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82"/>
      <c r="W63" s="563"/>
      <c r="X63" s="885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909"/>
      <c r="J64" s="909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82"/>
      <c r="W64" s="563"/>
      <c r="X64" s="885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910"/>
      <c r="J65" s="910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83"/>
      <c r="W65" s="460"/>
      <c r="X65" s="886"/>
      <c r="Y65" s="203"/>
    </row>
    <row r="66" spans="1:42" ht="14.45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316</v>
      </c>
      <c r="D67" s="417"/>
      <c r="E67" s="648"/>
      <c r="F67" s="649"/>
      <c r="G67" s="418"/>
      <c r="H67" s="419"/>
      <c r="I67" s="905">
        <f>SUM(G67:G73)</f>
        <v>350000</v>
      </c>
      <c r="J67" s="905">
        <f>D139</f>
        <v>350000</v>
      </c>
      <c r="K67" s="363"/>
      <c r="L67" s="416">
        <v>8</v>
      </c>
      <c r="M67" s="810" t="s">
        <v>317</v>
      </c>
      <c r="N67" s="360" t="s">
        <v>318</v>
      </c>
      <c r="O67" s="811">
        <v>89800</v>
      </c>
      <c r="P67" s="784">
        <v>0.8</v>
      </c>
      <c r="Q67" s="418">
        <f>O67*P67</f>
        <v>71840</v>
      </c>
      <c r="R67" s="892" t="s">
        <v>319</v>
      </c>
      <c r="S67" s="626" t="s">
        <v>320</v>
      </c>
      <c r="T67" s="785">
        <v>45808</v>
      </c>
      <c r="U67" s="759">
        <v>0</v>
      </c>
      <c r="V67" s="936">
        <f>J67-SUM(U67:U73)</f>
        <v>0</v>
      </c>
      <c r="W67" s="787">
        <v>45799</v>
      </c>
      <c r="X67" s="911">
        <f>SUM(Q67:Q73)</f>
        <v>138014.51999999999</v>
      </c>
      <c r="Y67" s="208" t="s">
        <v>321</v>
      </c>
    </row>
    <row r="68" spans="1:42" ht="14.25" customHeight="1">
      <c r="B68" s="402">
        <v>8</v>
      </c>
      <c r="C68" s="403"/>
      <c r="D68" s="420" t="s">
        <v>322</v>
      </c>
      <c r="E68" s="421"/>
      <c r="F68" s="422"/>
      <c r="G68" s="404">
        <v>350000</v>
      </c>
      <c r="H68" s="405">
        <f>H53</f>
        <v>45807</v>
      </c>
      <c r="I68" s="906"/>
      <c r="J68" s="906"/>
      <c r="K68" s="371"/>
      <c r="L68" s="402">
        <v>8</v>
      </c>
      <c r="M68" s="671" t="s">
        <v>317</v>
      </c>
      <c r="N68" s="809" t="s">
        <v>318</v>
      </c>
      <c r="O68" s="421"/>
      <c r="P68" s="422">
        <v>0.2</v>
      </c>
      <c r="Q68" s="404">
        <f>O67*P68</f>
        <v>17960</v>
      </c>
      <c r="R68" s="893"/>
      <c r="S68" s="623" t="s">
        <v>320</v>
      </c>
      <c r="T68" s="786">
        <v>45808</v>
      </c>
      <c r="U68" s="760">
        <v>0</v>
      </c>
      <c r="V68" s="937"/>
      <c r="W68" s="766">
        <v>45827</v>
      </c>
      <c r="X68" s="912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906"/>
      <c r="J69" s="906"/>
      <c r="K69" s="371"/>
      <c r="L69" s="402">
        <v>8</v>
      </c>
      <c r="M69" s="671" t="s">
        <v>317</v>
      </c>
      <c r="N69" s="420" t="s">
        <v>323</v>
      </c>
      <c r="O69" s="765">
        <v>61258</v>
      </c>
      <c r="P69" s="422">
        <v>0.5</v>
      </c>
      <c r="Q69" s="404">
        <f>O69*P69</f>
        <v>30629</v>
      </c>
      <c r="R69" s="890" t="s">
        <v>324</v>
      </c>
      <c r="S69" s="623" t="s">
        <v>325</v>
      </c>
      <c r="T69" s="768">
        <v>45777</v>
      </c>
      <c r="U69" s="760">
        <v>175000.00000000003</v>
      </c>
      <c r="V69" s="937"/>
      <c r="W69" s="766">
        <v>45764</v>
      </c>
      <c r="X69" s="912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906"/>
      <c r="J70" s="906"/>
      <c r="K70" s="371"/>
      <c r="L70" s="402">
        <v>8</v>
      </c>
      <c r="M70" s="671" t="s">
        <v>317</v>
      </c>
      <c r="N70" s="420" t="s">
        <v>326</v>
      </c>
      <c r="O70" s="421"/>
      <c r="P70" s="422">
        <v>0.3</v>
      </c>
      <c r="Q70" s="404">
        <f>O69*P70</f>
        <v>18377.399999999998</v>
      </c>
      <c r="R70" s="891"/>
      <c r="S70" s="623" t="s">
        <v>325</v>
      </c>
      <c r="T70" s="768">
        <v>45777</v>
      </c>
      <c r="U70" s="760">
        <v>0</v>
      </c>
      <c r="V70" s="937"/>
      <c r="W70" s="766">
        <v>45772</v>
      </c>
      <c r="X70" s="912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906"/>
      <c r="J71" s="906"/>
      <c r="K71" s="371"/>
      <c r="L71" s="402">
        <v>8</v>
      </c>
      <c r="M71" s="671" t="s">
        <v>317</v>
      </c>
      <c r="N71" s="420" t="s">
        <v>326</v>
      </c>
      <c r="O71" s="421"/>
      <c r="P71" s="422">
        <v>0.2</v>
      </c>
      <c r="Q71" s="404">
        <v>12251.6</v>
      </c>
      <c r="R71" s="800"/>
      <c r="S71" s="623" t="s">
        <v>325</v>
      </c>
      <c r="T71" s="768">
        <v>45777</v>
      </c>
      <c r="U71" s="799">
        <v>0</v>
      </c>
      <c r="V71" s="937"/>
      <c r="W71" s="766">
        <v>45827</v>
      </c>
      <c r="X71" s="912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906"/>
      <c r="J72" s="906"/>
      <c r="K72" s="379"/>
      <c r="L72" s="836">
        <v>8</v>
      </c>
      <c r="M72" s="837" t="s">
        <v>317</v>
      </c>
      <c r="N72" s="834" t="s">
        <v>327</v>
      </c>
      <c r="O72" s="838"/>
      <c r="P72" s="839"/>
      <c r="Q72" s="835">
        <v>-13043.48</v>
      </c>
      <c r="R72" s="219"/>
      <c r="S72" s="842" t="s">
        <v>328</v>
      </c>
      <c r="T72" s="843">
        <v>45838</v>
      </c>
      <c r="U72" s="844"/>
      <c r="V72" s="943"/>
      <c r="W72" s="766">
        <v>45838</v>
      </c>
      <c r="X72" s="912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907"/>
      <c r="J73" s="907"/>
      <c r="K73" s="379"/>
      <c r="L73" s="581">
        <v>8</v>
      </c>
      <c r="M73" s="831" t="s">
        <v>317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38"/>
      <c r="W73" s="766">
        <v>45838</v>
      </c>
      <c r="X73" s="913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329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330</v>
      </c>
      <c r="D75" s="408" t="s">
        <v>280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919">
        <f>SUM(G75:G82)</f>
        <v>509892.5</v>
      </c>
      <c r="J75" s="908">
        <f>D144+D145</f>
        <v>599873.5294117647</v>
      </c>
      <c r="K75" s="351"/>
      <c r="L75" s="387">
        <v>9</v>
      </c>
      <c r="M75" s="659" t="s">
        <v>331</v>
      </c>
      <c r="N75" s="408" t="s">
        <v>332</v>
      </c>
      <c r="O75" s="701">
        <f>AA29+AA30</f>
        <v>600000</v>
      </c>
      <c r="P75" s="409">
        <v>0.3</v>
      </c>
      <c r="Q75" s="345">
        <f>$O$75*P75</f>
        <v>180000</v>
      </c>
      <c r="R75" s="896" t="s">
        <v>283</v>
      </c>
      <c r="S75" s="521" t="s">
        <v>284</v>
      </c>
      <c r="T75" s="745">
        <f t="shared" si="0"/>
        <v>45747</v>
      </c>
      <c r="U75" s="764">
        <v>179962.0588235294</v>
      </c>
      <c r="V75" s="944">
        <v>0</v>
      </c>
      <c r="W75" s="753">
        <v>45729</v>
      </c>
      <c r="X75" s="926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920"/>
      <c r="J76" s="909"/>
      <c r="K76" s="351"/>
      <c r="L76" s="387">
        <v>9</v>
      </c>
      <c r="M76" s="659" t="s">
        <v>331</v>
      </c>
      <c r="N76" s="410" t="s">
        <v>333</v>
      </c>
      <c r="O76" s="392"/>
      <c r="P76" s="411">
        <v>0.2</v>
      </c>
      <c r="Q76" s="391">
        <f t="shared" ref="Q76:Q79" si="16">$O$75*P76</f>
        <v>120000</v>
      </c>
      <c r="R76" s="903"/>
      <c r="S76" s="521" t="s">
        <v>286</v>
      </c>
      <c r="T76" s="730">
        <v>45777</v>
      </c>
      <c r="U76" s="783">
        <v>119974.70588235295</v>
      </c>
      <c r="V76" s="945"/>
      <c r="W76" s="782">
        <v>45785</v>
      </c>
      <c r="X76" s="927"/>
      <c r="Y76" s="202"/>
    </row>
    <row r="77" spans="1:42" ht="15" customHeight="1">
      <c r="B77" s="387">
        <v>9</v>
      </c>
      <c r="C77" s="696">
        <v>359765</v>
      </c>
      <c r="D77" s="410" t="s">
        <v>285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920"/>
      <c r="J77" s="909"/>
      <c r="K77" s="351"/>
      <c r="L77" s="387">
        <v>9</v>
      </c>
      <c r="M77" s="659" t="s">
        <v>331</v>
      </c>
      <c r="N77" s="410" t="s">
        <v>334</v>
      </c>
      <c r="O77" s="392"/>
      <c r="P77" s="411">
        <v>0.3</v>
      </c>
      <c r="Q77" s="391">
        <f t="shared" si="16"/>
        <v>180000</v>
      </c>
      <c r="R77" s="903"/>
      <c r="S77" s="521" t="s">
        <v>288</v>
      </c>
      <c r="T77" s="730">
        <v>45838</v>
      </c>
      <c r="U77" s="803">
        <v>179962.0588235294</v>
      </c>
      <c r="V77" s="945"/>
      <c r="W77" s="782">
        <v>45855</v>
      </c>
      <c r="X77" s="927"/>
      <c r="Y77" s="202"/>
    </row>
    <row r="78" spans="1:42" ht="15" customHeight="1">
      <c r="B78" s="387">
        <v>9</v>
      </c>
      <c r="C78" s="424"/>
      <c r="D78" s="410" t="s">
        <v>287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920"/>
      <c r="J78" s="909"/>
      <c r="K78" s="351"/>
      <c r="L78" s="387">
        <v>9</v>
      </c>
      <c r="M78" s="659" t="s">
        <v>331</v>
      </c>
      <c r="N78" s="410" t="s">
        <v>335</v>
      </c>
      <c r="O78" s="392"/>
      <c r="P78" s="411">
        <v>0.15</v>
      </c>
      <c r="Q78" s="391">
        <f t="shared" si="16"/>
        <v>90000</v>
      </c>
      <c r="R78" s="903"/>
      <c r="S78" s="521" t="s">
        <v>290</v>
      </c>
      <c r="T78" s="730">
        <v>45838</v>
      </c>
      <c r="U78" s="803">
        <v>89981.029411764699</v>
      </c>
      <c r="V78" s="945"/>
      <c r="W78" s="782">
        <v>45862</v>
      </c>
      <c r="X78" s="927"/>
      <c r="Y78" s="202"/>
    </row>
    <row r="79" spans="1:42" ht="15" customHeight="1">
      <c r="B79" s="387">
        <v>9</v>
      </c>
      <c r="C79" s="424"/>
      <c r="D79" s="410" t="s">
        <v>289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920"/>
      <c r="J79" s="909"/>
      <c r="K79" s="351"/>
      <c r="L79" s="387">
        <v>9</v>
      </c>
      <c r="M79" s="659" t="s">
        <v>331</v>
      </c>
      <c r="N79" s="410" t="s">
        <v>336</v>
      </c>
      <c r="O79" s="392"/>
      <c r="P79" s="411">
        <v>0.05</v>
      </c>
      <c r="Q79" s="391">
        <f t="shared" si="16"/>
        <v>30000</v>
      </c>
      <c r="R79" s="903"/>
      <c r="S79" s="531" t="s">
        <v>292</v>
      </c>
      <c r="T79" s="750">
        <v>45900</v>
      </c>
      <c r="U79" s="828">
        <v>29993.676470588238</v>
      </c>
      <c r="V79" s="945"/>
      <c r="W79" s="827">
        <v>45890</v>
      </c>
      <c r="X79" s="927"/>
      <c r="Y79" s="202"/>
    </row>
    <row r="80" spans="1:42" ht="15" customHeight="1">
      <c r="B80" s="387">
        <v>9</v>
      </c>
      <c r="C80" s="424"/>
      <c r="D80" s="410" t="s">
        <v>291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920"/>
      <c r="J80" s="909"/>
      <c r="K80" s="351"/>
      <c r="L80" s="387">
        <v>9</v>
      </c>
      <c r="M80" s="659" t="s">
        <v>331</v>
      </c>
      <c r="N80" s="410"/>
      <c r="O80" s="392"/>
      <c r="P80" s="411"/>
      <c r="Q80" s="391"/>
      <c r="R80" s="903"/>
      <c r="S80" s="531"/>
      <c r="T80" s="499"/>
      <c r="U80" s="689">
        <f t="shared" ref="U80:U82" si="17">(Q80/$X$75*$J$75)</f>
        <v>0</v>
      </c>
      <c r="V80" s="945"/>
      <c r="W80" s="692"/>
      <c r="X80" s="927"/>
      <c r="Y80" s="202"/>
    </row>
    <row r="81" spans="1:42" ht="15" customHeight="1">
      <c r="B81" s="556">
        <v>9</v>
      </c>
      <c r="C81" s="650"/>
      <c r="D81" s="558" t="s">
        <v>293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920"/>
      <c r="J81" s="909"/>
      <c r="K81" s="351"/>
      <c r="L81" s="387">
        <v>9</v>
      </c>
      <c r="M81" s="659" t="s">
        <v>331</v>
      </c>
      <c r="N81" s="558"/>
      <c r="O81" s="559"/>
      <c r="P81" s="560"/>
      <c r="Q81" s="561"/>
      <c r="R81" s="903"/>
      <c r="S81" s="531"/>
      <c r="T81" s="504"/>
      <c r="U81" s="690">
        <f t="shared" si="17"/>
        <v>0</v>
      </c>
      <c r="V81" s="945"/>
      <c r="W81" s="693"/>
      <c r="X81" s="927"/>
      <c r="Y81" s="485"/>
    </row>
    <row r="82" spans="1:42" ht="15" customHeight="1" thickBot="1">
      <c r="B82" s="393">
        <v>9</v>
      </c>
      <c r="C82" s="680"/>
      <c r="D82" s="412" t="s">
        <v>294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921"/>
      <c r="J82" s="921"/>
      <c r="K82" s="486"/>
      <c r="L82" s="684">
        <v>9</v>
      </c>
      <c r="M82" s="685" t="s">
        <v>331</v>
      </c>
      <c r="N82" s="412"/>
      <c r="O82" s="396"/>
      <c r="P82" s="413"/>
      <c r="Q82" s="686"/>
      <c r="R82" s="904"/>
      <c r="S82" s="687"/>
      <c r="T82" s="688"/>
      <c r="U82" s="691">
        <f t="shared" si="17"/>
        <v>0</v>
      </c>
      <c r="V82" s="946"/>
      <c r="W82" s="694"/>
      <c r="X82" s="928"/>
      <c r="Y82" s="203"/>
    </row>
    <row r="83" spans="1:42" ht="14.45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337</v>
      </c>
      <c r="D84" s="323" t="s">
        <v>338</v>
      </c>
      <c r="E84" s="324"/>
      <c r="F84" s="426"/>
      <c r="G84" s="427">
        <v>144000</v>
      </c>
      <c r="H84" s="326">
        <f>H82</f>
        <v>45848</v>
      </c>
      <c r="I84" s="898">
        <f>SUM(G84:G98)</f>
        <v>214099.5</v>
      </c>
      <c r="J84" s="898">
        <f>D152+D151+D150+D149+D148</f>
        <v>251881.76470588235</v>
      </c>
      <c r="K84" s="428"/>
      <c r="L84" s="322">
        <v>10</v>
      </c>
      <c r="M84" s="672" t="s">
        <v>339</v>
      </c>
      <c r="N84" s="323"/>
      <c r="O84" s="324"/>
      <c r="P84" s="426"/>
      <c r="Q84" s="427"/>
      <c r="R84" s="210"/>
      <c r="S84" s="610"/>
      <c r="T84" s="624"/>
      <c r="U84" s="506"/>
      <c r="V84" s="947">
        <f>J84-SUM(U84:U98)</f>
        <v>2.8606950072571635E-3</v>
      </c>
      <c r="W84" s="625"/>
      <c r="X84" s="929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899"/>
      <c r="J85" s="899"/>
      <c r="K85" s="329"/>
      <c r="L85" s="429">
        <v>10</v>
      </c>
      <c r="M85" s="673" t="s">
        <v>339</v>
      </c>
      <c r="N85" s="430" t="s">
        <v>340</v>
      </c>
      <c r="O85" s="431"/>
      <c r="P85" s="432"/>
      <c r="Q85" s="433">
        <v>4050</v>
      </c>
      <c r="R85" s="223" t="s">
        <v>341</v>
      </c>
      <c r="S85" s="494" t="s">
        <v>342</v>
      </c>
      <c r="T85" s="728">
        <v>45688</v>
      </c>
      <c r="U85" s="736">
        <v>4810.7689339461931</v>
      </c>
      <c r="V85" s="948"/>
      <c r="W85" s="754">
        <v>45744</v>
      </c>
      <c r="X85" s="930"/>
      <c r="Y85" s="209" t="s">
        <v>343</v>
      </c>
    </row>
    <row r="86" spans="1:42" ht="14.1" customHeight="1">
      <c r="B86" s="429"/>
      <c r="C86" s="430"/>
      <c r="D86" s="430"/>
      <c r="E86" s="431"/>
      <c r="F86" s="432"/>
      <c r="G86" s="433"/>
      <c r="H86" s="716"/>
      <c r="I86" s="899"/>
      <c r="J86" s="899"/>
      <c r="K86" s="329"/>
      <c r="L86" s="429">
        <v>10</v>
      </c>
      <c r="M86" s="673" t="s">
        <v>339</v>
      </c>
      <c r="N86" s="430" t="s">
        <v>344</v>
      </c>
      <c r="O86" s="431"/>
      <c r="P86" s="432"/>
      <c r="Q86" s="433">
        <v>5350</v>
      </c>
      <c r="R86" s="223" t="s">
        <v>345</v>
      </c>
      <c r="S86" s="494" t="s">
        <v>346</v>
      </c>
      <c r="T86" s="728">
        <v>45688</v>
      </c>
      <c r="U86" s="736">
        <v>6354.9663695338604</v>
      </c>
      <c r="V86" s="948"/>
      <c r="W86" s="754">
        <v>45744</v>
      </c>
      <c r="X86" s="930"/>
      <c r="Y86" s="209" t="s">
        <v>343</v>
      </c>
    </row>
    <row r="87" spans="1:42" ht="14.1" customHeight="1">
      <c r="B87" s="429"/>
      <c r="C87" s="430"/>
      <c r="D87" s="430"/>
      <c r="E87" s="431"/>
      <c r="F87" s="432"/>
      <c r="G87" s="433"/>
      <c r="H87" s="716"/>
      <c r="I87" s="899"/>
      <c r="J87" s="899"/>
      <c r="K87" s="329"/>
      <c r="L87" s="429">
        <v>10</v>
      </c>
      <c r="M87" s="673" t="s">
        <v>339</v>
      </c>
      <c r="N87" s="430" t="s">
        <v>347</v>
      </c>
      <c r="O87" s="431"/>
      <c r="P87" s="432"/>
      <c r="Q87" s="433">
        <v>-5350</v>
      </c>
      <c r="R87" s="605"/>
      <c r="S87" s="494" t="s">
        <v>348</v>
      </c>
      <c r="T87" s="728">
        <v>45747</v>
      </c>
      <c r="U87" s="736">
        <v>0</v>
      </c>
      <c r="V87" s="948"/>
      <c r="W87" s="754">
        <v>45747</v>
      </c>
      <c r="X87" s="930"/>
      <c r="Y87" s="209"/>
    </row>
    <row r="88" spans="1:42" ht="14.1" customHeight="1">
      <c r="B88" s="429"/>
      <c r="C88" s="430"/>
      <c r="D88" s="430"/>
      <c r="E88" s="431"/>
      <c r="F88" s="432"/>
      <c r="G88" s="433"/>
      <c r="H88" s="716"/>
      <c r="I88" s="899"/>
      <c r="J88" s="899"/>
      <c r="K88" s="329"/>
      <c r="L88" s="429">
        <v>10</v>
      </c>
      <c r="M88" s="673" t="s">
        <v>339</v>
      </c>
      <c r="N88" s="430" t="s">
        <v>347</v>
      </c>
      <c r="O88" s="431"/>
      <c r="P88" s="432"/>
      <c r="Q88" s="433">
        <v>-4050</v>
      </c>
      <c r="R88" s="605"/>
      <c r="S88" s="494" t="s">
        <v>349</v>
      </c>
      <c r="T88" s="728">
        <v>45747</v>
      </c>
      <c r="U88" s="736">
        <v>0</v>
      </c>
      <c r="V88" s="948"/>
      <c r="W88" s="754">
        <v>45747</v>
      </c>
      <c r="X88" s="930"/>
      <c r="Y88" s="209"/>
    </row>
    <row r="89" spans="1:42" ht="14.1" customHeight="1">
      <c r="B89" s="429"/>
      <c r="C89" s="430"/>
      <c r="D89" s="430"/>
      <c r="E89" s="431"/>
      <c r="F89" s="432"/>
      <c r="G89" s="433"/>
      <c r="H89" s="716"/>
      <c r="I89" s="899"/>
      <c r="J89" s="899"/>
      <c r="K89" s="329"/>
      <c r="L89" s="429">
        <v>10</v>
      </c>
      <c r="M89" s="673" t="s">
        <v>339</v>
      </c>
      <c r="N89" s="430" t="s">
        <v>350</v>
      </c>
      <c r="O89" s="431"/>
      <c r="P89" s="432"/>
      <c r="Q89" s="433">
        <v>8250</v>
      </c>
      <c r="R89" s="605"/>
      <c r="S89" s="494" t="s">
        <v>351</v>
      </c>
      <c r="T89" s="728">
        <v>45747</v>
      </c>
      <c r="U89" s="736">
        <v>-5807.1211247446554</v>
      </c>
      <c r="V89" s="948"/>
      <c r="W89" s="754">
        <v>45744</v>
      </c>
      <c r="X89" s="930"/>
      <c r="Y89" s="209"/>
    </row>
    <row r="90" spans="1:42" ht="14.1" customHeight="1">
      <c r="B90" s="429"/>
      <c r="C90" s="430"/>
      <c r="D90" s="430"/>
      <c r="E90" s="431"/>
      <c r="F90" s="432"/>
      <c r="G90" s="433"/>
      <c r="H90" s="716"/>
      <c r="I90" s="899"/>
      <c r="J90" s="899"/>
      <c r="K90" s="329"/>
      <c r="L90" s="429">
        <v>10</v>
      </c>
      <c r="M90" s="673" t="s">
        <v>339</v>
      </c>
      <c r="N90" s="430" t="s">
        <v>344</v>
      </c>
      <c r="O90" s="431"/>
      <c r="P90" s="432"/>
      <c r="Q90" s="433">
        <v>2250</v>
      </c>
      <c r="R90" s="605" t="s">
        <v>352</v>
      </c>
      <c r="S90" s="494" t="s">
        <v>353</v>
      </c>
      <c r="T90" s="728">
        <v>45777</v>
      </c>
      <c r="U90" s="736">
        <v>5480.6151477969115</v>
      </c>
      <c r="V90" s="948"/>
      <c r="W90" s="754">
        <v>45764</v>
      </c>
      <c r="X90" s="930"/>
      <c r="Y90" s="209"/>
    </row>
    <row r="91" spans="1:42" ht="14.25" customHeight="1">
      <c r="B91" s="429">
        <v>10</v>
      </c>
      <c r="C91" s="430"/>
      <c r="D91" s="430" t="s">
        <v>354</v>
      </c>
      <c r="E91" s="431"/>
      <c r="F91" s="432"/>
      <c r="G91" s="433">
        <v>54199.5</v>
      </c>
      <c r="H91" s="716">
        <f>H92</f>
        <v>45807</v>
      </c>
      <c r="I91" s="899"/>
      <c r="J91" s="899"/>
      <c r="K91" s="329"/>
      <c r="L91" s="429">
        <v>10</v>
      </c>
      <c r="M91" s="673" t="s">
        <v>339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887" t="s">
        <v>283</v>
      </c>
      <c r="S91" s="494" t="s">
        <v>284</v>
      </c>
      <c r="T91" s="728">
        <f>T75</f>
        <v>45747</v>
      </c>
      <c r="U91" s="736">
        <v>40963.579112006853</v>
      </c>
      <c r="V91" s="948"/>
      <c r="W91" s="754">
        <f>W75</f>
        <v>45729</v>
      </c>
      <c r="X91" s="930"/>
      <c r="Y91" s="209"/>
    </row>
    <row r="92" spans="1:42" ht="14.25" customHeight="1">
      <c r="B92" s="429">
        <v>10</v>
      </c>
      <c r="C92" s="430"/>
      <c r="D92" s="430" t="s">
        <v>355</v>
      </c>
      <c r="E92" s="431"/>
      <c r="F92" s="432"/>
      <c r="G92" s="433">
        <v>7400</v>
      </c>
      <c r="H92" s="716">
        <f>H95</f>
        <v>45807</v>
      </c>
      <c r="I92" s="899"/>
      <c r="J92" s="899"/>
      <c r="K92" s="329"/>
      <c r="L92" s="429">
        <v>10</v>
      </c>
      <c r="M92" s="673" t="s">
        <v>339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888"/>
      <c r="S92" s="494" t="s">
        <v>286</v>
      </c>
      <c r="T92" s="728">
        <f>T76</f>
        <v>45777</v>
      </c>
      <c r="U92" s="736">
        <v>27309.05274133791</v>
      </c>
      <c r="V92" s="948"/>
      <c r="W92" s="754">
        <f>W76</f>
        <v>45785</v>
      </c>
      <c r="X92" s="930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899"/>
      <c r="J93" s="899"/>
      <c r="K93" s="329"/>
      <c r="L93" s="429">
        <v>10</v>
      </c>
      <c r="M93" s="673" t="s">
        <v>339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888"/>
      <c r="S93" s="494" t="s">
        <v>288</v>
      </c>
      <c r="T93" s="728">
        <f>T77</f>
        <v>45838</v>
      </c>
      <c r="U93" s="804">
        <v>54687.385584715303</v>
      </c>
      <c r="V93" s="948"/>
      <c r="W93" s="754">
        <f>W77</f>
        <v>45855</v>
      </c>
      <c r="X93" s="930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899"/>
      <c r="J94" s="899"/>
      <c r="K94" s="816"/>
      <c r="L94" s="812">
        <v>10</v>
      </c>
      <c r="M94" s="673" t="s">
        <v>339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888"/>
      <c r="S94" s="494" t="s">
        <v>290</v>
      </c>
      <c r="T94" s="728">
        <f>T78</f>
        <v>45838</v>
      </c>
      <c r="U94" s="804">
        <v>27343.692792357651</v>
      </c>
      <c r="V94" s="948"/>
      <c r="W94" s="754">
        <f>W78</f>
        <v>45862</v>
      </c>
      <c r="X94" s="930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252</v>
      </c>
      <c r="E95" s="434"/>
      <c r="F95" s="435"/>
      <c r="G95" s="325">
        <v>8500</v>
      </c>
      <c r="H95" s="328">
        <f>H79</f>
        <v>45807</v>
      </c>
      <c r="I95" s="899"/>
      <c r="J95" s="899"/>
      <c r="K95" s="329"/>
      <c r="L95" s="429">
        <v>10</v>
      </c>
      <c r="M95" s="673" t="s">
        <v>339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889"/>
      <c r="S95" s="794" t="s">
        <v>292</v>
      </c>
      <c r="T95" s="728">
        <f>T79</f>
        <v>45900</v>
      </c>
      <c r="U95" s="804">
        <v>9114.5642641192208</v>
      </c>
      <c r="V95" s="949"/>
      <c r="W95" s="754">
        <f>W79</f>
        <v>45890</v>
      </c>
      <c r="X95" s="930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899"/>
      <c r="J96" s="899"/>
      <c r="K96" s="329"/>
      <c r="L96" s="429">
        <v>10</v>
      </c>
      <c r="M96" s="673" t="s">
        <v>339</v>
      </c>
      <c r="N96" s="430" t="s">
        <v>356</v>
      </c>
      <c r="O96" s="431"/>
      <c r="P96" s="717"/>
      <c r="Q96" s="433">
        <v>10900</v>
      </c>
      <c r="R96" s="223" t="s">
        <v>357</v>
      </c>
      <c r="S96" s="794" t="s">
        <v>358</v>
      </c>
      <c r="T96" s="728">
        <v>45838</v>
      </c>
      <c r="U96" s="804">
        <v>81624.258024118128</v>
      </c>
      <c r="V96" s="949"/>
      <c r="W96" s="754">
        <v>45855</v>
      </c>
      <c r="X96" s="930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899"/>
      <c r="J97" s="899"/>
      <c r="K97" s="329"/>
      <c r="L97" s="429">
        <v>10</v>
      </c>
      <c r="M97" s="673" t="s">
        <v>339</v>
      </c>
      <c r="N97" s="430"/>
      <c r="O97" s="431"/>
      <c r="P97" s="717"/>
      <c r="Q97" s="433"/>
      <c r="R97" s="223"/>
      <c r="S97" s="494"/>
      <c r="T97" s="728"/>
      <c r="U97" s="539"/>
      <c r="V97" s="949"/>
      <c r="W97" s="754"/>
      <c r="X97" s="930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900"/>
      <c r="J98" s="900"/>
      <c r="K98" s="334"/>
      <c r="L98" s="331">
        <v>10</v>
      </c>
      <c r="M98" s="674" t="s">
        <v>339</v>
      </c>
      <c r="N98" s="436"/>
      <c r="O98" s="437"/>
      <c r="P98" s="718"/>
      <c r="Q98" s="332"/>
      <c r="R98" s="214"/>
      <c r="S98" s="520"/>
      <c r="T98" s="518"/>
      <c r="U98" s="540"/>
      <c r="V98" s="950"/>
      <c r="W98" s="456"/>
      <c r="X98" s="931"/>
      <c r="Y98" s="199"/>
      <c r="Z98" s="24"/>
      <c r="AA98" s="24"/>
    </row>
    <row r="99" spans="1:42" ht="14.45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359</v>
      </c>
      <c r="D100" s="471" t="s">
        <v>360</v>
      </c>
      <c r="E100" s="344"/>
      <c r="F100" s="439"/>
      <c r="G100" s="345">
        <v>15012.75</v>
      </c>
      <c r="H100" s="346">
        <f>'Project Plan'!G42+14</f>
        <v>45814</v>
      </c>
      <c r="I100" s="908">
        <f>SUM(G100:G104)</f>
        <v>132038.25</v>
      </c>
      <c r="J100" s="908">
        <f>D147</f>
        <v>155339.11764705883</v>
      </c>
      <c r="K100" s="347"/>
      <c r="L100" s="342">
        <v>11</v>
      </c>
      <c r="M100" s="471" t="s">
        <v>361</v>
      </c>
      <c r="N100" s="471" t="s">
        <v>360</v>
      </c>
      <c r="O100" s="344"/>
      <c r="P100" s="439"/>
      <c r="Q100" s="345">
        <v>15750</v>
      </c>
      <c r="R100" s="216"/>
      <c r="S100" s="521" t="s">
        <v>362</v>
      </c>
      <c r="T100" s="730">
        <v>45838</v>
      </c>
      <c r="U100" s="805">
        <v>22754.869946524064</v>
      </c>
      <c r="V100" s="880">
        <f>J100-SUM(U100:U104)</f>
        <v>-1.3731372600886971E-3</v>
      </c>
      <c r="W100" s="779">
        <v>45867</v>
      </c>
      <c r="X100" s="884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363</v>
      </c>
      <c r="E101" s="390"/>
      <c r="F101" s="440"/>
      <c r="G101" s="391">
        <v>30025.5</v>
      </c>
      <c r="H101" s="350">
        <f>'Project Plan'!E19-14</f>
        <v>45712</v>
      </c>
      <c r="I101" s="909"/>
      <c r="J101" s="909"/>
      <c r="K101" s="351"/>
      <c r="L101" s="387">
        <v>11</v>
      </c>
      <c r="M101" s="571" t="s">
        <v>361</v>
      </c>
      <c r="N101" s="389" t="s">
        <v>364</v>
      </c>
      <c r="O101" s="390"/>
      <c r="P101" s="440"/>
      <c r="Q101" s="391">
        <v>7500</v>
      </c>
      <c r="R101" s="211" t="s">
        <v>365</v>
      </c>
      <c r="S101" s="531" t="s">
        <v>366</v>
      </c>
      <c r="T101" s="730">
        <v>45688</v>
      </c>
      <c r="U101" s="737">
        <v>10638.426871327232</v>
      </c>
      <c r="V101" s="882"/>
      <c r="W101" s="731">
        <f>T101+7</f>
        <v>45695</v>
      </c>
      <c r="X101" s="885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909"/>
      <c r="J102" s="909"/>
      <c r="K102" s="351"/>
      <c r="L102" s="387">
        <v>11</v>
      </c>
      <c r="M102" s="571" t="s">
        <v>361</v>
      </c>
      <c r="N102" s="389" t="s">
        <v>367</v>
      </c>
      <c r="O102" s="390"/>
      <c r="P102" s="440"/>
      <c r="Q102" s="391">
        <v>8000</v>
      </c>
      <c r="R102" s="211"/>
      <c r="S102" s="531" t="s">
        <v>368</v>
      </c>
      <c r="T102" s="730">
        <v>45869</v>
      </c>
      <c r="U102" s="823">
        <v>13703.880849352969</v>
      </c>
      <c r="V102" s="882"/>
      <c r="W102" s="731">
        <f>T102</f>
        <v>45869</v>
      </c>
      <c r="X102" s="885"/>
      <c r="Y102" s="202"/>
    </row>
    <row r="103" spans="1:42" ht="14.25" customHeight="1">
      <c r="B103" s="387">
        <v>11</v>
      </c>
      <c r="C103" s="389"/>
      <c r="D103" s="389" t="s">
        <v>369</v>
      </c>
      <c r="E103" s="390"/>
      <c r="F103" s="440"/>
      <c r="G103" s="391">
        <v>80000</v>
      </c>
      <c r="H103" s="350">
        <f>H111</f>
        <v>45846</v>
      </c>
      <c r="I103" s="909"/>
      <c r="J103" s="909"/>
      <c r="K103" s="351"/>
      <c r="L103" s="387">
        <v>11</v>
      </c>
      <c r="M103" s="571" t="s">
        <v>361</v>
      </c>
      <c r="N103" s="389" t="s">
        <v>369</v>
      </c>
      <c r="O103" s="390"/>
      <c r="P103" s="440"/>
      <c r="Q103" s="391">
        <v>65700</v>
      </c>
      <c r="R103" s="211" t="s">
        <v>370</v>
      </c>
      <c r="S103" s="531" t="s">
        <v>371</v>
      </c>
      <c r="T103" s="730">
        <v>45777</v>
      </c>
      <c r="U103" s="737">
        <v>98881.000936529308</v>
      </c>
      <c r="V103" s="882"/>
      <c r="W103" s="459">
        <v>46112</v>
      </c>
      <c r="X103" s="885"/>
      <c r="Y103" s="202"/>
    </row>
    <row r="104" spans="1:42" ht="15" customHeight="1" thickBot="1">
      <c r="B104" s="393">
        <v>11</v>
      </c>
      <c r="C104" s="394"/>
      <c r="D104" s="394" t="s">
        <v>372</v>
      </c>
      <c r="E104" s="395"/>
      <c r="F104" s="441"/>
      <c r="G104" s="414">
        <v>7000</v>
      </c>
      <c r="H104" s="352">
        <f>H103</f>
        <v>45846</v>
      </c>
      <c r="I104" s="910"/>
      <c r="J104" s="910"/>
      <c r="K104" s="353"/>
      <c r="L104" s="393">
        <v>11</v>
      </c>
      <c r="M104" s="654" t="s">
        <v>361</v>
      </c>
      <c r="N104" s="394" t="s">
        <v>373</v>
      </c>
      <c r="O104" s="395"/>
      <c r="P104" s="441"/>
      <c r="Q104" s="414">
        <v>5100</v>
      </c>
      <c r="R104" s="217" t="s">
        <v>374</v>
      </c>
      <c r="S104" s="777" t="s">
        <v>375</v>
      </c>
      <c r="T104" s="778">
        <v>45900</v>
      </c>
      <c r="U104" s="829">
        <v>9360.9404164625194</v>
      </c>
      <c r="V104" s="883"/>
      <c r="W104" s="776">
        <v>45911</v>
      </c>
      <c r="X104" s="886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376</v>
      </c>
      <c r="D106" s="323"/>
      <c r="E106" s="324"/>
      <c r="F106" s="612"/>
      <c r="G106" s="427"/>
      <c r="H106" s="326"/>
      <c r="I106" s="898">
        <v>0</v>
      </c>
      <c r="J106" s="898">
        <v>0</v>
      </c>
      <c r="K106" s="954"/>
      <c r="L106" s="322">
        <v>12</v>
      </c>
      <c r="M106" s="323" t="s">
        <v>376</v>
      </c>
      <c r="N106" s="323" t="s">
        <v>377</v>
      </c>
      <c r="O106" s="324"/>
      <c r="P106" s="612"/>
      <c r="Q106" s="427">
        <v>304347.83</v>
      </c>
      <c r="R106" s="210"/>
      <c r="S106" s="610" t="s">
        <v>378</v>
      </c>
      <c r="T106" s="756">
        <v>45747</v>
      </c>
      <c r="U106" s="613"/>
      <c r="V106" s="633"/>
      <c r="W106" s="757">
        <v>45743</v>
      </c>
      <c r="X106" s="952">
        <f>SUM(Q106:Q107)</f>
        <v>304347.83</v>
      </c>
      <c r="Y106" s="196"/>
    </row>
    <row r="107" spans="1:42" ht="15" customHeight="1" thickBot="1">
      <c r="B107" s="331">
        <v>12</v>
      </c>
      <c r="C107" s="436" t="s">
        <v>376</v>
      </c>
      <c r="D107" s="436"/>
      <c r="E107" s="437"/>
      <c r="F107" s="620"/>
      <c r="G107" s="332"/>
      <c r="H107" s="333"/>
      <c r="I107" s="900"/>
      <c r="J107" s="900"/>
      <c r="K107" s="955"/>
      <c r="L107" s="331">
        <v>12</v>
      </c>
      <c r="M107" s="436" t="s">
        <v>376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953"/>
      <c r="Y107" s="199"/>
    </row>
    <row r="108" spans="1:42" ht="14.45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379</v>
      </c>
      <c r="D109" s="471" t="s">
        <v>380</v>
      </c>
      <c r="E109" s="344"/>
      <c r="F109" s="439"/>
      <c r="G109" s="345">
        <v>50778.716557065214</v>
      </c>
      <c r="H109" s="346">
        <f>'Project Plan'!G47</f>
        <v>45846</v>
      </c>
      <c r="I109" s="908">
        <f>SUM(G109:G113)</f>
        <v>378813.39655706519</v>
      </c>
      <c r="J109" s="908">
        <f>D146</f>
        <v>430469.76881484682</v>
      </c>
      <c r="K109" s="347"/>
      <c r="L109" s="342">
        <v>13</v>
      </c>
      <c r="M109" s="471" t="s">
        <v>381</v>
      </c>
      <c r="N109" s="471" t="s">
        <v>382</v>
      </c>
      <c r="O109" s="344"/>
      <c r="P109" s="345"/>
      <c r="Q109" s="345">
        <f>'Revenue Tracking'!D4*1.25%</f>
        <v>72672.500000362998</v>
      </c>
      <c r="R109" s="216"/>
      <c r="S109" s="521" t="s">
        <v>383</v>
      </c>
      <c r="T109" s="730">
        <v>45869</v>
      </c>
      <c r="U109" s="824">
        <v>430469.76881484682</v>
      </c>
      <c r="V109" s="880">
        <f>J109-SUM(U109:U115)</f>
        <v>0</v>
      </c>
      <c r="W109" s="346">
        <v>45869</v>
      </c>
      <c r="X109" s="884">
        <f>SUM(Q109:Q115)</f>
        <v>72672.500000362998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384</v>
      </c>
      <c r="E110" s="390"/>
      <c r="F110" s="440"/>
      <c r="G110" s="391">
        <v>48000</v>
      </c>
      <c r="H110" s="350">
        <f>H109</f>
        <v>45846</v>
      </c>
      <c r="I110" s="909"/>
      <c r="J110" s="909"/>
      <c r="K110" s="351"/>
      <c r="L110" s="387">
        <v>13</v>
      </c>
      <c r="M110" s="571" t="s">
        <v>381</v>
      </c>
      <c r="N110" s="389" t="s">
        <v>384</v>
      </c>
      <c r="O110" s="390"/>
      <c r="P110" s="391"/>
      <c r="Q110" s="391">
        <v>0</v>
      </c>
      <c r="R110" s="211"/>
      <c r="S110" s="451"/>
      <c r="T110" s="730">
        <f t="shared" si="18"/>
        <v>45869</v>
      </c>
      <c r="U110" s="823">
        <v>0</v>
      </c>
      <c r="V110" s="882"/>
      <c r="W110" s="750">
        <f>W109</f>
        <v>45869</v>
      </c>
      <c r="X110" s="885"/>
      <c r="Y110" s="202"/>
    </row>
    <row r="111" spans="1:42" ht="15.75" customHeight="1">
      <c r="B111" s="387">
        <v>13</v>
      </c>
      <c r="C111" s="389"/>
      <c r="D111" s="389" t="s">
        <v>385</v>
      </c>
      <c r="E111" s="390"/>
      <c r="F111" s="440"/>
      <c r="G111" s="391">
        <v>163200</v>
      </c>
      <c r="H111" s="350">
        <f>H109</f>
        <v>45846</v>
      </c>
      <c r="I111" s="909"/>
      <c r="J111" s="909"/>
      <c r="K111" s="351"/>
      <c r="L111" s="387">
        <v>13</v>
      </c>
      <c r="M111" s="571" t="s">
        <v>381</v>
      </c>
      <c r="N111" s="389" t="s">
        <v>385</v>
      </c>
      <c r="O111" s="390"/>
      <c r="P111" s="391"/>
      <c r="Q111" s="391">
        <v>0</v>
      </c>
      <c r="R111" s="211"/>
      <c r="S111" s="451"/>
      <c r="T111" s="750">
        <f t="shared" si="18"/>
        <v>45869</v>
      </c>
      <c r="U111" s="823">
        <v>0</v>
      </c>
      <c r="V111" s="882"/>
      <c r="W111" s="750">
        <f t="shared" ref="W111:W113" si="20">W110</f>
        <v>45869</v>
      </c>
      <c r="X111" s="885"/>
      <c r="Y111" s="202"/>
    </row>
    <row r="112" spans="1:42" ht="15.75" customHeight="1">
      <c r="B112" s="387">
        <v>13</v>
      </c>
      <c r="C112" s="389"/>
      <c r="D112" s="389" t="s">
        <v>386</v>
      </c>
      <c r="E112" s="390"/>
      <c r="F112" s="440"/>
      <c r="G112" s="391">
        <v>62400</v>
      </c>
      <c r="H112" s="350">
        <f>H109</f>
        <v>45846</v>
      </c>
      <c r="I112" s="909"/>
      <c r="J112" s="909"/>
      <c r="K112" s="351"/>
      <c r="L112" s="387">
        <v>13</v>
      </c>
      <c r="M112" s="571" t="s">
        <v>381</v>
      </c>
      <c r="N112" s="389" t="s">
        <v>386</v>
      </c>
      <c r="O112" s="390"/>
      <c r="P112" s="391"/>
      <c r="Q112" s="391">
        <v>0</v>
      </c>
      <c r="R112" s="484"/>
      <c r="S112" s="522"/>
      <c r="T112" s="750">
        <f t="shared" si="18"/>
        <v>45869</v>
      </c>
      <c r="U112" s="823">
        <v>0</v>
      </c>
      <c r="V112" s="882"/>
      <c r="W112" s="750">
        <f t="shared" si="20"/>
        <v>45869</v>
      </c>
      <c r="X112" s="885"/>
      <c r="Y112" s="485"/>
    </row>
    <row r="113" spans="1:42" ht="15.75" customHeight="1">
      <c r="B113" s="387">
        <v>13</v>
      </c>
      <c r="C113" s="389"/>
      <c r="D113" s="389" t="s">
        <v>387</v>
      </c>
      <c r="E113" s="390"/>
      <c r="F113" s="440"/>
      <c r="G113" s="391">
        <v>54434.679999999993</v>
      </c>
      <c r="H113" s="350">
        <f>H109</f>
        <v>45846</v>
      </c>
      <c r="I113" s="909"/>
      <c r="J113" s="909"/>
      <c r="K113" s="351"/>
      <c r="L113" s="387">
        <v>13</v>
      </c>
      <c r="M113" s="571" t="s">
        <v>381</v>
      </c>
      <c r="N113" s="389" t="s">
        <v>387</v>
      </c>
      <c r="O113" s="390"/>
      <c r="P113" s="391"/>
      <c r="Q113" s="391">
        <v>0</v>
      </c>
      <c r="R113" s="484"/>
      <c r="S113" s="522"/>
      <c r="T113" s="730">
        <f t="shared" si="18"/>
        <v>45869</v>
      </c>
      <c r="U113" s="823">
        <v>0</v>
      </c>
      <c r="V113" s="882"/>
      <c r="W113" s="750">
        <f t="shared" si="20"/>
        <v>45869</v>
      </c>
      <c r="X113" s="885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909"/>
      <c r="J114" s="909"/>
      <c r="K114" s="351"/>
      <c r="L114" s="387">
        <v>13</v>
      </c>
      <c r="M114" s="571" t="s">
        <v>381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82"/>
      <c r="W114" s="499"/>
      <c r="X114" s="885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910"/>
      <c r="J115" s="910"/>
      <c r="K115" s="486"/>
      <c r="L115" s="393">
        <v>13</v>
      </c>
      <c r="M115" s="654" t="s">
        <v>381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83"/>
      <c r="W115" s="460"/>
      <c r="X115" s="951"/>
      <c r="Y115" s="203"/>
    </row>
    <row r="116" spans="1:42" ht="14.45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388</v>
      </c>
      <c r="D117" s="323" t="s">
        <v>389</v>
      </c>
      <c r="E117" s="324"/>
      <c r="F117" s="426"/>
      <c r="G117" s="427">
        <v>10500</v>
      </c>
      <c r="H117" s="326">
        <f>H109</f>
        <v>45846</v>
      </c>
      <c r="I117" s="898">
        <f>SUM(G117:G124)</f>
        <v>10500</v>
      </c>
      <c r="J117" s="898">
        <f>D157</f>
        <v>12352.941176470587</v>
      </c>
      <c r="K117" s="428"/>
      <c r="L117" s="322">
        <v>14</v>
      </c>
      <c r="M117" s="672" t="s">
        <v>390</v>
      </c>
      <c r="N117" s="323" t="s">
        <v>389</v>
      </c>
      <c r="O117" s="324"/>
      <c r="P117" s="426"/>
      <c r="Q117" s="427">
        <v>602.58000000000004</v>
      </c>
      <c r="R117" s="210"/>
      <c r="S117" s="733" t="s">
        <v>391</v>
      </c>
      <c r="T117" s="734">
        <v>45688</v>
      </c>
      <c r="U117" s="748">
        <v>455.06798335107544</v>
      </c>
      <c r="V117" s="947">
        <f>J117-SUM(U117:U124)</f>
        <v>2.0646336088248063E-3</v>
      </c>
      <c r="W117" s="735">
        <v>45695</v>
      </c>
      <c r="X117" s="929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899"/>
      <c r="J118" s="899"/>
      <c r="K118" s="329"/>
      <c r="L118" s="327">
        <v>14</v>
      </c>
      <c r="M118" s="673" t="s">
        <v>390</v>
      </c>
      <c r="N118" s="330"/>
      <c r="O118" s="434"/>
      <c r="P118" s="435"/>
      <c r="Q118" s="325">
        <v>514.98</v>
      </c>
      <c r="R118" s="213"/>
      <c r="S118" s="746" t="s">
        <v>391</v>
      </c>
      <c r="T118" s="747">
        <v>45716</v>
      </c>
      <c r="U118" s="749">
        <v>286.44448880835216</v>
      </c>
      <c r="V118" s="949"/>
      <c r="W118" s="747">
        <v>45722</v>
      </c>
      <c r="X118" s="930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899"/>
      <c r="J119" s="899"/>
      <c r="K119" s="329"/>
      <c r="L119" s="327">
        <v>14</v>
      </c>
      <c r="M119" s="673" t="s">
        <v>390</v>
      </c>
      <c r="N119" s="330"/>
      <c r="O119" s="434"/>
      <c r="P119" s="435"/>
      <c r="Q119" s="325">
        <v>2896.82</v>
      </c>
      <c r="R119" s="213"/>
      <c r="S119" s="746" t="s">
        <v>391</v>
      </c>
      <c r="T119" s="747">
        <v>45747</v>
      </c>
      <c r="U119" s="749">
        <v>2011.2567911981166</v>
      </c>
      <c r="V119" s="949"/>
      <c r="W119" s="747">
        <v>45751</v>
      </c>
      <c r="X119" s="930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899"/>
      <c r="J120" s="899"/>
      <c r="K120" s="329"/>
      <c r="L120" s="327">
        <v>14</v>
      </c>
      <c r="M120" s="673" t="s">
        <v>390</v>
      </c>
      <c r="N120" s="330"/>
      <c r="O120" s="434"/>
      <c r="P120" s="435"/>
      <c r="Q120" s="325">
        <v>639.27</v>
      </c>
      <c r="R120" s="213"/>
      <c r="S120" s="746" t="s">
        <v>391</v>
      </c>
      <c r="T120" s="747">
        <v>45777</v>
      </c>
      <c r="U120" s="749">
        <v>521.11964483027862</v>
      </c>
      <c r="V120" s="949"/>
      <c r="W120" s="790">
        <v>45785</v>
      </c>
      <c r="X120" s="930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899"/>
      <c r="J121" s="899"/>
      <c r="K121" s="329"/>
      <c r="L121" s="327">
        <v>14</v>
      </c>
      <c r="M121" s="673" t="s">
        <v>390</v>
      </c>
      <c r="N121" s="600"/>
      <c r="O121" s="601"/>
      <c r="P121" s="602"/>
      <c r="Q121" s="603">
        <v>421.74</v>
      </c>
      <c r="R121" s="605"/>
      <c r="S121" s="789" t="s">
        <v>391</v>
      </c>
      <c r="T121" s="790">
        <v>45808</v>
      </c>
      <c r="U121" s="792">
        <v>431.43363582995715</v>
      </c>
      <c r="V121" s="949"/>
      <c r="W121" s="791">
        <v>45817</v>
      </c>
      <c r="X121" s="930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899"/>
      <c r="J122" s="899"/>
      <c r="K122" s="329"/>
      <c r="L122" s="327">
        <v>14</v>
      </c>
      <c r="M122" s="673" t="s">
        <v>390</v>
      </c>
      <c r="N122" s="600"/>
      <c r="O122" s="601"/>
      <c r="P122" s="602"/>
      <c r="Q122" s="603">
        <v>704.96</v>
      </c>
      <c r="R122" s="605"/>
      <c r="S122" s="789" t="s">
        <v>391</v>
      </c>
      <c r="T122" s="791">
        <v>45838</v>
      </c>
      <c r="U122" s="806">
        <v>2502.1021751081271</v>
      </c>
      <c r="V122" s="949"/>
      <c r="W122" s="798">
        <v>45842</v>
      </c>
      <c r="X122" s="930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899"/>
      <c r="J123" s="899"/>
      <c r="K123" s="329"/>
      <c r="L123" s="327">
        <v>14</v>
      </c>
      <c r="M123" s="673" t="s">
        <v>390</v>
      </c>
      <c r="N123" s="600"/>
      <c r="O123" s="601"/>
      <c r="P123" s="602"/>
      <c r="Q123" s="603">
        <v>606.41999999999996</v>
      </c>
      <c r="R123" s="605"/>
      <c r="S123" s="821" t="s">
        <v>391</v>
      </c>
      <c r="T123" s="822">
        <v>45869</v>
      </c>
      <c r="U123" s="825">
        <v>6145.5143927110712</v>
      </c>
      <c r="V123" s="949"/>
      <c r="W123" s="798">
        <f>T123+7</f>
        <v>45876</v>
      </c>
      <c r="X123" s="930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900"/>
      <c r="J124" s="900"/>
      <c r="K124" s="334"/>
      <c r="L124" s="331">
        <v>14</v>
      </c>
      <c r="M124" s="674" t="s">
        <v>390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50"/>
      <c r="W124" s="456"/>
      <c r="X124" s="931"/>
      <c r="Y124" s="199"/>
    </row>
    <row r="125" spans="1:42" ht="14.45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392</v>
      </c>
      <c r="D126" s="343"/>
      <c r="E126" s="344"/>
      <c r="F126" s="439"/>
      <c r="G126" s="345"/>
      <c r="H126" s="346"/>
      <c r="I126" s="908">
        <f>SUM(G126:G129)</f>
        <v>0</v>
      </c>
      <c r="J126" s="908">
        <v>0</v>
      </c>
      <c r="K126" s="347"/>
      <c r="L126" s="342">
        <v>15</v>
      </c>
      <c r="M126" s="471" t="s">
        <v>393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80">
        <f>J126-SUM(U126:U129)</f>
        <v>0</v>
      </c>
      <c r="W126" s="458"/>
      <c r="X126" s="884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909"/>
      <c r="J127" s="909"/>
      <c r="K127" s="351"/>
      <c r="L127" s="387">
        <v>15</v>
      </c>
      <c r="M127" s="571" t="s">
        <v>393</v>
      </c>
      <c r="N127" s="389" t="s">
        <v>394</v>
      </c>
      <c r="O127" s="390"/>
      <c r="P127" s="729"/>
      <c r="Q127" s="391">
        <v>3250</v>
      </c>
      <c r="R127" s="211" t="s">
        <v>395</v>
      </c>
      <c r="S127" s="531" t="s">
        <v>396</v>
      </c>
      <c r="T127" s="750">
        <v>45900</v>
      </c>
      <c r="U127" s="541"/>
      <c r="V127" s="882"/>
      <c r="W127" s="731">
        <v>45890</v>
      </c>
      <c r="X127" s="885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909"/>
      <c r="J128" s="909"/>
      <c r="K128" s="351"/>
      <c r="L128" s="387">
        <v>15</v>
      </c>
      <c r="M128" s="571" t="s">
        <v>393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82"/>
      <c r="W128" s="459"/>
      <c r="X128" s="885"/>
      <c r="Y128" s="202"/>
    </row>
    <row r="129" spans="2:25" ht="14.45" thickBot="1">
      <c r="B129" s="393">
        <v>15</v>
      </c>
      <c r="C129" s="394"/>
      <c r="D129" s="394"/>
      <c r="E129" s="395"/>
      <c r="F129" s="441"/>
      <c r="G129" s="414"/>
      <c r="H129" s="352"/>
      <c r="I129" s="910"/>
      <c r="J129" s="910"/>
      <c r="K129" s="353"/>
      <c r="L129" s="393">
        <v>15</v>
      </c>
      <c r="M129" s="654" t="s">
        <v>393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83"/>
      <c r="W129" s="460"/>
      <c r="X129" s="886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397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398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399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400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401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402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403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404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405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406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407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408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409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410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411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412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413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414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415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416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417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418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405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419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420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I109:I115"/>
    <mergeCell ref="X109:X115"/>
    <mergeCell ref="X106:X107"/>
    <mergeCell ref="I106:I107"/>
    <mergeCell ref="J106:J107"/>
    <mergeCell ref="K106:K107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S2:W2"/>
    <mergeCell ref="V6:V11"/>
    <mergeCell ref="V13:V17"/>
    <mergeCell ref="V19:V26"/>
    <mergeCell ref="V28:V39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B2:H2"/>
    <mergeCell ref="L2:Q2"/>
    <mergeCell ref="I6:I11"/>
    <mergeCell ref="I13:I17"/>
    <mergeCell ref="I19:I26"/>
    <mergeCell ref="J6:J11"/>
    <mergeCell ref="J13:J17"/>
    <mergeCell ref="J19:J26"/>
    <mergeCell ref="X6:X11"/>
    <mergeCell ref="X13:X17"/>
    <mergeCell ref="X19:X26"/>
    <mergeCell ref="X28:X39"/>
    <mergeCell ref="X41:X46"/>
    <mergeCell ref="R19:R20"/>
    <mergeCell ref="J117:J124"/>
    <mergeCell ref="R32:R39"/>
    <mergeCell ref="R75:R82"/>
    <mergeCell ref="J28:J39"/>
    <mergeCell ref="J41:J46"/>
    <mergeCell ref="J48:J56"/>
    <mergeCell ref="J67:J73"/>
    <mergeCell ref="V41:V46"/>
    <mergeCell ref="X58:X65"/>
    <mergeCell ref="R91:R95"/>
    <mergeCell ref="R69:R70"/>
    <mergeCell ref="R67:R68"/>
    <mergeCell ref="R49:R54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bottomRight" activeCell="E10" sqref="E10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40"/>
  </cols>
  <sheetData>
    <row r="1" spans="1:572">
      <c r="D1" s="236" t="s">
        <v>421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232</v>
      </c>
      <c r="D2" s="242" t="s">
        <v>232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422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423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424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232</v>
      </c>
      <c r="D8" s="242" t="s">
        <v>232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425</v>
      </c>
      <c r="C9" s="259">
        <f>'Revenue Tracking'!F4</f>
        <v>5852178.2600290393</v>
      </c>
      <c r="D9" s="259">
        <f>SUM(F9:CP9)</f>
        <v>5852178.2600290393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38378.26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426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5852178.2600290393</v>
      </c>
      <c r="BL10" s="260">
        <f t="shared" si="23"/>
        <v>5852178.2600290393</v>
      </c>
      <c r="BM10" s="260">
        <f t="shared" si="23"/>
        <v>5852178.2600290393</v>
      </c>
      <c r="BN10" s="260">
        <f t="shared" si="23"/>
        <v>5852178.2600290393</v>
      </c>
      <c r="BO10" s="260">
        <f t="shared" si="23"/>
        <v>5852178.2600290393</v>
      </c>
      <c r="BP10" s="260">
        <f t="shared" si="23"/>
        <v>5852178.2600290393</v>
      </c>
      <c r="BQ10" s="260">
        <f t="shared" si="23"/>
        <v>5852178.2600290393</v>
      </c>
      <c r="BR10" s="260">
        <f t="shared" si="23"/>
        <v>5852178.2600290393</v>
      </c>
      <c r="BS10" s="260">
        <f t="shared" si="23"/>
        <v>5852178.2600290393</v>
      </c>
      <c r="BT10" s="260">
        <f t="shared" si="23"/>
        <v>5852178.2600290393</v>
      </c>
      <c r="BU10" s="260">
        <f t="shared" ref="BU10:CJ10" si="24">BT10+BU9</f>
        <v>5852178.2600290393</v>
      </c>
      <c r="BV10" s="260">
        <f t="shared" si="24"/>
        <v>5852178.2600290393</v>
      </c>
      <c r="BW10" s="260">
        <f t="shared" si="24"/>
        <v>5852178.2600290393</v>
      </c>
      <c r="BX10" s="260">
        <f t="shared" si="24"/>
        <v>5852178.2600290393</v>
      </c>
      <c r="BY10" s="260">
        <f t="shared" si="24"/>
        <v>5852178.2600290393</v>
      </c>
      <c r="BZ10" s="260">
        <f t="shared" si="24"/>
        <v>5852178.2600290393</v>
      </c>
      <c r="CA10" s="260">
        <f t="shared" si="24"/>
        <v>5852178.2600290393</v>
      </c>
      <c r="CB10" s="260">
        <f t="shared" si="24"/>
        <v>5852178.2600290393</v>
      </c>
      <c r="CC10" s="260">
        <f t="shared" si="24"/>
        <v>5852178.2600290393</v>
      </c>
      <c r="CD10" s="260">
        <f t="shared" si="24"/>
        <v>5852178.2600290393</v>
      </c>
      <c r="CE10" s="260">
        <f t="shared" si="24"/>
        <v>5852178.2600290393</v>
      </c>
      <c r="CF10" s="260">
        <f t="shared" si="24"/>
        <v>5852178.2600290393</v>
      </c>
      <c r="CG10" s="260">
        <f t="shared" si="24"/>
        <v>5852178.2600290393</v>
      </c>
      <c r="CH10" s="260">
        <f t="shared" si="24"/>
        <v>5852178.2600290393</v>
      </c>
      <c r="CI10" s="260">
        <f t="shared" si="24"/>
        <v>5852178.2600290393</v>
      </c>
      <c r="CJ10" s="260">
        <f t="shared" si="24"/>
        <v>5852178.2600290393</v>
      </c>
      <c r="CK10" s="260">
        <f t="shared" ref="CK10" si="25">CJ10+CK9</f>
        <v>5852178.2600290393</v>
      </c>
      <c r="CL10" s="260">
        <f t="shared" ref="CL10" si="26">CK10+CL9</f>
        <v>5852178.2600290393</v>
      </c>
      <c r="CM10" s="260">
        <f t="shared" ref="CM10" si="27">CL10+CM9</f>
        <v>5852178.2600290393</v>
      </c>
      <c r="CN10" s="260">
        <f t="shared" ref="CN10" si="28">CM10+CN9</f>
        <v>5852178.2600290393</v>
      </c>
      <c r="CO10" s="260">
        <f t="shared" ref="CO10" si="29">CN10+CO9</f>
        <v>5852178.2600290393</v>
      </c>
      <c r="CP10" s="260">
        <f t="shared" ref="CP10" si="30">CO10+CP9</f>
        <v>5852178.2600290393</v>
      </c>
    </row>
    <row r="11" spans="1:572" s="252" customFormat="1">
      <c r="A11" s="957"/>
      <c r="B11" s="261" t="s">
        <v>427</v>
      </c>
      <c r="C11" s="262">
        <f>'Revenue Tracking'!F5</f>
        <v>4046134.0475003636</v>
      </c>
      <c r="D11" s="262">
        <f>SUM(F11:CP11)</f>
        <v>4046134.0475003631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-23427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428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3971860.0575003629</v>
      </c>
      <c r="AL12" s="263">
        <f t="shared" si="31"/>
        <v>3971860.0575003629</v>
      </c>
      <c r="AM12" s="263">
        <f t="shared" si="31"/>
        <v>3976960.0575003629</v>
      </c>
      <c r="AN12" s="263">
        <f t="shared" si="31"/>
        <v>3976960.0575003629</v>
      </c>
      <c r="AO12" s="263">
        <f t="shared" si="31"/>
        <v>3976960.0575003629</v>
      </c>
      <c r="AP12" s="263">
        <f t="shared" si="31"/>
        <v>3980434.0475003631</v>
      </c>
      <c r="AQ12" s="263">
        <f t="shared" si="31"/>
        <v>3980434.0475003631</v>
      </c>
      <c r="AR12" s="263">
        <f t="shared" si="31"/>
        <v>3980434.0475003631</v>
      </c>
      <c r="AS12" s="263">
        <f t="shared" si="31"/>
        <v>3980434.0475003631</v>
      </c>
      <c r="AT12" s="263">
        <f t="shared" si="31"/>
        <v>3980434.0475003631</v>
      </c>
      <c r="AU12" s="263">
        <f t="shared" si="31"/>
        <v>3980434.0475003631</v>
      </c>
      <c r="AV12" s="263">
        <f t="shared" si="31"/>
        <v>3980434.0475003631</v>
      </c>
      <c r="AW12" s="263">
        <f t="shared" si="31"/>
        <v>3980434.0475003631</v>
      </c>
      <c r="AX12" s="263">
        <f t="shared" si="31"/>
        <v>3980434.0475003631</v>
      </c>
      <c r="AY12" s="263">
        <f t="shared" si="31"/>
        <v>3980434.0475003631</v>
      </c>
      <c r="AZ12" s="263">
        <f t="shared" si="31"/>
        <v>3980434.0475003631</v>
      </c>
      <c r="BA12" s="263">
        <f t="shared" si="31"/>
        <v>3980434.0475003631</v>
      </c>
      <c r="BB12" s="263">
        <f t="shared" si="31"/>
        <v>3980434.0475003631</v>
      </c>
      <c r="BC12" s="263">
        <f t="shared" si="31"/>
        <v>3980434.0475003631</v>
      </c>
      <c r="BD12" s="263">
        <f t="shared" si="31"/>
        <v>3980434.0475003631</v>
      </c>
      <c r="BE12" s="263">
        <f t="shared" si="31"/>
        <v>3980434.0475003631</v>
      </c>
      <c r="BF12" s="263">
        <f t="shared" si="31"/>
        <v>3980434.0475003631</v>
      </c>
      <c r="BG12" s="263">
        <f t="shared" si="31"/>
        <v>3980434.0475003631</v>
      </c>
      <c r="BH12" s="263">
        <f t="shared" si="31"/>
        <v>3980434.0475003631</v>
      </c>
      <c r="BI12" s="263">
        <f t="shared" si="31"/>
        <v>3980434.0475003631</v>
      </c>
      <c r="BJ12" s="263">
        <f t="shared" si="31"/>
        <v>3980434.0475003631</v>
      </c>
      <c r="BK12" s="263">
        <f t="shared" si="31"/>
        <v>3980434.0475003631</v>
      </c>
      <c r="BL12" s="263">
        <f t="shared" si="31"/>
        <v>3980434.0475003631</v>
      </c>
      <c r="BM12" s="263">
        <f t="shared" si="31"/>
        <v>3980434.0475003631</v>
      </c>
      <c r="BN12" s="263">
        <f t="shared" si="31"/>
        <v>3980434.0475003631</v>
      </c>
      <c r="BO12" s="263">
        <f t="shared" si="31"/>
        <v>3980434.0475003631</v>
      </c>
      <c r="BP12" s="263">
        <f t="shared" si="31"/>
        <v>4046134.0475003631</v>
      </c>
      <c r="BQ12" s="263">
        <f t="shared" si="31"/>
        <v>4046134.0475003631</v>
      </c>
      <c r="BR12" s="263">
        <f t="shared" si="31"/>
        <v>4046134.0475003631</v>
      </c>
      <c r="BS12" s="263">
        <f t="shared" si="31"/>
        <v>4046134.0475003631</v>
      </c>
      <c r="BT12" s="263">
        <f t="shared" si="31"/>
        <v>4046134.0475003631</v>
      </c>
      <c r="BU12" s="263">
        <f t="shared" ref="BU12:CJ12" si="32">BT12+BU11</f>
        <v>4046134.0475003631</v>
      </c>
      <c r="BV12" s="263">
        <f t="shared" si="32"/>
        <v>4046134.0475003631</v>
      </c>
      <c r="BW12" s="263">
        <f t="shared" si="32"/>
        <v>4046134.0475003631</v>
      </c>
      <c r="BX12" s="263">
        <f t="shared" si="32"/>
        <v>4046134.0475003631</v>
      </c>
      <c r="BY12" s="263">
        <f t="shared" si="32"/>
        <v>4046134.0475003631</v>
      </c>
      <c r="BZ12" s="263">
        <f t="shared" si="32"/>
        <v>4046134.0475003631</v>
      </c>
      <c r="CA12" s="263">
        <f t="shared" si="32"/>
        <v>4046134.0475003631</v>
      </c>
      <c r="CB12" s="263">
        <f t="shared" si="32"/>
        <v>4046134.0475003631</v>
      </c>
      <c r="CC12" s="263">
        <f t="shared" si="32"/>
        <v>4046134.0475003631</v>
      </c>
      <c r="CD12" s="263">
        <f t="shared" si="32"/>
        <v>4046134.0475003631</v>
      </c>
      <c r="CE12" s="263">
        <f t="shared" si="32"/>
        <v>4046134.0475003631</v>
      </c>
      <c r="CF12" s="263">
        <f t="shared" si="32"/>
        <v>4046134.0475003631</v>
      </c>
      <c r="CG12" s="263">
        <f t="shared" si="32"/>
        <v>4046134.0475003631</v>
      </c>
      <c r="CH12" s="263">
        <f t="shared" si="32"/>
        <v>4046134.0475003631</v>
      </c>
      <c r="CI12" s="263">
        <f t="shared" si="32"/>
        <v>4046134.0475003631</v>
      </c>
      <c r="CJ12" s="263">
        <f t="shared" si="32"/>
        <v>4046134.0475003631</v>
      </c>
      <c r="CK12" s="263">
        <f t="shared" ref="CK12" si="33">CJ12+CK11</f>
        <v>4046134.0475003631</v>
      </c>
      <c r="CL12" s="263">
        <f t="shared" ref="CL12" si="34">CK12+CL11</f>
        <v>4046134.0475003631</v>
      </c>
      <c r="CM12" s="263">
        <f t="shared" ref="CM12" si="35">CL12+CM11</f>
        <v>4046134.0475003631</v>
      </c>
      <c r="CN12" s="263">
        <f t="shared" ref="CN12" si="36">CM12+CN11</f>
        <v>4046134.0475003631</v>
      </c>
      <c r="CO12" s="263">
        <f t="shared" ref="CO12" si="37">CN12+CO11</f>
        <v>4046134.0475003631</v>
      </c>
      <c r="CP12" s="263">
        <f t="shared" ref="CP12" si="38">CO12+CP11</f>
        <v>4046134.0475003631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429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1841939.9425286767</v>
      </c>
      <c r="AL14" s="256">
        <f t="shared" si="40"/>
        <v>1841939.9425286767</v>
      </c>
      <c r="AM14" s="256">
        <f t="shared" si="40"/>
        <v>1836839.9425286767</v>
      </c>
      <c r="AN14" s="256">
        <f t="shared" si="40"/>
        <v>1836839.9425286767</v>
      </c>
      <c r="AO14" s="256">
        <f t="shared" si="40"/>
        <v>1836839.9425286767</v>
      </c>
      <c r="AP14" s="256">
        <f t="shared" si="40"/>
        <v>1833365.9525286765</v>
      </c>
      <c r="AQ14" s="256">
        <f t="shared" si="40"/>
        <v>1833365.9525286765</v>
      </c>
      <c r="AR14" s="256">
        <f t="shared" si="40"/>
        <v>1833365.9525286765</v>
      </c>
      <c r="AS14" s="256">
        <f t="shared" si="40"/>
        <v>1833365.9525286765</v>
      </c>
      <c r="AT14" s="256">
        <f t="shared" si="40"/>
        <v>1833365.9525286765</v>
      </c>
      <c r="AU14" s="256">
        <f t="shared" si="40"/>
        <v>1833365.9525286765</v>
      </c>
      <c r="AV14" s="256">
        <f t="shared" si="40"/>
        <v>1833365.9525286765</v>
      </c>
      <c r="AW14" s="256">
        <f t="shared" si="40"/>
        <v>1833365.9525286765</v>
      </c>
      <c r="AX14" s="256">
        <f t="shared" si="40"/>
        <v>1833365.9525286765</v>
      </c>
      <c r="AY14" s="256">
        <f t="shared" si="40"/>
        <v>1833365.9525286765</v>
      </c>
      <c r="AZ14" s="256">
        <f t="shared" si="40"/>
        <v>1833365.9525286765</v>
      </c>
      <c r="BA14" s="256">
        <f t="shared" si="40"/>
        <v>1833365.9525286765</v>
      </c>
      <c r="BB14" s="256">
        <f t="shared" si="40"/>
        <v>1833365.9525286765</v>
      </c>
      <c r="BC14" s="256">
        <f t="shared" si="40"/>
        <v>1833365.9525286765</v>
      </c>
      <c r="BD14" s="256">
        <f t="shared" si="40"/>
        <v>1833365.9525286765</v>
      </c>
      <c r="BE14" s="256">
        <f t="shared" si="40"/>
        <v>1833365.9525286765</v>
      </c>
      <c r="BF14" s="256">
        <f t="shared" si="40"/>
        <v>1833365.9525286765</v>
      </c>
      <c r="BG14" s="256">
        <f t="shared" si="40"/>
        <v>1833365.9525286765</v>
      </c>
      <c r="BH14" s="256">
        <f t="shared" si="40"/>
        <v>1833365.9525286765</v>
      </c>
      <c r="BI14" s="256">
        <f t="shared" si="40"/>
        <v>1833365.9525286765</v>
      </c>
      <c r="BJ14" s="256">
        <f t="shared" si="40"/>
        <v>1833365.9525286765</v>
      </c>
      <c r="BK14" s="256">
        <f t="shared" si="40"/>
        <v>1871744.2125286763</v>
      </c>
      <c r="BL14" s="256">
        <f t="shared" si="40"/>
        <v>1871744.2125286763</v>
      </c>
      <c r="BM14" s="256">
        <f t="shared" si="40"/>
        <v>1871744.2125286763</v>
      </c>
      <c r="BN14" s="256">
        <f t="shared" si="40"/>
        <v>1871744.2125286763</v>
      </c>
      <c r="BO14" s="256">
        <f t="shared" si="40"/>
        <v>1871744.2125286763</v>
      </c>
      <c r="BP14" s="256">
        <f t="shared" si="40"/>
        <v>1806044.2125286763</v>
      </c>
      <c r="BQ14" s="256">
        <f t="shared" si="40"/>
        <v>1806044.2125286763</v>
      </c>
      <c r="BR14" s="256">
        <f t="shared" si="40"/>
        <v>1806044.2125286763</v>
      </c>
      <c r="BS14" s="256">
        <f t="shared" si="40"/>
        <v>1806044.2125286763</v>
      </c>
      <c r="BT14" s="256">
        <f t="shared" si="40"/>
        <v>1806044.2125286763</v>
      </c>
      <c r="BU14" s="256">
        <f t="shared" ref="BU14:CJ14" si="41">BU10-BU12</f>
        <v>1806044.2125286763</v>
      </c>
      <c r="BV14" s="256">
        <f t="shared" si="41"/>
        <v>1806044.2125286763</v>
      </c>
      <c r="BW14" s="256">
        <f t="shared" si="41"/>
        <v>1806044.2125286763</v>
      </c>
      <c r="BX14" s="256">
        <f t="shared" si="41"/>
        <v>1806044.2125286763</v>
      </c>
      <c r="BY14" s="256">
        <f t="shared" si="41"/>
        <v>1806044.2125286763</v>
      </c>
      <c r="BZ14" s="256">
        <f t="shared" si="41"/>
        <v>1806044.2125286763</v>
      </c>
      <c r="CA14" s="256">
        <f t="shared" si="41"/>
        <v>1806044.2125286763</v>
      </c>
      <c r="CB14" s="256">
        <f t="shared" si="41"/>
        <v>1806044.2125286763</v>
      </c>
      <c r="CC14" s="256">
        <f t="shared" si="41"/>
        <v>1806044.2125286763</v>
      </c>
      <c r="CD14" s="256">
        <f t="shared" si="41"/>
        <v>1806044.2125286763</v>
      </c>
      <c r="CE14" s="256">
        <f t="shared" si="41"/>
        <v>1806044.2125286763</v>
      </c>
      <c r="CF14" s="256">
        <f t="shared" si="41"/>
        <v>1806044.2125286763</v>
      </c>
      <c r="CG14" s="256">
        <f t="shared" si="41"/>
        <v>1806044.2125286763</v>
      </c>
      <c r="CH14" s="256">
        <f t="shared" si="41"/>
        <v>1806044.2125286763</v>
      </c>
      <c r="CI14" s="256">
        <f t="shared" si="41"/>
        <v>1806044.2125286763</v>
      </c>
      <c r="CJ14" s="256">
        <f t="shared" si="41"/>
        <v>1806044.2125286763</v>
      </c>
      <c r="CK14" s="256">
        <f t="shared" ref="CK14:CP14" si="42">CK10-CK12</f>
        <v>1806044.2125286763</v>
      </c>
      <c r="CL14" s="256">
        <f t="shared" si="42"/>
        <v>1806044.2125286763</v>
      </c>
      <c r="CM14" s="256">
        <f t="shared" si="42"/>
        <v>1806044.2125286763</v>
      </c>
      <c r="CN14" s="256">
        <f t="shared" si="42"/>
        <v>1806044.2125286763</v>
      </c>
      <c r="CO14" s="256">
        <f t="shared" si="42"/>
        <v>1806044.2125286763</v>
      </c>
      <c r="CP14" s="256">
        <f t="shared" si="42"/>
        <v>1806044.2125286763</v>
      </c>
    </row>
    <row r="15" spans="1:572" s="240" customFormat="1"/>
    <row r="16" spans="1:572" s="240" customFormat="1">
      <c r="C16" s="242" t="s">
        <v>232</v>
      </c>
      <c r="D16" s="242" t="s">
        <v>232</v>
      </c>
    </row>
    <row r="17" spans="1:94">
      <c r="A17" s="958"/>
      <c r="B17" s="244" t="s">
        <v>430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431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432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433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703125" defaultRowHeight="14.45"/>
  <cols>
    <col min="1" max="1" width="36.85546875" style="489" bestFit="1" customWidth="1"/>
    <col min="2" max="2" width="15.85546875" style="490" bestFit="1" customWidth="1"/>
    <col min="3" max="3" width="6.85546875" style="489" bestFit="1" customWidth="1"/>
    <col min="4" max="4" width="11.85546875" style="489" bestFit="1" customWidth="1"/>
    <col min="5" max="5" width="11.140625" style="489" bestFit="1" customWidth="1"/>
    <col min="6" max="6" width="14.5703125" style="489" bestFit="1" customWidth="1"/>
    <col min="7" max="7" width="12.85546875" style="489" bestFit="1" customWidth="1"/>
    <col min="8" max="8" width="11.140625" style="489" bestFit="1" customWidth="1"/>
    <col min="9" max="11" width="12.85546875" style="489" bestFit="1" customWidth="1"/>
    <col min="12" max="12" width="14.5703125" style="489" bestFit="1" customWidth="1"/>
    <col min="13" max="14" width="14.42578125" style="489" bestFit="1" customWidth="1"/>
    <col min="15" max="18" width="11.42578125" style="489" bestFit="1" customWidth="1"/>
    <col min="19" max="19" width="13.5703125" style="489" bestFit="1" customWidth="1"/>
    <col min="20" max="16384" width="12.5703125" style="489"/>
  </cols>
  <sheetData>
    <row r="1" spans="1:20">
      <c r="A1" s="721" t="s">
        <v>231</v>
      </c>
      <c r="B1" t="s">
        <v>434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435</v>
      </c>
      <c r="B3" s="721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437</v>
      </c>
      <c r="B4"/>
      <c r="C4" t="s">
        <v>438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439</v>
      </c>
      <c r="M4"/>
      <c r="N4"/>
      <c r="O4"/>
      <c r="P4"/>
      <c r="Q4"/>
      <c r="R4"/>
      <c r="S4"/>
      <c r="T4"/>
    </row>
    <row r="5" spans="1:20">
      <c r="A5" s="722" t="s">
        <v>438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315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376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237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255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263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277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297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306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317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331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339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361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381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390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393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439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2578125" defaultRowHeight="14.45"/>
  <cols>
    <col min="1" max="1" width="20" bestFit="1" customWidth="1"/>
    <col min="2" max="2" width="15.42578125" style="609" bestFit="1" customWidth="1"/>
    <col min="3" max="3" width="10.85546875" style="609" bestFit="1" customWidth="1"/>
    <col min="4" max="4" width="11.140625" style="609" bestFit="1" customWidth="1"/>
    <col min="5" max="5" width="10.42578125" style="609" bestFit="1" customWidth="1"/>
    <col min="6" max="6" width="13.5703125" style="609" bestFit="1" customWidth="1"/>
    <col min="7" max="7" width="12.140625" style="609" bestFit="1" customWidth="1"/>
    <col min="8" max="8" width="11.140625" style="609" bestFit="1" customWidth="1"/>
    <col min="9" max="9" width="12.140625" style="609" bestFit="1" customWidth="1"/>
    <col min="10" max="10" width="12.140625" bestFit="1" customWidth="1"/>
    <col min="11" max="11" width="11.140625" bestFit="1" customWidth="1"/>
    <col min="12" max="12" width="13.5703125" bestFit="1" customWidth="1"/>
    <col min="13" max="14" width="14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2">
      <c r="A3" s="721" t="s">
        <v>440</v>
      </c>
      <c r="B3" s="721" t="s">
        <v>436</v>
      </c>
      <c r="C3"/>
      <c r="D3"/>
      <c r="E3"/>
      <c r="F3"/>
      <c r="G3"/>
      <c r="H3"/>
      <c r="I3"/>
    </row>
    <row r="4" spans="1:12">
      <c r="A4" s="721" t="s">
        <v>437</v>
      </c>
      <c r="B4" t="s">
        <v>438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439</v>
      </c>
    </row>
    <row r="5" spans="1:12">
      <c r="A5" s="722" t="s">
        <v>315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376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438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237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255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263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277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297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306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317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331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339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361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381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390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393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439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960" t="s">
        <v>441</v>
      </c>
      <c r="C2" s="960"/>
      <c r="D2" s="960"/>
      <c r="E2" s="960"/>
      <c r="H2" s="961" t="s">
        <v>442</v>
      </c>
      <c r="I2" s="962"/>
      <c r="J2" s="962"/>
      <c r="K2" s="962"/>
      <c r="L2" s="962"/>
      <c r="M2" s="962"/>
      <c r="N2" s="962"/>
      <c r="O2" s="963"/>
    </row>
    <row r="3" spans="2:15">
      <c r="B3" s="845"/>
      <c r="H3" s="964"/>
      <c r="I3" s="965"/>
      <c r="J3" s="965"/>
      <c r="K3" s="965"/>
      <c r="L3" s="965"/>
      <c r="M3" s="965"/>
      <c r="N3" s="965"/>
      <c r="O3" s="966"/>
    </row>
    <row r="4" spans="2:15">
      <c r="B4" s="846" t="s">
        <v>443</v>
      </c>
      <c r="C4" s="847" t="str">
        <f>'Project Plan'!E2</f>
        <v>Ridgeview Mall</v>
      </c>
      <c r="H4" s="964"/>
      <c r="I4" s="965"/>
      <c r="J4" s="965"/>
      <c r="K4" s="965"/>
      <c r="L4" s="965"/>
      <c r="M4" s="965"/>
      <c r="N4" s="965"/>
      <c r="O4" s="966"/>
    </row>
    <row r="5" spans="2:15">
      <c r="B5" s="846" t="s">
        <v>444</v>
      </c>
      <c r="C5" s="847" t="s">
        <v>445</v>
      </c>
      <c r="H5" s="964"/>
      <c r="I5" s="965"/>
      <c r="J5" s="965"/>
      <c r="K5" s="965"/>
      <c r="L5" s="965"/>
      <c r="M5" s="965"/>
      <c r="N5" s="965"/>
      <c r="O5" s="966"/>
    </row>
    <row r="6" spans="2:15">
      <c r="B6" s="846" t="s">
        <v>446</v>
      </c>
      <c r="C6" s="847" t="s">
        <v>447</v>
      </c>
      <c r="H6" s="964"/>
      <c r="I6" s="965"/>
      <c r="J6" s="965"/>
      <c r="K6" s="965"/>
      <c r="L6" s="965"/>
      <c r="M6" s="965"/>
      <c r="N6" s="965"/>
      <c r="O6" s="966"/>
    </row>
    <row r="7" spans="2:15">
      <c r="B7" s="846" t="s">
        <v>448</v>
      </c>
      <c r="C7" s="847" t="s">
        <v>449</v>
      </c>
      <c r="H7" s="964"/>
      <c r="I7" s="965"/>
      <c r="J7" s="965"/>
      <c r="K7" s="965"/>
      <c r="L7" s="965"/>
      <c r="M7" s="965"/>
      <c r="N7" s="965"/>
      <c r="O7" s="966"/>
    </row>
    <row r="8" spans="2:15">
      <c r="B8" s="845"/>
      <c r="H8" s="964"/>
      <c r="I8" s="965"/>
      <c r="J8" s="965"/>
      <c r="K8" s="965"/>
      <c r="L8" s="965"/>
      <c r="M8" s="965"/>
      <c r="N8" s="965"/>
      <c r="O8" s="966"/>
    </row>
    <row r="9" spans="2:15">
      <c r="B9" s="970" t="s">
        <v>450</v>
      </c>
      <c r="C9" s="970"/>
      <c r="D9" s="970"/>
      <c r="E9" s="97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4"/>
      <c r="I9" s="965"/>
      <c r="J9" s="965"/>
      <c r="K9" s="965"/>
      <c r="L9" s="965"/>
      <c r="M9" s="965"/>
      <c r="N9" s="965"/>
      <c r="O9" s="966"/>
    </row>
    <row r="10" spans="2:15" ht="15" thickBot="1">
      <c r="B10" s="970" t="s">
        <v>451</v>
      </c>
      <c r="C10" s="970"/>
      <c r="D10" s="970"/>
      <c r="E10" s="970"/>
      <c r="H10" s="967"/>
      <c r="I10" s="968"/>
      <c r="J10" s="968"/>
      <c r="K10" s="968"/>
      <c r="L10" s="968"/>
      <c r="M10" s="968"/>
      <c r="N10" s="968"/>
      <c r="O10" s="969"/>
    </row>
    <row r="11" spans="2:15">
      <c r="B11" s="848" t="s">
        <v>452</v>
      </c>
      <c r="C11" s="959" t="s">
        <v>453</v>
      </c>
      <c r="D11" s="959"/>
      <c r="E11" s="959"/>
    </row>
    <row r="12" spans="2:15">
      <c r="B12" s="848" t="s">
        <v>454</v>
      </c>
      <c r="C12" s="959" t="s">
        <v>453</v>
      </c>
      <c r="D12" s="959"/>
      <c r="E12" s="959"/>
    </row>
    <row r="13" spans="2:15">
      <c r="B13" s="848" t="s">
        <v>455</v>
      </c>
      <c r="C13" s="959" t="s">
        <v>453</v>
      </c>
      <c r="D13" s="959"/>
      <c r="E13" s="959"/>
    </row>
    <row r="14" spans="2:15">
      <c r="B14" s="848" t="s">
        <v>456</v>
      </c>
      <c r="C14" s="959" t="s">
        <v>457</v>
      </c>
      <c r="D14" s="959"/>
      <c r="E14" s="959"/>
    </row>
    <row r="15" spans="2:15">
      <c r="B15" s="848" t="s">
        <v>458</v>
      </c>
      <c r="C15" s="959" t="s">
        <v>459</v>
      </c>
      <c r="D15" s="959"/>
      <c r="E15" s="959"/>
    </row>
    <row r="16" spans="2:15" ht="15" customHeight="1">
      <c r="B16" s="848" t="s">
        <v>460</v>
      </c>
      <c r="C16" s="959" t="s">
        <v>461</v>
      </c>
      <c r="D16" s="959"/>
      <c r="E16" s="959"/>
    </row>
    <row r="17" spans="2:5">
      <c r="B17" s="845"/>
    </row>
    <row r="18" spans="2:5">
      <c r="B18" s="971" t="s">
        <v>462</v>
      </c>
      <c r="C18" s="971"/>
      <c r="D18" s="971"/>
      <c r="E18" s="971"/>
    </row>
    <row r="19" spans="2:5">
      <c r="B19" s="848" t="s">
        <v>463</v>
      </c>
      <c r="C19" s="848" t="s">
        <v>464</v>
      </c>
      <c r="D19" s="848" t="s">
        <v>465</v>
      </c>
      <c r="E19" s="848" t="s">
        <v>62</v>
      </c>
    </row>
    <row r="20" spans="2:5" ht="15" customHeight="1">
      <c r="B20" s="848" t="s">
        <v>466</v>
      </c>
      <c r="C20" s="848" t="s">
        <v>467</v>
      </c>
      <c r="D20" s="849" t="s">
        <v>468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469</v>
      </c>
    </row>
    <row r="2" spans="1:4">
      <c r="A2" s="973"/>
      <c r="B2" s="973"/>
      <c r="C2" s="973"/>
      <c r="D2" s="71"/>
    </row>
    <row r="3" spans="1:4">
      <c r="A3" s="972" t="s">
        <v>470</v>
      </c>
      <c r="B3" s="972"/>
      <c r="C3" s="972"/>
      <c r="D3" s="112">
        <v>0.32</v>
      </c>
    </row>
    <row r="4" spans="1:4">
      <c r="A4" s="972" t="s">
        <v>408</v>
      </c>
      <c r="B4" s="972"/>
      <c r="C4" s="972"/>
      <c r="D4" s="112">
        <v>0.5</v>
      </c>
    </row>
    <row r="5" spans="1:4">
      <c r="A5" s="972" t="s">
        <v>419</v>
      </c>
      <c r="B5" s="972"/>
      <c r="C5" s="972"/>
      <c r="D5" s="112">
        <v>0.15</v>
      </c>
    </row>
    <row r="6" spans="1:4">
      <c r="A6" s="972" t="s">
        <v>471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74" t="s">
        <v>472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 ht="12.95">
      <c r="B4" s="92" t="s">
        <v>473</v>
      </c>
      <c r="C4" s="86"/>
      <c r="D4" s="90" t="s">
        <v>474</v>
      </c>
      <c r="E4" s="95"/>
      <c r="F4" s="90" t="s">
        <v>475</v>
      </c>
      <c r="H4" s="90" t="s">
        <v>476</v>
      </c>
      <c r="I4" s="95"/>
      <c r="J4" s="90" t="s">
        <v>477</v>
      </c>
      <c r="L4" s="90" t="s">
        <v>476</v>
      </c>
      <c r="M4" s="90"/>
      <c r="N4" s="90" t="s">
        <v>478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479</v>
      </c>
      <c r="H7" s="99"/>
      <c r="I7" s="95"/>
      <c r="J7" s="107" t="s">
        <v>479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253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 ht="12.95">
      <c r="B10" s="108" t="s">
        <v>253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480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481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482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479</v>
      </c>
      <c r="H15" s="99"/>
      <c r="I15" s="95"/>
      <c r="J15" s="107" t="s">
        <v>479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483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483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479</v>
      </c>
      <c r="H21" s="99"/>
      <c r="I21" s="95"/>
      <c r="J21" s="107" t="s">
        <v>479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278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278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482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479</v>
      </c>
      <c r="H27" s="99"/>
      <c r="I27" s="95"/>
      <c r="J27" s="107" t="s">
        <v>479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484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479</v>
      </c>
      <c r="H34" s="99"/>
      <c r="I34" s="95"/>
      <c r="J34" s="107" t="s">
        <v>479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485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486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491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74" t="s">
        <v>493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 ht="12.95">
      <c r="B4" s="92" t="s">
        <v>473</v>
      </c>
      <c r="C4" s="86"/>
      <c r="D4" s="90" t="s">
        <v>474</v>
      </c>
      <c r="E4" s="95"/>
      <c r="F4" s="95"/>
      <c r="G4" s="90" t="s">
        <v>494</v>
      </c>
      <c r="H4" s="96"/>
      <c r="J4" s="90" t="s">
        <v>476</v>
      </c>
      <c r="L4" s="90" t="s">
        <v>495</v>
      </c>
      <c r="M4" s="96"/>
      <c r="O4" s="90" t="s">
        <v>476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246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 ht="12.95">
      <c r="B7" s="86" t="s">
        <v>249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 ht="12.95">
      <c r="B8" s="86" t="s">
        <v>250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 ht="12.95">
      <c r="B9" s="86" t="s">
        <v>251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252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257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258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259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491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473</v>
      </c>
      <c r="C18" s="86"/>
      <c r="D18" s="90" t="s">
        <v>474</v>
      </c>
      <c r="E18" s="95"/>
      <c r="F18" s="95"/>
      <c r="G18" s="90" t="s">
        <v>496</v>
      </c>
      <c r="H18" s="96"/>
      <c r="J18" s="90" t="s">
        <v>476</v>
      </c>
      <c r="L18" s="90" t="s">
        <v>497</v>
      </c>
      <c r="M18" s="96"/>
      <c r="O18" s="90" t="s">
        <v>476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498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 ht="12.95">
      <c r="B21" s="86" t="s">
        <v>499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 ht="12.95">
      <c r="B22" s="86" t="s">
        <v>500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 ht="12.95">
      <c r="B23" s="86" t="s">
        <v>501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258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502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252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491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5" thickBot="1">
      <c r="B32" s="102" t="s">
        <v>503</v>
      </c>
      <c r="C32" s="103"/>
      <c r="D32" s="103"/>
    </row>
    <row r="33" spans="2:4" ht="12.95" thickTop="1"/>
    <row r="34" spans="2:4">
      <c r="B34" s="88" t="s">
        <v>474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 ht="12.95">
      <c r="B41" s="105"/>
      <c r="C41" s="105"/>
      <c r="D41" s="106"/>
    </row>
    <row r="42" spans="2:4">
      <c r="B42" s="86" t="s">
        <v>504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76" t="str">
        <f>D15</f>
        <v>Ridgeview Mall</v>
      </c>
      <c r="C1" s="976"/>
      <c r="D1" s="976"/>
      <c r="E1" s="975" t="s">
        <v>505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506</v>
      </c>
      <c r="C3" s="72" t="s">
        <v>507</v>
      </c>
      <c r="D3" s="72" t="s">
        <v>508</v>
      </c>
      <c r="E3" s="78" t="s">
        <v>509</v>
      </c>
      <c r="F3" s="78" t="s">
        <v>510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804C0CD3-6C29-477C-B3AE-E0C12B98E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2026-02-23T08:51:23Z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