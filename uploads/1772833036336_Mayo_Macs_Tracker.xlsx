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39" documentId="13_ncr:1_{1105B07F-F171-4862-8655-443C5BBE49A9}" xr6:coauthVersionLast="47" xr6:coauthVersionMax="47" xr10:uidLastSave="{67F79DB9-9635-4F7A-8672-FB8F04CC57CF}"/>
  <bookViews>
    <workbookView xWindow="-110" yWindow="-110" windowWidth="19420" windowHeight="11500" tabRatio="708" firstSheet="6" activeTab="6" xr2:uid="{E6903F24-528D-4F70-BAAE-8243B2418312}"/>
  </bookViews>
  <sheets>
    <sheet name="Sheet1" sheetId="1" state="hidden" r:id="rId1"/>
    <sheet name="Revenue Tracking" sheetId="5" r:id="rId2"/>
    <sheet name="Project Plan" sheetId="2" r:id="rId3"/>
    <sheet name="Expenditure Tracking" sheetId="3" r:id="rId4"/>
    <sheet name="Data" sheetId="8" state="hidden" r:id="rId5"/>
    <sheet name="Cashflow" sheetId="6" r:id="rId6"/>
    <sheet name="Expenditure Breakdown" sheetId="4" r:id="rId7"/>
    <sheet name="Chart1" sheetId="11" r:id="rId8"/>
    <sheet name="Finance - Revenue" sheetId="13" r:id="rId9"/>
    <sheet name="Finance - COS" sheetId="14" r:id="rId10"/>
    <sheet name="Project Margins" sheetId="12" state="hidden" r:id="rId11"/>
    <sheet name="Equipment Quotes" sheetId="9" state="hidden" r:id="rId12"/>
    <sheet name="Installer Quotes" sheetId="7" state="hidden" r:id="rId13"/>
    <sheet name="Decision Register" sheetId="10" state="hidden" r:id="rId14"/>
  </sheets>
  <definedNames>
    <definedName name="Inverter_Supplier">#REF!</definedName>
    <definedName name="_xlnm.Print_Area" localSheetId="2">'Project Plan'!$B$60:$G$65</definedName>
    <definedName name="Project_Size" localSheetId="8">'Finance - Revenue'!Projectsize</definedName>
    <definedName name="Project_Size">Projectsize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4036" r:id="rId15"/>
    <pivotCache cacheId="4037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50" i="4" l="1"/>
  <c r="R111" i="4"/>
  <c r="E22" i="5"/>
  <c r="R15" i="4"/>
  <c r="R140" i="4"/>
  <c r="V118" i="4"/>
  <c r="K57" i="2" l="1"/>
  <c r="W74" i="4"/>
  <c r="R68" i="4"/>
  <c r="R69" i="4"/>
  <c r="M23" i="13"/>
  <c r="V129" i="4"/>
  <c r="W101" i="4"/>
  <c r="R101" i="4"/>
  <c r="X100" i="4" s="1"/>
  <c r="J19" i="3" s="1"/>
  <c r="N19" i="3" s="1"/>
  <c r="T31" i="4"/>
  <c r="W48" i="4"/>
  <c r="W49" i="4"/>
  <c r="R136" i="4"/>
  <c r="X129" i="4" s="1"/>
  <c r="J23" i="3" s="1"/>
  <c r="W47" i="4"/>
  <c r="W46" i="4"/>
  <c r="S89" i="4"/>
  <c r="R63" i="4"/>
  <c r="R64" i="4"/>
  <c r="W21" i="4"/>
  <c r="R21" i="4"/>
  <c r="R20" i="4"/>
  <c r="W70" i="4"/>
  <c r="M24" i="2"/>
  <c r="Q46" i="4"/>
  <c r="Q47" i="4"/>
  <c r="W57" i="4"/>
  <c r="W56" i="4"/>
  <c r="W55" i="4"/>
  <c r="R18" i="4"/>
  <c r="W44" i="4"/>
  <c r="W45" i="4"/>
  <c r="S26" i="4"/>
  <c r="S44" i="4"/>
  <c r="Q90" i="4"/>
  <c r="Q91" i="4"/>
  <c r="Q92" i="4"/>
  <c r="Q93" i="4"/>
  <c r="Q94" i="4"/>
  <c r="Q95" i="4"/>
  <c r="Q96" i="4"/>
  <c r="Q89" i="4"/>
  <c r="R14" i="4"/>
  <c r="X13" i="4" s="1"/>
  <c r="L36" i="5"/>
  <c r="P89" i="4"/>
  <c r="P78" i="4"/>
  <c r="P26" i="4"/>
  <c r="AB45" i="4"/>
  <c r="AI45" i="4" s="1"/>
  <c r="AI40" i="4"/>
  <c r="AI41" i="4"/>
  <c r="AI42" i="4"/>
  <c r="AI43" i="4"/>
  <c r="AI44" i="4"/>
  <c r="AI46" i="4"/>
  <c r="AI48" i="4"/>
  <c r="AI49" i="4"/>
  <c r="AG42" i="4"/>
  <c r="AG41" i="4"/>
  <c r="AF39" i="4"/>
  <c r="AI39" i="4" s="1"/>
  <c r="AF47" i="4"/>
  <c r="AB10" i="4"/>
  <c r="AD41" i="4"/>
  <c r="AD42" i="4"/>
  <c r="AB11" i="4"/>
  <c r="AB8" i="4"/>
  <c r="D6" i="7" s="1"/>
  <c r="AB47" i="4"/>
  <c r="AA47" i="4"/>
  <c r="R25" i="4"/>
  <c r="R57" i="4"/>
  <c r="W110" i="4"/>
  <c r="K40" i="2"/>
  <c r="K36" i="2"/>
  <c r="K34" i="2"/>
  <c r="K27" i="2"/>
  <c r="K22" i="2"/>
  <c r="K21" i="2"/>
  <c r="K20" i="2" s="1"/>
  <c r="I20" i="2"/>
  <c r="J20" i="2" s="1"/>
  <c r="K18" i="2"/>
  <c r="I17" i="2"/>
  <c r="I13" i="2" s="1"/>
  <c r="K16" i="2"/>
  <c r="K15" i="2"/>
  <c r="K14" i="2"/>
  <c r="E40" i="2"/>
  <c r="G22" i="2"/>
  <c r="E25" i="2" s="1"/>
  <c r="E26" i="2"/>
  <c r="G26" i="2" s="1"/>
  <c r="F19" i="5"/>
  <c r="I29" i="2"/>
  <c r="K17" i="2"/>
  <c r="K25" i="2"/>
  <c r="K26" i="2"/>
  <c r="I28" i="2" s="1"/>
  <c r="I35" i="2"/>
  <c r="R67" i="4"/>
  <c r="R66" i="4"/>
  <c r="F20" i="5"/>
  <c r="P6" i="4"/>
  <c r="K28" i="2"/>
  <c r="W23" i="4"/>
  <c r="W13" i="4" s="1"/>
  <c r="H14" i="5"/>
  <c r="T19" i="4"/>
  <c r="E34" i="2"/>
  <c r="G34" i="2" s="1"/>
  <c r="E36" i="2"/>
  <c r="G36" i="2" s="1"/>
  <c r="E37" i="2"/>
  <c r="G37" i="2" s="1"/>
  <c r="G25" i="2"/>
  <c r="E28" i="2" s="1"/>
  <c r="H15" i="5"/>
  <c r="G27" i="2"/>
  <c r="E20" i="2"/>
  <c r="H59" i="4"/>
  <c r="H60" i="4" s="1"/>
  <c r="H61" i="4" s="1"/>
  <c r="H62" i="4" s="1"/>
  <c r="G21" i="2"/>
  <c r="G20" i="2"/>
  <c r="G14" i="2"/>
  <c r="H13" i="5"/>
  <c r="G15" i="2"/>
  <c r="G16" i="2"/>
  <c r="E17" i="2"/>
  <c r="G17" i="2" s="1"/>
  <c r="G18" i="2"/>
  <c r="K87" i="4"/>
  <c r="K78" i="4"/>
  <c r="I30" i="2"/>
  <c r="K30" i="2" s="1"/>
  <c r="I31" i="2" s="1"/>
  <c r="K31" i="2" s="1"/>
  <c r="F20" i="2"/>
  <c r="E29" i="2"/>
  <c r="G29" i="2" s="1"/>
  <c r="G24" i="4"/>
  <c r="G27" i="4"/>
  <c r="G28" i="4"/>
  <c r="G29" i="4"/>
  <c r="G30" i="4"/>
  <c r="G31" i="4"/>
  <c r="G32" i="4"/>
  <c r="G26" i="4"/>
  <c r="T128" i="4"/>
  <c r="T117" i="4"/>
  <c r="T116" i="4"/>
  <c r="T115" i="4"/>
  <c r="T109" i="4"/>
  <c r="T108" i="4"/>
  <c r="T106" i="4"/>
  <c r="T99" i="4"/>
  <c r="T98" i="4"/>
  <c r="T97" i="4"/>
  <c r="T86" i="4"/>
  <c r="T77" i="4"/>
  <c r="T65" i="4"/>
  <c r="T43" i="4"/>
  <c r="T42" i="4"/>
  <c r="T41" i="4"/>
  <c r="T34" i="4"/>
  <c r="T22" i="4"/>
  <c r="T17" i="4"/>
  <c r="T12" i="4"/>
  <c r="T11" i="4"/>
  <c r="T10" i="4"/>
  <c r="T9" i="4"/>
  <c r="H6" i="4"/>
  <c r="H8" i="4" s="1"/>
  <c r="AA27" i="4"/>
  <c r="AA28" i="4"/>
  <c r="AA29" i="4"/>
  <c r="AA30" i="4"/>
  <c r="AB30" i="4"/>
  <c r="AA26" i="4"/>
  <c r="AB15" i="4"/>
  <c r="AB29" i="4" s="1"/>
  <c r="AB14" i="4"/>
  <c r="D12" i="7" s="1"/>
  <c r="AB13" i="4"/>
  <c r="D11" i="7" s="1"/>
  <c r="R23" i="4"/>
  <c r="Q33" i="4"/>
  <c r="Q27" i="4"/>
  <c r="Q28" i="4"/>
  <c r="Q29" i="4"/>
  <c r="Q30" i="4"/>
  <c r="Q31" i="4"/>
  <c r="Q32" i="4"/>
  <c r="Q26" i="4"/>
  <c r="Q51" i="4"/>
  <c r="Q45" i="4"/>
  <c r="Q48" i="4"/>
  <c r="Q49" i="4"/>
  <c r="Q50" i="4"/>
  <c r="Q44" i="4"/>
  <c r="W89" i="4"/>
  <c r="T89" i="4"/>
  <c r="W90" i="4"/>
  <c r="T90" i="4"/>
  <c r="W19" i="4"/>
  <c r="T26" i="4"/>
  <c r="T44" i="4"/>
  <c r="J110" i="4"/>
  <c r="F21" i="3" s="1"/>
  <c r="G6" i="4"/>
  <c r="J6" i="4" s="1"/>
  <c r="F9" i="3" s="1"/>
  <c r="J107" i="4"/>
  <c r="D17" i="3"/>
  <c r="G85" i="4"/>
  <c r="G84" i="4"/>
  <c r="G83" i="4"/>
  <c r="G82" i="4"/>
  <c r="G81" i="4"/>
  <c r="G80" i="4"/>
  <c r="G79" i="4"/>
  <c r="G78" i="4"/>
  <c r="B17" i="3"/>
  <c r="T52" i="4"/>
  <c r="X6" i="4"/>
  <c r="U10" i="4" s="1"/>
  <c r="AD24" i="4"/>
  <c r="H78" i="4"/>
  <c r="H43" i="4" s="1"/>
  <c r="H24" i="4" s="1"/>
  <c r="H102" i="4"/>
  <c r="G51" i="4"/>
  <c r="G50" i="4"/>
  <c r="G49" i="4"/>
  <c r="G48" i="4"/>
  <c r="G47" i="4"/>
  <c r="G46" i="4"/>
  <c r="G45" i="4"/>
  <c r="G43" i="4"/>
  <c r="H18" i="4"/>
  <c r="AB12" i="4"/>
  <c r="D10" i="7" s="1"/>
  <c r="AD26" i="4"/>
  <c r="G13" i="4"/>
  <c r="J13" i="4" s="1"/>
  <c r="M13" i="2"/>
  <c r="H13" i="4"/>
  <c r="H35" i="4" s="1"/>
  <c r="H23" i="4"/>
  <c r="F20" i="3"/>
  <c r="D20" i="3"/>
  <c r="B20" i="3"/>
  <c r="X107" i="4"/>
  <c r="J20" i="3" s="1"/>
  <c r="N20" i="3" s="1"/>
  <c r="M51" i="2"/>
  <c r="M48" i="2"/>
  <c r="M43" i="2"/>
  <c r="M39" i="2"/>
  <c r="O1" i="2"/>
  <c r="N1" i="2"/>
  <c r="B15" i="3"/>
  <c r="D15" i="3"/>
  <c r="D10" i="3"/>
  <c r="J53" i="4"/>
  <c r="F15" i="3" s="1"/>
  <c r="G25" i="3"/>
  <c r="V18" i="4"/>
  <c r="I25" i="3"/>
  <c r="X35" i="4"/>
  <c r="U41" i="4" s="1"/>
  <c r="J129" i="4"/>
  <c r="F23" i="3" s="1"/>
  <c r="J118" i="4"/>
  <c r="F22" i="3" s="1"/>
  <c r="J100" i="4"/>
  <c r="F19" i="3" s="1"/>
  <c r="J66" i="4"/>
  <c r="F16" i="3" s="1"/>
  <c r="J35" i="4"/>
  <c r="F13" i="3" s="1"/>
  <c r="J18" i="4"/>
  <c r="F11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J87" i="4"/>
  <c r="F18" i="3" s="1"/>
  <c r="G1" i="6"/>
  <c r="H1" i="6"/>
  <c r="I1" i="6" s="1"/>
  <c r="J1" i="6"/>
  <c r="K1" i="6" s="1"/>
  <c r="J29" i="9"/>
  <c r="J36" i="9"/>
  <c r="D31" i="9"/>
  <c r="D30" i="9"/>
  <c r="D18" i="9"/>
  <c r="D17" i="9" s="1"/>
  <c r="H17" i="9" s="1"/>
  <c r="J23" i="9"/>
  <c r="J17" i="9"/>
  <c r="F17" i="9"/>
  <c r="F23" i="9"/>
  <c r="J9" i="9"/>
  <c r="D11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D21" i="7"/>
  <c r="E21" i="7" s="1"/>
  <c r="D20" i="7"/>
  <c r="D29" i="7" s="1"/>
  <c r="F36" i="9"/>
  <c r="D37" i="9"/>
  <c r="D36" i="9" s="1"/>
  <c r="B31" i="9"/>
  <c r="B30" i="9"/>
  <c r="H7" i="7"/>
  <c r="H8" i="7"/>
  <c r="H9" i="7"/>
  <c r="M9" i="7"/>
  <c r="M7" i="7"/>
  <c r="M8" i="7"/>
  <c r="X118" i="4"/>
  <c r="J22" i="3" s="1"/>
  <c r="N22" i="3" s="1"/>
  <c r="G23" i="4"/>
  <c r="D24" i="9" s="1"/>
  <c r="D23" i="9" s="1"/>
  <c r="H22" i="7"/>
  <c r="M20" i="7"/>
  <c r="H20" i="7"/>
  <c r="M6" i="7"/>
  <c r="H6" i="7"/>
  <c r="L29" i="7"/>
  <c r="D38" i="7"/>
  <c r="G29" i="7"/>
  <c r="D37" i="7" s="1"/>
  <c r="D15" i="10" a="1"/>
  <c r="D15" i="10"/>
  <c r="B1" i="10" s="1"/>
  <c r="L15" i="7"/>
  <c r="D36" i="7" s="1"/>
  <c r="G15" i="7"/>
  <c r="D35" i="7"/>
  <c r="D4" i="5"/>
  <c r="F14" i="5"/>
  <c r="F22" i="5" s="1"/>
  <c r="F48" i="5" s="1"/>
  <c r="R110" i="4"/>
  <c r="X110" i="4" s="1"/>
  <c r="J21" i="3" s="1"/>
  <c r="N21" i="3" s="1"/>
  <c r="F17" i="5"/>
  <c r="H25" i="5" s="1"/>
  <c r="F16" i="5"/>
  <c r="F15" i="5"/>
  <c r="F13" i="5"/>
  <c r="N36" i="5" s="1"/>
  <c r="C3" i="6"/>
  <c r="E47" i="5"/>
  <c r="E48" i="5"/>
  <c r="L24" i="1"/>
  <c r="L2" i="1"/>
  <c r="L11" i="1"/>
  <c r="L19" i="1"/>
  <c r="L10" i="1"/>
  <c r="F29" i="9"/>
  <c r="H5" i="3"/>
  <c r="H79" i="4"/>
  <c r="H45" i="4" s="1"/>
  <c r="H26" i="4" s="1"/>
  <c r="W27" i="4"/>
  <c r="W26" i="4"/>
  <c r="T45" i="4"/>
  <c r="T27" i="4"/>
  <c r="W92" i="4"/>
  <c r="W29" i="4"/>
  <c r="T92" i="4"/>
  <c r="T47" i="4"/>
  <c r="T29" i="4"/>
  <c r="T105" i="4"/>
  <c r="W91" i="4"/>
  <c r="T80" i="4"/>
  <c r="W28" i="4"/>
  <c r="W31" i="4"/>
  <c r="T94" i="4"/>
  <c r="T49" i="4"/>
  <c r="W93" i="4"/>
  <c r="W30" i="4"/>
  <c r="T93" i="4"/>
  <c r="T48" i="4"/>
  <c r="T30" i="4"/>
  <c r="W94" i="4"/>
  <c r="V110" i="4"/>
  <c r="T95" i="4"/>
  <c r="T50" i="4"/>
  <c r="T96" i="4"/>
  <c r="I9" i="6"/>
  <c r="J9" i="6"/>
  <c r="F9" i="6"/>
  <c r="H9" i="6"/>
  <c r="G9" i="6"/>
  <c r="V23" i="4"/>
  <c r="W96" i="4"/>
  <c r="W51" i="4"/>
  <c r="W33" i="4"/>
  <c r="G24" i="13"/>
  <c r="F24" i="13"/>
  <c r="E24" i="13"/>
  <c r="I24" i="13"/>
  <c r="J24" i="13"/>
  <c r="H24" i="13"/>
  <c r="D24" i="13"/>
  <c r="O23" i="13"/>
  <c r="K24" i="13"/>
  <c r="D23" i="7" l="1"/>
  <c r="J23" i="7" s="1"/>
  <c r="H6" i="5"/>
  <c r="R27" i="4"/>
  <c r="R92" i="4"/>
  <c r="R90" i="4"/>
  <c r="R94" i="4"/>
  <c r="R81" i="4"/>
  <c r="R79" i="4"/>
  <c r="R84" i="4"/>
  <c r="AD11" i="4"/>
  <c r="D9" i="7"/>
  <c r="J12" i="7"/>
  <c r="O12" i="7"/>
  <c r="AF50" i="4"/>
  <c r="U11" i="4"/>
  <c r="L22" i="3"/>
  <c r="E20" i="7"/>
  <c r="O6" i="7"/>
  <c r="E6" i="7"/>
  <c r="J21" i="7"/>
  <c r="R26" i="4"/>
  <c r="D13" i="7"/>
  <c r="P44" i="4"/>
  <c r="R47" i="4" s="1"/>
  <c r="O26" i="7"/>
  <c r="D10" i="9"/>
  <c r="D9" i="9" s="1"/>
  <c r="R83" i="4"/>
  <c r="E23" i="7"/>
  <c r="J20" i="7"/>
  <c r="J29" i="7" s="1"/>
  <c r="N13" i="2"/>
  <c r="K13" i="2"/>
  <c r="F43" i="5"/>
  <c r="F45" i="5"/>
  <c r="F44" i="5"/>
  <c r="F46" i="5"/>
  <c r="F42" i="5"/>
  <c r="F47" i="5" s="1"/>
  <c r="F10" i="6"/>
  <c r="G10" i="6" s="1"/>
  <c r="H10" i="6" s="1"/>
  <c r="I10" i="6" s="1"/>
  <c r="J10" i="6" s="1"/>
  <c r="F4" i="5"/>
  <c r="C9" i="6" s="1"/>
  <c r="L14" i="1"/>
  <c r="L5" i="1"/>
  <c r="L38" i="1"/>
  <c r="L22" i="1"/>
  <c r="L9" i="1"/>
  <c r="L33" i="1"/>
  <c r="L8" i="1"/>
  <c r="L43" i="1"/>
  <c r="L25" i="1"/>
  <c r="L36" i="1"/>
  <c r="L16" i="1"/>
  <c r="L26" i="1"/>
  <c r="L32" i="1"/>
  <c r="L28" i="1"/>
  <c r="L29" i="1"/>
  <c r="L45" i="1"/>
  <c r="L20" i="1"/>
  <c r="L3" i="1"/>
  <c r="L7" i="1"/>
  <c r="L4" i="1"/>
  <c r="L39" i="1"/>
  <c r="L6" i="1"/>
  <c r="M2" i="1"/>
  <c r="L13" i="1"/>
  <c r="L37" i="1"/>
  <c r="L35" i="1"/>
  <c r="L31" i="1"/>
  <c r="L44" i="1"/>
  <c r="L42" i="1"/>
  <c r="T91" i="4"/>
  <c r="T28" i="4"/>
  <c r="L23" i="1"/>
  <c r="L1" i="6"/>
  <c r="L27" i="1"/>
  <c r="G28" i="2"/>
  <c r="E30" i="2" s="1"/>
  <c r="G30" i="2" s="1"/>
  <c r="E31" i="2" s="1"/>
  <c r="G31" i="2" s="1"/>
  <c r="H23" i="9"/>
  <c r="K35" i="2"/>
  <c r="E35" i="2"/>
  <c r="K29" i="2"/>
  <c r="N24" i="2" s="1"/>
  <c r="I24" i="2"/>
  <c r="K24" i="2"/>
  <c r="D8" i="7"/>
  <c r="AD10" i="4"/>
  <c r="G40" i="2"/>
  <c r="L17" i="9"/>
  <c r="M11" i="2"/>
  <c r="K2" i="4"/>
  <c r="K4" i="4" s="1"/>
  <c r="J43" i="4"/>
  <c r="F14" i="3" s="1"/>
  <c r="R31" i="4"/>
  <c r="R95" i="4"/>
  <c r="R93" i="4"/>
  <c r="R91" i="4"/>
  <c r="X18" i="4"/>
  <c r="J11" i="3" s="1"/>
  <c r="N11" i="3" s="1"/>
  <c r="J10" i="7"/>
  <c r="O24" i="7"/>
  <c r="O10" i="7"/>
  <c r="H39" i="4"/>
  <c r="H36" i="4"/>
  <c r="H40" i="4" s="1"/>
  <c r="R33" i="4"/>
  <c r="L23" i="9"/>
  <c r="R80" i="4"/>
  <c r="R28" i="4"/>
  <c r="L19" i="3"/>
  <c r="D29" i="9"/>
  <c r="L29" i="9" s="1"/>
  <c r="R78" i="4"/>
  <c r="J78" i="4"/>
  <c r="F17" i="3" s="1"/>
  <c r="X66" i="4"/>
  <c r="U67" i="4" s="1"/>
  <c r="R85" i="4"/>
  <c r="J13" i="3"/>
  <c r="N13" i="3" s="1"/>
  <c r="L20" i="3"/>
  <c r="R32" i="4"/>
  <c r="AI47" i="4"/>
  <c r="U105" i="4"/>
  <c r="V100" i="4" s="1"/>
  <c r="U9" i="4"/>
  <c r="R29" i="4"/>
  <c r="AB50" i="4"/>
  <c r="AB51" i="4" s="1"/>
  <c r="R82" i="4"/>
  <c r="J9" i="3"/>
  <c r="N9" i="3" s="1"/>
  <c r="X53" i="4"/>
  <c r="U59" i="4" s="1"/>
  <c r="R89" i="4"/>
  <c r="AB33" i="4"/>
  <c r="AB34" i="4" s="1"/>
  <c r="T46" i="4"/>
  <c r="U8" i="4"/>
  <c r="R30" i="4"/>
  <c r="R96" i="4"/>
  <c r="N23" i="3"/>
  <c r="L23" i="3"/>
  <c r="W114" i="4"/>
  <c r="T114" i="4" s="1"/>
  <c r="W113" i="4"/>
  <c r="T113" i="4" s="1"/>
  <c r="AB9" i="4"/>
  <c r="J23" i="4"/>
  <c r="F12" i="3" s="1"/>
  <c r="L21" i="3"/>
  <c r="U16" i="4"/>
  <c r="J10" i="3"/>
  <c r="N10" i="3" s="1"/>
  <c r="E22" i="7"/>
  <c r="J22" i="7"/>
  <c r="O11" i="7"/>
  <c r="J11" i="7"/>
  <c r="O25" i="7"/>
  <c r="O20" i="7"/>
  <c r="J6" i="7"/>
  <c r="V35" i="4"/>
  <c r="F10" i="3"/>
  <c r="E9" i="7" l="1"/>
  <c r="J9" i="7"/>
  <c r="O23" i="7"/>
  <c r="O9" i="7"/>
  <c r="AF51" i="4"/>
  <c r="AF52" i="4"/>
  <c r="O8" i="7"/>
  <c r="E8" i="7"/>
  <c r="G17" i="6"/>
  <c r="R46" i="4"/>
  <c r="R49" i="4"/>
  <c r="R51" i="4"/>
  <c r="O22" i="7"/>
  <c r="J8" i="7"/>
  <c r="R50" i="4"/>
  <c r="R48" i="4"/>
  <c r="F5" i="3"/>
  <c r="D5" i="5" s="1"/>
  <c r="D6" i="5" s="1"/>
  <c r="L11" i="3"/>
  <c r="K17" i="6"/>
  <c r="H36" i="9"/>
  <c r="J15" i="3"/>
  <c r="G24" i="2"/>
  <c r="H29" i="9"/>
  <c r="U62" i="4"/>
  <c r="E24" i="2"/>
  <c r="G35" i="2"/>
  <c r="E33" i="2"/>
  <c r="H53" i="4" s="1"/>
  <c r="I41" i="2"/>
  <c r="L36" i="9"/>
  <c r="H17" i="6"/>
  <c r="J24" i="2"/>
  <c r="M1" i="6"/>
  <c r="K9" i="6"/>
  <c r="L9" i="6"/>
  <c r="M36" i="1"/>
  <c r="M22" i="1"/>
  <c r="M4" i="1"/>
  <c r="M33" i="1"/>
  <c r="M14" i="1"/>
  <c r="M8" i="1"/>
  <c r="M38" i="1"/>
  <c r="M20" i="1"/>
  <c r="M6" i="1"/>
  <c r="M28" i="1"/>
  <c r="M16" i="1"/>
  <c r="M27" i="1"/>
  <c r="N2" i="1"/>
  <c r="M45" i="1"/>
  <c r="M26" i="1"/>
  <c r="M19" i="1"/>
  <c r="M44" i="1"/>
  <c r="M11" i="1"/>
  <c r="M39" i="1"/>
  <c r="M13" i="1"/>
  <c r="M37" i="1"/>
  <c r="M10" i="1"/>
  <c r="M35" i="1"/>
  <c r="M31" i="1"/>
  <c r="M7" i="1"/>
  <c r="M3" i="1"/>
  <c r="M5" i="1"/>
  <c r="M43" i="1"/>
  <c r="M42" i="1"/>
  <c r="M32" i="1"/>
  <c r="M29" i="1"/>
  <c r="M25" i="1"/>
  <c r="M24" i="1"/>
  <c r="M23" i="1"/>
  <c r="M9" i="1"/>
  <c r="X87" i="4"/>
  <c r="U98" i="4" s="1"/>
  <c r="V6" i="4"/>
  <c r="D43" i="9"/>
  <c r="X23" i="4"/>
  <c r="J12" i="3" s="1"/>
  <c r="X78" i="4"/>
  <c r="J17" i="3" s="1"/>
  <c r="N17" i="3" s="1"/>
  <c r="U66" i="4"/>
  <c r="V66" i="4" s="1"/>
  <c r="L13" i="3"/>
  <c r="L9" i="3"/>
  <c r="F17" i="6"/>
  <c r="F18" i="6" s="1"/>
  <c r="J16" i="3"/>
  <c r="AI50" i="4"/>
  <c r="L9" i="9"/>
  <c r="L43" i="9" s="1"/>
  <c r="H9" i="9"/>
  <c r="U53" i="4"/>
  <c r="U58" i="4"/>
  <c r="U61" i="4"/>
  <c r="AB17" i="4"/>
  <c r="AB18" i="4" s="1"/>
  <c r="AB19" i="4" s="1"/>
  <c r="D7" i="7"/>
  <c r="I17" i="6"/>
  <c r="L10" i="3"/>
  <c r="J17" i="6"/>
  <c r="V13" i="4"/>
  <c r="J2" i="4"/>
  <c r="X43" i="4" l="1"/>
  <c r="J14" i="3" s="1"/>
  <c r="N15" i="3"/>
  <c r="L15" i="3"/>
  <c r="D7" i="5"/>
  <c r="G6" i="5"/>
  <c r="C5" i="6"/>
  <c r="F25" i="3"/>
  <c r="U43" i="4"/>
  <c r="V43" i="4" s="1"/>
  <c r="H43" i="9"/>
  <c r="U97" i="4"/>
  <c r="V87" i="4" s="1"/>
  <c r="J18" i="3"/>
  <c r="L17" i="3"/>
  <c r="X2" i="4"/>
  <c r="N12" i="3"/>
  <c r="L12" i="3"/>
  <c r="N1" i="6"/>
  <c r="L17" i="6"/>
  <c r="F24" i="2"/>
  <c r="H80" i="4"/>
  <c r="H46" i="4" s="1"/>
  <c r="H27" i="4" s="1"/>
  <c r="I39" i="2"/>
  <c r="K41" i="2"/>
  <c r="E41" i="2"/>
  <c r="G33" i="2"/>
  <c r="K10" i="6"/>
  <c r="L10" i="6" s="1"/>
  <c r="N36" i="1"/>
  <c r="N27" i="1"/>
  <c r="N9" i="1"/>
  <c r="N32" i="1"/>
  <c r="N16" i="1"/>
  <c r="N24" i="1"/>
  <c r="N45" i="1"/>
  <c r="N35" i="1"/>
  <c r="N5" i="1"/>
  <c r="N31" i="1"/>
  <c r="N22" i="1"/>
  <c r="N43" i="1"/>
  <c r="N7" i="1"/>
  <c r="N39" i="1"/>
  <c r="N11" i="1"/>
  <c r="N44" i="1"/>
  <c r="N8" i="1"/>
  <c r="N26" i="1"/>
  <c r="N20" i="1"/>
  <c r="O2" i="1"/>
  <c r="N13" i="1"/>
  <c r="N3" i="1"/>
  <c r="N42" i="1"/>
  <c r="N4" i="1"/>
  <c r="N33" i="1"/>
  <c r="N29" i="1"/>
  <c r="N37" i="1"/>
  <c r="N25" i="1"/>
  <c r="N10" i="1"/>
  <c r="N28" i="1"/>
  <c r="N23" i="1"/>
  <c r="N19" i="1"/>
  <c r="N6" i="1"/>
  <c r="N14" i="1"/>
  <c r="N38" i="1"/>
  <c r="V53" i="4"/>
  <c r="N16" i="3"/>
  <c r="L16" i="3"/>
  <c r="J7" i="7"/>
  <c r="J15" i="7" s="1"/>
  <c r="O21" i="7"/>
  <c r="O29" i="7" s="1"/>
  <c r="E7" i="7"/>
  <c r="O7" i="7"/>
  <c r="O15" i="7" s="1"/>
  <c r="D15" i="7"/>
  <c r="D34" i="7" s="1"/>
  <c r="D40" i="7" s="1"/>
  <c r="B40" i="7" s="1"/>
  <c r="G18" i="6"/>
  <c r="H18" i="6" s="1"/>
  <c r="I18" i="6" s="1"/>
  <c r="J18" i="6" s="1"/>
  <c r="K18" i="6" s="1"/>
  <c r="J5" i="3" l="1"/>
  <c r="J25" i="3" s="1"/>
  <c r="N14" i="3"/>
  <c r="L14" i="3"/>
  <c r="U152" i="4"/>
  <c r="L18" i="3"/>
  <c r="N18" i="3"/>
  <c r="N5" i="3" s="1"/>
  <c r="H81" i="4"/>
  <c r="H47" i="4" s="1"/>
  <c r="H28" i="4" s="1"/>
  <c r="F33" i="2"/>
  <c r="O1" i="6"/>
  <c r="N9" i="6"/>
  <c r="M17" i="6"/>
  <c r="M10" i="6"/>
  <c r="N10" i="6" s="1"/>
  <c r="O39" i="1"/>
  <c r="O25" i="1"/>
  <c r="O6" i="1"/>
  <c r="O37" i="1"/>
  <c r="O23" i="1"/>
  <c r="O5" i="1"/>
  <c r="O35" i="1"/>
  <c r="O4" i="1"/>
  <c r="O33" i="1"/>
  <c r="O16" i="1"/>
  <c r="O32" i="1"/>
  <c r="O13" i="1"/>
  <c r="O31" i="1"/>
  <c r="O10" i="1"/>
  <c r="O42" i="1"/>
  <c r="O8" i="1"/>
  <c r="O20" i="1"/>
  <c r="O45" i="1"/>
  <c r="O19" i="1"/>
  <c r="O43" i="1"/>
  <c r="O9" i="1"/>
  <c r="O3" i="1"/>
  <c r="O11" i="1"/>
  <c r="O44" i="1"/>
  <c r="P2" i="1"/>
  <c r="O38" i="1"/>
  <c r="O7" i="1"/>
  <c r="O36" i="1"/>
  <c r="O29" i="1"/>
  <c r="O28" i="1"/>
  <c r="O24" i="1"/>
  <c r="O14" i="1"/>
  <c r="O22" i="1"/>
  <c r="O27" i="1"/>
  <c r="O26" i="1"/>
  <c r="G41" i="2"/>
  <c r="G39" i="2" s="1"/>
  <c r="E39" i="2"/>
  <c r="M9" i="6"/>
  <c r="I37" i="2"/>
  <c r="K39" i="2"/>
  <c r="J39" i="2" s="1"/>
  <c r="N39" i="2"/>
  <c r="L18" i="6"/>
  <c r="L5" i="3" l="1"/>
  <c r="F5" i="5"/>
  <c r="H25" i="3"/>
  <c r="M18" i="6"/>
  <c r="P1" i="6"/>
  <c r="O9" i="6"/>
  <c r="O10" i="6" s="1"/>
  <c r="O17" i="6"/>
  <c r="N17" i="6"/>
  <c r="K37" i="2"/>
  <c r="K33" i="2" s="1"/>
  <c r="I33" i="2"/>
  <c r="P39" i="1"/>
  <c r="P25" i="1"/>
  <c r="P13" i="1"/>
  <c r="P37" i="1"/>
  <c r="P23" i="1"/>
  <c r="P8" i="1"/>
  <c r="P45" i="1"/>
  <c r="P27" i="1"/>
  <c r="P10" i="1"/>
  <c r="P42" i="1"/>
  <c r="P20" i="1"/>
  <c r="P38" i="1"/>
  <c r="P19" i="1"/>
  <c r="P36" i="1"/>
  <c r="P14" i="1"/>
  <c r="P31" i="1"/>
  <c r="Q2" i="1"/>
  <c r="P33" i="1"/>
  <c r="P6" i="1"/>
  <c r="P32" i="1"/>
  <c r="P4" i="1"/>
  <c r="P28" i="1"/>
  <c r="P22" i="1"/>
  <c r="P11" i="1"/>
  <c r="P7" i="1"/>
  <c r="P5" i="1"/>
  <c r="P16" i="1"/>
  <c r="P44" i="1"/>
  <c r="P3" i="1"/>
  <c r="P43" i="1"/>
  <c r="P24" i="1"/>
  <c r="P9" i="1"/>
  <c r="P35" i="1"/>
  <c r="P29" i="1"/>
  <c r="P26" i="1"/>
  <c r="F39" i="2"/>
  <c r="E44" i="2"/>
  <c r="F6" i="5" l="1"/>
  <c r="F7" i="5" s="1"/>
  <c r="C11" i="6"/>
  <c r="Q1" i="6"/>
  <c r="P9" i="6"/>
  <c r="P10" i="6" s="1"/>
  <c r="P17" i="6"/>
  <c r="J33" i="2"/>
  <c r="I44" i="2"/>
  <c r="Q39" i="1"/>
  <c r="Q24" i="1"/>
  <c r="Q11" i="1"/>
  <c r="Q37" i="1"/>
  <c r="Q13" i="1"/>
  <c r="Q4" i="1"/>
  <c r="Q35" i="1"/>
  <c r="Q29" i="1"/>
  <c r="Q28" i="1"/>
  <c r="Q3" i="1"/>
  <c r="Q45" i="1"/>
  <c r="Q26" i="1"/>
  <c r="Q20" i="1"/>
  <c r="Q44" i="1"/>
  <c r="Q22" i="1"/>
  <c r="Q7" i="1"/>
  <c r="Q10" i="1"/>
  <c r="Q8" i="1"/>
  <c r="Q6" i="1"/>
  <c r="Q43" i="1"/>
  <c r="R2" i="1"/>
  <c r="Q19" i="1"/>
  <c r="Q16" i="1"/>
  <c r="Q27" i="1"/>
  <c r="Q9" i="1"/>
  <c r="Q25" i="1"/>
  <c r="Q14" i="1"/>
  <c r="Q42" i="1"/>
  <c r="Q23" i="1"/>
  <c r="Q31" i="1"/>
  <c r="Q5" i="1"/>
  <c r="Q38" i="1"/>
  <c r="Q36" i="1"/>
  <c r="Q33" i="1"/>
  <c r="Q32" i="1"/>
  <c r="N18" i="6"/>
  <c r="G44" i="2"/>
  <c r="E49" i="2"/>
  <c r="K44" i="2" l="1"/>
  <c r="R39" i="1"/>
  <c r="R11" i="1"/>
  <c r="R27" i="1"/>
  <c r="R37" i="1"/>
  <c r="R9" i="1"/>
  <c r="S2" i="1"/>
  <c r="R45" i="1"/>
  <c r="R14" i="1"/>
  <c r="R25" i="1"/>
  <c r="R32" i="1"/>
  <c r="R26" i="1"/>
  <c r="R29" i="1"/>
  <c r="R24" i="1"/>
  <c r="R19" i="1"/>
  <c r="R22" i="1"/>
  <c r="R43" i="1"/>
  <c r="R5" i="1"/>
  <c r="R38" i="1"/>
  <c r="R4" i="1"/>
  <c r="R36" i="1"/>
  <c r="R23" i="1"/>
  <c r="R33" i="1"/>
  <c r="R20" i="1"/>
  <c r="R35" i="1"/>
  <c r="R16" i="1"/>
  <c r="R10" i="1"/>
  <c r="R8" i="1"/>
  <c r="R7" i="1"/>
  <c r="R6" i="1"/>
  <c r="R31" i="1"/>
  <c r="R28" i="1"/>
  <c r="R3" i="1"/>
  <c r="R13" i="1"/>
  <c r="R44" i="1"/>
  <c r="R42" i="1"/>
  <c r="E45" i="2"/>
  <c r="O18" i="6"/>
  <c r="P18" i="6" s="1"/>
  <c r="R1" i="6"/>
  <c r="Q9" i="6"/>
  <c r="Q10" i="6" s="1"/>
  <c r="Q17" i="6"/>
  <c r="E53" i="2"/>
  <c r="G53" i="2" s="1"/>
  <c r="E48" i="2"/>
  <c r="E52" i="2" s="1"/>
  <c r="G49" i="2"/>
  <c r="S42" i="1" l="1"/>
  <c r="S35" i="1"/>
  <c r="S7" i="1"/>
  <c r="S36" i="1"/>
  <c r="S25" i="1"/>
  <c r="S19" i="1"/>
  <c r="S31" i="1"/>
  <c r="S4" i="1"/>
  <c r="S38" i="1"/>
  <c r="S23" i="1"/>
  <c r="S33" i="1"/>
  <c r="S3" i="1"/>
  <c r="S28" i="1"/>
  <c r="S20" i="1"/>
  <c r="S26" i="1"/>
  <c r="S5" i="1"/>
  <c r="S39" i="1"/>
  <c r="S37" i="1"/>
  <c r="S16" i="1"/>
  <c r="S32" i="1"/>
  <c r="S10" i="1"/>
  <c r="S29" i="1"/>
  <c r="S13" i="1"/>
  <c r="S24" i="1"/>
  <c r="S22" i="1"/>
  <c r="S43" i="1"/>
  <c r="S27" i="1"/>
  <c r="T2" i="1"/>
  <c r="S11" i="1"/>
  <c r="S8" i="1"/>
  <c r="S9" i="1"/>
  <c r="S45" i="1"/>
  <c r="S44" i="1"/>
  <c r="S14" i="1"/>
  <c r="S6" i="1"/>
  <c r="S1" i="6"/>
  <c r="R9" i="6"/>
  <c r="R10" i="6" s="1"/>
  <c r="R17" i="6"/>
  <c r="G48" i="2"/>
  <c r="F48" i="2" s="1"/>
  <c r="E55" i="2"/>
  <c r="G55" i="2" s="1"/>
  <c r="G45" i="2"/>
  <c r="E43" i="2"/>
  <c r="G52" i="2"/>
  <c r="I45" i="2"/>
  <c r="Q18" i="6"/>
  <c r="E57" i="2"/>
  <c r="H83" i="4"/>
  <c r="H49" i="4" s="1"/>
  <c r="H30" i="4" s="1"/>
  <c r="E46" i="2" l="1"/>
  <c r="G46" i="2" s="1"/>
  <c r="E54" i="2"/>
  <c r="H16" i="5"/>
  <c r="F11" i="2"/>
  <c r="G43" i="2"/>
  <c r="E56" i="2"/>
  <c r="G56" i="2" s="1"/>
  <c r="H17" i="5" s="1"/>
  <c r="H19" i="5" s="1"/>
  <c r="H84" i="4"/>
  <c r="R18" i="6"/>
  <c r="K45" i="2"/>
  <c r="I43" i="2"/>
  <c r="G57" i="2"/>
  <c r="H110" i="4" s="1"/>
  <c r="H100" i="4"/>
  <c r="H104" i="4" s="1"/>
  <c r="T1" i="6"/>
  <c r="S9" i="6"/>
  <c r="S10" i="6" s="1"/>
  <c r="S17" i="6"/>
  <c r="T33" i="1"/>
  <c r="T4" i="1"/>
  <c r="T22" i="1"/>
  <c r="T31" i="1"/>
  <c r="T20" i="1"/>
  <c r="U2" i="1"/>
  <c r="T44" i="1"/>
  <c r="T29" i="1"/>
  <c r="T10" i="1"/>
  <c r="T42" i="1"/>
  <c r="T3" i="1"/>
  <c r="T6" i="1"/>
  <c r="T38" i="1"/>
  <c r="T14" i="1"/>
  <c r="T16" i="1"/>
  <c r="T36" i="1"/>
  <c r="T11" i="1"/>
  <c r="T27" i="1"/>
  <c r="T32" i="1"/>
  <c r="T45" i="1"/>
  <c r="T28" i="1"/>
  <c r="T39" i="1"/>
  <c r="T26" i="1"/>
  <c r="T19" i="1"/>
  <c r="T13" i="1"/>
  <c r="T43" i="1"/>
  <c r="T37" i="1"/>
  <c r="T35" i="1"/>
  <c r="T24" i="1"/>
  <c r="T25" i="1"/>
  <c r="T7" i="1"/>
  <c r="T5" i="1"/>
  <c r="T8" i="1"/>
  <c r="T23" i="1"/>
  <c r="T9" i="1"/>
  <c r="H85" i="4" l="1"/>
  <c r="H51" i="4" s="1"/>
  <c r="H32" i="4" s="1"/>
  <c r="H50" i="4"/>
  <c r="H31" i="4" s="1"/>
  <c r="F43" i="2"/>
  <c r="H82" i="4"/>
  <c r="S18" i="6"/>
  <c r="S3" i="6"/>
  <c r="H18" i="5"/>
  <c r="I3" i="6" s="1"/>
  <c r="H20" i="5"/>
  <c r="K3" i="6" s="1"/>
  <c r="F3" i="6"/>
  <c r="G3" i="6"/>
  <c r="J3" i="6"/>
  <c r="H3" i="6"/>
  <c r="L3" i="6"/>
  <c r="M3" i="6"/>
  <c r="Q3" i="6"/>
  <c r="U39" i="1"/>
  <c r="U25" i="1"/>
  <c r="U7" i="1"/>
  <c r="U37" i="1"/>
  <c r="U23" i="1"/>
  <c r="U19" i="1"/>
  <c r="U35" i="1"/>
  <c r="U10" i="1"/>
  <c r="U29" i="1"/>
  <c r="U9" i="1"/>
  <c r="U28" i="1"/>
  <c r="U5" i="1"/>
  <c r="U27" i="1"/>
  <c r="U4" i="1"/>
  <c r="U45" i="1"/>
  <c r="U20" i="1"/>
  <c r="U32" i="1"/>
  <c r="V2" i="1"/>
  <c r="U31" i="1"/>
  <c r="U24" i="1"/>
  <c r="U8" i="1"/>
  <c r="U6" i="1"/>
  <c r="U44" i="1"/>
  <c r="U11" i="1"/>
  <c r="U43" i="1"/>
  <c r="U16" i="1"/>
  <c r="U42" i="1"/>
  <c r="U3" i="1"/>
  <c r="U38" i="1"/>
  <c r="U36" i="1"/>
  <c r="U13" i="1"/>
  <c r="U14" i="1"/>
  <c r="U26" i="1"/>
  <c r="U33" i="1"/>
  <c r="U22" i="1"/>
  <c r="U1" i="6"/>
  <c r="T3" i="6"/>
  <c r="T9" i="6"/>
  <c r="T10" i="6" s="1"/>
  <c r="T17" i="6"/>
  <c r="G54" i="2"/>
  <c r="G51" i="2" s="1"/>
  <c r="F51" i="2" s="1"/>
  <c r="E51" i="2"/>
  <c r="I49" i="2"/>
  <c r="J11" i="2"/>
  <c r="I46" i="2"/>
  <c r="K46" i="2" s="1"/>
  <c r="N43" i="2"/>
  <c r="K43" i="2"/>
  <c r="J43" i="2" s="1"/>
  <c r="H111" i="4"/>
  <c r="H114" i="4"/>
  <c r="H118" i="4"/>
  <c r="H112" i="4"/>
  <c r="H113" i="4"/>
  <c r="R3" i="6"/>
  <c r="U10" i="6" l="1"/>
  <c r="F4" i="6"/>
  <c r="P3" i="6"/>
  <c r="V36" i="1"/>
  <c r="V20" i="1"/>
  <c r="V10" i="1"/>
  <c r="V31" i="1"/>
  <c r="V16" i="1"/>
  <c r="V26" i="1"/>
  <c r="V45" i="1"/>
  <c r="V25" i="1"/>
  <c r="V28" i="1"/>
  <c r="V39" i="1"/>
  <c r="V7" i="1"/>
  <c r="V37" i="1"/>
  <c r="V5" i="1"/>
  <c r="V35" i="1"/>
  <c r="V13" i="1"/>
  <c r="V38" i="1"/>
  <c r="V8" i="1"/>
  <c r="V14" i="1"/>
  <c r="V11" i="1"/>
  <c r="V42" i="1"/>
  <c r="V19" i="1"/>
  <c r="V23" i="1"/>
  <c r="V22" i="1"/>
  <c r="V9" i="1"/>
  <c r="V24" i="1"/>
  <c r="V4" i="1"/>
  <c r="V44" i="1"/>
  <c r="V6" i="1"/>
  <c r="V33" i="1"/>
  <c r="V3" i="1"/>
  <c r="V43" i="1"/>
  <c r="W2" i="1"/>
  <c r="V27" i="1"/>
  <c r="V32" i="1"/>
  <c r="V29" i="1"/>
  <c r="V1" i="6"/>
  <c r="U3" i="6"/>
  <c r="U9" i="6"/>
  <c r="U17" i="6"/>
  <c r="O3" i="6"/>
  <c r="I48" i="2"/>
  <c r="I52" i="2" s="1"/>
  <c r="K49" i="2"/>
  <c r="N3" i="6"/>
  <c r="T18" i="6"/>
  <c r="H48" i="4"/>
  <c r="H29" i="4" s="1"/>
  <c r="H88" i="4"/>
  <c r="I55" i="2" l="1"/>
  <c r="K55" i="2" s="1"/>
  <c r="W84" i="4" s="1"/>
  <c r="K52" i="2"/>
  <c r="W39" i="1"/>
  <c r="W25" i="1"/>
  <c r="W16" i="1"/>
  <c r="W37" i="1"/>
  <c r="W23" i="1"/>
  <c r="W7" i="1"/>
  <c r="W35" i="1"/>
  <c r="W3" i="1"/>
  <c r="W43" i="1"/>
  <c r="W22" i="1"/>
  <c r="W9" i="1"/>
  <c r="W42" i="1"/>
  <c r="W20" i="1"/>
  <c r="W38" i="1"/>
  <c r="W4" i="1"/>
  <c r="W31" i="1"/>
  <c r="W5" i="1"/>
  <c r="W33" i="1"/>
  <c r="W11" i="1"/>
  <c r="W32" i="1"/>
  <c r="W14" i="1"/>
  <c r="W28" i="1"/>
  <c r="W29" i="1"/>
  <c r="W27" i="1"/>
  <c r="W24" i="1"/>
  <c r="W19" i="1"/>
  <c r="W13" i="1"/>
  <c r="W10" i="1"/>
  <c r="W8" i="1"/>
  <c r="W6" i="1"/>
  <c r="X2" i="1"/>
  <c r="W45" i="1"/>
  <c r="W44" i="1"/>
  <c r="W36" i="1"/>
  <c r="W26" i="1"/>
  <c r="U18" i="6"/>
  <c r="H90" i="4"/>
  <c r="H89" i="4"/>
  <c r="W1" i="6"/>
  <c r="V3" i="6"/>
  <c r="N48" i="2"/>
  <c r="I53" i="2"/>
  <c r="K53" i="2" s="1"/>
  <c r="K48" i="2"/>
  <c r="J48" i="2" s="1"/>
  <c r="G4" i="6"/>
  <c r="U5" i="6" l="1"/>
  <c r="K5" i="6"/>
  <c r="G5" i="6"/>
  <c r="O5" i="6"/>
  <c r="X1" i="6"/>
  <c r="W3" i="6" s="1"/>
  <c r="W9" i="6"/>
  <c r="W17" i="6"/>
  <c r="W5" i="6"/>
  <c r="H5" i="6"/>
  <c r="I56" i="2"/>
  <c r="K56" i="2" s="1"/>
  <c r="I54" i="2"/>
  <c r="K54" i="2" s="1"/>
  <c r="S22" i="2" s="1"/>
  <c r="S21" i="2"/>
  <c r="S24" i="2" s="1"/>
  <c r="S28" i="2" s="1"/>
  <c r="M5" i="6"/>
  <c r="N5" i="6"/>
  <c r="X39" i="1"/>
  <c r="X25" i="1"/>
  <c r="X11" i="1"/>
  <c r="X37" i="1"/>
  <c r="X23" i="1"/>
  <c r="X4" i="1"/>
  <c r="X45" i="1"/>
  <c r="X27" i="1"/>
  <c r="X7" i="1"/>
  <c r="X28" i="1"/>
  <c r="X14" i="1"/>
  <c r="X26" i="1"/>
  <c r="X3" i="1"/>
  <c r="X44" i="1"/>
  <c r="X24" i="1"/>
  <c r="X9" i="1"/>
  <c r="X22" i="1"/>
  <c r="X20" i="1"/>
  <c r="X19" i="1"/>
  <c r="X43" i="1"/>
  <c r="X13" i="1"/>
  <c r="X36" i="1"/>
  <c r="X35" i="1"/>
  <c r="X32" i="1"/>
  <c r="X31" i="1"/>
  <c r="X29" i="1"/>
  <c r="X16" i="1"/>
  <c r="X10" i="1"/>
  <c r="X42" i="1"/>
  <c r="X6" i="1"/>
  <c r="Y2" i="1"/>
  <c r="X5" i="1"/>
  <c r="X38" i="1"/>
  <c r="X33" i="1"/>
  <c r="X8" i="1"/>
  <c r="H4" i="6"/>
  <c r="S5" i="6"/>
  <c r="V5" i="6"/>
  <c r="Q5" i="6"/>
  <c r="R5" i="6"/>
  <c r="P5" i="6"/>
  <c r="I5" i="6"/>
  <c r="T5" i="6"/>
  <c r="F5" i="6"/>
  <c r="V17" i="6"/>
  <c r="V18" i="6" s="1"/>
  <c r="J5" i="6"/>
  <c r="W95" i="4"/>
  <c r="W50" i="4"/>
  <c r="W32" i="4"/>
  <c r="V20" i="6" s="1"/>
  <c r="V9" i="6"/>
  <c r="V10" i="6" s="1"/>
  <c r="W10" i="6" s="1"/>
  <c r="L5" i="6"/>
  <c r="W18" i="6" l="1"/>
  <c r="I51" i="2"/>
  <c r="W20" i="6"/>
  <c r="W11" i="6"/>
  <c r="K51" i="2"/>
  <c r="J51" i="2" s="1"/>
  <c r="V11" i="6"/>
  <c r="Y39" i="1"/>
  <c r="Y20" i="1"/>
  <c r="Y6" i="1"/>
  <c r="Y37" i="1"/>
  <c r="Y16" i="1"/>
  <c r="Z2" i="1"/>
  <c r="Y35" i="1"/>
  <c r="Y7" i="1"/>
  <c r="Y31" i="1"/>
  <c r="Y13" i="1"/>
  <c r="Y32" i="1"/>
  <c r="Y10" i="1"/>
  <c r="Y29" i="1"/>
  <c r="Y8" i="1"/>
  <c r="Y44" i="1"/>
  <c r="Y9" i="1"/>
  <c r="Y42" i="1"/>
  <c r="Y26" i="1"/>
  <c r="Y38" i="1"/>
  <c r="Y24" i="1"/>
  <c r="Y33" i="1"/>
  <c r="Y3" i="1"/>
  <c r="Y4" i="1"/>
  <c r="Y45" i="1"/>
  <c r="Y22" i="1"/>
  <c r="Y36" i="1"/>
  <c r="Y27" i="1"/>
  <c r="Y25" i="1"/>
  <c r="Y23" i="1"/>
  <c r="Y19" i="1"/>
  <c r="Y5" i="1"/>
  <c r="Y28" i="1"/>
  <c r="Y14" i="1"/>
  <c r="Y43" i="1"/>
  <c r="Y11" i="1"/>
  <c r="F6" i="6"/>
  <c r="I4" i="6"/>
  <c r="Y1" i="6"/>
  <c r="X9" i="6"/>
  <c r="X10" i="6" s="1"/>
  <c r="N51" i="2"/>
  <c r="N11" i="2" s="1"/>
  <c r="G11" i="6"/>
  <c r="G20" i="6"/>
  <c r="F11" i="6"/>
  <c r="K11" i="6"/>
  <c r="H11" i="6"/>
  <c r="J11" i="6"/>
  <c r="K20" i="6"/>
  <c r="I20" i="6"/>
  <c r="H20" i="6"/>
  <c r="I11" i="6"/>
  <c r="J20" i="6"/>
  <c r="F20" i="6"/>
  <c r="L20" i="6"/>
  <c r="M11" i="6"/>
  <c r="L11" i="6"/>
  <c r="M20" i="6"/>
  <c r="N11" i="6"/>
  <c r="N20" i="6"/>
  <c r="O11" i="6"/>
  <c r="O20" i="6"/>
  <c r="P11" i="6"/>
  <c r="P20" i="6"/>
  <c r="Q20" i="6"/>
  <c r="Q11" i="6"/>
  <c r="R20" i="6"/>
  <c r="R11" i="6"/>
  <c r="S11" i="6"/>
  <c r="S20" i="6"/>
  <c r="T20" i="6"/>
  <c r="T11" i="6"/>
  <c r="U11" i="6"/>
  <c r="U20" i="6"/>
  <c r="Z1" i="6" l="1"/>
  <c r="Y3" i="6"/>
  <c r="Y9" i="6"/>
  <c r="Y10" i="6" s="1"/>
  <c r="Y17" i="6"/>
  <c r="Y11" i="6"/>
  <c r="Y20" i="6"/>
  <c r="Y5" i="6"/>
  <c r="F21" i="6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G6" i="6"/>
  <c r="F7" i="6"/>
  <c r="F12" i="6"/>
  <c r="X5" i="6"/>
  <c r="X11" i="6"/>
  <c r="J4" i="6"/>
  <c r="X17" i="6"/>
  <c r="X18" i="6" s="1"/>
  <c r="X20" i="6"/>
  <c r="X3" i="6"/>
  <c r="Z39" i="1"/>
  <c r="Z20" i="1"/>
  <c r="Z28" i="1"/>
  <c r="Z37" i="1"/>
  <c r="Z16" i="1"/>
  <c r="AA2" i="1"/>
  <c r="Z45" i="1"/>
  <c r="Z25" i="1"/>
  <c r="Z26" i="1"/>
  <c r="Z38" i="1"/>
  <c r="Z11" i="1"/>
  <c r="Z36" i="1"/>
  <c r="Z10" i="1"/>
  <c r="Z35" i="1"/>
  <c r="Z9" i="1"/>
  <c r="Z33" i="1"/>
  <c r="Z5" i="1"/>
  <c r="Z27" i="1"/>
  <c r="Z23" i="1"/>
  <c r="Z14" i="1"/>
  <c r="Z7" i="1"/>
  <c r="Z6" i="1"/>
  <c r="Z44" i="1"/>
  <c r="Z24" i="1"/>
  <c r="Z43" i="1"/>
  <c r="Z4" i="1"/>
  <c r="Z42" i="1"/>
  <c r="Z31" i="1"/>
  <c r="Z32" i="1"/>
  <c r="Z8" i="1"/>
  <c r="Z3" i="1"/>
  <c r="Z22" i="1"/>
  <c r="Z13" i="1"/>
  <c r="Z29" i="1"/>
  <c r="Z19" i="1"/>
  <c r="X21" i="6" l="1"/>
  <c r="Y21" i="6" s="1"/>
  <c r="Y18" i="6"/>
  <c r="K4" i="6"/>
  <c r="AA1" i="6"/>
  <c r="Z9" i="6"/>
  <c r="Z10" i="6" s="1"/>
  <c r="Z3" i="6"/>
  <c r="Z11" i="6"/>
  <c r="H6" i="6"/>
  <c r="G7" i="6"/>
  <c r="AA35" i="1"/>
  <c r="AA10" i="1"/>
  <c r="AA14" i="1"/>
  <c r="AA29" i="1"/>
  <c r="AA6" i="1"/>
  <c r="AA25" i="1"/>
  <c r="AA31" i="1"/>
  <c r="AA24" i="1"/>
  <c r="AA45" i="1"/>
  <c r="AA13" i="1"/>
  <c r="AA19" i="1"/>
  <c r="AA8" i="1"/>
  <c r="AA23" i="1"/>
  <c r="AA39" i="1"/>
  <c r="AB2" i="1"/>
  <c r="AA7" i="1"/>
  <c r="AA28" i="1"/>
  <c r="AA5" i="1"/>
  <c r="AA4" i="1"/>
  <c r="AA43" i="1"/>
  <c r="AA3" i="1"/>
  <c r="AA32" i="1"/>
  <c r="AA38" i="1"/>
  <c r="AA20" i="1"/>
  <c r="AA9" i="1"/>
  <c r="AA22" i="1"/>
  <c r="AA16" i="1"/>
  <c r="AA11" i="1"/>
  <c r="AA37" i="1"/>
  <c r="AA44" i="1"/>
  <c r="AA26" i="1"/>
  <c r="AA33" i="1"/>
  <c r="AA27" i="1"/>
  <c r="AA36" i="1"/>
  <c r="AA42" i="1"/>
  <c r="F14" i="6"/>
  <c r="G12" i="6"/>
  <c r="AB1" i="6" l="1"/>
  <c r="AA3" i="6" s="1"/>
  <c r="AA20" i="6"/>
  <c r="AA17" i="6"/>
  <c r="AA5" i="6"/>
  <c r="AB35" i="1"/>
  <c r="AB22" i="1"/>
  <c r="AB6" i="1"/>
  <c r="AB45" i="1"/>
  <c r="AB28" i="1"/>
  <c r="AB27" i="1"/>
  <c r="AB36" i="1"/>
  <c r="AB7" i="1"/>
  <c r="AB33" i="1"/>
  <c r="AB5" i="1"/>
  <c r="AB31" i="1"/>
  <c r="AB13" i="1"/>
  <c r="AB25" i="1"/>
  <c r="AB8" i="1"/>
  <c r="AB44" i="1"/>
  <c r="AB10" i="1"/>
  <c r="AB42" i="1"/>
  <c r="AB20" i="1"/>
  <c r="AB26" i="1"/>
  <c r="AB19" i="1"/>
  <c r="AB38" i="1"/>
  <c r="AB24" i="1"/>
  <c r="AB3" i="1"/>
  <c r="AB16" i="1"/>
  <c r="AB14" i="1"/>
  <c r="AB11" i="1"/>
  <c r="AB43" i="1"/>
  <c r="AB9" i="1"/>
  <c r="AB39" i="1"/>
  <c r="AB4" i="1"/>
  <c r="AB23" i="1"/>
  <c r="AC2" i="1"/>
  <c r="AB37" i="1"/>
  <c r="AB32" i="1"/>
  <c r="AB29" i="1"/>
  <c r="L4" i="6"/>
  <c r="I6" i="6"/>
  <c r="H7" i="6"/>
  <c r="H12" i="6"/>
  <c r="G14" i="6"/>
  <c r="Z20" i="6"/>
  <c r="Z21" i="6" s="1"/>
  <c r="Z5" i="6"/>
  <c r="Z17" i="6"/>
  <c r="Z18" i="6" s="1"/>
  <c r="AA18" i="6" l="1"/>
  <c r="AA11" i="6"/>
  <c r="AC39" i="1"/>
  <c r="AC25" i="1"/>
  <c r="AC13" i="1"/>
  <c r="AC42" i="1"/>
  <c r="AC24" i="1"/>
  <c r="AD2" i="1"/>
  <c r="AC43" i="1"/>
  <c r="AC23" i="1"/>
  <c r="AC10" i="1"/>
  <c r="AC37" i="1"/>
  <c r="AC20" i="1"/>
  <c r="AC4" i="1"/>
  <c r="AC27" i="1"/>
  <c r="AC8" i="1"/>
  <c r="AC31" i="1"/>
  <c r="AC6" i="1"/>
  <c r="AC29" i="1"/>
  <c r="AC26" i="1"/>
  <c r="AC44" i="1"/>
  <c r="AC11" i="1"/>
  <c r="AC38" i="1"/>
  <c r="AC9" i="1"/>
  <c r="AC35" i="1"/>
  <c r="AC3" i="1"/>
  <c r="AC33" i="1"/>
  <c r="AC22" i="1"/>
  <c r="AC32" i="1"/>
  <c r="AC19" i="1"/>
  <c r="AC28" i="1"/>
  <c r="AC7" i="1"/>
  <c r="AC14" i="1"/>
  <c r="AC45" i="1"/>
  <c r="AC36" i="1"/>
  <c r="AC16" i="1"/>
  <c r="AC5" i="1"/>
  <c r="AA9" i="6"/>
  <c r="AA10" i="6" s="1"/>
  <c r="AB10" i="6" s="1"/>
  <c r="J6" i="6"/>
  <c r="I7" i="6"/>
  <c r="M4" i="6"/>
  <c r="AC1" i="6"/>
  <c r="AB9" i="6"/>
  <c r="AB3" i="6"/>
  <c r="AB11" i="6"/>
  <c r="AB5" i="6"/>
  <c r="AB17" i="6"/>
  <c r="AB20" i="6"/>
  <c r="AA21" i="6"/>
  <c r="H14" i="6"/>
  <c r="I12" i="6"/>
  <c r="AD35" i="1" l="1"/>
  <c r="AD22" i="1"/>
  <c r="AD5" i="1"/>
  <c r="AD44" i="1"/>
  <c r="AD8" i="1"/>
  <c r="AD3" i="1"/>
  <c r="AD36" i="1"/>
  <c r="AD14" i="1"/>
  <c r="AD31" i="1"/>
  <c r="AD9" i="1"/>
  <c r="AD26" i="1"/>
  <c r="AD25" i="1"/>
  <c r="AD28" i="1"/>
  <c r="AD20" i="1"/>
  <c r="AD45" i="1"/>
  <c r="AD13" i="1"/>
  <c r="AD33" i="1"/>
  <c r="AD24" i="1"/>
  <c r="AD10" i="1"/>
  <c r="AD6" i="1"/>
  <c r="AD37" i="1"/>
  <c r="AD11" i="1"/>
  <c r="AD38" i="1"/>
  <c r="AE2" i="1"/>
  <c r="AD23" i="1"/>
  <c r="AD27" i="1"/>
  <c r="AD43" i="1"/>
  <c r="AD4" i="1"/>
  <c r="AD39" i="1"/>
  <c r="AD32" i="1"/>
  <c r="AD29" i="1"/>
  <c r="AD42" i="1"/>
  <c r="AD16" i="1"/>
  <c r="AD7" i="1"/>
  <c r="AD19" i="1"/>
  <c r="AD1" i="6"/>
  <c r="N4" i="6"/>
  <c r="I14" i="6"/>
  <c r="J12" i="6"/>
  <c r="K6" i="6"/>
  <c r="J7" i="6"/>
  <c r="AB21" i="6"/>
  <c r="AB18" i="6"/>
  <c r="AE1" i="6" l="1"/>
  <c r="AD9" i="6" s="1"/>
  <c r="AD11" i="6"/>
  <c r="O4" i="6"/>
  <c r="AE39" i="1"/>
  <c r="AE25" i="1"/>
  <c r="AE10" i="1"/>
  <c r="AE32" i="1"/>
  <c r="AE14" i="1"/>
  <c r="AE43" i="1"/>
  <c r="AE24" i="1"/>
  <c r="AE6" i="1"/>
  <c r="AE38" i="1"/>
  <c r="AE22" i="1"/>
  <c r="AF2" i="1"/>
  <c r="AE29" i="1"/>
  <c r="AE19" i="1"/>
  <c r="AE27" i="1"/>
  <c r="AE8" i="1"/>
  <c r="AE45" i="1"/>
  <c r="AE20" i="1"/>
  <c r="AE3" i="1"/>
  <c r="AE44" i="1"/>
  <c r="AE11" i="1"/>
  <c r="AE37" i="1"/>
  <c r="AE7" i="1"/>
  <c r="AE36" i="1"/>
  <c r="AE5" i="1"/>
  <c r="AE31" i="1"/>
  <c r="AE26" i="1"/>
  <c r="AE4" i="1"/>
  <c r="AE23" i="1"/>
  <c r="AE42" i="1"/>
  <c r="AE16" i="1"/>
  <c r="AE33" i="1"/>
  <c r="AE35" i="1"/>
  <c r="AE28" i="1"/>
  <c r="AE9" i="1"/>
  <c r="AE13" i="1"/>
  <c r="K12" i="6"/>
  <c r="J14" i="6"/>
  <c r="AC20" i="6"/>
  <c r="AC21" i="6" s="1"/>
  <c r="AC11" i="6"/>
  <c r="AC9" i="6"/>
  <c r="AC10" i="6" s="1"/>
  <c r="L6" i="6"/>
  <c r="K7" i="6"/>
  <c r="AC5" i="6"/>
  <c r="AC17" i="6"/>
  <c r="AC18" i="6" s="1"/>
  <c r="AC3" i="6"/>
  <c r="M6" i="6" l="1"/>
  <c r="L7" i="6"/>
  <c r="L12" i="6"/>
  <c r="K14" i="6"/>
  <c r="AF39" i="1"/>
  <c r="AF25" i="1"/>
  <c r="AF14" i="1"/>
  <c r="AF45" i="1"/>
  <c r="AF28" i="1"/>
  <c r="AF6" i="1"/>
  <c r="AF33" i="1"/>
  <c r="AF13" i="1"/>
  <c r="AF31" i="1"/>
  <c r="AF8" i="1"/>
  <c r="AF32" i="1"/>
  <c r="AF3" i="1"/>
  <c r="AF24" i="1"/>
  <c r="AF11" i="1"/>
  <c r="AF43" i="1"/>
  <c r="AF20" i="1"/>
  <c r="AF36" i="1"/>
  <c r="AF7" i="1"/>
  <c r="AF35" i="1"/>
  <c r="AF9" i="1"/>
  <c r="AF27" i="1"/>
  <c r="AF26" i="1"/>
  <c r="AF22" i="1"/>
  <c r="AF16" i="1"/>
  <c r="AF19" i="1"/>
  <c r="AF44" i="1"/>
  <c r="AF4" i="1"/>
  <c r="AF42" i="1"/>
  <c r="AF38" i="1"/>
  <c r="AF29" i="1"/>
  <c r="AF37" i="1"/>
  <c r="AF23" i="1"/>
  <c r="AF10" i="1"/>
  <c r="AG2" i="1"/>
  <c r="AF5" i="1"/>
  <c r="P4" i="6"/>
  <c r="AD5" i="6"/>
  <c r="AD17" i="6"/>
  <c r="AD18" i="6" s="1"/>
  <c r="AD20" i="6"/>
  <c r="AD21" i="6" s="1"/>
  <c r="AD3" i="6"/>
  <c r="AD10" i="6"/>
  <c r="AF1" i="6"/>
  <c r="AE17" i="6" s="1"/>
  <c r="AE18" i="6" l="1"/>
  <c r="AE10" i="6"/>
  <c r="AE5" i="6"/>
  <c r="AE20" i="6"/>
  <c r="AE21" i="6" s="1"/>
  <c r="Q4" i="6"/>
  <c r="AE11" i="6"/>
  <c r="M12" i="6"/>
  <c r="L14" i="6"/>
  <c r="AG39" i="1"/>
  <c r="AG22" i="1"/>
  <c r="AG3" i="1"/>
  <c r="AG42" i="1"/>
  <c r="AG19" i="1"/>
  <c r="AG14" i="1"/>
  <c r="AG44" i="1"/>
  <c r="AG24" i="1"/>
  <c r="AG5" i="1"/>
  <c r="AG38" i="1"/>
  <c r="AG20" i="1"/>
  <c r="AG11" i="1"/>
  <c r="AG33" i="1"/>
  <c r="AG8" i="1"/>
  <c r="AG16" i="1"/>
  <c r="AG43" i="1"/>
  <c r="AG27" i="1"/>
  <c r="AG26" i="1"/>
  <c r="AG6" i="1"/>
  <c r="AG13" i="1"/>
  <c r="AG45" i="1"/>
  <c r="AG10" i="1"/>
  <c r="AG31" i="1"/>
  <c r="AG28" i="1"/>
  <c r="AH2" i="1"/>
  <c r="AG9" i="1"/>
  <c r="AG37" i="1"/>
  <c r="AG7" i="1"/>
  <c r="AG36" i="1"/>
  <c r="AG23" i="1"/>
  <c r="AG35" i="1"/>
  <c r="AG32" i="1"/>
  <c r="AG29" i="1"/>
  <c r="AG25" i="1"/>
  <c r="AG4" i="1"/>
  <c r="AG1" i="6"/>
  <c r="AF9" i="6"/>
  <c r="AF3" i="6"/>
  <c r="AF5" i="6"/>
  <c r="AE9" i="6"/>
  <c r="N6" i="6"/>
  <c r="M7" i="6"/>
  <c r="AE3" i="6"/>
  <c r="AH1" i="6" l="1"/>
  <c r="AG3" i="6" s="1"/>
  <c r="AG20" i="6"/>
  <c r="N12" i="6"/>
  <c r="M14" i="6"/>
  <c r="AH39" i="1"/>
  <c r="AH11" i="1"/>
  <c r="AH27" i="1"/>
  <c r="AH36" i="1"/>
  <c r="AH7" i="1"/>
  <c r="AH25" i="1"/>
  <c r="AH33" i="1"/>
  <c r="AH28" i="1"/>
  <c r="AH31" i="1"/>
  <c r="AH26" i="1"/>
  <c r="AH37" i="1"/>
  <c r="AH29" i="1"/>
  <c r="AH45" i="1"/>
  <c r="AH9" i="1"/>
  <c r="AH42" i="1"/>
  <c r="AH5" i="1"/>
  <c r="AH43" i="1"/>
  <c r="AH20" i="1"/>
  <c r="AH38" i="1"/>
  <c r="AH22" i="1"/>
  <c r="AH19" i="1"/>
  <c r="AH3" i="1"/>
  <c r="AH16" i="1"/>
  <c r="AH13" i="1"/>
  <c r="AH14" i="1"/>
  <c r="AH24" i="1"/>
  <c r="AI2" i="1"/>
  <c r="AH4" i="1"/>
  <c r="AH44" i="1"/>
  <c r="AH35" i="1"/>
  <c r="AH32" i="1"/>
  <c r="AH10" i="1"/>
  <c r="AH8" i="1"/>
  <c r="AH6" i="1"/>
  <c r="AH23" i="1"/>
  <c r="R4" i="6"/>
  <c r="O6" i="6"/>
  <c r="N7" i="6"/>
  <c r="AF11" i="6"/>
  <c r="AF10" i="6"/>
  <c r="AF20" i="6"/>
  <c r="AF21" i="6" s="1"/>
  <c r="AF17" i="6"/>
  <c r="AF18" i="6" s="1"/>
  <c r="AG21" i="6" l="1"/>
  <c r="P6" i="6"/>
  <c r="O7" i="6"/>
  <c r="S4" i="6"/>
  <c r="N14" i="6"/>
  <c r="O12" i="6"/>
  <c r="AG5" i="6"/>
  <c r="AI37" i="1"/>
  <c r="AI20" i="1"/>
  <c r="AI10" i="1"/>
  <c r="AI36" i="1"/>
  <c r="AI26" i="1"/>
  <c r="AI44" i="1"/>
  <c r="AI23" i="1"/>
  <c r="AI6" i="1"/>
  <c r="AI39" i="1"/>
  <c r="AI14" i="1"/>
  <c r="AI3" i="1"/>
  <c r="AI32" i="1"/>
  <c r="AI5" i="1"/>
  <c r="AI45" i="1"/>
  <c r="AI9" i="1"/>
  <c r="AI31" i="1"/>
  <c r="AI22" i="1"/>
  <c r="AI29" i="1"/>
  <c r="AI16" i="1"/>
  <c r="AI27" i="1"/>
  <c r="AI11" i="1"/>
  <c r="AI35" i="1"/>
  <c r="AI19" i="1"/>
  <c r="AI38" i="1"/>
  <c r="AI42" i="1"/>
  <c r="AI7" i="1"/>
  <c r="AI24" i="1"/>
  <c r="AJ2" i="1"/>
  <c r="AI28" i="1"/>
  <c r="AI13" i="1"/>
  <c r="AI8" i="1"/>
  <c r="AI4" i="1"/>
  <c r="AI43" i="1"/>
  <c r="AI33" i="1"/>
  <c r="AI25" i="1"/>
  <c r="AG11" i="6"/>
  <c r="AG17" i="6"/>
  <c r="AG18" i="6" s="1"/>
  <c r="AG10" i="6"/>
  <c r="AH3" i="6"/>
  <c r="AI1" i="6"/>
  <c r="AH17" i="6" s="1"/>
  <c r="AH11" i="6"/>
  <c r="AH20" i="6"/>
  <c r="AH21" i="6" s="1"/>
  <c r="AG9" i="6"/>
  <c r="AH18" i="6" l="1"/>
  <c r="O14" i="6"/>
  <c r="P12" i="6"/>
  <c r="AH5" i="6"/>
  <c r="T4" i="6"/>
  <c r="Q6" i="6"/>
  <c r="P7" i="6"/>
  <c r="AJ1" i="6"/>
  <c r="AI9" i="6"/>
  <c r="AI3" i="6"/>
  <c r="AH9" i="6"/>
  <c r="AH10" i="6" s="1"/>
  <c r="AI10" i="6" s="1"/>
  <c r="AJ36" i="1"/>
  <c r="AJ13" i="1"/>
  <c r="AJ37" i="1"/>
  <c r="AJ45" i="1"/>
  <c r="AJ16" i="1"/>
  <c r="AJ28" i="1"/>
  <c r="AJ27" i="1"/>
  <c r="AJ39" i="1"/>
  <c r="AJ23" i="1"/>
  <c r="AJ11" i="1"/>
  <c r="AJ38" i="1"/>
  <c r="AJ4" i="1"/>
  <c r="AJ42" i="1"/>
  <c r="AJ3" i="1"/>
  <c r="AJ29" i="1"/>
  <c r="AJ14" i="1"/>
  <c r="AJ6" i="1"/>
  <c r="AJ19" i="1"/>
  <c r="AJ44" i="1"/>
  <c r="AJ24" i="1"/>
  <c r="AJ5" i="1"/>
  <c r="AJ33" i="1"/>
  <c r="AJ7" i="1"/>
  <c r="AJ31" i="1"/>
  <c r="AK2" i="1"/>
  <c r="AJ43" i="1"/>
  <c r="AJ35" i="1"/>
  <c r="AJ10" i="1"/>
  <c r="AJ25" i="1"/>
  <c r="AJ20" i="1"/>
  <c r="AJ26" i="1"/>
  <c r="AJ8" i="1"/>
  <c r="AJ32" i="1"/>
  <c r="AJ9" i="1"/>
  <c r="AJ22" i="1"/>
  <c r="R6" i="6" l="1"/>
  <c r="Q7" i="6"/>
  <c r="AK42" i="1"/>
  <c r="AK26" i="1"/>
  <c r="AK5" i="1"/>
  <c r="AK45" i="1"/>
  <c r="AK28" i="1"/>
  <c r="AK7" i="1"/>
  <c r="AK43" i="1"/>
  <c r="AK25" i="1"/>
  <c r="AL2" i="1"/>
  <c r="AK44" i="1"/>
  <c r="AK23" i="1"/>
  <c r="AK8" i="1"/>
  <c r="AK38" i="1"/>
  <c r="AK19" i="1"/>
  <c r="AK35" i="1"/>
  <c r="AK11" i="1"/>
  <c r="AK36" i="1"/>
  <c r="AK3" i="1"/>
  <c r="AK33" i="1"/>
  <c r="AK4" i="1"/>
  <c r="AK29" i="1"/>
  <c r="AK10" i="1"/>
  <c r="AK20" i="1"/>
  <c r="AK14" i="1"/>
  <c r="AK16" i="1"/>
  <c r="AK37" i="1"/>
  <c r="AK32" i="1"/>
  <c r="AK31" i="1"/>
  <c r="AK39" i="1"/>
  <c r="AK27" i="1"/>
  <c r="AK24" i="1"/>
  <c r="AK22" i="1"/>
  <c r="AK9" i="1"/>
  <c r="AK13" i="1"/>
  <c r="AK6" i="1"/>
  <c r="AK1" i="6"/>
  <c r="AJ9" i="6" s="1"/>
  <c r="AJ10" i="6" s="1"/>
  <c r="AJ3" i="6"/>
  <c r="AJ17" i="6"/>
  <c r="AJ20" i="6"/>
  <c r="AJ11" i="6"/>
  <c r="AJ5" i="6"/>
  <c r="U4" i="6"/>
  <c r="AI5" i="6"/>
  <c r="Q12" i="6"/>
  <c r="P14" i="6"/>
  <c r="AI20" i="6"/>
  <c r="AI21" i="6" s="1"/>
  <c r="AI11" i="6"/>
  <c r="AI17" i="6"/>
  <c r="AI18" i="6" s="1"/>
  <c r="AJ18" i="6" l="1"/>
  <c r="AL42" i="1"/>
  <c r="AL35" i="1"/>
  <c r="AL26" i="1"/>
  <c r="AL38" i="1"/>
  <c r="AL24" i="1"/>
  <c r="AL3" i="1"/>
  <c r="AL33" i="1"/>
  <c r="AL19" i="1"/>
  <c r="AL22" i="1"/>
  <c r="AL43" i="1"/>
  <c r="AL8" i="1"/>
  <c r="AL44" i="1"/>
  <c r="AL14" i="1"/>
  <c r="AL29" i="1"/>
  <c r="AL7" i="1"/>
  <c r="AL20" i="1"/>
  <c r="AL13" i="1"/>
  <c r="AL39" i="1"/>
  <c r="AL6" i="1"/>
  <c r="AM2" i="1"/>
  <c r="AL23" i="1"/>
  <c r="AL32" i="1"/>
  <c r="AL37" i="1"/>
  <c r="AL28" i="1"/>
  <c r="AL45" i="1"/>
  <c r="AL16" i="1"/>
  <c r="AL31" i="1"/>
  <c r="AL10" i="1"/>
  <c r="AL5" i="1"/>
  <c r="AL4" i="1"/>
  <c r="AL36" i="1"/>
  <c r="AL27" i="1"/>
  <c r="AL25" i="1"/>
  <c r="AL11" i="1"/>
  <c r="AL9" i="1"/>
  <c r="V4" i="6"/>
  <c r="AJ21" i="6"/>
  <c r="AL1" i="6"/>
  <c r="AK3" i="6"/>
  <c r="AK20" i="6"/>
  <c r="AK17" i="6"/>
  <c r="AK11" i="6"/>
  <c r="AK5" i="6"/>
  <c r="S6" i="6"/>
  <c r="R7" i="6"/>
  <c r="Q14" i="6"/>
  <c r="R12" i="6"/>
  <c r="AK18" i="6" l="1"/>
  <c r="T6" i="6"/>
  <c r="S7" i="6"/>
  <c r="AM42" i="1"/>
  <c r="AM26" i="1"/>
  <c r="AM14" i="1"/>
  <c r="AM36" i="1"/>
  <c r="AM20" i="1"/>
  <c r="AN2" i="1"/>
  <c r="AM33" i="1"/>
  <c r="AM10" i="1"/>
  <c r="AM35" i="1"/>
  <c r="AM6" i="1"/>
  <c r="AM45" i="1"/>
  <c r="AM24" i="1"/>
  <c r="AM19" i="1"/>
  <c r="AM39" i="1"/>
  <c r="AM13" i="1"/>
  <c r="AM25" i="1"/>
  <c r="AM23" i="1"/>
  <c r="AM43" i="1"/>
  <c r="AM4" i="1"/>
  <c r="AM38" i="1"/>
  <c r="AM7" i="1"/>
  <c r="AM16" i="1"/>
  <c r="AM37" i="1"/>
  <c r="AM5" i="1"/>
  <c r="AM32" i="1"/>
  <c r="AM27" i="1"/>
  <c r="AM22" i="1"/>
  <c r="AM8" i="1"/>
  <c r="AM44" i="1"/>
  <c r="AM31" i="1"/>
  <c r="AM29" i="1"/>
  <c r="AM28" i="1"/>
  <c r="AM3" i="1"/>
  <c r="AM11" i="1"/>
  <c r="AM9" i="1"/>
  <c r="AM1" i="6"/>
  <c r="AL9" i="6"/>
  <c r="AL17" i="6"/>
  <c r="AL18" i="6" s="1"/>
  <c r="AL20" i="6"/>
  <c r="AL11" i="6"/>
  <c r="AL5" i="6"/>
  <c r="AK9" i="6"/>
  <c r="AK10" i="6" s="1"/>
  <c r="AL10" i="6" s="1"/>
  <c r="AK21" i="6"/>
  <c r="R14" i="6"/>
  <c r="S12" i="6"/>
  <c r="W4" i="6"/>
  <c r="AN42" i="1" l="1"/>
  <c r="AN26" i="1"/>
  <c r="AN5" i="1"/>
  <c r="AN32" i="1"/>
  <c r="AN14" i="1"/>
  <c r="AN29" i="1"/>
  <c r="AN9" i="1"/>
  <c r="AN39" i="1"/>
  <c r="AN22" i="1"/>
  <c r="AN6" i="1"/>
  <c r="AN25" i="1"/>
  <c r="AN4" i="1"/>
  <c r="AN43" i="1"/>
  <c r="AN20" i="1"/>
  <c r="AN44" i="1"/>
  <c r="AN16" i="1"/>
  <c r="AN38" i="1"/>
  <c r="AN11" i="1"/>
  <c r="AN35" i="1"/>
  <c r="AN8" i="1"/>
  <c r="AN19" i="1"/>
  <c r="AN13" i="1"/>
  <c r="AN7" i="1"/>
  <c r="AN33" i="1"/>
  <c r="AN31" i="1"/>
  <c r="AN28" i="1"/>
  <c r="AN36" i="1"/>
  <c r="AN24" i="1"/>
  <c r="AN27" i="1"/>
  <c r="AN23" i="1"/>
  <c r="AO2" i="1"/>
  <c r="AN10" i="1"/>
  <c r="AN3" i="1"/>
  <c r="AN45" i="1"/>
  <c r="AN37" i="1"/>
  <c r="AL21" i="6"/>
  <c r="AN1" i="6"/>
  <c r="AM20" i="6" s="1"/>
  <c r="AM9" i="6"/>
  <c r="AM10" i="6" s="1"/>
  <c r="AM5" i="6"/>
  <c r="AL3" i="6"/>
  <c r="X4" i="6"/>
  <c r="U6" i="6"/>
  <c r="T7" i="6"/>
  <c r="S14" i="6"/>
  <c r="T12" i="6"/>
  <c r="AO45" i="1" l="1"/>
  <c r="AO16" i="1"/>
  <c r="AO8" i="1"/>
  <c r="AO43" i="1"/>
  <c r="AO27" i="1"/>
  <c r="AO4" i="1"/>
  <c r="AO22" i="1"/>
  <c r="AO24" i="1"/>
  <c r="AO29" i="1"/>
  <c r="AO5" i="1"/>
  <c r="AO44" i="1"/>
  <c r="AO31" i="1"/>
  <c r="AO19" i="1"/>
  <c r="AO37" i="1"/>
  <c r="AO10" i="1"/>
  <c r="AO36" i="1"/>
  <c r="AO6" i="1"/>
  <c r="AO32" i="1"/>
  <c r="AO7" i="1"/>
  <c r="AO25" i="1"/>
  <c r="AO28" i="1"/>
  <c r="AP2" i="1"/>
  <c r="AO13" i="1"/>
  <c r="AO42" i="1"/>
  <c r="AO3" i="1"/>
  <c r="AO39" i="1"/>
  <c r="AO9" i="1"/>
  <c r="AO20" i="1"/>
  <c r="AO35" i="1"/>
  <c r="AO11" i="1"/>
  <c r="AO14" i="1"/>
  <c r="AO38" i="1"/>
  <c r="AO33" i="1"/>
  <c r="AO23" i="1"/>
  <c r="AO26" i="1"/>
  <c r="AM11" i="6"/>
  <c r="AM17" i="6"/>
  <c r="AM18" i="6" s="1"/>
  <c r="Y4" i="6"/>
  <c r="AO1" i="6"/>
  <c r="AN17" i="6"/>
  <c r="AN11" i="6"/>
  <c r="AN20" i="6"/>
  <c r="AN5" i="6"/>
  <c r="T14" i="6"/>
  <c r="U12" i="6"/>
  <c r="AM3" i="6"/>
  <c r="AM21" i="6"/>
  <c r="V6" i="6"/>
  <c r="U7" i="6"/>
  <c r="AP45" i="1" l="1"/>
  <c r="AP16" i="1"/>
  <c r="AP28" i="1"/>
  <c r="AP43" i="1"/>
  <c r="AP13" i="1"/>
  <c r="AP24" i="1"/>
  <c r="AP37" i="1"/>
  <c r="AP6" i="1"/>
  <c r="AP3" i="1"/>
  <c r="AP35" i="1"/>
  <c r="AP31" i="1"/>
  <c r="AP29" i="1"/>
  <c r="AP19" i="1"/>
  <c r="AP36" i="1"/>
  <c r="AP22" i="1"/>
  <c r="AP33" i="1"/>
  <c r="AP11" i="1"/>
  <c r="AQ2" i="1"/>
  <c r="AP44" i="1"/>
  <c r="AP26" i="1"/>
  <c r="AP39" i="1"/>
  <c r="AP42" i="1"/>
  <c r="AP27" i="1"/>
  <c r="AP25" i="1"/>
  <c r="AP10" i="1"/>
  <c r="AP9" i="1"/>
  <c r="AP8" i="1"/>
  <c r="AP38" i="1"/>
  <c r="AP32" i="1"/>
  <c r="AP14" i="1"/>
  <c r="AP7" i="1"/>
  <c r="AP5" i="1"/>
  <c r="AP4" i="1"/>
  <c r="AP23" i="1"/>
  <c r="AP20" i="1"/>
  <c r="AP1" i="6"/>
  <c r="AO5" i="6" s="1"/>
  <c r="AN9" i="6"/>
  <c r="AN10" i="6" s="1"/>
  <c r="AN3" i="6"/>
  <c r="W6" i="6"/>
  <c r="V7" i="6"/>
  <c r="AN21" i="6"/>
  <c r="Z4" i="6"/>
  <c r="AN18" i="6"/>
  <c r="U14" i="6"/>
  <c r="V12" i="6"/>
  <c r="AQ45" i="1" l="1"/>
  <c r="AQ31" i="1"/>
  <c r="AQ14" i="1"/>
  <c r="AQ42" i="1"/>
  <c r="AQ26" i="1"/>
  <c r="AQ16" i="1"/>
  <c r="AQ28" i="1"/>
  <c r="AQ8" i="1"/>
  <c r="AQ36" i="1"/>
  <c r="AQ25" i="1"/>
  <c r="AQ43" i="1"/>
  <c r="AQ3" i="1"/>
  <c r="AQ37" i="1"/>
  <c r="AQ7" i="1"/>
  <c r="AQ22" i="1"/>
  <c r="AQ32" i="1"/>
  <c r="AQ19" i="1"/>
  <c r="AQ13" i="1"/>
  <c r="AQ24" i="1"/>
  <c r="AQ20" i="1"/>
  <c r="AQ44" i="1"/>
  <c r="AQ9" i="1"/>
  <c r="AQ38" i="1"/>
  <c r="AQ11" i="1"/>
  <c r="AQ33" i="1"/>
  <c r="AQ5" i="1"/>
  <c r="AQ4" i="1"/>
  <c r="AQ39" i="1"/>
  <c r="AQ29" i="1"/>
  <c r="AQ35" i="1"/>
  <c r="AQ27" i="1"/>
  <c r="AQ2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0" i="1"/>
  <c r="AQ6" i="1"/>
  <c r="AA4" i="6"/>
  <c r="AQ1" i="6"/>
  <c r="AP9" i="6"/>
  <c r="AP17" i="6"/>
  <c r="AP11" i="6"/>
  <c r="AP20" i="6"/>
  <c r="AP5" i="6"/>
  <c r="X6" i="6"/>
  <c r="W7" i="6"/>
  <c r="AO10" i="6"/>
  <c r="AP10" i="6" s="1"/>
  <c r="AO11" i="6"/>
  <c r="AO3" i="6"/>
  <c r="V14" i="6"/>
  <c r="W12" i="6"/>
  <c r="AO17" i="6"/>
  <c r="AO18" i="6" s="1"/>
  <c r="AO20" i="6"/>
  <c r="AO21" i="6" s="1"/>
  <c r="AO9" i="6"/>
  <c r="AP21" i="6" l="1"/>
  <c r="AP18" i="6"/>
  <c r="AR1" i="6"/>
  <c r="AQ9" i="6"/>
  <c r="AQ17" i="6"/>
  <c r="AQ11" i="6"/>
  <c r="AQ20" i="6"/>
  <c r="AQ21" i="6" s="1"/>
  <c r="AQ5" i="6"/>
  <c r="AB4" i="6"/>
  <c r="AQ10" i="6"/>
  <c r="Y6" i="6"/>
  <c r="X7" i="6"/>
  <c r="AP3" i="6"/>
  <c r="W14" i="6"/>
  <c r="X12" i="6"/>
  <c r="AQ18" i="6" l="1"/>
  <c r="AC4" i="6"/>
  <c r="X14" i="6"/>
  <c r="Y12" i="6"/>
  <c r="AS1" i="6"/>
  <c r="AR17" i="6"/>
  <c r="AR18" i="6" s="1"/>
  <c r="AR11" i="6"/>
  <c r="AQ3" i="6"/>
  <c r="Z6" i="6"/>
  <c r="Y7" i="6"/>
  <c r="AT1" i="6" l="1"/>
  <c r="AS3" i="6" s="1"/>
  <c r="AS9" i="6"/>
  <c r="AS17" i="6"/>
  <c r="AS18" i="6" s="1"/>
  <c r="AS11" i="6"/>
  <c r="AS20" i="6"/>
  <c r="AS5" i="6"/>
  <c r="AR9" i="6"/>
  <c r="AR10" i="6" s="1"/>
  <c r="AS10" i="6" s="1"/>
  <c r="AR3" i="6"/>
  <c r="Y14" i="6"/>
  <c r="Z12" i="6"/>
  <c r="AA6" i="6"/>
  <c r="Z7" i="6"/>
  <c r="AD4" i="6"/>
  <c r="AR5" i="6"/>
  <c r="AR20" i="6"/>
  <c r="AR21" i="6" s="1"/>
  <c r="AS21" i="6" l="1"/>
  <c r="Z14" i="6"/>
  <c r="AA12" i="6"/>
  <c r="AE4" i="6"/>
  <c r="AU1" i="6"/>
  <c r="AT3" i="6"/>
  <c r="AT17" i="6"/>
  <c r="AT18" i="6" s="1"/>
  <c r="AT20" i="6"/>
  <c r="AB6" i="6"/>
  <c r="AA7" i="6"/>
  <c r="AT21" i="6" l="1"/>
  <c r="AV1" i="6"/>
  <c r="AU3" i="6"/>
  <c r="AU20" i="6"/>
  <c r="AU21" i="6" s="1"/>
  <c r="AU11" i="6"/>
  <c r="AU17" i="6"/>
  <c r="AU18" i="6" s="1"/>
  <c r="AU5" i="6"/>
  <c r="AT9" i="6"/>
  <c r="AT10" i="6" s="1"/>
  <c r="AF4" i="6"/>
  <c r="AB12" i="6"/>
  <c r="AA14" i="6"/>
  <c r="AC6" i="6"/>
  <c r="AB7" i="6"/>
  <c r="AT5" i="6"/>
  <c r="AT11" i="6"/>
  <c r="AG4" i="6" l="1"/>
  <c r="AW1" i="6"/>
  <c r="AV3" i="6" s="1"/>
  <c r="AV9" i="6"/>
  <c r="AV11" i="6"/>
  <c r="AV20" i="6"/>
  <c r="AV21" i="6" s="1"/>
  <c r="AV17" i="6"/>
  <c r="AV18" i="6" s="1"/>
  <c r="AV5" i="6"/>
  <c r="AD6" i="6"/>
  <c r="AC7" i="6"/>
  <c r="AU9" i="6"/>
  <c r="AU10" i="6" s="1"/>
  <c r="AV10" i="6" s="1"/>
  <c r="AB14" i="6"/>
  <c r="AC12" i="6"/>
  <c r="AX1" i="6" l="1"/>
  <c r="AW9" i="6" s="1"/>
  <c r="AW10" i="6" s="1"/>
  <c r="AW11" i="6"/>
  <c r="AW17" i="6"/>
  <c r="AW18" i="6" s="1"/>
  <c r="AW20" i="6"/>
  <c r="AW21" i="6" s="1"/>
  <c r="AW5" i="6"/>
  <c r="AC14" i="6"/>
  <c r="AD12" i="6"/>
  <c r="AH4" i="6"/>
  <c r="AE6" i="6"/>
  <c r="AD7" i="6"/>
  <c r="AD14" i="6" l="1"/>
  <c r="AE12" i="6"/>
  <c r="AY1" i="6"/>
  <c r="AX9" i="6"/>
  <c r="AX10" i="6" s="1"/>
  <c r="AX3" i="6"/>
  <c r="AX17" i="6"/>
  <c r="AX18" i="6" s="1"/>
  <c r="AX11" i="6"/>
  <c r="AX20" i="6"/>
  <c r="AX21" i="6" s="1"/>
  <c r="AX5" i="6"/>
  <c r="AW3" i="6"/>
  <c r="AF6" i="6"/>
  <c r="AE7" i="6"/>
  <c r="AI4" i="6"/>
  <c r="AE14" i="6" l="1"/>
  <c r="AF12" i="6"/>
  <c r="AZ1" i="6"/>
  <c r="AY3" i="6"/>
  <c r="AY9" i="6"/>
  <c r="AY10" i="6" s="1"/>
  <c r="AY17" i="6"/>
  <c r="AY18" i="6" s="1"/>
  <c r="AY20" i="6"/>
  <c r="AY21" i="6" s="1"/>
  <c r="AY11" i="6"/>
  <c r="AY5" i="6"/>
  <c r="AJ4" i="6"/>
  <c r="AG6" i="6"/>
  <c r="AF7" i="6"/>
  <c r="AZ3" i="6" l="1"/>
  <c r="BA1" i="6"/>
  <c r="AZ17" i="6"/>
  <c r="AZ18" i="6" s="1"/>
  <c r="AZ11" i="6"/>
  <c r="AZ20" i="6"/>
  <c r="AZ21" i="6" s="1"/>
  <c r="AZ5" i="6"/>
  <c r="AG12" i="6"/>
  <c r="AF14" i="6"/>
  <c r="AH6" i="6"/>
  <c r="AG7" i="6"/>
  <c r="AK4" i="6"/>
  <c r="AH12" i="6" l="1"/>
  <c r="AG14" i="6"/>
  <c r="BB1" i="6"/>
  <c r="BA9" i="6"/>
  <c r="BA3" i="6"/>
  <c r="BA11" i="6"/>
  <c r="BA20" i="6"/>
  <c r="BA21" i="6" s="1"/>
  <c r="BA17" i="6"/>
  <c r="BA18" i="6" s="1"/>
  <c r="BA5" i="6"/>
  <c r="AZ9" i="6"/>
  <c r="AZ10" i="6" s="1"/>
  <c r="BA10" i="6" s="1"/>
  <c r="AL4" i="6"/>
  <c r="AI6" i="6"/>
  <c r="AH7" i="6"/>
  <c r="BC1" i="6" l="1"/>
  <c r="BB9" i="6"/>
  <c r="BB10" i="6" s="1"/>
  <c r="BB11" i="6"/>
  <c r="BB17" i="6"/>
  <c r="BB18" i="6" s="1"/>
  <c r="BB20" i="6"/>
  <c r="BB21" i="6" s="1"/>
  <c r="BB5" i="6"/>
  <c r="AJ6" i="6"/>
  <c r="AI7" i="6"/>
  <c r="AH14" i="6"/>
  <c r="AI12" i="6"/>
  <c r="AM4" i="6"/>
  <c r="AK6" i="6" l="1"/>
  <c r="AJ7" i="6"/>
  <c r="BD1" i="6"/>
  <c r="BC3" i="6"/>
  <c r="BC9" i="6"/>
  <c r="BC10" i="6" s="1"/>
  <c r="BC20" i="6"/>
  <c r="BC21" i="6" s="1"/>
  <c r="BC11" i="6"/>
  <c r="BC17" i="6"/>
  <c r="BC18" i="6" s="1"/>
  <c r="BC5" i="6"/>
  <c r="BB3" i="6"/>
  <c r="AN4" i="6"/>
  <c r="AI14" i="6"/>
  <c r="AJ12" i="6"/>
  <c r="BE1" i="6" l="1"/>
  <c r="BD9" i="6"/>
  <c r="BD10" i="6" s="1"/>
  <c r="BD17" i="6"/>
  <c r="BD18" i="6" s="1"/>
  <c r="BD11" i="6"/>
  <c r="BD20" i="6"/>
  <c r="BD21" i="6" s="1"/>
  <c r="BD5" i="6"/>
  <c r="AK12" i="6"/>
  <c r="AJ14" i="6"/>
  <c r="AL6" i="6"/>
  <c r="AK7" i="6"/>
  <c r="AO4" i="6"/>
  <c r="AK14" i="6" l="1"/>
  <c r="AL12" i="6"/>
  <c r="BF1" i="6"/>
  <c r="BE9" i="6"/>
  <c r="BE10" i="6" s="1"/>
  <c r="BE20" i="6"/>
  <c r="BE21" i="6" s="1"/>
  <c r="BE11" i="6"/>
  <c r="BE17" i="6"/>
  <c r="BE18" i="6" s="1"/>
  <c r="BE5" i="6"/>
  <c r="BD3" i="6"/>
  <c r="AP4" i="6"/>
  <c r="AM6" i="6"/>
  <c r="AL7" i="6"/>
  <c r="BG1" i="6" l="1"/>
  <c r="BF3" i="6"/>
  <c r="BF11" i="6"/>
  <c r="BF17" i="6"/>
  <c r="BF18" i="6" s="1"/>
  <c r="BF20" i="6"/>
  <c r="BF21" i="6" s="1"/>
  <c r="BF5" i="6"/>
  <c r="BE3" i="6"/>
  <c r="AL14" i="6"/>
  <c r="AM12" i="6"/>
  <c r="AN6" i="6"/>
  <c r="AM7" i="6"/>
  <c r="AQ4" i="6"/>
  <c r="AR4" i="6" l="1"/>
  <c r="BH1" i="6"/>
  <c r="BG3" i="6"/>
  <c r="BG9" i="6"/>
  <c r="BG17" i="6"/>
  <c r="BG18" i="6" s="1"/>
  <c r="BG11" i="6"/>
  <c r="BG20" i="6"/>
  <c r="BG21" i="6" s="1"/>
  <c r="BG5" i="6"/>
  <c r="BF9" i="6"/>
  <c r="BF10" i="6" s="1"/>
  <c r="BG10" i="6" s="1"/>
  <c r="AO6" i="6"/>
  <c r="AN7" i="6"/>
  <c r="AM14" i="6"/>
  <c r="AN12" i="6"/>
  <c r="BI1" i="6" l="1"/>
  <c r="BH3" i="6"/>
  <c r="BH9" i="6"/>
  <c r="BH10" i="6" s="1"/>
  <c r="BH17" i="6"/>
  <c r="BH18" i="6" s="1"/>
  <c r="BH20" i="6"/>
  <c r="BH21" i="6" s="1"/>
  <c r="BH11" i="6"/>
  <c r="BH5" i="6"/>
  <c r="AO12" i="6"/>
  <c r="AN14" i="6"/>
  <c r="AS4" i="6"/>
  <c r="AP6" i="6"/>
  <c r="AO7" i="6"/>
  <c r="AP12" i="6" l="1"/>
  <c r="AO14" i="6"/>
  <c r="BJ1" i="6"/>
  <c r="BI9" i="6"/>
  <c r="BI10" i="6" s="1"/>
  <c r="BI17" i="6"/>
  <c r="BI18" i="6" s="1"/>
  <c r="BI20" i="6"/>
  <c r="BI21" i="6" s="1"/>
  <c r="BI11" i="6"/>
  <c r="BI5" i="6"/>
  <c r="AQ6" i="6"/>
  <c r="AP7" i="6"/>
  <c r="AT4" i="6"/>
  <c r="BK1" i="6" l="1"/>
  <c r="BJ9" i="6"/>
  <c r="BJ10" i="6" s="1"/>
  <c r="BJ3" i="6"/>
  <c r="BJ17" i="6"/>
  <c r="BJ18" i="6" s="1"/>
  <c r="BJ20" i="6"/>
  <c r="BJ21" i="6" s="1"/>
  <c r="BJ11" i="6"/>
  <c r="BJ5" i="6"/>
  <c r="BI3" i="6"/>
  <c r="AQ12" i="6"/>
  <c r="AP14" i="6"/>
  <c r="AU4" i="6"/>
  <c r="AR6" i="6"/>
  <c r="AQ7" i="6"/>
  <c r="AQ14" i="6" l="1"/>
  <c r="AR12" i="6"/>
  <c r="AS6" i="6"/>
  <c r="AR7" i="6"/>
  <c r="BL1" i="6"/>
  <c r="BK11" i="6"/>
  <c r="BK20" i="6"/>
  <c r="BK21" i="6" s="1"/>
  <c r="AV4" i="6"/>
  <c r="BM1" i="6" l="1"/>
  <c r="BL9" i="6" s="1"/>
  <c r="BL17" i="6"/>
  <c r="BL20" i="6"/>
  <c r="BL21" i="6" s="1"/>
  <c r="BL5" i="6"/>
  <c r="BK3" i="6"/>
  <c r="BK9" i="6"/>
  <c r="BK10" i="6" s="1"/>
  <c r="AT6" i="6"/>
  <c r="AS7" i="6"/>
  <c r="AR14" i="6"/>
  <c r="AS12" i="6"/>
  <c r="AW4" i="6"/>
  <c r="BK5" i="6"/>
  <c r="BK17" i="6"/>
  <c r="BK18" i="6" s="1"/>
  <c r="BL18" i="6" l="1"/>
  <c r="BL10" i="6"/>
  <c r="AU6" i="6"/>
  <c r="AT7" i="6"/>
  <c r="BL11" i="6"/>
  <c r="BL3" i="6"/>
  <c r="AX4" i="6"/>
  <c r="AS14" i="6"/>
  <c r="AT12" i="6"/>
  <c r="BN1" i="6"/>
  <c r="BM9" i="6" s="1"/>
  <c r="AU12" i="6" l="1"/>
  <c r="AT14" i="6"/>
  <c r="AY4" i="6"/>
  <c r="BO1" i="6"/>
  <c r="BN3" i="6" s="1"/>
  <c r="BN5" i="6"/>
  <c r="BM5" i="6"/>
  <c r="BM17" i="6"/>
  <c r="BM18" i="6" s="1"/>
  <c r="BM20" i="6"/>
  <c r="BM21" i="6" s="1"/>
  <c r="BM11" i="6"/>
  <c r="AV6" i="6"/>
  <c r="AU7" i="6"/>
  <c r="BM10" i="6"/>
  <c r="BM3" i="6"/>
  <c r="BP1" i="6" l="1"/>
  <c r="BO3" i="6"/>
  <c r="BO9" i="6"/>
  <c r="BO20" i="6"/>
  <c r="BO17" i="6"/>
  <c r="BO11" i="6"/>
  <c r="BO5" i="6"/>
  <c r="AZ4" i="6"/>
  <c r="BN11" i="6"/>
  <c r="BN20" i="6"/>
  <c r="BN21" i="6" s="1"/>
  <c r="BN17" i="6"/>
  <c r="BN18" i="6" s="1"/>
  <c r="BN9" i="6"/>
  <c r="BN10" i="6" s="1"/>
  <c r="BO10" i="6" s="1"/>
  <c r="AW6" i="6"/>
  <c r="AV7" i="6"/>
  <c r="AU14" i="6"/>
  <c r="AV12" i="6"/>
  <c r="BO18" i="6" l="1"/>
  <c r="BO21" i="6"/>
  <c r="AV14" i="6"/>
  <c r="AW12" i="6"/>
  <c r="BA4" i="6"/>
  <c r="AX6" i="6"/>
  <c r="AW7" i="6"/>
  <c r="BQ1" i="6"/>
  <c r="BP3" i="6"/>
  <c r="BP9" i="6"/>
  <c r="BP10" i="6" s="1"/>
  <c r="BR1" i="6" l="1"/>
  <c r="BQ3" i="6"/>
  <c r="BQ11" i="6"/>
  <c r="BQ17" i="6"/>
  <c r="BQ20" i="6"/>
  <c r="BQ5" i="6"/>
  <c r="AY6" i="6"/>
  <c r="AX7" i="6"/>
  <c r="BB4" i="6"/>
  <c r="AX12" i="6"/>
  <c r="AW14" i="6"/>
  <c r="BP11" i="6"/>
  <c r="BP17" i="6"/>
  <c r="BP18" i="6" s="1"/>
  <c r="BP5" i="6"/>
  <c r="BP20" i="6"/>
  <c r="BP21" i="6" s="1"/>
  <c r="BQ21" i="6" l="1"/>
  <c r="BQ18" i="6"/>
  <c r="AZ6" i="6"/>
  <c r="AY7" i="6"/>
  <c r="BC4" i="6"/>
  <c r="BS1" i="6"/>
  <c r="BR9" i="6"/>
  <c r="BR3" i="6"/>
  <c r="BR17" i="6"/>
  <c r="BR11" i="6"/>
  <c r="BR20" i="6"/>
  <c r="BR21" i="6" s="1"/>
  <c r="BQ9" i="6"/>
  <c r="BQ10" i="6" s="1"/>
  <c r="AX14" i="6"/>
  <c r="AY12" i="6"/>
  <c r="BR18" i="6" l="1"/>
  <c r="BR10" i="6"/>
  <c r="BT1" i="6"/>
  <c r="BS17" i="6"/>
  <c r="BS20" i="6"/>
  <c r="BS21" i="6" s="1"/>
  <c r="BS11" i="6"/>
  <c r="BS5" i="6"/>
  <c r="AY14" i="6"/>
  <c r="AZ12" i="6"/>
  <c r="BD4" i="6"/>
  <c r="BR5" i="6"/>
  <c r="BA6" i="6"/>
  <c r="AZ7" i="6"/>
  <c r="BS18" i="6" l="1"/>
  <c r="AZ14" i="6"/>
  <c r="BA12" i="6"/>
  <c r="BU1" i="6"/>
  <c r="BT3" i="6"/>
  <c r="BT9" i="6"/>
  <c r="BT17" i="6"/>
  <c r="BT18" i="6" s="1"/>
  <c r="BT11" i="6"/>
  <c r="BT20" i="6"/>
  <c r="BT21" i="6" s="1"/>
  <c r="BT5" i="6"/>
  <c r="BS9" i="6"/>
  <c r="BS10" i="6" s="1"/>
  <c r="BT10" i="6" s="1"/>
  <c r="BB6" i="6"/>
  <c r="BA7" i="6"/>
  <c r="BS3" i="6"/>
  <c r="BE4" i="6"/>
  <c r="BF4" i="6" l="1"/>
  <c r="BV1" i="6"/>
  <c r="BU9" i="6"/>
  <c r="BU10" i="6" s="1"/>
  <c r="BU17" i="6"/>
  <c r="BU18" i="6" s="1"/>
  <c r="BU11" i="6"/>
  <c r="BU20" i="6"/>
  <c r="BU21" i="6" s="1"/>
  <c r="BU5" i="6"/>
  <c r="BB12" i="6"/>
  <c r="BA14" i="6"/>
  <c r="BC6" i="6"/>
  <c r="BB7" i="6"/>
  <c r="BW1" i="6" l="1"/>
  <c r="BV9" i="6" s="1"/>
  <c r="BV10" i="6" s="1"/>
  <c r="BV17" i="6"/>
  <c r="BV18" i="6" s="1"/>
  <c r="BV11" i="6"/>
  <c r="BV20" i="6"/>
  <c r="BV21" i="6" s="1"/>
  <c r="BV5" i="6"/>
  <c r="BU3" i="6"/>
  <c r="BG4" i="6"/>
  <c r="BD6" i="6"/>
  <c r="BC7" i="6"/>
  <c r="BB14" i="6"/>
  <c r="BC12" i="6"/>
  <c r="BH4" i="6" l="1"/>
  <c r="BX1" i="6"/>
  <c r="BW17" i="6"/>
  <c r="BW18" i="6" s="1"/>
  <c r="BW20" i="6"/>
  <c r="BW21" i="6" s="1"/>
  <c r="BW11" i="6"/>
  <c r="BW5" i="6"/>
  <c r="BC14" i="6"/>
  <c r="BD12" i="6"/>
  <c r="BV3" i="6"/>
  <c r="BE6" i="6"/>
  <c r="BD7" i="6"/>
  <c r="BY1" i="6" l="1"/>
  <c r="BX9" i="6"/>
  <c r="BX3" i="6"/>
  <c r="BX17" i="6"/>
  <c r="BX18" i="6" s="1"/>
  <c r="BX20" i="6"/>
  <c r="BX21" i="6" s="1"/>
  <c r="BX11" i="6"/>
  <c r="BX5" i="6"/>
  <c r="BW3" i="6"/>
  <c r="BW9" i="6"/>
  <c r="BW10" i="6" s="1"/>
  <c r="BX10" i="6" s="1"/>
  <c r="BF6" i="6"/>
  <c r="BE7" i="6"/>
  <c r="BI4" i="6"/>
  <c r="BD14" i="6"/>
  <c r="BE12" i="6"/>
  <c r="BG6" i="6" l="1"/>
  <c r="BF7" i="6"/>
  <c r="BE14" i="6"/>
  <c r="BF12" i="6"/>
  <c r="BZ1" i="6"/>
  <c r="BY9" i="6" s="1"/>
  <c r="BY10" i="6" s="1"/>
  <c r="BY17" i="6"/>
  <c r="BY18" i="6" s="1"/>
  <c r="BY20" i="6"/>
  <c r="BY21" i="6" s="1"/>
  <c r="BJ4" i="6"/>
  <c r="CA1" i="6" l="1"/>
  <c r="BZ9" i="6"/>
  <c r="BZ10" i="6" s="1"/>
  <c r="BZ3" i="6"/>
  <c r="BZ17" i="6"/>
  <c r="BZ18" i="6" s="1"/>
  <c r="BZ20" i="6"/>
  <c r="BZ21" i="6" s="1"/>
  <c r="BZ11" i="6"/>
  <c r="BZ5" i="6"/>
  <c r="BY3" i="6"/>
  <c r="BG12" i="6"/>
  <c r="BF14" i="6"/>
  <c r="BK4" i="6"/>
  <c r="BH6" i="6"/>
  <c r="BG7" i="6"/>
  <c r="BY5" i="6"/>
  <c r="BY11" i="6"/>
  <c r="CA10" i="6" l="1"/>
  <c r="BG14" i="6"/>
  <c r="BH12" i="6"/>
  <c r="BI6" i="6"/>
  <c r="BH7" i="6"/>
  <c r="CB1" i="6"/>
  <c r="CA3" i="6"/>
  <c r="CA9" i="6"/>
  <c r="CA20" i="6"/>
  <c r="CA21" i="6" s="1"/>
  <c r="CA11" i="6"/>
  <c r="CA17" i="6"/>
  <c r="CA18" i="6" s="1"/>
  <c r="CA5" i="6"/>
  <c r="BL4" i="6"/>
  <c r="CC1" i="6" l="1"/>
  <c r="CB17" i="6"/>
  <c r="CB18" i="6" s="1"/>
  <c r="CB20" i="6"/>
  <c r="CB21" i="6" s="1"/>
  <c r="CB11" i="6"/>
  <c r="CB5" i="6"/>
  <c r="BJ6" i="6"/>
  <c r="BI7" i="6"/>
  <c r="BH14" i="6"/>
  <c r="BI12" i="6"/>
  <c r="BM4" i="6"/>
  <c r="BK6" i="6" l="1"/>
  <c r="BJ7" i="6"/>
  <c r="CD1" i="6"/>
  <c r="CC9" i="6" s="1"/>
  <c r="CC3" i="6"/>
  <c r="CB9" i="6"/>
  <c r="CB10" i="6" s="1"/>
  <c r="CB3" i="6"/>
  <c r="BN4" i="6"/>
  <c r="BJ12" i="6"/>
  <c r="BI14" i="6"/>
  <c r="CC10" i="6" l="1"/>
  <c r="CC5" i="6"/>
  <c r="CC20" i="6"/>
  <c r="CC21" i="6" s="1"/>
  <c r="CC17" i="6"/>
  <c r="CC18" i="6" s="1"/>
  <c r="CC11" i="6"/>
  <c r="BL6" i="6"/>
  <c r="BK7" i="6"/>
  <c r="BO4" i="6"/>
  <c r="CE1" i="6"/>
  <c r="CD3" i="6"/>
  <c r="BJ14" i="6"/>
  <c r="BK12" i="6"/>
  <c r="CF1" i="6" l="1"/>
  <c r="CE17" i="6"/>
  <c r="CE20" i="6"/>
  <c r="CE11" i="6"/>
  <c r="CE5" i="6"/>
  <c r="CD9" i="6"/>
  <c r="CD10" i="6" s="1"/>
  <c r="BP4" i="6"/>
  <c r="BK14" i="6"/>
  <c r="BL12" i="6"/>
  <c r="BM6" i="6"/>
  <c r="BL7" i="6"/>
  <c r="CD5" i="6"/>
  <c r="CD17" i="6"/>
  <c r="CD18" i="6" s="1"/>
  <c r="CD11" i="6"/>
  <c r="CD20" i="6"/>
  <c r="CD21" i="6" s="1"/>
  <c r="CE18" i="6" l="1"/>
  <c r="CE21" i="6"/>
  <c r="BQ4" i="6"/>
  <c r="CG1" i="6"/>
  <c r="CF9" i="6"/>
  <c r="CF3" i="6"/>
  <c r="CF17" i="6"/>
  <c r="CF11" i="6"/>
  <c r="CF20" i="6"/>
  <c r="CF5" i="6"/>
  <c r="BN6" i="6"/>
  <c r="BM7" i="6"/>
  <c r="CE3" i="6"/>
  <c r="BM12" i="6"/>
  <c r="BL14" i="6"/>
  <c r="CE9" i="6"/>
  <c r="CE10" i="6" s="1"/>
  <c r="CF10" i="6" s="1"/>
  <c r="CF21" i="6" l="1"/>
  <c r="CF18" i="6"/>
  <c r="BM14" i="6"/>
  <c r="BN12" i="6"/>
  <c r="CH1" i="6"/>
  <c r="CG3" i="6"/>
  <c r="CG9" i="6"/>
  <c r="CG10" i="6" s="1"/>
  <c r="CG11" i="6"/>
  <c r="CG20" i="6"/>
  <c r="CG21" i="6" s="1"/>
  <c r="CG17" i="6"/>
  <c r="CG18" i="6" s="1"/>
  <c r="CG5" i="6"/>
  <c r="BR4" i="6"/>
  <c r="BO6" i="6"/>
  <c r="BN7" i="6"/>
  <c r="CI1" i="6" l="1"/>
  <c r="CH9" i="6"/>
  <c r="CH10" i="6" s="1"/>
  <c r="CH17" i="6"/>
  <c r="CH18" i="6" s="1"/>
  <c r="CH20" i="6"/>
  <c r="CH21" i="6" s="1"/>
  <c r="CH11" i="6"/>
  <c r="CH5" i="6"/>
  <c r="BN14" i="6"/>
  <c r="BO12" i="6"/>
  <c r="BP6" i="6"/>
  <c r="BO7" i="6"/>
  <c r="BS4" i="6"/>
  <c r="BP12" i="6" l="1"/>
  <c r="BO14" i="6"/>
  <c r="CJ1" i="6"/>
  <c r="CI17" i="6"/>
  <c r="CI18" i="6" s="1"/>
  <c r="CI11" i="6"/>
  <c r="CI20" i="6"/>
  <c r="CI21" i="6" s="1"/>
  <c r="CI5" i="6"/>
  <c r="CH3" i="6"/>
  <c r="BT4" i="6"/>
  <c r="BQ6" i="6"/>
  <c r="BP7" i="6"/>
  <c r="BR6" i="6" l="1"/>
  <c r="BQ7" i="6"/>
  <c r="CK1" i="6"/>
  <c r="CJ3" i="6"/>
  <c r="CJ9" i="6"/>
  <c r="CJ11" i="6"/>
  <c r="CJ20" i="6"/>
  <c r="CJ21" i="6" s="1"/>
  <c r="CJ17" i="6"/>
  <c r="CJ18" i="6" s="1"/>
  <c r="CJ5" i="6"/>
  <c r="CI9" i="6"/>
  <c r="CI10" i="6" s="1"/>
  <c r="CJ10" i="6" s="1"/>
  <c r="CI3" i="6"/>
  <c r="BP14" i="6"/>
  <c r="BQ12" i="6"/>
  <c r="BU4" i="6"/>
  <c r="BR12" i="6" l="1"/>
  <c r="BQ14" i="6"/>
  <c r="CL1" i="6"/>
  <c r="CK9" i="6"/>
  <c r="CK10" i="6" s="1"/>
  <c r="CK20" i="6"/>
  <c r="CK21" i="6" s="1"/>
  <c r="CK17" i="6"/>
  <c r="CK18" i="6" s="1"/>
  <c r="CK11" i="6"/>
  <c r="CK5" i="6"/>
  <c r="BV4" i="6"/>
  <c r="BS6" i="6"/>
  <c r="BR7" i="6"/>
  <c r="CM1" i="6" l="1"/>
  <c r="CL3" i="6" s="1"/>
  <c r="CL17" i="6"/>
  <c r="CL18" i="6" s="1"/>
  <c r="CL20" i="6"/>
  <c r="CL21" i="6" s="1"/>
  <c r="CL11" i="6"/>
  <c r="CL5" i="6"/>
  <c r="CK3" i="6"/>
  <c r="BR14" i="6"/>
  <c r="BS12" i="6"/>
  <c r="BT6" i="6"/>
  <c r="BS7" i="6"/>
  <c r="BW4" i="6"/>
  <c r="CL9" i="6" l="1"/>
  <c r="CL10" i="6" s="1"/>
  <c r="BU6" i="6"/>
  <c r="BT7" i="6"/>
  <c r="CN1" i="6"/>
  <c r="CM3" i="6" s="1"/>
  <c r="CM9" i="6"/>
  <c r="BX4" i="6"/>
  <c r="BS14" i="6"/>
  <c r="BT12" i="6"/>
  <c r="CM10" i="6" l="1"/>
  <c r="BY4" i="6"/>
  <c r="CM5" i="6"/>
  <c r="CM20" i="6"/>
  <c r="CM21" i="6" s="1"/>
  <c r="CM17" i="6"/>
  <c r="CM18" i="6" s="1"/>
  <c r="CM11" i="6"/>
  <c r="CO1" i="6"/>
  <c r="CN20" i="6" s="1"/>
  <c r="CN3" i="6"/>
  <c r="CN9" i="6"/>
  <c r="CN17" i="6"/>
  <c r="CN5" i="6"/>
  <c r="BU12" i="6"/>
  <c r="BT14" i="6"/>
  <c r="BV6" i="6"/>
  <c r="BU7" i="6"/>
  <c r="CN18" i="6" l="1"/>
  <c r="BV12" i="6"/>
  <c r="BU14" i="6"/>
  <c r="CN10" i="6"/>
  <c r="CN11" i="6"/>
  <c r="BW6" i="6"/>
  <c r="BV7" i="6"/>
  <c r="BZ4" i="6"/>
  <c r="CP1" i="6"/>
  <c r="CO3" i="6"/>
  <c r="CO9" i="6"/>
  <c r="CO17" i="6"/>
  <c r="CN21" i="6"/>
  <c r="CO18" i="6" l="1"/>
  <c r="CP3" i="6"/>
  <c r="D3" i="6" s="1"/>
  <c r="CP9" i="6"/>
  <c r="D9" i="6" s="1"/>
  <c r="CP17" i="6"/>
  <c r="D17" i="6" s="1"/>
  <c r="C17" i="6" s="1"/>
  <c r="CP11" i="6"/>
  <c r="CP20" i="6"/>
  <c r="CP5" i="6"/>
  <c r="CA4" i="6"/>
  <c r="BX6" i="6"/>
  <c r="BW7" i="6"/>
  <c r="CO5" i="6"/>
  <c r="CO10" i="6"/>
  <c r="CO20" i="6"/>
  <c r="CO21" i="6" s="1"/>
  <c r="CO11" i="6"/>
  <c r="BV14" i="6"/>
  <c r="BW12" i="6"/>
  <c r="D5" i="6" l="1"/>
  <c r="D20" i="6"/>
  <c r="CP21" i="6"/>
  <c r="D11" i="6"/>
  <c r="CB4" i="6"/>
  <c r="BY6" i="6"/>
  <c r="BX7" i="6"/>
  <c r="BX12" i="6"/>
  <c r="BW14" i="6"/>
  <c r="CP10" i="6"/>
  <c r="CP18" i="6"/>
  <c r="D18" i="6" s="1"/>
  <c r="C18" i="6" s="1"/>
  <c r="BX14" i="6" l="1"/>
  <c r="BY12" i="6"/>
  <c r="BZ6" i="6"/>
  <c r="BY7" i="6"/>
  <c r="CC4" i="6"/>
  <c r="CD4" i="6" l="1"/>
  <c r="CA6" i="6"/>
  <c r="BZ7" i="6"/>
  <c r="BY14" i="6"/>
  <c r="BZ12" i="6"/>
  <c r="BZ14" i="6" l="1"/>
  <c r="CA12" i="6"/>
  <c r="CB6" i="6"/>
  <c r="CA7" i="6"/>
  <c r="CE4" i="6"/>
  <c r="CF4" i="6" l="1"/>
  <c r="CC6" i="6"/>
  <c r="CB7" i="6"/>
  <c r="CA14" i="6"/>
  <c r="CB12" i="6"/>
  <c r="CC12" i="6" l="1"/>
  <c r="CB14" i="6"/>
  <c r="CD6" i="6"/>
  <c r="CC7" i="6"/>
  <c r="CG4" i="6"/>
  <c r="CH4" i="6" l="1"/>
  <c r="CE6" i="6"/>
  <c r="CD7" i="6"/>
  <c r="CD12" i="6"/>
  <c r="CC14" i="6"/>
  <c r="CE12" i="6" l="1"/>
  <c r="CD14" i="6"/>
  <c r="CF6" i="6"/>
  <c r="CE7" i="6"/>
  <c r="CI4" i="6"/>
  <c r="CJ4" i="6" l="1"/>
  <c r="CG6" i="6"/>
  <c r="CF7" i="6"/>
  <c r="CE14" i="6"/>
  <c r="CF12" i="6"/>
  <c r="CF14" i="6" l="1"/>
  <c r="CG12" i="6"/>
  <c r="CH6" i="6"/>
  <c r="CG7" i="6"/>
  <c r="CK4" i="6"/>
  <c r="CL4" i="6" l="1"/>
  <c r="CI6" i="6"/>
  <c r="CH7" i="6"/>
  <c r="CG14" i="6"/>
  <c r="CH12" i="6"/>
  <c r="CH14" i="6" l="1"/>
  <c r="CI12" i="6"/>
  <c r="CJ6" i="6"/>
  <c r="CI7" i="6"/>
  <c r="CM4" i="6"/>
  <c r="CN4" i="6" l="1"/>
  <c r="CK6" i="6"/>
  <c r="CJ7" i="6"/>
  <c r="CI14" i="6"/>
  <c r="CJ12" i="6"/>
  <c r="CK12" i="6" l="1"/>
  <c r="CJ14" i="6"/>
  <c r="CL6" i="6"/>
  <c r="CK7" i="6"/>
  <c r="CO4" i="6"/>
  <c r="CP4" i="6" l="1"/>
  <c r="CM6" i="6"/>
  <c r="CL7" i="6"/>
  <c r="CK14" i="6"/>
  <c r="CL12" i="6"/>
  <c r="CM12" i="6" l="1"/>
  <c r="CL14" i="6"/>
  <c r="CN6" i="6"/>
  <c r="CM7" i="6"/>
  <c r="CO6" i="6" l="1"/>
  <c r="CN7" i="6"/>
  <c r="CN12" i="6"/>
  <c r="CM14" i="6"/>
  <c r="CO12" i="6" l="1"/>
  <c r="CN14" i="6"/>
  <c r="CP6" i="6"/>
  <c r="CP7" i="6" s="1"/>
  <c r="CO7" i="6"/>
  <c r="CP12" i="6" l="1"/>
  <c r="CP14" i="6" s="1"/>
  <c r="CO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tc={8239DFA3-5429-466E-976B-98CA211D6DCB}</author>
    <author>tc={D46130B2-0CBC-40DC-B571-CF40347C2CAF}</author>
    <author>tc={98A5DDB1-AD45-4400-8A92-9F2E2662DE24}</author>
    <author>tc={A09F5207-B5D2-4639-8A99-08C7FE828FE9}</author>
  </authors>
  <commentList>
    <comment ref="R14" authorId="0" shapeId="0" xr:uid="{8239DFA3-5429-466E-976B-98CA211D6DC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confirm if this is coming from Stock and update the amount as per stock sheet
Reply:
    No we purchased the inverter</t>
      </text>
    </comment>
    <comment ref="W82" authorId="1" shapeId="0" xr:uid="{D46130B2-0CBC-40DC-B571-CF40347C2CAF}">
      <text>
        <t>[Threaded comment]
Your version of Excel allows you to read this threaded comment; however, any edits to it will get removed if the file is opened in a newer version of Excel. Learn more: https://go.microsoft.com/fwlink/?linkid=870924
Comment:
    @thami, please mark these dates is black</t>
      </text>
    </comment>
    <comment ref="W134" authorId="2" shapeId="0" xr:uid="{98A5DDB1-AD45-4400-8A92-9F2E2662DE2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35" authorId="3" shapeId="0" xr:uid="{A09F5207-B5D2-4639-8A99-08C7FE828FE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<sst xmlns="http://schemas.openxmlformats.org/spreadsheetml/2006/main" count="925" uniqueCount="530">
  <si>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</si>
  <si>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</si>
  <si>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</si>
  <si>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</si>
  <si>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</si>
  <si>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</si>
  <si>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</si>
  <si>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</si>
  <si>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</si>
  <si>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</si>
  <si>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</si>
  <si>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</si>
  <si>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</si>
  <si>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</si>
  <si>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</si>
  <si>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</si>
  <si>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</si>
  <si>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</si>
  <si>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</si>
  <si>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</si>
  <si>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</si>
  <si>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</si>
  <si>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</si>
  <si>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</si>
  <si>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</si>
  <si>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</si>
  <si>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</si>
  <si>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</si>
  <si>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</si>
  <si>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</si>
  <si>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</si>
  <si>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</si>
  <si>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</si>
  <si>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</si>
  <si>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</si>
  <si>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</si>
  <si>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</si>
  <si>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</si>
  <si>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</si>
  <si>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</si>
  <si>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</si>
  <si>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</si>
  <si>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</si>
  <si>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</si>
  <si>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</si>
  <si>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</si>
  <si>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</si>
  <si>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</si>
  <si>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</si>
  <si>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</si>
  <si>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</si>
  <si>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</si>
  <si>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</si>
  <si>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</si>
  <si>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</si>
  <si>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</si>
  <si>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</si>
  <si>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</si>
  <si>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</si>
  <si>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</si>
  <si>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</si>
  <si>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</si>
  <si>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</si>
  <si>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</si>
  <si>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</si>
  <si>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</si>
  <si>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</si>
  <si>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</si>
  <si>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</si>
  <si>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</si>
  <si>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</si>
  <si>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</si>
  <si>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</si>
  <si>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</si>
  <si>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</si>
  <si>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</si>
  <si>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</si>
  <si>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</si>
  <si>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</si>
  <si>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</si>
  <si>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</si>
  <si>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</si>
  <si>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004646</t>
  </si>
  <si>
    <t>Delivery of Main Equipment (Solar Panels Inverters and Balance of System)</t>
  </si>
  <si>
    <t>Delivery of Main Equipment (Inverters, Batteries and Balance of System)</t>
  </si>
  <si>
    <t>Installation Completion Date (Physical Completion)</t>
  </si>
  <si>
    <t>VO - Roof Repairs</t>
  </si>
  <si>
    <t>004636</t>
  </si>
  <si>
    <t>004654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</si>
  <si>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</si>
  <si>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</si>
  <si>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</si>
  <si>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</si>
  <si>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</si>
  <si>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</si>
  <si>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</si>
  <si>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</si>
  <si>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</si>
  <si>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</si>
  <si>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</si>
  <si>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</si>
  <si>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</si>
  <si>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</si>
  <si>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Mayo Macs</t>
  </si>
  <si>
    <t>PROJECT SIZE (kWp)</t>
  </si>
  <si>
    <t>SITE ADDRESS</t>
  </si>
  <si>
    <t>BUSINESS DEVELOPER</t>
  </si>
  <si>
    <t>Megan</t>
  </si>
  <si>
    <t>PROJECT MANAGERS</t>
  </si>
  <si>
    <t>JT</t>
  </si>
  <si>
    <t>INSTALLER</t>
  </si>
  <si>
    <t>TBC</t>
  </si>
  <si>
    <t>CONTRACT VALUE</t>
  </si>
  <si>
    <t>Phase:</t>
  </si>
  <si>
    <t>DLP</t>
  </si>
  <si>
    <t>HIGH LEVEL PROGRAMME</t>
  </si>
  <si>
    <t>Planned Start</t>
  </si>
  <si>
    <t>Duration (days)</t>
  </si>
  <si>
    <t>Planned End</t>
  </si>
  <si>
    <t>Actual Start</t>
  </si>
  <si>
    <t>Actual End</t>
  </si>
  <si>
    <t>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</si>
  <si>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</si>
  <si>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</si>
  <si>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</si>
  <si>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</si>
  <si>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</si>
  <si>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</si>
  <si>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</si>
  <si>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HSE</t>
  </si>
  <si>
    <t>1.4</t>
  </si>
  <si>
    <t>Installer Kick Off</t>
  </si>
  <si>
    <t>1.5</t>
  </si>
  <si>
    <t>Project Review</t>
  </si>
  <si>
    <t>Site Establishment</t>
  </si>
  <si>
    <t>2.1</t>
  </si>
  <si>
    <t>Installer on site &amp; Roof Assessment</t>
  </si>
  <si>
    <t>2.2</t>
  </si>
  <si>
    <t>Battery/Inverter Room Construction</t>
  </si>
  <si>
    <t>AC Installation</t>
  </si>
  <si>
    <t>3.1.1</t>
  </si>
  <si>
    <t>Inverters delivered</t>
  </si>
  <si>
    <t>3.1.2</t>
  </si>
  <si>
    <t>Hybrid Inverters Delivered</t>
  </si>
  <si>
    <t>3.1.3</t>
  </si>
  <si>
    <t>Batteries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</si>
  <si>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</si>
  <si>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</si>
  <si>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</si>
  <si>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</si>
  <si>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</si>
  <si>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</si>
  <si>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</si>
  <si>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</si>
  <si>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</si>
  <si>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</si>
  <si>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</si>
  <si>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</si>
  <si>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</si>
  <si>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</si>
  <si>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</si>
  <si>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</si>
  <si>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</si>
  <si>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</si>
  <si>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</si>
  <si>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</si>
  <si>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</si>
  <si>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</si>
  <si>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</si>
  <si>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</si>
  <si>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</si>
  <si>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Post-Installation Commissioning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</si>
  <si>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</si>
  <si>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</si>
  <si>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</si>
  <si>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</si>
  <si>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</si>
  <si>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</si>
  <si>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</si>
  <si>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</si>
  <si>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</si>
  <si>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</si>
  <si>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</si>
  <si>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</si>
  <si>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</si>
  <si>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</si>
  <si>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</si>
  <si>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</si>
  <si>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</si>
  <si>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</si>
  <si>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</si>
  <si>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</si>
  <si>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</si>
  <si>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</si>
  <si>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</si>
  <si>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</si>
  <si>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</si>
  <si>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</si>
  <si>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</si>
  <si>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</si>
  <si>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</si>
  <si>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</si>
  <si>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</si>
  <si>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</si>
  <si>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</si>
  <si>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</si>
  <si>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</si>
  <si>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</si>
  <si>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</si>
  <si>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</si>
  <si>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</si>
  <si>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</si>
  <si>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</si>
  <si>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>Freedom Day</t>
  </si>
  <si>
    <t xml:space="preserve">Freedom DayObserved </t>
  </si>
  <si>
    <t>[RT: Double Check the first date is always a MONDAY]</t>
  </si>
  <si>
    <t>CHECK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</si>
  <si>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</si>
  <si>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</si>
  <si>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</si>
  <si>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</si>
  <si>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</si>
  <si>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</si>
  <si>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</si>
  <si>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</si>
  <si>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</si>
  <si>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</si>
  <si>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</si>
  <si>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</si>
  <si>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</si>
  <si>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</si>
  <si>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</si>
  <si>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</si>
  <si>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</si>
  <si>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</si>
  <si>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</si>
  <si>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</si>
  <si>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</si>
  <si>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</si>
  <si>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</si>
  <si>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</si>
  <si>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</si>
  <si>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REVENUE RECOGNITION AMOUNT</t>
  </si>
  <si>
    <t>FINANCE PAYMENT DATE</t>
  </si>
  <si>
    <t>PO NUMBER</t>
  </si>
  <si>
    <t>COMMENTS</t>
  </si>
  <si>
    <t>Panels</t>
  </si>
  <si>
    <t>Jinko 580W</t>
  </si>
  <si>
    <t>1. Panels</t>
  </si>
  <si>
    <t>Jinko 585W</t>
  </si>
  <si>
    <t>Menlo Inv0002362</t>
  </si>
  <si>
    <t>BUDGET - Solar</t>
  </si>
  <si>
    <t>Installer Allocation</t>
  </si>
  <si>
    <t>Module delivery to site</t>
  </si>
  <si>
    <t>AC Equipment</t>
  </si>
  <si>
    <t>DC Equipment</t>
  </si>
  <si>
    <t>AC Labour</t>
  </si>
  <si>
    <t>DC Labour</t>
  </si>
  <si>
    <t>Offloading</t>
  </si>
  <si>
    <t>Inverters</t>
  </si>
  <si>
    <t>Huawei 100KTL</t>
  </si>
  <si>
    <t>2. Inverters</t>
  </si>
  <si>
    <t>Roof Access/Scaffolding</t>
  </si>
  <si>
    <t>Huawei 50KTL</t>
  </si>
  <si>
    <t>Menlo INV0002702</t>
  </si>
  <si>
    <t>PO3735-MMS-20250311 - RV Approved</t>
  </si>
  <si>
    <t>Storage</t>
  </si>
  <si>
    <t>Huawei 100KTL - Moved to stock (JHB)</t>
  </si>
  <si>
    <t>Allocated to Joburg Storeroom</t>
  </si>
  <si>
    <t>Telehandler</t>
  </si>
  <si>
    <t>Other</t>
  </si>
  <si>
    <t>Mounting Structures</t>
  </si>
  <si>
    <t>IBR Roof</t>
  </si>
  <si>
    <t>3. Mounting Structures</t>
  </si>
  <si>
    <t>IBR Roof - Schletter</t>
  </si>
  <si>
    <t>Schletter - INV1406</t>
  </si>
  <si>
    <t>PO3638-MMS-20250211 - RV Approved</t>
  </si>
  <si>
    <t>Less 15%</t>
  </si>
  <si>
    <t>[SM: Target Installation Price]</t>
  </si>
  <si>
    <t>Delivery</t>
  </si>
  <si>
    <t>R/Wp</t>
  </si>
  <si>
    <t>End Clamps Top Up - JHB Warehouse</t>
  </si>
  <si>
    <t>Allocated from Stock</t>
  </si>
  <si>
    <t>End Clamps Top Up - Scheltter</t>
  </si>
  <si>
    <t>Schletter - INV1611</t>
  </si>
  <si>
    <t>PO3756-MMS-20250319 - RV Approved</t>
  </si>
  <si>
    <t>Installer Price</t>
  </si>
  <si>
    <t xml:space="preserve">DC Cable </t>
  </si>
  <si>
    <t>4. DC Equipment</t>
  </si>
  <si>
    <t>Project Kick Off</t>
  </si>
  <si>
    <t>DC Cable</t>
  </si>
  <si>
    <t>Menlo INV0002767</t>
  </si>
  <si>
    <t>PO3765-MMS-20250325 - RV Approved</t>
  </si>
  <si>
    <t>DC Cable - Additional order due to inverter room placement  - VO</t>
  </si>
  <si>
    <t>MENLO - INV0002594</t>
  </si>
  <si>
    <t>PO3567-MMS-20250127 - RV Approved</t>
  </si>
  <si>
    <t>AC Installation Complete</t>
  </si>
  <si>
    <t>Matthews Group INV-1424</t>
  </si>
  <si>
    <t>DC Installation Complete</t>
  </si>
  <si>
    <t>Matthews Group INV-1451</t>
  </si>
  <si>
    <t>Commissioning Complete</t>
  </si>
  <si>
    <t>Matthews Group INV 1445</t>
  </si>
  <si>
    <t>Site De-establisment</t>
  </si>
  <si>
    <t>Matthews Group INV 1452</t>
  </si>
  <si>
    <t>Handover Document Complete</t>
  </si>
  <si>
    <t>Matthews Group INV-1461</t>
  </si>
  <si>
    <t>End of Defects Period</t>
  </si>
  <si>
    <t>Matthews Group INV-1462</t>
  </si>
  <si>
    <t>Matthews Group INV-1463</t>
  </si>
  <si>
    <t>Monitoring</t>
  </si>
  <si>
    <t>Smartlogger 3000</t>
  </si>
  <si>
    <t>5. Monitoring</t>
  </si>
  <si>
    <t>MENLO - INV0002488</t>
  </si>
  <si>
    <t>Comms DB</t>
  </si>
  <si>
    <t>CTs, Router - AccuEnergy</t>
  </si>
  <si>
    <t>Accuenergy - INV ASAI-004649</t>
  </si>
  <si>
    <t>PO3566-MMS-20250127 - RV Approved</t>
  </si>
  <si>
    <t>Data Guru - Herholdts</t>
  </si>
  <si>
    <t>Herholdts' - INV1005888</t>
  </si>
  <si>
    <t>PO3663-MMS-20250217 - RV Approved</t>
  </si>
  <si>
    <t>ACTUAL - GreenWay Solar</t>
  </si>
  <si>
    <t>ACTUAL - Matthews Group</t>
  </si>
  <si>
    <t>Apex Controller</t>
  </si>
  <si>
    <t>Revenue Grade Meter</t>
  </si>
  <si>
    <t>Matriach INV-3710</t>
  </si>
  <si>
    <t>Meter + Fibre Optic Port + rogowski Coil</t>
  </si>
  <si>
    <t>Accuenergy Inv: ASAI-007060</t>
  </si>
  <si>
    <t>6. AC Equipment</t>
  </si>
  <si>
    <t>Roof Access</t>
  </si>
  <si>
    <t xml:space="preserve">Equipment Hire - Offloading &amp; Rigging </t>
  </si>
  <si>
    <t xml:space="preserve">Offloading &amp; Rigging </t>
  </si>
  <si>
    <t>Accommodation 6 Weeks</t>
  </si>
  <si>
    <t>Site Costs and General</t>
  </si>
  <si>
    <t>VO</t>
  </si>
  <si>
    <t>R/kWh</t>
  </si>
  <si>
    <t>r</t>
  </si>
  <si>
    <t>Battery Systems</t>
  </si>
  <si>
    <t>Battery Inverter + Battery Bank</t>
  </si>
  <si>
    <t>7. Battery Systems</t>
  </si>
  <si>
    <t>ATESS -PCS630</t>
  </si>
  <si>
    <t>Herholdts INV994108</t>
  </si>
  <si>
    <t>PO3539-MMS-20250114 - RV Approved</t>
  </si>
  <si>
    <t>ATESS -RTF600</t>
  </si>
  <si>
    <t>ATESS -TRF630</t>
  </si>
  <si>
    <t>FW-800/560-HV+</t>
  </si>
  <si>
    <t>Herholdts INV994324</t>
  </si>
  <si>
    <t>Storage/Delivery</t>
  </si>
  <si>
    <t xml:space="preserve">Installation </t>
  </si>
  <si>
    <t>AC+DC Equipment</t>
  </si>
  <si>
    <t>3rd Aircon/Additional - RCF Tech - VO</t>
  </si>
  <si>
    <t>RCF Tech INV002</t>
  </si>
  <si>
    <t>PO4087-MMS-20250702 - RV Approved</t>
  </si>
  <si>
    <t>AC Cable</t>
  </si>
  <si>
    <t>Airconditioned Container - 1 per 1000kWh</t>
  </si>
  <si>
    <t>Airconditioned Container - 1 per 1000kWh (Provision for Commissioning Assistance)</t>
  </si>
  <si>
    <t>Aircons - RCF Tech - Deposit</t>
  </si>
  <si>
    <t>RCF Tech QU001</t>
  </si>
  <si>
    <t>PO3789-MMS-20250404 - MI Approved</t>
  </si>
  <si>
    <t>Aircons - RCF Tech - last 20%</t>
  </si>
  <si>
    <t xml:space="preserve">Product Add On </t>
  </si>
  <si>
    <t xml:space="preserve">8. Product Add On </t>
  </si>
  <si>
    <t>Roof Remedial - Oryx Revamp</t>
  </si>
  <si>
    <t>Oryx Revamp: Inv 1892</t>
  </si>
  <si>
    <t>PO3519-MMS-20241209</t>
  </si>
  <si>
    <t>Additional Aircons 2x 60000BTU - RCF Tech - VO</t>
  </si>
  <si>
    <t>RCF Tech Inv004</t>
  </si>
  <si>
    <t>PO4215-MMS-20250812</t>
  </si>
  <si>
    <t>Trunking Clamp and Screws - Lumax</t>
  </si>
  <si>
    <t>Lumax Inv 1001/70000751</t>
  </si>
  <si>
    <t>PO3726-MMS-20250306</t>
  </si>
  <si>
    <t>Lithium Extinguishers - Firebreak SA</t>
  </si>
  <si>
    <t>Firebreak PFI_10024</t>
  </si>
  <si>
    <t>PO4014-MMS-20250619 - RV Approved</t>
  </si>
  <si>
    <t>Energitrack controller &amp; Commission Support - Herholdts</t>
  </si>
  <si>
    <t>Herholdts Inv: INV1126662</t>
  </si>
  <si>
    <t>PO4262-MMS-20250821 - RV Approved</t>
  </si>
  <si>
    <t>Motorized Breaker Upgrade and Grid Relay - All Electrical - VO</t>
  </si>
  <si>
    <t>All Electrical - IN144166</t>
  </si>
  <si>
    <t>PO4263-MMS-20250821 - RV Approved</t>
  </si>
  <si>
    <t>Delivery of Fire Extinguishers</t>
  </si>
  <si>
    <t>DSV Inv: 180138260</t>
  </si>
  <si>
    <t>Only services to be capture below, products above</t>
  </si>
  <si>
    <t>AC &amp; DC Installation</t>
  </si>
  <si>
    <t>9. AC &amp; DC installation</t>
  </si>
  <si>
    <t>Matthews Group INV 1423</t>
  </si>
  <si>
    <t>Site Logistics</t>
  </si>
  <si>
    <t>10. Site Logistics</t>
  </si>
  <si>
    <t>Additional Security - VO</t>
  </si>
  <si>
    <t>DIVERGENT - Inv 1117175</t>
  </si>
  <si>
    <t>PO3734-MMS-20250311 - RV Approved</t>
  </si>
  <si>
    <t>Night Guard</t>
  </si>
  <si>
    <t>Divergent - Inv 1117291</t>
  </si>
  <si>
    <t>PO3766-MMS-20250325 - RV Approved</t>
  </si>
  <si>
    <t>Scaffolding</t>
  </si>
  <si>
    <t>Due Dilligence</t>
  </si>
  <si>
    <t>Electrical PrEng sign off</t>
  </si>
  <si>
    <t>11. Due Dilligence</t>
  </si>
  <si>
    <t>Sunspot: E024</t>
  </si>
  <si>
    <t>Travel</t>
  </si>
  <si>
    <t>Structural sign off</t>
  </si>
  <si>
    <t>LB Consulting Inv-1838</t>
  </si>
  <si>
    <t>PO3471-MMS-20241121 - RV Approved</t>
  </si>
  <si>
    <t>Red Team</t>
  </si>
  <si>
    <t>Matriarch - INV-4423</t>
  </si>
  <si>
    <t>Grid Study - Outside of CoCT</t>
  </si>
  <si>
    <t>No Grid study required</t>
  </si>
  <si>
    <t>BDP Commission</t>
  </si>
  <si>
    <t>Engineering</t>
  </si>
  <si>
    <t>Matriarch Defects Period</t>
  </si>
  <si>
    <t>13. Engineering</t>
  </si>
  <si>
    <t>Matriarch - INV-4422</t>
  </si>
  <si>
    <t>Management</t>
  </si>
  <si>
    <t>Matriarch Credit  - INV-5196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</si>
  <si>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</si>
  <si>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</si>
  <si>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</si>
  <si>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</si>
  <si>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</si>
  <si>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</si>
  <si>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Travel to site</t>
  </si>
  <si>
    <t>Expense Claim</t>
  </si>
  <si>
    <t>Service Add On</t>
  </si>
  <si>
    <t>15. Service Add On</t>
  </si>
  <si>
    <t>Delivery of Fluke Meter</t>
  </si>
  <si>
    <t>DSV Inv: 180137116</t>
  </si>
  <si>
    <t>Borrower Interest</t>
  </si>
  <si>
    <t>Fedgroup Ventures - LT000578_250630</t>
  </si>
  <si>
    <t>Borrower Interest -  July</t>
  </si>
  <si>
    <t>Fedgroup Ventures - LT000578_250631</t>
  </si>
  <si>
    <t>Borrower Interest -  August</t>
  </si>
  <si>
    <t>Fedgroup Ventures - LT000578_250831</t>
  </si>
  <si>
    <t>RTF Turn Around - Matthews Group - VO</t>
  </si>
  <si>
    <t>Matthews Group MG INV1514</t>
  </si>
  <si>
    <t>PO4201-MMS-20250805 - RV Approved</t>
  </si>
  <si>
    <t>Panels &amp; BESS Room Cleaning - Sunray - VO</t>
  </si>
  <si>
    <t>Sunray Energy Solutions #89</t>
  </si>
  <si>
    <t>PO4312-MMS-20250916 - RV Approved</t>
  </si>
  <si>
    <t>Fire Extinguishers Mount and Service Aircons - RCT Tech - VO</t>
  </si>
  <si>
    <t>RCF Tech INV003</t>
  </si>
  <si>
    <t>PO4315-MMS-20250916 - RV Approved</t>
  </si>
  <si>
    <t>AC Cable &amp; DC Trunking VO - VO</t>
  </si>
  <si>
    <t>Matthews Group INV 1456</t>
  </si>
  <si>
    <t>PO3814-MMS-20250417 - RV Approved</t>
  </si>
  <si>
    <t>DB upgrade - VO</t>
  </si>
  <si>
    <t>Matthews Group INV 1525</t>
  </si>
  <si>
    <t>Atess 250kw 450-900V 5x100A MPPT - VO</t>
  </si>
  <si>
    <t>Herholdts - INV1208290</t>
  </si>
  <si>
    <t>Grid Relay - VO</t>
  </si>
  <si>
    <t>All Electrical - SO140653</t>
  </si>
  <si>
    <t>AC Cable &amp; DC Trunking VO</t>
  </si>
  <si>
    <t>MPPT Installation Labour and Sundries - Matthews Group - VO</t>
  </si>
  <si>
    <t>MG INV-1589</t>
  </si>
  <si>
    <t>PO4561-MMS-20250121 - RV Approved</t>
  </si>
  <si>
    <t>MG INV-1600</t>
  </si>
  <si>
    <t>Credit Note fore Actual Cost</t>
  </si>
  <si>
    <t>CN-1601</t>
  </si>
  <si>
    <t>DC Modification Scope - Deposit</t>
  </si>
  <si>
    <t>MG INV-1590</t>
  </si>
  <si>
    <t>PO4560-MMS-20250121 - RV Approved</t>
  </si>
  <si>
    <t>DC Modification Scope - Balance</t>
  </si>
  <si>
    <t xml:space="preserve">Matthews Group - INV-1595 </t>
  </si>
  <si>
    <t>Atess On-Site Support</t>
  </si>
  <si>
    <t>Herholdts - INV1236863</t>
  </si>
  <si>
    <t>EnergiTrack Ad Hours Remote New Meter Add - Herholdts</t>
  </si>
  <si>
    <t>Herholdts: INV124564</t>
  </si>
  <si>
    <t>PO4656-MMS-20260305 - RV Approved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</si>
  <si>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</si>
  <si>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</si>
  <si>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</si>
  <si>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</si>
  <si>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</si>
  <si>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</si>
  <si>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</si>
  <si>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</si>
  <si>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</si>
  <si>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</si>
  <si>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</si>
  <si>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</si>
  <si>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</si>
  <si>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</si>
  <si>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</si>
  <si>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</si>
  <si>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</si>
  <si>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</si>
  <si>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</si>
  <si>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</si>
  <si>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</si>
  <si>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</si>
  <si>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</si>
  <si>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</si>
  <si>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</si>
  <si>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</si>
  <si>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</si>
  <si>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</si>
  <si>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</si>
  <si>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</si>
  <si>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</si>
  <si>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</si>
  <si>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</si>
  <si>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</si>
  <si>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</si>
  <si>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</si>
  <si>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</si>
  <si>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</si>
  <si>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</si>
  <si>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</si>
  <si>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</si>
  <si>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</si>
  <si>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</si>
  <si>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</si>
  <si>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</si>
  <si>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</si>
  <si>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</si>
  <si>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</si>
  <si>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</si>
  <si>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</si>
  <si>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</si>
  <si>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Approved By</t>
  </si>
  <si>
    <t>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</si>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</sst>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[$R-1C09]#,##0.00"/>
    <numFmt numFmtId="170" formatCode="&quot;R&quot;#,##0.00"/>
    <numFmt numFmtId="171" formatCode="_-[$R-1C09]* #,##0.0000_-;\-[$R-1C09]* #,##0.0000_-;_-[$R-1C09]* &quot;-&quot;??_-;_-@_-"/>
  </numFmts>
  <fonts count="55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  <font>
      <u/>
      <sz val="11"/>
      <color theme="1"/>
      <name val="Proxima Nova Lt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/>
        <bgColor indexed="64"/>
      </patternFill>
    </fill>
  </fills>
  <borders count="1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rgb="FFFF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ck">
        <color rgb="FFFF0000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97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6" fontId="25" fillId="7" borderId="0" xfId="0" applyNumberFormat="1" applyFont="1" applyFill="1"/>
    <xf numFmtId="166" fontId="26" fillId="7" borderId="0" xfId="0" applyNumberFormat="1" applyFont="1" applyFill="1"/>
    <xf numFmtId="166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6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6" fontId="25" fillId="0" borderId="0" xfId="0" applyNumberFormat="1" applyFont="1"/>
    <xf numFmtId="0" fontId="26" fillId="7" borderId="25" xfId="0" applyFont="1" applyFill="1" applyBorder="1"/>
    <xf numFmtId="166" fontId="26" fillId="7" borderId="20" xfId="0" applyNumberFormat="1" applyFont="1" applyFill="1" applyBorder="1"/>
    <xf numFmtId="0" fontId="26" fillId="0" borderId="45" xfId="0" applyFont="1" applyBorder="1"/>
    <xf numFmtId="0" fontId="25" fillId="0" borderId="45" xfId="0" applyFont="1" applyBorder="1"/>
    <xf numFmtId="166" fontId="25" fillId="0" borderId="45" xfId="0" applyNumberFormat="1" applyFont="1" applyBorder="1"/>
    <xf numFmtId="0" fontId="26" fillId="0" borderId="0" xfId="0" applyFont="1"/>
    <xf numFmtId="166" fontId="26" fillId="0" borderId="0" xfId="0" applyNumberFormat="1" applyFont="1"/>
    <xf numFmtId="166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7" fontId="5" fillId="2" borderId="30" xfId="0" applyNumberFormat="1" applyFont="1" applyFill="1" applyBorder="1" applyAlignment="1" applyProtection="1">
      <alignment wrapText="1"/>
      <protection locked="0"/>
    </xf>
    <xf numFmtId="0" fontId="45" fillId="0" borderId="0" xfId="0" applyFont="1"/>
    <xf numFmtId="9" fontId="46" fillId="0" borderId="2" xfId="0" applyNumberFormat="1" applyFont="1" applyBorder="1"/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6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43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6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6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6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6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6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6" fontId="6" fillId="7" borderId="0" xfId="3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166" fontId="47" fillId="17" borderId="23" xfId="0" applyNumberFormat="1" applyFont="1" applyFill="1" applyBorder="1" applyProtection="1">
      <protection locked="0"/>
    </xf>
    <xf numFmtId="0" fontId="23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0" fontId="44" fillId="0" borderId="16" xfId="0" applyFont="1" applyBorder="1" applyAlignment="1" applyProtection="1">
      <alignment horizontal="center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6" fontId="25" fillId="7" borderId="2" xfId="0" applyNumberFormat="1" applyFont="1" applyFill="1" applyBorder="1"/>
    <xf numFmtId="166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6" fontId="40" fillId="7" borderId="0" xfId="0" applyNumberFormat="1" applyFont="1" applyFill="1"/>
    <xf numFmtId="166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1" fillId="7" borderId="0" xfId="0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7" fontId="7" fillId="0" borderId="43" xfId="0" applyNumberFormat="1" applyFont="1" applyBorder="1" applyAlignment="1" applyProtection="1">
      <alignment horizontal="center" vertical="center" wrapText="1"/>
      <protection locked="0"/>
    </xf>
    <xf numFmtId="167" fontId="7" fillId="0" borderId="44" xfId="0" applyNumberFormat="1" applyFont="1" applyBorder="1" applyAlignment="1" applyProtection="1">
      <alignment horizontal="center" vertical="center" wrapText="1"/>
      <protection locked="0"/>
    </xf>
    <xf numFmtId="167" fontId="7" fillId="7" borderId="0" xfId="0" applyNumberFormat="1" applyFont="1" applyFill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167" fontId="6" fillId="2" borderId="30" xfId="0" applyNumberFormat="1" applyFont="1" applyFill="1" applyBorder="1" applyAlignment="1" applyProtection="1">
      <alignment wrapText="1"/>
      <protection locked="0"/>
    </xf>
    <xf numFmtId="167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7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7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167" fontId="5" fillId="10" borderId="5" xfId="0" applyNumberFormat="1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167" fontId="5" fillId="10" borderId="0" xfId="0" applyNumberFormat="1" applyFont="1" applyFill="1" applyProtection="1"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167" fontId="5" fillId="10" borderId="8" xfId="0" applyNumberFormat="1" applyFont="1" applyFill="1" applyBorder="1" applyProtection="1"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167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7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167" fontId="5" fillId="11" borderId="5" xfId="0" applyNumberFormat="1" applyFont="1" applyFill="1" applyBorder="1" applyProtection="1"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167" fontId="5" fillId="11" borderId="0" xfId="0" applyNumberFormat="1" applyFont="1" applyFill="1" applyProtection="1"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167" fontId="5" fillId="11" borderId="8" xfId="0" applyNumberFormat="1" applyFont="1" applyFill="1" applyBorder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6" fontId="6" fillId="0" borderId="3" xfId="0" applyNumberFormat="1" applyFont="1" applyBorder="1" applyAlignment="1" applyProtection="1">
      <alignment horizont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167" fontId="5" fillId="0" borderId="0" xfId="0" applyNumberFormat="1" applyFont="1" applyProtection="1"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167" fontId="5" fillId="13" borderId="5" xfId="0" applyNumberFormat="1" applyFont="1" applyFill="1" applyBorder="1" applyProtection="1"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167" fontId="5" fillId="13" borderId="0" xfId="0" applyNumberFormat="1" applyFont="1" applyFill="1" applyProtection="1"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167" fontId="5" fillId="13" borderId="8" xfId="0" applyNumberFormat="1" applyFont="1" applyFill="1" applyBorder="1" applyProtection="1"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167" fontId="37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7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169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7" fontId="5" fillId="2" borderId="54" xfId="0" applyNumberFormat="1" applyFont="1" applyFill="1" applyBorder="1" applyAlignment="1" applyProtection="1">
      <alignment wrapText="1"/>
      <protection locked="0"/>
    </xf>
    <xf numFmtId="0" fontId="5" fillId="7" borderId="55" xfId="0" applyFont="1" applyFill="1" applyBorder="1" applyProtection="1">
      <protection locked="0"/>
    </xf>
    <xf numFmtId="167" fontId="5" fillId="2" borderId="56" xfId="0" applyNumberFormat="1" applyFont="1" applyFill="1" applyBorder="1" applyAlignment="1" applyProtection="1">
      <alignment wrapText="1"/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2" fontId="13" fillId="10" borderId="60" xfId="0" applyNumberFormat="1" applyFont="1" applyFill="1" applyBorder="1" applyAlignment="1" applyProtection="1">
      <alignment horizontal="center"/>
      <protection locked="0"/>
    </xf>
    <xf numFmtId="0" fontId="5" fillId="0" borderId="55" xfId="0" applyFont="1" applyBorder="1" applyProtection="1">
      <protection locked="0"/>
    </xf>
    <xf numFmtId="0" fontId="5" fillId="7" borderId="61" xfId="0" applyFont="1" applyFill="1" applyBorder="1" applyProtection="1">
      <protection locked="0"/>
    </xf>
    <xf numFmtId="167" fontId="5" fillId="2" borderId="62" xfId="0" applyNumberFormat="1" applyFont="1" applyFill="1" applyBorder="1" applyAlignment="1" applyProtection="1">
      <alignment wrapText="1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0" fontId="5" fillId="0" borderId="61" xfId="0" applyFont="1" applyBorder="1" applyProtection="1">
      <protection locked="0"/>
    </xf>
    <xf numFmtId="167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0" xfId="0" applyFont="1" applyBorder="1" applyAlignment="1" applyProtection="1">
      <alignment vertical="center"/>
      <protection locked="0"/>
    </xf>
    <xf numFmtId="167" fontId="7" fillId="0" borderId="70" xfId="0" applyNumberFormat="1" applyFont="1" applyBorder="1" applyAlignment="1" applyProtection="1">
      <alignment vertical="center"/>
      <protection locked="0"/>
    </xf>
    <xf numFmtId="167" fontId="7" fillId="0" borderId="9" xfId="0" applyNumberFormat="1" applyFont="1" applyBorder="1" applyAlignment="1" applyProtection="1">
      <alignment horizontal="center" vertical="center"/>
      <protection locked="0"/>
    </xf>
    <xf numFmtId="14" fontId="44" fillId="0" borderId="69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6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6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9" fontId="6" fillId="11" borderId="35" xfId="2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0" fillId="0" borderId="0" xfId="0" applyFont="1"/>
    <xf numFmtId="43" fontId="50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66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0" xfId="0" applyNumberFormat="1" applyFont="1" applyFill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0" xfId="0" applyNumberFormat="1" applyFont="1" applyBorder="1" applyAlignment="1" applyProtection="1">
      <alignment horizontal="center"/>
      <protection locked="0"/>
    </xf>
    <xf numFmtId="14" fontId="13" fillId="13" borderId="72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2" fontId="44" fillId="0" borderId="0" xfId="0" applyNumberFormat="1" applyFont="1" applyAlignment="1" applyProtection="1">
      <alignment horizontal="center"/>
      <protection locked="0"/>
    </xf>
    <xf numFmtId="166" fontId="13" fillId="11" borderId="77" xfId="3" applyFont="1" applyFill="1" applyBorder="1" applyAlignment="1" applyProtection="1">
      <alignment horizontal="center"/>
      <protection locked="0"/>
    </xf>
    <xf numFmtId="166" fontId="13" fillId="11" borderId="76" xfId="3" applyFont="1" applyFill="1" applyBorder="1" applyAlignment="1" applyProtection="1">
      <alignment horizontal="center"/>
      <protection locked="0"/>
    </xf>
    <xf numFmtId="166" fontId="13" fillId="11" borderId="78" xfId="3" applyFont="1" applyFill="1" applyBorder="1" applyAlignment="1" applyProtection="1">
      <alignment horizontal="center"/>
      <protection locked="0"/>
    </xf>
    <xf numFmtId="166" fontId="13" fillId="13" borderId="77" xfId="3" applyFont="1" applyFill="1" applyBorder="1" applyAlignment="1" applyProtection="1">
      <alignment horizontal="center"/>
      <protection locked="0"/>
    </xf>
    <xf numFmtId="166" fontId="13" fillId="13" borderId="76" xfId="3" applyFont="1" applyFill="1" applyBorder="1" applyAlignment="1" applyProtection="1">
      <alignment horizontal="center"/>
      <protection locked="0"/>
    </xf>
    <xf numFmtId="166" fontId="13" fillId="13" borderId="78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7" fontId="11" fillId="0" borderId="44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53" xfId="0" applyNumberFormat="1" applyFont="1" applyBorder="1" applyAlignment="1" applyProtection="1">
      <alignment horizontal="center" vertical="center" wrapText="1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0" xfId="0" applyNumberFormat="1" applyFont="1" applyFill="1" applyBorder="1" applyAlignment="1" applyProtection="1">
      <alignment horizontal="center"/>
      <protection locked="0"/>
    </xf>
    <xf numFmtId="2" fontId="5" fillId="11" borderId="60" xfId="0" applyNumberFormat="1" applyFont="1" applyFill="1" applyBorder="1" applyAlignment="1" applyProtection="1">
      <alignment horizontal="center"/>
      <protection locked="0"/>
    </xf>
    <xf numFmtId="2" fontId="13" fillId="11" borderId="80" xfId="0" applyNumberFormat="1" applyFont="1" applyFill="1" applyBorder="1" applyAlignment="1" applyProtection="1">
      <alignment horizontal="center"/>
      <protection locked="0"/>
    </xf>
    <xf numFmtId="14" fontId="13" fillId="10" borderId="74" xfId="0" applyNumberFormat="1" applyFont="1" applyFill="1" applyBorder="1" applyAlignment="1" applyProtection="1">
      <alignment horizontal="center"/>
      <protection locked="0"/>
    </xf>
    <xf numFmtId="170" fontId="0" fillId="8" borderId="2" xfId="0" applyNumberFormat="1" applyFill="1" applyBorder="1"/>
    <xf numFmtId="166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3" borderId="80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2" fontId="44" fillId="0" borderId="81" xfId="0" applyNumberFormat="1" applyFont="1" applyBorder="1" applyAlignment="1" applyProtection="1">
      <alignment horizontal="center"/>
      <protection locked="0"/>
    </xf>
    <xf numFmtId="2" fontId="5" fillId="11" borderId="57" xfId="0" applyNumberFormat="1" applyFont="1" applyFill="1" applyBorder="1" applyAlignment="1" applyProtection="1">
      <alignment horizontal="center"/>
      <protection locked="0"/>
    </xf>
    <xf numFmtId="14" fontId="13" fillId="11" borderId="71" xfId="0" applyNumberFormat="1" applyFont="1" applyFill="1" applyBorder="1" applyAlignment="1" applyProtection="1">
      <alignment horizontal="center"/>
      <protection locked="0"/>
    </xf>
    <xf numFmtId="167" fontId="13" fillId="0" borderId="23" xfId="0" applyNumberFormat="1" applyFont="1" applyBorder="1" applyAlignment="1" applyProtection="1">
      <alignment horizontal="center"/>
      <protection locked="0"/>
    </xf>
    <xf numFmtId="166" fontId="13" fillId="10" borderId="79" xfId="3" applyFont="1" applyFill="1" applyBorder="1" applyAlignment="1" applyProtection="1">
      <alignment horizontal="center"/>
      <protection locked="0"/>
    </xf>
    <xf numFmtId="166" fontId="13" fillId="10" borderId="14" xfId="3" applyFont="1" applyFill="1" applyBorder="1" applyAlignment="1" applyProtection="1">
      <alignment horizontal="center"/>
      <protection locked="0"/>
    </xf>
    <xf numFmtId="167" fontId="13" fillId="11" borderId="76" xfId="0" applyNumberFormat="1" applyFont="1" applyFill="1" applyBorder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167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0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67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7" fontId="6" fillId="11" borderId="35" xfId="0" applyNumberFormat="1" applyFont="1" applyFill="1" applyBorder="1" applyAlignment="1" applyProtection="1">
      <alignment horizontal="center" vertical="center"/>
      <protection locked="0"/>
    </xf>
    <xf numFmtId="166" fontId="6" fillId="11" borderId="38" xfId="2" applyNumberFormat="1" applyFont="1" applyFill="1" applyBorder="1" applyAlignment="1" applyProtection="1">
      <alignment horizontal="center"/>
      <protection locked="0"/>
    </xf>
    <xf numFmtId="167" fontId="6" fillId="11" borderId="5" xfId="0" applyNumberFormat="1" applyFont="1" applyFill="1" applyBorder="1" applyProtection="1">
      <protection locked="0"/>
    </xf>
    <xf numFmtId="2" fontId="13" fillId="11" borderId="57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0" fontId="35" fillId="11" borderId="2" xfId="0" applyFont="1" applyFill="1" applyBorder="1" applyProtection="1"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5" xfId="0" applyFont="1" applyFill="1" applyBorder="1" applyProtection="1">
      <protection locked="0"/>
    </xf>
    <xf numFmtId="0" fontId="35" fillId="11" borderId="35" xfId="0" applyFont="1" applyFill="1" applyBorder="1" applyAlignment="1" applyProtection="1">
      <alignment horizontal="center" vertical="center"/>
      <protection locked="0"/>
    </xf>
    <xf numFmtId="166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6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6" fontId="6" fillId="13" borderId="50" xfId="0" applyNumberFormat="1" applyFont="1" applyFill="1" applyBorder="1" applyAlignment="1" applyProtection="1">
      <alignment horizontal="center"/>
      <protection locked="0"/>
    </xf>
    <xf numFmtId="167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5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7" fontId="5" fillId="0" borderId="3" xfId="0" applyNumberFormat="1" applyFont="1" applyBorder="1" applyProtection="1">
      <protection locked="0"/>
    </xf>
    <xf numFmtId="167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7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43" fontId="0" fillId="0" borderId="0" xfId="1" applyFont="1"/>
    <xf numFmtId="2" fontId="5" fillId="10" borderId="57" xfId="0" applyNumberFormat="1" applyFont="1" applyFill="1" applyBorder="1" applyAlignment="1" applyProtection="1">
      <alignment horizontal="center"/>
      <protection locked="0"/>
    </xf>
    <xf numFmtId="166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7" fontId="13" fillId="10" borderId="77" xfId="0" applyNumberFormat="1" applyFont="1" applyFill="1" applyBorder="1" applyAlignment="1" applyProtection="1">
      <alignment horizontal="center"/>
      <protection locked="0"/>
    </xf>
    <xf numFmtId="0" fontId="7" fillId="16" borderId="82" xfId="0" applyFont="1" applyFill="1" applyBorder="1" applyProtection="1"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48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14" fontId="0" fillId="0" borderId="0" xfId="0" applyNumberFormat="1"/>
    <xf numFmtId="167" fontId="0" fillId="0" borderId="0" xfId="0" applyNumberFormat="1"/>
    <xf numFmtId="2" fontId="5" fillId="13" borderId="80" xfId="0" applyNumberFormat="1" applyFont="1" applyFill="1" applyBorder="1" applyAlignment="1" applyProtection="1">
      <alignment horizontal="center"/>
      <protection locked="0"/>
    </xf>
    <xf numFmtId="14" fontId="13" fillId="10" borderId="71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167" fontId="13" fillId="10" borderId="78" xfId="0" applyNumberFormat="1" applyFont="1" applyFill="1" applyBorder="1" applyAlignment="1" applyProtection="1">
      <alignment horizontal="center"/>
      <protection locked="0"/>
    </xf>
    <xf numFmtId="0" fontId="5" fillId="10" borderId="78" xfId="0" applyFont="1" applyFill="1" applyBorder="1" applyProtection="1">
      <protection locked="0"/>
    </xf>
    <xf numFmtId="166" fontId="7" fillId="17" borderId="23" xfId="3" applyFont="1" applyFill="1" applyBorder="1" applyProtection="1">
      <protection locked="0"/>
    </xf>
    <xf numFmtId="167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6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3" fillId="11" borderId="2" xfId="0" applyFont="1" applyFill="1" applyBorder="1" applyAlignment="1" applyProtection="1">
      <alignment horizontal="center" vertic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27" xfId="0" applyNumberFormat="1" applyFont="1" applyFill="1" applyBorder="1" applyAlignment="1" applyProtection="1">
      <alignment horizontal="center"/>
      <protection locked="0"/>
    </xf>
    <xf numFmtId="167" fontId="37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6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6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7" fontId="37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4" xfId="0" applyNumberFormat="1" applyFont="1" applyFill="1" applyBorder="1" applyAlignment="1" applyProtection="1">
      <alignment horizontal="center"/>
      <protection locked="0"/>
    </xf>
    <xf numFmtId="167" fontId="5" fillId="11" borderId="7" xfId="0" applyNumberFormat="1" applyFont="1" applyFill="1" applyBorder="1" applyProtection="1">
      <protection locked="0"/>
    </xf>
    <xf numFmtId="0" fontId="44" fillId="0" borderId="5" xfId="0" applyFont="1" applyBorder="1" applyAlignment="1" applyProtection="1">
      <alignment horizontal="left"/>
      <protection locked="0"/>
    </xf>
    <xf numFmtId="164" fontId="44" fillId="0" borderId="5" xfId="0" applyNumberFormat="1" applyFont="1" applyBorder="1" applyAlignment="1" applyProtection="1">
      <alignment horizontal="left"/>
      <protection locked="0"/>
    </xf>
    <xf numFmtId="0" fontId="21" fillId="11" borderId="85" xfId="0" applyFont="1" applyFill="1" applyBorder="1" applyAlignment="1" applyProtection="1">
      <alignment horizontal="center"/>
      <protection locked="0"/>
    </xf>
    <xf numFmtId="0" fontId="5" fillId="11" borderId="84" xfId="0" applyFont="1" applyFill="1" applyBorder="1" applyAlignment="1" applyProtection="1">
      <alignment horizontal="left" vertical="center"/>
      <protection locked="0"/>
    </xf>
    <xf numFmtId="167" fontId="5" fillId="11" borderId="65" xfId="0" applyNumberFormat="1" applyFont="1" applyFill="1" applyBorder="1" applyAlignment="1" applyProtection="1">
      <alignment horizontal="center"/>
      <protection locked="0"/>
    </xf>
    <xf numFmtId="0" fontId="44" fillId="0" borderId="5" xfId="0" applyFont="1" applyBorder="1" applyAlignment="1" applyProtection="1">
      <alignment horizontal="center" vertical="center"/>
      <protection locked="0"/>
    </xf>
    <xf numFmtId="0" fontId="44" fillId="0" borderId="6" xfId="0" applyFont="1" applyBorder="1" applyAlignment="1" applyProtection="1">
      <alignment horizontal="left"/>
      <protection locked="0"/>
    </xf>
    <xf numFmtId="0" fontId="5" fillId="11" borderId="78" xfId="0" applyFont="1" applyFill="1" applyBorder="1" applyProtection="1"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166" fontId="6" fillId="7" borderId="0" xfId="3" applyFont="1" applyFill="1" applyProtection="1">
      <protection locked="0"/>
    </xf>
    <xf numFmtId="166" fontId="6" fillId="13" borderId="27" xfId="0" applyNumberFormat="1" applyFont="1" applyFill="1" applyBorder="1" applyAlignment="1" applyProtection="1">
      <alignment horizontal="center" vertical="center"/>
      <protection locked="0"/>
    </xf>
    <xf numFmtId="166" fontId="5" fillId="13" borderId="38" xfId="0" applyNumberFormat="1" applyFont="1" applyFill="1" applyBorder="1" applyAlignment="1" applyProtection="1">
      <alignment horizontal="center"/>
      <protection locked="0"/>
    </xf>
    <xf numFmtId="166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6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5" fontId="6" fillId="13" borderId="29" xfId="3" applyNumberFormat="1" applyFont="1" applyFill="1" applyBorder="1" applyAlignment="1" applyProtection="1">
      <alignment horizontal="center"/>
      <protection locked="0"/>
    </xf>
    <xf numFmtId="165" fontId="6" fillId="13" borderId="1" xfId="0" applyNumberFormat="1" applyFont="1" applyFill="1" applyBorder="1" applyAlignment="1" applyProtection="1">
      <alignment horizont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166" fontId="6" fillId="10" borderId="2" xfId="0" applyNumberFormat="1" applyFont="1" applyFill="1" applyBorder="1" applyAlignment="1" applyProtection="1">
      <alignment horizontal="center" vertical="center"/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left" vertical="center"/>
      <protection locked="0"/>
    </xf>
    <xf numFmtId="14" fontId="5" fillId="11" borderId="74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66" fontId="13" fillId="11" borderId="2" xfId="3" applyFont="1" applyFill="1" applyBorder="1" applyAlignment="1" applyProtection="1">
      <alignment horizontal="center"/>
      <protection locked="0"/>
    </xf>
    <xf numFmtId="1" fontId="6" fillId="11" borderId="38" xfId="0" applyNumberFormat="1" applyFont="1" applyFill="1" applyBorder="1" applyAlignment="1" applyProtection="1">
      <alignment horizontal="center" vertical="center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9" fontId="25" fillId="7" borderId="0" xfId="0" applyNumberFormat="1" applyFont="1" applyFill="1" applyProtection="1">
      <protection locked="0"/>
    </xf>
    <xf numFmtId="15" fontId="51" fillId="0" borderId="2" xfId="0" quotePrefix="1" applyNumberFormat="1" applyFont="1" applyBorder="1" applyAlignment="1" applyProtection="1">
      <alignment horizontal="center"/>
      <protection locked="0"/>
    </xf>
    <xf numFmtId="0" fontId="51" fillId="0" borderId="0" xfId="0" applyFont="1" applyProtection="1">
      <protection locked="0"/>
    </xf>
    <xf numFmtId="15" fontId="51" fillId="0" borderId="2" xfId="0" applyNumberFormat="1" applyFont="1" applyBorder="1" applyAlignment="1" applyProtection="1">
      <alignment horizontal="center"/>
      <protection locked="0"/>
    </xf>
    <xf numFmtId="9" fontId="6" fillId="13" borderId="29" xfId="2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 vertical="center"/>
      <protection locked="0"/>
    </xf>
    <xf numFmtId="14" fontId="5" fillId="13" borderId="71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3" borderId="62" xfId="0" applyNumberFormat="1" applyFont="1" applyFill="1" applyBorder="1" applyAlignment="1" applyProtection="1">
      <alignment horizontal="center"/>
      <protection locked="0"/>
    </xf>
    <xf numFmtId="166" fontId="52" fillId="11" borderId="76" xfId="3" applyFont="1" applyFill="1" applyBorder="1" applyAlignment="1" applyProtection="1">
      <alignment horizontal="center"/>
      <protection locked="0"/>
    </xf>
    <xf numFmtId="14" fontId="5" fillId="11" borderId="77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14" fontId="52" fillId="10" borderId="74" xfId="0" applyNumberFormat="1" applyFont="1" applyFill="1" applyBorder="1" applyAlignment="1" applyProtection="1">
      <alignment horizontal="center"/>
      <protection locked="0"/>
    </xf>
    <xf numFmtId="2" fontId="52" fillId="10" borderId="60" xfId="0" applyNumberFormat="1" applyFont="1" applyFill="1" applyBorder="1" applyAlignment="1" applyProtection="1">
      <alignment horizontal="center"/>
      <protection locked="0"/>
    </xf>
    <xf numFmtId="2" fontId="52" fillId="10" borderId="58" xfId="0" applyNumberFormat="1" applyFont="1" applyFill="1" applyBorder="1" applyAlignment="1" applyProtection="1">
      <alignment horizontal="center"/>
      <protection locked="0"/>
    </xf>
    <xf numFmtId="2" fontId="52" fillId="10" borderId="80" xfId="0" applyNumberFormat="1" applyFont="1" applyFill="1" applyBorder="1" applyAlignment="1" applyProtection="1">
      <alignment horizontal="center"/>
      <protection locked="0"/>
    </xf>
    <xf numFmtId="166" fontId="52" fillId="11" borderId="77" xfId="3" applyFont="1" applyFill="1" applyBorder="1" applyAlignment="1" applyProtection="1">
      <alignment horizontal="center"/>
      <protection locked="0"/>
    </xf>
    <xf numFmtId="166" fontId="52" fillId="13" borderId="77" xfId="3" applyFont="1" applyFill="1" applyBorder="1" applyAlignment="1" applyProtection="1">
      <alignment horizontal="center"/>
      <protection locked="0"/>
    </xf>
    <xf numFmtId="166" fontId="52" fillId="10" borderId="77" xfId="3" applyFont="1" applyFill="1" applyBorder="1" applyAlignment="1" applyProtection="1">
      <alignment horizontal="center"/>
      <protection locked="0"/>
    </xf>
    <xf numFmtId="166" fontId="52" fillId="13" borderId="76" xfId="3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Protection="1">
      <protection locked="0"/>
    </xf>
    <xf numFmtId="166" fontId="7" fillId="18" borderId="23" xfId="0" applyNumberFormat="1" applyFont="1" applyFill="1" applyBorder="1" applyProtection="1"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0" fontId="5" fillId="11" borderId="46" xfId="0" applyFont="1" applyFill="1" applyBorder="1" applyAlignment="1" applyProtection="1">
      <alignment horizontal="left" vertical="center" wrapText="1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2" fontId="5" fillId="11" borderId="80" xfId="0" applyNumberFormat="1" applyFont="1" applyFill="1" applyBorder="1" applyAlignment="1" applyProtection="1">
      <alignment horizontal="center"/>
      <protection locked="0"/>
    </xf>
    <xf numFmtId="14" fontId="5" fillId="13" borderId="72" xfId="0" applyNumberFormat="1" applyFont="1" applyFill="1" applyBorder="1" applyAlignment="1" applyProtection="1">
      <alignment horizontal="center"/>
      <protection locked="0"/>
    </xf>
    <xf numFmtId="14" fontId="5" fillId="11" borderId="71" xfId="0" applyNumberFormat="1" applyFont="1" applyFill="1" applyBorder="1" applyAlignment="1" applyProtection="1">
      <alignment horizontal="center"/>
      <protection locked="0"/>
    </xf>
    <xf numFmtId="14" fontId="5" fillId="10" borderId="72" xfId="0" applyNumberFormat="1" applyFont="1" applyFill="1" applyBorder="1" applyAlignment="1" applyProtection="1">
      <alignment horizontal="center"/>
      <protection locked="0"/>
    </xf>
    <xf numFmtId="2" fontId="5" fillId="10" borderId="58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1" borderId="91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2" fillId="10" borderId="72" xfId="0" applyNumberFormat="1" applyFont="1" applyFill="1" applyBorder="1" applyAlignment="1" applyProtection="1">
      <alignment horizontal="center"/>
      <protection locked="0"/>
    </xf>
    <xf numFmtId="14" fontId="52" fillId="10" borderId="39" xfId="0" applyNumberFormat="1" applyFont="1" applyFill="1" applyBorder="1" applyAlignment="1" applyProtection="1">
      <alignment horizontal="center"/>
      <protection locked="0"/>
    </xf>
    <xf numFmtId="14" fontId="52" fillId="11" borderId="72" xfId="0" applyNumberFormat="1" applyFont="1" applyFill="1" applyBorder="1" applyAlignment="1" applyProtection="1">
      <alignment horizontal="center"/>
      <protection locked="0"/>
    </xf>
    <xf numFmtId="166" fontId="52" fillId="13" borderId="79" xfId="3" applyFont="1" applyFill="1" applyBorder="1" applyAlignment="1" applyProtection="1">
      <alignment horizontal="center"/>
      <protection locked="0"/>
    </xf>
    <xf numFmtId="166" fontId="52" fillId="11" borderId="87" xfId="3" applyFont="1" applyFill="1" applyBorder="1" applyAlignment="1" applyProtection="1">
      <alignment horizontal="center"/>
      <protection locked="0"/>
    </xf>
    <xf numFmtId="166" fontId="52" fillId="11" borderId="82" xfId="3" applyFont="1" applyFill="1" applyBorder="1" applyAlignment="1" applyProtection="1">
      <alignment horizontal="center"/>
      <protection locked="0"/>
    </xf>
    <xf numFmtId="166" fontId="52" fillId="10" borderId="79" xfId="3" applyFont="1" applyFill="1" applyBorder="1" applyAlignment="1" applyProtection="1">
      <alignment horizontal="center"/>
      <protection locked="0"/>
    </xf>
    <xf numFmtId="166" fontId="52" fillId="10" borderId="76" xfId="3" applyFont="1" applyFill="1" applyBorder="1" applyAlignment="1" applyProtection="1">
      <alignment horizontal="center"/>
      <protection locked="0"/>
    </xf>
    <xf numFmtId="14" fontId="5" fillId="13" borderId="83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0" fontId="5" fillId="13" borderId="13" xfId="0" applyFont="1" applyFill="1" applyBorder="1" applyAlignment="1" applyProtection="1">
      <alignment vertical="center"/>
      <protection locked="0"/>
    </xf>
    <xf numFmtId="14" fontId="5" fillId="10" borderId="71" xfId="0" applyNumberFormat="1" applyFont="1" applyFill="1" applyBorder="1" applyAlignment="1" applyProtection="1">
      <alignment horizontal="center"/>
      <protection locked="0"/>
    </xf>
    <xf numFmtId="14" fontId="5" fillId="10" borderId="63" xfId="0" applyNumberFormat="1" applyFont="1" applyFill="1" applyBorder="1" applyAlignment="1" applyProtection="1">
      <alignment horizont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4" fontId="52" fillId="11" borderId="63" xfId="0" applyNumberFormat="1" applyFont="1" applyFill="1" applyBorder="1" applyAlignment="1" applyProtection="1">
      <alignment horizontal="center"/>
      <protection locked="0"/>
    </xf>
    <xf numFmtId="14" fontId="52" fillId="11" borderId="64" xfId="0" applyNumberFormat="1" applyFont="1" applyFill="1" applyBorder="1" applyAlignment="1" applyProtection="1">
      <alignment horizontal="center"/>
      <protection locked="0"/>
    </xf>
    <xf numFmtId="2" fontId="52" fillId="13" borderId="58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2" fillId="10" borderId="75" xfId="0" applyNumberFormat="1" applyFont="1" applyFill="1" applyBorder="1" applyAlignment="1" applyProtection="1">
      <alignment horizontal="center"/>
      <protection locked="0"/>
    </xf>
    <xf numFmtId="166" fontId="52" fillId="11" borderId="78" xfId="3" applyFont="1" applyFill="1" applyBorder="1" applyAlignment="1" applyProtection="1">
      <alignment horizontal="center"/>
      <protection locked="0"/>
    </xf>
    <xf numFmtId="166" fontId="52" fillId="11" borderId="88" xfId="3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0" fontId="6" fillId="11" borderId="27" xfId="0" applyFont="1" applyFill="1" applyBorder="1" applyAlignment="1" applyProtection="1">
      <alignment horizontal="center"/>
      <protection locked="0"/>
    </xf>
    <xf numFmtId="167" fontId="5" fillId="11" borderId="27" xfId="0" applyNumberFormat="1" applyFont="1" applyFill="1" applyBorder="1" applyAlignment="1" applyProtection="1">
      <alignment horizontal="center"/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66" fontId="5" fillId="13" borderId="79" xfId="3" applyFont="1" applyFill="1" applyBorder="1" applyAlignment="1" applyProtection="1">
      <alignment horizontal="center"/>
      <protection locked="0"/>
    </xf>
    <xf numFmtId="166" fontId="5" fillId="13" borderId="76" xfId="3" applyFont="1" applyFill="1" applyBorder="1" applyAlignment="1" applyProtection="1">
      <alignment horizontal="center"/>
      <protection locked="0"/>
    </xf>
    <xf numFmtId="166" fontId="5" fillId="11" borderId="88" xfId="3" applyFont="1" applyFill="1" applyBorder="1" applyAlignment="1" applyProtection="1">
      <alignment horizontal="center"/>
      <protection locked="0"/>
    </xf>
    <xf numFmtId="166" fontId="5" fillId="10" borderId="79" xfId="3" applyFont="1" applyFill="1" applyBorder="1" applyAlignment="1" applyProtection="1">
      <alignment horizontal="center"/>
      <protection locked="0"/>
    </xf>
    <xf numFmtId="166" fontId="5" fillId="11" borderId="76" xfId="3" applyFont="1" applyFill="1" applyBorder="1" applyAlignment="1" applyProtection="1">
      <alignment horizontal="center"/>
      <protection locked="0"/>
    </xf>
    <xf numFmtId="166" fontId="5" fillId="11" borderId="77" xfId="3" applyFont="1" applyFill="1" applyBorder="1" applyAlignment="1" applyProtection="1">
      <alignment horizont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1" borderId="20" xfId="0" applyNumberFormat="1" applyFont="1" applyFill="1" applyBorder="1" applyAlignment="1" applyProtection="1">
      <alignment horizont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6" fillId="11" borderId="75" xfId="0" applyNumberFormat="1" applyFont="1" applyFill="1" applyBorder="1" applyAlignment="1" applyProtection="1">
      <alignment horizontal="center"/>
      <protection locked="0"/>
    </xf>
    <xf numFmtId="0" fontId="21" fillId="10" borderId="49" xfId="0" applyFont="1" applyFill="1" applyBorder="1" applyAlignment="1" applyProtection="1">
      <alignment horizontal="center"/>
      <protection locked="0"/>
    </xf>
    <xf numFmtId="0" fontId="5" fillId="10" borderId="50" xfId="0" applyFont="1" applyFill="1" applyBorder="1" applyProtection="1">
      <protection locked="0"/>
    </xf>
    <xf numFmtId="0" fontId="6" fillId="10" borderId="50" xfId="0" applyFont="1" applyFill="1" applyBorder="1" applyProtection="1">
      <protection locked="0"/>
    </xf>
    <xf numFmtId="0" fontId="6" fillId="10" borderId="50" xfId="0" applyFont="1" applyFill="1" applyBorder="1" applyAlignment="1" applyProtection="1">
      <alignment horizontal="center" vertical="center"/>
      <protection locked="0"/>
    </xf>
    <xf numFmtId="0" fontId="6" fillId="10" borderId="50" xfId="0" applyFont="1" applyFill="1" applyBorder="1" applyAlignment="1" applyProtection="1">
      <alignment horizontal="center"/>
      <protection locked="0"/>
    </xf>
    <xf numFmtId="167" fontId="5" fillId="10" borderId="50" xfId="0" applyNumberFormat="1" applyFont="1" applyFill="1" applyBorder="1" applyAlignment="1" applyProtection="1">
      <alignment horizontal="center"/>
      <protection locked="0"/>
    </xf>
    <xf numFmtId="14" fontId="5" fillId="10" borderId="93" xfId="0" applyNumberFormat="1" applyFont="1" applyFill="1" applyBorder="1" applyAlignment="1" applyProtection="1">
      <alignment horizontal="center"/>
      <protection locked="0"/>
    </xf>
    <xf numFmtId="166" fontId="5" fillId="10" borderId="14" xfId="3" applyFont="1" applyFill="1" applyBorder="1" applyAlignment="1" applyProtection="1">
      <alignment horizontal="center"/>
      <protection locked="0"/>
    </xf>
    <xf numFmtId="166" fontId="5" fillId="10" borderId="76" xfId="3" applyFont="1" applyFill="1" applyBorder="1" applyAlignment="1" applyProtection="1">
      <alignment horizontal="center"/>
      <protection locked="0"/>
    </xf>
    <xf numFmtId="166" fontId="5" fillId="13" borderId="78" xfId="3" applyFont="1" applyFill="1" applyBorder="1" applyAlignment="1" applyProtection="1">
      <alignment horizontal="center"/>
      <protection locked="0"/>
    </xf>
    <xf numFmtId="166" fontId="5" fillId="11" borderId="89" xfId="3" applyFont="1" applyFill="1" applyBorder="1" applyAlignment="1" applyProtection="1">
      <alignment horizontal="center"/>
      <protection locked="0"/>
    </xf>
    <xf numFmtId="166" fontId="5" fillId="11" borderId="90" xfId="3" applyFont="1" applyFill="1" applyBorder="1" applyAlignment="1" applyProtection="1">
      <alignment horizontal="center"/>
      <protection locked="0"/>
    </xf>
    <xf numFmtId="43" fontId="0" fillId="0" borderId="0" xfId="0" applyNumberFormat="1"/>
    <xf numFmtId="166" fontId="13" fillId="11" borderId="79" xfId="3" applyFont="1" applyFill="1" applyBorder="1" applyAlignment="1" applyProtection="1">
      <alignment horizontal="center"/>
      <protection locked="0"/>
    </xf>
    <xf numFmtId="166" fontId="5" fillId="11" borderId="79" xfId="3" applyFont="1" applyFill="1" applyBorder="1" applyAlignment="1" applyProtection="1">
      <alignment horizontal="center"/>
      <protection locked="0"/>
    </xf>
    <xf numFmtId="165" fontId="7" fillId="16" borderId="23" xfId="0" applyNumberFormat="1" applyFont="1" applyFill="1" applyBorder="1" applyProtection="1">
      <protection locked="0"/>
    </xf>
    <xf numFmtId="166" fontId="6" fillId="0" borderId="0" xfId="0" applyNumberFormat="1" applyFont="1" applyProtection="1">
      <protection locked="0"/>
    </xf>
    <xf numFmtId="0" fontId="5" fillId="13" borderId="50" xfId="0" applyFont="1" applyFill="1" applyBorder="1" applyAlignment="1" applyProtection="1">
      <alignment horizontal="left" vertical="center"/>
      <protection locked="0"/>
    </xf>
    <xf numFmtId="9" fontId="6" fillId="13" borderId="50" xfId="0" applyNumberFormat="1" applyFont="1" applyFill="1" applyBorder="1" applyProtection="1">
      <protection locked="0"/>
    </xf>
    <xf numFmtId="9" fontId="6" fillId="13" borderId="50" xfId="0" applyNumberFormat="1" applyFont="1" applyFill="1" applyBorder="1" applyAlignment="1" applyProtection="1">
      <alignment horizontal="center"/>
      <protection locked="0"/>
    </xf>
    <xf numFmtId="2" fontId="52" fillId="13" borderId="95" xfId="0" applyNumberFormat="1" applyFont="1" applyFill="1" applyBorder="1" applyAlignment="1" applyProtection="1">
      <alignment horizontal="center"/>
      <protection locked="0"/>
    </xf>
    <xf numFmtId="165" fontId="6" fillId="13" borderId="3" xfId="3" applyNumberFormat="1" applyFont="1" applyFill="1" applyBorder="1" applyAlignment="1" applyProtection="1">
      <alignment horizontal="center"/>
      <protection locked="0"/>
    </xf>
    <xf numFmtId="9" fontId="6" fillId="13" borderId="3" xfId="2" applyFont="1" applyFill="1" applyBorder="1" applyAlignment="1" applyProtection="1">
      <alignment horizontal="center" vertical="center"/>
      <protection locked="0"/>
    </xf>
    <xf numFmtId="167" fontId="5" fillId="13" borderId="3" xfId="0" applyNumberFormat="1" applyFont="1" applyFill="1" applyBorder="1" applyAlignment="1" applyProtection="1">
      <alignment horizontal="center"/>
      <protection locked="0"/>
    </xf>
    <xf numFmtId="0" fontId="6" fillId="13" borderId="25" xfId="0" applyFont="1" applyFill="1" applyBorder="1" applyProtection="1">
      <protection locked="0"/>
    </xf>
    <xf numFmtId="165" fontId="6" fillId="13" borderId="2" xfId="0" applyNumberFormat="1" applyFont="1" applyFill="1" applyBorder="1" applyAlignment="1" applyProtection="1">
      <alignment horizontal="center"/>
      <protection locked="0"/>
    </xf>
    <xf numFmtId="9" fontId="6" fillId="13" borderId="2" xfId="2" applyFont="1" applyFill="1" applyBorder="1" applyAlignment="1" applyProtection="1">
      <alignment horizontal="center" vertical="center"/>
      <protection locked="0"/>
    </xf>
    <xf numFmtId="14" fontId="52" fillId="13" borderId="9" xfId="0" applyNumberFormat="1" applyFont="1" applyFill="1" applyBorder="1" applyAlignment="1" applyProtection="1">
      <alignment horizontal="center"/>
      <protection locked="0"/>
    </xf>
    <xf numFmtId="166" fontId="5" fillId="13" borderId="14" xfId="3" applyFont="1" applyFill="1" applyBorder="1" applyAlignment="1" applyProtection="1">
      <alignment horizontal="center"/>
      <protection locked="0"/>
    </xf>
    <xf numFmtId="14" fontId="5" fillId="13" borderId="93" xfId="0" applyNumberFormat="1" applyFont="1" applyFill="1" applyBorder="1" applyAlignment="1" applyProtection="1">
      <alignment horizontal="center"/>
      <protection locked="0"/>
    </xf>
    <xf numFmtId="14" fontId="52" fillId="13" borderId="72" xfId="0" applyNumberFormat="1" applyFont="1" applyFill="1" applyBorder="1" applyAlignment="1" applyProtection="1">
      <alignment horizontal="center"/>
      <protection locked="0"/>
    </xf>
    <xf numFmtId="15" fontId="25" fillId="0" borderId="2" xfId="0" applyNumberFormat="1" applyFont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13" fillId="11" borderId="92" xfId="0" applyNumberFormat="1" applyFont="1" applyFill="1" applyBorder="1" applyAlignment="1" applyProtection="1">
      <alignment horizontal="center"/>
      <protection locked="0"/>
    </xf>
    <xf numFmtId="2" fontId="52" fillId="10" borderId="75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0" fontId="5" fillId="10" borderId="1" xfId="0" applyFont="1" applyFill="1" applyBorder="1" applyProtection="1">
      <protection locked="0"/>
    </xf>
    <xf numFmtId="0" fontId="21" fillId="10" borderId="88" xfId="0" applyFont="1" applyFill="1" applyBorder="1" applyAlignment="1" applyProtection="1">
      <alignment horizontal="center"/>
      <protection locked="0"/>
    </xf>
    <xf numFmtId="0" fontId="5" fillId="10" borderId="86" xfId="0" applyFont="1" applyFill="1" applyBorder="1" applyProtection="1">
      <protection locked="0"/>
    </xf>
    <xf numFmtId="0" fontId="6" fillId="10" borderId="86" xfId="0" applyFont="1" applyFill="1" applyBorder="1" applyProtection="1">
      <protection locked="0"/>
    </xf>
    <xf numFmtId="0" fontId="6" fillId="10" borderId="86" xfId="0" applyFont="1" applyFill="1" applyBorder="1" applyAlignment="1" applyProtection="1">
      <alignment horizontal="center" vertical="center"/>
      <protection locked="0"/>
    </xf>
    <xf numFmtId="0" fontId="6" fillId="10" borderId="86" xfId="0" applyFont="1" applyFill="1" applyBorder="1" applyAlignment="1" applyProtection="1">
      <alignment horizontal="center"/>
      <protection locked="0"/>
    </xf>
    <xf numFmtId="167" fontId="5" fillId="10" borderId="15" xfId="0" applyNumberFormat="1" applyFont="1" applyFill="1" applyBorder="1" applyAlignment="1" applyProtection="1">
      <alignment horizontal="center"/>
      <protection locked="0"/>
    </xf>
    <xf numFmtId="166" fontId="5" fillId="10" borderId="92" xfId="3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9" fontId="6" fillId="11" borderId="27" xfId="0" applyNumberFormat="1" applyFont="1" applyFill="1" applyBorder="1" applyProtection="1">
      <protection locked="0"/>
    </xf>
    <xf numFmtId="9" fontId="6" fillId="11" borderId="27" xfId="0" applyNumberFormat="1" applyFont="1" applyFill="1" applyBorder="1" applyAlignment="1" applyProtection="1">
      <alignment horizontal="center" vertical="center"/>
      <protection locked="0"/>
    </xf>
    <xf numFmtId="0" fontId="6" fillId="11" borderId="27" xfId="2" applyNumberFormat="1" applyFont="1" applyFill="1" applyBorder="1" applyAlignment="1" applyProtection="1">
      <alignment horizontal="center"/>
      <protection locked="0"/>
    </xf>
    <xf numFmtId="14" fontId="52" fillId="11" borderId="74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11" borderId="96" xfId="0" applyFont="1" applyFill="1" applyBorder="1" applyAlignment="1" applyProtection="1">
      <alignment horizontal="center" vertical="center"/>
      <protection locked="0"/>
    </xf>
    <xf numFmtId="9" fontId="6" fillId="11" borderId="96" xfId="2" applyFont="1" applyFill="1" applyBorder="1" applyAlignment="1" applyProtection="1">
      <alignment horizontal="center"/>
      <protection locked="0"/>
    </xf>
    <xf numFmtId="0" fontId="6" fillId="11" borderId="50" xfId="0" applyFont="1" applyFill="1" applyBorder="1" applyAlignment="1" applyProtection="1">
      <alignment horizontal="center" vertical="center"/>
      <protection locked="0"/>
    </xf>
    <xf numFmtId="166" fontId="25" fillId="7" borderId="0" xfId="3" applyFont="1" applyFill="1" applyProtection="1">
      <protection locked="0"/>
    </xf>
    <xf numFmtId="0" fontId="53" fillId="7" borderId="0" xfId="0" applyFont="1" applyFill="1" applyProtection="1">
      <protection locked="0"/>
    </xf>
    <xf numFmtId="14" fontId="52" fillId="13" borderId="64" xfId="0" applyNumberFormat="1" applyFont="1" applyFill="1" applyBorder="1" applyAlignment="1" applyProtection="1">
      <alignment horizontal="center"/>
      <protection locked="0"/>
    </xf>
    <xf numFmtId="0" fontId="21" fillId="10" borderId="98" xfId="0" applyFont="1" applyFill="1" applyBorder="1" applyAlignment="1" applyProtection="1">
      <alignment horizontal="center"/>
      <protection locked="0"/>
    </xf>
    <xf numFmtId="0" fontId="5" fillId="10" borderId="97" xfId="0" applyFont="1" applyFill="1" applyBorder="1" applyProtection="1">
      <protection locked="0"/>
    </xf>
    <xf numFmtId="0" fontId="6" fillId="10" borderId="97" xfId="0" applyFont="1" applyFill="1" applyBorder="1" applyProtection="1">
      <protection locked="0"/>
    </xf>
    <xf numFmtId="0" fontId="6" fillId="10" borderId="97" xfId="0" applyFont="1" applyFill="1" applyBorder="1" applyAlignment="1" applyProtection="1">
      <alignment horizontal="center" vertical="center"/>
      <protection locked="0"/>
    </xf>
    <xf numFmtId="0" fontId="6" fillId="10" borderId="97" xfId="0" applyFont="1" applyFill="1" applyBorder="1" applyAlignment="1" applyProtection="1">
      <alignment horizontal="center"/>
      <protection locked="0"/>
    </xf>
    <xf numFmtId="167" fontId="5" fillId="10" borderId="97" xfId="0" applyNumberFormat="1" applyFont="1" applyFill="1" applyBorder="1" applyAlignment="1" applyProtection="1">
      <alignment horizontal="center"/>
      <protection locked="0"/>
    </xf>
    <xf numFmtId="166" fontId="5" fillId="10" borderId="99" xfId="3" applyFont="1" applyFill="1" applyBorder="1" applyAlignment="1" applyProtection="1">
      <alignment horizontal="center"/>
      <protection locked="0"/>
    </xf>
    <xf numFmtId="14" fontId="5" fillId="10" borderId="100" xfId="0" applyNumberFormat="1" applyFont="1" applyFill="1" applyBorder="1" applyAlignment="1" applyProtection="1">
      <alignment horizontal="center"/>
      <protection locked="0"/>
    </xf>
    <xf numFmtId="9" fontId="6" fillId="11" borderId="3" xfId="2" applyFont="1" applyFill="1" applyBorder="1" applyAlignment="1" applyProtection="1">
      <alignment horizontal="center"/>
      <protection locked="0"/>
    </xf>
    <xf numFmtId="167" fontId="5" fillId="11" borderId="64" xfId="0" applyNumberFormat="1" applyFont="1" applyFill="1" applyBorder="1" applyAlignment="1" applyProtection="1">
      <alignment horizontal="center"/>
      <protection locked="0"/>
    </xf>
    <xf numFmtId="0" fontId="54" fillId="11" borderId="2" xfId="0" applyFont="1" applyFill="1" applyBorder="1" applyAlignment="1" applyProtection="1">
      <alignment horizontal="center" vertical="center"/>
      <protection locked="0"/>
    </xf>
    <xf numFmtId="14" fontId="5" fillId="11" borderId="101" xfId="0" applyNumberFormat="1" applyFont="1" applyFill="1" applyBorder="1" applyAlignment="1" applyProtection="1">
      <alignment horizontal="center"/>
      <protection locked="0"/>
    </xf>
    <xf numFmtId="14" fontId="5" fillId="11" borderId="102" xfId="0" applyNumberFormat="1" applyFont="1" applyFill="1" applyBorder="1" applyAlignment="1" applyProtection="1">
      <alignment horizontal="center"/>
      <protection locked="0"/>
    </xf>
    <xf numFmtId="0" fontId="6" fillId="11" borderId="103" xfId="0" applyFont="1" applyFill="1" applyBorder="1" applyProtection="1">
      <protection locked="0"/>
    </xf>
    <xf numFmtId="0" fontId="21" fillId="11" borderId="104" xfId="0" applyFont="1" applyFill="1" applyBorder="1" applyAlignment="1" applyProtection="1">
      <alignment horizontal="center"/>
      <protection locked="0"/>
    </xf>
    <xf numFmtId="0" fontId="5" fillId="11" borderId="96" xfId="0" applyFont="1" applyFill="1" applyBorder="1" applyProtection="1">
      <protection locked="0"/>
    </xf>
    <xf numFmtId="0" fontId="5" fillId="11" borderId="50" xfId="0" applyFont="1" applyFill="1" applyBorder="1" applyProtection="1">
      <protection locked="0"/>
    </xf>
    <xf numFmtId="0" fontId="21" fillId="11" borderId="49" xfId="0" applyFont="1" applyFill="1" applyBorder="1" applyAlignment="1" applyProtection="1">
      <alignment horizontal="center"/>
      <protection locked="0"/>
    </xf>
    <xf numFmtId="167" fontId="13" fillId="11" borderId="105" xfId="0" applyNumberFormat="1" applyFont="1" applyFill="1" applyBorder="1" applyAlignment="1" applyProtection="1">
      <alignment horizontal="center"/>
      <protection locked="0"/>
    </xf>
    <xf numFmtId="167" fontId="13" fillId="11" borderId="99" xfId="0" applyNumberFormat="1" applyFont="1" applyFill="1" applyBorder="1" applyAlignment="1" applyProtection="1">
      <alignment horizontal="center"/>
      <protection locked="0"/>
    </xf>
    <xf numFmtId="167" fontId="13" fillId="11" borderId="14" xfId="0" applyNumberFormat="1" applyFont="1" applyFill="1" applyBorder="1" applyAlignment="1" applyProtection="1">
      <alignment horizontal="center"/>
      <protection locked="0"/>
    </xf>
    <xf numFmtId="14" fontId="5" fillId="11" borderId="106" xfId="0" applyNumberFormat="1" applyFont="1" applyFill="1" applyBorder="1" applyAlignment="1" applyProtection="1">
      <alignment horizontal="center"/>
      <protection locked="0"/>
    </xf>
    <xf numFmtId="14" fontId="13" fillId="11" borderId="100" xfId="0" applyNumberFormat="1" applyFont="1" applyFill="1" applyBorder="1" applyAlignment="1" applyProtection="1">
      <alignment horizontal="center"/>
      <protection locked="0"/>
    </xf>
    <xf numFmtId="14" fontId="5" fillId="11" borderId="100" xfId="0" applyNumberFormat="1" applyFont="1" applyFill="1" applyBorder="1" applyAlignment="1" applyProtection="1">
      <alignment horizontal="center"/>
      <protection locked="0"/>
    </xf>
    <xf numFmtId="14" fontId="13" fillId="11" borderId="93" xfId="0" applyNumberFormat="1" applyFont="1" applyFill="1" applyBorder="1" applyAlignment="1" applyProtection="1">
      <alignment horizontal="center"/>
      <protection locked="0"/>
    </xf>
    <xf numFmtId="14" fontId="13" fillId="11" borderId="102" xfId="0" applyNumberFormat="1" applyFont="1" applyFill="1" applyBorder="1" applyAlignment="1" applyProtection="1">
      <alignment horizontal="center"/>
      <protection locked="0"/>
    </xf>
    <xf numFmtId="167" fontId="52" fillId="13" borderId="2" xfId="0" applyNumberFormat="1" applyFont="1" applyFill="1" applyBorder="1" applyAlignment="1" applyProtection="1">
      <alignment horizontal="center"/>
      <protection locked="0"/>
    </xf>
    <xf numFmtId="167" fontId="5" fillId="11" borderId="10" xfId="0" applyNumberFormat="1" applyFont="1" applyFill="1" applyBorder="1" applyAlignment="1" applyProtection="1">
      <alignment horizontal="center"/>
      <protection locked="0"/>
    </xf>
    <xf numFmtId="14" fontId="23" fillId="11" borderId="73" xfId="0" applyNumberFormat="1" applyFont="1" applyFill="1" applyBorder="1" applyProtection="1">
      <protection locked="0"/>
    </xf>
    <xf numFmtId="0" fontId="5" fillId="11" borderId="2" xfId="0" applyFont="1" applyFill="1" applyBorder="1" applyAlignment="1" applyProtection="1">
      <alignment vertical="center"/>
      <protection locked="0"/>
    </xf>
    <xf numFmtId="166" fontId="13" fillId="7" borderId="0" xfId="3" applyFont="1" applyFill="1" applyAlignment="1" applyProtection="1">
      <alignment horizontal="center" vertical="center"/>
      <protection locked="0"/>
    </xf>
    <xf numFmtId="2" fontId="5" fillId="6" borderId="58" xfId="0" applyNumberFormat="1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vertical="center"/>
      <protection locked="0"/>
    </xf>
    <xf numFmtId="0" fontId="5" fillId="10" borderId="107" xfId="0" applyFont="1" applyFill="1" applyBorder="1" applyProtection="1">
      <protection locked="0"/>
    </xf>
    <xf numFmtId="0" fontId="5" fillId="10" borderId="108" xfId="0" applyFont="1" applyFill="1" applyBorder="1" applyProtection="1">
      <protection locked="0"/>
    </xf>
    <xf numFmtId="0" fontId="5" fillId="10" borderId="109" xfId="0" applyFont="1" applyFill="1" applyBorder="1" applyProtection="1">
      <protection locked="0"/>
    </xf>
    <xf numFmtId="14" fontId="52" fillId="11" borderId="102" xfId="0" applyNumberFormat="1" applyFont="1" applyFill="1" applyBorder="1" applyAlignment="1" applyProtection="1">
      <alignment horizontal="center"/>
      <protection locked="0"/>
    </xf>
    <xf numFmtId="2" fontId="52" fillId="11" borderId="58" xfId="0" applyNumberFormat="1" applyFont="1" applyFill="1" applyBorder="1" applyAlignment="1" applyProtection="1">
      <alignment horizontal="center"/>
      <protection locked="0"/>
    </xf>
    <xf numFmtId="0" fontId="5" fillId="11" borderId="14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3" fillId="2" borderId="52" xfId="0" applyFont="1" applyFill="1" applyBorder="1" applyAlignment="1">
      <alignment horizontal="center" vertical="center" textRotation="90"/>
    </xf>
    <xf numFmtId="0" fontId="43" fillId="2" borderId="51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3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6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167" fontId="13" fillId="13" borderId="28" xfId="0" applyNumberFormat="1" applyFont="1" applyFill="1" applyBorder="1" applyAlignment="1" applyProtection="1">
      <alignment horizontal="center" vertical="center"/>
      <protection locked="0"/>
    </xf>
    <xf numFmtId="166" fontId="5" fillId="11" borderId="28" xfId="3" applyFont="1" applyFill="1" applyBorder="1" applyAlignment="1" applyProtection="1">
      <alignment horizontal="center" vertical="center"/>
      <protection locked="0"/>
    </xf>
    <xf numFmtId="167" fontId="13" fillId="10" borderId="28" xfId="0" applyNumberFormat="1" applyFont="1" applyFill="1" applyBorder="1" applyAlignment="1" applyProtection="1">
      <alignment horizontal="center" vertical="center"/>
      <protection locked="0"/>
    </xf>
    <xf numFmtId="167" fontId="5" fillId="18" borderId="94" xfId="0" applyNumberFormat="1" applyFont="1" applyFill="1" applyBorder="1" applyAlignment="1" applyProtection="1">
      <alignment horizontal="center" vertical="center"/>
      <protection locked="0"/>
    </xf>
    <xf numFmtId="167" fontId="5" fillId="18" borderId="28" xfId="0" applyNumberFormat="1" applyFont="1" applyFill="1" applyBorder="1" applyAlignment="1" applyProtection="1">
      <alignment horizontal="center" vertical="center"/>
      <protection locked="0"/>
    </xf>
    <xf numFmtId="167" fontId="13" fillId="11" borderId="28" xfId="0" applyNumberFormat="1" applyFont="1" applyFill="1" applyBorder="1" applyAlignment="1" applyProtection="1">
      <alignment horizontal="center" vertical="center"/>
      <protection locked="0"/>
    </xf>
    <xf numFmtId="167" fontId="7" fillId="10" borderId="56" xfId="0" applyNumberFormat="1" applyFont="1" applyFill="1" applyBorder="1" applyAlignment="1" applyProtection="1">
      <alignment horizontal="center" vertical="center"/>
      <protection locked="0"/>
    </xf>
    <xf numFmtId="167" fontId="13" fillId="10" borderId="4" xfId="0" applyNumberFormat="1" applyFont="1" applyFill="1" applyBorder="1" applyAlignment="1" applyProtection="1">
      <alignment horizontal="center" vertical="center"/>
      <protection locked="0"/>
    </xf>
    <xf numFmtId="167" fontId="7" fillId="10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167" fontId="5" fillId="13" borderId="28" xfId="0" applyNumberFormat="1" applyFont="1" applyFill="1" applyBorder="1" applyAlignment="1" applyProtection="1">
      <alignment horizontal="center" vertical="center"/>
      <protection locked="0"/>
    </xf>
    <xf numFmtId="167" fontId="13" fillId="13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0" fontId="5" fillId="13" borderId="92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left" vertical="center" wrapText="1"/>
      <protection locked="0"/>
    </xf>
    <xf numFmtId="0" fontId="5" fillId="11" borderId="18" xfId="0" applyFont="1" applyFill="1" applyBorder="1" applyAlignment="1" applyProtection="1">
      <alignment horizontal="left" vertical="center" wrapText="1"/>
      <protection locked="0"/>
    </xf>
    <xf numFmtId="0" fontId="5" fillId="11" borderId="79" xfId="0" applyFont="1" applyFill="1" applyBorder="1" applyAlignment="1" applyProtection="1">
      <alignment horizontal="left" vertical="center" wrapText="1"/>
      <protection locked="0"/>
    </xf>
    <xf numFmtId="0" fontId="5" fillId="11" borderId="92" xfId="0" applyFont="1" applyFill="1" applyBorder="1" applyAlignment="1" applyProtection="1">
      <alignment horizontal="center"/>
      <protection locked="0"/>
    </xf>
    <xf numFmtId="0" fontId="5" fillId="11" borderId="14" xfId="0" applyFont="1" applyFill="1" applyBorder="1" applyAlignment="1" applyProtection="1">
      <alignment horizontal="center"/>
      <protection locked="0"/>
    </xf>
    <xf numFmtId="0" fontId="5" fillId="13" borderId="79" xfId="0" applyFont="1" applyFill="1" applyBorder="1" applyAlignment="1" applyProtection="1">
      <alignment horizontal="left" vertical="center"/>
      <protection locked="0"/>
    </xf>
    <xf numFmtId="0" fontId="5" fillId="11" borderId="92" xfId="0" applyFont="1" applyFill="1" applyBorder="1" applyAlignment="1" applyProtection="1">
      <alignment horizontal="center" vertical="center" wrapText="1"/>
      <protection locked="0"/>
    </xf>
    <xf numFmtId="0" fontId="5" fillId="11" borderId="18" xfId="0" applyFont="1" applyFill="1" applyBorder="1" applyAlignment="1" applyProtection="1">
      <alignment horizontal="center" vertical="center" wrapText="1"/>
      <protection locked="0"/>
    </xf>
    <xf numFmtId="0" fontId="5" fillId="11" borderId="79" xfId="0" applyFont="1" applyFill="1" applyBorder="1" applyAlignment="1" applyProtection="1">
      <alignment horizontal="center" vertical="center" wrapText="1"/>
      <protection locked="0"/>
    </xf>
    <xf numFmtId="0" fontId="5" fillId="11" borderId="92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0" fontId="5" fillId="13" borderId="13" xfId="0" applyFont="1" applyFill="1" applyBorder="1" applyAlignment="1" applyProtection="1">
      <alignment horizontal="left" vertical="center"/>
      <protection locked="0"/>
    </xf>
    <xf numFmtId="0" fontId="5" fillId="13" borderId="92" xfId="0" applyFont="1" applyFill="1" applyBorder="1" applyAlignment="1" applyProtection="1">
      <alignment horizontal="left" vertical="center" wrapText="1"/>
      <protection locked="0"/>
    </xf>
    <xf numFmtId="0" fontId="5" fillId="13" borderId="18" xfId="0" applyFont="1" applyFill="1" applyBorder="1" applyAlignment="1" applyProtection="1">
      <alignment horizontal="left" vertical="center" wrapText="1"/>
      <protection locked="0"/>
    </xf>
    <xf numFmtId="0" fontId="5" fillId="13" borderId="14" xfId="0" applyFont="1" applyFill="1" applyBorder="1" applyAlignment="1" applyProtection="1">
      <alignment horizontal="left" vertical="center" wrapText="1"/>
      <protection locked="0"/>
    </xf>
    <xf numFmtId="0" fontId="5" fillId="10" borderId="92" xfId="0" applyFont="1" applyFill="1" applyBorder="1" applyAlignment="1" applyProtection="1">
      <alignment horizontal="center" vertical="center" wrapText="1"/>
      <protection locked="0"/>
    </xf>
    <xf numFmtId="0" fontId="5" fillId="10" borderId="18" xfId="0" applyFont="1" applyFill="1" applyBorder="1" applyAlignment="1" applyProtection="1">
      <alignment horizontal="center" vertical="center" wrapText="1"/>
      <protection locked="0"/>
    </xf>
    <xf numFmtId="0" fontId="5" fillId="10" borderId="79" xfId="0" applyFont="1" applyFill="1" applyBorder="1" applyAlignment="1" applyProtection="1">
      <alignment horizontal="center" vertical="center" wrapText="1"/>
      <protection locked="0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14" fontId="52" fillId="11" borderId="9" xfId="0" applyNumberFormat="1" applyFont="1" applyFill="1" applyBorder="1" applyAlignment="1" applyProtection="1">
      <alignment horizontal="center"/>
      <protection locked="0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3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Cashflow!$F$4:$CP$4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4037445.8078627745</c:v>
                </c:pt>
                <c:pt idx="6">
                  <c:v>4037445.8078627745</c:v>
                </c:pt>
                <c:pt idx="7">
                  <c:v>4037445.8078627745</c:v>
                </c:pt>
                <c:pt idx="8">
                  <c:v>4037445.8078627745</c:v>
                </c:pt>
                <c:pt idx="9">
                  <c:v>4037445.8078627745</c:v>
                </c:pt>
                <c:pt idx="10">
                  <c:v>4037445.8078627745</c:v>
                </c:pt>
                <c:pt idx="11">
                  <c:v>4037445.8078627745</c:v>
                </c:pt>
                <c:pt idx="12">
                  <c:v>4037445.8078627745</c:v>
                </c:pt>
                <c:pt idx="13">
                  <c:v>4037445.8078627745</c:v>
                </c:pt>
                <c:pt idx="14">
                  <c:v>4037445.8078627745</c:v>
                </c:pt>
                <c:pt idx="15">
                  <c:v>4037445.8078627745</c:v>
                </c:pt>
                <c:pt idx="16">
                  <c:v>7498113.6431737244</c:v>
                </c:pt>
                <c:pt idx="17">
                  <c:v>7498113.6431737244</c:v>
                </c:pt>
                <c:pt idx="18">
                  <c:v>7498113.6431737244</c:v>
                </c:pt>
                <c:pt idx="19">
                  <c:v>9805225.5333810244</c:v>
                </c:pt>
                <c:pt idx="20">
                  <c:v>9805225.5333810244</c:v>
                </c:pt>
                <c:pt idx="21">
                  <c:v>9805225.5333810244</c:v>
                </c:pt>
                <c:pt idx="22">
                  <c:v>9805225.5333810244</c:v>
                </c:pt>
                <c:pt idx="23">
                  <c:v>9805225.5333810244</c:v>
                </c:pt>
                <c:pt idx="24">
                  <c:v>9805225.5333810244</c:v>
                </c:pt>
                <c:pt idx="25">
                  <c:v>9805225.5333810244</c:v>
                </c:pt>
                <c:pt idx="26">
                  <c:v>9805225.5333810244</c:v>
                </c:pt>
                <c:pt idx="27">
                  <c:v>11076666.538484674</c:v>
                </c:pt>
                <c:pt idx="28">
                  <c:v>11076666.538484674</c:v>
                </c:pt>
                <c:pt idx="29">
                  <c:v>11076666.538484674</c:v>
                </c:pt>
                <c:pt idx="30">
                  <c:v>11729547.5310365</c:v>
                </c:pt>
                <c:pt idx="31">
                  <c:v>11729547.5310365</c:v>
                </c:pt>
                <c:pt idx="32">
                  <c:v>11729547.5310365</c:v>
                </c:pt>
                <c:pt idx="33">
                  <c:v>11729547.5310365</c:v>
                </c:pt>
                <c:pt idx="34">
                  <c:v>11729547.5310365</c:v>
                </c:pt>
                <c:pt idx="35">
                  <c:v>11729547.5310365</c:v>
                </c:pt>
                <c:pt idx="36">
                  <c:v>11729547.5310365</c:v>
                </c:pt>
                <c:pt idx="37">
                  <c:v>11729547.5310365</c:v>
                </c:pt>
                <c:pt idx="38">
                  <c:v>11729547.5310365</c:v>
                </c:pt>
                <c:pt idx="39">
                  <c:v>11729547.5310365</c:v>
                </c:pt>
                <c:pt idx="40">
                  <c:v>11729547.5310365</c:v>
                </c:pt>
                <c:pt idx="41">
                  <c:v>11729547.5310365</c:v>
                </c:pt>
                <c:pt idx="42">
                  <c:v>11729547.5310365</c:v>
                </c:pt>
                <c:pt idx="43">
                  <c:v>11729547.5310365</c:v>
                </c:pt>
                <c:pt idx="44">
                  <c:v>11729547.5310365</c:v>
                </c:pt>
                <c:pt idx="45">
                  <c:v>11729547.5310365</c:v>
                </c:pt>
                <c:pt idx="46">
                  <c:v>11729547.5310365</c:v>
                </c:pt>
                <c:pt idx="47">
                  <c:v>11729547.5310365</c:v>
                </c:pt>
                <c:pt idx="48">
                  <c:v>11729547.5310365</c:v>
                </c:pt>
                <c:pt idx="49">
                  <c:v>11729547.5310365</c:v>
                </c:pt>
                <c:pt idx="50">
                  <c:v>11729547.5310365</c:v>
                </c:pt>
                <c:pt idx="51">
                  <c:v>11729547.5310365</c:v>
                </c:pt>
                <c:pt idx="52">
                  <c:v>11729547.5310365</c:v>
                </c:pt>
                <c:pt idx="53">
                  <c:v>11729547.5310365</c:v>
                </c:pt>
                <c:pt idx="54">
                  <c:v>11729547.5310365</c:v>
                </c:pt>
                <c:pt idx="55">
                  <c:v>11729547.5310365</c:v>
                </c:pt>
                <c:pt idx="56">
                  <c:v>11729547.5310365</c:v>
                </c:pt>
                <c:pt idx="57">
                  <c:v>11729547.5310365</c:v>
                </c:pt>
                <c:pt idx="58">
                  <c:v>11729547.5310365</c:v>
                </c:pt>
                <c:pt idx="59">
                  <c:v>11729547.5310365</c:v>
                </c:pt>
                <c:pt idx="60">
                  <c:v>11729547.5310365</c:v>
                </c:pt>
                <c:pt idx="61">
                  <c:v>11729547.5310365</c:v>
                </c:pt>
                <c:pt idx="62">
                  <c:v>11729547.5310365</c:v>
                </c:pt>
                <c:pt idx="63">
                  <c:v>11729547.5310365</c:v>
                </c:pt>
                <c:pt idx="64">
                  <c:v>11729547.5310365</c:v>
                </c:pt>
                <c:pt idx="65">
                  <c:v>11729547.5310365</c:v>
                </c:pt>
                <c:pt idx="66">
                  <c:v>11729547.5310365</c:v>
                </c:pt>
                <c:pt idx="67">
                  <c:v>11729547.5310365</c:v>
                </c:pt>
                <c:pt idx="68">
                  <c:v>11729547.5310365</c:v>
                </c:pt>
                <c:pt idx="69">
                  <c:v>11729547.5310365</c:v>
                </c:pt>
                <c:pt idx="70">
                  <c:v>11729547.5310365</c:v>
                </c:pt>
                <c:pt idx="71">
                  <c:v>11729547.5310365</c:v>
                </c:pt>
                <c:pt idx="72">
                  <c:v>11729547.5310365</c:v>
                </c:pt>
                <c:pt idx="73">
                  <c:v>11729547.5310365</c:v>
                </c:pt>
                <c:pt idx="74">
                  <c:v>11729547.5310365</c:v>
                </c:pt>
                <c:pt idx="75">
                  <c:v>11729547.5310365</c:v>
                </c:pt>
                <c:pt idx="76">
                  <c:v>11729547.5310365</c:v>
                </c:pt>
                <c:pt idx="77">
                  <c:v>11729547.5310365</c:v>
                </c:pt>
                <c:pt idx="78">
                  <c:v>11729547.5310365</c:v>
                </c:pt>
                <c:pt idx="79">
                  <c:v>11729547.5310365</c:v>
                </c:pt>
                <c:pt idx="80">
                  <c:v>11729547.5310365</c:v>
                </c:pt>
                <c:pt idx="81">
                  <c:v>11729547.5310365</c:v>
                </c:pt>
                <c:pt idx="82">
                  <c:v>11729547.5310365</c:v>
                </c:pt>
                <c:pt idx="83">
                  <c:v>11729547.5310365</c:v>
                </c:pt>
                <c:pt idx="84">
                  <c:v>11729547.5310365</c:v>
                </c:pt>
                <c:pt idx="85">
                  <c:v>11729547.5310365</c:v>
                </c:pt>
                <c:pt idx="86">
                  <c:v>11729547.5310365</c:v>
                </c:pt>
                <c:pt idx="87">
                  <c:v>11729547.5310365</c:v>
                </c:pt>
                <c:pt idx="88">
                  <c:v>11729547.5310365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Cashflow!$F$6:$CP$6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936612.75260869565</c:v>
                </c:pt>
                <c:pt idx="13">
                  <c:v>1095551.8815217391</c:v>
                </c:pt>
                <c:pt idx="14">
                  <c:v>1095551.8815217391</c:v>
                </c:pt>
                <c:pt idx="15">
                  <c:v>1095551.8815217391</c:v>
                </c:pt>
                <c:pt idx="16">
                  <c:v>1484078.8380434783</c:v>
                </c:pt>
                <c:pt idx="17">
                  <c:v>8198770.7195652174</c:v>
                </c:pt>
                <c:pt idx="18">
                  <c:v>8198770.7195652174</c:v>
                </c:pt>
                <c:pt idx="19">
                  <c:v>8198770.7195652174</c:v>
                </c:pt>
                <c:pt idx="20">
                  <c:v>8457770.7195652165</c:v>
                </c:pt>
                <c:pt idx="21">
                  <c:v>8457770.7195652165</c:v>
                </c:pt>
                <c:pt idx="22">
                  <c:v>8735608.9773913026</c:v>
                </c:pt>
                <c:pt idx="23">
                  <c:v>8826608.9773913026</c:v>
                </c:pt>
                <c:pt idx="24">
                  <c:v>10175927.123333331</c:v>
                </c:pt>
                <c:pt idx="25">
                  <c:v>10175927.123333331</c:v>
                </c:pt>
                <c:pt idx="26">
                  <c:v>10222233.499637678</c:v>
                </c:pt>
                <c:pt idx="27">
                  <c:v>10222233.499637678</c:v>
                </c:pt>
                <c:pt idx="28">
                  <c:v>10222233.499637678</c:v>
                </c:pt>
                <c:pt idx="29">
                  <c:v>10509803.848086953</c:v>
                </c:pt>
                <c:pt idx="30">
                  <c:v>10509803.848086953</c:v>
                </c:pt>
                <c:pt idx="31">
                  <c:v>10509803.848086953</c:v>
                </c:pt>
                <c:pt idx="32">
                  <c:v>10509803.848086953</c:v>
                </c:pt>
                <c:pt idx="33">
                  <c:v>10509803.848086953</c:v>
                </c:pt>
                <c:pt idx="34">
                  <c:v>10509803.848086953</c:v>
                </c:pt>
                <c:pt idx="35">
                  <c:v>10509803.848086953</c:v>
                </c:pt>
                <c:pt idx="36">
                  <c:v>10509803.848086953</c:v>
                </c:pt>
                <c:pt idx="37">
                  <c:v>10509803.848086953</c:v>
                </c:pt>
                <c:pt idx="38">
                  <c:v>10509803.848086953</c:v>
                </c:pt>
                <c:pt idx="39">
                  <c:v>10556110.2243913</c:v>
                </c:pt>
                <c:pt idx="40">
                  <c:v>10556110.2243913</c:v>
                </c:pt>
                <c:pt idx="41">
                  <c:v>10556110.2243913</c:v>
                </c:pt>
                <c:pt idx="42">
                  <c:v>10556110.2243913</c:v>
                </c:pt>
                <c:pt idx="43">
                  <c:v>10556110.2243913</c:v>
                </c:pt>
                <c:pt idx="44">
                  <c:v>10556110.2243913</c:v>
                </c:pt>
                <c:pt idx="45">
                  <c:v>10556110.2243913</c:v>
                </c:pt>
                <c:pt idx="46">
                  <c:v>10556110.2243913</c:v>
                </c:pt>
                <c:pt idx="47">
                  <c:v>10556110.2243913</c:v>
                </c:pt>
                <c:pt idx="48">
                  <c:v>10556110.2243913</c:v>
                </c:pt>
                <c:pt idx="49">
                  <c:v>10556110.2243913</c:v>
                </c:pt>
                <c:pt idx="50">
                  <c:v>10556110.2243913</c:v>
                </c:pt>
                <c:pt idx="51">
                  <c:v>10556110.2243913</c:v>
                </c:pt>
                <c:pt idx="52">
                  <c:v>10556110.2243913</c:v>
                </c:pt>
                <c:pt idx="53">
                  <c:v>10556110.2243913</c:v>
                </c:pt>
                <c:pt idx="54">
                  <c:v>10556110.2243913</c:v>
                </c:pt>
                <c:pt idx="55">
                  <c:v>10556110.2243913</c:v>
                </c:pt>
                <c:pt idx="56">
                  <c:v>10556110.2243913</c:v>
                </c:pt>
                <c:pt idx="57">
                  <c:v>10556110.2243913</c:v>
                </c:pt>
                <c:pt idx="58">
                  <c:v>10556110.2243913</c:v>
                </c:pt>
                <c:pt idx="59">
                  <c:v>10556110.2243913</c:v>
                </c:pt>
                <c:pt idx="60">
                  <c:v>10556110.2243913</c:v>
                </c:pt>
                <c:pt idx="61">
                  <c:v>10556110.2243913</c:v>
                </c:pt>
                <c:pt idx="62">
                  <c:v>10556110.2243913</c:v>
                </c:pt>
                <c:pt idx="63">
                  <c:v>10556110.2243913</c:v>
                </c:pt>
                <c:pt idx="64">
                  <c:v>10556110.2243913</c:v>
                </c:pt>
                <c:pt idx="65">
                  <c:v>10556110.2243913</c:v>
                </c:pt>
                <c:pt idx="66">
                  <c:v>10556110.2243913</c:v>
                </c:pt>
                <c:pt idx="67">
                  <c:v>10556110.2243913</c:v>
                </c:pt>
                <c:pt idx="68">
                  <c:v>10556110.2243913</c:v>
                </c:pt>
                <c:pt idx="69">
                  <c:v>10556110.2243913</c:v>
                </c:pt>
                <c:pt idx="70">
                  <c:v>10556110.2243913</c:v>
                </c:pt>
                <c:pt idx="71">
                  <c:v>10556110.2243913</c:v>
                </c:pt>
                <c:pt idx="72">
                  <c:v>10556110.2243913</c:v>
                </c:pt>
                <c:pt idx="73">
                  <c:v>10556110.2243913</c:v>
                </c:pt>
                <c:pt idx="74">
                  <c:v>10556110.2243913</c:v>
                </c:pt>
                <c:pt idx="75">
                  <c:v>10556110.2243913</c:v>
                </c:pt>
                <c:pt idx="76">
                  <c:v>10556110.2243913</c:v>
                </c:pt>
                <c:pt idx="77">
                  <c:v>10556110.2243913</c:v>
                </c:pt>
                <c:pt idx="78">
                  <c:v>10556110.2243913</c:v>
                </c:pt>
                <c:pt idx="79">
                  <c:v>10556110.2243913</c:v>
                </c:pt>
                <c:pt idx="80">
                  <c:v>10556110.2243913</c:v>
                </c:pt>
                <c:pt idx="81">
                  <c:v>10556110.2243913</c:v>
                </c:pt>
                <c:pt idx="82">
                  <c:v>10556110.2243913</c:v>
                </c:pt>
                <c:pt idx="83">
                  <c:v>10556110.2243913</c:v>
                </c:pt>
                <c:pt idx="84">
                  <c:v>10556110.2243913</c:v>
                </c:pt>
                <c:pt idx="85">
                  <c:v>10556110.2243913</c:v>
                </c:pt>
                <c:pt idx="86">
                  <c:v>10556110.2243913</c:v>
                </c:pt>
                <c:pt idx="87">
                  <c:v>10556110.2243913</c:v>
                </c:pt>
                <c:pt idx="88">
                  <c:v>10556110.2243913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Cashflow!$F$7:$CP$7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4037445.8078627745</c:v>
                </c:pt>
                <c:pt idx="6">
                  <c:v>4037445.8078627745</c:v>
                </c:pt>
                <c:pt idx="7">
                  <c:v>4037445.8078627745</c:v>
                </c:pt>
                <c:pt idx="8">
                  <c:v>4037445.8078627745</c:v>
                </c:pt>
                <c:pt idx="9">
                  <c:v>4037445.8078627745</c:v>
                </c:pt>
                <c:pt idx="10">
                  <c:v>4037445.8078627745</c:v>
                </c:pt>
                <c:pt idx="11">
                  <c:v>4037445.8078627745</c:v>
                </c:pt>
                <c:pt idx="12">
                  <c:v>3100833.0552540789</c:v>
                </c:pt>
                <c:pt idx="13">
                  <c:v>2941893.9263410354</c:v>
                </c:pt>
                <c:pt idx="14">
                  <c:v>2941893.9263410354</c:v>
                </c:pt>
                <c:pt idx="15">
                  <c:v>2941893.9263410354</c:v>
                </c:pt>
                <c:pt idx="16">
                  <c:v>6014034.8051302461</c:v>
                </c:pt>
                <c:pt idx="17">
                  <c:v>-700657.07639149297</c:v>
                </c:pt>
                <c:pt idx="18">
                  <c:v>-700657.07639149297</c:v>
                </c:pt>
                <c:pt idx="19">
                  <c:v>1606454.813815807</c:v>
                </c:pt>
                <c:pt idx="20">
                  <c:v>1347454.8138158079</c:v>
                </c:pt>
                <c:pt idx="21">
                  <c:v>1347454.8138158079</c:v>
                </c:pt>
                <c:pt idx="22">
                  <c:v>1069616.5559897218</c:v>
                </c:pt>
                <c:pt idx="23">
                  <c:v>978616.55598972179</c:v>
                </c:pt>
                <c:pt idx="24">
                  <c:v>-370701.58995230682</c:v>
                </c:pt>
                <c:pt idx="25">
                  <c:v>-370701.58995230682</c:v>
                </c:pt>
                <c:pt idx="26">
                  <c:v>-417007.96625665389</c:v>
                </c:pt>
                <c:pt idx="27">
                  <c:v>854433.03884699568</c:v>
                </c:pt>
                <c:pt idx="28">
                  <c:v>854433.03884699568</c:v>
                </c:pt>
                <c:pt idx="29">
                  <c:v>566862.69039772078</c:v>
                </c:pt>
                <c:pt idx="30">
                  <c:v>1219743.6829495467</c:v>
                </c:pt>
                <c:pt idx="31">
                  <c:v>1219743.6829495467</c:v>
                </c:pt>
                <c:pt idx="32">
                  <c:v>1219743.6829495467</c:v>
                </c:pt>
                <c:pt idx="33">
                  <c:v>1219743.6829495467</c:v>
                </c:pt>
                <c:pt idx="34">
                  <c:v>1219743.6829495467</c:v>
                </c:pt>
                <c:pt idx="35">
                  <c:v>1219743.6829495467</c:v>
                </c:pt>
                <c:pt idx="36">
                  <c:v>1219743.6829495467</c:v>
                </c:pt>
                <c:pt idx="37">
                  <c:v>1219743.6829495467</c:v>
                </c:pt>
                <c:pt idx="38">
                  <c:v>1219743.6829495467</c:v>
                </c:pt>
                <c:pt idx="39">
                  <c:v>1173437.3066451997</c:v>
                </c:pt>
                <c:pt idx="40">
                  <c:v>1173437.3066451997</c:v>
                </c:pt>
                <c:pt idx="41">
                  <c:v>1173437.3066451997</c:v>
                </c:pt>
                <c:pt idx="42">
                  <c:v>1173437.3066451997</c:v>
                </c:pt>
                <c:pt idx="43">
                  <c:v>1173437.3066451997</c:v>
                </c:pt>
                <c:pt idx="44">
                  <c:v>1173437.3066451997</c:v>
                </c:pt>
                <c:pt idx="45">
                  <c:v>1173437.3066451997</c:v>
                </c:pt>
                <c:pt idx="46">
                  <c:v>1173437.3066451997</c:v>
                </c:pt>
                <c:pt idx="47">
                  <c:v>1173437.3066451997</c:v>
                </c:pt>
                <c:pt idx="48">
                  <c:v>1173437.3066451997</c:v>
                </c:pt>
                <c:pt idx="49">
                  <c:v>1173437.3066451997</c:v>
                </c:pt>
                <c:pt idx="50">
                  <c:v>1173437.3066451997</c:v>
                </c:pt>
                <c:pt idx="51">
                  <c:v>1173437.3066451997</c:v>
                </c:pt>
                <c:pt idx="52">
                  <c:v>1173437.3066451997</c:v>
                </c:pt>
                <c:pt idx="53">
                  <c:v>1173437.3066451997</c:v>
                </c:pt>
                <c:pt idx="54">
                  <c:v>1173437.3066451997</c:v>
                </c:pt>
                <c:pt idx="55">
                  <c:v>1173437.3066451997</c:v>
                </c:pt>
                <c:pt idx="56">
                  <c:v>1173437.3066451997</c:v>
                </c:pt>
                <c:pt idx="57">
                  <c:v>1173437.3066451997</c:v>
                </c:pt>
                <c:pt idx="58">
                  <c:v>1173437.3066451997</c:v>
                </c:pt>
                <c:pt idx="59">
                  <c:v>1173437.3066451997</c:v>
                </c:pt>
                <c:pt idx="60">
                  <c:v>1173437.3066451997</c:v>
                </c:pt>
                <c:pt idx="61">
                  <c:v>1173437.3066451997</c:v>
                </c:pt>
                <c:pt idx="62">
                  <c:v>1173437.3066451997</c:v>
                </c:pt>
                <c:pt idx="63">
                  <c:v>1173437.3066451997</c:v>
                </c:pt>
                <c:pt idx="64">
                  <c:v>1173437.3066451997</c:v>
                </c:pt>
                <c:pt idx="65">
                  <c:v>1173437.3066451997</c:v>
                </c:pt>
                <c:pt idx="66">
                  <c:v>1173437.3066451997</c:v>
                </c:pt>
                <c:pt idx="67">
                  <c:v>1173437.3066451997</c:v>
                </c:pt>
                <c:pt idx="68">
                  <c:v>1173437.3066451997</c:v>
                </c:pt>
                <c:pt idx="69">
                  <c:v>1173437.3066451997</c:v>
                </c:pt>
                <c:pt idx="70">
                  <c:v>1173437.3066451997</c:v>
                </c:pt>
                <c:pt idx="71">
                  <c:v>1173437.3066451997</c:v>
                </c:pt>
                <c:pt idx="72">
                  <c:v>1173437.3066451997</c:v>
                </c:pt>
                <c:pt idx="73">
                  <c:v>1173437.3066451997</c:v>
                </c:pt>
                <c:pt idx="74">
                  <c:v>1173437.3066451997</c:v>
                </c:pt>
                <c:pt idx="75">
                  <c:v>1173437.3066451997</c:v>
                </c:pt>
                <c:pt idx="76">
                  <c:v>1173437.3066451997</c:v>
                </c:pt>
                <c:pt idx="77">
                  <c:v>1173437.3066451997</c:v>
                </c:pt>
                <c:pt idx="78">
                  <c:v>1173437.3066451997</c:v>
                </c:pt>
                <c:pt idx="79">
                  <c:v>1173437.3066451997</c:v>
                </c:pt>
                <c:pt idx="80">
                  <c:v>1173437.3066451997</c:v>
                </c:pt>
                <c:pt idx="81">
                  <c:v>1173437.3066451997</c:v>
                </c:pt>
                <c:pt idx="82">
                  <c:v>1173437.3066451997</c:v>
                </c:pt>
                <c:pt idx="83">
                  <c:v>1173437.3066451997</c:v>
                </c:pt>
                <c:pt idx="84">
                  <c:v>1173437.3066451997</c:v>
                </c:pt>
                <c:pt idx="85">
                  <c:v>1173437.3066451997</c:v>
                </c:pt>
                <c:pt idx="86">
                  <c:v>1173437.3066451997</c:v>
                </c:pt>
                <c:pt idx="87">
                  <c:v>1173437.3066451997</c:v>
                </c:pt>
                <c:pt idx="88">
                  <c:v>1173437.3066451997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Cashflow!$F$10:$CP$10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73118.58</c:v>
                </c:pt>
                <c:pt idx="6">
                  <c:v>73118.58</c:v>
                </c:pt>
                <c:pt idx="7">
                  <c:v>73118.58</c:v>
                </c:pt>
                <c:pt idx="8">
                  <c:v>73118.58</c:v>
                </c:pt>
                <c:pt idx="9">
                  <c:v>73118.58</c:v>
                </c:pt>
                <c:pt idx="10">
                  <c:v>73118.58</c:v>
                </c:pt>
                <c:pt idx="11">
                  <c:v>6417676.2780700745</c:v>
                </c:pt>
                <c:pt idx="12">
                  <c:v>6417676.2780700745</c:v>
                </c:pt>
                <c:pt idx="13">
                  <c:v>9878344.1133810245</c:v>
                </c:pt>
                <c:pt idx="14">
                  <c:v>9999213.6133810245</c:v>
                </c:pt>
                <c:pt idx="15">
                  <c:v>9999213.6133810245</c:v>
                </c:pt>
                <c:pt idx="16">
                  <c:v>9999213.6133810245</c:v>
                </c:pt>
                <c:pt idx="17">
                  <c:v>9999213.6133810245</c:v>
                </c:pt>
                <c:pt idx="18">
                  <c:v>9999213.6133810245</c:v>
                </c:pt>
                <c:pt idx="19">
                  <c:v>9999213.6133810245</c:v>
                </c:pt>
                <c:pt idx="20">
                  <c:v>9999213.6133810245</c:v>
                </c:pt>
                <c:pt idx="21">
                  <c:v>9999213.6133810245</c:v>
                </c:pt>
                <c:pt idx="22">
                  <c:v>9999213.6133810245</c:v>
                </c:pt>
                <c:pt idx="23">
                  <c:v>9999213.6133810245</c:v>
                </c:pt>
                <c:pt idx="24">
                  <c:v>9999213.6133810245</c:v>
                </c:pt>
                <c:pt idx="25">
                  <c:v>9999213.6133810245</c:v>
                </c:pt>
                <c:pt idx="26">
                  <c:v>9999213.6133810245</c:v>
                </c:pt>
                <c:pt idx="27">
                  <c:v>11152769.558484674</c:v>
                </c:pt>
                <c:pt idx="28">
                  <c:v>11152769.558484674</c:v>
                </c:pt>
                <c:pt idx="29">
                  <c:v>11152769.558484674</c:v>
                </c:pt>
                <c:pt idx="30">
                  <c:v>11152769.558484674</c:v>
                </c:pt>
                <c:pt idx="31">
                  <c:v>11152769.558484674</c:v>
                </c:pt>
                <c:pt idx="32">
                  <c:v>11152769.558484674</c:v>
                </c:pt>
                <c:pt idx="33">
                  <c:v>11729547.531036498</c:v>
                </c:pt>
                <c:pt idx="34">
                  <c:v>11729547.531036498</c:v>
                </c:pt>
                <c:pt idx="35">
                  <c:v>11729547.531036498</c:v>
                </c:pt>
                <c:pt idx="36">
                  <c:v>11729547.531036498</c:v>
                </c:pt>
                <c:pt idx="37">
                  <c:v>11729547.531036498</c:v>
                </c:pt>
                <c:pt idx="38">
                  <c:v>11729547.531036498</c:v>
                </c:pt>
                <c:pt idx="39">
                  <c:v>11729547.531036498</c:v>
                </c:pt>
                <c:pt idx="40">
                  <c:v>11729547.531036498</c:v>
                </c:pt>
                <c:pt idx="41">
                  <c:v>11729547.531036498</c:v>
                </c:pt>
                <c:pt idx="42">
                  <c:v>11729547.531036498</c:v>
                </c:pt>
                <c:pt idx="43">
                  <c:v>11729547.531036498</c:v>
                </c:pt>
                <c:pt idx="44">
                  <c:v>11729547.531036498</c:v>
                </c:pt>
                <c:pt idx="45">
                  <c:v>11729547.531036498</c:v>
                </c:pt>
                <c:pt idx="46">
                  <c:v>11729547.531036498</c:v>
                </c:pt>
                <c:pt idx="47">
                  <c:v>11729547.531036498</c:v>
                </c:pt>
                <c:pt idx="48">
                  <c:v>11729547.531036498</c:v>
                </c:pt>
                <c:pt idx="49">
                  <c:v>11729547.531036498</c:v>
                </c:pt>
                <c:pt idx="50">
                  <c:v>11729547.531036498</c:v>
                </c:pt>
                <c:pt idx="51">
                  <c:v>11729547.531036498</c:v>
                </c:pt>
                <c:pt idx="52">
                  <c:v>11729547.531036498</c:v>
                </c:pt>
                <c:pt idx="53">
                  <c:v>11729547.531036498</c:v>
                </c:pt>
                <c:pt idx="54">
                  <c:v>11729547.531036498</c:v>
                </c:pt>
                <c:pt idx="55">
                  <c:v>11729547.531036498</c:v>
                </c:pt>
                <c:pt idx="56">
                  <c:v>11729547.531036498</c:v>
                </c:pt>
                <c:pt idx="57">
                  <c:v>11729547.531036498</c:v>
                </c:pt>
                <c:pt idx="58">
                  <c:v>11729547.531036498</c:v>
                </c:pt>
                <c:pt idx="59">
                  <c:v>11729547.531036498</c:v>
                </c:pt>
                <c:pt idx="60">
                  <c:v>11729547.531036498</c:v>
                </c:pt>
                <c:pt idx="61">
                  <c:v>11729547.531036498</c:v>
                </c:pt>
                <c:pt idx="62">
                  <c:v>11729547.531036498</c:v>
                </c:pt>
                <c:pt idx="63">
                  <c:v>11729547.531036498</c:v>
                </c:pt>
                <c:pt idx="64">
                  <c:v>11729547.531036498</c:v>
                </c:pt>
                <c:pt idx="65">
                  <c:v>11729547.531036498</c:v>
                </c:pt>
                <c:pt idx="66">
                  <c:v>11729547.531036498</c:v>
                </c:pt>
                <c:pt idx="67">
                  <c:v>11729547.531036498</c:v>
                </c:pt>
                <c:pt idx="68">
                  <c:v>11729547.531036498</c:v>
                </c:pt>
                <c:pt idx="69">
                  <c:v>11729547.531036498</c:v>
                </c:pt>
                <c:pt idx="70">
                  <c:v>11729547.531036498</c:v>
                </c:pt>
                <c:pt idx="71">
                  <c:v>11729547.531036498</c:v>
                </c:pt>
                <c:pt idx="72">
                  <c:v>11729547.531036498</c:v>
                </c:pt>
                <c:pt idx="73">
                  <c:v>11729547.531036498</c:v>
                </c:pt>
                <c:pt idx="74">
                  <c:v>11729547.531036498</c:v>
                </c:pt>
                <c:pt idx="75">
                  <c:v>11729547.531036498</c:v>
                </c:pt>
                <c:pt idx="76">
                  <c:v>11729547.531036498</c:v>
                </c:pt>
                <c:pt idx="77">
                  <c:v>11729547.531036498</c:v>
                </c:pt>
                <c:pt idx="78">
                  <c:v>11729547.531036498</c:v>
                </c:pt>
                <c:pt idx="79">
                  <c:v>11729547.531036498</c:v>
                </c:pt>
                <c:pt idx="80">
                  <c:v>11729547.531036498</c:v>
                </c:pt>
                <c:pt idx="81">
                  <c:v>11729547.531036498</c:v>
                </c:pt>
                <c:pt idx="82">
                  <c:v>11729547.531036498</c:v>
                </c:pt>
                <c:pt idx="83">
                  <c:v>11729547.531036498</c:v>
                </c:pt>
                <c:pt idx="84">
                  <c:v>11729547.531036498</c:v>
                </c:pt>
                <c:pt idx="85">
                  <c:v>11729547.531036498</c:v>
                </c:pt>
                <c:pt idx="86">
                  <c:v>11729547.531036498</c:v>
                </c:pt>
                <c:pt idx="87">
                  <c:v>11729547.531036498</c:v>
                </c:pt>
                <c:pt idx="88">
                  <c:v>11729547.531036498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Cashflow!$F$12:$CP$12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11026.4</c:v>
                </c:pt>
                <c:pt idx="4">
                  <c:v>11026.4</c:v>
                </c:pt>
                <c:pt idx="5">
                  <c:v>105985.59999999999</c:v>
                </c:pt>
                <c:pt idx="6">
                  <c:v>105985.59999999999</c:v>
                </c:pt>
                <c:pt idx="7">
                  <c:v>105985.59999999999</c:v>
                </c:pt>
                <c:pt idx="8">
                  <c:v>105985.59999999999</c:v>
                </c:pt>
                <c:pt idx="9">
                  <c:v>112361.45999999999</c:v>
                </c:pt>
                <c:pt idx="10">
                  <c:v>112361.45999999999</c:v>
                </c:pt>
                <c:pt idx="11">
                  <c:v>153058.25999999998</c:v>
                </c:pt>
                <c:pt idx="12">
                  <c:v>164227.25999999998</c:v>
                </c:pt>
                <c:pt idx="13">
                  <c:v>372818.8</c:v>
                </c:pt>
                <c:pt idx="14">
                  <c:v>7001907.7999999998</c:v>
                </c:pt>
                <c:pt idx="15">
                  <c:v>8284076.1899999995</c:v>
                </c:pt>
                <c:pt idx="16">
                  <c:v>8290562.6899999995</c:v>
                </c:pt>
                <c:pt idx="17">
                  <c:v>8291287.8199999994</c:v>
                </c:pt>
                <c:pt idx="18">
                  <c:v>8291287.8199999994</c:v>
                </c:pt>
                <c:pt idx="19">
                  <c:v>8307667.8199999994</c:v>
                </c:pt>
                <c:pt idx="20">
                  <c:v>8419022.5199999996</c:v>
                </c:pt>
                <c:pt idx="21">
                  <c:v>8431724.8399999999</c:v>
                </c:pt>
                <c:pt idx="22">
                  <c:v>8464756.8399999999</c:v>
                </c:pt>
                <c:pt idx="23">
                  <c:v>8464756.8399999999</c:v>
                </c:pt>
                <c:pt idx="24">
                  <c:v>9526822.9024999999</c:v>
                </c:pt>
                <c:pt idx="25">
                  <c:v>9534685.9024999999</c:v>
                </c:pt>
                <c:pt idx="26">
                  <c:v>9793171.647499999</c:v>
                </c:pt>
                <c:pt idx="27">
                  <c:v>9894669.9799999986</c:v>
                </c:pt>
                <c:pt idx="28">
                  <c:v>9949769.9799999986</c:v>
                </c:pt>
                <c:pt idx="29">
                  <c:v>10101964.473137954</c:v>
                </c:pt>
                <c:pt idx="30">
                  <c:v>10101964.473137954</c:v>
                </c:pt>
                <c:pt idx="31">
                  <c:v>10314976.358137954</c:v>
                </c:pt>
                <c:pt idx="32">
                  <c:v>10314976.358137954</c:v>
                </c:pt>
                <c:pt idx="33">
                  <c:v>10337770.718137953</c:v>
                </c:pt>
                <c:pt idx="34">
                  <c:v>10364304.408137953</c:v>
                </c:pt>
                <c:pt idx="35">
                  <c:v>10364304.408137953</c:v>
                </c:pt>
                <c:pt idx="36">
                  <c:v>10600067.438137952</c:v>
                </c:pt>
                <c:pt idx="37">
                  <c:v>10619800.108137952</c:v>
                </c:pt>
                <c:pt idx="38">
                  <c:v>10721565.450637951</c:v>
                </c:pt>
                <c:pt idx="39">
                  <c:v>10873487.970637951</c:v>
                </c:pt>
                <c:pt idx="40">
                  <c:v>10956555.970637951</c:v>
                </c:pt>
                <c:pt idx="41">
                  <c:v>10993041.820637951</c:v>
                </c:pt>
                <c:pt idx="42">
                  <c:v>11335636.497499995</c:v>
                </c:pt>
                <c:pt idx="43">
                  <c:v>11376787.947499994</c:v>
                </c:pt>
                <c:pt idx="44">
                  <c:v>11533286.597499995</c:v>
                </c:pt>
                <c:pt idx="45">
                  <c:v>11534936.597499995</c:v>
                </c:pt>
                <c:pt idx="46">
                  <c:v>11534936.597499995</c:v>
                </c:pt>
                <c:pt idx="47">
                  <c:v>11542136.597499995</c:v>
                </c:pt>
                <c:pt idx="48">
                  <c:v>11641644.597499995</c:v>
                </c:pt>
                <c:pt idx="49">
                  <c:v>11641644.597499995</c:v>
                </c:pt>
                <c:pt idx="50">
                  <c:v>11641644.597499995</c:v>
                </c:pt>
                <c:pt idx="51">
                  <c:v>11641644.597499995</c:v>
                </c:pt>
                <c:pt idx="52">
                  <c:v>11641644.597499995</c:v>
                </c:pt>
                <c:pt idx="53">
                  <c:v>11641644.597499995</c:v>
                </c:pt>
                <c:pt idx="54">
                  <c:v>11641644.597499995</c:v>
                </c:pt>
                <c:pt idx="55">
                  <c:v>11641644.597499995</c:v>
                </c:pt>
                <c:pt idx="56">
                  <c:v>11641644.597499995</c:v>
                </c:pt>
                <c:pt idx="57">
                  <c:v>11641644.597499995</c:v>
                </c:pt>
                <c:pt idx="58">
                  <c:v>11641644.597499995</c:v>
                </c:pt>
                <c:pt idx="59">
                  <c:v>11641644.597499995</c:v>
                </c:pt>
                <c:pt idx="60">
                  <c:v>11641644.597499995</c:v>
                </c:pt>
                <c:pt idx="61">
                  <c:v>11657457.597499995</c:v>
                </c:pt>
                <c:pt idx="62">
                  <c:v>11657457.597499995</c:v>
                </c:pt>
                <c:pt idx="63">
                  <c:v>11763293.247499995</c:v>
                </c:pt>
                <c:pt idx="64">
                  <c:v>11694423.247499995</c:v>
                </c:pt>
                <c:pt idx="65">
                  <c:v>11698036.887499996</c:v>
                </c:pt>
                <c:pt idx="66">
                  <c:v>11698036.887499996</c:v>
                </c:pt>
                <c:pt idx="67">
                  <c:v>11698036.887499996</c:v>
                </c:pt>
                <c:pt idx="68">
                  <c:v>11944723.527499996</c:v>
                </c:pt>
                <c:pt idx="69">
                  <c:v>11944723.527499996</c:v>
                </c:pt>
                <c:pt idx="70">
                  <c:v>11944723.527499996</c:v>
                </c:pt>
                <c:pt idx="71">
                  <c:v>11944723.527499996</c:v>
                </c:pt>
                <c:pt idx="72">
                  <c:v>11944723.527499996</c:v>
                </c:pt>
                <c:pt idx="73">
                  <c:v>11987342.527499996</c:v>
                </c:pt>
                <c:pt idx="74">
                  <c:v>11987342.527499996</c:v>
                </c:pt>
                <c:pt idx="75">
                  <c:v>11987342.527499996</c:v>
                </c:pt>
                <c:pt idx="76">
                  <c:v>11987342.527499996</c:v>
                </c:pt>
                <c:pt idx="77">
                  <c:v>11989842.527499996</c:v>
                </c:pt>
                <c:pt idx="78">
                  <c:v>11989842.527499996</c:v>
                </c:pt>
                <c:pt idx="79">
                  <c:v>11989842.527499996</c:v>
                </c:pt>
                <c:pt idx="80">
                  <c:v>11989842.527499996</c:v>
                </c:pt>
                <c:pt idx="81">
                  <c:v>11989842.527499996</c:v>
                </c:pt>
                <c:pt idx="82">
                  <c:v>11989842.527499996</c:v>
                </c:pt>
                <c:pt idx="83">
                  <c:v>11989842.527499996</c:v>
                </c:pt>
                <c:pt idx="84">
                  <c:v>11989842.527499996</c:v>
                </c:pt>
                <c:pt idx="85">
                  <c:v>11989842.527499996</c:v>
                </c:pt>
                <c:pt idx="86">
                  <c:v>11989842.527499996</c:v>
                </c:pt>
                <c:pt idx="87">
                  <c:v>11989842.527499996</c:v>
                </c:pt>
                <c:pt idx="88">
                  <c:v>11989842.527499996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</c:numRef>
          </c:cat>
          <c:val>
            <c:numRef>
              <c:f>Cashflow!$F$14:$CP$14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-11026.4</c:v>
                </c:pt>
                <c:pt idx="4">
                  <c:v>-11026.4</c:v>
                </c:pt>
                <c:pt idx="5">
                  <c:v>-32867.01999999999</c:v>
                </c:pt>
                <c:pt idx="6">
                  <c:v>-32867.01999999999</c:v>
                </c:pt>
                <c:pt idx="7">
                  <c:v>-32867.01999999999</c:v>
                </c:pt>
                <c:pt idx="8">
                  <c:v>-32867.01999999999</c:v>
                </c:pt>
                <c:pt idx="9">
                  <c:v>-39242.87999999999</c:v>
                </c:pt>
                <c:pt idx="10">
                  <c:v>-39242.87999999999</c:v>
                </c:pt>
                <c:pt idx="11">
                  <c:v>6264618.0180700747</c:v>
                </c:pt>
                <c:pt idx="12">
                  <c:v>6253449.0180700747</c:v>
                </c:pt>
                <c:pt idx="13">
                  <c:v>9505525.3133810237</c:v>
                </c:pt>
                <c:pt idx="14">
                  <c:v>2997305.8133810246</c:v>
                </c:pt>
                <c:pt idx="15">
                  <c:v>1715137.423381025</c:v>
                </c:pt>
                <c:pt idx="16">
                  <c:v>1708650.923381025</c:v>
                </c:pt>
                <c:pt idx="17">
                  <c:v>1707925.7933810251</c:v>
                </c:pt>
                <c:pt idx="18">
                  <c:v>1707925.7933810251</c:v>
                </c:pt>
                <c:pt idx="19">
                  <c:v>1691545.7933810251</c:v>
                </c:pt>
                <c:pt idx="20">
                  <c:v>1580191.0933810249</c:v>
                </c:pt>
                <c:pt idx="21">
                  <c:v>1567488.7733810246</c:v>
                </c:pt>
                <c:pt idx="22">
                  <c:v>1534456.7733810246</c:v>
                </c:pt>
                <c:pt idx="23">
                  <c:v>1534456.7733810246</c:v>
                </c:pt>
                <c:pt idx="24">
                  <c:v>472390.7108810246</c:v>
                </c:pt>
                <c:pt idx="25">
                  <c:v>464527.7108810246</c:v>
                </c:pt>
                <c:pt idx="26">
                  <c:v>206041.96588102542</c:v>
                </c:pt>
                <c:pt idx="27">
                  <c:v>1258099.5784846749</c:v>
                </c:pt>
                <c:pt idx="28">
                  <c:v>1202999.5784846749</c:v>
                </c:pt>
                <c:pt idx="29">
                  <c:v>1050805.0853467193</c:v>
                </c:pt>
                <c:pt idx="30">
                  <c:v>1050805.0853467193</c:v>
                </c:pt>
                <c:pt idx="31">
                  <c:v>837793.20034671947</c:v>
                </c:pt>
                <c:pt idx="32">
                  <c:v>837793.20034671947</c:v>
                </c:pt>
                <c:pt idx="33">
                  <c:v>1391776.8128985446</c:v>
                </c:pt>
                <c:pt idx="34">
                  <c:v>1365243.1228985451</c:v>
                </c:pt>
                <c:pt idx="35">
                  <c:v>1365243.1228985451</c:v>
                </c:pt>
                <c:pt idx="36">
                  <c:v>1129480.0928985458</c:v>
                </c:pt>
                <c:pt idx="37">
                  <c:v>1109747.4228985459</c:v>
                </c:pt>
                <c:pt idx="38">
                  <c:v>1007982.0803985465</c:v>
                </c:pt>
                <c:pt idx="39">
                  <c:v>856059.56039854698</c:v>
                </c:pt>
                <c:pt idx="40">
                  <c:v>772991.56039854698</c:v>
                </c:pt>
                <c:pt idx="41">
                  <c:v>736505.71039854735</c:v>
                </c:pt>
                <c:pt idx="42">
                  <c:v>393911.03353650309</c:v>
                </c:pt>
                <c:pt idx="43">
                  <c:v>352759.58353650384</c:v>
                </c:pt>
                <c:pt idx="44">
                  <c:v>196260.93353650346</c:v>
                </c:pt>
                <c:pt idx="45">
                  <c:v>194610.93353650346</c:v>
                </c:pt>
                <c:pt idx="46">
                  <c:v>194610.93353650346</c:v>
                </c:pt>
                <c:pt idx="47">
                  <c:v>187410.93353650346</c:v>
                </c:pt>
                <c:pt idx="48">
                  <c:v>87902.933536503464</c:v>
                </c:pt>
                <c:pt idx="49">
                  <c:v>87902.933536503464</c:v>
                </c:pt>
                <c:pt idx="50">
                  <c:v>87902.933536503464</c:v>
                </c:pt>
                <c:pt idx="51">
                  <c:v>87902.933536503464</c:v>
                </c:pt>
                <c:pt idx="52">
                  <c:v>87902.933536503464</c:v>
                </c:pt>
                <c:pt idx="53">
                  <c:v>87902.933536503464</c:v>
                </c:pt>
                <c:pt idx="54">
                  <c:v>87902.933536503464</c:v>
                </c:pt>
                <c:pt idx="55">
                  <c:v>87902.933536503464</c:v>
                </c:pt>
                <c:pt idx="56">
                  <c:v>87902.933536503464</c:v>
                </c:pt>
                <c:pt idx="57">
                  <c:v>87902.933536503464</c:v>
                </c:pt>
                <c:pt idx="58">
                  <c:v>87902.933536503464</c:v>
                </c:pt>
                <c:pt idx="59">
                  <c:v>87902.933536503464</c:v>
                </c:pt>
                <c:pt idx="60">
                  <c:v>87902.933536503464</c:v>
                </c:pt>
                <c:pt idx="61">
                  <c:v>72089.933536503464</c:v>
                </c:pt>
                <c:pt idx="62">
                  <c:v>72089.933536503464</c:v>
                </c:pt>
                <c:pt idx="63">
                  <c:v>-33745.716463496909</c:v>
                </c:pt>
                <c:pt idx="64">
                  <c:v>35124.283536503091</c:v>
                </c:pt>
                <c:pt idx="65">
                  <c:v>31510.643536502495</c:v>
                </c:pt>
                <c:pt idx="66">
                  <c:v>31510.643536502495</c:v>
                </c:pt>
                <c:pt idx="67">
                  <c:v>31510.643536502495</c:v>
                </c:pt>
                <c:pt idx="68">
                  <c:v>-215175.9964634981</c:v>
                </c:pt>
                <c:pt idx="69">
                  <c:v>-215175.9964634981</c:v>
                </c:pt>
                <c:pt idx="70">
                  <c:v>-215175.9964634981</c:v>
                </c:pt>
                <c:pt idx="71">
                  <c:v>-215175.9964634981</c:v>
                </c:pt>
                <c:pt idx="72">
                  <c:v>-215175.9964634981</c:v>
                </c:pt>
                <c:pt idx="73">
                  <c:v>-257794.9964634981</c:v>
                </c:pt>
                <c:pt idx="74">
                  <c:v>-257794.9964634981</c:v>
                </c:pt>
                <c:pt idx="75">
                  <c:v>-257794.9964634981</c:v>
                </c:pt>
                <c:pt idx="76">
                  <c:v>-257794.9964634981</c:v>
                </c:pt>
                <c:pt idx="77">
                  <c:v>-260294.9964634981</c:v>
                </c:pt>
                <c:pt idx="78">
                  <c:v>-260294.9964634981</c:v>
                </c:pt>
                <c:pt idx="79">
                  <c:v>-260294.9964634981</c:v>
                </c:pt>
                <c:pt idx="80">
                  <c:v>-260294.9964634981</c:v>
                </c:pt>
                <c:pt idx="81">
                  <c:v>-260294.9964634981</c:v>
                </c:pt>
                <c:pt idx="82">
                  <c:v>-260294.9964634981</c:v>
                </c:pt>
                <c:pt idx="83">
                  <c:v>-260294.9964634981</c:v>
                </c:pt>
                <c:pt idx="84">
                  <c:v>-260294.9964634981</c:v>
                </c:pt>
                <c:pt idx="85">
                  <c:v>-260294.9964634981</c:v>
                </c:pt>
                <c:pt idx="86">
                  <c:v>-260294.9964634981</c:v>
                </c:pt>
                <c:pt idx="87">
                  <c:v>-260294.9964634981</c:v>
                </c:pt>
                <c:pt idx="88">
                  <c:v>-260294.9964634981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Cashflow!$F$18:$CP$18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14115.734382012277</c:v>
                </c:pt>
                <c:pt idx="4">
                  <c:v>14115.734382012277</c:v>
                </c:pt>
                <c:pt idx="5">
                  <c:v>14115.734382012277</c:v>
                </c:pt>
                <c:pt idx="6">
                  <c:v>14115.734382012277</c:v>
                </c:pt>
                <c:pt idx="7">
                  <c:v>14115.734382012277</c:v>
                </c:pt>
                <c:pt idx="8">
                  <c:v>1618995.2458815388</c:v>
                </c:pt>
                <c:pt idx="9">
                  <c:v>1618995.2458815388</c:v>
                </c:pt>
                <c:pt idx="10">
                  <c:v>1618995.2458815388</c:v>
                </c:pt>
                <c:pt idx="11">
                  <c:v>1618995.2458815388</c:v>
                </c:pt>
                <c:pt idx="12">
                  <c:v>9901770.8860633597</c:v>
                </c:pt>
                <c:pt idx="13">
                  <c:v>9901770.8860633597</c:v>
                </c:pt>
                <c:pt idx="14">
                  <c:v>9901770.8860633597</c:v>
                </c:pt>
                <c:pt idx="15">
                  <c:v>9901770.8860633597</c:v>
                </c:pt>
                <c:pt idx="16">
                  <c:v>10260031.672552535</c:v>
                </c:pt>
                <c:pt idx="17">
                  <c:v>10260031.672552535</c:v>
                </c:pt>
                <c:pt idx="18">
                  <c:v>10260031.672552535</c:v>
                </c:pt>
                <c:pt idx="19">
                  <c:v>10260031.672552535</c:v>
                </c:pt>
                <c:pt idx="20">
                  <c:v>10260031.672552535</c:v>
                </c:pt>
                <c:pt idx="21">
                  <c:v>10342972.018009406</c:v>
                </c:pt>
                <c:pt idx="22">
                  <c:v>10342972.018009406</c:v>
                </c:pt>
                <c:pt idx="23">
                  <c:v>10342972.018009406</c:v>
                </c:pt>
                <c:pt idx="24">
                  <c:v>10342972.018009406</c:v>
                </c:pt>
                <c:pt idx="25">
                  <c:v>11024463.65859215</c:v>
                </c:pt>
                <c:pt idx="26">
                  <c:v>11024463.65859215</c:v>
                </c:pt>
                <c:pt idx="27">
                  <c:v>11024463.65859215</c:v>
                </c:pt>
                <c:pt idx="28">
                  <c:v>11024463.65859215</c:v>
                </c:pt>
                <c:pt idx="29">
                  <c:v>11531401.774053004</c:v>
                </c:pt>
                <c:pt idx="30">
                  <c:v>11531401.774053004</c:v>
                </c:pt>
                <c:pt idx="31">
                  <c:v>11531401.774053004</c:v>
                </c:pt>
                <c:pt idx="32">
                  <c:v>11531401.774053004</c:v>
                </c:pt>
                <c:pt idx="33">
                  <c:v>11531401.774053004</c:v>
                </c:pt>
                <c:pt idx="34">
                  <c:v>11654280.22078163</c:v>
                </c:pt>
                <c:pt idx="35">
                  <c:v>11654280.22078163</c:v>
                </c:pt>
                <c:pt idx="36">
                  <c:v>11654280.22078163</c:v>
                </c:pt>
                <c:pt idx="37">
                  <c:v>11654280.22078163</c:v>
                </c:pt>
                <c:pt idx="38">
                  <c:v>11654280.22078163</c:v>
                </c:pt>
                <c:pt idx="39">
                  <c:v>11654280.22078163</c:v>
                </c:pt>
                <c:pt idx="40">
                  <c:v>11654280.22078163</c:v>
                </c:pt>
                <c:pt idx="41">
                  <c:v>11654280.22078163</c:v>
                </c:pt>
                <c:pt idx="42">
                  <c:v>11750786.53078163</c:v>
                </c:pt>
                <c:pt idx="43">
                  <c:v>11750786.53078163</c:v>
                </c:pt>
                <c:pt idx="44">
                  <c:v>11750786.53078163</c:v>
                </c:pt>
                <c:pt idx="45">
                  <c:v>11750786.53078163</c:v>
                </c:pt>
                <c:pt idx="46">
                  <c:v>11750786.53078163</c:v>
                </c:pt>
                <c:pt idx="47">
                  <c:v>11750786.53078163</c:v>
                </c:pt>
                <c:pt idx="48">
                  <c:v>11750786.53078163</c:v>
                </c:pt>
                <c:pt idx="49">
                  <c:v>11750786.53078163</c:v>
                </c:pt>
                <c:pt idx="50">
                  <c:v>11750786.53078163</c:v>
                </c:pt>
                <c:pt idx="51">
                  <c:v>11750786.53078163</c:v>
                </c:pt>
                <c:pt idx="52">
                  <c:v>11750786.53078163</c:v>
                </c:pt>
                <c:pt idx="53">
                  <c:v>11750786.53078163</c:v>
                </c:pt>
                <c:pt idx="54">
                  <c:v>11750786.53078163</c:v>
                </c:pt>
                <c:pt idx="55">
                  <c:v>11750786.53078163</c:v>
                </c:pt>
                <c:pt idx="56">
                  <c:v>11750786.53078163</c:v>
                </c:pt>
                <c:pt idx="57">
                  <c:v>11750786.53078163</c:v>
                </c:pt>
                <c:pt idx="58">
                  <c:v>11750786.53078163</c:v>
                </c:pt>
                <c:pt idx="59">
                  <c:v>11750786.53078163</c:v>
                </c:pt>
                <c:pt idx="60">
                  <c:v>11750786.53078163</c:v>
                </c:pt>
                <c:pt idx="61">
                  <c:v>11750786.53078163</c:v>
                </c:pt>
                <c:pt idx="62">
                  <c:v>11750786.53078163</c:v>
                </c:pt>
                <c:pt idx="63">
                  <c:v>11750786.53078163</c:v>
                </c:pt>
                <c:pt idx="64">
                  <c:v>11750786.53078163</c:v>
                </c:pt>
                <c:pt idx="65">
                  <c:v>11750786.53078163</c:v>
                </c:pt>
                <c:pt idx="66">
                  <c:v>11750786.53078163</c:v>
                </c:pt>
                <c:pt idx="67">
                  <c:v>11750786.53078163</c:v>
                </c:pt>
                <c:pt idx="68">
                  <c:v>11750786.53078163</c:v>
                </c:pt>
                <c:pt idx="69">
                  <c:v>11750786.53078163</c:v>
                </c:pt>
                <c:pt idx="70">
                  <c:v>11750786.53078163</c:v>
                </c:pt>
                <c:pt idx="71">
                  <c:v>11750786.53078163</c:v>
                </c:pt>
                <c:pt idx="72">
                  <c:v>11750786.53078163</c:v>
                </c:pt>
                <c:pt idx="73">
                  <c:v>11750786.53078163</c:v>
                </c:pt>
                <c:pt idx="74">
                  <c:v>11750786.53078163</c:v>
                </c:pt>
                <c:pt idx="75">
                  <c:v>11750786.53078163</c:v>
                </c:pt>
                <c:pt idx="76">
                  <c:v>11750786.53078163</c:v>
                </c:pt>
                <c:pt idx="77">
                  <c:v>11750786.53078163</c:v>
                </c:pt>
                <c:pt idx="78">
                  <c:v>11750786.53078163</c:v>
                </c:pt>
                <c:pt idx="79">
                  <c:v>11750786.53078163</c:v>
                </c:pt>
                <c:pt idx="80">
                  <c:v>11750786.53078163</c:v>
                </c:pt>
                <c:pt idx="81">
                  <c:v>11750786.53078163</c:v>
                </c:pt>
                <c:pt idx="82">
                  <c:v>11750786.53078163</c:v>
                </c:pt>
                <c:pt idx="83">
                  <c:v>11750786.53078163</c:v>
                </c:pt>
                <c:pt idx="84">
                  <c:v>11750786.53078163</c:v>
                </c:pt>
                <c:pt idx="85">
                  <c:v>11750786.53078163</c:v>
                </c:pt>
                <c:pt idx="86">
                  <c:v>11750786.53078163</c:v>
                </c:pt>
                <c:pt idx="87">
                  <c:v>11750786.53078163</c:v>
                </c:pt>
                <c:pt idx="88">
                  <c:v>11750786.53078163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585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231969124912398"/>
          <c:y val="0.33520549060771465"/>
          <c:w val="0.1471880380948573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4834D70-C9F3-4BD8-8657-85673A29B9A2}">
    <Anchor>
      <Comment id="{A09F5207-B5D2-4639-8A99-08C7FE828FE9}"/>
    </Anchor>
    <History>
      <Event time="2025-09-01T14:07:30.26" id="{5E8A2663-B442-4740-B667-18BBF9EFCF6D}">
        <Attribution userId="S::tasneema@emergy.co.za::9a0cc615-e4de-4e2f-ae82-9f40753a7d8a" userName="Tasneema van Harte" userProvider="AD"/>
        <Anchor>
          <Comment id="{A09F5207-B5D2-4639-8A99-08C7FE828FE9}"/>
        </Anchor>
        <Create/>
      </Event>
      <Event time="2025-09-01T14:07:30.26" id="{405D0F0B-1158-445C-804E-E683B987FB54}">
        <Attribution userId="S::tasneema@emergy.co.za::9a0cc615-e4de-4e2f-ae82-9f40753a7d8a" userName="Tasneema van Harte" userProvider="AD"/>
        <Anchor>
          <Comment id="{A09F5207-B5D2-4639-8A99-08C7FE828FE9}"/>
        </Anchor>
        <Assign userId="S::mizelda@emergentenergy.co.za::3a5c2ad2-993e-4fe1-a333-48e19c6adda8" userName="Mizelda Isaacs" userProvider="AD"/>
      </Event>
      <Event time="2025-09-01T14:07:30.26" id="{8B959BF0-2743-46BC-AB90-D44EA13A045B}">
        <Attribution userId="S::tasneema@emergy.co.za::9a0cc615-e4de-4e2f-ae82-9f40753a7d8a" userName="Tasneema van Harte" userProvider="AD"/>
        <Anchor>
          <Comment id="{A09F5207-B5D2-4639-8A99-08C7FE828FE9}"/>
        </Anchor>
        <SetTitle title="@Mizelda Isaacs please update the payment date"/>
      </Event>
    </History>
  </Task>
  <Task id="{EDECA074-59A1-453D-A59A-2FE9773A5CA7}">
    <Anchor>
      <Comment id="{98A5DDB1-AD45-4400-8A92-9F2E2662DE24}"/>
    </Anchor>
    <History>
      <Event time="2025-09-01T14:07:30.26" id="{5E8A2663-B442-4740-B667-18BBF9EFCF6D}">
        <Attribution userId="S::tasneema@emergy.co.za::9a0cc615-e4de-4e2f-ae82-9f40753a7d8a" userName="Tasneema van Harte" userProvider="AD"/>
        <Anchor>
          <Comment id="{98A5DDB1-AD45-4400-8A92-9F2E2662DE24}"/>
        </Anchor>
        <Create/>
      </Event>
      <Event time="2025-09-01T14:07:30.26" id="{405D0F0B-1158-445C-804E-E683B987FB54}">
        <Attribution userId="S::tasneema@emergy.co.za::9a0cc615-e4de-4e2f-ae82-9f40753a7d8a" userName="Tasneema van Harte" userProvider="AD"/>
        <Anchor>
          <Comment id="{98A5DDB1-AD45-4400-8A92-9F2E2662DE24}"/>
        </Anchor>
        <Assign userId="S::mizelda@emergentenergy.co.za::3a5c2ad2-993e-4fe1-a333-48e19c6adda8" userName="Mizelda Isaacs" userProvider="AD"/>
      </Event>
      <Event time="2025-09-01T14:07:30.26" id="{8B959BF0-2743-46BC-AB90-D44EA13A045B}">
        <Attribution userId="S::tasneema@emergy.co.za::9a0cc615-e4de-4e2f-ae82-9f40753a7d8a" userName="Tasneema van Harte" userProvider="AD"/>
        <Anchor>
          <Comment id="{98A5DDB1-AD45-4400-8A92-9F2E2662DE24}"/>
        </Anchor>
        <SetTitle title="@Mizelda Isaacs please update the payment date"/>
      </Event>
    </History>
  </Task>
  <Task id="{23C3D6FC-23BD-4BF4-BC63-D00DBE6B582F}">
    <Anchor>
      <Comment id="{8239DFA3-5429-466E-976B-98CA211D6DCB}"/>
    </Anchor>
    <History>
      <Event time="2025-02-15T10:25:41.71" id="{273782B5-C106-4914-B0BB-5197E107C158}">
        <Attribution userId="S::tasneema@emergy.co.za::9a0cc615-e4de-4e2f-ae82-9f40753a7d8a" userName="Tasneema van Harte" userProvider="AD"/>
        <Anchor>
          <Comment id="{8239DFA3-5429-466E-976B-98CA211D6DCB}"/>
        </Anchor>
        <Create/>
      </Event>
      <Event time="2025-02-15T10:25:41.71" id="{B8459CC2-D4F8-4AD9-B498-31870310DCCB}">
        <Attribution userId="S::tasneema@emergy.co.za::9a0cc615-e4de-4e2f-ae82-9f40753a7d8a" userName="Tasneema van Harte" userProvider="AD"/>
        <Anchor>
          <Comment id="{8239DFA3-5429-466E-976B-98CA211D6DCB}"/>
        </Anchor>
        <Assign userId="S::mizelda@emergentenergy.co.za::3a5c2ad2-993e-4fe1-a333-48e19c6adda8" userName="Mizelda Isaacs" userProvider="AD"/>
      </Event>
      <Event time="2025-02-15T10:25:41.71" id="{3F3EFE0E-8A04-4EB6-AEEC-C9AC9C04D819}">
        <Attribution userId="S::tasneema@emergy.co.za::9a0cc615-e4de-4e2f-ae82-9f40753a7d8a" userName="Tasneema van Harte" userProvider="AD"/>
        <Anchor>
          <Comment id="{8239DFA3-5429-466E-976B-98CA211D6DCB}"/>
        </Anchor>
        <SetTitle title="@Mizelda Isaacs please confirm if this is coming from Stock and update the amount as per stock sheet"/>
      </Event>
      <Event time="2025-03-28T06:57:28.43" id="{1E959204-4C0A-45A1-958D-02F2680416C2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3933714" cy="9089571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D41FCA20-3E95-4BAA-ADFD-2A2A9E9CD07B}" userId="mizelda@emergentenergy.co.za" providerId="PeoplePicker"/>
  <person displayName="Tasneema van Harte" id="{075E4ECC-5C7E-4036-9300-4A41448B771E}" userId="S::tasneema@emergy.co.za::9a0cc615-e4de-4e2f-ae82-9f40753a7d8a" providerId="AD"/>
  <person displayName="Mizelda Isaacs" id="{ED983F26-08F6-4782-ADAD-9EEE62950F73}" userId="S::mizelda@emergentenergy.co.za::3a5c2ad2-993e-4fe1-a333-48e19c6adda8" providerId="AD"/>
  <person displayName="Roedolph Venter" id="{E2406C96-5246-4FD6-B3E2-928AC1E1E2F3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9.441839699073" createdVersion="8" refreshedVersion="8" minRefreshableVersion="3" recordCount="146" xr:uid="{5501410B-D70C-4B2D-91F7-76BD0FC02E9D}">
  <cacheSource type="worksheet">
    <worksheetSource ref="N4:T150" sheet="Expenditure Breakdown"/>
  </cacheSource>
  <cacheFields count="7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7. 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" maxValue="1167527.6499999999"/>
    </cacheField>
    <cacheField name="Rate / Unit" numFmtId="0">
      <sharedItems containsString="0" containsBlank="1" containsNumber="1" minValue="-68870" maxValue="2461447"/>
    </cacheField>
    <cacheField name="Actual Total " numFmtId="0">
      <sharedItems containsString="0" containsBlank="1" containsNumber="1" minValue="-68870" maxValue="4922894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6-03-01T00:00:00" count="50">
        <m/>
        <d v="2024-12-31T00:00:00"/>
        <d v="2025-01-31T00:00:00"/>
        <s v=""/>
        <d v="2025-03-31T00:00:00"/>
        <d v="2026-01-31T00:00:00"/>
        <d v="2025-02-28T00:00:00"/>
        <d v="2025-04-30T00:00:00"/>
        <d v="2025-05-31T00:00:00"/>
        <d v="2025-06-30T00:00:00"/>
        <d v="2025-12-31T00:00:00"/>
        <d v="2025-07-31T00:00:00"/>
        <d v="2025-08-31T00:00:00"/>
        <d v="2024-11-30T00:00:00"/>
        <d v="2025-09-30T00:00:00"/>
        <d v="2026-02-28T00:00:00"/>
        <d v="2025-09-18T00:00:00" u="1"/>
        <d v="2024-01-31T00:00:00" u="1"/>
        <d v="2024-10-31T00:00:00" u="1"/>
        <d v="2024-09-30T00:00:00" u="1"/>
        <d v="2024-08-31T00:00:00" u="1"/>
        <d v="2024-07-31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9.441839699073" createdVersion="8" refreshedVersion="8" minRefreshableVersion="3" recordCount="146" xr:uid="{CFE685BB-DDF2-42BA-9528-D7F36DD72BD0}">
  <cacheSource type="worksheet">
    <worksheetSource ref="M4:X150" sheet="Expenditure Breakdown"/>
  </cacheSource>
  <cacheFields count="12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7. 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" maxValue="1167527.6499999999"/>
    </cacheField>
    <cacheField name="Rate / Unit" numFmtId="0">
      <sharedItems containsString="0" containsBlank="1" containsNumber="1" minValue="-68870" maxValue="2461447"/>
    </cacheField>
    <cacheField name="Actual Total " numFmtId="0">
      <sharedItems containsString="0" containsBlank="1" containsNumber="1" minValue="-68870" maxValue="4922894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6-03-01T00:00:00" count="41">
        <m/>
        <d v="2024-12-31T00:00:00"/>
        <d v="2025-01-31T00:00:00"/>
        <s v=""/>
        <d v="2025-03-31T00:00:00"/>
        <d v="2026-01-31T00:00:00"/>
        <d v="2025-02-28T00:00:00"/>
        <d v="2025-04-30T00:00:00"/>
        <d v="2025-05-31T00:00:00"/>
        <d v="2025-06-30T00:00:00"/>
        <d v="2025-12-31T00:00:00"/>
        <d v="2025-07-31T00:00:00"/>
        <d v="2025-08-31T00:00:00"/>
        <d v="2024-11-30T00:00:00"/>
        <d v="2025-09-30T00:00:00"/>
        <d v="2026-02-28T00:00:00"/>
        <d v="2025-09-18T00:00:00" u="1"/>
        <d v="2024-01-31T00:00:00" u="1"/>
        <d v="2024-10-31T00:00:00" u="1"/>
        <d v="2024-09-30T00:00:00" u="1"/>
        <d v="2024-08-31T00:00:00" u="1"/>
        <d v="2024-07-31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6697065.2173913047" count="840">
        <m/>
        <n v="1146065.7029619529"/>
        <n v="25234.91"/>
        <n v="0"/>
        <n v="179134.84977088645"/>
        <n v="49126.024181705885"/>
        <n v="186596.42114662621"/>
        <n v="9251.4049403307945"/>
        <n v="187862.44490114271"/>
        <n v="13110.75015871392"/>
        <n v="72136.625518857516"/>
        <n v="11255.535941135646"/>
        <n v="16883.303911703468"/>
        <n v="19482.908475349497"/>
        <n v="24353.635594186875"/>
        <n v="9741.4542376747486"/>
        <n v="4870.7271188373743"/>
        <n v="31106.653393420871"/>
        <n v="26411.708982009975"/>
        <n v="86134.180461736512"/>
        <n v="45477.896804142358"/>
        <n v="41443.776083293342"/>
        <n v="62165.662350088074"/>
        <n v="82887.548616882821"/>
        <n v="103609.43577110351"/>
        <n v="41443.774308441411"/>
        <n v="20721.887154220705"/>
        <n v="650850.70315160288"/>
        <n v="730161.81359130121"/>
        <n v="369702.18409686134"/>
        <n v="6148664.4049909934"/>
        <n v="126963.80915690806"/>
        <n v="10425.517289227013"/>
        <n v="58843.236586052408"/>
        <n v="25218.529965451031"/>
        <n v="61634.14"/>
        <n v="13633.19"/>
        <n v="9149.5499999999993"/>
        <n v="25509.433026121202"/>
        <n v="21238.98"/>
        <n v="40254.117647058811"/>
        <n v="60381.176470588209"/>
        <n v="80508.235294117621"/>
        <n v="100635.29411764703"/>
        <n v="20127.058823529405"/>
        <n v="3052.5431209584194"/>
        <n v="109.27"/>
        <n v="6079.160758102219"/>
        <n v="9118.741137153329"/>
        <n v="12684.565018661742"/>
        <n v="14824.168773327177"/>
        <n v="5929.6675093308704"/>
        <n v="2964.8337546654352"/>
        <n v="76116.379468817002"/>
        <n v="13420.950423763396"/>
        <n v="14115.734382012277"/>
        <n v="26958.699412732451"/>
        <n v="272693.57778326701"/>
        <n v="7754.7473140411212"/>
        <n v="7583.8908723643481"/>
        <n v="4142.1544216248094"/>
        <n v="8392.2079954928231"/>
        <n v="7747.5087728269291"/>
        <n v="20379.494669769258"/>
        <n v="43975.951045543385" u="1"/>
        <n v="18846.836162375734" u="1"/>
        <n v="68386.467227354718" u="1"/>
        <n v="29308.485954580592" u="1"/>
        <n v="25509.433026121216" u="1"/>
        <n v="68479.287114470775" u="1"/>
        <n v="29348.265906201756" u="1"/>
        <n v="111530.3650010874" u="1"/>
        <n v="47798.727857608879" u="1"/>
        <n v="25979.539787266924" u="1"/>
        <n v="18685.663026121216" u="1"/>
        <n v="129386.97407713649" u="1"/>
        <n v="55451.560318772776" u="1"/>
        <n v="86922.91946881701" u="1"/>
        <n v="47268.930423763399" u="1"/>
        <n v="97343.533570043975" u="1"/>
        <n v="28220.246031130653" u="1"/>
        <n v="153712.54188282634" u="1"/>
        <n v="17056.134506969145" u="1"/>
        <n v="57990.857323695091" u="1"/>
        <n v="22172.974859059887" u="1"/>
        <n v="21761.069210716581" u="1"/>
        <n v="20379.495200544588" u="1"/>
        <n v="81696.853383579175" u="1"/>
        <n v="34799.180642603038" u="1"/>
        <n v="13423.23246504652" u="1"/>
        <n v="14703.76246504652" u="1"/>
        <n v="54721.724181705882" u="1"/>
        <n v="14399.210158713919" u="1"/>
        <n v="41702.069156908052" u="1"/>
        <n v="12575.795018661742" u="1"/>
        <n v="7672.0879954928232" u="1"/>
        <n v="9292.1987094116539" u="1"/>
        <n v="12973.241521303351" u="1"/>
        <n v="14253.771521303352" u="1"/>
        <n v="49126.019051056472" u="1"/>
        <n v="28723.885785490231" u="1"/>
        <n v="22979.108628392187" u="1"/>
        <n v="11489.554314196093" u="1"/>
        <n v="5744.7771570980467" u="1"/>
        <n v="103609.4357711035" u="1"/>
        <n v="82887.548616882807" u="1"/>
        <n v="41443.774308441403" u="1"/>
        <n v="20721.887154220702" u="1"/>
        <n v="137389.32517113091" u="1"/>
        <n v="16630.822745098041" u="1"/>
        <n v="12731.490196078434" u="1"/>
        <n v="6365.7450980392168" u="1"/>
        <n v="3182.8725490196084" u="1"/>
        <n v="116496.02922187475" u="1"/>
        <n v="12173.070224038196" u="1"/>
        <n v="2735.28" u="1"/>
        <n v="64853.505518857521" u="1"/>
        <n v="15914.362745098042" u="1"/>
        <n v="1112.6544216248089" u="1"/>
        <n v="10359.18890697188" u="1"/>
        <n v="63532.574224765667" u="1"/>
        <n v="28138.839852839115" u="1"/>
        <n v="22511.071882271292" u="1"/>
        <n v="5627.7679705678229" u="1"/>
        <n v="86134.175603035794" u="1"/>
        <n v="135791.65599999999" u="1"/>
        <n v="58196.423999999992" u="1"/>
        <n v="2865.8433993699709" u="1"/>
        <n v="15197.901895255549" u="1"/>
        <n v="12158.321516204438" u="1"/>
        <n v="3039.5803790511095" u="1"/>
        <n v="10165.340080125274" u="1"/>
        <n v="41443.774574669194" u="1"/>
        <n v="62165.661862003784" u="1"/>
        <n v="103609.43643667297" u="1"/>
        <n v="82887.549149338389" u="1"/>
        <n v="20721.887287334597" u="1"/>
        <n v="41186.79905105647" u="1"/>
        <n v="65227.609221874751" u="1"/>
        <n v="25234.905733697015" u="1"/>
        <n v="31212.534817241925" u="1"/>
        <n v="17913.484977088643" u="1"/>
        <n v="181340.57971014536" u="1"/>
        <n v="14507.246376811629" u="1"/>
        <n v="7514.4977960457081" u="1"/>
        <n v="17893.262252020268" u="1"/>
        <n v="26839.893378030396" u="1"/>
        <n v="44733.155630050664" u="1"/>
        <n v="35786.524504040535" u="1"/>
        <n v="8946.6311260101338" u="1"/>
        <n v="8297.0606935002834" u="1"/>
        <n v="31911.771898078008" u="1"/>
        <n v="132965.7162419917" u="1"/>
        <n v="15955.885949039004" u="1"/>
        <n v="6697065.2173913047" u="1"/>
        <n v="376086.95652173914" u="1"/>
        <n v="541304.34782608692" u="1"/>
        <n v="286442.34404536866" u="1"/>
        <n v="135869.5652173913" u="1"/>
        <n v="40254.117647058803" u="1"/>
        <n v="60381.176470588201" u="1"/>
        <n v="100635.294117647" u="1"/>
        <n v="80508.235294117607" u="1"/>
        <n v="20127.058823529402" u="1"/>
        <n v="12731.49019607843" u="1"/>
        <n v="9548.6176470588216" u="1"/>
        <n v="6365.745098039215" u="1"/>
        <n v="3182.8725490196075" u="1"/>
        <n v="14081.937731456781" u="1"/>
        <n v="102414.09259241296" u="1"/>
        <n v="9649.0505371917752" u="1"/>
        <n v="84608.65" u="1"/>
        <n v="36260.85" u="1"/>
        <n v="1146057.0610944505" u="1"/>
        <n v="25243.547601199356" u="1"/>
        <n v="179134.72528637596" u="1"/>
        <n v="31212.671750203448" u="1"/>
        <n v="17913.472528637598" u="1"/>
        <n v="1147559.9761631635" u="1"/>
        <n v="23740.632532486525" u="1"/>
        <n v="207509.88142292455" u="1"/>
        <n v="20750.988142292455" u="1"/>
        <n v="180038.40470883067" u="1"/>
        <n v="7201.5361883532278" u="1"/>
        <n v="18706.962432020711" u="1"/>
        <n v="28060.443648031065" u="1"/>
        <n v="46767.406080051776" u="1"/>
        <n v="37413.924864041423" u="1"/>
        <n v="9353.4812160103556" u="1"/>
        <n v="56000" u="1"/>
        <n v="1149150.3738519275" u="1"/>
        <n v="22150.23484372245" u="1"/>
        <n v="184652.61970736229" u="1"/>
        <n v="7386.1047882944913" u="1"/>
        <n v="18227.084072173431" u="1"/>
        <n v="27340.626108260149" u="1"/>
        <n v="45567.710180433576" u="1"/>
        <n v="36454.168144346862" u="1"/>
        <n v="9113.5420360867156" u="1"/>
        <n v="9509.3514695166541" u="1"/>
        <n v="31697.838231722177" u="1"/>
        <n v="132074.32596550908" u="1"/>
        <n v="15848.919115861088" u="1"/>
        <n v="13181.003777657817" u="1"/>
        <n v="21568.915272530972" u="1"/>
        <n v="95861.845655693221" u="1"/>
        <n v="610914.9886363633" u="1"/>
        <n v="22727.27272727271" u="1"/>
        <n v="192148.76033057817" u="1"/>
        <n v="19214.876033057819" u="1"/>
        <n v="101609.84848484815" u="1"/>
        <n v="8128.7878787878517" u="1"/>
        <n v="114701.12735768498" u="1"/>
        <n v="4588.0450943074002" u="1"/>
        <n v="7632.1054820734616" u="1"/>
        <n v="11448.158223110193" u="1"/>
        <n v="19080.263705183654" u="1"/>
        <n v="15264.210964146923" u="1"/>
        <n v="3816.0527410367308" u="1"/>
        <n v="28602.479249011896" u="1"/>
        <n v="42903.718873517842" u="1"/>
        <n v="71506.198122529735" u="1"/>
        <n v="57204.958498023792" u="1"/>
        <n v="14301.239624505948" u="1"/>
        <n v="68181.818181818206" u="1"/>
        <n v="20785.294117647049" u="1"/>
        <n v="31177.941176470573" u="1"/>
        <n v="51963.235294117621" u="1"/>
        <n v="41570.588235294097" u="1"/>
        <n v="10392.647058823524" u="1"/>
        <n v="8547.6941176470627" u="1"/>
        <n v="6410.7705882352957" u="1"/>
        <n v="4273.8470588235314" u="1"/>
        <n v="2136.9235294117657" u="1"/>
        <n v="12941.176470588225" u="1"/>
        <n v="21176.470588235279" u="1"/>
        <n v="26729.206026589018" u="1"/>
        <n v="18367.566733017789" u="1"/>
        <n v="62449.726892260493" u="1"/>
        <n v="23877.836752923129" u="1"/>
        <n v="30823.400916108567" u="1"/>
        <n v="4323.5294117647099" u="1"/>
        <n v="809516.2827911285" u="1"/>
        <n v="24435.937914391463" u="1"/>
        <n v="207425.56971076273" u="1"/>
        <n v="20742.556971076272" u="1"/>
        <n v="134642.01790829722" u="1"/>
        <n v="10771.361432663778" u="1"/>
        <n v="138770.95477239587" u="1"/>
        <n v="5550.8381908958336" u="1"/>
        <n v="11179.078359868738" u="1"/>
        <n v="16768.617539803105" u="1"/>
        <n v="27947.695899671846" u="1"/>
        <n v="22358.156719737475" u="1"/>
        <n v="5589.5391799343688" u="1"/>
        <n v="32581.14678832181" u="1"/>
        <n v="48871.720182482713" u="1"/>
        <n v="81452.86697080452" u="1"/>
        <n v="65162.29357664362" u="1"/>
        <n v="16290.573394160905" u="1"/>
        <n v="61089.844785978697" u="1"/>
        <n v="25616.470588235272" u="1"/>
        <n v="38424.705882352908" u="1"/>
        <n v="64041.17647058818" u="1"/>
        <n v="51232.941176470544" u="1"/>
        <n v="12808.235294117636" u="1"/>
        <n v="9720.4784313725468" u="1"/>
        <n v="7290.3588235294092" u="1"/>
        <n v="4860.2392156862734" u="1"/>
        <n v="2430.1196078431367" u="1"/>
        <n v="32449.865408462112" u="1"/>
        <n v="22589.874090984984" u="1"/>
        <n v="76805.571909348946" u="1"/>
        <n v="29366.836318280479" u="1"/>
        <n v="34302.550038898458" u="1"/>
        <n v="5352.9411764705901" u="1"/>
        <n v="1079297.5442617685" u="1"/>
        <n v="42564.053041791514" u="1"/>
        <n v="270862.1557204909" u="1"/>
        <n v="27086.215572049092" u="1"/>
        <n v="152008.84498350834" u="1"/>
        <n v="12160.707598680667" u="1"/>
        <n v="228389.85774942394" u="1"/>
        <n v="9135.5943099769593" u="1"/>
        <n v="14184.369629678213" u="1"/>
        <n v="21276.554444517315" u="1"/>
        <n v="35460.924074195529" u="1"/>
        <n v="28368.739259356425" u="1"/>
        <n v="7092.1848148391064" u="1"/>
        <n v="24561.195913401116" u="1"/>
        <n v="28339.841438539745" u="1"/>
        <n v="14169.920719269872" u="1"/>
        <n v="118082.67266058228" u="1"/>
        <n v="209512.86938279824" u="1"/>
        <n v="50906.752020622771" u="1"/>
        <n v="76360.128030934138" u="1"/>
        <n v="127266.88005155692" u="1"/>
        <n v="101813.50404124554" u="1"/>
        <n v="25453.376010311385" u="1"/>
        <n v="53430.655783360664" u="1"/>
        <n v="79807.599453358736" u="1"/>
        <n v="25538.4318250748" u="1"/>
        <n v="31923.039781343497" u="1"/>
        <n v="42694.117647058803" u="1"/>
        <n v="64041.176470588201" u="1"/>
        <n v="106735.294117647" u="1"/>
        <n v="85388.235294117607" u="1"/>
        <n v="21347.058823529402" u="1"/>
        <n v="13483.99215686274" u="1"/>
        <n v="10112.994117647053" u="1"/>
        <n v="6741.9960784313698" u="1"/>
        <n v="3370.9980392156849" u="1"/>
        <n v="13423.205612520203" u="1"/>
        <n v="21965.245547760333" u="1"/>
        <n v="97623.313545601472" u="1"/>
        <n v="52467.932146344123" u="1"/>
        <n v="19045.704396554953" u="1"/>
        <n v="64755.394948286848" u="1"/>
        <n v="24759.415715521442" u="1"/>
        <n v="23576.850615262621" u="1"/>
        <n v="9058.8235294117694" u="1"/>
        <n v="489735.09491036815" u="1"/>
        <n v="21304.881365953872" u="1"/>
        <n v="135576.51778334272" u="1"/>
        <n v="13557.651778334273" u="1"/>
        <n v="68974.553422275741" u="1"/>
        <n v="5517.9642737820595" u="1"/>
        <n v="110179.0099434804" u="1"/>
        <n v="4407.160397739216" u="1"/>
        <n v="8815.7472201607379" u="1"/>
        <n v="13223.620830241105" u="1"/>
        <n v="22039.368050401841" u="1"/>
        <n v="17631.494440321476" u="1"/>
        <n v="4407.873610080369" u="1"/>
        <n v="24587.572270299868" u="1"/>
        <n v="28370.275696499848" u="1"/>
        <n v="14185.137848249924" u="1"/>
        <n v="118209.48206874935" u="1"/>
        <n v="127057.47596812385" u="1"/>
        <n v="18130.066044731615" u="1"/>
        <n v="27195.099067097424" u="1"/>
        <n v="45325.165111829039" u="1"/>
        <n v="36260.13208946323" u="1"/>
        <n v="9065.0330223658075" u="1"/>
        <n v="26744.017578681873" u="1"/>
        <n v="79893.305122326958" u="1"/>
        <n v="12782.928819572311" u="1"/>
        <n v="31957.322048930779" u="1"/>
        <n v="18440.217391304363" u="1"/>
        <n v="27660.326086956538" u="1"/>
        <n v="46100.543478260901" u="1"/>
        <n v="36880.434782608725" u="1"/>
        <n v="9220.1086956521813" u="1"/>
        <n v="7603.3260869565229" u="1"/>
        <n v="5702.4945652173919" u="1"/>
        <n v="3801.6630434782614" u="1"/>
        <n v="1900.8315217391307" u="1"/>
        <n v="11956.52173913044" u="1"/>
        <n v="19565.217391304359" u="1"/>
        <n v="26105.87098708309" u="1"/>
        <n v="16400.029267814461" u="1"/>
        <n v="27880.049755284588" u="1"/>
        <n v="10660.019024079402" u="1"/>
        <n v="14666.373542319447" u="1"/>
        <n v="3500" u="1"/>
        <n v="4635403.9053763421" u="1"/>
        <n v="64516.129032258032" u="1"/>
        <n v="1185772.853977117" u="1"/>
        <n v="1943726.8262173936" u="1"/>
        <n v="97186.341310869684" u="1"/>
        <n v="653221.82397451205" u="1"/>
        <n v="52257.745917960965" u="1"/>
        <n v="818232.43922430929" u="1"/>
        <n v="32729.297568972372" u="1"/>
        <n v="77567.39621314485" u="1"/>
        <n v="116351.09431971726" u="1"/>
        <n v="193918.49053286214" u="1"/>
        <n v="155134.7924262897" u="1"/>
        <n v="38783.698106572425" u="1"/>
        <n v="6779.3264958238715" u="1"/>
        <n v="75242.247456424753" u="1"/>
        <n v="56431.685592318572" u="1"/>
        <n v="152835.81514586281" u="1"/>
        <n v="235132.02330132737" u="1"/>
        <n v="65836.966524371674" u="1"/>
        <n v="399565.08869857562" u="1"/>
        <n v="121964.25503851044" u="1"/>
        <n v="182946.38255776564" u="1"/>
        <n v="304910.63759627606" u="1"/>
        <n v="243928.51007702088" u="1"/>
        <n v="60982.12751925522" u="1"/>
        <n v="106223.75122866595" u="1"/>
        <n v="265559.37807166483" u="1"/>
        <n v="95601.37610579934" u="1"/>
        <n v="50987.400589759651" u="1"/>
        <n v="127468.50147439913" u="1"/>
        <n v="167747.8260869566" u="1"/>
        <n v="251621.73913043487" u="1"/>
        <n v="419369.56521739147" u="1"/>
        <n v="335495.6521739132" u="1"/>
        <n v="83873.9130434783" u="1"/>
        <n v="89054.90896245667" u="1"/>
        <n v="33236.88342489997" u="1"/>
        <n v="24927.662568674972" u="1"/>
        <n v="16618.441712449985" u="1"/>
        <n v="8309.2208562249925" u="1"/>
        <n v="29757.662152530324" u="1"/>
        <n v="49596.103587550548" u="1"/>
        <n v="79353.765740080868" u="1"/>
        <n v="6943.4545022570765" u="1"/>
        <n v="15870.753148016174" u="1"/>
        <n v="217071.70829436608" u="1"/>
        <n v="81061.560039321383" u="1"/>
        <n v="275609.3041336927" u="1"/>
        <n v="105380.02805111781" u="1"/>
        <n v="76439.57727053389" u="1"/>
        <n v="38500" u="1"/>
        <n v="475677.39248561789" u="1"/>
        <n v="41983.388764382114" u="1"/>
        <n v="98527.233363719235" u="1"/>
        <n v="1472.7666362807659" u="1"/>
        <n v="69850" u="1"/>
        <n v="39691.134445865362" u="1"/>
        <n v="7687.9365554134674" u="1"/>
        <n v="11531.904833120199" u="1"/>
        <n v="15375.873110826935" u="1"/>
        <n v="19219.841388533667" u="1"/>
        <n v="3843.9682777067337" u="1"/>
        <n v="15138.207204183798" u="1"/>
        <n v="26764.864222390024" u="1"/>
        <n v="16058.918533434015" u="1"/>
        <n v="2782.154106188998" u="1"/>
        <n v="505.85593380317141" u="1"/>
        <n v="23865.069021739102" u="1"/>
        <n v="35797.603532608649" u="1"/>
        <n v="47730.138043478204" u="1"/>
        <n v="59662.672554347751" u="1"/>
        <n v="11932.534510869551" u="1"/>
        <n v="60861.074868137264" u="1"/>
        <n v="16323.936039732836" u="1"/>
        <n v="93735.5122972104" u="1"/>
        <n v="37555.935515412013" u="1"/>
        <n v="16095.400935176576" u="1"/>
        <n v="127063.47219996341" u="1"/>
        <n v="13059.14883178627" u="1"/>
        <n v="14044.705882352951" u="1"/>
        <n v="21067.058823529427" u="1"/>
        <n v="28089.411764705903" u="1"/>
        <n v="35111.764705882379" u="1"/>
        <n v="7022.3529411764757" u="1"/>
        <n v="25963.693094629176" u="1"/>
        <n v="14979.053708439911" u="1"/>
        <n v="4993.0179028133034" u="1"/>
        <n v="13630.351548903562" u="1"/>
        <n v="6815.1757744517809" u="1"/>
        <n v="74347.372084928516" u="1"/>
        <n v="9912.9829446571366" u="1"/>
        <n v="24872.308954049979" u="1"/>
        <n v="10705.64986914713" u="1"/>
        <n v="36399.209555100242" u="1"/>
        <n v="13917.34482989127" u="1"/>
        <n v="23778.483626668367" u="1"/>
        <n v="2676.4705882352901" u="1"/>
        <n v="517660.78125" u="1"/>
        <n v="53291.663252057733" u="1"/>
        <n v="6327.883674794225" u="1"/>
        <n v="9491.8255121913371" u="1"/>
        <n v="12655.76734958845" u="1"/>
        <n v="15819.709186985563" u="1"/>
        <n v="3163.9418373971125" u="1"/>
        <n v="19621.091980063433" u="1"/>
        <n v="20814.454009968285" u="1"/>
        <n v="168888.88888888908" u="1"/>
        <n v="28888.888888888923" u="1"/>
        <n v="127777.77777777793" u="1"/>
        <n v="100000.00000000012" u="1"/>
        <n v="45935.764705882393" u="1"/>
        <n v="492660.78125" u="1"/>
        <n v="25000" u="1"/>
        <n v="100000" u="1"/>
        <n v="58230.695117511772" u="1"/>
        <n v="5833.9804882488215" u="1"/>
        <n v="8750.9707323732309" u="1"/>
        <n v="11667.960976497643" u="1"/>
        <n v="14584.951220622052" u="1"/>
        <n v="2916.9902441244108" u="1"/>
        <n v="28437.5" u="1"/>
        <n v="16406.25" u="1"/>
        <n v="11873.862947240732" u="1"/>
        <n v="19429.957550030289" u="1"/>
        <n v="64766.525166767635" u="1"/>
        <n v="8635.5366889023499" u="1"/>
        <n v="249511.41486486496" u="1"/>
        <n v="27027.027027027038" u="1"/>
        <n v="52900" u="1"/>
        <n v="40208.108108108099" u="1"/>
        <n v="21581.494858552782" u="1"/>
        <n v="4576.3910546852621" u="1"/>
        <n v="6864.5865820278914" u="1"/>
        <n v="9152.7821093705243" u="1"/>
        <n v="11440.977636713154" u="1"/>
        <n v="2288.1955273426311" u="1"/>
        <n v="12232.362232362231" u="1"/>
        <n v="21586.521586521587" u="1"/>
        <n v="19280.314923619302" u="1"/>
        <n v="28920.472385428951" u="1"/>
        <n v="38560.629847238604" u="1"/>
        <n v="48200.787309048254" u="1"/>
        <n v="9640.1574618096511" u="1"/>
        <n v="40540.540540540504" u="1"/>
        <n v="6482.3529411764703" u="1"/>
        <n v="9723.5294117647045" u="1"/>
        <n v="12964.705882352941" u="1"/>
        <n v="16205.882352941175" u="1"/>
        <n v="3241.1764705882351" u="1"/>
        <n v="47746.705882352901" u="1"/>
        <n v="10143.084260731312" u="1"/>
        <n v="16597.774244833057" u="1"/>
        <n v="7376.7885532591363" u="1"/>
        <n v="12853.48101698533" u="1"/>
        <n v="5270.7889017303351" u="1"/>
        <n v="17920.682265883141" u="1"/>
        <n v="6852.0255722494358" u="1"/>
        <n v="19871.049852486754" u="1"/>
        <n v="1235.2941176470599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21238.979577624676" maxValue="1.0185568826273084E-3"/>
    </cacheField>
    <cacheField name="FINANCE PAYMENT DATE" numFmtId="0">
      <sharedItems containsNonDate="0" containsDate="1" containsString="0" containsBlank="1" minDate="2024-11-28T00:00:00" maxDate="2026-04-01T00:00:00"/>
    </cacheField>
    <cacheField name="Total COS" numFmtId="0">
      <sharedItems containsString="0" containsBlank="1" containsNumber="1" minValue="0" maxValue="6386529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">
  <r>
    <x v="0"/>
    <m/>
    <m/>
    <m/>
    <m/>
    <m/>
    <x v="0"/>
  </r>
  <r>
    <x v="1"/>
    <s v="Jinko 585W"/>
    <n v="683.76068376068372"/>
    <n v="1327.95"/>
    <n v="908317.8"/>
    <s v="Menlo Inv0002362"/>
    <x v="1"/>
  </r>
  <r>
    <x v="1"/>
    <m/>
    <m/>
    <m/>
    <m/>
    <m/>
    <x v="2"/>
  </r>
  <r>
    <x v="1"/>
    <s v="Module delivery to site"/>
    <m/>
    <m/>
    <m/>
    <m/>
    <x v="0"/>
  </r>
  <r>
    <x v="1"/>
    <m/>
    <m/>
    <m/>
    <m/>
    <m/>
    <x v="3"/>
  </r>
  <r>
    <x v="1"/>
    <m/>
    <m/>
    <m/>
    <m/>
    <m/>
    <x v="3"/>
  </r>
  <r>
    <x v="1"/>
    <m/>
    <m/>
    <m/>
    <m/>
    <m/>
    <x v="3"/>
  </r>
  <r>
    <x v="0"/>
    <m/>
    <m/>
    <m/>
    <m/>
    <m/>
    <x v="3"/>
  </r>
  <r>
    <x v="2"/>
    <s v="Huawei 100KTL"/>
    <n v="3"/>
    <n v="68870"/>
    <n v="206611.05"/>
    <s v="Menlo Inv0002362"/>
    <x v="1"/>
  </r>
  <r>
    <x v="2"/>
    <s v="Huawei 50KTL"/>
    <n v="1"/>
    <n v="43190.78"/>
    <n v="43190.78"/>
    <s v="Menlo INV0002702"/>
    <x v="4"/>
  </r>
  <r>
    <x v="2"/>
    <s v="Huawei 100KTL - Moved to stock (JHB)"/>
    <n v="1"/>
    <n v="-68870"/>
    <n v="-68870"/>
    <s v="Allocated to Joburg Storeroom"/>
    <x v="5"/>
  </r>
  <r>
    <x v="2"/>
    <m/>
    <m/>
    <m/>
    <m/>
    <m/>
    <x v="0"/>
  </r>
  <r>
    <x v="0"/>
    <m/>
    <m/>
    <m/>
    <m/>
    <m/>
    <x v="3"/>
  </r>
  <r>
    <x v="3"/>
    <s v="IBR Roof - Schletter"/>
    <m/>
    <m/>
    <n v="80274.7"/>
    <s v="Schletter - INV1406"/>
    <x v="6"/>
  </r>
  <r>
    <x v="3"/>
    <s v="Delivery"/>
    <m/>
    <m/>
    <n v="3980"/>
    <s v="Schletter - INV1406"/>
    <x v="6"/>
  </r>
  <r>
    <x v="3"/>
    <s v="End Clamps Top Up - JHB Warehouse"/>
    <n v="100"/>
    <n v="11.48"/>
    <n v="1148"/>
    <s v="Allocated from Stock"/>
    <x v="4"/>
  </r>
  <r>
    <x v="3"/>
    <s v="End Clamps Top Up - Scheltter"/>
    <n v="100"/>
    <n v="11.48"/>
    <n v="1148"/>
    <s v="Schletter - INV1611"/>
    <x v="4"/>
  </r>
  <r>
    <x v="0"/>
    <m/>
    <m/>
    <m/>
    <m/>
    <m/>
    <x v="3"/>
  </r>
  <r>
    <x v="4"/>
    <s v="DC Cable "/>
    <n v="12000"/>
    <n v="13.3"/>
    <n v="159600"/>
    <s v="Menlo Inv0002362"/>
    <x v="1"/>
  </r>
  <r>
    <x v="4"/>
    <s v="DC Cable"/>
    <m/>
    <m/>
    <n v="55100"/>
    <s v="Menlo INV0002767"/>
    <x v="4"/>
  </r>
  <r>
    <x v="4"/>
    <s v="DC Cable - Additional order due to inverter room placement  - VO"/>
    <n v="4000"/>
    <n v="13.3"/>
    <n v="53200"/>
    <s v="MENLO - INV0002594"/>
    <x v="6"/>
  </r>
  <r>
    <x v="4"/>
    <s v="Project Kick Off"/>
    <n v="94250"/>
    <n v="0.1"/>
    <n v="9425"/>
    <s v="Matthews Group INV 1423"/>
    <x v="2"/>
  </r>
  <r>
    <x v="4"/>
    <s v="Site Establishment"/>
    <m/>
    <n v="0.15"/>
    <n v="14137.5"/>
    <s v="Matthews Group INV-1424"/>
    <x v="2"/>
  </r>
  <r>
    <x v="4"/>
    <s v="AC Installation Complete"/>
    <m/>
    <n v="0.2"/>
    <n v="18850"/>
    <s v="Matthews Group INV-1451"/>
    <x v="7"/>
  </r>
  <r>
    <x v="4"/>
    <s v="DC Installation Complete"/>
    <m/>
    <n v="0.25"/>
    <n v="23562.5"/>
    <s v="Matthews Group INV 1445"/>
    <x v="7"/>
  </r>
  <r>
    <x v="4"/>
    <s v="Commissioning Complete"/>
    <m/>
    <n v="0.1"/>
    <n v="9425"/>
    <s v="Matthews Group INV 1452"/>
    <x v="7"/>
  </r>
  <r>
    <x v="4"/>
    <s v="Site De-establisment"/>
    <m/>
    <n v="0.1"/>
    <n v="9425"/>
    <s v="Matthews Group INV-1461"/>
    <x v="8"/>
  </r>
  <r>
    <x v="4"/>
    <s v="Handover Document Complete"/>
    <m/>
    <n v="0.05"/>
    <n v="4712.5"/>
    <s v="Matthews Group INV-1462"/>
    <x v="9"/>
  </r>
  <r>
    <x v="4"/>
    <s v="End of Defects Period"/>
    <m/>
    <n v="0.05"/>
    <n v="4712.5"/>
    <s v="Matthews Group INV-1463"/>
    <x v="9"/>
  </r>
  <r>
    <x v="0"/>
    <m/>
    <m/>
    <m/>
    <m/>
    <m/>
    <x v="3"/>
  </r>
  <r>
    <x v="5"/>
    <s v="Smartlogger 3000"/>
    <m/>
    <m/>
    <n v="7639.54"/>
    <s v="MENLO - INV0002488"/>
    <x v="2"/>
  </r>
  <r>
    <x v="5"/>
    <s v="CTs, Router - AccuEnergy"/>
    <m/>
    <m/>
    <n v="6486.5"/>
    <s v="Accuenergy - INV ASAI-004649"/>
    <x v="2"/>
  </r>
  <r>
    <x v="5"/>
    <m/>
    <m/>
    <m/>
    <m/>
    <m/>
    <x v="0"/>
  </r>
  <r>
    <x v="5"/>
    <s v="Data Guru - Herholdts"/>
    <m/>
    <m/>
    <n v="27100"/>
    <s v="Herholdts' - INV1005888"/>
    <x v="6"/>
  </r>
  <r>
    <x v="5"/>
    <s v="Revenue Grade Meter"/>
    <m/>
    <m/>
    <n v="11169"/>
    <s v="Matriach INV-3710"/>
    <x v="2"/>
  </r>
  <r>
    <x v="5"/>
    <s v="Meter + Fibre Optic Port + rogowski Coil"/>
    <m/>
    <m/>
    <n v="15813"/>
    <s v="Accuenergy Inv: ASAI-007060"/>
    <x v="10"/>
  </r>
  <r>
    <x v="5"/>
    <m/>
    <m/>
    <m/>
    <m/>
    <m/>
    <x v="3"/>
  </r>
  <r>
    <x v="0"/>
    <m/>
    <m/>
    <m/>
    <m/>
    <m/>
    <x v="3"/>
  </r>
  <r>
    <x v="6"/>
    <m/>
    <m/>
    <m/>
    <m/>
    <m/>
    <x v="3"/>
  </r>
  <r>
    <x v="6"/>
    <s v="Project Kick Off"/>
    <n v="1167527.6499999999"/>
    <n v="0.1"/>
    <n v="116752.77"/>
    <s v="Matthews Group INV 1423"/>
    <x v="2"/>
  </r>
  <r>
    <x v="6"/>
    <s v="Site Establishment"/>
    <m/>
    <n v="0.15"/>
    <n v="175129.15"/>
    <s v="Matthews Group INV-1424"/>
    <x v="2"/>
  </r>
  <r>
    <x v="6"/>
    <s v="AC Installation Complete"/>
    <m/>
    <n v="0.2"/>
    <n v="233505.53"/>
    <s v="Matthews Group INV-1451"/>
    <x v="7"/>
  </r>
  <r>
    <x v="6"/>
    <s v="DC Installation Complete"/>
    <m/>
    <n v="0.25"/>
    <n v="291881.91249999998"/>
    <s v="Matthews Group INV 1445"/>
    <x v="7"/>
  </r>
  <r>
    <x v="6"/>
    <s v="Commissioning Complete"/>
    <m/>
    <n v="0.1"/>
    <n v="116752.765"/>
    <s v="Matthews Group INV 1452"/>
    <x v="7"/>
  </r>
  <r>
    <x v="6"/>
    <s v="Site De-establisment"/>
    <m/>
    <n v="0.1"/>
    <n v="116752.765"/>
    <s v="Matthews Group INV-1461"/>
    <x v="8"/>
  </r>
  <r>
    <x v="6"/>
    <s v="Handover Document Complete"/>
    <m/>
    <n v="0.05"/>
    <n v="58376.3825"/>
    <s v="Matthews Group INV-1462"/>
    <x v="9"/>
  </r>
  <r>
    <x v="6"/>
    <s v="End of Defects Period"/>
    <m/>
    <n v="0.05"/>
    <n v="58376.3825"/>
    <s v="Matthews Group INV-1463"/>
    <x v="9"/>
  </r>
  <r>
    <x v="0"/>
    <m/>
    <m/>
    <m/>
    <m/>
    <m/>
    <x v="3"/>
  </r>
  <r>
    <x v="7"/>
    <s v="Battery Inverter + Battery Bank"/>
    <m/>
    <m/>
    <m/>
    <m/>
    <x v="0"/>
  </r>
  <r>
    <x v="7"/>
    <s v="ATESS -PCS630"/>
    <m/>
    <m/>
    <n v="521100"/>
    <s v="Herholdts INV994108"/>
    <x v="2"/>
  </r>
  <r>
    <x v="7"/>
    <s v="ATESS -RTF600"/>
    <m/>
    <m/>
    <n v="584600"/>
    <s v="Herholdts INV994108"/>
    <x v="2"/>
  </r>
  <r>
    <x v="7"/>
    <s v="ATESS -TRF630"/>
    <m/>
    <m/>
    <n v="296000"/>
    <s v="Herholdts INV994108"/>
    <x v="2"/>
  </r>
  <r>
    <x v="7"/>
    <s v="FW-800/560-HV+"/>
    <n v="2"/>
    <n v="2461447"/>
    <n v="4922894"/>
    <s v="Herholdts INV994324"/>
    <x v="2"/>
  </r>
  <r>
    <x v="7"/>
    <s v="Storage/Delivery"/>
    <m/>
    <m/>
    <n v="0"/>
    <m/>
    <x v="0"/>
  </r>
  <r>
    <x v="7"/>
    <m/>
    <m/>
    <m/>
    <m/>
    <m/>
    <x v="0"/>
  </r>
  <r>
    <x v="7"/>
    <s v="3rd Aircon/Additional - RCF Tech - VO"/>
    <m/>
    <m/>
    <n v="20645"/>
    <s v="RCF Tech INV002"/>
    <x v="11"/>
  </r>
  <r>
    <x v="7"/>
    <m/>
    <m/>
    <m/>
    <m/>
    <m/>
    <x v="0"/>
  </r>
  <r>
    <x v="7"/>
    <s v="Airconditioned Container - 1 per 1000kWh (Provision for Commissioning Assistance)"/>
    <m/>
    <m/>
    <m/>
    <m/>
    <x v="0"/>
  </r>
  <r>
    <x v="7"/>
    <s v="Aircons - RCF Tech - Deposit"/>
    <m/>
    <m/>
    <n v="33032"/>
    <s v="RCF Tech QU001"/>
    <x v="7"/>
  </r>
  <r>
    <x v="7"/>
    <s v="Aircons - RCF Tech - last 20%"/>
    <m/>
    <m/>
    <n v="8258"/>
    <s v="RCF Tech QU001"/>
    <x v="7"/>
  </r>
  <r>
    <x v="0"/>
    <m/>
    <m/>
    <m/>
    <m/>
    <m/>
    <x v="3"/>
  </r>
  <r>
    <x v="8"/>
    <s v="Roof Remedial - Oryx Revamp"/>
    <n v="0.7"/>
    <n v="135656"/>
    <n v="94959.2"/>
    <s v="Oryx Revamp: Inv 1892"/>
    <x v="1"/>
  </r>
  <r>
    <x v="8"/>
    <s v="Roof Remedial - Oryx Revamp"/>
    <n v="0.3"/>
    <m/>
    <n v="40696.799999999996"/>
    <s v="Oryx Revamp: Inv 1892"/>
    <x v="1"/>
  </r>
  <r>
    <x v="8"/>
    <s v="Additional Aircons 2x 60000BTU - RCF Tech - VO"/>
    <n v="0.8"/>
    <n v="103835"/>
    <n v="83068"/>
    <s v="RCF Tech Inv004"/>
    <x v="12"/>
  </r>
  <r>
    <x v="8"/>
    <m/>
    <n v="0.2"/>
    <m/>
    <n v="20767"/>
    <s v="RCF Tech Inv004"/>
    <x v="12"/>
  </r>
  <r>
    <x v="8"/>
    <s v="Trunking Clamp and Screws - Lumax"/>
    <m/>
    <m/>
    <n v="6715"/>
    <s v="Lumax Inv 1001/70000751"/>
    <x v="4"/>
  </r>
  <r>
    <x v="8"/>
    <s v="Lithium Extinguishers - Firebreak SA"/>
    <m/>
    <m/>
    <n v="22794.36"/>
    <s v="Firebreak PFI_10024"/>
    <x v="9"/>
  </r>
  <r>
    <x v="8"/>
    <m/>
    <m/>
    <m/>
    <m/>
    <m/>
    <x v="0"/>
  </r>
  <r>
    <x v="8"/>
    <m/>
    <m/>
    <m/>
    <m/>
    <m/>
    <x v="0"/>
  </r>
  <r>
    <x v="8"/>
    <s v="Energitrack controller &amp; Commission Support - Herholdts"/>
    <m/>
    <m/>
    <n v="7200"/>
    <s v="Herholdts Inv: INV1126662"/>
    <x v="12"/>
  </r>
  <r>
    <x v="8"/>
    <s v="Motorized Breaker Upgrade and Grid Relay - All Electrical - VO"/>
    <m/>
    <m/>
    <n v="36485.85"/>
    <s v="All Electrical - IN144166"/>
    <x v="12"/>
  </r>
  <r>
    <x v="8"/>
    <s v="Delivery of Fire Extinguishers"/>
    <m/>
    <m/>
    <n v="365.11"/>
    <s v="DSV Inv: 180138260"/>
    <x v="11"/>
  </r>
  <r>
    <x v="0"/>
    <m/>
    <m/>
    <m/>
    <m/>
    <m/>
    <x v="3"/>
  </r>
  <r>
    <x v="9"/>
    <s v="Project Kick Off"/>
    <n v="676952"/>
    <n v="0.1"/>
    <n v="67695.199999999997"/>
    <s v="Matthews Group INV 1423"/>
    <x v="2"/>
  </r>
  <r>
    <x v="9"/>
    <s v="Site Establishment"/>
    <m/>
    <n v="0.15"/>
    <n v="101542.8"/>
    <s v="Matthews Group INV-1424"/>
    <x v="2"/>
  </r>
  <r>
    <x v="9"/>
    <s v="AC Installation Complete"/>
    <m/>
    <n v="0.2"/>
    <n v="135390.39999999999"/>
    <s v="Matthews Group INV-1451"/>
    <x v="7"/>
  </r>
  <r>
    <x v="9"/>
    <s v="DC Installation Complete"/>
    <m/>
    <n v="0.25"/>
    <n v="169238"/>
    <s v="Matthews Group INV 1445"/>
    <x v="7"/>
  </r>
  <r>
    <x v="9"/>
    <s v="Commissioning Complete"/>
    <m/>
    <n v="0.1"/>
    <n v="67695.199999999997"/>
    <s v="Matthews Group INV 1452"/>
    <x v="7"/>
  </r>
  <r>
    <x v="9"/>
    <s v="Site De-establisment"/>
    <m/>
    <n v="0.1"/>
    <n v="67695.199999999997"/>
    <s v="Matthews Group INV-1461"/>
    <x v="8"/>
  </r>
  <r>
    <x v="9"/>
    <s v="Handover Document Complete"/>
    <m/>
    <n v="0.05"/>
    <n v="33847.599999999999"/>
    <s v="Matthews Group INV-1462"/>
    <x v="9"/>
  </r>
  <r>
    <x v="9"/>
    <s v="End of Defects Period"/>
    <m/>
    <n v="0.05"/>
    <n v="33847.599999999999"/>
    <s v="Matthews Group INV-1463"/>
    <x v="9"/>
  </r>
  <r>
    <x v="0"/>
    <m/>
    <m/>
    <m/>
    <m/>
    <m/>
    <x v="3"/>
  </r>
  <r>
    <x v="10"/>
    <s v="Additional Security - VO"/>
    <m/>
    <m/>
    <n v="16380"/>
    <s v="DIVERGENT - Inv 1117175"/>
    <x v="4"/>
  </r>
  <r>
    <x v="10"/>
    <s v="Night Guard"/>
    <m/>
    <m/>
    <n v="7020"/>
    <s v="Divergent - Inv 1117291"/>
    <x v="4"/>
  </r>
  <r>
    <x v="10"/>
    <s v="Project Kick Off"/>
    <n v="91237"/>
    <n v="0.1"/>
    <n v="9123.7000000000007"/>
    <s v="Matthews Group INV 1423"/>
    <x v="2"/>
  </r>
  <r>
    <x v="10"/>
    <s v="Site Establishment"/>
    <m/>
    <n v="0.15"/>
    <n v="13685.55"/>
    <s v="Matthews Group INV-1424"/>
    <x v="2"/>
  </r>
  <r>
    <x v="10"/>
    <s v="AC Installation Complete"/>
    <m/>
    <n v="0.2"/>
    <n v="18247.400000000001"/>
    <s v="Matthews Group INV-1451"/>
    <x v="7"/>
  </r>
  <r>
    <x v="10"/>
    <s v="DC Installation Complete"/>
    <m/>
    <n v="0.25"/>
    <n v="22809.25"/>
    <s v="Matthews Group INV 1445"/>
    <x v="7"/>
  </r>
  <r>
    <x v="10"/>
    <s v="Commissioning Complete"/>
    <m/>
    <n v="0.1"/>
    <n v="9123.7000000000007"/>
    <s v="Matthews Group INV 1452"/>
    <x v="7"/>
  </r>
  <r>
    <x v="10"/>
    <s v="Site De-establisment"/>
    <m/>
    <n v="0.1"/>
    <n v="9123.7000000000007"/>
    <s v="Matthews Group INV-1461"/>
    <x v="8"/>
  </r>
  <r>
    <x v="10"/>
    <s v="Handover Document Complete"/>
    <m/>
    <n v="0.05"/>
    <n v="4561.8500000000004"/>
    <s v="Matthews Group INV-1462"/>
    <x v="9"/>
  </r>
  <r>
    <x v="10"/>
    <s v="End of Defects Period"/>
    <m/>
    <n v="0.05"/>
    <n v="4561.8500000000004"/>
    <s v="Matthews Group INV-1463"/>
    <x v="9"/>
  </r>
  <r>
    <x v="10"/>
    <m/>
    <m/>
    <m/>
    <m/>
    <m/>
    <x v="3"/>
  </r>
  <r>
    <x v="10"/>
    <m/>
    <m/>
    <m/>
    <m/>
    <m/>
    <x v="3"/>
  </r>
  <r>
    <x v="0"/>
    <m/>
    <m/>
    <m/>
    <m/>
    <m/>
    <x v="3"/>
  </r>
  <r>
    <x v="11"/>
    <s v="Electrical PrEng sign off"/>
    <m/>
    <m/>
    <n v="15750"/>
    <s v="Sunspot: E024"/>
    <x v="8"/>
  </r>
  <r>
    <x v="11"/>
    <s v="Travel"/>
    <m/>
    <m/>
    <n v="3982.67"/>
    <s v="Sunspot: E024"/>
    <x v="8"/>
  </r>
  <r>
    <x v="11"/>
    <s v="Structural sign off"/>
    <m/>
    <m/>
    <n v="11026.4"/>
    <s v="LB Consulting Inv-1838"/>
    <x v="13"/>
  </r>
  <r>
    <x v="11"/>
    <s v="Red Team"/>
    <m/>
    <m/>
    <n v="8000"/>
    <s v="Matriarch - INV-4423"/>
    <x v="8"/>
  </r>
  <r>
    <x v="11"/>
    <s v="Grid Study - Outside of CoCT"/>
    <m/>
    <m/>
    <m/>
    <m/>
    <x v="0"/>
  </r>
  <r>
    <x v="11"/>
    <m/>
    <m/>
    <m/>
    <m/>
    <m/>
    <x v="3"/>
  </r>
  <r>
    <x v="0"/>
    <m/>
    <m/>
    <m/>
    <m/>
    <m/>
    <x v="3"/>
  </r>
  <r>
    <x v="12"/>
    <m/>
    <m/>
    <m/>
    <m/>
    <m/>
    <x v="0"/>
  </r>
  <r>
    <x v="12"/>
    <m/>
    <m/>
    <m/>
    <m/>
    <m/>
    <x v="3"/>
  </r>
  <r>
    <x v="0"/>
    <m/>
    <m/>
    <m/>
    <m/>
    <m/>
    <x v="3"/>
  </r>
  <r>
    <x v="13"/>
    <s v="Matriarch Defects Period"/>
    <m/>
    <m/>
    <n v="144194.49313795625"/>
    <s v="Matriarch - INV-4422"/>
    <x v="8"/>
  </r>
  <r>
    <x v="13"/>
    <s v="Management"/>
    <m/>
    <m/>
    <n v="0"/>
    <m/>
    <x v="8"/>
  </r>
  <r>
    <x v="13"/>
    <s v="Project manager "/>
    <m/>
    <m/>
    <n v="0"/>
    <m/>
    <x v="8"/>
  </r>
  <r>
    <x v="13"/>
    <s v="Planner time"/>
    <m/>
    <m/>
    <n v="0"/>
    <m/>
    <x v="8"/>
  </r>
  <r>
    <x v="13"/>
    <s v="De Snagging"/>
    <m/>
    <m/>
    <n v="0"/>
    <m/>
    <x v="8"/>
  </r>
  <r>
    <x v="13"/>
    <m/>
    <m/>
    <m/>
    <m/>
    <m/>
    <x v="3"/>
  </r>
  <r>
    <x v="13"/>
    <m/>
    <m/>
    <m/>
    <m/>
    <m/>
    <x v="3"/>
  </r>
  <r>
    <x v="0"/>
    <m/>
    <m/>
    <m/>
    <m/>
    <m/>
    <x v="3"/>
  </r>
  <r>
    <x v="14"/>
    <s v="Travel to site"/>
    <m/>
    <m/>
    <n v="6375.86"/>
    <s v="Expense Claim"/>
    <x v="1"/>
  </r>
  <r>
    <x v="14"/>
    <m/>
    <m/>
    <m/>
    <n v="5594.87"/>
    <s v="Expense Claim"/>
    <x v="2"/>
  </r>
  <r>
    <x v="14"/>
    <m/>
    <m/>
    <m/>
    <n v="725.13"/>
    <s v="Expense Claim"/>
    <x v="6"/>
  </r>
  <r>
    <x v="14"/>
    <m/>
    <m/>
    <m/>
    <n v="4534.32"/>
    <s v="Expense Claim"/>
    <x v="4"/>
  </r>
  <r>
    <x v="14"/>
    <m/>
    <m/>
    <m/>
    <n v="4040.3"/>
    <s v="Expense Claim"/>
    <x v="7"/>
  </r>
  <r>
    <x v="14"/>
    <m/>
    <m/>
    <m/>
    <n v="10015.219999999999"/>
    <s v="Expense Claim"/>
    <x v="8"/>
  </r>
  <r>
    <x v="14"/>
    <m/>
    <m/>
    <m/>
    <n v="5888.6900000000005"/>
    <s v="Expense Claim"/>
    <x v="9"/>
  </r>
  <r>
    <x v="14"/>
    <m/>
    <m/>
    <m/>
    <n v="6060.2199999999993"/>
    <s v="Expense Claim"/>
    <x v="11"/>
  </r>
  <r>
    <x v="14"/>
    <m/>
    <m/>
    <m/>
    <n v="20384.45"/>
    <s v="Expense Claim"/>
    <x v="12"/>
  </r>
  <r>
    <x v="14"/>
    <m/>
    <m/>
    <m/>
    <n v="3613.64"/>
    <s v="Expense Claim"/>
    <x v="5"/>
  </r>
  <r>
    <x v="0"/>
    <m/>
    <m/>
    <m/>
    <m/>
    <m/>
    <x v="3"/>
  </r>
  <r>
    <x v="15"/>
    <s v="Delivery of Fluke Meter"/>
    <m/>
    <m/>
    <n v="267.01"/>
    <s v="DSV Inv: 180137116"/>
    <x v="9"/>
  </r>
  <r>
    <x v="15"/>
    <s v="Borrower Interest"/>
    <m/>
    <m/>
    <n v="140381.96"/>
    <s v="Fedgroup Ventures - LT000578_250630"/>
    <x v="11"/>
  </r>
  <r>
    <x v="15"/>
    <s v="Borrower Interest -  July"/>
    <m/>
    <m/>
    <n v="145862.29999999999"/>
    <s v="Fedgroup Ventures - LT000578_250631"/>
    <x v="11"/>
  </r>
  <r>
    <x v="15"/>
    <s v="Borrower Interest -  August"/>
    <m/>
    <m/>
    <n v="142388.65"/>
    <s v="Fedgroup Ventures - LT000578_250831"/>
    <x v="12"/>
  </r>
  <r>
    <x v="15"/>
    <s v="RTF Turn Around - Matthews Group - VO"/>
    <m/>
    <m/>
    <n v="26436"/>
    <s v="Matthews Group MG INV1514"/>
    <x v="12"/>
  </r>
  <r>
    <x v="15"/>
    <s v="Panels &amp; BESS Room Cleaning - Sunray - VO"/>
    <m/>
    <m/>
    <n v="14110"/>
    <s v="Sunray Energy Solutions #89"/>
    <x v="14"/>
  </r>
  <r>
    <x v="15"/>
    <s v="Fire Extinguishers Mount and Service Aircons - RCT Tech - VO"/>
    <m/>
    <m/>
    <n v="1650"/>
    <s v="RCF Tech INV003"/>
    <x v="12"/>
  </r>
  <r>
    <x v="15"/>
    <s v="AC Cable &amp; DC Trunking VO - VO"/>
    <m/>
    <n v="0.5"/>
    <n v="95381.07"/>
    <s v="Matthews Group INV 1456"/>
    <x v="7"/>
  </r>
  <r>
    <x v="15"/>
    <s v="DB upgrade - VO"/>
    <m/>
    <m/>
    <n v="99508"/>
    <s v="Matthews Group INV 1525"/>
    <x v="12"/>
  </r>
  <r>
    <x v="15"/>
    <s v="Atess 250kw 450-900V 5x100A MPPT - VO"/>
    <m/>
    <m/>
    <n v="161300"/>
    <s v="Herholdts - INV1208290"/>
    <x v="5"/>
  </r>
  <r>
    <x v="15"/>
    <s v="Grid Relay - VO"/>
    <m/>
    <m/>
    <n v="12408.35"/>
    <s v="All Electrical - SO140653"/>
    <x v="12"/>
  </r>
  <r>
    <x v="15"/>
    <s v="AC Cable &amp; DC Trunking VO"/>
    <m/>
    <n v="0.5"/>
    <n v="95381.07"/>
    <s v="Matthews Group INV 1456"/>
    <x v="7"/>
  </r>
  <r>
    <x v="15"/>
    <m/>
    <m/>
    <m/>
    <m/>
    <m/>
    <x v="0"/>
  </r>
  <r>
    <x v="15"/>
    <s v="MPPT Installation Labour and Sundries - Matthews Group - VO"/>
    <m/>
    <m/>
    <n v="88678.15"/>
    <s v="MG INV-1589"/>
    <x v="5"/>
  </r>
  <r>
    <x v="15"/>
    <s v="MPPT Installation Labour and Sundries - Matthews Group - VO"/>
    <m/>
    <m/>
    <n v="88678.15"/>
    <s v="MG INV-1600"/>
    <x v="15"/>
  </r>
  <r>
    <x v="15"/>
    <s v="Credit Note fore Actual Cost"/>
    <m/>
    <m/>
    <n v="-20449.009999999998"/>
    <s v="CN-1601"/>
    <x v="15"/>
  </r>
  <r>
    <x v="15"/>
    <m/>
    <m/>
    <m/>
    <m/>
    <m/>
    <x v="0"/>
  </r>
  <r>
    <x v="15"/>
    <s v="DC Modification Scope - Deposit"/>
    <m/>
    <m/>
    <n v="17157.5"/>
    <s v="MG INV-1590"/>
    <x v="5"/>
  </r>
  <r>
    <x v="15"/>
    <s v="DC Modification Scope - Balance"/>
    <m/>
    <n v="0.5"/>
    <n v="17157.5"/>
    <s v="Matthews Group - INV-1595 "/>
    <x v="15"/>
  </r>
  <r>
    <x v="15"/>
    <m/>
    <m/>
    <m/>
    <m/>
    <m/>
    <x v="0"/>
  </r>
  <r>
    <x v="15"/>
    <s v="Atess On-Site Support"/>
    <m/>
    <m/>
    <n v="42619"/>
    <s v="Herholdts - INV1236863"/>
    <x v="15"/>
  </r>
  <r>
    <x v="15"/>
    <m/>
    <m/>
    <m/>
    <m/>
    <m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">
  <r>
    <m/>
    <x v="0"/>
    <m/>
    <m/>
    <m/>
    <m/>
    <m/>
    <x v="0"/>
    <x v="0"/>
    <m/>
    <m/>
    <m/>
  </r>
  <r>
    <n v="1"/>
    <x v="1"/>
    <s v="Jinko 585W"/>
    <n v="683.76068376068372"/>
    <n v="1327.95"/>
    <n v="908317.8"/>
    <s v="Menlo Inv0002362"/>
    <x v="1"/>
    <x v="1"/>
    <n v="-4.2663027998059988E-3"/>
    <d v="2025-02-20T00:00:00"/>
    <n v="908317.8"/>
  </r>
  <r>
    <n v="1"/>
    <x v="1"/>
    <m/>
    <m/>
    <m/>
    <m/>
    <m/>
    <x v="2"/>
    <x v="2"/>
    <m/>
    <m/>
    <m/>
  </r>
  <r>
    <n v="1"/>
    <x v="1"/>
    <s v="Module delivery to site"/>
    <m/>
    <m/>
    <m/>
    <m/>
    <x v="0"/>
    <x v="3"/>
    <m/>
    <m/>
    <m/>
  </r>
  <r>
    <n v="1"/>
    <x v="1"/>
    <m/>
    <m/>
    <m/>
    <m/>
    <m/>
    <x v="3"/>
    <x v="3"/>
    <m/>
    <m/>
    <m/>
  </r>
  <r>
    <n v="1"/>
    <x v="1"/>
    <m/>
    <m/>
    <m/>
    <m/>
    <m/>
    <x v="3"/>
    <x v="3"/>
    <m/>
    <m/>
    <m/>
  </r>
  <r>
    <n v="1"/>
    <x v="1"/>
    <m/>
    <m/>
    <m/>
    <m/>
    <m/>
    <x v="3"/>
    <x v="3"/>
    <m/>
    <m/>
    <m/>
  </r>
  <r>
    <m/>
    <x v="0"/>
    <m/>
    <m/>
    <m/>
    <m/>
    <m/>
    <x v="3"/>
    <x v="0"/>
    <m/>
    <m/>
    <m/>
  </r>
  <r>
    <n v="2"/>
    <x v="2"/>
    <s v="Huawei 100KTL"/>
    <n v="3"/>
    <n v="68870"/>
    <n v="206611.05"/>
    <s v="Menlo Inv0002362"/>
    <x v="1"/>
    <x v="4"/>
    <n v="-4.3873753165826201E-3"/>
    <d v="2025-02-20T00:00:00"/>
    <n v="180931.83"/>
  </r>
  <r>
    <n v="2"/>
    <x v="2"/>
    <s v="Huawei 50KTL"/>
    <n v="1"/>
    <n v="43190.78"/>
    <n v="43190.78"/>
    <s v="Menlo INV0002702"/>
    <x v="4"/>
    <x v="5"/>
    <m/>
    <d v="2025-05-08T00:00:00"/>
    <m/>
  </r>
  <r>
    <n v="2"/>
    <x v="2"/>
    <s v="Huawei 100KTL - Moved to stock (JHB)"/>
    <n v="1"/>
    <n v="-68870"/>
    <n v="-68870"/>
    <s v="Allocated to Joburg Storeroom"/>
    <x v="5"/>
    <x v="3"/>
    <m/>
    <d v="2026-01-31T00:00:00"/>
    <m/>
  </r>
  <r>
    <n v="2"/>
    <x v="2"/>
    <m/>
    <m/>
    <m/>
    <m/>
    <m/>
    <x v="0"/>
    <x v="3"/>
    <m/>
    <m/>
    <m/>
  </r>
  <r>
    <m/>
    <x v="0"/>
    <m/>
    <m/>
    <m/>
    <m/>
    <m/>
    <x v="3"/>
    <x v="0"/>
    <m/>
    <m/>
    <m/>
  </r>
  <r>
    <n v="3"/>
    <x v="3"/>
    <s v="IBR Roof - Schletter"/>
    <m/>
    <m/>
    <n v="80274.7"/>
    <s v="Schletter - INV1406"/>
    <x v="6"/>
    <x v="6"/>
    <n v="0"/>
    <d v="2025-03-28T00:00:00"/>
    <n v="86550.7"/>
  </r>
  <r>
    <n v="3"/>
    <x v="3"/>
    <s v="Delivery"/>
    <m/>
    <m/>
    <n v="3980"/>
    <s v="Schletter - INV1406"/>
    <x v="6"/>
    <x v="7"/>
    <m/>
    <d v="2025-03-28T00:00:00"/>
    <m/>
  </r>
  <r>
    <n v="3"/>
    <x v="3"/>
    <s v="End Clamps Top Up - JHB Warehouse"/>
    <n v="100"/>
    <n v="11.48"/>
    <n v="1148"/>
    <s v="Allocated from Stock"/>
    <x v="4"/>
    <x v="3"/>
    <m/>
    <d v="2025-03-31T00:00:00"/>
    <m/>
  </r>
  <r>
    <n v="3"/>
    <x v="3"/>
    <s v="End Clamps Top Up - Scheltter"/>
    <n v="100"/>
    <n v="11.48"/>
    <n v="1148"/>
    <s v="Schletter - INV1611"/>
    <x v="4"/>
    <x v="0"/>
    <m/>
    <d v="2025-04-30T00:00:00"/>
    <m/>
  </r>
  <r>
    <m/>
    <x v="0"/>
    <m/>
    <m/>
    <m/>
    <m/>
    <m/>
    <x v="3"/>
    <x v="0"/>
    <m/>
    <m/>
    <m/>
  </r>
  <r>
    <n v="4"/>
    <x v="4"/>
    <s v="DC Cable "/>
    <n v="12000"/>
    <n v="13.3"/>
    <n v="159600"/>
    <s v="Menlo Inv0002362"/>
    <x v="1"/>
    <x v="8"/>
    <n v="-1.9967228872701526E-3"/>
    <d v="2025-02-20T00:00:00"/>
    <n v="362150"/>
  </r>
  <r>
    <n v="4"/>
    <x v="4"/>
    <s v="DC Cable"/>
    <m/>
    <m/>
    <n v="55100"/>
    <s v="Menlo INV0002767"/>
    <x v="4"/>
    <x v="9"/>
    <m/>
    <d v="2025-05-22T00:00:00"/>
    <m/>
  </r>
  <r>
    <n v="4"/>
    <x v="4"/>
    <s v="DC Cable - Additional order due to inverter room placement  - VO"/>
    <n v="4000"/>
    <n v="13.3"/>
    <n v="53200"/>
    <s v="MENLO - INV0002594"/>
    <x v="6"/>
    <x v="10"/>
    <m/>
    <d v="2025-04-24T00:00:00"/>
    <m/>
  </r>
  <r>
    <n v="4"/>
    <x v="4"/>
    <s v="Project Kick Off"/>
    <n v="94250"/>
    <n v="0.1"/>
    <n v="9425"/>
    <s v="Matthews Group INV 1423"/>
    <x v="2"/>
    <x v="11"/>
    <m/>
    <d v="2025-02-07T00:00:00"/>
    <m/>
  </r>
  <r>
    <n v="4"/>
    <x v="4"/>
    <s v="Site Establishment"/>
    <m/>
    <n v="0.15"/>
    <n v="14137.5"/>
    <s v="Matthews Group INV-1424"/>
    <x v="2"/>
    <x v="12"/>
    <m/>
    <d v="2025-02-13T00:00:00"/>
    <m/>
  </r>
  <r>
    <n v="4"/>
    <x v="4"/>
    <s v="AC Installation Complete"/>
    <m/>
    <n v="0.2"/>
    <n v="18850"/>
    <s v="Matthews Group INV-1451"/>
    <x v="7"/>
    <x v="13"/>
    <m/>
    <d v="2025-04-24T00:00:00"/>
    <m/>
  </r>
  <r>
    <n v="4"/>
    <x v="4"/>
    <s v="DC Installation Complete"/>
    <m/>
    <n v="0.25"/>
    <n v="23562.5"/>
    <s v="Matthews Group INV 1445"/>
    <x v="7"/>
    <x v="14"/>
    <m/>
    <d v="2025-04-24T00:00:00"/>
    <m/>
  </r>
  <r>
    <n v="4"/>
    <x v="4"/>
    <s v="Commissioning Complete"/>
    <m/>
    <n v="0.1"/>
    <n v="9425"/>
    <s v="Matthews Group INV 1452"/>
    <x v="7"/>
    <x v="15"/>
    <m/>
    <d v="2025-05-08T00:00:00"/>
    <m/>
  </r>
  <r>
    <n v="4"/>
    <x v="4"/>
    <s v="Site De-establisment"/>
    <m/>
    <n v="0.1"/>
    <n v="9425"/>
    <s v="Matthews Group INV-1461"/>
    <x v="8"/>
    <x v="15"/>
    <m/>
    <d v="2025-06-12T00:00:00"/>
    <m/>
  </r>
  <r>
    <n v="4"/>
    <x v="4"/>
    <s v="Handover Document Complete"/>
    <m/>
    <n v="0.05"/>
    <n v="4712.5"/>
    <s v="Matthews Group INV-1462"/>
    <x v="9"/>
    <x v="16"/>
    <m/>
    <d v="2025-05-16T00:00:00"/>
    <m/>
  </r>
  <r>
    <n v="4"/>
    <x v="4"/>
    <s v="End of Defects Period"/>
    <m/>
    <n v="0.05"/>
    <n v="4712.5"/>
    <s v="Matthews Group INV-1463"/>
    <x v="9"/>
    <x v="16"/>
    <m/>
    <d v="2025-07-31T00:00:00"/>
    <m/>
  </r>
  <r>
    <m/>
    <x v="0"/>
    <m/>
    <m/>
    <m/>
    <m/>
    <m/>
    <x v="3"/>
    <x v="0"/>
    <m/>
    <m/>
    <m/>
  </r>
  <r>
    <n v="5"/>
    <x v="5"/>
    <s v="Smartlogger 3000"/>
    <m/>
    <m/>
    <n v="7639.54"/>
    <s v="MENLO - INV0002488"/>
    <x v="2"/>
    <x v="17"/>
    <n v="-4.858700733166188E-3"/>
    <d v="2025-02-20T00:00:00"/>
    <n v="68208.040000000008"/>
  </r>
  <r>
    <n v="5"/>
    <x v="5"/>
    <s v="CTs, Router - AccuEnergy"/>
    <m/>
    <m/>
    <n v="6486.5"/>
    <s v="Accuenergy - INV ASAI-004649"/>
    <x v="2"/>
    <x v="18"/>
    <m/>
    <d v="2025-02-27T00:00:00"/>
    <m/>
  </r>
  <r>
    <n v="5"/>
    <x v="5"/>
    <m/>
    <m/>
    <m/>
    <m/>
    <m/>
    <x v="0"/>
    <x v="0"/>
    <m/>
    <m/>
    <m/>
  </r>
  <r>
    <n v="5"/>
    <x v="5"/>
    <s v="Data Guru - Herholdts"/>
    <m/>
    <m/>
    <n v="27100"/>
    <s v="Herholdts' - INV1005888"/>
    <x v="6"/>
    <x v="19"/>
    <m/>
    <d v="2025-03-28T00:00:00"/>
    <m/>
  </r>
  <r>
    <n v="5"/>
    <x v="5"/>
    <s v="Revenue Grade Meter"/>
    <m/>
    <m/>
    <n v="11169"/>
    <s v="Matriach INV-3710"/>
    <x v="2"/>
    <x v="20"/>
    <m/>
    <d v="2025-01-31T00:00:00"/>
    <m/>
  </r>
  <r>
    <n v="5"/>
    <x v="5"/>
    <s v="Meter + Fibre Optic Port + rogowski Coil"/>
    <m/>
    <m/>
    <n v="15813"/>
    <s v="Accuenergy Inv: ASAI-007060"/>
    <x v="10"/>
    <x v="3"/>
    <m/>
    <d v="2026-01-07T00:00:00"/>
    <m/>
  </r>
  <r>
    <n v="5"/>
    <x v="5"/>
    <m/>
    <m/>
    <m/>
    <m/>
    <m/>
    <x v="3"/>
    <x v="3"/>
    <m/>
    <m/>
    <m/>
  </r>
  <r>
    <m/>
    <x v="0"/>
    <m/>
    <m/>
    <m/>
    <m/>
    <m/>
    <x v="3"/>
    <x v="0"/>
    <m/>
    <m/>
    <m/>
  </r>
  <r>
    <n v="6"/>
    <x v="6"/>
    <m/>
    <m/>
    <m/>
    <m/>
    <m/>
    <x v="3"/>
    <x v="3"/>
    <n v="0"/>
    <m/>
    <n v="1167527.6575"/>
  </r>
  <r>
    <n v="6"/>
    <x v="6"/>
    <s v="Project Kick Off"/>
    <n v="1167527.6499999999"/>
    <n v="0.1"/>
    <n v="116752.77"/>
    <s v="Matthews Group INV 1423"/>
    <x v="2"/>
    <x v="21"/>
    <m/>
    <d v="2025-02-07T00:00:00"/>
    <m/>
  </r>
  <r>
    <n v="6"/>
    <x v="6"/>
    <s v="Site Establishment"/>
    <m/>
    <n v="0.15"/>
    <n v="175129.15"/>
    <s v="Matthews Group INV-1424"/>
    <x v="2"/>
    <x v="22"/>
    <m/>
    <d v="2025-02-13T00:00:00"/>
    <m/>
  </r>
  <r>
    <n v="6"/>
    <x v="6"/>
    <s v="AC Installation Complete"/>
    <m/>
    <n v="0.2"/>
    <n v="233505.53"/>
    <s v="Matthews Group INV-1451"/>
    <x v="7"/>
    <x v="23"/>
    <m/>
    <d v="2025-04-24T00:00:00"/>
    <m/>
  </r>
  <r>
    <n v="6"/>
    <x v="6"/>
    <s v="DC Installation Complete"/>
    <m/>
    <n v="0.25"/>
    <n v="291881.91249999998"/>
    <s v="Matthews Group INV 1445"/>
    <x v="7"/>
    <x v="24"/>
    <m/>
    <d v="2025-04-24T00:00:00"/>
    <m/>
  </r>
  <r>
    <n v="6"/>
    <x v="6"/>
    <s v="Commissioning Complete"/>
    <m/>
    <n v="0.1"/>
    <n v="116752.765"/>
    <s v="Matthews Group INV 1452"/>
    <x v="7"/>
    <x v="25"/>
    <m/>
    <d v="2025-05-08T00:00:00"/>
    <m/>
  </r>
  <r>
    <n v="6"/>
    <x v="6"/>
    <s v="Site De-establisment"/>
    <m/>
    <n v="0.1"/>
    <n v="116752.765"/>
    <s v="Matthews Group INV-1461"/>
    <x v="8"/>
    <x v="25"/>
    <m/>
    <d v="2025-06-12T00:00:00"/>
    <m/>
  </r>
  <r>
    <n v="6"/>
    <x v="6"/>
    <s v="Handover Document Complete"/>
    <m/>
    <n v="0.05"/>
    <n v="58376.3825"/>
    <s v="Matthews Group INV-1462"/>
    <x v="9"/>
    <x v="26"/>
    <m/>
    <d v="2025-05-16T00:00:00"/>
    <m/>
  </r>
  <r>
    <n v="6"/>
    <x v="6"/>
    <s v="End of Defects Period"/>
    <m/>
    <n v="0.05"/>
    <n v="58376.3825"/>
    <s v="Matthews Group INV-1463"/>
    <x v="9"/>
    <x v="26"/>
    <m/>
    <d v="2025-07-31T00:00:00"/>
    <m/>
  </r>
  <r>
    <m/>
    <x v="0"/>
    <m/>
    <m/>
    <m/>
    <m/>
    <m/>
    <x v="3"/>
    <x v="0"/>
    <m/>
    <m/>
    <m/>
  </r>
  <r>
    <n v="7"/>
    <x v="7"/>
    <s v="Battery Inverter + Battery Bank"/>
    <m/>
    <m/>
    <m/>
    <m/>
    <x v="0"/>
    <x v="3"/>
    <n v="-1.2750029563903809E-3"/>
    <m/>
    <n v="6386529"/>
  </r>
  <r>
    <n v="7"/>
    <x v="7"/>
    <s v="ATESS -PCS630"/>
    <m/>
    <m/>
    <n v="521100"/>
    <s v="Herholdts INV994108"/>
    <x v="2"/>
    <x v="27"/>
    <m/>
    <d v="2025-02-13T00:00:00"/>
    <m/>
  </r>
  <r>
    <n v="7"/>
    <x v="7"/>
    <s v="ATESS -RTF600"/>
    <m/>
    <m/>
    <n v="584600"/>
    <s v="Herholdts INV994108"/>
    <x v="2"/>
    <x v="28"/>
    <m/>
    <d v="2025-02-13T00:00:00"/>
    <m/>
  </r>
  <r>
    <n v="7"/>
    <x v="7"/>
    <s v="ATESS -TRF630"/>
    <m/>
    <m/>
    <n v="296000"/>
    <s v="Herholdts INV994108"/>
    <x v="2"/>
    <x v="29"/>
    <m/>
    <d v="2025-02-13T00:00:00"/>
    <m/>
  </r>
  <r>
    <n v="7"/>
    <x v="7"/>
    <s v="FW-800/560-HV+"/>
    <n v="2"/>
    <n v="2461447"/>
    <n v="4922894"/>
    <s v="Herholdts INV994324"/>
    <x v="2"/>
    <x v="30"/>
    <m/>
    <d v="2025-02-13T00:00:00"/>
    <m/>
  </r>
  <r>
    <n v="7"/>
    <x v="7"/>
    <s v="Storage/Delivery"/>
    <m/>
    <m/>
    <n v="0"/>
    <m/>
    <x v="0"/>
    <x v="3"/>
    <m/>
    <m/>
    <m/>
  </r>
  <r>
    <n v="7"/>
    <x v="7"/>
    <m/>
    <m/>
    <m/>
    <m/>
    <m/>
    <x v="0"/>
    <x v="3"/>
    <m/>
    <m/>
    <m/>
  </r>
  <r>
    <n v="7"/>
    <x v="7"/>
    <s v="3rd Aircon/Additional - RCF Tech - VO"/>
    <m/>
    <m/>
    <n v="20645"/>
    <s v="RCF Tech INV002"/>
    <x v="11"/>
    <x v="3"/>
    <m/>
    <d v="2025-07-04T00:00:00"/>
    <m/>
  </r>
  <r>
    <n v="7"/>
    <x v="7"/>
    <m/>
    <m/>
    <m/>
    <m/>
    <m/>
    <x v="0"/>
    <x v="3"/>
    <m/>
    <m/>
    <m/>
  </r>
  <r>
    <n v="7"/>
    <x v="7"/>
    <s v="Airconditioned Container - 1 per 1000kWh (Provision for Commissioning Assistance)"/>
    <m/>
    <m/>
    <m/>
    <m/>
    <x v="0"/>
    <x v="3"/>
    <m/>
    <m/>
    <m/>
  </r>
  <r>
    <n v="7"/>
    <x v="7"/>
    <s v="Aircons - RCF Tech - Deposit"/>
    <m/>
    <m/>
    <n v="33032"/>
    <s v="RCF Tech QU001"/>
    <x v="7"/>
    <x v="31"/>
    <m/>
    <d v="2025-04-10T00:00:00"/>
    <m/>
  </r>
  <r>
    <n v="7"/>
    <x v="7"/>
    <s v="Aircons - RCF Tech - last 20%"/>
    <m/>
    <m/>
    <n v="8258"/>
    <s v="RCF Tech QU001"/>
    <x v="7"/>
    <x v="32"/>
    <m/>
    <d v="2025-05-08T00:00:00"/>
    <m/>
  </r>
  <r>
    <m/>
    <x v="0"/>
    <m/>
    <m/>
    <m/>
    <m/>
    <m/>
    <x v="3"/>
    <x v="0"/>
    <m/>
    <m/>
    <m/>
  </r>
  <r>
    <n v="8"/>
    <x v="8"/>
    <s v="Roof Remedial - Oryx Revamp"/>
    <n v="0.7"/>
    <n v="135656"/>
    <n v="94959.2"/>
    <s v="Oryx Revamp: Inv 1892"/>
    <x v="1"/>
    <x v="33"/>
    <n v="-21238.979577624676"/>
    <d v="2024-12-12T00:00:00"/>
    <n v="313051.31999999995"/>
  </r>
  <r>
    <n v="8"/>
    <x v="8"/>
    <s v="Roof Remedial - Oryx Revamp"/>
    <n v="0.3"/>
    <m/>
    <n v="40696.799999999996"/>
    <s v="Oryx Revamp: Inv 1892"/>
    <x v="1"/>
    <x v="34"/>
    <m/>
    <d v="2025-01-23T00:00:00"/>
    <m/>
  </r>
  <r>
    <n v="8"/>
    <x v="8"/>
    <s v="Additional Aircons 2x 60000BTU - RCF Tech - VO"/>
    <n v="0.8"/>
    <n v="103835"/>
    <n v="83068"/>
    <s v="RCF Tech Inv004"/>
    <x v="12"/>
    <x v="35"/>
    <m/>
    <d v="2025-08-14T00:00:00"/>
    <m/>
  </r>
  <r>
    <n v="8"/>
    <x v="8"/>
    <m/>
    <n v="0.2"/>
    <m/>
    <n v="20767"/>
    <s v="RCF Tech Inv004"/>
    <x v="12"/>
    <x v="36"/>
    <m/>
    <d v="2025-09-01T00:00:00"/>
    <m/>
  </r>
  <r>
    <n v="8"/>
    <x v="8"/>
    <s v="Trunking Clamp and Screws - Lumax"/>
    <m/>
    <m/>
    <n v="6715"/>
    <s v="Lumax Inv 1001/70000751"/>
    <x v="4"/>
    <x v="37"/>
    <m/>
    <d v="2025-04-30T00:00:00"/>
    <m/>
  </r>
  <r>
    <n v="8"/>
    <x v="8"/>
    <s v="Lithium Extinguishers - Firebreak SA"/>
    <m/>
    <m/>
    <n v="22794.36"/>
    <s v="Firebreak PFI_10024"/>
    <x v="9"/>
    <x v="38"/>
    <m/>
    <d v="2025-06-26T00:00:00"/>
    <m/>
  </r>
  <r>
    <n v="8"/>
    <x v="8"/>
    <m/>
    <m/>
    <m/>
    <m/>
    <m/>
    <x v="0"/>
    <x v="3"/>
    <m/>
    <m/>
    <m/>
  </r>
  <r>
    <n v="8"/>
    <x v="8"/>
    <m/>
    <m/>
    <m/>
    <m/>
    <m/>
    <x v="0"/>
    <x v="3"/>
    <m/>
    <m/>
    <m/>
  </r>
  <r>
    <n v="8"/>
    <x v="8"/>
    <s v="Energitrack controller &amp; Commission Support - Herholdts"/>
    <m/>
    <m/>
    <n v="7200"/>
    <s v="Herholdts Inv: INV1126662"/>
    <x v="12"/>
    <x v="3"/>
    <m/>
    <d v="2025-09-30T00:00:00"/>
    <m/>
  </r>
  <r>
    <n v="8"/>
    <x v="8"/>
    <s v="Motorized Breaker Upgrade and Grid Relay - All Electrical - VO"/>
    <m/>
    <m/>
    <n v="36485.85"/>
    <s v="All Electrical - IN144166"/>
    <x v="12"/>
    <x v="39"/>
    <m/>
    <d v="2025-08-19T00:00:00"/>
    <m/>
  </r>
  <r>
    <n v="8"/>
    <x v="8"/>
    <s v="Delivery of Fire Extinguishers"/>
    <m/>
    <m/>
    <n v="365.11"/>
    <s v="DSV Inv: 180138260"/>
    <x v="11"/>
    <x v="0"/>
    <m/>
    <d v="2025-08-31T00:00:00"/>
    <m/>
  </r>
  <r>
    <m/>
    <x v="0"/>
    <m/>
    <m/>
    <m/>
    <m/>
    <m/>
    <x v="3"/>
    <x v="0"/>
    <m/>
    <m/>
    <m/>
  </r>
  <r>
    <n v="9"/>
    <x v="9"/>
    <s v="Project Kick Off"/>
    <n v="676952"/>
    <n v="0.1"/>
    <n v="67695.199999999997"/>
    <s v="Matthews Group INV 1423"/>
    <x v="2"/>
    <x v="40"/>
    <n v="0"/>
    <d v="2025-02-07T00:00:00"/>
    <n v="676951.99999999988"/>
  </r>
  <r>
    <n v="9"/>
    <x v="9"/>
    <s v="Site Establishment"/>
    <m/>
    <n v="0.15"/>
    <n v="101542.8"/>
    <s v="Matthews Group INV-1424"/>
    <x v="2"/>
    <x v="41"/>
    <m/>
    <d v="2025-02-13T00:00:00"/>
    <m/>
  </r>
  <r>
    <n v="9"/>
    <x v="9"/>
    <s v="AC Installation Complete"/>
    <m/>
    <n v="0.2"/>
    <n v="135390.39999999999"/>
    <s v="Matthews Group INV-1451"/>
    <x v="7"/>
    <x v="42"/>
    <m/>
    <d v="2025-04-24T00:00:00"/>
    <m/>
  </r>
  <r>
    <n v="9"/>
    <x v="9"/>
    <s v="DC Installation Complete"/>
    <m/>
    <n v="0.25"/>
    <n v="169238"/>
    <s v="Matthews Group INV 1445"/>
    <x v="7"/>
    <x v="43"/>
    <m/>
    <d v="2025-04-24T00:00:00"/>
    <m/>
  </r>
  <r>
    <n v="9"/>
    <x v="9"/>
    <s v="Commissioning Complete"/>
    <m/>
    <n v="0.1"/>
    <n v="67695.199999999997"/>
    <s v="Matthews Group INV 1452"/>
    <x v="7"/>
    <x v="40"/>
    <m/>
    <d v="2025-05-08T00:00:00"/>
    <m/>
  </r>
  <r>
    <n v="9"/>
    <x v="9"/>
    <s v="Site De-establisment"/>
    <m/>
    <n v="0.1"/>
    <n v="67695.199999999997"/>
    <s v="Matthews Group INV-1461"/>
    <x v="8"/>
    <x v="40"/>
    <m/>
    <d v="2025-06-12T00:00:00"/>
    <m/>
  </r>
  <r>
    <n v="9"/>
    <x v="9"/>
    <s v="Handover Document Complete"/>
    <m/>
    <n v="0.05"/>
    <n v="33847.599999999999"/>
    <s v="Matthews Group INV-1462"/>
    <x v="9"/>
    <x v="44"/>
    <m/>
    <d v="2025-05-16T00:00:00"/>
    <m/>
  </r>
  <r>
    <n v="9"/>
    <x v="9"/>
    <s v="End of Defects Period"/>
    <m/>
    <n v="0.05"/>
    <n v="33847.599999999999"/>
    <s v="Matthews Group INV-1463"/>
    <x v="9"/>
    <x v="44"/>
    <m/>
    <d v="2025-07-31T00:00:00"/>
    <m/>
  </r>
  <r>
    <m/>
    <x v="0"/>
    <m/>
    <m/>
    <m/>
    <m/>
    <m/>
    <x v="3"/>
    <x v="0"/>
    <m/>
    <m/>
    <m/>
  </r>
  <r>
    <n v="10"/>
    <x v="10"/>
    <s v="Additional Security - VO"/>
    <m/>
    <m/>
    <n v="16380"/>
    <s v="DIVERGENT - Inv 1117175"/>
    <x v="4"/>
    <x v="45"/>
    <n v="-3.5580334952101111E-4"/>
    <d v="2025-03-20T00:00:00"/>
    <n v="114637"/>
  </r>
  <r>
    <n v="10"/>
    <x v="10"/>
    <s v="Night Guard"/>
    <m/>
    <m/>
    <n v="7020"/>
    <s v="Divergent - Inv 1117291"/>
    <x v="4"/>
    <x v="46"/>
    <m/>
    <d v="2025-04-03T00:00:00"/>
    <m/>
  </r>
  <r>
    <n v="10"/>
    <x v="10"/>
    <s v="Project Kick Off"/>
    <n v="91237"/>
    <n v="0.1"/>
    <n v="9123.7000000000007"/>
    <s v="Matthews Group INV 1423"/>
    <x v="2"/>
    <x v="47"/>
    <m/>
    <d v="2025-02-07T00:00:00"/>
    <m/>
  </r>
  <r>
    <n v="10"/>
    <x v="10"/>
    <s v="Site Establishment"/>
    <m/>
    <n v="0.15"/>
    <n v="13685.55"/>
    <s v="Matthews Group INV-1424"/>
    <x v="2"/>
    <x v="48"/>
    <m/>
    <d v="2025-02-13T00:00:00"/>
    <m/>
  </r>
  <r>
    <n v="10"/>
    <x v="10"/>
    <s v="AC Installation Complete"/>
    <m/>
    <n v="0.2"/>
    <n v="18247.400000000001"/>
    <s v="Matthews Group INV-1451"/>
    <x v="7"/>
    <x v="49"/>
    <m/>
    <d v="2025-04-24T00:00:00"/>
    <m/>
  </r>
  <r>
    <n v="10"/>
    <x v="10"/>
    <s v="DC Installation Complete"/>
    <m/>
    <n v="0.25"/>
    <n v="22809.25"/>
    <s v="Matthews Group INV 1445"/>
    <x v="7"/>
    <x v="50"/>
    <m/>
    <d v="2025-04-24T00:00:00"/>
    <m/>
  </r>
  <r>
    <n v="10"/>
    <x v="10"/>
    <s v="Commissioning Complete"/>
    <m/>
    <n v="0.1"/>
    <n v="9123.7000000000007"/>
    <s v="Matthews Group INV 1452"/>
    <x v="7"/>
    <x v="51"/>
    <m/>
    <d v="2025-05-08T00:00:00"/>
    <m/>
  </r>
  <r>
    <n v="10"/>
    <x v="10"/>
    <s v="Site De-establisment"/>
    <m/>
    <n v="0.1"/>
    <n v="9123.7000000000007"/>
    <s v="Matthews Group INV-1461"/>
    <x v="8"/>
    <x v="51"/>
    <m/>
    <d v="2025-06-12T00:00:00"/>
    <m/>
  </r>
  <r>
    <n v="10"/>
    <x v="10"/>
    <s v="Handover Document Complete"/>
    <m/>
    <n v="0.05"/>
    <n v="4561.8500000000004"/>
    <s v="Matthews Group INV-1462"/>
    <x v="9"/>
    <x v="52"/>
    <m/>
    <d v="2025-05-16T00:00:00"/>
    <m/>
  </r>
  <r>
    <n v="10"/>
    <x v="10"/>
    <s v="End of Defects Period"/>
    <m/>
    <n v="0.05"/>
    <n v="4561.8500000000004"/>
    <s v="Matthews Group INV-1463"/>
    <x v="9"/>
    <x v="52"/>
    <m/>
    <d v="2025-07-31T00:00:00"/>
    <m/>
  </r>
  <r>
    <n v="10"/>
    <x v="10"/>
    <m/>
    <m/>
    <m/>
    <m/>
    <m/>
    <x v="3"/>
    <x v="3"/>
    <m/>
    <m/>
    <m/>
  </r>
  <r>
    <n v="10"/>
    <x v="10"/>
    <m/>
    <m/>
    <m/>
    <m/>
    <m/>
    <x v="3"/>
    <x v="3"/>
    <m/>
    <m/>
    <m/>
  </r>
  <r>
    <m/>
    <x v="0"/>
    <m/>
    <m/>
    <m/>
    <m/>
    <m/>
    <x v="3"/>
    <x v="0"/>
    <m/>
    <m/>
    <m/>
  </r>
  <r>
    <n v="11"/>
    <x v="11"/>
    <s v="Electrical PrEng sign off"/>
    <m/>
    <m/>
    <n v="15750"/>
    <s v="Sunspot: E024"/>
    <x v="8"/>
    <x v="53"/>
    <n v="1.0185568826273084E-3"/>
    <d v="2025-07-24T00:00:00"/>
    <n v="38759.07"/>
  </r>
  <r>
    <n v="11"/>
    <x v="11"/>
    <s v="Travel"/>
    <m/>
    <m/>
    <n v="3982.67"/>
    <s v="Sunspot: E024"/>
    <x v="8"/>
    <x v="54"/>
    <m/>
    <d v="2025-07-24T00:00:00"/>
    <m/>
  </r>
  <r>
    <n v="11"/>
    <x v="11"/>
    <s v="Structural sign off"/>
    <m/>
    <m/>
    <n v="11026.4"/>
    <s v="LB Consulting Inv-1838"/>
    <x v="13"/>
    <x v="55"/>
    <m/>
    <d v="2024-11-28T00:00:00"/>
    <m/>
  </r>
  <r>
    <n v="11"/>
    <x v="11"/>
    <s v="Red Team"/>
    <m/>
    <m/>
    <n v="8000"/>
    <s v="Matriarch - INV-4423"/>
    <x v="8"/>
    <x v="56"/>
    <m/>
    <d v="2025-05-31T00:00:00"/>
    <m/>
  </r>
  <r>
    <n v="11"/>
    <x v="11"/>
    <s v="Grid Study - Outside of CoCT"/>
    <m/>
    <m/>
    <m/>
    <m/>
    <x v="0"/>
    <x v="3"/>
    <m/>
    <m/>
    <m/>
  </r>
  <r>
    <n v="11"/>
    <x v="11"/>
    <m/>
    <m/>
    <m/>
    <m/>
    <m/>
    <x v="3"/>
    <x v="3"/>
    <m/>
    <m/>
    <m/>
  </r>
  <r>
    <m/>
    <x v="0"/>
    <m/>
    <m/>
    <m/>
    <m/>
    <m/>
    <x v="3"/>
    <x v="0"/>
    <m/>
    <m/>
    <m/>
  </r>
  <r>
    <n v="12"/>
    <x v="12"/>
    <m/>
    <m/>
    <m/>
    <m/>
    <m/>
    <x v="0"/>
    <x v="0"/>
    <m/>
    <m/>
    <n v="0"/>
  </r>
  <r>
    <n v="12"/>
    <x v="12"/>
    <m/>
    <m/>
    <m/>
    <m/>
    <m/>
    <x v="3"/>
    <x v="0"/>
    <m/>
    <m/>
    <m/>
  </r>
  <r>
    <m/>
    <x v="0"/>
    <m/>
    <m/>
    <m/>
    <m/>
    <m/>
    <x v="3"/>
    <x v="0"/>
    <m/>
    <m/>
    <m/>
  </r>
  <r>
    <n v="13"/>
    <x v="13"/>
    <s v="Matriarch Defects Period"/>
    <m/>
    <m/>
    <n v="144194.49313795625"/>
    <s v="Matriarch - INV-4422"/>
    <x v="8"/>
    <x v="57"/>
    <n v="0"/>
    <d v="2025-05-31T00:00:00"/>
    <n v="144194.49313795625"/>
  </r>
  <r>
    <n v="13"/>
    <x v="13"/>
    <s v="Management"/>
    <m/>
    <m/>
    <n v="0"/>
    <m/>
    <x v="8"/>
    <x v="3"/>
    <m/>
    <d v="2025-05-31T00:00:00"/>
    <m/>
  </r>
  <r>
    <n v="13"/>
    <x v="13"/>
    <s v="Project manager "/>
    <m/>
    <m/>
    <n v="0"/>
    <m/>
    <x v="8"/>
    <x v="3"/>
    <m/>
    <d v="2025-05-31T00:00:00"/>
    <m/>
  </r>
  <r>
    <n v="13"/>
    <x v="13"/>
    <s v="Planner time"/>
    <m/>
    <m/>
    <n v="0"/>
    <m/>
    <x v="8"/>
    <x v="3"/>
    <m/>
    <d v="2025-05-31T00:00:00"/>
    <m/>
  </r>
  <r>
    <n v="13"/>
    <x v="13"/>
    <s v="De Snagging"/>
    <m/>
    <m/>
    <n v="0"/>
    <m/>
    <x v="8"/>
    <x v="3"/>
    <m/>
    <d v="2025-05-31T00:00:00"/>
    <m/>
  </r>
  <r>
    <n v="13"/>
    <x v="13"/>
    <m/>
    <m/>
    <m/>
    <m/>
    <m/>
    <x v="3"/>
    <x v="0"/>
    <m/>
    <m/>
    <m/>
  </r>
  <r>
    <n v="13"/>
    <x v="13"/>
    <m/>
    <m/>
    <m/>
    <m/>
    <m/>
    <x v="3"/>
    <x v="0"/>
    <m/>
    <m/>
    <m/>
  </r>
  <r>
    <m/>
    <x v="0"/>
    <m/>
    <m/>
    <m/>
    <m/>
    <m/>
    <x v="3"/>
    <x v="0"/>
    <m/>
    <m/>
    <m/>
  </r>
  <r>
    <n v="14"/>
    <x v="14"/>
    <s v="Travel to site"/>
    <m/>
    <m/>
    <n v="6375.86"/>
    <s v="Expense Claim"/>
    <x v="1"/>
    <x v="58"/>
    <n v="-4.0461192911607213E-3"/>
    <d v="2025-01-09T00:00:00"/>
    <n v="67232.7"/>
  </r>
  <r>
    <n v="14"/>
    <x v="14"/>
    <m/>
    <m/>
    <m/>
    <n v="5594.87"/>
    <s v="Expense Claim"/>
    <x v="2"/>
    <x v="59"/>
    <m/>
    <d v="2025-02-07T00:00:00"/>
    <m/>
  </r>
  <r>
    <n v="14"/>
    <x v="14"/>
    <m/>
    <m/>
    <m/>
    <n v="725.13"/>
    <s v="Expense Claim"/>
    <x v="6"/>
    <x v="60"/>
    <m/>
    <d v="2025-03-07T00:00:00"/>
    <m/>
  </r>
  <r>
    <n v="14"/>
    <x v="14"/>
    <m/>
    <m/>
    <m/>
    <n v="4534.32"/>
    <s v="Expense Claim"/>
    <x v="4"/>
    <x v="61"/>
    <m/>
    <d v="2025-04-04T00:00:00"/>
    <m/>
  </r>
  <r>
    <n v="14"/>
    <x v="14"/>
    <m/>
    <m/>
    <m/>
    <n v="4040.3"/>
    <s v="Expense Claim"/>
    <x v="7"/>
    <x v="62"/>
    <m/>
    <d v="2025-05-08T00:00:00"/>
    <m/>
  </r>
  <r>
    <n v="14"/>
    <x v="14"/>
    <m/>
    <m/>
    <m/>
    <n v="10015.219999999999"/>
    <s v="Expense Claim"/>
    <x v="8"/>
    <x v="63"/>
    <m/>
    <d v="2025-06-09T00:00:00"/>
    <m/>
  </r>
  <r>
    <n v="14"/>
    <x v="14"/>
    <m/>
    <m/>
    <m/>
    <n v="5888.6900000000005"/>
    <s v="Expense Claim"/>
    <x v="9"/>
    <x v="3"/>
    <m/>
    <d v="2025-07-04T00:00:00"/>
    <m/>
  </r>
  <r>
    <n v="14"/>
    <x v="14"/>
    <m/>
    <m/>
    <m/>
    <n v="6060.2199999999993"/>
    <s v="Expense Claim"/>
    <x v="11"/>
    <x v="3"/>
    <m/>
    <d v="2025-08-07T00:00:00"/>
    <m/>
  </r>
  <r>
    <n v="14"/>
    <x v="14"/>
    <m/>
    <m/>
    <m/>
    <n v="20384.45"/>
    <s v="Expense Claim"/>
    <x v="12"/>
    <x v="3"/>
    <m/>
    <d v="2025-09-05T00:00:00"/>
    <m/>
  </r>
  <r>
    <n v="14"/>
    <x v="14"/>
    <m/>
    <m/>
    <m/>
    <n v="3613.64"/>
    <s v="Expense Claim"/>
    <x v="5"/>
    <x v="3"/>
    <m/>
    <d v="2026-02-05T00:00:00"/>
    <m/>
  </r>
  <r>
    <m/>
    <x v="0"/>
    <m/>
    <m/>
    <m/>
    <m/>
    <m/>
    <x v="3"/>
    <x v="0"/>
    <m/>
    <m/>
    <m/>
  </r>
  <r>
    <n v="15"/>
    <x v="15"/>
    <s v="Delivery of Fluke Meter"/>
    <m/>
    <m/>
    <n v="267.01"/>
    <s v="DSV Inv: 180137116"/>
    <x v="9"/>
    <x v="0"/>
    <n v="0"/>
    <d v="2025-07-29T00:00:00"/>
    <n v="1168915.7"/>
  </r>
  <r>
    <n v="15"/>
    <x v="15"/>
    <s v="Borrower Interest"/>
    <m/>
    <m/>
    <n v="140381.96"/>
    <s v="Fedgroup Ventures - LT000578_250630"/>
    <x v="11"/>
    <x v="0"/>
    <m/>
    <d v="2025-07-18T00:00:00"/>
    <m/>
  </r>
  <r>
    <n v="15"/>
    <x v="15"/>
    <s v="Borrower Interest -  July"/>
    <m/>
    <m/>
    <n v="145862.29999999999"/>
    <s v="Fedgroup Ventures - LT000578_250631"/>
    <x v="11"/>
    <x v="0"/>
    <m/>
    <d v="2025-08-07T00:00:00"/>
    <m/>
  </r>
  <r>
    <n v="15"/>
    <x v="15"/>
    <s v="Borrower Interest -  August"/>
    <m/>
    <m/>
    <n v="142388.65"/>
    <s v="Fedgroup Ventures - LT000578_250831"/>
    <x v="12"/>
    <x v="0"/>
    <m/>
    <d v="2025-09-11T00:00:00"/>
    <m/>
  </r>
  <r>
    <n v="15"/>
    <x v="15"/>
    <s v="RTF Turn Around - Matthews Group - VO"/>
    <m/>
    <m/>
    <n v="26436"/>
    <s v="Matthews Group MG INV1514"/>
    <x v="12"/>
    <x v="0"/>
    <m/>
    <d v="2025-08-29T00:00:00"/>
    <m/>
  </r>
  <r>
    <n v="15"/>
    <x v="15"/>
    <s v="Panels &amp; BESS Room Cleaning - Sunray - VO"/>
    <m/>
    <m/>
    <n v="14110"/>
    <s v="Sunray Energy Solutions #89"/>
    <x v="14"/>
    <x v="0"/>
    <m/>
    <d v="2025-09-11T00:00:00"/>
    <m/>
  </r>
  <r>
    <n v="15"/>
    <x v="15"/>
    <s v="Fire Extinguishers Mount and Service Aircons - RCT Tech - VO"/>
    <m/>
    <m/>
    <n v="1650"/>
    <s v="RCF Tech INV003"/>
    <x v="12"/>
    <x v="0"/>
    <m/>
    <d v="2025-09-18T00:00:00"/>
    <m/>
  </r>
  <r>
    <n v="15"/>
    <x v="15"/>
    <s v="AC Cable &amp; DC Trunking VO - VO"/>
    <m/>
    <n v="0.5"/>
    <n v="95381.07"/>
    <s v="Matthews Group INV 1456"/>
    <x v="7"/>
    <x v="0"/>
    <m/>
    <d v="2025-04-24T00:00:00"/>
    <m/>
  </r>
  <r>
    <n v="15"/>
    <x v="15"/>
    <s v="DB upgrade - VO"/>
    <m/>
    <m/>
    <n v="99508"/>
    <s v="Matthews Group INV 1525"/>
    <x v="12"/>
    <x v="0"/>
    <m/>
    <d v="2025-10-07T00:00:00"/>
    <m/>
  </r>
  <r>
    <n v="15"/>
    <x v="15"/>
    <s v="Atess 250kw 450-900V 5x100A MPPT - VO"/>
    <m/>
    <m/>
    <n v="161300"/>
    <s v="Herholdts - INV1208290"/>
    <x v="5"/>
    <x v="0"/>
    <m/>
    <d v="2026-02-28T00:00:00"/>
    <m/>
  </r>
  <r>
    <n v="15"/>
    <x v="15"/>
    <s v="Grid Relay - VO"/>
    <m/>
    <m/>
    <n v="12408.35"/>
    <s v="All Electrical - SO140653"/>
    <x v="12"/>
    <x v="0"/>
    <m/>
    <d v="2025-08-27T00:00:00"/>
    <m/>
  </r>
  <r>
    <n v="15"/>
    <x v="15"/>
    <s v="AC Cable &amp; DC Trunking VO"/>
    <m/>
    <n v="0.5"/>
    <n v="95381.07"/>
    <s v="Matthews Group INV 1456"/>
    <x v="7"/>
    <x v="0"/>
    <m/>
    <d v="2025-07-17T00:00:00"/>
    <m/>
  </r>
  <r>
    <n v="15"/>
    <x v="15"/>
    <m/>
    <m/>
    <m/>
    <m/>
    <m/>
    <x v="0"/>
    <x v="0"/>
    <m/>
    <m/>
    <m/>
  </r>
  <r>
    <n v="15"/>
    <x v="15"/>
    <s v="MPPT Installation Labour and Sundries - Matthews Group - VO"/>
    <m/>
    <m/>
    <n v="88678.15"/>
    <s v="MG INV-1589"/>
    <x v="5"/>
    <x v="0"/>
    <m/>
    <d v="2026-01-23T00:00:00"/>
    <m/>
  </r>
  <r>
    <n v="15"/>
    <x v="15"/>
    <s v="MPPT Installation Labour and Sundries - Matthews Group - VO"/>
    <m/>
    <m/>
    <n v="88678.15"/>
    <s v="MG INV-1600"/>
    <x v="15"/>
    <x v="0"/>
    <m/>
    <d v="2026-02-26T00:00:00"/>
    <m/>
  </r>
  <r>
    <n v="15"/>
    <x v="15"/>
    <s v="Credit Note fore Actual Cost"/>
    <m/>
    <m/>
    <n v="-20449.009999999998"/>
    <s v="CN-1601"/>
    <x v="15"/>
    <x v="0"/>
    <m/>
    <d v="2026-02-28T00:00:00"/>
    <m/>
  </r>
  <r>
    <n v="15"/>
    <x v="15"/>
    <m/>
    <m/>
    <m/>
    <m/>
    <m/>
    <x v="0"/>
    <x v="0"/>
    <m/>
    <m/>
    <m/>
  </r>
  <r>
    <n v="15"/>
    <x v="15"/>
    <s v="DC Modification Scope - Deposit"/>
    <m/>
    <m/>
    <n v="17157.5"/>
    <s v="MG INV-1590"/>
    <x v="5"/>
    <x v="0"/>
    <m/>
    <d v="2026-01-23T00:00:00"/>
    <m/>
  </r>
  <r>
    <n v="15"/>
    <x v="15"/>
    <s v="DC Modification Scope - Balance"/>
    <m/>
    <n v="0.5"/>
    <n v="17157.5"/>
    <s v="Matthews Group - INV-1595 "/>
    <x v="15"/>
    <x v="0"/>
    <m/>
    <d v="2026-02-26T00:00:00"/>
    <m/>
  </r>
  <r>
    <n v="15"/>
    <x v="15"/>
    <m/>
    <m/>
    <m/>
    <m/>
    <m/>
    <x v="0"/>
    <x v="0"/>
    <m/>
    <m/>
    <m/>
  </r>
  <r>
    <n v="15"/>
    <x v="15"/>
    <s v="Atess On-Site Support"/>
    <m/>
    <m/>
    <n v="42619"/>
    <s v="Herholdts - INV1236863"/>
    <x v="15"/>
    <x v="0"/>
    <m/>
    <d v="2026-03-31T00:00:00"/>
    <m/>
  </r>
  <r>
    <n v="15"/>
    <x v="15"/>
    <m/>
    <m/>
    <m/>
    <m/>
    <m/>
    <x v="0"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40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R21" firstHeaderRow="1" firstDataRow="2" firstDataCol="1" rowPageCount="1" colPageCount="1"/>
  <pivotFields count="12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x="7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2">
        <item x="3"/>
        <item m="1" x="40"/>
        <item m="1" x="39"/>
        <item m="1" x="38"/>
        <item m="1" x="37"/>
        <item m="1" x="21"/>
        <item x="0"/>
        <item m="1" x="19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20"/>
        <item m="1" x="18"/>
        <item x="13"/>
        <item x="1"/>
        <item x="2"/>
        <item x="6"/>
        <item x="4"/>
        <item x="7"/>
        <item x="8"/>
        <item x="9"/>
        <item x="11"/>
        <item m="1" x="17"/>
        <item x="10"/>
        <item x="12"/>
        <item m="1" x="16"/>
        <item x="14"/>
        <item x="5"/>
        <item x="15"/>
        <item t="default"/>
      </items>
    </pivotField>
    <pivotField axis="axisPage" dataField="1" multipleItemSelectionAllowed="1" showAll="0">
      <items count="841">
        <item x="3"/>
        <item m="1" x="814"/>
        <item m="1" x="819"/>
        <item m="1" x="839"/>
        <item m="1" x="824"/>
        <item m="1" x="828"/>
        <item m="1" x="826"/>
        <item m="1" x="821"/>
        <item m="1" x="816"/>
        <item m="1" x="825"/>
        <item m="1" x="834"/>
        <item m="1" x="823"/>
        <item m="1" x="836"/>
        <item m="1" x="833"/>
        <item m="1" x="827"/>
        <item m="1" x="837"/>
        <item m="1" x="812"/>
        <item m="1" x="831"/>
        <item m="1" x="822"/>
        <item m="1" x="838"/>
        <item m="1" x="832"/>
        <item m="1" x="818"/>
        <item m="1" x="817"/>
        <item m="1" x="830"/>
        <item m="1" x="815"/>
        <item m="1" x="835"/>
        <item m="1" x="813"/>
        <item m="1" x="829"/>
        <item m="1" x="820"/>
        <item m="1" x="811"/>
        <item x="0"/>
        <item m="1" x="740"/>
        <item m="1" x="741"/>
        <item m="1" x="774"/>
        <item m="1" x="781"/>
        <item m="1" x="782"/>
        <item m="1" x="783"/>
        <item m="1" x="784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759"/>
        <item m="1" x="760"/>
        <item m="1" x="761"/>
        <item m="1" x="804"/>
        <item m="1" x="805"/>
        <item m="1" x="806"/>
        <item m="1" x="807"/>
        <item m="1" x="765"/>
        <item m="1" x="766"/>
        <item m="1" x="808"/>
        <item m="1" x="809"/>
        <item m="1" x="810"/>
        <item m="1" x="769"/>
        <item m="1" x="790"/>
        <item m="1" x="791"/>
        <item m="1" x="792"/>
        <item m="1" x="785"/>
        <item m="1" x="786"/>
        <item m="1" x="787"/>
        <item m="1" x="788"/>
        <item m="1" x="789"/>
        <item m="1" x="752"/>
        <item m="1" x="753"/>
        <item m="1" x="754"/>
        <item m="1" x="755"/>
        <item m="1" x="777"/>
        <item m="1" x="778"/>
        <item m="1" x="779"/>
        <item m="1" x="762"/>
        <item m="1" x="763"/>
        <item m="1" x="764"/>
        <item m="1" x="775"/>
        <item m="1" x="770"/>
        <item m="1" x="780"/>
        <item m="1" x="744"/>
        <item m="1" x="745"/>
        <item m="1" x="746"/>
        <item m="1" x="747"/>
        <item m="1" x="748"/>
        <item m="1" x="749"/>
        <item m="1" x="750"/>
        <item m="1" x="751"/>
        <item m="1" x="771"/>
        <item m="1" x="776"/>
        <item m="1" x="756"/>
        <item m="1" x="757"/>
        <item m="1" x="758"/>
        <item m="1" x="742"/>
        <item m="1" x="743"/>
        <item m="1" x="767"/>
        <item m="1" x="768"/>
        <item m="1" x="772"/>
        <item m="1" x="773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00"/>
        <item m="1" x="728"/>
        <item m="1" x="729"/>
        <item m="1" x="730"/>
        <item m="1" x="703"/>
        <item m="1" x="704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16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1"/>
        <item m="1" x="702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580"/>
        <item m="1" x="581"/>
        <item m="1" x="582"/>
        <item m="1" x="607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596"/>
        <item m="1" x="597"/>
        <item m="1" x="620"/>
        <item m="1" x="621"/>
        <item m="1" x="622"/>
        <item m="1" x="623"/>
        <item m="1" x="624"/>
        <item m="1" x="625"/>
        <item m="1" x="626"/>
        <item m="1" x="605"/>
        <item m="1" x="608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8"/>
        <item m="1" x="599"/>
        <item m="1" x="600"/>
        <item m="1" x="601"/>
        <item m="1" x="602"/>
        <item m="1" x="603"/>
        <item m="1" x="604"/>
        <item m="1" x="606"/>
        <item m="1" x="583"/>
        <item m="1" x="584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25"/>
        <item m="1" x="526"/>
        <item m="1" x="556"/>
        <item m="1" x="557"/>
        <item m="1" x="558"/>
        <item m="1" x="559"/>
        <item m="1" x="560"/>
        <item m="1" x="544"/>
        <item m="1" x="545"/>
        <item m="1" x="546"/>
        <item m="1" x="547"/>
        <item m="1" x="548"/>
        <item m="1" x="561"/>
        <item m="1" x="562"/>
        <item m="1" x="563"/>
        <item m="1" x="555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9"/>
        <item m="1" x="550"/>
        <item m="1" x="551"/>
        <item m="1" x="552"/>
        <item m="1" x="553"/>
        <item m="1" x="554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477"/>
        <item m="1" x="478"/>
        <item m="1" x="479"/>
        <item m="1" x="421"/>
        <item m="1" x="480"/>
        <item m="1" x="481"/>
        <item m="1" x="482"/>
        <item m="1" x="483"/>
        <item m="1" x="484"/>
        <item m="1" x="485"/>
        <item m="1" x="486"/>
        <item m="1" x="487"/>
        <item m="1" x="433"/>
        <item m="1" x="434"/>
        <item m="1" x="435"/>
        <item m="1" x="436"/>
        <item m="1" x="437"/>
        <item m="1" x="472"/>
        <item m="1" x="473"/>
        <item m="1" x="474"/>
        <item m="1" x="475"/>
        <item m="1" x="445"/>
        <item m="1" x="446"/>
        <item m="1" x="447"/>
        <item m="1" x="448"/>
        <item m="1" x="449"/>
        <item m="1" x="476"/>
        <item m="1" x="488"/>
        <item m="1" x="489"/>
        <item m="1" x="490"/>
        <item m="1" x="491"/>
        <item m="1" x="457"/>
        <item m="1" x="458"/>
        <item m="1" x="459"/>
        <item m="1" x="460"/>
        <item m="1" x="461"/>
        <item m="1" x="462"/>
        <item m="1" x="463"/>
        <item m="1" x="419"/>
        <item m="1" x="464"/>
        <item m="1" x="465"/>
        <item m="1" x="466"/>
        <item m="1" x="467"/>
        <item m="1" x="468"/>
        <item m="1" x="469"/>
        <item m="1" x="470"/>
        <item m="1" x="471"/>
        <item m="1" x="453"/>
        <item m="1" x="454"/>
        <item m="1" x="455"/>
        <item m="1" x="456"/>
        <item m="1" x="420"/>
        <item m="1" x="417"/>
        <item m="1" x="418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8"/>
        <item m="1" x="439"/>
        <item m="1" x="440"/>
        <item m="1" x="441"/>
        <item m="1" x="442"/>
        <item m="1" x="443"/>
        <item m="1" x="444"/>
        <item m="1" x="450"/>
        <item m="1" x="451"/>
        <item m="1" x="452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34"/>
        <item m="1" x="235"/>
        <item m="1" x="270"/>
        <item m="1" x="271"/>
        <item m="1" x="272"/>
        <item m="1" x="273"/>
        <item m="1" x="274"/>
        <item m="1" x="27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6"/>
        <item m="1" x="237"/>
        <item m="1" x="238"/>
        <item m="1" x="239"/>
        <item m="1" x="240"/>
        <item m="1" x="241"/>
        <item m="1" x="190"/>
        <item m="1" x="191"/>
        <item m="1" x="180"/>
        <item m="1" x="181"/>
        <item m="1" x="142"/>
        <item m="1" x="143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132"/>
        <item m="1" x="133"/>
        <item m="1" x="134"/>
        <item m="1" x="135"/>
        <item m="1" x="136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203"/>
        <item m="1" x="204"/>
        <item m="1" x="205"/>
        <item m="1" x="81"/>
        <item m="1" x="82"/>
        <item m="1" x="83"/>
        <item m="1" x="84"/>
        <item m="1" x="85"/>
        <item m="1" x="189"/>
        <item m="1" x="178"/>
        <item m="1" x="179"/>
        <item m="1" x="182"/>
        <item m="1" x="183"/>
        <item m="1" x="184"/>
        <item m="1" x="185"/>
        <item m="1" x="186"/>
        <item m="1" x="187"/>
        <item m="1" x="188"/>
        <item m="1" x="150"/>
        <item m="1" x="151"/>
        <item m="1" x="152"/>
        <item m="1" x="153"/>
        <item m="1" x="168"/>
        <item x="55"/>
        <item m="1" x="169"/>
        <item m="1" x="173"/>
        <item m="1" x="174"/>
        <item m="1" x="175"/>
        <item m="1" x="176"/>
        <item m="1" x="177"/>
        <item x="8"/>
        <item m="1" x="144"/>
        <item m="1" x="145"/>
        <item m="1" x="146"/>
        <item m="1" x="147"/>
        <item m="1" x="148"/>
        <item m="1" x="149"/>
        <item x="58"/>
        <item m="1" x="170"/>
        <item x="1"/>
        <item m="1" x="139"/>
        <item x="4"/>
        <item m="1" x="140"/>
        <item m="1" x="141"/>
        <item m="1" x="171"/>
        <item m="1" x="172"/>
        <item m="1" x="125"/>
        <item m="1" x="126"/>
        <item m="1" x="137"/>
        <item x="6"/>
        <item x="7"/>
        <item m="1" x="119"/>
        <item m="1" x="120"/>
        <item x="11"/>
        <item x="12"/>
        <item m="1" x="121"/>
        <item m="1" x="122"/>
        <item m="1" x="123"/>
        <item x="17"/>
        <item x="18"/>
        <item m="1" x="124"/>
        <item x="20"/>
        <item x="27"/>
        <item x="28"/>
        <item x="29"/>
        <item x="30"/>
        <item m="1" x="108"/>
        <item x="40"/>
        <item x="41"/>
        <item x="43"/>
        <item x="42"/>
        <item x="44"/>
        <item m="1" x="127"/>
        <item x="47"/>
        <item x="48"/>
        <item m="1" x="128"/>
        <item m="1" x="129"/>
        <item m="1" x="130"/>
        <item m="1" x="138"/>
        <item x="59"/>
        <item m="1" x="131"/>
        <item m="1" x="99"/>
        <item m="1" x="113"/>
        <item x="2"/>
        <item x="21"/>
        <item x="22"/>
        <item m="1" x="104"/>
        <item m="1" x="105"/>
        <item m="1" x="106"/>
        <item m="1" x="107"/>
        <item m="1" x="115"/>
        <item m="1" x="116"/>
        <item m="1" x="100"/>
        <item m="1" x="101"/>
        <item m="1" x="102"/>
        <item m="1" x="103"/>
        <item x="19"/>
        <item m="1" x="75"/>
        <item m="1" x="76"/>
        <item m="1" x="117"/>
        <item m="1" x="110"/>
        <item m="1" x="111"/>
        <item m="1" x="112"/>
        <item m="1" x="118"/>
        <item m="1" x="114"/>
        <item x="10"/>
        <item x="37"/>
        <item m="1" x="109"/>
        <item x="60"/>
        <item m="1" x="91"/>
        <item m="1" x="92"/>
        <item x="13"/>
        <item x="14"/>
        <item x="15"/>
        <item x="16"/>
        <item x="23"/>
        <item x="24"/>
        <item x="25"/>
        <item x="26"/>
        <item m="1" x="93"/>
        <item x="32"/>
        <item x="45"/>
        <item x="46"/>
        <item m="1" x="94"/>
        <item x="50"/>
        <item x="51"/>
        <item x="52"/>
        <item m="1" x="87"/>
        <item m="1" x="88"/>
        <item m="1" x="96"/>
        <item m="1" x="97"/>
        <item m="1" x="98"/>
        <item m="1" x="95"/>
        <item m="1" x="89"/>
        <item m="1" x="90"/>
        <item x="5"/>
        <item x="9"/>
        <item x="31"/>
        <item x="49"/>
        <item x="61"/>
        <item m="1" x="79"/>
        <item m="1" x="80"/>
        <item x="62"/>
        <item m="1" x="86"/>
        <item m="1" x="77"/>
        <item m="1" x="78"/>
        <item x="56"/>
        <item x="57"/>
        <item x="63"/>
        <item x="53"/>
        <item x="54"/>
        <item m="1" x="73"/>
        <item m="1" x="71"/>
        <item m="1" x="72"/>
        <item m="1" x="74"/>
        <item m="1" x="68"/>
        <item m="1" x="69"/>
        <item m="1" x="70"/>
        <item m="1" x="66"/>
        <item m="1" x="67"/>
        <item x="35"/>
        <item x="33"/>
        <item x="34"/>
        <item x="36"/>
        <item x="38"/>
        <item m="1" x="64"/>
        <item m="1" x="65"/>
        <item x="39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7"/>
  </colFields>
  <colItems count="17">
    <i>
      <x/>
    </i>
    <i>
      <x v="6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5"/>
    </i>
    <i>
      <x v="36"/>
    </i>
    <i>
      <x v="38"/>
    </i>
    <i>
      <x v="39"/>
    </i>
    <i>
      <x v="40"/>
    </i>
    <i t="grand">
      <x/>
    </i>
  </colItems>
  <pageFields count="1">
    <pageField fld="8" hier="-1"/>
  </pageFields>
  <dataFields count="1">
    <dataField name="Sum of REVENUE RECOGNITION AMOUNT" fld="8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40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R21" firstHeaderRow="1" firstDataRow="2" firstDataCol="1"/>
  <pivotFields count="7">
    <pivotField axis="axisRow" showAll="0">
      <items count="21"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x="7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51">
        <item m="1" x="42"/>
        <item m="1" x="48"/>
        <item m="1" x="43"/>
        <item m="1" x="46"/>
        <item m="1" x="44"/>
        <item x="0"/>
        <item m="1" x="49"/>
        <item m="1" x="45"/>
        <item m="1" x="47"/>
        <item m="1" x="17"/>
        <item m="1" x="41"/>
        <item m="1" x="40"/>
        <item m="1" x="39"/>
        <item m="1" x="38"/>
        <item m="1" x="37"/>
        <item m="1" x="22"/>
        <item m="1" x="21"/>
        <item x="3"/>
        <item m="1" x="19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23"/>
        <item m="1" x="33"/>
        <item m="1" x="34"/>
        <item m="1" x="35"/>
        <item m="1" x="36"/>
        <item m="1" x="20"/>
        <item m="1" x="18"/>
        <item x="13"/>
        <item x="1"/>
        <item x="2"/>
        <item x="6"/>
        <item x="4"/>
        <item x="7"/>
        <item x="8"/>
        <item x="9"/>
        <item x="11"/>
        <item x="12"/>
        <item m="1" x="16"/>
        <item x="14"/>
        <item x="10"/>
        <item x="5"/>
        <item x="15"/>
        <item t="default"/>
      </items>
    </pivotField>
  </pivotFields>
  <rowFields count="1">
    <field x="0"/>
  </rowFields>
  <rowItems count="17">
    <i>
      <x/>
    </i>
    <i>
      <x v="1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6"/>
  </colFields>
  <colItems count="17">
    <i>
      <x v="5"/>
    </i>
    <i>
      <x v="17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6"/>
    </i>
    <i>
      <x v="47"/>
    </i>
    <i>
      <x v="48"/>
    </i>
    <i>
      <x v="49"/>
    </i>
    <i t="grand">
      <x/>
    </i>
  </colItems>
  <dataFields count="1">
    <dataField name="Sum of Actual Total " fld="4" baseField="0" baseItem="0" numFmtId="167"/>
  </dataFields>
  <formats count="1">
    <format dxfId="3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2-15T10:25:41.23" personId="{075E4ECC-5C7E-4036-9300-4A41448B771E}" id="{8239DFA3-5429-466E-976B-98CA211D6DCB}" done="1">
    <text>@Mizelda Isaacs please confirm if this is coming from Stock and update the amount as per stock sheet</text>
    <mentions>
      <mention mentionpersonId="{D41FCA20-3E95-4BAA-ADFD-2A2A9E9CD07B}" mentionId="{61904EFC-3940-40A2-9149-38181FD6D384}" startIndex="0" length="15"/>
    </mentions>
  </threadedComment>
  <threadedComment ref="R14" dT="2025-03-28T06:57:24.38" personId="{ED983F26-08F6-4782-ADAD-9EEE62950F73}" id="{C63DD879-E6D0-4F11-8368-2D96ADFA0560}" parentId="{8239DFA3-5429-466E-976B-98CA211D6DCB}">
    <text>No we purchased the inverter</text>
  </threadedComment>
  <threadedComment ref="W82" dT="2025-06-12T06:32:27.31" personId="{E2406C96-5246-4FD6-B3E2-928AC1E1E2F3}" id="{D46130B2-0CBC-40DC-B571-CF40347C2CAF}">
    <text>@thami, please mark these dates is black</text>
  </threadedComment>
  <threadedComment ref="W134" dT="2025-09-01T14:07:30.26" personId="{075E4ECC-5C7E-4036-9300-4A41448B771E}" id="{98A5DDB1-AD45-4400-8A92-9F2E2662DE24}" done="1">
    <text>@Mizelda Isaacs please update the payment date</text>
    <mentions>
      <mention mentionpersonId="{D41FCA20-3E95-4BAA-ADFD-2A2A9E9CD07B}" mentionId="{DE408BF6-ABE7-4D96-B11A-51AAE2C66347}" startIndex="0" length="15"/>
    </mentions>
  </threadedComment>
  <threadedComment ref="W135" dT="2025-09-01T14:07:30.26" personId="{075E4ECC-5C7E-4036-9300-4A41448B771E}" id="{A09F5207-B5D2-4639-8A99-08C7FE828FE9}" done="1">
    <text>@Mizelda Isaacs please update the payment date</text>
    <mentions>
      <mention mentionpersonId="{D41FCA20-3E95-4BAA-ADFD-2A2A9E9CD07B}" mentionId="{91361635-B244-4E61-9273-955A5F5D7D81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98" t="s">
        <v>57</v>
      </c>
      <c r="E47" s="898"/>
      <c r="F47" s="899"/>
      <c r="G47" s="67"/>
      <c r="I47" s="68"/>
      <c r="J47" s="68"/>
    </row>
    <row r="48" spans="1:49" ht="14.45" thickBot="1">
      <c r="C48" s="69">
        <v>44014</v>
      </c>
      <c r="D48" s="900"/>
      <c r="E48" s="900"/>
      <c r="F48" s="90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3" priority="1" operator="equal">
      <formula>3</formula>
    </cfRule>
    <cfRule type="cellIs" dxfId="32" priority="2" operator="equal">
      <formula>1</formula>
    </cfRule>
    <cfRule type="cellIs" dxfId="3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zoomScale="99" zoomScaleNormal="115" workbookViewId="0">
      <selection activeCell="F34" sqref="F34"/>
    </sheetView>
  </sheetViews>
  <sheetFormatPr defaultColWidth="8.42578125" defaultRowHeight="14.45"/>
  <cols>
    <col min="1" max="1" width="5.5703125" style="93" customWidth="1"/>
    <col min="2" max="2" width="5.5703125" style="133" customWidth="1"/>
    <col min="3" max="3" width="38.5703125" style="131" customWidth="1"/>
    <col min="4" max="4" width="29.5703125" style="131" customWidth="1"/>
    <col min="5" max="5" width="6.5703125" style="131" customWidth="1"/>
    <col min="6" max="6" width="16.42578125" style="131" customWidth="1"/>
    <col min="7" max="7" width="11.5703125" style="131" bestFit="1" customWidth="1"/>
    <col min="8" max="8" width="15.42578125" style="131" customWidth="1"/>
    <col min="9" max="9" width="1.42578125" style="131" customWidth="1"/>
    <col min="10" max="10" width="3.42578125" style="93" customWidth="1"/>
    <col min="11" max="11" width="1.42578125" style="221" customWidth="1"/>
    <col min="12" max="12" width="29.42578125" style="93" customWidth="1"/>
    <col min="13" max="13" width="1.42578125" style="131" customWidth="1"/>
    <col min="14" max="14" width="29.42578125" style="131" customWidth="1"/>
    <col min="15" max="15" width="1.42578125" style="93" customWidth="1"/>
    <col min="16" max="16" width="17" style="131" customWidth="1"/>
    <col min="17" max="17" width="5.5703125" style="131" customWidth="1"/>
    <col min="18" max="18" width="112.42578125" style="131" bestFit="1" customWidth="1"/>
    <col min="19" max="19" width="4.42578125" style="131" customWidth="1"/>
    <col min="20" max="20" width="14.42578125" style="131" customWidth="1"/>
    <col min="21" max="21" width="10.42578125" style="93" bestFit="1" customWidth="1"/>
    <col min="22" max="23" width="8.42578125" style="93"/>
    <col min="24" max="24" width="5.5703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31"/>
    <col min="29" max="29" width="12.5703125" style="131" bestFit="1" customWidth="1"/>
    <col min="30" max="16384" width="8.42578125" style="131"/>
  </cols>
  <sheetData>
    <row r="1" spans="1:21" s="93" customFormat="1" ht="14.25" customHeight="1">
      <c r="A1" s="534"/>
      <c r="B1" s="119"/>
      <c r="J1" s="143"/>
      <c r="S1" s="143"/>
    </row>
    <row r="2" spans="1:21" s="93" customFormat="1" ht="14.25" customHeight="1" thickBot="1">
      <c r="A2" s="534"/>
      <c r="B2" s="130" t="s">
        <v>58</v>
      </c>
      <c r="C2" s="130"/>
      <c r="D2" s="130"/>
      <c r="E2" s="130"/>
      <c r="F2" s="130"/>
      <c r="G2" s="130"/>
      <c r="H2" s="130"/>
      <c r="J2" s="143"/>
      <c r="R2" s="130"/>
      <c r="S2" s="143"/>
    </row>
    <row r="3" spans="1:21" s="93" customFormat="1" ht="12.95">
      <c r="B3" s="119"/>
      <c r="D3" s="127" t="s">
        <v>59</v>
      </c>
      <c r="F3" s="127" t="s">
        <v>60</v>
      </c>
      <c r="J3" s="143"/>
      <c r="L3" s="623" t="s">
        <v>61</v>
      </c>
      <c r="N3" s="623" t="s">
        <v>62</v>
      </c>
      <c r="S3" s="143"/>
    </row>
    <row r="4" spans="1:21" s="93" customFormat="1" ht="12.95">
      <c r="B4" s="480">
        <v>1</v>
      </c>
      <c r="C4" s="481" t="s">
        <v>63</v>
      </c>
      <c r="D4" s="482">
        <f>'Project Plan'!E8</f>
        <v>11535559.4510365</v>
      </c>
      <c r="E4" s="483"/>
      <c r="F4" s="482">
        <f>F22</f>
        <v>11729547.5310365</v>
      </c>
      <c r="J4" s="143"/>
      <c r="L4" s="532">
        <v>11729547.5310365</v>
      </c>
      <c r="N4" s="532" t="s">
        <v>64</v>
      </c>
      <c r="Q4" s="132"/>
      <c r="S4" s="143"/>
    </row>
    <row r="5" spans="1:21" s="93" customFormat="1" ht="15" customHeight="1">
      <c r="B5" s="480">
        <v>2</v>
      </c>
      <c r="C5" s="481" t="s">
        <v>65</v>
      </c>
      <c r="D5" s="482">
        <f>+'Expenditure Tracking'!F5</f>
        <v>10556110.224391304</v>
      </c>
      <c r="E5" s="483"/>
      <c r="F5" s="482">
        <f>+'Expenditure Tracking'!J5</f>
        <v>11989842.5275</v>
      </c>
      <c r="G5" s="857" t="s">
        <v>66</v>
      </c>
      <c r="H5" s="857" t="s">
        <v>67</v>
      </c>
      <c r="J5" s="143"/>
      <c r="L5" s="532">
        <v>10805125.074304625</v>
      </c>
      <c r="N5" s="624">
        <v>45691</v>
      </c>
      <c r="S5" s="143"/>
    </row>
    <row r="6" spans="1:21" s="93" customFormat="1" ht="15" customHeight="1">
      <c r="B6" s="480">
        <v>3</v>
      </c>
      <c r="C6" s="481" t="s">
        <v>68</v>
      </c>
      <c r="D6" s="482">
        <f>+D4-D5</f>
        <v>979449.22664519586</v>
      </c>
      <c r="E6" s="483"/>
      <c r="F6" s="482">
        <f>+F4-F5</f>
        <v>-260294.99646349996</v>
      </c>
      <c r="G6" s="856">
        <f>D6*0.05</f>
        <v>48972.461332259794</v>
      </c>
      <c r="H6" s="118">
        <f>SUMIF('Expenditure Breakdown'!O:O,"*VO*",'Expenditure Breakdown'!R:R)</f>
        <v>893309.64000000013</v>
      </c>
      <c r="J6" s="143"/>
      <c r="L6" s="532">
        <v>924422.4567318745</v>
      </c>
      <c r="N6" s="532" t="s">
        <v>69</v>
      </c>
      <c r="S6" s="143"/>
    </row>
    <row r="7" spans="1:21" s="93" customFormat="1" ht="15" customHeight="1" thickBot="1">
      <c r="B7" s="480">
        <v>4</v>
      </c>
      <c r="C7" s="481" t="s">
        <v>70</v>
      </c>
      <c r="D7" s="484">
        <f>+D6/D4</f>
        <v>8.4906954951126351E-2</v>
      </c>
      <c r="E7" s="483"/>
      <c r="F7" s="484">
        <f>+F6/F4</f>
        <v>-2.2191392786018112E-2</v>
      </c>
      <c r="J7" s="143"/>
      <c r="L7" s="533">
        <v>7.8811433628266009E-2</v>
      </c>
      <c r="N7" s="705">
        <v>45772</v>
      </c>
      <c r="S7" s="143"/>
    </row>
    <row r="8" spans="1:21" s="93" customFormat="1" ht="9" customHeight="1">
      <c r="B8" s="119"/>
      <c r="J8" s="143"/>
      <c r="S8" s="143"/>
    </row>
    <row r="9" spans="1:21" s="93" customFormat="1" ht="9.75" customHeight="1">
      <c r="B9" s="119"/>
      <c r="J9" s="143"/>
      <c r="S9" s="143"/>
    </row>
    <row r="10" spans="1:21" s="93" customFormat="1" ht="12.95">
      <c r="B10" s="130" t="s">
        <v>71</v>
      </c>
      <c r="F10" s="118"/>
      <c r="J10" s="143"/>
      <c r="S10" s="143"/>
      <c r="U10" s="130"/>
    </row>
    <row r="11" spans="1:21" s="93" customFormat="1" ht="14.25" customHeight="1">
      <c r="B11" s="119"/>
      <c r="J11" s="143"/>
      <c r="S11" s="143"/>
    </row>
    <row r="12" spans="1:21" s="93" customFormat="1" ht="26.1">
      <c r="B12" s="134" t="s">
        <v>72</v>
      </c>
      <c r="C12" s="135" t="s">
        <v>73</v>
      </c>
      <c r="D12" s="136"/>
      <c r="E12" s="134" t="s">
        <v>74</v>
      </c>
      <c r="F12" s="134" t="s">
        <v>75</v>
      </c>
      <c r="H12" s="485" t="s">
        <v>76</v>
      </c>
      <c r="J12" s="143"/>
      <c r="L12" s="184" t="s">
        <v>77</v>
      </c>
      <c r="M12" s="137"/>
      <c r="N12" s="184" t="s">
        <v>78</v>
      </c>
      <c r="O12" s="131"/>
      <c r="P12" s="184" t="s">
        <v>79</v>
      </c>
      <c r="R12" s="547" t="s">
        <v>80</v>
      </c>
      <c r="S12" s="143"/>
    </row>
    <row r="13" spans="1:21" s="93" customFormat="1" ht="12.6">
      <c r="B13" s="480">
        <v>1</v>
      </c>
      <c r="C13" s="902" t="s">
        <v>81</v>
      </c>
      <c r="D13" s="903"/>
      <c r="E13" s="138">
        <v>0.35</v>
      </c>
      <c r="F13" s="139">
        <f>$D$4*E13</f>
        <v>4037445.8078627745</v>
      </c>
      <c r="G13" s="140"/>
      <c r="H13" s="141">
        <f>'Project Plan'!G14+21</f>
        <v>45635</v>
      </c>
      <c r="J13" s="143"/>
      <c r="L13" s="500" t="s">
        <v>82</v>
      </c>
      <c r="M13" s="499"/>
      <c r="N13" s="141">
        <v>45673</v>
      </c>
      <c r="O13" s="131"/>
      <c r="P13" s="141">
        <v>45679</v>
      </c>
      <c r="R13" s="548"/>
      <c r="S13" s="143"/>
    </row>
    <row r="14" spans="1:21" s="93" customFormat="1" ht="12.6">
      <c r="B14" s="156">
        <v>2</v>
      </c>
      <c r="C14" s="904" t="s">
        <v>83</v>
      </c>
      <c r="D14" s="905"/>
      <c r="E14" s="138">
        <v>0.3</v>
      </c>
      <c r="F14" s="139">
        <f>$D$4*E14</f>
        <v>3460667.8353109499</v>
      </c>
      <c r="G14" s="483"/>
      <c r="H14" s="141">
        <f>'Project Plan'!E40+21</f>
        <v>45712</v>
      </c>
      <c r="J14" s="143"/>
      <c r="L14" s="500" t="s">
        <v>82</v>
      </c>
      <c r="N14" s="141">
        <v>45673</v>
      </c>
      <c r="O14" s="131"/>
      <c r="P14" s="834">
        <v>45695</v>
      </c>
      <c r="R14" s="548"/>
      <c r="S14" s="143"/>
    </row>
    <row r="15" spans="1:21" s="93" customFormat="1" ht="12.6">
      <c r="B15" s="480">
        <v>3</v>
      </c>
      <c r="C15" s="902" t="s">
        <v>84</v>
      </c>
      <c r="D15" s="903"/>
      <c r="E15" s="138">
        <v>0.2</v>
      </c>
      <c r="F15" s="139">
        <f t="shared" ref="F15:F17" si="0">$D$4*E15</f>
        <v>2307111.8902073</v>
      </c>
      <c r="G15" s="483"/>
      <c r="H15" s="141">
        <f>'Project Plan'!E26+21</f>
        <v>45733</v>
      </c>
      <c r="J15" s="143"/>
      <c r="L15" s="500" t="s">
        <v>82</v>
      </c>
      <c r="N15" s="141">
        <v>45673</v>
      </c>
      <c r="O15" s="131"/>
      <c r="P15" s="141">
        <v>45679</v>
      </c>
      <c r="R15" s="548"/>
      <c r="S15" s="143"/>
    </row>
    <row r="16" spans="1:21" s="93" customFormat="1" ht="12.6">
      <c r="B16" s="480">
        <v>4</v>
      </c>
      <c r="C16" s="902" t="s">
        <v>85</v>
      </c>
      <c r="D16" s="903"/>
      <c r="E16" s="138">
        <v>0.1</v>
      </c>
      <c r="F16" s="139">
        <f t="shared" si="0"/>
        <v>1153555.94510365</v>
      </c>
      <c r="G16" s="483"/>
      <c r="H16" s="141">
        <f>'Project Plan'!G45+21</f>
        <v>45793</v>
      </c>
      <c r="J16" s="143"/>
      <c r="L16" s="500" t="s">
        <v>82</v>
      </c>
      <c r="M16" s="131"/>
      <c r="N16" s="141">
        <v>45673</v>
      </c>
      <c r="O16" s="131"/>
      <c r="P16" s="141">
        <v>45789</v>
      </c>
      <c r="R16" s="548"/>
      <c r="S16" s="143"/>
    </row>
    <row r="17" spans="2:19" s="93" customFormat="1" ht="12.6">
      <c r="B17" s="480">
        <v>5</v>
      </c>
      <c r="C17" s="904" t="s">
        <v>54</v>
      </c>
      <c r="D17" s="905"/>
      <c r="E17" s="138">
        <v>0.05</v>
      </c>
      <c r="F17" s="139">
        <f t="shared" si="0"/>
        <v>576777.97255182499</v>
      </c>
      <c r="G17" s="483"/>
      <c r="H17" s="141">
        <f>'Project Plan'!G56+21</f>
        <v>45810</v>
      </c>
      <c r="J17" s="143"/>
      <c r="L17" s="500" t="s">
        <v>82</v>
      </c>
      <c r="N17" s="141">
        <v>45673</v>
      </c>
      <c r="O17" s="131"/>
      <c r="P17" s="141">
        <v>45835</v>
      </c>
      <c r="R17" s="548"/>
      <c r="S17" s="143"/>
    </row>
    <row r="18" spans="2:19" s="93" customFormat="1" ht="12.6">
      <c r="B18" s="480">
        <v>6</v>
      </c>
      <c r="C18" s="902" t="s">
        <v>86</v>
      </c>
      <c r="D18" s="903"/>
      <c r="E18" s="138">
        <v>0.7</v>
      </c>
      <c r="F18" s="139">
        <v>73118.58</v>
      </c>
      <c r="G18" s="483"/>
      <c r="H18" s="141">
        <f>H16</f>
        <v>45793</v>
      </c>
      <c r="J18" s="143"/>
      <c r="L18" s="724" t="s">
        <v>87</v>
      </c>
      <c r="M18" s="725"/>
      <c r="N18" s="726">
        <v>45639</v>
      </c>
      <c r="O18" s="131"/>
      <c r="P18" s="141">
        <v>45639</v>
      </c>
      <c r="R18" s="548"/>
      <c r="S18" s="143"/>
    </row>
    <row r="19" spans="2:19" s="93" customFormat="1" ht="12.6">
      <c r="B19" s="480">
        <v>6</v>
      </c>
      <c r="C19" s="721" t="s">
        <v>86</v>
      </c>
      <c r="D19" s="722"/>
      <c r="E19" s="138"/>
      <c r="F19" s="139">
        <f>149221.6-F18</f>
        <v>76103.02</v>
      </c>
      <c r="G19" s="483"/>
      <c r="H19" s="141">
        <f>H17</f>
        <v>45810</v>
      </c>
      <c r="J19" s="143"/>
      <c r="L19" s="724" t="s">
        <v>87</v>
      </c>
      <c r="M19" s="725"/>
      <c r="N19" s="726">
        <v>45639</v>
      </c>
      <c r="O19" s="131"/>
      <c r="P19" s="141">
        <v>45701</v>
      </c>
      <c r="R19" s="548"/>
      <c r="S19" s="143"/>
    </row>
    <row r="20" spans="2:19" s="93" customFormat="1" ht="12.6">
      <c r="B20" s="480">
        <v>6</v>
      </c>
      <c r="C20" s="721" t="s">
        <v>86</v>
      </c>
      <c r="D20" s="722"/>
      <c r="E20" s="138">
        <v>0.3</v>
      </c>
      <c r="F20" s="139">
        <f>149221.6*E20</f>
        <v>44766.48</v>
      </c>
      <c r="G20" s="483"/>
      <c r="H20" s="141">
        <f>H16</f>
        <v>45793</v>
      </c>
      <c r="J20" s="143"/>
      <c r="L20" s="500" t="s">
        <v>88</v>
      </c>
      <c r="N20" s="141">
        <v>45684</v>
      </c>
      <c r="O20" s="131"/>
      <c r="P20" s="141">
        <v>45701</v>
      </c>
      <c r="R20" s="548"/>
      <c r="S20" s="143"/>
    </row>
    <row r="21" spans="2:19" s="93" customFormat="1" ht="9" customHeight="1">
      <c r="B21" s="119"/>
      <c r="E21" s="142"/>
      <c r="F21" s="118"/>
      <c r="H21" s="486"/>
      <c r="J21" s="143"/>
      <c r="S21" s="143"/>
    </row>
    <row r="22" spans="2:19" s="93" customFormat="1" ht="12.95">
      <c r="B22" s="119"/>
      <c r="E22" s="487">
        <f>SUM(E13:E20)</f>
        <v>1.9999999999999998</v>
      </c>
      <c r="F22" s="488">
        <f>SUM(F13:F20)</f>
        <v>11729547.5310365</v>
      </c>
      <c r="J22" s="143"/>
      <c r="S22" s="143"/>
    </row>
    <row r="23" spans="2:19" s="143" customFormat="1" ht="25.5" customHeight="1">
      <c r="B23" s="144"/>
      <c r="F23" s="145"/>
    </row>
    <row r="24" spans="2:19" s="93" customFormat="1" ht="24.75" customHeight="1">
      <c r="B24" s="146" t="s">
        <v>89</v>
      </c>
      <c r="C24" s="147" t="s">
        <v>90</v>
      </c>
      <c r="D24" s="147"/>
      <c r="F24" s="148"/>
      <c r="H24" s="118"/>
    </row>
    <row r="25" spans="2:19" s="93" customFormat="1" ht="12.6">
      <c r="C25" s="149" t="s">
        <v>91</v>
      </c>
      <c r="D25" s="150"/>
      <c r="F25" s="151"/>
      <c r="H25" s="118">
        <f>F17*1.15</f>
        <v>663294.66843459872</v>
      </c>
      <c r="J25" s="723"/>
      <c r="L25" s="118"/>
      <c r="N25" s="118"/>
    </row>
    <row r="26" spans="2:19" s="93" customFormat="1" ht="12.6">
      <c r="C26" s="149" t="s">
        <v>92</v>
      </c>
      <c r="D26" s="150"/>
    </row>
    <row r="27" spans="2:19" s="93" customFormat="1" ht="12.6">
      <c r="C27" s="152" t="s">
        <v>93</v>
      </c>
      <c r="D27" s="153"/>
    </row>
    <row r="28" spans="2:19" s="93" customFormat="1" ht="12.6">
      <c r="C28" s="154" t="s">
        <v>94</v>
      </c>
      <c r="D28" s="150"/>
    </row>
    <row r="29" spans="2:19" s="93" customFormat="1" ht="12.6">
      <c r="B29" s="119"/>
      <c r="C29" s="154" t="s">
        <v>95</v>
      </c>
      <c r="D29" s="150"/>
    </row>
    <row r="30" spans="2:19" s="93" customFormat="1" ht="12.6">
      <c r="B30" s="119"/>
      <c r="C30" s="93" t="s">
        <v>96</v>
      </c>
    </row>
    <row r="31" spans="2:19" s="93" customFormat="1" ht="27.75" customHeight="1">
      <c r="B31" s="119"/>
      <c r="C31" s="155" t="s">
        <v>97</v>
      </c>
      <c r="D31" s="155"/>
      <c r="F31" s="151"/>
    </row>
    <row r="32" spans="2:19" s="93" customFormat="1" ht="12.6">
      <c r="B32" s="119"/>
      <c r="F32" s="148"/>
    </row>
    <row r="33" spans="2:14" s="93" customFormat="1" ht="12.6">
      <c r="B33" s="119"/>
      <c r="F33" s="148"/>
    </row>
    <row r="34" spans="2:14" s="93" customFormat="1" ht="12.6">
      <c r="B34" s="119"/>
      <c r="F34" s="148"/>
    </row>
    <row r="35" spans="2:14" s="93" customFormat="1" ht="12.6">
      <c r="B35" s="119"/>
      <c r="F35" s="148"/>
    </row>
    <row r="36" spans="2:14" s="93" customFormat="1" ht="12.6">
      <c r="B36" s="119"/>
      <c r="L36" s="93">
        <f>6344558/1.15</f>
        <v>5517006.9565217393</v>
      </c>
      <c r="N36" s="118">
        <f>L36-F13</f>
        <v>1479561.1486589648</v>
      </c>
    </row>
    <row r="37" spans="2:14" s="93" customFormat="1" ht="12.6">
      <c r="B37" s="119"/>
    </row>
    <row r="38" spans="2:14" s="93" customFormat="1" ht="12.6">
      <c r="B38" s="119"/>
    </row>
    <row r="39" spans="2:14" s="93" customFormat="1" ht="12.75" hidden="1" customHeight="1">
      <c r="B39" s="119"/>
    </row>
    <row r="40" spans="2:14" s="93" customFormat="1" ht="12.75" hidden="1" customHeight="1">
      <c r="B40" s="119"/>
    </row>
    <row r="41" spans="2:14" s="93" customFormat="1" ht="13.5" hidden="1" customHeight="1">
      <c r="B41" s="134" t="s">
        <v>72</v>
      </c>
      <c r="C41" s="135" t="s">
        <v>73</v>
      </c>
      <c r="D41" s="136"/>
      <c r="E41" s="134" t="s">
        <v>74</v>
      </c>
      <c r="F41" s="134" t="s">
        <v>75</v>
      </c>
    </row>
    <row r="42" spans="2:14" s="93" customFormat="1" ht="12.75" hidden="1" customHeight="1">
      <c r="B42" s="156">
        <v>1</v>
      </c>
      <c r="C42" s="157" t="s">
        <v>98</v>
      </c>
      <c r="D42" s="157"/>
      <c r="E42" s="138">
        <v>0.35</v>
      </c>
      <c r="F42" s="139">
        <f>$F$48*E42</f>
        <v>4105341.6358627747</v>
      </c>
    </row>
    <row r="43" spans="2:14" s="93" customFormat="1" ht="12.75" hidden="1" customHeight="1">
      <c r="B43" s="156">
        <v>2</v>
      </c>
      <c r="C43" s="157" t="s">
        <v>99</v>
      </c>
      <c r="D43" s="157"/>
      <c r="E43" s="138">
        <v>0.3</v>
      </c>
      <c r="F43" s="139">
        <f t="shared" ref="F43:F46" si="1">$F$48*E43</f>
        <v>3518864.2593109501</v>
      </c>
    </row>
    <row r="44" spans="2:14" s="93" customFormat="1" ht="12.75" hidden="1" customHeight="1">
      <c r="B44" s="156">
        <v>3</v>
      </c>
      <c r="C44" s="157" t="s">
        <v>100</v>
      </c>
      <c r="D44" s="157"/>
      <c r="E44" s="138">
        <v>0.2</v>
      </c>
      <c r="F44" s="139">
        <f t="shared" si="1"/>
        <v>2345909.5062072999</v>
      </c>
    </row>
    <row r="45" spans="2:14" s="93" customFormat="1" ht="12.75" hidden="1" customHeight="1">
      <c r="B45" s="156">
        <v>4</v>
      </c>
      <c r="C45" s="157" t="s">
        <v>101</v>
      </c>
      <c r="D45" s="157"/>
      <c r="E45" s="138">
        <v>0.1</v>
      </c>
      <c r="F45" s="139">
        <f t="shared" si="1"/>
        <v>1172954.7531036499</v>
      </c>
    </row>
    <row r="46" spans="2:14" s="93" customFormat="1" ht="13.5" hidden="1" customHeight="1" thickBot="1">
      <c r="B46" s="158">
        <v>5</v>
      </c>
      <c r="C46" s="159" t="s">
        <v>54</v>
      </c>
      <c r="D46" s="159"/>
      <c r="E46" s="160">
        <v>0.05</v>
      </c>
      <c r="F46" s="161">
        <f t="shared" si="1"/>
        <v>586477.37655182497</v>
      </c>
    </row>
    <row r="47" spans="2:14" s="93" customFormat="1" ht="13.5" hidden="1" customHeight="1" thickBot="1">
      <c r="B47" s="162"/>
      <c r="C47" s="163" t="s">
        <v>102</v>
      </c>
      <c r="D47" s="163"/>
      <c r="E47" s="164">
        <f>SUM(E42:E46)</f>
        <v>0.99999999999999989</v>
      </c>
      <c r="F47" s="165">
        <f>SUM(F42:F46)</f>
        <v>11729547.5310365</v>
      </c>
    </row>
    <row r="48" spans="2:14" s="93" customFormat="1" ht="12.75" hidden="1" customHeight="1">
      <c r="B48" s="119"/>
      <c r="E48" s="142">
        <f>SUM(E42:E46)</f>
        <v>0.99999999999999989</v>
      </c>
      <c r="F48" s="118">
        <f>F22</f>
        <v>11729547.5310365</v>
      </c>
    </row>
    <row r="49" spans="2:2" s="93" customFormat="1" ht="12.75" hidden="1" customHeight="1">
      <c r="B49" s="119"/>
    </row>
    <row r="50" spans="2:2" s="93" customFormat="1" ht="12.6">
      <c r="B50" s="119"/>
    </row>
    <row r="51" spans="2:2" s="93" customFormat="1" ht="12.6">
      <c r="B51" s="119"/>
    </row>
    <row r="52" spans="2:2" s="93" customFormat="1" ht="12.6">
      <c r="B52" s="119"/>
    </row>
    <row r="53" spans="2:2" s="93" customFormat="1" ht="12.6">
      <c r="B53" s="119"/>
    </row>
    <row r="54" spans="2:2" s="93" customFormat="1" ht="12.6">
      <c r="B54" s="119"/>
    </row>
    <row r="55" spans="2:2" s="93" customFormat="1" ht="12.6">
      <c r="B55" s="119"/>
    </row>
    <row r="56" spans="2:2" s="93" customFormat="1" ht="12.6">
      <c r="B56" s="119"/>
    </row>
    <row r="57" spans="2:2" s="93" customFormat="1" ht="12.6">
      <c r="B57" s="119"/>
    </row>
    <row r="58" spans="2:2" s="93" customFormat="1" ht="12.6">
      <c r="B58" s="119"/>
    </row>
    <row r="59" spans="2:2" s="93" customFormat="1" ht="12.6">
      <c r="B59" s="119"/>
    </row>
    <row r="60" spans="2:2" s="93" customFormat="1" ht="12.6">
      <c r="B60" s="119"/>
    </row>
    <row r="61" spans="2:2" s="93" customFormat="1" ht="12.6">
      <c r="B61" s="119"/>
    </row>
    <row r="62" spans="2:2" s="93" customFormat="1" ht="12.6">
      <c r="B62" s="119"/>
    </row>
    <row r="63" spans="2:2" s="93" customFormat="1" ht="12.6">
      <c r="B63" s="119"/>
    </row>
    <row r="64" spans="2:2" s="93" customFormat="1" ht="12.6">
      <c r="B64" s="119"/>
    </row>
    <row r="65" spans="2:2" s="93" customFormat="1" ht="12.6">
      <c r="B65" s="119"/>
    </row>
    <row r="66" spans="2:2" s="93" customFormat="1" ht="12.6">
      <c r="B66" s="119"/>
    </row>
    <row r="67" spans="2:2" s="93" customFormat="1" ht="12.6">
      <c r="B67" s="119"/>
    </row>
    <row r="68" spans="2:2" s="93" customFormat="1" ht="12.6">
      <c r="B68" s="119"/>
    </row>
    <row r="69" spans="2:2" s="93" customFormat="1" ht="12.6">
      <c r="B69" s="119"/>
    </row>
    <row r="70" spans="2:2" s="93" customFormat="1" ht="12.6">
      <c r="B70" s="119"/>
    </row>
    <row r="71" spans="2:2" s="93" customFormat="1" ht="12.6">
      <c r="B71" s="119"/>
    </row>
    <row r="72" spans="2:2" s="93" customFormat="1" ht="12.6">
      <c r="B72" s="119"/>
    </row>
    <row r="73" spans="2:2" s="93" customFormat="1" ht="12.6">
      <c r="B73" s="119"/>
    </row>
    <row r="74" spans="2:2" s="93" customFormat="1" ht="12.6">
      <c r="B74" s="119"/>
    </row>
    <row r="75" spans="2:2" s="93" customFormat="1" ht="12.6">
      <c r="B75" s="119"/>
    </row>
    <row r="76" spans="2:2" s="93" customFormat="1" ht="12.6">
      <c r="B76" s="119"/>
    </row>
    <row r="77" spans="2:2" s="93" customFormat="1" ht="12.6">
      <c r="B77" s="119"/>
    </row>
    <row r="78" spans="2:2" s="93" customFormat="1" ht="12.6">
      <c r="B78" s="119"/>
    </row>
    <row r="79" spans="2:2" s="93" customFormat="1" ht="12.6">
      <c r="B79" s="119"/>
    </row>
    <row r="80" spans="2:2" s="93" customFormat="1" ht="12.6">
      <c r="B80" s="119"/>
    </row>
    <row r="81" spans="2:2" s="93" customFormat="1" ht="12.6">
      <c r="B81" s="119"/>
    </row>
    <row r="82" spans="2:2" s="93" customFormat="1" ht="12.6">
      <c r="B82" s="119"/>
    </row>
    <row r="83" spans="2:2" s="93" customFormat="1" ht="12.6">
      <c r="B83" s="119"/>
    </row>
    <row r="84" spans="2:2" s="93" customFormat="1" ht="12.6">
      <c r="B84" s="119"/>
    </row>
    <row r="85" spans="2:2" s="93" customFormat="1" ht="12.6">
      <c r="B85" s="119"/>
    </row>
    <row r="86" spans="2:2" s="93" customFormat="1" ht="12.6">
      <c r="B86" s="119"/>
    </row>
    <row r="87" spans="2:2" s="93" customFormat="1" ht="12.6">
      <c r="B87" s="119"/>
    </row>
    <row r="88" spans="2:2" s="93" customFormat="1" ht="12.6">
      <c r="B88" s="119"/>
    </row>
    <row r="89" spans="2:2" s="93" customFormat="1" ht="12.6">
      <c r="B89" s="119"/>
    </row>
    <row r="90" spans="2:2" s="93" customFormat="1" ht="12.6">
      <c r="B90" s="119"/>
    </row>
    <row r="91" spans="2:2" s="93" customFormat="1" ht="12.6">
      <c r="B91" s="119"/>
    </row>
    <row r="92" spans="2:2" s="93" customFormat="1" ht="12.6">
      <c r="B92" s="119"/>
    </row>
    <row r="93" spans="2:2" s="93" customFormat="1" ht="12.6">
      <c r="B93" s="119"/>
    </row>
    <row r="94" spans="2:2" s="93" customFormat="1" ht="12.6">
      <c r="B94" s="119"/>
    </row>
    <row r="95" spans="2:2" s="93" customFormat="1" ht="12.6">
      <c r="B95" s="119"/>
    </row>
    <row r="96" spans="2:2" s="93" customFormat="1" ht="12.6">
      <c r="B96" s="119"/>
    </row>
    <row r="97" spans="2:2" s="93" customFormat="1" ht="12.6">
      <c r="B97" s="119"/>
    </row>
    <row r="98" spans="2:2" s="93" customFormat="1" ht="12.6">
      <c r="B98" s="119"/>
    </row>
    <row r="99" spans="2:2" s="93" customFormat="1" ht="12.6">
      <c r="B99" s="119"/>
    </row>
    <row r="100" spans="2:2" s="93" customFormat="1" ht="12.6">
      <c r="B100" s="119"/>
    </row>
    <row r="101" spans="2:2" s="93" customFormat="1" ht="12.6">
      <c r="B101" s="119"/>
    </row>
    <row r="102" spans="2:2" s="93" customFormat="1" ht="12.6">
      <c r="B102" s="119"/>
    </row>
    <row r="103" spans="2:2" s="93" customFormat="1" ht="12.6">
      <c r="B103" s="119"/>
    </row>
    <row r="104" spans="2:2" s="93" customFormat="1" ht="12.6">
      <c r="B104" s="119"/>
    </row>
    <row r="105" spans="2:2" s="93" customFormat="1" ht="12.6">
      <c r="B105" s="119"/>
    </row>
    <row r="106" spans="2:2" s="93" customFormat="1" ht="12.6">
      <c r="B106" s="119"/>
    </row>
    <row r="107" spans="2:2" s="93" customFormat="1" ht="12.6">
      <c r="B107" s="119"/>
    </row>
    <row r="108" spans="2:2" s="93" customFormat="1" ht="12.6">
      <c r="B108" s="119"/>
    </row>
    <row r="109" spans="2:2" s="93" customFormat="1" ht="12.6">
      <c r="B109" s="119"/>
    </row>
    <row r="110" spans="2:2" s="93" customFormat="1" ht="12.6">
      <c r="B110" s="119"/>
    </row>
    <row r="111" spans="2:2" s="93" customFormat="1" ht="12.6">
      <c r="B111" s="119"/>
    </row>
    <row r="112" spans="2:2" s="93" customFormat="1" ht="12.6">
      <c r="B112" s="119"/>
    </row>
    <row r="113" spans="2:2" s="93" customFormat="1" ht="12.6">
      <c r="B113" s="119"/>
    </row>
    <row r="114" spans="2:2" s="93" customFormat="1" ht="12.6">
      <c r="B114" s="119"/>
    </row>
    <row r="115" spans="2:2" s="93" customFormat="1" ht="12.6">
      <c r="B115" s="119"/>
    </row>
    <row r="116" spans="2:2" s="93" customFormat="1" ht="12.6">
      <c r="B116" s="119"/>
    </row>
    <row r="117" spans="2:2" s="93" customFormat="1" ht="12.6">
      <c r="B117" s="119"/>
    </row>
    <row r="118" spans="2:2" s="93" customFormat="1" ht="12.6">
      <c r="B118" s="119"/>
    </row>
    <row r="119" spans="2:2" s="93" customFormat="1" ht="12.6">
      <c r="B119" s="119"/>
    </row>
    <row r="120" spans="2:2" s="93" customFormat="1" ht="12.6">
      <c r="B120" s="119"/>
    </row>
    <row r="121" spans="2:2" s="93" customFormat="1" ht="12.6">
      <c r="B121" s="119"/>
    </row>
    <row r="122" spans="2:2" s="93" customFormat="1" ht="12.6">
      <c r="B122" s="119"/>
    </row>
    <row r="123" spans="2:2" s="93" customFormat="1" ht="12.6">
      <c r="B123" s="119"/>
    </row>
    <row r="124" spans="2:2" s="93" customFormat="1" ht="12.6">
      <c r="B124" s="119"/>
    </row>
    <row r="125" spans="2:2" s="93" customFormat="1" ht="12.6">
      <c r="B125" s="119"/>
    </row>
    <row r="126" spans="2:2" s="93" customFormat="1" ht="12.6">
      <c r="B126" s="119"/>
    </row>
    <row r="127" spans="2:2" s="93" customFormat="1" ht="12.6">
      <c r="B127" s="119"/>
    </row>
    <row r="128" spans="2:2" s="93" customFormat="1" ht="12.6">
      <c r="B128" s="119"/>
    </row>
    <row r="129" spans="2:2" s="93" customFormat="1" ht="12.6">
      <c r="B129" s="119"/>
    </row>
    <row r="130" spans="2:2" s="93" customFormat="1" ht="12.6">
      <c r="B130" s="119"/>
    </row>
    <row r="131" spans="2:2" s="93" customFormat="1" ht="12.6">
      <c r="B131" s="119"/>
    </row>
    <row r="132" spans="2:2" s="93" customFormat="1" ht="12.6">
      <c r="B132" s="119"/>
    </row>
    <row r="133" spans="2:2" s="93" customFormat="1" ht="12.6">
      <c r="B133" s="119"/>
    </row>
    <row r="134" spans="2:2" s="93" customFormat="1" ht="12.6">
      <c r="B134" s="119"/>
    </row>
    <row r="135" spans="2:2" s="93" customFormat="1" ht="12.6">
      <c r="B135" s="119"/>
    </row>
    <row r="136" spans="2:2" s="93" customFormat="1" ht="12.6">
      <c r="B136" s="119"/>
    </row>
    <row r="137" spans="2:2" s="93" customFormat="1" ht="12.6">
      <c r="B137" s="119"/>
    </row>
    <row r="138" spans="2:2" s="93" customFormat="1" ht="12.6">
      <c r="B138" s="119"/>
    </row>
    <row r="139" spans="2:2" s="93" customFormat="1" ht="12.6">
      <c r="B139" s="119"/>
    </row>
    <row r="140" spans="2:2" s="93" customFormat="1" ht="12.6">
      <c r="B140" s="119"/>
    </row>
    <row r="141" spans="2:2" s="93" customFormat="1" ht="12.6">
      <c r="B141" s="119"/>
    </row>
    <row r="142" spans="2:2" s="93" customFormat="1" ht="12.6">
      <c r="B142" s="119"/>
    </row>
    <row r="143" spans="2:2" s="93" customFormat="1" ht="12.6">
      <c r="B143" s="119"/>
    </row>
    <row r="144" spans="2:2" s="93" customFormat="1" ht="12.6">
      <c r="B144" s="119"/>
    </row>
    <row r="145" spans="2:2" s="93" customFormat="1" ht="12.6">
      <c r="B145" s="119"/>
    </row>
    <row r="146" spans="2:2" s="93" customFormat="1" ht="12.6">
      <c r="B146" s="119"/>
    </row>
    <row r="147" spans="2:2" s="93" customFormat="1" ht="12.6">
      <c r="B147" s="119"/>
    </row>
    <row r="148" spans="2:2" s="93" customFormat="1" ht="12.6">
      <c r="B148" s="119"/>
    </row>
    <row r="149" spans="2:2" s="93" customFormat="1" ht="12.6">
      <c r="B149" s="119"/>
    </row>
    <row r="150" spans="2:2" s="93" customFormat="1" ht="12.6">
      <c r="B150" s="119"/>
    </row>
    <row r="151" spans="2:2" s="93" customFormat="1" ht="12.6">
      <c r="B151" s="119"/>
    </row>
    <row r="152" spans="2:2" s="93" customFormat="1" ht="12.6">
      <c r="B152" s="119"/>
    </row>
    <row r="153" spans="2:2" s="93" customFormat="1" ht="12.6">
      <c r="B153" s="119"/>
    </row>
    <row r="154" spans="2:2" s="93" customFormat="1" ht="12.6">
      <c r="B154" s="119"/>
    </row>
    <row r="155" spans="2:2" s="93" customFormat="1" ht="12.6">
      <c r="B155" s="119"/>
    </row>
    <row r="156" spans="2:2" s="93" customFormat="1" ht="12.6">
      <c r="B156" s="119"/>
    </row>
    <row r="157" spans="2:2" s="93" customFormat="1" ht="12.6">
      <c r="B157" s="119"/>
    </row>
    <row r="158" spans="2:2" s="93" customFormat="1" ht="12.6">
      <c r="B158" s="119"/>
    </row>
    <row r="159" spans="2:2" s="93" customFormat="1" ht="12.6">
      <c r="B159" s="119"/>
    </row>
    <row r="160" spans="2:2" s="93" customFormat="1" ht="12.6">
      <c r="B160" s="119"/>
    </row>
    <row r="161" spans="2:2" s="93" customFormat="1" ht="12.6">
      <c r="B161" s="119"/>
    </row>
    <row r="162" spans="2:2" s="93" customFormat="1" ht="12.6">
      <c r="B162" s="119"/>
    </row>
    <row r="163" spans="2:2" s="93" customFormat="1" ht="12.6">
      <c r="B163" s="119"/>
    </row>
    <row r="164" spans="2:2" s="93" customFormat="1" ht="12.6">
      <c r="B164" s="119"/>
    </row>
    <row r="165" spans="2:2" s="93" customFormat="1" ht="12.6">
      <c r="B165" s="119"/>
    </row>
    <row r="166" spans="2:2" s="93" customFormat="1" ht="12.6">
      <c r="B166" s="119"/>
    </row>
    <row r="167" spans="2:2" s="93" customFormat="1" ht="12.6">
      <c r="B167" s="119"/>
    </row>
    <row r="168" spans="2:2" s="93" customFormat="1" ht="12.6">
      <c r="B168" s="119"/>
    </row>
    <row r="169" spans="2:2" s="93" customFormat="1" ht="12.6">
      <c r="B169" s="119"/>
    </row>
    <row r="170" spans="2:2" s="93" customFormat="1" ht="12.6">
      <c r="B170" s="119"/>
    </row>
    <row r="171" spans="2:2" s="93" customFormat="1" ht="12.6">
      <c r="B171" s="119"/>
    </row>
    <row r="172" spans="2:2" s="93" customFormat="1" ht="12.6">
      <c r="B172" s="119"/>
    </row>
    <row r="173" spans="2:2" s="93" customFormat="1" ht="12.6">
      <c r="B173" s="119"/>
    </row>
    <row r="174" spans="2:2" s="93" customFormat="1" ht="12.6">
      <c r="B174" s="119"/>
    </row>
    <row r="175" spans="2:2" s="93" customFormat="1" ht="12.6">
      <c r="B175" s="119"/>
    </row>
    <row r="176" spans="2:2" s="93" customFormat="1" ht="12.6">
      <c r="B176" s="119"/>
    </row>
    <row r="177" spans="2:2" s="93" customFormat="1" ht="12.6">
      <c r="B177" s="119"/>
    </row>
    <row r="178" spans="2:2" s="93" customFormat="1" ht="12.6">
      <c r="B178" s="119"/>
    </row>
    <row r="179" spans="2:2" s="93" customFormat="1" ht="12.6">
      <c r="B179" s="119"/>
    </row>
    <row r="180" spans="2:2" s="93" customFormat="1" ht="12.6">
      <c r="B180" s="119"/>
    </row>
    <row r="181" spans="2:2" s="93" customFormat="1" ht="12.6">
      <c r="B181" s="119"/>
    </row>
    <row r="182" spans="2:2" s="93" customFormat="1" ht="12.6">
      <c r="B182" s="119"/>
    </row>
    <row r="183" spans="2:2" s="93" customFormat="1" ht="12.6">
      <c r="B183" s="119"/>
    </row>
    <row r="184" spans="2:2" s="93" customFormat="1" ht="12.6">
      <c r="B184" s="119"/>
    </row>
    <row r="185" spans="2:2" s="93" customFormat="1" ht="12.6">
      <c r="B185" s="119"/>
    </row>
    <row r="186" spans="2:2" s="93" customFormat="1" ht="12.6">
      <c r="B186" s="119"/>
    </row>
    <row r="187" spans="2:2" s="93" customFormat="1" ht="12.6">
      <c r="B187" s="119"/>
    </row>
    <row r="188" spans="2:2" s="93" customFormat="1" ht="12.6">
      <c r="B188" s="119"/>
    </row>
    <row r="189" spans="2:2" s="93" customFormat="1" ht="12.6">
      <c r="B189" s="119"/>
    </row>
    <row r="190" spans="2:2" s="93" customFormat="1" ht="12.6">
      <c r="B190" s="119"/>
    </row>
    <row r="191" spans="2:2" s="93" customFormat="1" ht="12.6">
      <c r="B191" s="119"/>
    </row>
    <row r="192" spans="2:2" s="93" customFormat="1" ht="12.6">
      <c r="B192" s="119"/>
    </row>
    <row r="193" spans="2:2" s="93" customFormat="1" ht="12.6">
      <c r="B193" s="119"/>
    </row>
    <row r="194" spans="2:2" s="93" customFormat="1" ht="12.6">
      <c r="B194" s="119"/>
    </row>
    <row r="195" spans="2:2" s="93" customFormat="1" ht="12.6">
      <c r="B195" s="119"/>
    </row>
    <row r="196" spans="2:2" s="93" customFormat="1" ht="12.6">
      <c r="B196" s="119"/>
    </row>
    <row r="197" spans="2:2" s="93" customFormat="1" ht="12.6">
      <c r="B197" s="119"/>
    </row>
    <row r="198" spans="2:2" s="93" customFormat="1" ht="12.6">
      <c r="B198" s="119"/>
    </row>
    <row r="199" spans="2:2" s="93" customFormat="1" ht="12.6">
      <c r="B199" s="119"/>
    </row>
    <row r="200" spans="2:2" s="93" customFormat="1" ht="12.6">
      <c r="B200" s="119"/>
    </row>
    <row r="201" spans="2:2" s="93" customFormat="1" ht="12.6">
      <c r="B201" s="119"/>
    </row>
    <row r="202" spans="2:2" s="93" customFormat="1" ht="12.6">
      <c r="B202" s="119"/>
    </row>
    <row r="203" spans="2:2" s="93" customFormat="1" ht="12.6">
      <c r="B203" s="119"/>
    </row>
    <row r="204" spans="2:2" s="93" customFormat="1" ht="12.6">
      <c r="B204" s="119"/>
    </row>
    <row r="205" spans="2:2" s="93" customFormat="1" ht="12.6">
      <c r="B205" s="119"/>
    </row>
    <row r="206" spans="2:2" s="93" customFormat="1" ht="12.6">
      <c r="B206" s="119"/>
    </row>
    <row r="207" spans="2:2" s="93" customFormat="1" ht="12.6">
      <c r="B207" s="119"/>
    </row>
    <row r="208" spans="2:2" s="93" customFormat="1" ht="12.6">
      <c r="B208" s="119"/>
    </row>
    <row r="209" spans="2:2" s="93" customFormat="1" ht="12.6">
      <c r="B209" s="119"/>
    </row>
    <row r="210" spans="2:2" s="93" customFormat="1" ht="12.6">
      <c r="B210" s="119"/>
    </row>
    <row r="211" spans="2:2" s="93" customFormat="1" ht="12.6">
      <c r="B211" s="119"/>
    </row>
    <row r="212" spans="2:2" s="93" customFormat="1" ht="12.6">
      <c r="B212" s="119"/>
    </row>
    <row r="213" spans="2:2" s="93" customFormat="1" ht="12.6">
      <c r="B213" s="119"/>
    </row>
    <row r="214" spans="2:2" s="93" customFormat="1" ht="12.6">
      <c r="B214" s="119"/>
    </row>
    <row r="215" spans="2:2" s="93" customFormat="1" ht="12.6">
      <c r="B215" s="119"/>
    </row>
    <row r="216" spans="2:2" s="93" customFormat="1" ht="12.6">
      <c r="B216" s="119"/>
    </row>
    <row r="217" spans="2:2" s="93" customFormat="1" ht="12.6">
      <c r="B217" s="119"/>
    </row>
    <row r="218" spans="2:2" s="93" customFormat="1" ht="12.6">
      <c r="B218" s="119"/>
    </row>
    <row r="219" spans="2:2" s="93" customFormat="1" ht="12.6">
      <c r="B219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20 P12:P20" name="Range1"/>
  </protectedRanges>
  <mergeCells count="6">
    <mergeCell ref="C18:D18"/>
    <mergeCell ref="C16:D16"/>
    <mergeCell ref="C13:D13"/>
    <mergeCell ref="C14:D14"/>
    <mergeCell ref="C15:D15"/>
    <mergeCell ref="C17:D17"/>
  </mergeCells>
  <conditionalFormatting sqref="F22">
    <cfRule type="cellIs" dxfId="3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6"/>
  <sheetViews>
    <sheetView topLeftCell="A26" zoomScale="85" zoomScaleNormal="85" workbookViewId="0">
      <selection activeCell="E10" sqref="E10:E11"/>
    </sheetView>
  </sheetViews>
  <sheetFormatPr defaultColWidth="8.42578125" defaultRowHeight="14.1"/>
  <cols>
    <col min="1" max="1" width="1.42578125" style="114" customWidth="1"/>
    <col min="2" max="2" width="6.42578125" style="189" bestFit="1" customWidth="1"/>
    <col min="3" max="3" width="50.5703125" style="24" bestFit="1" customWidth="1"/>
    <col min="4" max="4" width="3.42578125" style="114" customWidth="1"/>
    <col min="5" max="5" width="14.5703125" style="24" customWidth="1"/>
    <col min="6" max="6" width="10.42578125" style="186" customWidth="1"/>
    <col min="7" max="7" width="13.5703125" style="64" customWidth="1"/>
    <col min="8" max="8" width="5" style="114" customWidth="1"/>
    <col min="9" max="9" width="13.42578125" style="114" customWidth="1"/>
    <col min="10" max="10" width="11.42578125" style="115" customWidth="1"/>
    <col min="11" max="11" width="14.5703125" style="114" customWidth="1"/>
    <col min="12" max="12" width="2.42578125" style="114" customWidth="1"/>
    <col min="13" max="13" width="12.5703125" style="114" customWidth="1"/>
    <col min="14" max="14" width="11" style="114" bestFit="1" customWidth="1"/>
    <col min="15" max="15" width="39.42578125" style="114" bestFit="1" customWidth="1"/>
    <col min="16" max="16" width="1.42578125" style="114" customWidth="1"/>
    <col min="17" max="17" width="5.5703125" style="3" customWidth="1"/>
    <col min="18" max="25" width="8.42578125" style="114"/>
    <col min="26" max="16384" width="8.42578125" style="24"/>
  </cols>
  <sheetData>
    <row r="1" spans="2:28" s="114" customFormat="1" ht="4.5" customHeight="1">
      <c r="B1" s="185"/>
      <c r="F1" s="186"/>
      <c r="G1" s="115"/>
      <c r="J1" s="115"/>
      <c r="N1" s="601">
        <f ca="1">TODAY()</f>
        <v>46087</v>
      </c>
      <c r="O1" s="601">
        <f ca="1">TODAY()</f>
        <v>46087</v>
      </c>
      <c r="Q1" s="3"/>
    </row>
    <row r="2" spans="2:28">
      <c r="B2" s="222"/>
      <c r="C2" s="223" t="s">
        <v>0</v>
      </c>
      <c r="D2" s="224"/>
      <c r="E2" s="910" t="s">
        <v>103</v>
      </c>
      <c r="F2" s="910"/>
      <c r="G2" s="910"/>
      <c r="H2" s="910"/>
      <c r="N2" s="602">
        <v>0</v>
      </c>
      <c r="O2" s="602">
        <v>1</v>
      </c>
    </row>
    <row r="3" spans="2:28" s="114" customFormat="1">
      <c r="B3" s="225"/>
      <c r="C3" s="226" t="s">
        <v>104</v>
      </c>
      <c r="D3" s="224"/>
      <c r="E3" s="641">
        <v>400</v>
      </c>
      <c r="F3" s="227"/>
      <c r="G3" s="228"/>
      <c r="H3" s="229"/>
      <c r="J3" s="115"/>
      <c r="Q3" s="3"/>
    </row>
    <row r="4" spans="2:28" s="114" customFormat="1">
      <c r="B4" s="225"/>
      <c r="C4" s="226" t="s">
        <v>105</v>
      </c>
      <c r="D4" s="224"/>
      <c r="E4" s="911"/>
      <c r="F4" s="911"/>
      <c r="G4" s="911"/>
      <c r="H4" s="911"/>
      <c r="J4" s="115"/>
      <c r="Q4" s="3"/>
    </row>
    <row r="5" spans="2:28" s="114" customFormat="1">
      <c r="B5" s="225"/>
      <c r="C5" s="226" t="s">
        <v>106</v>
      </c>
      <c r="D5" s="224"/>
      <c r="E5" s="911" t="s">
        <v>107</v>
      </c>
      <c r="F5" s="911"/>
      <c r="G5" s="911"/>
      <c r="H5" s="911"/>
      <c r="J5" s="115"/>
      <c r="Q5" s="3"/>
    </row>
    <row r="6" spans="2:28" s="114" customFormat="1">
      <c r="B6" s="225"/>
      <c r="C6" s="226" t="s">
        <v>108</v>
      </c>
      <c r="D6" s="224"/>
      <c r="E6" s="911" t="s">
        <v>109</v>
      </c>
      <c r="F6" s="911"/>
      <c r="G6" s="911"/>
      <c r="H6" s="911"/>
      <c r="J6" s="115"/>
      <c r="Q6" s="3"/>
    </row>
    <row r="7" spans="2:28" s="114" customFormat="1">
      <c r="B7" s="225"/>
      <c r="C7" s="226" t="s">
        <v>110</v>
      </c>
      <c r="D7" s="224"/>
      <c r="E7" s="641" t="s">
        <v>111</v>
      </c>
      <c r="F7" s="227"/>
      <c r="G7" s="642"/>
      <c r="H7" s="643"/>
      <c r="J7" s="115"/>
      <c r="Q7" s="3"/>
    </row>
    <row r="8" spans="2:28">
      <c r="B8" s="230"/>
      <c r="C8" s="231" t="s">
        <v>112</v>
      </c>
      <c r="D8" s="224"/>
      <c r="E8" s="912">
        <v>11535559.4510365</v>
      </c>
      <c r="F8" s="912"/>
      <c r="G8" s="912"/>
      <c r="H8" s="912"/>
    </row>
    <row r="9" spans="2:28" s="114" customFormat="1">
      <c r="B9" s="185"/>
      <c r="C9" s="852" t="s">
        <v>113</v>
      </c>
      <c r="D9" s="177"/>
      <c r="E9" s="611" t="s">
        <v>114</v>
      </c>
      <c r="F9" s="186"/>
      <c r="G9" s="232"/>
      <c r="J9" s="115"/>
      <c r="Q9" s="3"/>
    </row>
    <row r="10" spans="2:28" ht="30" customHeight="1">
      <c r="B10" s="907" t="s">
        <v>72</v>
      </c>
      <c r="C10" s="908" t="s">
        <v>115</v>
      </c>
      <c r="D10" s="261"/>
      <c r="E10" s="909" t="s">
        <v>116</v>
      </c>
      <c r="F10" s="283" t="s">
        <v>117</v>
      </c>
      <c r="G10" s="909" t="s">
        <v>118</v>
      </c>
      <c r="H10" s="284"/>
      <c r="I10" s="909" t="s">
        <v>119</v>
      </c>
      <c r="J10" s="283" t="s">
        <v>117</v>
      </c>
      <c r="K10" s="909" t="s">
        <v>120</v>
      </c>
      <c r="M10" s="640" t="s">
        <v>121</v>
      </c>
      <c r="O10" s="906" t="s">
        <v>122</v>
      </c>
      <c r="Z10" s="114"/>
      <c r="AA10" s="114"/>
      <c r="AB10" s="114"/>
    </row>
    <row r="11" spans="2:28">
      <c r="B11" s="907"/>
      <c r="C11" s="908"/>
      <c r="D11" s="261"/>
      <c r="E11" s="909"/>
      <c r="F11" s="128">
        <f>G45-E21</f>
        <v>81</v>
      </c>
      <c r="G11" s="909"/>
      <c r="H11" s="284"/>
      <c r="I11" s="909"/>
      <c r="J11" s="129">
        <f>K45-I21</f>
        <v>93</v>
      </c>
      <c r="K11" s="909"/>
      <c r="M11" s="490">
        <f>AVERAGE(M13,M20,M24,M33,M39,M43,M51,M48)</f>
        <v>1</v>
      </c>
      <c r="N11" s="490">
        <f>AVERAGE(N13,N20,N24,N33,N39,N43,N51,N48)</f>
        <v>1</v>
      </c>
      <c r="O11" s="906"/>
      <c r="Z11" s="114"/>
      <c r="AA11" s="114"/>
      <c r="AB11" s="114"/>
    </row>
    <row r="12" spans="2:28" s="114" customFormat="1" ht="4.5" customHeight="1">
      <c r="B12" s="285"/>
      <c r="C12" s="261"/>
      <c r="D12" s="261"/>
      <c r="E12" s="286"/>
      <c r="F12" s="286"/>
      <c r="G12" s="287"/>
      <c r="H12" s="284"/>
      <c r="I12" s="288"/>
      <c r="J12" s="288"/>
      <c r="K12" s="289"/>
      <c r="Q12" s="3"/>
    </row>
    <row r="13" spans="2:28" s="116" customFormat="1">
      <c r="B13" s="290">
        <v>1</v>
      </c>
      <c r="C13" s="291" t="s">
        <v>123</v>
      </c>
      <c r="D13" s="265"/>
      <c r="E13" s="292">
        <v>45594</v>
      </c>
      <c r="F13" s="293">
        <v>25</v>
      </c>
      <c r="G13" s="292">
        <v>45619</v>
      </c>
      <c r="H13" s="266"/>
      <c r="I13" s="292">
        <f>MIN(I14:I18)</f>
        <v>45611</v>
      </c>
      <c r="J13" s="293">
        <v>25</v>
      </c>
      <c r="K13" s="292">
        <f>MAX(K14:K18)</f>
        <v>45685</v>
      </c>
      <c r="M13" s="489">
        <f>(J14*M14+J15*M15+J16*M16+J17*M17+J18*M18)/SUM(J14:J18)</f>
        <v>1</v>
      </c>
      <c r="N13" s="489">
        <f>(K14*N14+K15*N15+K16*N16+K17*N17+K18*N18)/SUM(K14:K18)</f>
        <v>1</v>
      </c>
      <c r="O13" s="121"/>
      <c r="P13" s="114"/>
      <c r="Q13" s="122"/>
    </row>
    <row r="14" spans="2:28" s="114" customFormat="1">
      <c r="B14" s="294" t="s">
        <v>124</v>
      </c>
      <c r="C14" s="295" t="s">
        <v>125</v>
      </c>
      <c r="D14" s="261"/>
      <c r="E14" s="296">
        <v>45611</v>
      </c>
      <c r="F14" s="297">
        <v>1</v>
      </c>
      <c r="G14" s="296">
        <f>WORKDAY.INTL(E14,F14,1,Data!$C$3:$C$26)</f>
        <v>45614</v>
      </c>
      <c r="H14" s="284"/>
      <c r="I14" s="296">
        <v>45611</v>
      </c>
      <c r="J14" s="297">
        <v>1</v>
      </c>
      <c r="K14" s="296">
        <f>WORKDAY.INTL(I14,J14,1,Data!$C$3:$C$26)</f>
        <v>45614</v>
      </c>
      <c r="M14" s="300">
        <v>1</v>
      </c>
      <c r="N14" s="300">
        <v>1</v>
      </c>
      <c r="O14" s="124"/>
      <c r="Q14" s="3"/>
    </row>
    <row r="15" spans="2:28" s="114" customFormat="1">
      <c r="B15" s="294" t="s">
        <v>126</v>
      </c>
      <c r="C15" s="295" t="s">
        <v>127</v>
      </c>
      <c r="D15" s="261"/>
      <c r="E15" s="296">
        <v>45673</v>
      </c>
      <c r="F15" s="297">
        <v>1</v>
      </c>
      <c r="G15" s="296">
        <f>WORKDAY.INTL(E15,F15,1,Data!$C$3:$C$26)</f>
        <v>45674</v>
      </c>
      <c r="H15" s="284"/>
      <c r="I15" s="296">
        <v>45673</v>
      </c>
      <c r="J15" s="297">
        <v>1</v>
      </c>
      <c r="K15" s="296">
        <f>WORKDAY.INTL(I15,J15,1,Data!$C$3:$C$26)</f>
        <v>45674</v>
      </c>
      <c r="M15" s="300">
        <v>1</v>
      </c>
      <c r="N15" s="300">
        <v>1</v>
      </c>
      <c r="O15" s="124"/>
      <c r="Q15" s="3"/>
    </row>
    <row r="16" spans="2:28" s="114" customFormat="1">
      <c r="B16" s="294" t="s">
        <v>128</v>
      </c>
      <c r="C16" s="295" t="s">
        <v>129</v>
      </c>
      <c r="D16" s="261"/>
      <c r="E16" s="296">
        <v>45667</v>
      </c>
      <c r="F16" s="297">
        <v>10</v>
      </c>
      <c r="G16" s="296">
        <f>WORKDAY.INTL(E16,F16,1,Data!$C$3:$C$26)</f>
        <v>45681</v>
      </c>
      <c r="H16" s="284"/>
      <c r="I16" s="296">
        <v>45667</v>
      </c>
      <c r="J16" s="297">
        <v>10</v>
      </c>
      <c r="K16" s="296">
        <f>WORKDAY.INTL(I16,J16,1,Data!$C$3:$C$26)</f>
        <v>45681</v>
      </c>
      <c r="M16" s="300">
        <v>1</v>
      </c>
      <c r="N16" s="300">
        <v>1</v>
      </c>
      <c r="O16" s="124"/>
      <c r="Q16" s="3"/>
    </row>
    <row r="17" spans="2:28" s="114" customFormat="1">
      <c r="B17" s="294" t="s">
        <v>130</v>
      </c>
      <c r="C17" s="295" t="s">
        <v>131</v>
      </c>
      <c r="D17" s="261"/>
      <c r="E17" s="296">
        <f>E21-7</f>
        <v>45684</v>
      </c>
      <c r="F17" s="297">
        <v>1</v>
      </c>
      <c r="G17" s="296">
        <f>WORKDAY.INTL(E17,F17,1,Data!$C$3:$C$26)</f>
        <v>45685</v>
      </c>
      <c r="H17" s="284"/>
      <c r="I17" s="296">
        <f>I21-7</f>
        <v>45684</v>
      </c>
      <c r="J17" s="297">
        <v>1</v>
      </c>
      <c r="K17" s="296">
        <f>WORKDAY.INTL(I17,J17,1,Data!$C$3:$C$26)</f>
        <v>45685</v>
      </c>
      <c r="M17" s="300">
        <v>1</v>
      </c>
      <c r="N17" s="300">
        <v>1</v>
      </c>
      <c r="O17" s="124"/>
      <c r="Q17" s="3"/>
    </row>
    <row r="18" spans="2:28" s="114" customFormat="1">
      <c r="B18" s="294" t="s">
        <v>132</v>
      </c>
      <c r="C18" s="295" t="s">
        <v>133</v>
      </c>
      <c r="D18" s="261"/>
      <c r="E18" s="296">
        <v>45679</v>
      </c>
      <c r="F18" s="297">
        <v>1</v>
      </c>
      <c r="G18" s="296">
        <f>WORKDAY.INTL(E18,F18,1,Data!$C$3:$C$26)</f>
        <v>45680</v>
      </c>
      <c r="H18" s="284"/>
      <c r="I18" s="296">
        <v>45679</v>
      </c>
      <c r="J18" s="297">
        <v>1</v>
      </c>
      <c r="K18" s="296">
        <f>WORKDAY.INTL(I18,J18,1,Data!$C$3:$C$26)</f>
        <v>45680</v>
      </c>
      <c r="M18" s="300">
        <v>1</v>
      </c>
      <c r="N18" s="300">
        <v>1</v>
      </c>
      <c r="O18" s="124"/>
      <c r="Q18" s="3"/>
    </row>
    <row r="19" spans="2:28" s="114" customFormat="1" ht="7.5" customHeight="1">
      <c r="B19" s="285"/>
      <c r="C19" s="261"/>
      <c r="D19" s="261"/>
      <c r="E19" s="286"/>
      <c r="F19" s="286"/>
      <c r="G19" s="286"/>
      <c r="H19" s="284"/>
      <c r="I19" s="286"/>
      <c r="J19" s="286"/>
      <c r="K19" s="286"/>
      <c r="Q19" s="3"/>
    </row>
    <row r="20" spans="2:28" s="116" customFormat="1">
      <c r="B20" s="290">
        <v>2</v>
      </c>
      <c r="C20" s="291" t="s">
        <v>134</v>
      </c>
      <c r="D20" s="265"/>
      <c r="E20" s="292">
        <f>MIN(E21:E23)</f>
        <v>45684</v>
      </c>
      <c r="F20" s="293">
        <f>G20-E20</f>
        <v>8</v>
      </c>
      <c r="G20" s="292">
        <f>MAX(G21)</f>
        <v>45692</v>
      </c>
      <c r="H20" s="266"/>
      <c r="I20" s="292">
        <f>MIN(I21:I23)</f>
        <v>45684</v>
      </c>
      <c r="J20" s="293">
        <f>K20-I20</f>
        <v>9</v>
      </c>
      <c r="K20" s="292">
        <f>MAX(K21)</f>
        <v>45693</v>
      </c>
      <c r="M20" s="489">
        <v>1</v>
      </c>
      <c r="N20" s="489">
        <v>1</v>
      </c>
      <c r="O20" s="121"/>
      <c r="P20" s="114"/>
      <c r="Q20" s="125"/>
      <c r="R20" s="120"/>
      <c r="S20" s="120"/>
      <c r="T20" s="120"/>
      <c r="U20" s="120"/>
      <c r="V20" s="120"/>
      <c r="W20" s="120"/>
      <c r="X20" s="120"/>
      <c r="Y20" s="123"/>
      <c r="Z20" s="120"/>
      <c r="AA20" s="120"/>
      <c r="AB20" s="120"/>
    </row>
    <row r="21" spans="2:28" s="114" customFormat="1">
      <c r="B21" s="294" t="s">
        <v>135</v>
      </c>
      <c r="C21" s="295" t="s">
        <v>136</v>
      </c>
      <c r="D21" s="261"/>
      <c r="E21" s="647">
        <v>45691</v>
      </c>
      <c r="F21" s="297">
        <v>1</v>
      </c>
      <c r="G21" s="296">
        <f>WORKDAY.INTL(E21,F21,1,Data!$C$3:$C$26)</f>
        <v>45692</v>
      </c>
      <c r="H21" s="284"/>
      <c r="I21" s="647">
        <v>45691</v>
      </c>
      <c r="J21" s="297">
        <v>2</v>
      </c>
      <c r="K21" s="296">
        <f>WORKDAY.INTL(I21,J21,1,Data!$C$3:$C$26)</f>
        <v>45693</v>
      </c>
      <c r="M21" s="300">
        <v>1</v>
      </c>
      <c r="N21" s="300">
        <v>1</v>
      </c>
      <c r="O21" s="124"/>
      <c r="Q21" s="126"/>
      <c r="R21" s="123"/>
      <c r="S21" s="123">
        <f>NETWORKDAYS(I21,K53)</f>
        <v>155</v>
      </c>
      <c r="T21" s="123"/>
      <c r="U21" s="123"/>
      <c r="V21" s="123"/>
      <c r="W21" s="123"/>
      <c r="X21" s="123"/>
      <c r="Z21" s="123"/>
      <c r="AA21" s="123"/>
      <c r="AB21" s="123"/>
    </row>
    <row r="22" spans="2:28" s="114" customFormat="1">
      <c r="B22" s="294" t="s">
        <v>137</v>
      </c>
      <c r="C22" s="295" t="s">
        <v>138</v>
      </c>
      <c r="D22" s="261"/>
      <c r="E22" s="647">
        <v>45684</v>
      </c>
      <c r="F22" s="297">
        <v>30</v>
      </c>
      <c r="G22" s="296">
        <f>WORKDAY.INTL(E22,F22,1,Data!$C$3:$C$26)</f>
        <v>45726</v>
      </c>
      <c r="H22" s="284"/>
      <c r="I22" s="647">
        <v>45684</v>
      </c>
      <c r="J22" s="297">
        <v>40</v>
      </c>
      <c r="K22" s="296">
        <f>WORKDAY.INTL(I22,J22,1,Data!$C$3:$C$26)</f>
        <v>45741</v>
      </c>
      <c r="M22" s="300">
        <v>1</v>
      </c>
      <c r="N22" s="300">
        <v>1</v>
      </c>
      <c r="O22" s="124"/>
      <c r="Q22" s="126"/>
      <c r="R22" s="123"/>
      <c r="S22" s="123">
        <f>NETWORKDAYS(I22,K54)</f>
        <v>160</v>
      </c>
      <c r="T22" s="123"/>
      <c r="U22" s="123"/>
      <c r="V22" s="123"/>
      <c r="W22" s="123"/>
      <c r="X22" s="123"/>
      <c r="Z22" s="123"/>
      <c r="AA22" s="123"/>
      <c r="AB22" s="123"/>
    </row>
    <row r="23" spans="2:28" s="114" customFormat="1" ht="6.75" customHeight="1">
      <c r="B23" s="298"/>
      <c r="C23" s="263"/>
      <c r="D23" s="261"/>
      <c r="E23" s="296"/>
      <c r="F23" s="297"/>
      <c r="G23" s="296"/>
      <c r="H23" s="284"/>
      <c r="I23" s="296"/>
      <c r="J23" s="297"/>
      <c r="K23" s="296"/>
      <c r="M23" s="127"/>
      <c r="N23" s="127"/>
      <c r="O23" s="121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6" customFormat="1">
      <c r="B24" s="290">
        <v>3</v>
      </c>
      <c r="C24" s="291" t="s">
        <v>139</v>
      </c>
      <c r="D24" s="265"/>
      <c r="E24" s="292">
        <f>MIN(E25:E31)</f>
        <v>45672</v>
      </c>
      <c r="F24" s="293">
        <f>G24-E24</f>
        <v>84</v>
      </c>
      <c r="G24" s="292">
        <f>MAX(G25:G31)</f>
        <v>45756</v>
      </c>
      <c r="H24" s="299"/>
      <c r="I24" s="292">
        <f>MIN(I25:I31)</f>
        <v>45672</v>
      </c>
      <c r="J24" s="293">
        <f>K24-I24</f>
        <v>90</v>
      </c>
      <c r="K24" s="292">
        <f>MAX(K25:K31)</f>
        <v>45762</v>
      </c>
      <c r="M24" s="489">
        <f>(J25*M25+J26*M26+J27*M26+J28*M28+J29*M29+J30*M30+J31*M31)/SUM(J25:J31)</f>
        <v>1</v>
      </c>
      <c r="N24" s="489">
        <f>(K25*N25+K26*N26+K27*N26+K28*N28+K29*N29+K30*N30+K31*N31)/SUM(K25:K31)</f>
        <v>1</v>
      </c>
      <c r="O24" s="121"/>
      <c r="P24" s="114"/>
      <c r="Q24" s="125"/>
      <c r="R24" s="120"/>
      <c r="S24" s="120">
        <f>S21/5</f>
        <v>31</v>
      </c>
      <c r="T24" s="120"/>
      <c r="U24" s="120"/>
      <c r="V24" s="120"/>
      <c r="W24" s="120"/>
      <c r="X24" s="120"/>
      <c r="Y24" s="120"/>
      <c r="Z24" s="120"/>
      <c r="AA24" s="120"/>
      <c r="AB24" s="120"/>
    </row>
    <row r="25" spans="2:28" s="114" customFormat="1">
      <c r="B25" s="294" t="s">
        <v>140</v>
      </c>
      <c r="C25" s="295" t="s">
        <v>141</v>
      </c>
      <c r="D25" s="261"/>
      <c r="E25" s="296">
        <f>WORKDAY.INTL(G22,0,1,Data!$C$3:$C$26)-14</f>
        <v>45712</v>
      </c>
      <c r="F25" s="297">
        <v>1</v>
      </c>
      <c r="G25" s="296">
        <f>WORKDAY.INTL(E25,F25,1,Data!$C$3:$C$26)</f>
        <v>45713</v>
      </c>
      <c r="H25" s="284"/>
      <c r="I25" s="296">
        <v>45708</v>
      </c>
      <c r="J25" s="297">
        <v>1</v>
      </c>
      <c r="K25" s="296">
        <f>WORKDAY.INTL(I25,J25,1,Data!$C$3:$C$26)</f>
        <v>45709</v>
      </c>
      <c r="M25" s="300">
        <v>1</v>
      </c>
      <c r="N25" s="300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>
      <c r="B26" s="294" t="s">
        <v>142</v>
      </c>
      <c r="C26" s="295" t="s">
        <v>143</v>
      </c>
      <c r="D26" s="261"/>
      <c r="E26" s="296">
        <f>E25</f>
        <v>45712</v>
      </c>
      <c r="F26" s="297">
        <v>1</v>
      </c>
      <c r="G26" s="296">
        <f>WORKDAY.INTL(E26,F26,1,Data!$C$3:$C$26)</f>
        <v>45713</v>
      </c>
      <c r="H26" s="284"/>
      <c r="I26" s="296">
        <v>45729</v>
      </c>
      <c r="J26" s="297">
        <v>1</v>
      </c>
      <c r="K26" s="296">
        <f>WORKDAY.INTL(I26,J26,1,Data!$C$3:$C$26)</f>
        <v>45730</v>
      </c>
      <c r="M26" s="300">
        <v>1</v>
      </c>
      <c r="N26" s="300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>
      <c r="B27" s="294" t="s">
        <v>144</v>
      </c>
      <c r="C27" s="295" t="s">
        <v>145</v>
      </c>
      <c r="D27" s="261"/>
      <c r="E27" s="296">
        <v>45672</v>
      </c>
      <c r="F27" s="297">
        <v>30</v>
      </c>
      <c r="G27" s="296">
        <f>WORKDAY.INTL(E27,F27,1,Data!$C$3:$C$26)</f>
        <v>45714</v>
      </c>
      <c r="H27" s="284"/>
      <c r="I27" s="296">
        <v>45672</v>
      </c>
      <c r="J27" s="297">
        <v>41</v>
      </c>
      <c r="K27" s="296">
        <f>WORKDAY.INTL(I27,J27,1,Data!$C$3:$C$26)</f>
        <v>45729</v>
      </c>
      <c r="M27" s="300">
        <v>1</v>
      </c>
      <c r="N27" s="300">
        <v>1</v>
      </c>
      <c r="O27" s="124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4" customFormat="1">
      <c r="B28" s="294" t="s">
        <v>146</v>
      </c>
      <c r="C28" s="295" t="s">
        <v>147</v>
      </c>
      <c r="D28" s="261"/>
      <c r="E28" s="296">
        <f>WORKDAY.INTL(G25,0,1,Data!$C$3:$C$26)</f>
        <v>45713</v>
      </c>
      <c r="F28" s="297">
        <v>10</v>
      </c>
      <c r="G28" s="296">
        <f>WORKDAY.INTL(E28,F28,1,Data!$C$3:$C$26)</f>
        <v>45727</v>
      </c>
      <c r="H28" s="284"/>
      <c r="I28" s="296">
        <f>WORKDAY.INTL(K26,0,1,Data!$C$3:$C$26)</f>
        <v>45730</v>
      </c>
      <c r="J28" s="297">
        <v>1</v>
      </c>
      <c r="K28" s="296">
        <f>WORKDAY.INTL(I28,J28,1,Data!$C$3:$C$26)</f>
        <v>45733</v>
      </c>
      <c r="M28" s="300">
        <v>1</v>
      </c>
      <c r="N28" s="300">
        <v>1</v>
      </c>
      <c r="O28" s="124"/>
      <c r="Q28" s="126"/>
      <c r="R28" s="123"/>
      <c r="S28" s="123">
        <f>E3/S24</f>
        <v>12.903225806451612</v>
      </c>
      <c r="T28" s="123"/>
      <c r="U28" s="123"/>
      <c r="V28" s="123"/>
      <c r="W28" s="123"/>
      <c r="X28" s="123"/>
      <c r="Y28" s="123"/>
      <c r="Z28" s="123"/>
      <c r="AA28" s="123"/>
      <c r="AB28" s="123"/>
    </row>
    <row r="29" spans="2:28" s="114" customFormat="1">
      <c r="B29" s="294" t="s">
        <v>148</v>
      </c>
      <c r="C29" s="295" t="s">
        <v>149</v>
      </c>
      <c r="D29" s="261"/>
      <c r="E29" s="296">
        <f>WORKDAY.INTL(E17,0,1,Data!$C$3:$C$26)</f>
        <v>45684</v>
      </c>
      <c r="F29" s="297">
        <v>30</v>
      </c>
      <c r="G29" s="296">
        <f>WORKDAY.INTL(E29,F29,1,Data!$C$3:$C$26)</f>
        <v>45726</v>
      </c>
      <c r="H29" s="284"/>
      <c r="I29" s="296">
        <f>WORKDAY.INTL(I17,0,1,Data!$C$3:$C$26)</f>
        <v>45684</v>
      </c>
      <c r="J29" s="297">
        <v>40</v>
      </c>
      <c r="K29" s="296">
        <f>WORKDAY.INTL(I29,J29,1,Data!$C$3:$C$26)</f>
        <v>45741</v>
      </c>
      <c r="M29" s="300">
        <v>1</v>
      </c>
      <c r="N29" s="300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>
      <c r="B30" s="294" t="s">
        <v>150</v>
      </c>
      <c r="C30" s="295" t="s">
        <v>40</v>
      </c>
      <c r="D30" s="261"/>
      <c r="E30" s="296">
        <f>WORKDAY.INTL(G28,0,1,Data!$C$3:$C$26)</f>
        <v>45727</v>
      </c>
      <c r="F30" s="297">
        <v>20</v>
      </c>
      <c r="G30" s="296">
        <f>WORKDAY.INTL(E30,F30,1,Data!$C$3:$C$26)</f>
        <v>45756</v>
      </c>
      <c r="H30" s="284"/>
      <c r="I30" s="296">
        <f>WORKDAY.INTL(K28,0,1,Data!$C$3:$C$26)</f>
        <v>45733</v>
      </c>
      <c r="J30" s="297">
        <v>20</v>
      </c>
      <c r="K30" s="296">
        <f>WORKDAY.INTL(I30,J30,1,Data!$C$3:$C$26)</f>
        <v>45762</v>
      </c>
      <c r="M30" s="300">
        <v>1</v>
      </c>
      <c r="N30" s="300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294" t="s">
        <v>151</v>
      </c>
      <c r="C31" s="295" t="s">
        <v>152</v>
      </c>
      <c r="D31" s="261"/>
      <c r="E31" s="296">
        <f>WORKDAY.INTL(G30,0,1,Data!$C$3:$C$26)-7</f>
        <v>45749</v>
      </c>
      <c r="F31" s="297">
        <v>3</v>
      </c>
      <c r="G31" s="296">
        <f>WORKDAY.INTL(E31,F31,1,Data!$C$3:$C$26)</f>
        <v>45754</v>
      </c>
      <c r="H31" s="284"/>
      <c r="I31" s="296">
        <f>WORKDAY.INTL(K30,0,1,Data!$C$3:$C$26)-7</f>
        <v>45755</v>
      </c>
      <c r="J31" s="297">
        <v>1</v>
      </c>
      <c r="K31" s="296">
        <f>WORKDAY.INTL(I31,J31,1,Data!$C$3:$C$26)</f>
        <v>45756</v>
      </c>
      <c r="M31" s="300">
        <v>1</v>
      </c>
      <c r="N31" s="300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 ht="4.5" customHeight="1">
      <c r="B32" s="298"/>
      <c r="C32" s="263"/>
      <c r="D32" s="261"/>
      <c r="E32" s="296"/>
      <c r="F32" s="297"/>
      <c r="G32" s="296"/>
      <c r="H32" s="284"/>
      <c r="I32" s="296"/>
      <c r="J32" s="297"/>
      <c r="K32" s="296"/>
      <c r="M32" s="127"/>
      <c r="N32" s="127"/>
      <c r="O32" s="121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6" customFormat="1">
      <c r="B33" s="290">
        <v>4</v>
      </c>
      <c r="C33" s="291" t="s">
        <v>34</v>
      </c>
      <c r="D33" s="265"/>
      <c r="E33" s="292">
        <f>MIN(E34:E37)</f>
        <v>45691</v>
      </c>
      <c r="F33" s="293">
        <f>G33-E33</f>
        <v>28</v>
      </c>
      <c r="G33" s="292">
        <f>MAX(G34:G37)</f>
        <v>45719</v>
      </c>
      <c r="H33" s="299"/>
      <c r="I33" s="292">
        <f>MIN(I34:I37)</f>
        <v>45700</v>
      </c>
      <c r="J33" s="293">
        <f>K33-I33</f>
        <v>64</v>
      </c>
      <c r="K33" s="292">
        <f>MAX(K34:K37)</f>
        <v>45764</v>
      </c>
      <c r="M33" s="489">
        <v>1</v>
      </c>
      <c r="N33" s="489">
        <v>1</v>
      </c>
      <c r="O33" s="121"/>
      <c r="P33" s="114"/>
      <c r="Q33" s="125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</row>
    <row r="34" spans="2:28" s="114" customFormat="1">
      <c r="B34" s="294" t="s">
        <v>153</v>
      </c>
      <c r="C34" s="295" t="s">
        <v>154</v>
      </c>
      <c r="D34" s="261"/>
      <c r="E34" s="296">
        <f>WORKDAY.INTL(E21,0,1,Data!$C$3:$C$26)</f>
        <v>45691</v>
      </c>
      <c r="F34" s="297">
        <v>1</v>
      </c>
      <c r="G34" s="296">
        <f>WORKDAY.INTL(E34,F34,1,Data!$C$3:$C$26)</f>
        <v>45692</v>
      </c>
      <c r="H34" s="284"/>
      <c r="I34" s="296">
        <v>45700</v>
      </c>
      <c r="J34" s="297">
        <v>1</v>
      </c>
      <c r="K34" s="296">
        <f>WORKDAY.INTL(I34,J34,1,Data!$C$3:$C$26)</f>
        <v>45701</v>
      </c>
      <c r="M34" s="300">
        <v>1</v>
      </c>
      <c r="N34" s="300">
        <v>1</v>
      </c>
      <c r="O34" s="124"/>
      <c r="Q34" s="126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</row>
    <row r="35" spans="2:28" s="114" customFormat="1">
      <c r="B35" s="294" t="s">
        <v>155</v>
      </c>
      <c r="C35" s="295" t="s">
        <v>156</v>
      </c>
      <c r="D35" s="261"/>
      <c r="E35" s="296">
        <f>WORKDAY.INTL(G34,0,1,Data!$C$3:$C$26)</f>
        <v>45692</v>
      </c>
      <c r="F35" s="297">
        <v>12</v>
      </c>
      <c r="G35" s="296">
        <f>WORKDAY.INTL(E35,F35,1,Data!$C$3:$C$26)</f>
        <v>45708</v>
      </c>
      <c r="H35" s="284"/>
      <c r="I35" s="296">
        <f>WORKDAY.INTL(K34,0,1,Data!$C$3:$C$26)</f>
        <v>45701</v>
      </c>
      <c r="J35" s="297">
        <v>12</v>
      </c>
      <c r="K35" s="296">
        <f>WORKDAY.INTL(I35,J35,1,Data!$C$3:$C$26)</f>
        <v>45719</v>
      </c>
      <c r="M35" s="300">
        <v>1</v>
      </c>
      <c r="N35" s="300">
        <v>1</v>
      </c>
      <c r="O35" s="124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4" customFormat="1">
      <c r="B36" s="294" t="s">
        <v>157</v>
      </c>
      <c r="C36" s="295" t="s">
        <v>158</v>
      </c>
      <c r="D36" s="261"/>
      <c r="E36" s="296">
        <f>WORKDAY.INTL(E21,0,1,Data!$C$3:$C$26)</f>
        <v>45691</v>
      </c>
      <c r="F36" s="297">
        <v>1</v>
      </c>
      <c r="G36" s="296">
        <f>WORKDAY.INTL(E36,F36,1,Data!$C$3:$C$26)</f>
        <v>45692</v>
      </c>
      <c r="H36" s="284"/>
      <c r="I36" s="296">
        <v>45708</v>
      </c>
      <c r="J36" s="297">
        <v>1</v>
      </c>
      <c r="K36" s="296">
        <f>WORKDAY.INTL(I36,J36,1,Data!$C$3:$C$26)</f>
        <v>45709</v>
      </c>
      <c r="M36" s="300">
        <v>1</v>
      </c>
      <c r="N36" s="300"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>
      <c r="B37" s="294" t="s">
        <v>159</v>
      </c>
      <c r="C37" s="295" t="s">
        <v>160</v>
      </c>
      <c r="D37" s="261"/>
      <c r="E37" s="296">
        <f>WORKDAY.INTL(G36,0,1,Data!$C$3:$C$26)</f>
        <v>45692</v>
      </c>
      <c r="F37" s="297">
        <v>19</v>
      </c>
      <c r="G37" s="296">
        <f>WORKDAY.INTL(E37,F37,1,Data!$C$3:$C$26)</f>
        <v>45719</v>
      </c>
      <c r="H37" s="284"/>
      <c r="I37" s="296">
        <f>WORKDAY.INTL(K41,0,1,Data!$C$3:$C$26)-10</f>
        <v>45738</v>
      </c>
      <c r="J37" s="297">
        <v>19</v>
      </c>
      <c r="K37" s="296">
        <f>WORKDAY.INTL(I37,J37,1,Data!$C$3:$C$26)</f>
        <v>45764</v>
      </c>
      <c r="M37" s="300">
        <v>1</v>
      </c>
      <c r="N37" s="300">
        <v>1</v>
      </c>
      <c r="O37" s="124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4" customFormat="1" ht="4.5" customHeight="1">
      <c r="B38" s="298"/>
      <c r="C38" s="263"/>
      <c r="D38" s="261"/>
      <c r="E38" s="296"/>
      <c r="F38" s="297"/>
      <c r="G38" s="296"/>
      <c r="H38" s="284"/>
      <c r="I38" s="296"/>
      <c r="J38" s="297"/>
      <c r="K38" s="296"/>
      <c r="M38" s="127"/>
      <c r="N38" s="127"/>
      <c r="O38" s="121"/>
      <c r="Q38" s="126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</row>
    <row r="39" spans="2:28" s="116" customFormat="1">
      <c r="B39" s="290">
        <v>5</v>
      </c>
      <c r="C39" s="291" t="s">
        <v>161</v>
      </c>
      <c r="D39" s="265"/>
      <c r="E39" s="292">
        <f>MIN(E40:E41)</f>
        <v>45691</v>
      </c>
      <c r="F39" s="293">
        <f>G39-E39</f>
        <v>53</v>
      </c>
      <c r="G39" s="292">
        <f>MAX(G40:G41)</f>
        <v>45744</v>
      </c>
      <c r="H39" s="266"/>
      <c r="I39" s="292">
        <f>MIN(I40:I41)</f>
        <v>45708</v>
      </c>
      <c r="J39" s="293">
        <f>K39-I39</f>
        <v>40</v>
      </c>
      <c r="K39" s="292">
        <f>MAX(K40:K41)</f>
        <v>45748</v>
      </c>
      <c r="M39" s="489">
        <f>(J40*M40+J41*M41)/SUM(J40:J41)</f>
        <v>1</v>
      </c>
      <c r="N39" s="489">
        <f>(K40*N40+K41*N41)/SUM(K40:K41)</f>
        <v>1</v>
      </c>
      <c r="O39" s="121"/>
      <c r="P39" s="114"/>
      <c r="Q39" s="125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</row>
    <row r="40" spans="2:28" s="114" customFormat="1">
      <c r="B40" s="294" t="s">
        <v>162</v>
      </c>
      <c r="C40" s="295" t="s">
        <v>163</v>
      </c>
      <c r="D40" s="261"/>
      <c r="E40" s="647">
        <f>E21</f>
        <v>45691</v>
      </c>
      <c r="F40" s="297">
        <v>1</v>
      </c>
      <c r="G40" s="296">
        <f>WORKDAY.INTL(E40,F40,1,Data!$C$3:$C$26)</f>
        <v>45692</v>
      </c>
      <c r="H40" s="284"/>
      <c r="I40" s="647">
        <v>45708</v>
      </c>
      <c r="J40" s="297">
        <v>1</v>
      </c>
      <c r="K40" s="296">
        <f>WORKDAY.INTL(I40,J40,1,Data!$C$3:$C$26)</f>
        <v>45709</v>
      </c>
      <c r="M40" s="300">
        <v>1</v>
      </c>
      <c r="N40" s="300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>
      <c r="B41" s="294" t="s">
        <v>164</v>
      </c>
      <c r="C41" s="295" t="s">
        <v>165</v>
      </c>
      <c r="D41" s="261"/>
      <c r="E41" s="296">
        <f>WORKDAY.INTL(G35,0,1,Data!$C$3:$C$26)-7</f>
        <v>45701</v>
      </c>
      <c r="F41" s="297">
        <v>30</v>
      </c>
      <c r="G41" s="296">
        <f>WORKDAY.INTL(E41,F41,1,Data!$C$3:$C$26)</f>
        <v>45744</v>
      </c>
      <c r="H41" s="284"/>
      <c r="I41" s="296">
        <f>WORKDAY.INTL(K35,0,1,Data!$C$3:$C$26)-7</f>
        <v>45712</v>
      </c>
      <c r="J41" s="297">
        <v>25</v>
      </c>
      <c r="K41" s="296">
        <f>WORKDAY.INTL(I41,J41,1,Data!$C$3:$C$26)</f>
        <v>45748</v>
      </c>
      <c r="M41" s="300">
        <v>1</v>
      </c>
      <c r="N41" s="300">
        <v>1</v>
      </c>
      <c r="O41" s="124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4" customFormat="1" ht="4.5" customHeight="1">
      <c r="B42" s="285"/>
      <c r="C42" s="261"/>
      <c r="D42" s="261"/>
      <c r="E42" s="297"/>
      <c r="F42" s="286"/>
      <c r="G42" s="297"/>
      <c r="H42" s="284"/>
      <c r="I42" s="297"/>
      <c r="J42" s="286"/>
      <c r="K42" s="297"/>
      <c r="L42" s="123"/>
      <c r="M42" s="123"/>
      <c r="N42" s="123"/>
      <c r="O42" s="123"/>
      <c r="Q42" s="126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</row>
    <row r="43" spans="2:28" s="116" customFormat="1">
      <c r="B43" s="290">
        <v>6</v>
      </c>
      <c r="C43" s="291" t="s">
        <v>166</v>
      </c>
      <c r="D43" s="265"/>
      <c r="E43" s="292">
        <f>MIN(E44:E45)</f>
        <v>45756</v>
      </c>
      <c r="F43" s="293">
        <f>G43-E43</f>
        <v>16</v>
      </c>
      <c r="G43" s="292">
        <f>MAX(G44:G45)</f>
        <v>45772</v>
      </c>
      <c r="H43" s="266"/>
      <c r="I43" s="292">
        <f>MIN(I44:I45)</f>
        <v>45764</v>
      </c>
      <c r="J43" s="293">
        <f>K43-I43</f>
        <v>20</v>
      </c>
      <c r="K43" s="292">
        <f>MAX(K44:K45)</f>
        <v>45784</v>
      </c>
      <c r="M43" s="489">
        <f>(J44*M44+J45*M45)/SUM(J44:J45)</f>
        <v>1</v>
      </c>
      <c r="N43" s="489">
        <f>(K44*N44+K45*N45)/SUM(K44:K45)</f>
        <v>1</v>
      </c>
      <c r="O43" s="121"/>
      <c r="P43" s="114"/>
      <c r="Q43" s="125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</row>
    <row r="44" spans="2:28" s="114" customFormat="1">
      <c r="B44" s="294" t="s">
        <v>167</v>
      </c>
      <c r="C44" s="289" t="s">
        <v>166</v>
      </c>
      <c r="D44" s="261"/>
      <c r="E44" s="296">
        <f>WORKDAY.INTL(MAX(G24,G33,G39),0,1,Data!$C$3:$C$26)</f>
        <v>45756</v>
      </c>
      <c r="F44" s="297">
        <v>5</v>
      </c>
      <c r="G44" s="296">
        <f>WORKDAY.INTL(E44,F44,1,Data!$C$3:$C$26)</f>
        <v>45763</v>
      </c>
      <c r="H44" s="262"/>
      <c r="I44" s="296">
        <f>WORKDAY.INTL(MAX(K24,K33,K39),0,1,Data!$C$3:$C$26)</f>
        <v>45764</v>
      </c>
      <c r="J44" s="297">
        <v>5</v>
      </c>
      <c r="K44" s="296">
        <f>WORKDAY.INTL(I44,J44,1,Data!$C$3:$C$26)</f>
        <v>45776</v>
      </c>
      <c r="M44" s="300">
        <v>1</v>
      </c>
      <c r="N44" s="300">
        <v>1</v>
      </c>
      <c r="O44" s="124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4" customFormat="1">
      <c r="B45" s="294" t="s">
        <v>168</v>
      </c>
      <c r="C45" s="289" t="s">
        <v>169</v>
      </c>
      <c r="D45" s="261"/>
      <c r="E45" s="296">
        <f>WORKDAY.INTL(G44,0,1,Data!$C$3:$C$26)</f>
        <v>45763</v>
      </c>
      <c r="F45" s="297">
        <v>5</v>
      </c>
      <c r="G45" s="296">
        <f>WORKDAY.INTL(E45,F45,1,Data!$C$3:$C$26)</f>
        <v>45772</v>
      </c>
      <c r="H45" s="284"/>
      <c r="I45" s="296">
        <f>WORKDAY.INTL(K44,0,1,Data!$C$3:$C$26)</f>
        <v>45776</v>
      </c>
      <c r="J45" s="297">
        <v>5</v>
      </c>
      <c r="K45" s="296">
        <f>WORKDAY.INTL(I45,J45,1,Data!$C$3:$C$26)</f>
        <v>45784</v>
      </c>
      <c r="M45" s="300">
        <v>1</v>
      </c>
      <c r="N45" s="300">
        <v>1</v>
      </c>
      <c r="O45" s="124"/>
      <c r="Q45" s="126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</row>
    <row r="46" spans="2:28" s="114" customFormat="1">
      <c r="B46" s="294" t="s">
        <v>170</v>
      </c>
      <c r="C46" s="289" t="s">
        <v>171</v>
      </c>
      <c r="D46" s="261"/>
      <c r="E46" s="296">
        <f>WORKDAY.INTL(G45,0,1,Data!$C$3:$C$26)</f>
        <v>45772</v>
      </c>
      <c r="F46" s="297">
        <v>10</v>
      </c>
      <c r="G46" s="296">
        <f>WORKDAY.INTL(E46,F46,1,Data!$C$3:$C$26)</f>
        <v>45790</v>
      </c>
      <c r="H46" s="284"/>
      <c r="I46" s="296">
        <f>WORKDAY.INTL(K45,0,1,Data!$C$3:$C$26)</f>
        <v>45784</v>
      </c>
      <c r="J46" s="297">
        <v>15</v>
      </c>
      <c r="K46" s="296">
        <f>WORKDAY.INTL(I46,J46,1,Data!$C$3:$C$26)</f>
        <v>45805</v>
      </c>
      <c r="M46" s="300">
        <v>1</v>
      </c>
      <c r="N46" s="300">
        <v>1</v>
      </c>
      <c r="O46" s="124"/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 ht="4.5" customHeight="1">
      <c r="B47" s="285"/>
      <c r="C47" s="261"/>
      <c r="D47" s="261"/>
      <c r="E47" s="297"/>
      <c r="F47" s="286"/>
      <c r="G47" s="297"/>
      <c r="H47" s="284"/>
      <c r="I47" s="297"/>
      <c r="J47" s="286"/>
      <c r="K47" s="297"/>
      <c r="L47" s="123"/>
      <c r="M47" s="123"/>
      <c r="N47" s="123"/>
      <c r="O47" s="123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6" customFormat="1">
      <c r="B48" s="290">
        <v>7</v>
      </c>
      <c r="C48" s="291" t="s">
        <v>172</v>
      </c>
      <c r="D48" s="265"/>
      <c r="E48" s="292">
        <f>MIN(E49)</f>
        <v>45756</v>
      </c>
      <c r="F48" s="293">
        <f>G48-E48</f>
        <v>14</v>
      </c>
      <c r="G48" s="292">
        <f>MAX(G49)</f>
        <v>45770</v>
      </c>
      <c r="H48" s="266"/>
      <c r="I48" s="292">
        <f>MIN(I49)</f>
        <v>45784</v>
      </c>
      <c r="J48" s="293">
        <f>K48-I48</f>
        <v>19</v>
      </c>
      <c r="K48" s="292">
        <f>MAX(K49)</f>
        <v>45803</v>
      </c>
      <c r="M48" s="489">
        <f>(J49*M49)/SUM(J49)</f>
        <v>1</v>
      </c>
      <c r="N48" s="489">
        <f>(K49*N49)/SUM(K49)</f>
        <v>1</v>
      </c>
      <c r="O48" s="121"/>
      <c r="P48" s="114"/>
      <c r="Q48" s="125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</row>
    <row r="49" spans="2:28">
      <c r="B49" s="294">
        <v>7.1</v>
      </c>
      <c r="C49" s="289" t="s">
        <v>173</v>
      </c>
      <c r="D49" s="261"/>
      <c r="E49" s="296">
        <f>WORKDAY.INTL(E44,0,1,Data!$C$3:$C$26)</f>
        <v>45756</v>
      </c>
      <c r="F49" s="297">
        <v>8</v>
      </c>
      <c r="G49" s="296">
        <f>WORKDAY.INTL(E49,F49,1,Data!$C$3:$C$26)</f>
        <v>45770</v>
      </c>
      <c r="H49" s="284"/>
      <c r="I49" s="296">
        <f>WORKDAY.INTL(K45,0,1,Data!$C$3:$C$26)</f>
        <v>45784</v>
      </c>
      <c r="J49" s="297">
        <v>13</v>
      </c>
      <c r="K49" s="296">
        <f>WORKDAY.INTL(I49,J49,1,Data!$C$3:$C$26)</f>
        <v>45803</v>
      </c>
      <c r="M49" s="300">
        <v>1</v>
      </c>
      <c r="N49" s="300">
        <v>1</v>
      </c>
      <c r="O49" s="124"/>
      <c r="Y49" s="24"/>
    </row>
    <row r="50" spans="2:28" s="114" customFormat="1" ht="4.5" customHeight="1">
      <c r="B50" s="285"/>
      <c r="C50" s="261"/>
      <c r="D50" s="261"/>
      <c r="E50" s="297"/>
      <c r="F50" s="286"/>
      <c r="G50" s="297"/>
      <c r="H50" s="284"/>
      <c r="I50" s="297"/>
      <c r="J50" s="286"/>
      <c r="K50" s="297"/>
      <c r="L50" s="123"/>
      <c r="M50" s="123"/>
      <c r="N50" s="123"/>
      <c r="O50" s="123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6" customFormat="1">
      <c r="B51" s="290">
        <v>8</v>
      </c>
      <c r="C51" s="291" t="s">
        <v>174</v>
      </c>
      <c r="D51" s="265"/>
      <c r="E51" s="292">
        <f>MIN(E52:E57)</f>
        <v>45752</v>
      </c>
      <c r="F51" s="293">
        <f>G51-E51</f>
        <v>37</v>
      </c>
      <c r="G51" s="292">
        <f>MAX(G52:G57)</f>
        <v>45789</v>
      </c>
      <c r="H51" s="266"/>
      <c r="I51" s="292">
        <f>MIN(I52:I57)</f>
        <v>45780</v>
      </c>
      <c r="J51" s="293">
        <f>K51-I51</f>
        <v>131</v>
      </c>
      <c r="K51" s="292">
        <f>MAX(K52:K57)</f>
        <v>45911</v>
      </c>
      <c r="M51" s="489">
        <f>(J52*M52+J53*M53+J54*M54+J55*M55+J56*M56+J57*M57)/SUM(J52:J57)</f>
        <v>1</v>
      </c>
      <c r="N51" s="489">
        <f>(K52*N52+K53*N53+K54*N54+K55*N55+K56*N56+K57*N57)/SUM(K52:K57)</f>
        <v>1</v>
      </c>
      <c r="O51" s="121"/>
      <c r="P51" s="114"/>
      <c r="Q51" s="125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</row>
    <row r="52" spans="2:28" s="114" customFormat="1">
      <c r="B52" s="294">
        <v>8.1</v>
      </c>
      <c r="C52" s="289" t="s">
        <v>175</v>
      </c>
      <c r="D52" s="261"/>
      <c r="E52" s="296">
        <f>WORKDAY.INTL(E48,0,1,Data!$C$3:$C$26)-4</f>
        <v>45752</v>
      </c>
      <c r="F52" s="297">
        <v>2</v>
      </c>
      <c r="G52" s="296">
        <f>WORKDAY.INTL(E52,F52,1,Data!$C$3:$C$26)</f>
        <v>45755</v>
      </c>
      <c r="H52" s="284"/>
      <c r="I52" s="296">
        <f>WORKDAY.INTL(I48,0,1,Data!$C$3:$C$26)-4</f>
        <v>45780</v>
      </c>
      <c r="J52" s="297">
        <v>2</v>
      </c>
      <c r="K52" s="296">
        <f>WORKDAY.INTL(I52,J52,1,Data!$C$3:$C$26)</f>
        <v>45783</v>
      </c>
      <c r="M52" s="300">
        <v>1</v>
      </c>
      <c r="N52" s="300">
        <v>1</v>
      </c>
      <c r="O52" s="124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114" customFormat="1">
      <c r="B53" s="294">
        <v>8.1999999999999993</v>
      </c>
      <c r="C53" s="289" t="s">
        <v>176</v>
      </c>
      <c r="D53" s="261"/>
      <c r="E53" s="296">
        <f>WORKDAY.INTL(E49,0,1,Data!$C$3:$C$26)</f>
        <v>45756</v>
      </c>
      <c r="F53" s="297">
        <v>2</v>
      </c>
      <c r="G53" s="296">
        <f>WORKDAY.INTL(E53,F53,1,Data!$C$3:$C$26)</f>
        <v>45758</v>
      </c>
      <c r="H53" s="284"/>
      <c r="I53" s="296">
        <f>WORKDAY.INTL(K49,0,1,Data!$C$3:$C$26)</f>
        <v>45803</v>
      </c>
      <c r="J53" s="297">
        <v>73</v>
      </c>
      <c r="K53" s="296">
        <f>WORKDAY.INTL(I53,J53,1,Data!$C$3:$C$26)</f>
        <v>45905</v>
      </c>
      <c r="M53" s="300">
        <v>1</v>
      </c>
      <c r="N53" s="300">
        <v>1</v>
      </c>
      <c r="O53" s="124"/>
      <c r="Q53" s="126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</row>
    <row r="54" spans="2:28" s="114" customFormat="1">
      <c r="B54" s="294">
        <v>8.3000000000000007</v>
      </c>
      <c r="C54" s="289" t="s">
        <v>177</v>
      </c>
      <c r="D54" s="261"/>
      <c r="E54" s="296">
        <f>WORKDAY.INTL(G45,0,1,Data!$C$3:$C$26)</f>
        <v>45772</v>
      </c>
      <c r="F54" s="297">
        <v>2</v>
      </c>
      <c r="G54" s="296">
        <f>WORKDAY.INTL(E54,F54,1,Data!$C$3:$C$26)</f>
        <v>45777</v>
      </c>
      <c r="H54" s="284"/>
      <c r="I54" s="296">
        <f>WORKDAY.INTL(K53,0,1,Data!$C$3:$C$26)-14</f>
        <v>45891</v>
      </c>
      <c r="J54" s="297">
        <v>10</v>
      </c>
      <c r="K54" s="296">
        <f>WORKDAY.INTL(I54,J54,1,Data!$C$3:$C$26)</f>
        <v>45905</v>
      </c>
      <c r="M54" s="300">
        <v>1</v>
      </c>
      <c r="N54" s="300">
        <v>1</v>
      </c>
      <c r="O54" s="124"/>
      <c r="Q54" s="126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</row>
    <row r="55" spans="2:28" s="114" customFormat="1">
      <c r="B55" s="294">
        <v>8.4</v>
      </c>
      <c r="C55" s="289" t="s">
        <v>178</v>
      </c>
      <c r="D55" s="261"/>
      <c r="E55" s="296">
        <f>WORKDAY.INTL(G49,0,1,Data!$C$3:$C$26)</f>
        <v>45770</v>
      </c>
      <c r="F55" s="297">
        <v>10</v>
      </c>
      <c r="G55" s="296">
        <f>WORKDAY.INTL(E55,F55,1,Data!$C$3:$C$26)</f>
        <v>45786</v>
      </c>
      <c r="H55" s="284"/>
      <c r="I55" s="296">
        <f>WORKDAY.INTL(I52,0,1,Data!$C$3:$C$26)</f>
        <v>45780</v>
      </c>
      <c r="J55" s="297">
        <v>5</v>
      </c>
      <c r="K55" s="296">
        <f>WORKDAY.INTL(I55,J55,1,Data!$C$3:$C$26)</f>
        <v>45786</v>
      </c>
      <c r="M55" s="300">
        <v>1</v>
      </c>
      <c r="N55" s="300">
        <v>1</v>
      </c>
      <c r="O55" s="124"/>
      <c r="Q55" s="126"/>
      <c r="R55" s="123"/>
      <c r="S55" s="123"/>
      <c r="T55" s="123"/>
      <c r="U55" s="123"/>
      <c r="V55" s="123"/>
      <c r="W55" s="123"/>
      <c r="X55" s="123"/>
      <c r="Y55" s="123"/>
      <c r="Z55" s="123"/>
      <c r="AA55" s="123"/>
      <c r="AB55" s="123"/>
    </row>
    <row r="56" spans="2:28" s="114" customFormat="1">
      <c r="B56" s="294">
        <v>8.5</v>
      </c>
      <c r="C56" s="289" t="s">
        <v>179</v>
      </c>
      <c r="D56" s="261"/>
      <c r="E56" s="296">
        <f>WORKDAY.INTL(G55,0,1,Data!$C$3:$C$26)</f>
        <v>45786</v>
      </c>
      <c r="F56" s="297">
        <v>1</v>
      </c>
      <c r="G56" s="296">
        <f>WORKDAY.INTL(E56,F56,1,Data!$C$3:$C$26)</f>
        <v>45789</v>
      </c>
      <c r="H56" s="284"/>
      <c r="I56" s="296">
        <f>WORKDAY.INTL(K53,0,1,Data!$C$3:$C$26)+5</f>
        <v>45910</v>
      </c>
      <c r="J56" s="297">
        <v>1</v>
      </c>
      <c r="K56" s="296">
        <f>WORKDAY.INTL(I56,J56,1,Data!$C$3:$C$26)</f>
        <v>45911</v>
      </c>
      <c r="M56" s="300">
        <v>1</v>
      </c>
      <c r="N56" s="300">
        <v>1</v>
      </c>
      <c r="O56" s="124"/>
      <c r="Q56" s="126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</row>
    <row r="57" spans="2:28" s="114" customFormat="1">
      <c r="B57" s="294">
        <v>8.6</v>
      </c>
      <c r="C57" s="289" t="s">
        <v>180</v>
      </c>
      <c r="D57" s="261"/>
      <c r="E57" s="296">
        <f>WORKDAY.INTL(G53,0,1,Data!$C$3:$C$26)+5</f>
        <v>45763</v>
      </c>
      <c r="F57" s="297">
        <v>5</v>
      </c>
      <c r="G57" s="296">
        <f>WORKDAY.INTL(E57,F57,1,Data!$C$3:$C$26)</f>
        <v>45772</v>
      </c>
      <c r="H57" s="284"/>
      <c r="I57" s="296">
        <v>45855</v>
      </c>
      <c r="J57" s="297">
        <v>25</v>
      </c>
      <c r="K57" s="296">
        <f>WORKDAY.INTL(I57,J57,1,Data!$C$3:$C$26)</f>
        <v>45890</v>
      </c>
      <c r="M57" s="300">
        <v>1</v>
      </c>
      <c r="N57" s="300">
        <v>1</v>
      </c>
      <c r="O57" s="124"/>
      <c r="Q57" s="126"/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23"/>
    </row>
    <row r="58" spans="2:28" s="114" customFormat="1" ht="4.5" customHeight="1">
      <c r="B58" s="285"/>
      <c r="C58" s="261"/>
      <c r="D58" s="261"/>
      <c r="E58" s="261"/>
      <c r="F58" s="261"/>
      <c r="G58" s="261"/>
      <c r="H58" s="261"/>
      <c r="I58" s="261"/>
      <c r="J58" s="261"/>
      <c r="K58" s="261"/>
      <c r="L58" s="261"/>
      <c r="M58" s="261"/>
      <c r="N58" s="261"/>
      <c r="O58" s="261"/>
      <c r="Q58" s="126"/>
      <c r="R58" s="123"/>
      <c r="S58" s="123"/>
      <c r="T58" s="123"/>
      <c r="U58" s="123"/>
      <c r="V58" s="123"/>
      <c r="W58" s="123"/>
      <c r="X58" s="123"/>
      <c r="Y58" s="123"/>
      <c r="Z58" s="123"/>
      <c r="AA58" s="123"/>
      <c r="AB58" s="123"/>
    </row>
    <row r="59" spans="2:28" s="3" customFormat="1">
      <c r="B59" s="187"/>
      <c r="E59" s="188"/>
      <c r="F59" s="109"/>
      <c r="J59" s="109"/>
    </row>
    <row r="60" spans="2:28">
      <c r="B60" s="185"/>
      <c r="C60" s="114"/>
      <c r="E60" s="114"/>
      <c r="G60" s="115"/>
    </row>
    <row r="61" spans="2:28">
      <c r="B61" s="185"/>
      <c r="C61" s="114"/>
      <c r="E61" s="114"/>
      <c r="G61" s="115"/>
    </row>
    <row r="62" spans="2:28">
      <c r="B62" s="185"/>
      <c r="C62" s="114"/>
      <c r="E62" s="114"/>
      <c r="G62" s="115"/>
    </row>
    <row r="63" spans="2:28">
      <c r="B63" s="185"/>
      <c r="C63" s="114"/>
      <c r="E63" s="114"/>
      <c r="G63" s="115"/>
    </row>
    <row r="64" spans="2:28">
      <c r="B64" s="185"/>
      <c r="C64" s="114"/>
      <c r="E64" s="114"/>
      <c r="G64" s="115"/>
    </row>
    <row r="65" spans="2:7">
      <c r="B65" s="185"/>
      <c r="C65" s="114"/>
      <c r="E65" s="114"/>
      <c r="G65" s="115"/>
    </row>
    <row r="66" spans="2:7">
      <c r="B66" s="185"/>
      <c r="C66" s="114"/>
      <c r="E66" s="114"/>
      <c r="G66" s="115"/>
    </row>
    <row r="67" spans="2:7">
      <c r="B67" s="185"/>
      <c r="C67" s="114"/>
      <c r="E67" s="114"/>
      <c r="G67" s="115"/>
    </row>
    <row r="68" spans="2:7">
      <c r="B68" s="185"/>
      <c r="C68" s="114"/>
      <c r="E68" s="114"/>
      <c r="G68" s="115"/>
    </row>
    <row r="69" spans="2:7">
      <c r="B69" s="185"/>
      <c r="C69" s="114"/>
      <c r="E69" s="114"/>
      <c r="G69" s="115"/>
    </row>
    <row r="70" spans="2:7">
      <c r="B70" s="185"/>
      <c r="C70" s="114"/>
      <c r="E70" s="114"/>
      <c r="G70" s="115"/>
    </row>
    <row r="71" spans="2:7">
      <c r="B71" s="185"/>
      <c r="C71" s="114"/>
      <c r="E71" s="114"/>
      <c r="G71" s="115"/>
    </row>
    <row r="72" spans="2:7">
      <c r="B72" s="185"/>
      <c r="C72" s="114"/>
      <c r="E72" s="114"/>
      <c r="G72" s="115"/>
    </row>
    <row r="73" spans="2:7">
      <c r="B73" s="185"/>
      <c r="C73" s="114"/>
      <c r="E73" s="114"/>
      <c r="G73" s="115"/>
    </row>
    <row r="74" spans="2:7">
      <c r="B74" s="185"/>
      <c r="C74" s="114"/>
      <c r="E74" s="114"/>
      <c r="G74" s="115"/>
    </row>
    <row r="75" spans="2:7">
      <c r="B75" s="185"/>
      <c r="C75" s="114"/>
      <c r="E75" s="114"/>
      <c r="G75" s="115"/>
    </row>
    <row r="76" spans="2:7">
      <c r="B76" s="185"/>
      <c r="C76" s="114"/>
      <c r="E76" s="114"/>
      <c r="G76" s="115"/>
    </row>
    <row r="77" spans="2:7">
      <c r="B77" s="185"/>
      <c r="C77" s="114"/>
      <c r="E77" s="114"/>
      <c r="G77" s="115"/>
    </row>
    <row r="78" spans="2:7">
      <c r="B78" s="185"/>
      <c r="C78" s="114"/>
      <c r="E78" s="114"/>
      <c r="G78" s="115"/>
    </row>
    <row r="79" spans="2:7">
      <c r="B79" s="185"/>
      <c r="C79" s="114"/>
      <c r="E79" s="114"/>
      <c r="G79" s="115"/>
    </row>
    <row r="80" spans="2:7">
      <c r="B80" s="185"/>
      <c r="C80" s="114"/>
      <c r="E80" s="114"/>
      <c r="G80" s="115"/>
    </row>
    <row r="81" spans="2:7">
      <c r="B81" s="185"/>
      <c r="C81" s="114"/>
      <c r="E81" s="114"/>
      <c r="G81" s="115"/>
    </row>
    <row r="82" spans="2:7">
      <c r="B82" s="185"/>
      <c r="C82" s="114"/>
      <c r="E82" s="114"/>
      <c r="G82" s="115"/>
    </row>
    <row r="83" spans="2:7">
      <c r="B83" s="185"/>
      <c r="C83" s="114"/>
      <c r="E83" s="114"/>
      <c r="G83" s="115"/>
    </row>
    <row r="84" spans="2:7">
      <c r="B84" s="185"/>
      <c r="C84" s="114"/>
      <c r="E84" s="114"/>
      <c r="G84" s="115"/>
    </row>
    <row r="85" spans="2:7">
      <c r="B85" s="185"/>
      <c r="C85" s="114"/>
      <c r="E85" s="114"/>
      <c r="G85" s="115"/>
    </row>
    <row r="86" spans="2:7">
      <c r="B86" s="185"/>
      <c r="C86" s="114"/>
      <c r="E86" s="114"/>
      <c r="G86" s="115"/>
    </row>
    <row r="87" spans="2:7">
      <c r="B87" s="185"/>
      <c r="C87" s="114"/>
      <c r="E87" s="114"/>
      <c r="G87" s="115"/>
    </row>
    <row r="88" spans="2:7">
      <c r="B88" s="185"/>
      <c r="C88" s="114"/>
      <c r="E88" s="114"/>
      <c r="G88" s="115"/>
    </row>
    <row r="89" spans="2:7">
      <c r="B89" s="185"/>
      <c r="C89" s="114"/>
      <c r="E89" s="114"/>
      <c r="G89" s="115"/>
    </row>
    <row r="90" spans="2:7">
      <c r="B90" s="185"/>
      <c r="C90" s="114"/>
      <c r="E90" s="114"/>
      <c r="G90" s="115"/>
    </row>
    <row r="91" spans="2:7">
      <c r="B91" s="185"/>
      <c r="C91" s="114"/>
      <c r="E91" s="114"/>
      <c r="G91" s="115"/>
    </row>
    <row r="92" spans="2:7">
      <c r="B92" s="185"/>
      <c r="C92" s="114"/>
      <c r="E92" s="114"/>
      <c r="G92" s="115"/>
    </row>
    <row r="93" spans="2:7">
      <c r="B93" s="185"/>
      <c r="C93" s="114"/>
      <c r="E93" s="114"/>
      <c r="G93" s="115"/>
    </row>
    <row r="94" spans="2:7">
      <c r="B94" s="185"/>
      <c r="C94" s="114"/>
      <c r="E94" s="114"/>
      <c r="G94" s="115"/>
    </row>
    <row r="95" spans="2:7">
      <c r="B95" s="185"/>
      <c r="C95" s="114"/>
      <c r="E95" s="114"/>
      <c r="G95" s="115"/>
    </row>
    <row r="96" spans="2:7">
      <c r="B96" s="185"/>
      <c r="C96" s="114"/>
      <c r="E96" s="114"/>
      <c r="G96" s="115"/>
    </row>
    <row r="97" spans="2:7">
      <c r="B97" s="185"/>
      <c r="C97" s="114"/>
      <c r="E97" s="114"/>
      <c r="G97" s="115"/>
    </row>
    <row r="98" spans="2:7">
      <c r="B98" s="185"/>
      <c r="C98" s="114"/>
      <c r="E98" s="114"/>
      <c r="G98" s="115"/>
    </row>
    <row r="99" spans="2:7">
      <c r="B99" s="185"/>
      <c r="C99" s="114"/>
      <c r="E99" s="114"/>
      <c r="G99" s="115"/>
    </row>
    <row r="100" spans="2:7">
      <c r="B100" s="185"/>
      <c r="C100" s="114"/>
      <c r="E100" s="114"/>
      <c r="G100" s="115"/>
    </row>
    <row r="101" spans="2:7">
      <c r="B101" s="185"/>
      <c r="C101" s="114"/>
      <c r="E101" s="114"/>
      <c r="G101" s="115"/>
    </row>
    <row r="102" spans="2:7">
      <c r="B102" s="185"/>
      <c r="C102" s="114"/>
      <c r="E102" s="114"/>
      <c r="G102" s="115"/>
    </row>
    <row r="103" spans="2:7">
      <c r="B103" s="185"/>
      <c r="C103" s="114"/>
      <c r="E103" s="114"/>
      <c r="G103" s="115"/>
    </row>
    <row r="104" spans="2:7">
      <c r="B104" s="185"/>
      <c r="C104" s="114"/>
      <c r="E104" s="114"/>
      <c r="G104" s="115"/>
    </row>
    <row r="105" spans="2:7">
      <c r="B105" s="185"/>
      <c r="C105" s="114"/>
      <c r="E105" s="114"/>
      <c r="G105" s="115"/>
    </row>
    <row r="106" spans="2:7">
      <c r="B106" s="185"/>
      <c r="C106" s="114"/>
      <c r="E106" s="114"/>
      <c r="G106" s="115"/>
    </row>
    <row r="107" spans="2:7">
      <c r="B107" s="185"/>
      <c r="C107" s="114"/>
      <c r="E107" s="114"/>
      <c r="G107" s="115"/>
    </row>
    <row r="108" spans="2:7">
      <c r="B108" s="185"/>
      <c r="C108" s="114"/>
      <c r="E108" s="114"/>
      <c r="G108" s="115"/>
    </row>
    <row r="109" spans="2:7">
      <c r="B109" s="185"/>
      <c r="C109" s="114"/>
      <c r="E109" s="114"/>
      <c r="G109" s="115"/>
    </row>
    <row r="110" spans="2:7">
      <c r="B110" s="185"/>
      <c r="C110" s="114"/>
      <c r="E110" s="114"/>
      <c r="G110" s="115"/>
    </row>
    <row r="111" spans="2:7">
      <c r="B111" s="185"/>
      <c r="C111" s="114"/>
      <c r="E111" s="114"/>
      <c r="G111" s="115"/>
    </row>
    <row r="112" spans="2:7">
      <c r="B112" s="185"/>
      <c r="C112" s="114"/>
      <c r="E112" s="114"/>
      <c r="G112" s="115"/>
    </row>
    <row r="113" spans="2:7">
      <c r="B113" s="185"/>
      <c r="C113" s="114"/>
      <c r="E113" s="114"/>
      <c r="G113" s="115"/>
    </row>
    <row r="114" spans="2:7">
      <c r="B114" s="185"/>
      <c r="C114" s="114"/>
      <c r="E114" s="114"/>
      <c r="G114" s="115"/>
    </row>
    <row r="115" spans="2:7">
      <c r="B115" s="185"/>
      <c r="C115" s="114"/>
      <c r="E115" s="114"/>
      <c r="G115" s="115"/>
    </row>
    <row r="116" spans="2:7">
      <c r="B116" s="185"/>
      <c r="C116" s="114"/>
      <c r="E116" s="114"/>
      <c r="G116" s="115"/>
    </row>
    <row r="117" spans="2:7">
      <c r="B117" s="185"/>
      <c r="C117" s="114"/>
      <c r="E117" s="114"/>
      <c r="G117" s="115"/>
    </row>
    <row r="118" spans="2:7">
      <c r="B118" s="185"/>
      <c r="C118" s="114"/>
      <c r="E118" s="114"/>
      <c r="G118" s="115"/>
    </row>
    <row r="119" spans="2:7">
      <c r="B119" s="185"/>
      <c r="C119" s="114"/>
      <c r="E119" s="114"/>
      <c r="G119" s="115"/>
    </row>
    <row r="120" spans="2:7">
      <c r="B120" s="185"/>
      <c r="C120" s="114"/>
      <c r="E120" s="114"/>
      <c r="G120" s="115"/>
    </row>
    <row r="121" spans="2:7">
      <c r="B121" s="185"/>
      <c r="C121" s="114"/>
      <c r="E121" s="114"/>
      <c r="G121" s="115"/>
    </row>
    <row r="122" spans="2:7">
      <c r="B122" s="185"/>
      <c r="C122" s="114"/>
      <c r="E122" s="114"/>
      <c r="G122" s="115"/>
    </row>
    <row r="123" spans="2:7">
      <c r="B123" s="185"/>
      <c r="C123" s="114"/>
      <c r="E123" s="114"/>
      <c r="G123" s="115"/>
    </row>
    <row r="124" spans="2:7">
      <c r="B124" s="185"/>
      <c r="C124" s="114"/>
      <c r="E124" s="114"/>
      <c r="G124" s="115"/>
    </row>
    <row r="125" spans="2:7">
      <c r="B125" s="185"/>
      <c r="C125" s="114"/>
      <c r="E125" s="114"/>
      <c r="G125" s="115"/>
    </row>
    <row r="126" spans="2:7">
      <c r="B126" s="185"/>
      <c r="C126" s="114"/>
      <c r="E126" s="114"/>
      <c r="G126" s="115"/>
    </row>
    <row r="127" spans="2:7">
      <c r="B127" s="185"/>
      <c r="C127" s="114"/>
      <c r="E127" s="114"/>
      <c r="G127" s="115"/>
    </row>
    <row r="128" spans="2:7">
      <c r="B128" s="185"/>
      <c r="C128" s="114"/>
      <c r="E128" s="114"/>
      <c r="G128" s="115"/>
    </row>
    <row r="129" spans="2:7">
      <c r="B129" s="185"/>
      <c r="C129" s="114"/>
      <c r="E129" s="114"/>
      <c r="G129" s="115"/>
    </row>
    <row r="130" spans="2:7">
      <c r="B130" s="185"/>
      <c r="C130" s="114"/>
      <c r="E130" s="114"/>
      <c r="G130" s="115"/>
    </row>
    <row r="131" spans="2:7">
      <c r="B131" s="185"/>
      <c r="C131" s="114"/>
      <c r="E131" s="114"/>
      <c r="G131" s="115"/>
    </row>
    <row r="132" spans="2:7">
      <c r="B132" s="185"/>
      <c r="C132" s="114"/>
      <c r="E132" s="114"/>
      <c r="G132" s="115"/>
    </row>
    <row r="133" spans="2:7">
      <c r="B133" s="185"/>
      <c r="C133" s="114"/>
      <c r="E133" s="114"/>
      <c r="G133" s="115"/>
    </row>
    <row r="134" spans="2:7">
      <c r="B134" s="185"/>
      <c r="C134" s="114"/>
      <c r="E134" s="114"/>
      <c r="G134" s="115"/>
    </row>
    <row r="135" spans="2:7">
      <c r="B135" s="185"/>
      <c r="C135" s="114"/>
      <c r="E135" s="114"/>
      <c r="G135" s="115"/>
    </row>
    <row r="136" spans="2:7">
      <c r="B136" s="185"/>
      <c r="C136" s="114"/>
      <c r="E136" s="114"/>
      <c r="G136" s="115"/>
    </row>
    <row r="137" spans="2:7">
      <c r="B137" s="185"/>
      <c r="C137" s="114"/>
      <c r="E137" s="114"/>
      <c r="G137" s="115"/>
    </row>
    <row r="138" spans="2:7">
      <c r="B138" s="185"/>
      <c r="C138" s="114"/>
      <c r="E138" s="114"/>
      <c r="G138" s="115"/>
    </row>
    <row r="139" spans="2:7">
      <c r="B139" s="185"/>
      <c r="C139" s="114"/>
      <c r="E139" s="114"/>
      <c r="G139" s="115"/>
    </row>
    <row r="140" spans="2:7">
      <c r="B140" s="185"/>
      <c r="C140" s="114"/>
      <c r="E140" s="114"/>
      <c r="G140" s="115"/>
    </row>
    <row r="141" spans="2:7">
      <c r="B141" s="185"/>
      <c r="C141" s="114"/>
      <c r="E141" s="114"/>
      <c r="G141" s="115"/>
    </row>
    <row r="142" spans="2:7">
      <c r="B142" s="185"/>
      <c r="C142" s="114"/>
      <c r="E142" s="114"/>
      <c r="G142" s="115"/>
    </row>
    <row r="143" spans="2:7">
      <c r="B143" s="185"/>
      <c r="C143" s="114"/>
      <c r="E143" s="114"/>
      <c r="G143" s="115"/>
    </row>
    <row r="144" spans="2:7">
      <c r="B144" s="185"/>
      <c r="C144" s="114"/>
      <c r="E144" s="114"/>
      <c r="G144" s="115"/>
    </row>
    <row r="145" spans="2:7">
      <c r="B145" s="185"/>
      <c r="C145" s="114"/>
      <c r="E145" s="114"/>
      <c r="G145" s="115"/>
    </row>
    <row r="146" spans="2:7">
      <c r="B146" s="185"/>
      <c r="C146" s="114"/>
      <c r="E146" s="114"/>
      <c r="G146" s="115"/>
    </row>
    <row r="147" spans="2:7">
      <c r="B147" s="185"/>
      <c r="C147" s="114"/>
      <c r="E147" s="114"/>
      <c r="G147" s="115"/>
    </row>
    <row r="148" spans="2:7">
      <c r="B148" s="185"/>
      <c r="C148" s="114"/>
      <c r="E148" s="114"/>
      <c r="G148" s="115"/>
    </row>
    <row r="149" spans="2:7">
      <c r="B149" s="185"/>
      <c r="C149" s="114"/>
      <c r="E149" s="114"/>
      <c r="G149" s="115"/>
    </row>
    <row r="150" spans="2:7">
      <c r="B150" s="185"/>
      <c r="C150" s="114"/>
      <c r="E150" s="114"/>
      <c r="G150" s="115"/>
    </row>
    <row r="151" spans="2:7">
      <c r="B151" s="185"/>
      <c r="C151" s="114"/>
      <c r="E151" s="114"/>
      <c r="G151" s="115"/>
    </row>
    <row r="152" spans="2:7">
      <c r="B152" s="185"/>
      <c r="C152" s="114"/>
      <c r="E152" s="114"/>
      <c r="G152" s="115"/>
    </row>
    <row r="153" spans="2:7">
      <c r="B153" s="185"/>
      <c r="C153" s="114"/>
      <c r="E153" s="114"/>
      <c r="G153" s="115"/>
    </row>
    <row r="154" spans="2:7">
      <c r="B154" s="185"/>
      <c r="C154" s="114"/>
      <c r="E154" s="114"/>
      <c r="G154" s="115"/>
    </row>
    <row r="155" spans="2:7">
      <c r="B155" s="185"/>
      <c r="C155" s="114"/>
      <c r="E155" s="114"/>
      <c r="G155" s="115"/>
    </row>
    <row r="156" spans="2:7">
      <c r="B156" s="185"/>
      <c r="C156" s="114"/>
      <c r="E156" s="114"/>
      <c r="G156" s="115"/>
    </row>
    <row r="157" spans="2:7">
      <c r="B157" s="185"/>
      <c r="C157" s="114"/>
      <c r="E157" s="114"/>
      <c r="G157" s="115"/>
    </row>
    <row r="158" spans="2:7">
      <c r="B158" s="185"/>
      <c r="C158" s="114"/>
      <c r="E158" s="114"/>
      <c r="G158" s="115"/>
    </row>
    <row r="159" spans="2:7">
      <c r="B159" s="185"/>
      <c r="C159" s="114"/>
      <c r="E159" s="114"/>
      <c r="G159" s="115"/>
    </row>
    <row r="160" spans="2:7">
      <c r="B160" s="185"/>
      <c r="C160" s="114"/>
      <c r="E160" s="114"/>
      <c r="G160" s="115"/>
    </row>
    <row r="161" spans="2:7">
      <c r="B161" s="185"/>
      <c r="C161" s="114"/>
      <c r="E161" s="114"/>
      <c r="G161" s="115"/>
    </row>
    <row r="162" spans="2:7">
      <c r="B162" s="185"/>
      <c r="C162" s="114"/>
      <c r="E162" s="114"/>
      <c r="G162" s="115"/>
    </row>
    <row r="163" spans="2:7">
      <c r="B163" s="185"/>
      <c r="C163" s="114"/>
      <c r="E163" s="114"/>
      <c r="G163" s="115"/>
    </row>
    <row r="164" spans="2:7">
      <c r="B164" s="185"/>
      <c r="C164" s="114"/>
      <c r="E164" s="114"/>
      <c r="G164" s="115"/>
    </row>
    <row r="165" spans="2:7">
      <c r="B165" s="185"/>
      <c r="C165" s="114"/>
      <c r="E165" s="114"/>
      <c r="G165" s="115"/>
    </row>
    <row r="166" spans="2:7">
      <c r="B166" s="185"/>
      <c r="C166" s="114"/>
      <c r="E166" s="114"/>
      <c r="G166" s="115"/>
    </row>
    <row r="167" spans="2:7">
      <c r="B167" s="185"/>
      <c r="C167" s="114"/>
      <c r="E167" s="114"/>
      <c r="G167" s="115"/>
    </row>
    <row r="168" spans="2:7">
      <c r="B168" s="185"/>
      <c r="C168" s="114"/>
      <c r="E168" s="114"/>
      <c r="G168" s="115"/>
    </row>
    <row r="169" spans="2:7">
      <c r="B169" s="185"/>
      <c r="C169" s="114"/>
      <c r="E169" s="114"/>
      <c r="G169" s="115"/>
    </row>
    <row r="170" spans="2:7">
      <c r="B170" s="185"/>
      <c r="C170" s="114"/>
      <c r="E170" s="114"/>
      <c r="G170" s="115"/>
    </row>
    <row r="171" spans="2:7">
      <c r="B171" s="185"/>
      <c r="C171" s="114"/>
      <c r="E171" s="114"/>
      <c r="G171" s="115"/>
    </row>
    <row r="172" spans="2:7">
      <c r="B172" s="185"/>
      <c r="C172" s="114"/>
      <c r="E172" s="114"/>
      <c r="G172" s="115"/>
    </row>
    <row r="173" spans="2:7">
      <c r="B173" s="185"/>
      <c r="C173" s="114"/>
      <c r="E173" s="114"/>
      <c r="G173" s="115"/>
    </row>
    <row r="174" spans="2:7">
      <c r="B174" s="185"/>
      <c r="C174" s="114"/>
      <c r="E174" s="114"/>
      <c r="G174" s="115"/>
    </row>
    <row r="175" spans="2:7">
      <c r="B175" s="185"/>
      <c r="C175" s="114"/>
      <c r="E175" s="114"/>
      <c r="G175" s="115"/>
    </row>
    <row r="176" spans="2:7">
      <c r="B176" s="185"/>
      <c r="C176" s="114"/>
      <c r="E176" s="114"/>
      <c r="G176" s="115"/>
    </row>
    <row r="177" spans="2:7">
      <c r="B177" s="185"/>
      <c r="C177" s="114"/>
      <c r="E177" s="114"/>
      <c r="G177" s="115"/>
    </row>
    <row r="178" spans="2:7">
      <c r="B178" s="185"/>
      <c r="C178" s="114"/>
      <c r="E178" s="114"/>
      <c r="G178" s="115"/>
    </row>
    <row r="179" spans="2:7">
      <c r="B179" s="185"/>
      <c r="C179" s="114"/>
      <c r="E179" s="114"/>
      <c r="G179" s="115"/>
    </row>
    <row r="180" spans="2:7">
      <c r="B180" s="185"/>
      <c r="C180" s="114"/>
      <c r="E180" s="114"/>
      <c r="G180" s="115"/>
    </row>
    <row r="181" spans="2:7">
      <c r="B181" s="185"/>
      <c r="C181" s="114"/>
      <c r="E181" s="114"/>
      <c r="G181" s="115"/>
    </row>
    <row r="182" spans="2:7">
      <c r="B182" s="185"/>
      <c r="C182" s="114"/>
      <c r="E182" s="114"/>
      <c r="G182" s="115"/>
    </row>
    <row r="183" spans="2:7">
      <c r="B183" s="185"/>
      <c r="C183" s="114"/>
      <c r="E183" s="114"/>
      <c r="G183" s="115"/>
    </row>
    <row r="184" spans="2:7">
      <c r="B184" s="185"/>
      <c r="C184" s="114"/>
      <c r="E184" s="114"/>
      <c r="G184" s="115"/>
    </row>
    <row r="185" spans="2:7">
      <c r="B185" s="185"/>
      <c r="C185" s="114"/>
      <c r="E185" s="114"/>
      <c r="G185" s="115"/>
    </row>
    <row r="186" spans="2:7">
      <c r="B186" s="185"/>
      <c r="C186" s="114"/>
      <c r="E186" s="114"/>
      <c r="G186" s="115"/>
    </row>
    <row r="187" spans="2:7">
      <c r="B187" s="185"/>
      <c r="C187" s="114"/>
      <c r="E187" s="114"/>
      <c r="G187" s="115"/>
    </row>
    <row r="188" spans="2:7">
      <c r="B188" s="185"/>
      <c r="C188" s="114"/>
      <c r="E188" s="114"/>
      <c r="G188" s="115"/>
    </row>
    <row r="189" spans="2:7">
      <c r="B189" s="185"/>
      <c r="C189" s="114"/>
      <c r="E189" s="114"/>
      <c r="G189" s="115"/>
    </row>
    <row r="190" spans="2:7">
      <c r="B190" s="185"/>
      <c r="C190" s="114"/>
      <c r="E190" s="114"/>
      <c r="G190" s="115"/>
    </row>
    <row r="191" spans="2:7">
      <c r="B191" s="185"/>
      <c r="C191" s="114"/>
      <c r="E191" s="114"/>
      <c r="G191" s="115"/>
    </row>
    <row r="192" spans="2:7">
      <c r="B192" s="185"/>
      <c r="C192" s="114"/>
      <c r="E192" s="114"/>
      <c r="G192" s="115"/>
    </row>
    <row r="193" spans="2:7">
      <c r="B193" s="185"/>
      <c r="C193" s="114"/>
      <c r="E193" s="114"/>
      <c r="G193" s="115"/>
    </row>
    <row r="194" spans="2:7">
      <c r="B194" s="185"/>
      <c r="C194" s="114"/>
      <c r="E194" s="114"/>
      <c r="G194" s="115"/>
    </row>
    <row r="195" spans="2:7">
      <c r="B195" s="185"/>
      <c r="C195" s="114"/>
      <c r="E195" s="114"/>
      <c r="G195" s="115"/>
    </row>
    <row r="196" spans="2:7">
      <c r="B196" s="185"/>
      <c r="C196" s="114"/>
      <c r="E196" s="114"/>
      <c r="G196" s="115"/>
    </row>
    <row r="197" spans="2:7">
      <c r="B197" s="185"/>
      <c r="C197" s="114"/>
      <c r="E197" s="114"/>
      <c r="G197" s="115"/>
    </row>
    <row r="198" spans="2:7">
      <c r="B198" s="185"/>
      <c r="C198" s="114"/>
      <c r="E198" s="114"/>
      <c r="G198" s="115"/>
    </row>
    <row r="199" spans="2:7">
      <c r="B199" s="185"/>
      <c r="C199" s="114"/>
      <c r="E199" s="114"/>
      <c r="G199" s="115"/>
    </row>
    <row r="200" spans="2:7">
      <c r="B200" s="185"/>
      <c r="C200" s="114"/>
      <c r="E200" s="114"/>
      <c r="G200" s="115"/>
    </row>
    <row r="201" spans="2:7">
      <c r="B201" s="185"/>
      <c r="C201" s="114"/>
      <c r="E201" s="114"/>
      <c r="G201" s="115"/>
    </row>
    <row r="202" spans="2:7">
      <c r="B202" s="185"/>
      <c r="C202" s="114"/>
      <c r="E202" s="114"/>
      <c r="G202" s="115"/>
    </row>
    <row r="203" spans="2:7">
      <c r="B203" s="185"/>
      <c r="C203" s="114"/>
      <c r="E203" s="114"/>
      <c r="G203" s="115"/>
    </row>
    <row r="204" spans="2:7">
      <c r="B204" s="185"/>
      <c r="C204" s="114"/>
      <c r="E204" s="114"/>
      <c r="G204" s="115"/>
    </row>
    <row r="205" spans="2:7">
      <c r="B205" s="185"/>
      <c r="C205" s="114"/>
      <c r="E205" s="114"/>
      <c r="G205" s="115"/>
    </row>
    <row r="206" spans="2:7">
      <c r="B206" s="185"/>
      <c r="C206" s="114"/>
      <c r="E206" s="114"/>
      <c r="G206" s="115"/>
    </row>
    <row r="207" spans="2:7">
      <c r="B207" s="185"/>
      <c r="C207" s="114"/>
      <c r="E207" s="114"/>
      <c r="G207" s="115"/>
    </row>
    <row r="208" spans="2:7">
      <c r="B208" s="185"/>
      <c r="C208" s="114"/>
      <c r="E208" s="114"/>
      <c r="G208" s="115"/>
    </row>
    <row r="209" spans="2:7">
      <c r="B209" s="185"/>
      <c r="C209" s="114"/>
      <c r="E209" s="114"/>
      <c r="G209" s="115"/>
    </row>
    <row r="210" spans="2:7">
      <c r="B210" s="185"/>
      <c r="C210" s="114"/>
      <c r="E210" s="114"/>
      <c r="G210" s="115"/>
    </row>
    <row r="211" spans="2:7">
      <c r="B211" s="185"/>
      <c r="C211" s="114"/>
      <c r="E211" s="114"/>
      <c r="G211" s="115"/>
    </row>
    <row r="212" spans="2:7">
      <c r="B212" s="185"/>
      <c r="C212" s="114"/>
      <c r="E212" s="114"/>
      <c r="G212" s="115"/>
    </row>
    <row r="213" spans="2:7">
      <c r="B213" s="185"/>
      <c r="C213" s="114"/>
      <c r="E213" s="114"/>
      <c r="G213" s="115"/>
    </row>
    <row r="214" spans="2:7">
      <c r="B214" s="185"/>
      <c r="C214" s="114"/>
      <c r="E214" s="114"/>
      <c r="G214" s="115"/>
    </row>
    <row r="215" spans="2:7">
      <c r="B215" s="185"/>
      <c r="C215" s="114"/>
      <c r="E215" s="114"/>
      <c r="G215" s="115"/>
    </row>
    <row r="216" spans="2:7">
      <c r="B216" s="185"/>
      <c r="C216" s="114"/>
      <c r="E216" s="114"/>
      <c r="G216" s="115"/>
    </row>
    <row r="217" spans="2:7">
      <c r="B217" s="185"/>
      <c r="C217" s="114"/>
      <c r="E217" s="114"/>
      <c r="G217" s="115"/>
    </row>
    <row r="218" spans="2:7">
      <c r="B218" s="185"/>
      <c r="C218" s="114"/>
      <c r="E218" s="114"/>
      <c r="G218" s="115"/>
    </row>
    <row r="219" spans="2:7">
      <c r="B219" s="185"/>
      <c r="C219" s="114"/>
      <c r="E219" s="114"/>
      <c r="G219" s="115"/>
    </row>
    <row r="220" spans="2:7">
      <c r="B220" s="185"/>
      <c r="C220" s="114"/>
      <c r="E220" s="114"/>
      <c r="G220" s="115"/>
    </row>
    <row r="221" spans="2:7">
      <c r="B221" s="185"/>
      <c r="C221" s="114"/>
      <c r="E221" s="114"/>
      <c r="G221" s="115"/>
    </row>
    <row r="222" spans="2:7">
      <c r="B222" s="185"/>
      <c r="C222" s="114"/>
      <c r="E222" s="114"/>
      <c r="G222" s="115"/>
    </row>
    <row r="223" spans="2:7">
      <c r="B223" s="185"/>
      <c r="C223" s="114"/>
      <c r="E223" s="114"/>
      <c r="G223" s="115"/>
    </row>
    <row r="224" spans="2:7">
      <c r="B224" s="185"/>
      <c r="C224" s="114"/>
      <c r="E224" s="114"/>
      <c r="G224" s="115"/>
    </row>
    <row r="225" spans="2:7">
      <c r="B225" s="185"/>
      <c r="C225" s="114"/>
      <c r="E225" s="114"/>
      <c r="G225" s="115"/>
    </row>
    <row r="226" spans="2:7">
      <c r="B226" s="185"/>
      <c r="C226" s="114"/>
      <c r="E226" s="114"/>
      <c r="G226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8 M59:P1048576 M1:P57" name="Range1"/>
  </protectedRanges>
  <mergeCells count="12">
    <mergeCell ref="E2:H2"/>
    <mergeCell ref="E4:H4"/>
    <mergeCell ref="E5:H5"/>
    <mergeCell ref="E6:H6"/>
    <mergeCell ref="E8:H8"/>
    <mergeCell ref="O10:O11"/>
    <mergeCell ref="B10:B11"/>
    <mergeCell ref="C10:C11"/>
    <mergeCell ref="E10:E11"/>
    <mergeCell ref="G10:G11"/>
    <mergeCell ref="I10:I11"/>
    <mergeCell ref="K10:K11"/>
  </mergeCells>
  <phoneticPr fontId="19" type="noConversion"/>
  <conditionalFormatting sqref="M52:N57 M49:N50 M14:N19 M21:N23 M40:N42 M25:N32 M34:N38 M44:N47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4"/>
  <dimension ref="A1:P196"/>
  <sheetViews>
    <sheetView zoomScale="115" zoomScaleNormal="115" workbookViewId="0">
      <pane ySplit="7" topLeftCell="A8" activePane="bottomLeft" state="frozen"/>
      <selection pane="bottomLeft" activeCell="L4" sqref="L4"/>
      <selection activeCell="G7" sqref="G7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1.42578125" style="24" customWidth="1"/>
    <col min="10" max="10" width="18.42578125" style="24" customWidth="1"/>
    <col min="11" max="11" width="3.42578125" style="24" customWidth="1"/>
    <col min="12" max="12" width="21.5703125" style="24" customWidth="1"/>
    <col min="13" max="13" width="2" style="24" customWidth="1"/>
    <col min="14" max="14" width="24.42578125" style="24" customWidth="1"/>
    <col min="15" max="15" width="2" style="24" customWidth="1"/>
    <col min="16" max="16" width="53.42578125" style="24" customWidth="1"/>
    <col min="17" max="16384" width="8.42578125" style="24"/>
  </cols>
  <sheetData>
    <row r="1" spans="1:16" ht="6.75" customHeight="1">
      <c r="A1" s="261"/>
      <c r="B1" s="262"/>
      <c r="C1" s="262"/>
      <c r="D1" s="261"/>
      <c r="E1" s="261"/>
      <c r="F1" s="261"/>
      <c r="G1" s="261"/>
      <c r="H1" s="261"/>
      <c r="I1" s="261"/>
      <c r="J1" s="261"/>
      <c r="K1" s="261"/>
      <c r="L1" s="261"/>
      <c r="M1" s="114"/>
      <c r="N1" s="261"/>
      <c r="O1" s="114"/>
      <c r="P1" s="114"/>
    </row>
    <row r="2" spans="1:16">
      <c r="A2" s="261"/>
      <c r="B2" s="265" t="s">
        <v>181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116"/>
      <c r="N2" s="265"/>
      <c r="O2" s="116"/>
      <c r="P2" s="116"/>
    </row>
    <row r="3" spans="1:16" ht="6.75" customHeight="1">
      <c r="A3" s="261"/>
      <c r="B3" s="262"/>
      <c r="C3" s="262"/>
      <c r="D3" s="261"/>
      <c r="E3" s="261"/>
      <c r="F3" s="261"/>
      <c r="G3" s="261"/>
      <c r="H3" s="261"/>
      <c r="I3" s="261"/>
      <c r="J3" s="261"/>
      <c r="K3" s="261"/>
      <c r="L3" s="261"/>
      <c r="M3" s="114"/>
      <c r="N3" s="261"/>
      <c r="O3" s="114"/>
      <c r="P3" s="114"/>
    </row>
    <row r="4" spans="1:16" ht="14.45" thickBot="1">
      <c r="A4" s="261"/>
      <c r="B4" s="913"/>
      <c r="C4" s="913"/>
      <c r="D4" s="913"/>
      <c r="E4" s="644"/>
      <c r="F4" s="266" t="s">
        <v>182</v>
      </c>
      <c r="G4" s="261"/>
      <c r="H4" s="266" t="s">
        <v>59</v>
      </c>
      <c r="I4" s="261"/>
      <c r="J4" s="266" t="s">
        <v>60</v>
      </c>
      <c r="K4" s="261"/>
      <c r="L4" s="267" t="s">
        <v>183</v>
      </c>
      <c r="M4" s="114"/>
      <c r="N4" s="267" t="s">
        <v>184</v>
      </c>
      <c r="O4" s="114"/>
      <c r="P4" s="114"/>
    </row>
    <row r="5" spans="1:16" ht="14.45" thickBot="1">
      <c r="A5" s="261"/>
      <c r="B5" s="914" t="s">
        <v>185</v>
      </c>
      <c r="C5" s="914"/>
      <c r="D5" s="914"/>
      <c r="E5" s="644"/>
      <c r="F5" s="268">
        <f>SUM(F9:F23)</f>
        <v>10556110.224391304</v>
      </c>
      <c r="G5" s="263"/>
      <c r="H5" s="268">
        <f>SUM(H9:H23)</f>
        <v>10804925.074304625</v>
      </c>
      <c r="I5" s="263"/>
      <c r="J5" s="268">
        <f>SUM(J9:J23)</f>
        <v>11989842.5275</v>
      </c>
      <c r="K5" s="261"/>
      <c r="L5" s="269">
        <f>SUM(L9:L23)</f>
        <v>-1433732.3031086952</v>
      </c>
      <c r="M5" s="114"/>
      <c r="N5" s="269">
        <f>SUM(N9:N23)</f>
        <v>-1184917.453195377</v>
      </c>
      <c r="O5" s="114"/>
      <c r="P5" s="114"/>
    </row>
    <row r="6" spans="1:16" ht="6.75" customHeight="1" thickBot="1">
      <c r="A6" s="261"/>
      <c r="B6" s="270"/>
      <c r="C6" s="270"/>
      <c r="D6" s="270"/>
      <c r="E6" s="270"/>
      <c r="F6" s="261"/>
      <c r="G6" s="261"/>
      <c r="H6" s="261"/>
      <c r="I6" s="261"/>
      <c r="J6" s="261"/>
      <c r="K6" s="261"/>
      <c r="L6" s="261"/>
      <c r="M6" s="114"/>
      <c r="N6" s="261"/>
      <c r="O6" s="114"/>
      <c r="P6" s="114"/>
    </row>
    <row r="7" spans="1:16" ht="26.45" thickBot="1">
      <c r="A7" s="261"/>
      <c r="B7" s="271" t="s">
        <v>72</v>
      </c>
      <c r="C7" s="272"/>
      <c r="D7" s="271" t="s">
        <v>186</v>
      </c>
      <c r="E7" s="272"/>
      <c r="F7" s="273" t="s">
        <v>187</v>
      </c>
      <c r="G7" s="274"/>
      <c r="H7" s="273" t="s">
        <v>188</v>
      </c>
      <c r="I7" s="274"/>
      <c r="J7" s="273" t="s">
        <v>189</v>
      </c>
      <c r="K7" s="274"/>
      <c r="L7" s="273" t="s">
        <v>190</v>
      </c>
      <c r="M7" s="190"/>
      <c r="N7" s="273" t="s">
        <v>190</v>
      </c>
      <c r="O7" s="190"/>
      <c r="P7" s="117" t="s">
        <v>191</v>
      </c>
    </row>
    <row r="8" spans="1:16" ht="6.75" customHeight="1">
      <c r="A8" s="261"/>
      <c r="B8" s="262"/>
      <c r="C8" s="262"/>
      <c r="D8" s="261"/>
      <c r="E8" s="261"/>
      <c r="F8" s="261"/>
      <c r="G8" s="261"/>
      <c r="H8" s="261"/>
      <c r="I8" s="261"/>
      <c r="J8" s="261"/>
      <c r="K8" s="261"/>
      <c r="L8" s="261"/>
      <c r="M8" s="114"/>
      <c r="N8" s="261"/>
      <c r="O8" s="114"/>
      <c r="P8" s="114"/>
    </row>
    <row r="9" spans="1:16">
      <c r="A9" s="261"/>
      <c r="B9" s="275">
        <f>'Expenditure Breakdown'!B6</f>
        <v>1</v>
      </c>
      <c r="C9" s="264"/>
      <c r="D9" s="276" t="str">
        <f>'Expenditure Breakdown'!C6</f>
        <v>Panels</v>
      </c>
      <c r="E9" s="86"/>
      <c r="F9" s="277">
        <f>'Expenditure Breakdown'!J6</f>
        <v>1077596.56</v>
      </c>
      <c r="G9" s="86"/>
      <c r="H9" s="277">
        <v>948317.8</v>
      </c>
      <c r="I9" s="86"/>
      <c r="J9" s="277">
        <f>'Expenditure Breakdown'!X6</f>
        <v>908317.8</v>
      </c>
      <c r="K9" s="89"/>
      <c r="L9" s="278">
        <f>F9-J9</f>
        <v>169278.76</v>
      </c>
      <c r="M9" s="191"/>
      <c r="N9" s="278">
        <f>H9-J9</f>
        <v>40000</v>
      </c>
      <c r="O9" s="191"/>
      <c r="P9" s="301"/>
    </row>
    <row r="10" spans="1:16">
      <c r="A10" s="261"/>
      <c r="B10" s="275">
        <f>'Expenditure Breakdown'!B13</f>
        <v>2</v>
      </c>
      <c r="C10" s="264"/>
      <c r="D10" s="276" t="str">
        <f>'Expenditure Breakdown'!C13</f>
        <v>Inverters</v>
      </c>
      <c r="E10" s="86"/>
      <c r="F10" s="277">
        <f>+'Expenditure Breakdown'!J13</f>
        <v>210000</v>
      </c>
      <c r="G10" s="86"/>
      <c r="H10" s="277">
        <v>252941.60249999998</v>
      </c>
      <c r="I10" s="86"/>
      <c r="J10" s="277">
        <f>+'Expenditure Breakdown'!X13</f>
        <v>180931.83</v>
      </c>
      <c r="K10" s="89"/>
      <c r="L10" s="278">
        <f t="shared" ref="L10:L23" si="0">F10-J10</f>
        <v>29068.170000000013</v>
      </c>
      <c r="M10" s="191"/>
      <c r="N10" s="278">
        <f t="shared" ref="N10:N23" si="1">H10-J10</f>
        <v>72009.772499999992</v>
      </c>
      <c r="O10" s="191"/>
      <c r="P10" s="301"/>
    </row>
    <row r="11" spans="1:16">
      <c r="A11" s="261"/>
      <c r="B11" s="275">
        <f>'Expenditure Breakdown'!B18</f>
        <v>3</v>
      </c>
      <c r="C11" s="264"/>
      <c r="D11" s="276" t="str">
        <f>'Expenditure Breakdown'!C18</f>
        <v>Mounting Structures</v>
      </c>
      <c r="E11" s="279"/>
      <c r="F11" s="277">
        <f>+'Expenditure Breakdown'!J18</f>
        <v>180180</v>
      </c>
      <c r="G11" s="86"/>
      <c r="H11" s="277">
        <v>86297.651999999987</v>
      </c>
      <c r="I11" s="86"/>
      <c r="J11" s="277">
        <f>+'Expenditure Breakdown'!X18</f>
        <v>86550.7</v>
      </c>
      <c r="K11" s="89"/>
      <c r="L11" s="278">
        <f t="shared" si="0"/>
        <v>93629.3</v>
      </c>
      <c r="M11" s="191"/>
      <c r="N11" s="278">
        <f t="shared" si="1"/>
        <v>-253.04800000000978</v>
      </c>
      <c r="O11" s="191"/>
      <c r="P11" s="301"/>
    </row>
    <row r="12" spans="1:16">
      <c r="A12" s="261"/>
      <c r="B12" s="275">
        <f>'Expenditure Breakdown'!B23</f>
        <v>4</v>
      </c>
      <c r="C12" s="264"/>
      <c r="D12" s="276" t="str">
        <f>'Expenditure Breakdown'!C23</f>
        <v>DC Equipment</v>
      </c>
      <c r="E12" s="279"/>
      <c r="F12" s="277">
        <f>+'Expenditure Breakdown'!J23</f>
        <v>344364.79999999993</v>
      </c>
      <c r="G12" s="86"/>
      <c r="H12" s="277">
        <v>313434</v>
      </c>
      <c r="I12" s="86"/>
      <c r="J12" s="277">
        <f>+'Expenditure Breakdown'!X23</f>
        <v>362150</v>
      </c>
      <c r="K12" s="89"/>
      <c r="L12" s="278">
        <f t="shared" si="0"/>
        <v>-17785.20000000007</v>
      </c>
      <c r="M12" s="191"/>
      <c r="N12" s="278">
        <f t="shared" si="1"/>
        <v>-48716</v>
      </c>
      <c r="O12" s="191"/>
      <c r="P12" s="301"/>
    </row>
    <row r="13" spans="1:16">
      <c r="A13" s="261"/>
      <c r="B13" s="275">
        <f>'Expenditure Breakdown'!B35</f>
        <v>5</v>
      </c>
      <c r="C13" s="264"/>
      <c r="D13" s="276" t="str">
        <f>'Expenditure Breakdown'!C35</f>
        <v>Monitoring</v>
      </c>
      <c r="E13" s="279"/>
      <c r="F13" s="277">
        <f>+'Expenditure Breakdown'!J35</f>
        <v>174000</v>
      </c>
      <c r="G13" s="86"/>
      <c r="H13" s="277">
        <v>50640.35</v>
      </c>
      <c r="I13" s="86"/>
      <c r="J13" s="277">
        <f>+'Expenditure Breakdown'!X35</f>
        <v>68208.040000000008</v>
      </c>
      <c r="K13" s="89"/>
      <c r="L13" s="278">
        <f t="shared" si="0"/>
        <v>105791.95999999999</v>
      </c>
      <c r="M13" s="191"/>
      <c r="N13" s="278">
        <f t="shared" si="1"/>
        <v>-17567.69000000001</v>
      </c>
      <c r="O13" s="191"/>
      <c r="P13" s="301"/>
    </row>
    <row r="14" spans="1:16">
      <c r="A14" s="261"/>
      <c r="B14" s="275">
        <f>'Expenditure Breakdown'!B43</f>
        <v>6</v>
      </c>
      <c r="C14" s="264"/>
      <c r="D14" s="276" t="str">
        <f>'Expenditure Breakdown'!C43</f>
        <v>AC Equipment</v>
      </c>
      <c r="E14" s="279"/>
      <c r="F14" s="277">
        <f>+'Expenditure Breakdown'!J43</f>
        <v>381282.72608695657</v>
      </c>
      <c r="G14" s="86"/>
      <c r="H14" s="277">
        <v>1167527.6500000001</v>
      </c>
      <c r="I14" s="86"/>
      <c r="J14" s="277">
        <f>+'Expenditure Breakdown'!X43</f>
        <v>1167527.6575</v>
      </c>
      <c r="K14" s="89"/>
      <c r="L14" s="278">
        <f t="shared" si="0"/>
        <v>-786244.93141304341</v>
      </c>
      <c r="M14" s="191"/>
      <c r="N14" s="278">
        <f t="shared" si="1"/>
        <v>-7.4999998323619366E-3</v>
      </c>
      <c r="O14" s="191"/>
      <c r="P14" s="301"/>
    </row>
    <row r="15" spans="1:16">
      <c r="A15" s="261"/>
      <c r="B15" s="275">
        <f>'Expenditure Breakdown'!B53</f>
        <v>7</v>
      </c>
      <c r="C15" s="264"/>
      <c r="D15" s="276" t="str">
        <f>'Expenditure Breakdown'!C53</f>
        <v>Battery Systems</v>
      </c>
      <c r="E15" s="279"/>
      <c r="F15" s="277">
        <f>+'Expenditure Breakdown'!J53</f>
        <v>7393826.9565217393</v>
      </c>
      <c r="G15" s="86"/>
      <c r="H15" s="277">
        <v>6474594</v>
      </c>
      <c r="I15" s="86"/>
      <c r="J15" s="277">
        <f>'Expenditure Breakdown'!X53</f>
        <v>6386529</v>
      </c>
      <c r="K15" s="89"/>
      <c r="L15" s="278">
        <f t="shared" ref="L15" si="2">F15-J15</f>
        <v>1007297.9565217393</v>
      </c>
      <c r="M15" s="191"/>
      <c r="N15" s="278">
        <f t="shared" si="1"/>
        <v>88065</v>
      </c>
      <c r="O15" s="191"/>
      <c r="P15" s="301"/>
    </row>
    <row r="16" spans="1:16">
      <c r="A16" s="261"/>
      <c r="B16" s="275">
        <f>'Expenditure Breakdown'!B66</f>
        <v>8</v>
      </c>
      <c r="C16" s="264"/>
      <c r="D16" s="276" t="str">
        <f>'Expenditure Breakdown'!C66</f>
        <v xml:space="preserve">Product Add On </v>
      </c>
      <c r="E16" s="279"/>
      <c r="F16" s="277">
        <f>'Expenditure Breakdown'!J66</f>
        <v>0</v>
      </c>
      <c r="G16" s="86"/>
      <c r="H16" s="277">
        <v>135656</v>
      </c>
      <c r="I16" s="86"/>
      <c r="J16" s="277">
        <f>'Expenditure Breakdown'!X66</f>
        <v>313051.31999999995</v>
      </c>
      <c r="K16" s="89"/>
      <c r="L16" s="278">
        <f t="shared" si="0"/>
        <v>-313051.31999999995</v>
      </c>
      <c r="M16" s="191"/>
      <c r="N16" s="278">
        <f t="shared" si="1"/>
        <v>-177395.31999999995</v>
      </c>
      <c r="O16" s="191"/>
      <c r="P16" s="301"/>
    </row>
    <row r="17" spans="1:16">
      <c r="A17" s="261"/>
      <c r="B17" s="275">
        <f>'Expenditure Breakdown'!M78</f>
        <v>9</v>
      </c>
      <c r="C17" s="264"/>
      <c r="D17" s="276" t="str">
        <f>'Expenditure Breakdown'!C78</f>
        <v>AC &amp; DC Installation</v>
      </c>
      <c r="E17" s="279"/>
      <c r="F17" s="277">
        <f>+'Expenditure Breakdown'!J78</f>
        <v>342160</v>
      </c>
      <c r="G17" s="86"/>
      <c r="H17" s="277">
        <v>676951.99999999988</v>
      </c>
      <c r="I17" s="86"/>
      <c r="J17" s="277">
        <f>+'Expenditure Breakdown'!X78</f>
        <v>676951.99999999988</v>
      </c>
      <c r="K17" s="89"/>
      <c r="L17" s="278">
        <f t="shared" si="0"/>
        <v>-334791.99999999988</v>
      </c>
      <c r="M17" s="191"/>
      <c r="N17" s="278">
        <f t="shared" si="1"/>
        <v>0</v>
      </c>
      <c r="O17" s="191"/>
      <c r="P17" s="301"/>
    </row>
    <row r="18" spans="1:16">
      <c r="A18" s="261"/>
      <c r="B18" s="275">
        <f>'Expenditure Breakdown'!B87</f>
        <v>10</v>
      </c>
      <c r="C18" s="264"/>
      <c r="D18" s="276" t="str">
        <f>'Expenditure Breakdown'!C87</f>
        <v>Site Logistics</v>
      </c>
      <c r="E18" s="86"/>
      <c r="F18" s="277">
        <f>+'Expenditure Breakdown'!J87</f>
        <v>54108.833333333328</v>
      </c>
      <c r="G18" s="86"/>
      <c r="H18" s="277">
        <v>314686.99999999994</v>
      </c>
      <c r="I18" s="86"/>
      <c r="J18" s="277">
        <f>+'Expenditure Breakdown'!X87</f>
        <v>114637</v>
      </c>
      <c r="K18" s="89"/>
      <c r="L18" s="278">
        <f t="shared" si="0"/>
        <v>-60528.166666666672</v>
      </c>
      <c r="M18" s="191"/>
      <c r="N18" s="278">
        <f t="shared" si="1"/>
        <v>200049.99999999994</v>
      </c>
      <c r="O18" s="191"/>
      <c r="P18" s="301"/>
    </row>
    <row r="19" spans="1:16">
      <c r="A19" s="261"/>
      <c r="B19" s="275">
        <f>'Expenditure Breakdown'!B100</f>
        <v>11</v>
      </c>
      <c r="C19" s="264"/>
      <c r="D19" s="276" t="str">
        <f>'Expenditure Breakdown'!C100</f>
        <v>Due Dilligence</v>
      </c>
      <c r="E19" s="86"/>
      <c r="F19" s="277">
        <f>'Expenditure Breakdown'!J100</f>
        <v>111020</v>
      </c>
      <c r="G19" s="86"/>
      <c r="H19" s="277">
        <v>82026.399999999994</v>
      </c>
      <c r="I19" s="86"/>
      <c r="J19" s="277">
        <f>'Expenditure Breakdown'!X100</f>
        <v>38759.07</v>
      </c>
      <c r="K19" s="89"/>
      <c r="L19" s="278">
        <f t="shared" si="0"/>
        <v>72260.929999999993</v>
      </c>
      <c r="M19" s="191"/>
      <c r="N19" s="278">
        <f t="shared" si="1"/>
        <v>43267.329999999994</v>
      </c>
      <c r="O19" s="191"/>
      <c r="P19" s="301"/>
    </row>
    <row r="20" spans="1:16">
      <c r="A20" s="261"/>
      <c r="B20" s="275">
        <f>'Expenditure Breakdown'!B108</f>
        <v>12</v>
      </c>
      <c r="C20" s="264"/>
      <c r="D20" s="276" t="str">
        <f>'Expenditure Breakdown'!C108</f>
        <v>BDP Commission</v>
      </c>
      <c r="E20" s="86"/>
      <c r="F20" s="277">
        <f>'Expenditure Breakdown'!G107</f>
        <v>0</v>
      </c>
      <c r="G20" s="86"/>
      <c r="H20" s="277">
        <v>0</v>
      </c>
      <c r="I20" s="86"/>
      <c r="J20" s="277">
        <f>'Expenditure Breakdown'!X107</f>
        <v>0</v>
      </c>
      <c r="K20" s="89"/>
      <c r="L20" s="278">
        <f t="shared" si="0"/>
        <v>0</v>
      </c>
      <c r="M20" s="191"/>
      <c r="N20" s="278">
        <f t="shared" si="1"/>
        <v>0</v>
      </c>
      <c r="O20" s="191"/>
      <c r="P20" s="301"/>
    </row>
    <row r="21" spans="1:16">
      <c r="A21" s="261"/>
      <c r="B21" s="275">
        <f>'Expenditure Breakdown'!B110</f>
        <v>13</v>
      </c>
      <c r="C21" s="264"/>
      <c r="D21" s="276" t="str">
        <f>'Expenditure Breakdown'!C110</f>
        <v>Engineering</v>
      </c>
      <c r="E21" s="86"/>
      <c r="F21" s="277">
        <f>+'Expenditure Breakdown'!J110</f>
        <v>239970.34844927539</v>
      </c>
      <c r="G21" s="86"/>
      <c r="H21" s="277">
        <v>255808.09313795625</v>
      </c>
      <c r="I21" s="86"/>
      <c r="J21" s="277">
        <f>+'Expenditure Breakdown'!X110</f>
        <v>447579.71</v>
      </c>
      <c r="K21" s="89"/>
      <c r="L21" s="278">
        <f t="shared" si="0"/>
        <v>-207609.36155072463</v>
      </c>
      <c r="M21" s="191"/>
      <c r="N21" s="278">
        <f t="shared" si="1"/>
        <v>-191771.61686204377</v>
      </c>
      <c r="O21" s="191"/>
      <c r="P21" s="301" t="s">
        <v>192</v>
      </c>
    </row>
    <row r="22" spans="1:16">
      <c r="A22" s="261"/>
      <c r="B22" s="275">
        <f>'Expenditure Breakdown'!B118</f>
        <v>14</v>
      </c>
      <c r="C22" s="264"/>
      <c r="D22" s="276" t="str">
        <f>'Expenditure Breakdown'!C118</f>
        <v>General Expenses</v>
      </c>
      <c r="E22" s="86"/>
      <c r="F22" s="277">
        <f>+'Expenditure Breakdown'!J118</f>
        <v>47600</v>
      </c>
      <c r="G22" s="86"/>
      <c r="H22" s="277">
        <v>46042.526666666665</v>
      </c>
      <c r="I22" s="86"/>
      <c r="J22" s="277">
        <f>+'Expenditure Breakdown'!X118</f>
        <v>67232.7</v>
      </c>
      <c r="K22" s="89"/>
      <c r="L22" s="278">
        <f t="shared" si="0"/>
        <v>-19632.699999999997</v>
      </c>
      <c r="M22" s="191"/>
      <c r="N22" s="278">
        <f t="shared" si="1"/>
        <v>-21190.173333333332</v>
      </c>
      <c r="O22" s="191"/>
      <c r="P22" s="301"/>
    </row>
    <row r="23" spans="1:16">
      <c r="A23" s="261"/>
      <c r="B23" s="275">
        <f>'Expenditure Breakdown'!B129</f>
        <v>15</v>
      </c>
      <c r="C23" s="264"/>
      <c r="D23" s="276" t="str">
        <f>'Expenditure Breakdown'!C129</f>
        <v>Service Add On</v>
      </c>
      <c r="E23" s="86"/>
      <c r="F23" s="277">
        <f>+'Expenditure Breakdown'!J129</f>
        <v>0</v>
      </c>
      <c r="G23" s="86"/>
      <c r="H23" s="277">
        <v>0</v>
      </c>
      <c r="I23" s="86"/>
      <c r="J23" s="277">
        <f>+'Expenditure Breakdown'!X129</f>
        <v>1171415.7</v>
      </c>
      <c r="K23" s="89"/>
      <c r="L23" s="278">
        <f t="shared" si="0"/>
        <v>-1171415.7</v>
      </c>
      <c r="M23" s="191"/>
      <c r="N23" s="278">
        <f t="shared" si="1"/>
        <v>-1171415.7</v>
      </c>
      <c r="O23" s="191"/>
      <c r="P23" s="301"/>
    </row>
    <row r="24" spans="1:16" ht="6.75" customHeight="1">
      <c r="A24" s="261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1"/>
      <c r="N24" s="89"/>
      <c r="O24" s="191"/>
      <c r="P24" s="114"/>
    </row>
    <row r="25" spans="1:16" ht="15" customHeight="1">
      <c r="A25" s="261"/>
      <c r="B25" s="87"/>
      <c r="C25" s="87"/>
      <c r="D25" s="280" t="s">
        <v>193</v>
      </c>
      <c r="E25" s="86"/>
      <c r="F25" s="281">
        <f>'Expenditure Breakdown'!J2-'Expenditure Tracking'!F5</f>
        <v>0</v>
      </c>
      <c r="G25" s="281" t="e">
        <f>'Expenditure Breakdown'!#REF!-G5</f>
        <v>#REF!</v>
      </c>
      <c r="H25" s="281">
        <f>'Expenditure Breakdown'!X2-J5</f>
        <v>0</v>
      </c>
      <c r="I25" s="281" t="e">
        <f>'Expenditure Breakdown'!#REF!-I5</f>
        <v>#REF!</v>
      </c>
      <c r="J25" s="281">
        <f>'Expenditure Breakdown'!X2-J5</f>
        <v>0</v>
      </c>
      <c r="K25" s="89"/>
      <c r="L25" s="282"/>
      <c r="M25" s="191"/>
      <c r="N25" s="282"/>
      <c r="O25" s="191"/>
      <c r="P25" s="114"/>
    </row>
    <row r="26" spans="1:16" s="3" customFormat="1">
      <c r="B26" s="109"/>
      <c r="C26" s="109"/>
    </row>
    <row r="27" spans="1:16">
      <c r="A27" s="611" t="s">
        <v>194</v>
      </c>
      <c r="B27" s="612"/>
      <c r="C27" s="612"/>
      <c r="D27" s="177"/>
      <c r="E27" s="177"/>
      <c r="F27" s="177"/>
      <c r="G27" s="177"/>
      <c r="H27" s="177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9" priority="5" operator="notEqual">
      <formula>0</formula>
    </cfRule>
  </conditionalFormatting>
  <conditionalFormatting sqref="H25">
    <cfRule type="cellIs" dxfId="28" priority="3" operator="notEqual">
      <formula>0</formula>
    </cfRule>
  </conditionalFormatting>
  <conditionalFormatting sqref="J25">
    <cfRule type="cellIs" dxfId="27" priority="4" operator="notEqual">
      <formula>0</formula>
    </cfRule>
  </conditionalFormatting>
  <conditionalFormatting sqref="L5 L9:L23">
    <cfRule type="cellIs" dxfId="26" priority="6" operator="lessThan">
      <formula>0</formula>
    </cfRule>
    <cfRule type="cellIs" dxfId="25" priority="7" operator="greaterThanOrEqual">
      <formula>0</formula>
    </cfRule>
  </conditionalFormatting>
  <conditionalFormatting sqref="N5 N9:N23">
    <cfRule type="cellIs" dxfId="24" priority="1" operator="lessThan">
      <formula>0</formula>
    </cfRule>
    <cfRule type="cellIs" dxfId="23" priority="2" operator="greaterThanOr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5"/>
  <dimension ref="C1:H26"/>
  <sheetViews>
    <sheetView showGridLines="0" workbookViewId="0">
      <selection activeCell="D14" sqref="D14:D26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195</v>
      </c>
      <c r="F2" s="83" t="s">
        <v>196</v>
      </c>
    </row>
    <row r="3" spans="3:8">
      <c r="C3" s="79">
        <v>45292</v>
      </c>
      <c r="D3" s="73" t="s">
        <v>197</v>
      </c>
      <c r="F3" s="81" t="s">
        <v>198</v>
      </c>
    </row>
    <row r="4" spans="3:8">
      <c r="C4" s="79">
        <v>45372</v>
      </c>
      <c r="D4" s="73" t="s">
        <v>199</v>
      </c>
      <c r="F4" s="81" t="s">
        <v>200</v>
      </c>
    </row>
    <row r="5" spans="3:8">
      <c r="C5" s="79">
        <v>45380</v>
      </c>
      <c r="D5" s="73" t="s">
        <v>201</v>
      </c>
      <c r="F5" s="81" t="s">
        <v>202</v>
      </c>
    </row>
    <row r="6" spans="3:8" ht="12.95" thickBot="1">
      <c r="C6" s="79">
        <v>45383</v>
      </c>
      <c r="D6" s="73" t="s">
        <v>203</v>
      </c>
      <c r="F6" s="82" t="s">
        <v>204</v>
      </c>
    </row>
    <row r="7" spans="3:8">
      <c r="C7" s="79">
        <v>45413</v>
      </c>
      <c r="D7" s="73" t="s">
        <v>205</v>
      </c>
    </row>
    <row r="8" spans="3:8">
      <c r="C8" s="79">
        <v>45460</v>
      </c>
      <c r="D8" s="73" t="s">
        <v>206</v>
      </c>
    </row>
    <row r="9" spans="3:8">
      <c r="C9" s="79">
        <v>45513</v>
      </c>
      <c r="D9" s="73" t="s">
        <v>207</v>
      </c>
    </row>
    <row r="10" spans="3:8">
      <c r="C10" s="79">
        <v>45559</v>
      </c>
      <c r="D10" s="73" t="s">
        <v>208</v>
      </c>
    </row>
    <row r="11" spans="3:8">
      <c r="C11" s="79">
        <v>45642</v>
      </c>
      <c r="D11" s="73" t="s">
        <v>209</v>
      </c>
    </row>
    <row r="12" spans="3:8">
      <c r="C12" s="79">
        <v>45651</v>
      </c>
      <c r="D12" s="73" t="s">
        <v>210</v>
      </c>
    </row>
    <row r="13" spans="3:8">
      <c r="C13" s="79">
        <v>45652</v>
      </c>
      <c r="D13" s="73" t="s">
        <v>211</v>
      </c>
      <c r="F13" s="85"/>
      <c r="H13" s="73" t="s">
        <v>212</v>
      </c>
    </row>
    <row r="14" spans="3:8" ht="12.95" thickBot="1">
      <c r="C14" s="80">
        <v>45658</v>
      </c>
      <c r="D14" s="73" t="s">
        <v>197</v>
      </c>
    </row>
    <row r="15" spans="3:8">
      <c r="C15" s="79">
        <v>45737</v>
      </c>
      <c r="D15" s="73" t="s">
        <v>199</v>
      </c>
    </row>
    <row r="16" spans="3:8">
      <c r="C16" s="79">
        <v>45765</v>
      </c>
      <c r="D16" s="73" t="s">
        <v>201</v>
      </c>
    </row>
    <row r="17" spans="3:4">
      <c r="C17" s="79">
        <v>45768</v>
      </c>
      <c r="D17" s="73" t="s">
        <v>203</v>
      </c>
    </row>
    <row r="18" spans="3:4">
      <c r="C18" s="79">
        <v>45774</v>
      </c>
      <c r="D18" s="73" t="s">
        <v>213</v>
      </c>
    </row>
    <row r="19" spans="3:4">
      <c r="C19" s="79">
        <v>45775</v>
      </c>
      <c r="D19" s="73" t="s">
        <v>214</v>
      </c>
    </row>
    <row r="20" spans="3:4">
      <c r="C20" s="79">
        <v>45778</v>
      </c>
      <c r="D20" s="73" t="s">
        <v>205</v>
      </c>
    </row>
    <row r="21" spans="3:4">
      <c r="C21" s="79">
        <v>45824</v>
      </c>
      <c r="D21" s="73" t="s">
        <v>206</v>
      </c>
    </row>
    <row r="22" spans="3:4">
      <c r="C22" s="79">
        <v>45878</v>
      </c>
      <c r="D22" s="73" t="s">
        <v>207</v>
      </c>
    </row>
    <row r="23" spans="3:4">
      <c r="C23" s="79">
        <v>45924</v>
      </c>
      <c r="D23" s="73" t="s">
        <v>208</v>
      </c>
    </row>
    <row r="24" spans="3:4">
      <c r="C24" s="79">
        <v>46007</v>
      </c>
      <c r="D24" s="73" t="s">
        <v>209</v>
      </c>
    </row>
    <row r="25" spans="3:4">
      <c r="C25" s="79">
        <v>46016</v>
      </c>
      <c r="D25" s="73" t="s">
        <v>210</v>
      </c>
    </row>
    <row r="26" spans="3:4">
      <c r="C26" s="79">
        <v>46017</v>
      </c>
      <c r="D26" s="73" t="s">
        <v>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Z24"/>
  <sheetViews>
    <sheetView zoomScale="115" zoomScaleNormal="115" workbookViewId="0">
      <pane xSplit="5" ySplit="15" topLeftCell="R16" activePane="bottomRight" state="frozen"/>
      <selection pane="bottomRight" activeCell="G1" sqref="G1"/>
      <selection pane="bottomLeft" activeCell="A22" sqref="A22"/>
      <selection pane="topRight" activeCell="F1" sqref="F1"/>
    </sheetView>
  </sheetViews>
  <sheetFormatPr defaultColWidth="9.42578125" defaultRowHeight="14.45"/>
  <cols>
    <col min="1" max="1" width="9.42578125" customWidth="1"/>
    <col min="2" max="2" width="34.5703125" customWidth="1"/>
    <col min="3" max="3" width="18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94" width="15.42578125" bestFit="1" customWidth="1"/>
    <col min="95" max="95" width="9.42578125" style="237"/>
  </cols>
  <sheetData>
    <row r="1" spans="1:572">
      <c r="D1" s="233" t="s">
        <v>215</v>
      </c>
      <c r="E1" s="234"/>
      <c r="F1" s="235">
        <v>45600</v>
      </c>
      <c r="G1" s="236">
        <f>F1+7</f>
        <v>45607</v>
      </c>
      <c r="H1" s="236">
        <f>G1+7</f>
        <v>45614</v>
      </c>
      <c r="I1" s="236">
        <f t="shared" ref="I1:BT1" si="0">H1+7</f>
        <v>45621</v>
      </c>
      <c r="J1" s="236">
        <f t="shared" si="0"/>
        <v>45628</v>
      </c>
      <c r="K1" s="236">
        <f t="shared" si="0"/>
        <v>45635</v>
      </c>
      <c r="L1" s="236">
        <f t="shared" si="0"/>
        <v>45642</v>
      </c>
      <c r="M1" s="236">
        <f t="shared" si="0"/>
        <v>45649</v>
      </c>
      <c r="N1" s="236">
        <f t="shared" si="0"/>
        <v>45656</v>
      </c>
      <c r="O1" s="236">
        <f t="shared" si="0"/>
        <v>45663</v>
      </c>
      <c r="P1" s="236">
        <f t="shared" si="0"/>
        <v>45670</v>
      </c>
      <c r="Q1" s="236">
        <f t="shared" si="0"/>
        <v>45677</v>
      </c>
      <c r="R1" s="236">
        <f t="shared" si="0"/>
        <v>45684</v>
      </c>
      <c r="S1" s="236">
        <f t="shared" si="0"/>
        <v>45691</v>
      </c>
      <c r="T1" s="236">
        <f t="shared" si="0"/>
        <v>45698</v>
      </c>
      <c r="U1" s="236">
        <f t="shared" si="0"/>
        <v>45705</v>
      </c>
      <c r="V1" s="236">
        <f t="shared" si="0"/>
        <v>45712</v>
      </c>
      <c r="W1" s="236">
        <f t="shared" si="0"/>
        <v>45719</v>
      </c>
      <c r="X1" s="236">
        <f t="shared" si="0"/>
        <v>45726</v>
      </c>
      <c r="Y1" s="236">
        <f t="shared" si="0"/>
        <v>45733</v>
      </c>
      <c r="Z1" s="236">
        <f t="shared" si="0"/>
        <v>45740</v>
      </c>
      <c r="AA1" s="236">
        <f t="shared" si="0"/>
        <v>45747</v>
      </c>
      <c r="AB1" s="236">
        <f t="shared" si="0"/>
        <v>45754</v>
      </c>
      <c r="AC1" s="236">
        <f t="shared" si="0"/>
        <v>45761</v>
      </c>
      <c r="AD1" s="236">
        <f t="shared" si="0"/>
        <v>45768</v>
      </c>
      <c r="AE1" s="236">
        <f t="shared" si="0"/>
        <v>45775</v>
      </c>
      <c r="AF1" s="236">
        <f t="shared" si="0"/>
        <v>45782</v>
      </c>
      <c r="AG1" s="236">
        <f t="shared" si="0"/>
        <v>45789</v>
      </c>
      <c r="AH1" s="236">
        <f t="shared" si="0"/>
        <v>45796</v>
      </c>
      <c r="AI1" s="236">
        <f t="shared" si="0"/>
        <v>45803</v>
      </c>
      <c r="AJ1" s="236">
        <f t="shared" si="0"/>
        <v>45810</v>
      </c>
      <c r="AK1" s="236">
        <f t="shared" si="0"/>
        <v>45817</v>
      </c>
      <c r="AL1" s="236">
        <f t="shared" si="0"/>
        <v>45824</v>
      </c>
      <c r="AM1" s="236">
        <f t="shared" si="0"/>
        <v>45831</v>
      </c>
      <c r="AN1" s="236">
        <f t="shared" si="0"/>
        <v>45838</v>
      </c>
      <c r="AO1" s="236">
        <f t="shared" si="0"/>
        <v>45845</v>
      </c>
      <c r="AP1" s="236">
        <f t="shared" si="0"/>
        <v>45852</v>
      </c>
      <c r="AQ1" s="236">
        <f t="shared" si="0"/>
        <v>45859</v>
      </c>
      <c r="AR1" s="236">
        <f t="shared" si="0"/>
        <v>45866</v>
      </c>
      <c r="AS1" s="236">
        <f t="shared" si="0"/>
        <v>45873</v>
      </c>
      <c r="AT1" s="236">
        <f t="shared" si="0"/>
        <v>45880</v>
      </c>
      <c r="AU1" s="236">
        <f t="shared" si="0"/>
        <v>45887</v>
      </c>
      <c r="AV1" s="236">
        <f t="shared" si="0"/>
        <v>45894</v>
      </c>
      <c r="AW1" s="236">
        <f t="shared" si="0"/>
        <v>45901</v>
      </c>
      <c r="AX1" s="236">
        <f t="shared" si="0"/>
        <v>45908</v>
      </c>
      <c r="AY1" s="236">
        <f t="shared" si="0"/>
        <v>45915</v>
      </c>
      <c r="AZ1" s="236">
        <f t="shared" si="0"/>
        <v>45922</v>
      </c>
      <c r="BA1" s="236">
        <f t="shared" si="0"/>
        <v>45929</v>
      </c>
      <c r="BB1" s="236">
        <f t="shared" si="0"/>
        <v>45936</v>
      </c>
      <c r="BC1" s="236">
        <f t="shared" si="0"/>
        <v>45943</v>
      </c>
      <c r="BD1" s="236">
        <f t="shared" si="0"/>
        <v>45950</v>
      </c>
      <c r="BE1" s="236">
        <f t="shared" si="0"/>
        <v>45957</v>
      </c>
      <c r="BF1" s="236">
        <f t="shared" si="0"/>
        <v>45964</v>
      </c>
      <c r="BG1" s="236">
        <f t="shared" si="0"/>
        <v>45971</v>
      </c>
      <c r="BH1" s="236">
        <f t="shared" si="0"/>
        <v>45978</v>
      </c>
      <c r="BI1" s="236">
        <f t="shared" si="0"/>
        <v>45985</v>
      </c>
      <c r="BJ1" s="236">
        <f t="shared" si="0"/>
        <v>45992</v>
      </c>
      <c r="BK1" s="236">
        <f t="shared" si="0"/>
        <v>45999</v>
      </c>
      <c r="BL1" s="236">
        <f t="shared" si="0"/>
        <v>46006</v>
      </c>
      <c r="BM1" s="236">
        <f t="shared" si="0"/>
        <v>46013</v>
      </c>
      <c r="BN1" s="236">
        <f t="shared" si="0"/>
        <v>46020</v>
      </c>
      <c r="BO1" s="236">
        <f t="shared" si="0"/>
        <v>46027</v>
      </c>
      <c r="BP1" s="236">
        <f t="shared" si="0"/>
        <v>46034</v>
      </c>
      <c r="BQ1" s="236">
        <f t="shared" si="0"/>
        <v>46041</v>
      </c>
      <c r="BR1" s="236">
        <f t="shared" si="0"/>
        <v>46048</v>
      </c>
      <c r="BS1" s="236">
        <f t="shared" si="0"/>
        <v>46055</v>
      </c>
      <c r="BT1" s="236">
        <f t="shared" si="0"/>
        <v>46062</v>
      </c>
      <c r="BU1" s="236">
        <f t="shared" ref="BU1:CJ1" si="1">BT1+7</f>
        <v>46069</v>
      </c>
      <c r="BV1" s="236">
        <f t="shared" si="1"/>
        <v>46076</v>
      </c>
      <c r="BW1" s="236">
        <f t="shared" si="1"/>
        <v>46083</v>
      </c>
      <c r="BX1" s="236">
        <f t="shared" si="1"/>
        <v>46090</v>
      </c>
      <c r="BY1" s="236">
        <f t="shared" si="1"/>
        <v>46097</v>
      </c>
      <c r="BZ1" s="236">
        <f t="shared" si="1"/>
        <v>46104</v>
      </c>
      <c r="CA1" s="236">
        <f t="shared" si="1"/>
        <v>46111</v>
      </c>
      <c r="CB1" s="236">
        <f t="shared" si="1"/>
        <v>46118</v>
      </c>
      <c r="CC1" s="236">
        <f t="shared" si="1"/>
        <v>46125</v>
      </c>
      <c r="CD1" s="236">
        <f t="shared" si="1"/>
        <v>46132</v>
      </c>
      <c r="CE1" s="236">
        <f t="shared" si="1"/>
        <v>46139</v>
      </c>
      <c r="CF1" s="236">
        <f t="shared" si="1"/>
        <v>46146</v>
      </c>
      <c r="CG1" s="236">
        <f t="shared" si="1"/>
        <v>46153</v>
      </c>
      <c r="CH1" s="236">
        <f t="shared" si="1"/>
        <v>46160</v>
      </c>
      <c r="CI1" s="236">
        <f t="shared" si="1"/>
        <v>46167</v>
      </c>
      <c r="CJ1" s="236">
        <f t="shared" si="1"/>
        <v>46174</v>
      </c>
      <c r="CK1" s="236">
        <f t="shared" ref="CK1:CP1" si="2">CJ1+7</f>
        <v>46181</v>
      </c>
      <c r="CL1" s="236">
        <f t="shared" si="2"/>
        <v>46188</v>
      </c>
      <c r="CM1" s="236">
        <f t="shared" si="2"/>
        <v>46195</v>
      </c>
      <c r="CN1" s="236">
        <f t="shared" si="2"/>
        <v>46202</v>
      </c>
      <c r="CO1" s="236">
        <f t="shared" si="2"/>
        <v>46209</v>
      </c>
      <c r="CP1" s="236">
        <f t="shared" si="2"/>
        <v>46216</v>
      </c>
    </row>
    <row r="2" spans="1:572" s="237" customFormat="1">
      <c r="A2" s="915" t="s">
        <v>59</v>
      </c>
      <c r="B2" s="238"/>
      <c r="C2" s="239" t="s">
        <v>216</v>
      </c>
      <c r="D2" s="239" t="s">
        <v>216</v>
      </c>
      <c r="E2" s="239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0"/>
      <c r="AF2" s="240"/>
      <c r="AG2" s="240"/>
      <c r="AH2" s="240"/>
      <c r="AI2" s="240"/>
      <c r="AJ2" s="240"/>
      <c r="AK2" s="240"/>
      <c r="AL2" s="240"/>
      <c r="AM2" s="240"/>
      <c r="AN2" s="240"/>
      <c r="AO2" s="240"/>
      <c r="AP2" s="240"/>
      <c r="AQ2" s="240"/>
      <c r="AR2" s="240"/>
      <c r="AS2" s="240"/>
      <c r="AT2" s="240"/>
      <c r="AU2" s="240"/>
      <c r="AV2" s="240"/>
      <c r="AW2" s="240"/>
      <c r="AX2" s="240"/>
      <c r="AY2" s="240"/>
      <c r="AZ2" s="240"/>
      <c r="BA2" s="240"/>
      <c r="BB2" s="240"/>
      <c r="BC2" s="240"/>
      <c r="BD2" s="240"/>
      <c r="BE2" s="240"/>
      <c r="BF2" s="240"/>
      <c r="BG2" s="240"/>
      <c r="BH2" s="240"/>
      <c r="BI2" s="240"/>
      <c r="BJ2" s="240"/>
      <c r="BK2" s="240"/>
      <c r="BL2" s="240"/>
      <c r="BM2" s="240"/>
      <c r="BN2" s="240"/>
      <c r="BO2" s="240"/>
      <c r="BP2" s="240"/>
      <c r="BQ2" s="240"/>
      <c r="BR2" s="240"/>
      <c r="BS2" s="240"/>
      <c r="BT2" s="240"/>
      <c r="BU2" s="240"/>
      <c r="BV2" s="240"/>
      <c r="BW2" s="240"/>
      <c r="BX2" s="240"/>
      <c r="BY2" s="240"/>
      <c r="BZ2" s="240"/>
      <c r="CA2" s="240"/>
      <c r="CB2" s="240"/>
      <c r="CC2" s="240"/>
      <c r="CD2" s="240"/>
      <c r="CE2" s="240"/>
      <c r="CF2" s="240"/>
      <c r="CG2" s="240"/>
      <c r="CH2" s="240"/>
      <c r="CI2" s="240"/>
      <c r="CJ2" s="240"/>
      <c r="CK2" s="240"/>
      <c r="CL2" s="240"/>
      <c r="CM2" s="240"/>
      <c r="CN2" s="240"/>
      <c r="CO2" s="240"/>
      <c r="CP2" s="240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</row>
    <row r="3" spans="1:572">
      <c r="A3" s="916"/>
      <c r="B3" s="241" t="s">
        <v>63</v>
      </c>
      <c r="C3" s="242">
        <f>'Revenue Tracking'!D4</f>
        <v>11535559.4510365</v>
      </c>
      <c r="D3" s="242">
        <f>SUM(F3:CP3)</f>
        <v>11729547.5310365</v>
      </c>
      <c r="E3" s="243"/>
      <c r="F3" s="244">
        <f>SUMIFS('Revenue Tracking'!$F$13:$F$20, 'Revenue Tracking'!$H$13:$H$20, "&gt;="&amp;F1,'Revenue Tracking'!$H$13:$H$20, "&lt;"&amp;G1)</f>
        <v>0</v>
      </c>
      <c r="G3" s="244">
        <f>SUMIFS('Revenue Tracking'!$F$13:$F$20, 'Revenue Tracking'!$H$13:$H$20, "&gt;="&amp;G1,'Revenue Tracking'!$H$13:$H$20, "&lt;"&amp;H1)</f>
        <v>0</v>
      </c>
      <c r="H3" s="244">
        <f>SUMIFS('Revenue Tracking'!$F$13:$F$20, 'Revenue Tracking'!$H$13:$H$20, "&gt;="&amp;H1,'Revenue Tracking'!$H$13:$H$20, "&lt;"&amp;I1)</f>
        <v>0</v>
      </c>
      <c r="I3" s="244">
        <f>SUMIFS('Revenue Tracking'!$F$13:$F$20, 'Revenue Tracking'!$H$13:$H$20, "&gt;="&amp;I1,'Revenue Tracking'!$H$13:$H$20, "&lt;"&amp;J1)</f>
        <v>0</v>
      </c>
      <c r="J3" s="244">
        <f>SUMIFS('Revenue Tracking'!$F$13:$F$20, 'Revenue Tracking'!$H$13:$H$20, "&gt;="&amp;J1,'Revenue Tracking'!$H$13:$H$20, "&lt;"&amp;K1)</f>
        <v>0</v>
      </c>
      <c r="K3" s="244">
        <f>SUMIFS('Revenue Tracking'!$F$13:$F$20, 'Revenue Tracking'!$H$13:$H$20, "&gt;="&amp;K1,'Revenue Tracking'!$H$13:$H$20, "&lt;"&amp;L1)</f>
        <v>4037445.8078627745</v>
      </c>
      <c r="L3" s="244">
        <f>SUMIFS('Revenue Tracking'!$F$13:$F$20, 'Revenue Tracking'!$H$13:$H$20, "&gt;="&amp;L1,'Revenue Tracking'!$H$13:$H$20, "&lt;"&amp;M1)</f>
        <v>0</v>
      </c>
      <c r="M3" s="244">
        <f>SUMIFS('Revenue Tracking'!$F$13:$F$20, 'Revenue Tracking'!$H$13:$H$20, "&gt;="&amp;M1,'Revenue Tracking'!$H$13:$H$20, "&lt;"&amp;N1)</f>
        <v>0</v>
      </c>
      <c r="N3" s="244">
        <f>SUMIFS('Revenue Tracking'!$F$13:$F$20, 'Revenue Tracking'!$H$13:$H$20, "&gt;="&amp;N1,'Revenue Tracking'!$H$13:$H$20, "&lt;"&amp;O1)</f>
        <v>0</v>
      </c>
      <c r="O3" s="244">
        <f>SUMIFS('Revenue Tracking'!$F$13:$F$20, 'Revenue Tracking'!$H$13:$H$20, "&gt;="&amp;O1,'Revenue Tracking'!$H$13:$H$20, "&lt;"&amp;P1)</f>
        <v>0</v>
      </c>
      <c r="P3" s="244">
        <f>SUMIFS('Revenue Tracking'!$F$13:$F$20, 'Revenue Tracking'!$H$13:$H$20, "&gt;="&amp;P1,'Revenue Tracking'!$H$13:$H$20, "&lt;"&amp;Q1)</f>
        <v>0</v>
      </c>
      <c r="Q3" s="244">
        <f>SUMIFS('Revenue Tracking'!$F$13:$F$20, 'Revenue Tracking'!$H$13:$H$20, "&gt;="&amp;Q1,'Revenue Tracking'!$H$13:$H$20, "&lt;"&amp;R1)</f>
        <v>0</v>
      </c>
      <c r="R3" s="244">
        <f>SUMIFS('Revenue Tracking'!$F$13:$F$20, 'Revenue Tracking'!$H$13:$H$20, "&gt;="&amp;R1,'Revenue Tracking'!$H$13:$H$20, "&lt;"&amp;S1)</f>
        <v>0</v>
      </c>
      <c r="S3" s="244">
        <f>SUMIFS('Revenue Tracking'!$F$13:$F$20, 'Revenue Tracking'!$H$13:$H$20, "&gt;="&amp;S1,'Revenue Tracking'!$H$13:$H$20, "&lt;"&amp;T1)</f>
        <v>0</v>
      </c>
      <c r="T3" s="244">
        <f>SUMIFS('Revenue Tracking'!$F$13:$F$20, 'Revenue Tracking'!$H$13:$H$20, "&gt;="&amp;T1,'Revenue Tracking'!$H$13:$H$20, "&lt;"&amp;U1)</f>
        <v>0</v>
      </c>
      <c r="U3" s="244">
        <f>SUMIFS('Revenue Tracking'!$F$13:$F$20, 'Revenue Tracking'!$H$13:$H$20, "&gt;="&amp;U1,'Revenue Tracking'!$H$13:$H$20, "&lt;"&amp;V1)</f>
        <v>0</v>
      </c>
      <c r="V3" s="244">
        <f>SUMIFS('Revenue Tracking'!$F$13:$F$20, 'Revenue Tracking'!$H$13:$H$20, "&gt;="&amp;V1,'Revenue Tracking'!$H$13:$H$20, "&lt;"&amp;W1)</f>
        <v>3460667.8353109499</v>
      </c>
      <c r="W3" s="244">
        <f>SUMIFS('Revenue Tracking'!$F$13:$F$20, 'Revenue Tracking'!$H$13:$H$20, "&gt;="&amp;W1,'Revenue Tracking'!$H$13:$H$20, "&lt;"&amp;X1)</f>
        <v>0</v>
      </c>
      <c r="X3" s="244">
        <f>SUMIFS('Revenue Tracking'!$F$13:$F$20, 'Revenue Tracking'!$H$13:$H$20, "&gt;="&amp;X1,'Revenue Tracking'!$H$13:$H$20, "&lt;"&amp;Y1)</f>
        <v>0</v>
      </c>
      <c r="Y3" s="244">
        <f>SUMIFS('Revenue Tracking'!$F$13:$F$20, 'Revenue Tracking'!$H$13:$H$20, "&gt;="&amp;Y1,'Revenue Tracking'!$H$13:$H$20, "&lt;"&amp;Z1)</f>
        <v>2307111.8902073</v>
      </c>
      <c r="Z3" s="244">
        <f>SUMIFS('Revenue Tracking'!$F$13:$F$20, 'Revenue Tracking'!$H$13:$H$20, "&gt;="&amp;Z1,'Revenue Tracking'!$H$13:$H$20, "&lt;"&amp;AA1)</f>
        <v>0</v>
      </c>
      <c r="AA3" s="244">
        <f>SUMIFS('Revenue Tracking'!$F$13:$F$20, 'Revenue Tracking'!$H$13:$H$20, "&gt;="&amp;AA1,'Revenue Tracking'!$H$13:$H$20, "&lt;"&amp;AB1)</f>
        <v>0</v>
      </c>
      <c r="AB3" s="244">
        <f>SUMIFS('Revenue Tracking'!$F$13:$F$20, 'Revenue Tracking'!$H$13:$H$20, "&gt;="&amp;AB1,'Revenue Tracking'!$H$13:$H$20, "&lt;"&amp;AC1)</f>
        <v>0</v>
      </c>
      <c r="AC3" s="244">
        <f>SUMIFS('Revenue Tracking'!$F$13:$F$20, 'Revenue Tracking'!$H$13:$H$20, "&gt;="&amp;AC1,'Revenue Tracking'!$H$13:$H$20, "&lt;"&amp;AD1)</f>
        <v>0</v>
      </c>
      <c r="AD3" s="244">
        <f>SUMIFS('Revenue Tracking'!$F$13:$F$20, 'Revenue Tracking'!$H$13:$H$20, "&gt;="&amp;AD1,'Revenue Tracking'!$H$13:$H$20, "&lt;"&amp;AE1)</f>
        <v>0</v>
      </c>
      <c r="AE3" s="244">
        <f>SUMIFS('Revenue Tracking'!$F$13:$F$20, 'Revenue Tracking'!$H$13:$H$20, "&gt;="&amp;AE1,'Revenue Tracking'!$H$13:$H$20, "&lt;"&amp;AF1)</f>
        <v>0</v>
      </c>
      <c r="AF3" s="244">
        <f>SUMIFS('Revenue Tracking'!$F$13:$F$20, 'Revenue Tracking'!$H$13:$H$20, "&gt;="&amp;AF1,'Revenue Tracking'!$H$13:$H$20, "&lt;"&amp;AG1)</f>
        <v>0</v>
      </c>
      <c r="AG3" s="244">
        <f>SUMIFS('Revenue Tracking'!$F$13:$F$20, 'Revenue Tracking'!$H$13:$H$20, "&gt;="&amp;AG1,'Revenue Tracking'!$H$13:$H$20, "&lt;"&amp;AH1)</f>
        <v>1271441.00510365</v>
      </c>
      <c r="AH3" s="244">
        <f>SUMIFS('Revenue Tracking'!$F$13:$F$20, 'Revenue Tracking'!$H$13:$H$20, "&gt;="&amp;AH1,'Revenue Tracking'!$H$13:$H$20, "&lt;"&amp;AI1)</f>
        <v>0</v>
      </c>
      <c r="AI3" s="244">
        <f>SUMIFS('Revenue Tracking'!$F$13:$F$20, 'Revenue Tracking'!$H$13:$H$20, "&gt;="&amp;AI1,'Revenue Tracking'!$H$13:$H$20, "&lt;"&amp;AJ1)</f>
        <v>0</v>
      </c>
      <c r="AJ3" s="244">
        <f>SUMIFS('Revenue Tracking'!$F$13:$F$20, 'Revenue Tracking'!$H$13:$H$20, "&gt;="&amp;AJ1,'Revenue Tracking'!$H$13:$H$20, "&lt;"&amp;AK1)</f>
        <v>652880.99255182501</v>
      </c>
      <c r="AK3" s="244">
        <f>SUMIFS('Revenue Tracking'!$F$13:$F$20, 'Revenue Tracking'!$H$13:$H$20, "&gt;="&amp;AK1,'Revenue Tracking'!$H$13:$H$20, "&lt;"&amp;AL1)</f>
        <v>0</v>
      </c>
      <c r="AL3" s="244">
        <f>SUMIFS('Revenue Tracking'!$F$13:$F$20, 'Revenue Tracking'!$H$13:$H$20, "&gt;="&amp;AL1,'Revenue Tracking'!$H$13:$H$20, "&lt;"&amp;AM1)</f>
        <v>0</v>
      </c>
      <c r="AM3" s="244">
        <f>SUMIFS('Revenue Tracking'!$F$13:$F$20, 'Revenue Tracking'!$H$13:$H$20, "&gt;="&amp;AM1,'Revenue Tracking'!$H$13:$H$20, "&lt;"&amp;AN1)</f>
        <v>0</v>
      </c>
      <c r="AN3" s="244">
        <f>SUMIFS('Revenue Tracking'!$F$13:$F$20, 'Revenue Tracking'!$H$13:$H$20, "&gt;="&amp;AN1,'Revenue Tracking'!$H$13:$H$20, "&lt;"&amp;AO1)</f>
        <v>0</v>
      </c>
      <c r="AO3" s="244">
        <f>SUMIFS('Revenue Tracking'!$F$13:$F$20, 'Revenue Tracking'!$H$13:$H$20, "&gt;="&amp;AO1,'Revenue Tracking'!$H$13:$H$20, "&lt;"&amp;AP1)</f>
        <v>0</v>
      </c>
      <c r="AP3" s="244">
        <f>SUMIFS('Revenue Tracking'!$F$13:$F$20, 'Revenue Tracking'!$H$13:$H$20, "&gt;="&amp;AP1,'Revenue Tracking'!$H$13:$H$20, "&lt;"&amp;AQ1)</f>
        <v>0</v>
      </c>
      <c r="AQ3" s="244">
        <f>SUMIFS('Revenue Tracking'!$F$13:$F$20, 'Revenue Tracking'!$H$13:$H$20, "&gt;="&amp;AQ1,'Revenue Tracking'!$H$13:$H$20, "&lt;"&amp;AR1)</f>
        <v>0</v>
      </c>
      <c r="AR3" s="244">
        <f>SUMIFS('Revenue Tracking'!$F$13:$F$20, 'Revenue Tracking'!$H$13:$H$20, "&gt;="&amp;AR1,'Revenue Tracking'!$H$13:$H$20, "&lt;"&amp;AS1)</f>
        <v>0</v>
      </c>
      <c r="AS3" s="244">
        <f>SUMIFS('Revenue Tracking'!$F$13:$F$20, 'Revenue Tracking'!$H$13:$H$20, "&gt;="&amp;AS1,'Revenue Tracking'!$H$13:$H$20, "&lt;"&amp;AT1)</f>
        <v>0</v>
      </c>
      <c r="AT3" s="244">
        <f>SUMIFS('Revenue Tracking'!$F$13:$F$20, 'Revenue Tracking'!$H$13:$H$20, "&gt;="&amp;AT1,'Revenue Tracking'!$H$13:$H$20, "&lt;"&amp;AU1)</f>
        <v>0</v>
      </c>
      <c r="AU3" s="244">
        <f>SUMIFS('Revenue Tracking'!$F$13:$F$20, 'Revenue Tracking'!$H$13:$H$20, "&gt;="&amp;AU1,'Revenue Tracking'!$H$13:$H$20, "&lt;"&amp;AV1)</f>
        <v>0</v>
      </c>
      <c r="AV3" s="244">
        <f>SUMIFS('Revenue Tracking'!$F$13:$F$20, 'Revenue Tracking'!$H$13:$H$20, "&gt;="&amp;AV1,'Revenue Tracking'!$H$13:$H$20, "&lt;"&amp;AW1)</f>
        <v>0</v>
      </c>
      <c r="AW3" s="244">
        <f>SUMIFS('Revenue Tracking'!$F$13:$F$20, 'Revenue Tracking'!$H$13:$H$20, "&gt;="&amp;AW1,'Revenue Tracking'!$H$13:$H$20, "&lt;"&amp;AX1)</f>
        <v>0</v>
      </c>
      <c r="AX3" s="244">
        <f>SUMIFS('Revenue Tracking'!$F$13:$F$20, 'Revenue Tracking'!$H$13:$H$20, "&gt;="&amp;AX1,'Revenue Tracking'!$H$13:$H$20, "&lt;"&amp;AY1)</f>
        <v>0</v>
      </c>
      <c r="AY3" s="244">
        <f>SUMIFS('Revenue Tracking'!$F$13:$F$20, 'Revenue Tracking'!$H$13:$H$20, "&gt;="&amp;AY1,'Revenue Tracking'!$H$13:$H$20, "&lt;"&amp;AZ1)</f>
        <v>0</v>
      </c>
      <c r="AZ3" s="244">
        <f>SUMIFS('Revenue Tracking'!$F$13:$F$20, 'Revenue Tracking'!$H$13:$H$20, "&gt;="&amp;AZ1,'Revenue Tracking'!$H$13:$H$20, "&lt;"&amp;BA1)</f>
        <v>0</v>
      </c>
      <c r="BA3" s="244">
        <f>SUMIFS('Revenue Tracking'!$F$13:$F$20, 'Revenue Tracking'!$H$13:$H$20, "&gt;="&amp;BA1,'Revenue Tracking'!$H$13:$H$20, "&lt;"&amp;BB1)</f>
        <v>0</v>
      </c>
      <c r="BB3" s="244">
        <f>SUMIFS('Revenue Tracking'!$F$13:$F$20, 'Revenue Tracking'!$H$13:$H$20, "&gt;="&amp;BB1,'Revenue Tracking'!$H$13:$H$20, "&lt;"&amp;BC1)</f>
        <v>0</v>
      </c>
      <c r="BC3" s="244">
        <f>SUMIFS('Revenue Tracking'!$F$13:$F$20, 'Revenue Tracking'!$H$13:$H$20, "&gt;="&amp;BC1,'Revenue Tracking'!$H$13:$H$20, "&lt;"&amp;BD1)</f>
        <v>0</v>
      </c>
      <c r="BD3" s="244">
        <f>SUMIFS('Revenue Tracking'!$F$13:$F$20, 'Revenue Tracking'!$H$13:$H$20, "&gt;="&amp;BD1,'Revenue Tracking'!$H$13:$H$20, "&lt;"&amp;BE1)</f>
        <v>0</v>
      </c>
      <c r="BE3" s="244">
        <f>SUMIFS('Revenue Tracking'!$F$13:$F$20, 'Revenue Tracking'!$H$13:$H$20, "&gt;="&amp;BE1,'Revenue Tracking'!$H$13:$H$20, "&lt;"&amp;BF1)</f>
        <v>0</v>
      </c>
      <c r="BF3" s="244">
        <f>SUMIFS('Revenue Tracking'!$F$13:$F$20, 'Revenue Tracking'!$H$13:$H$20, "&gt;="&amp;BF1,'Revenue Tracking'!$H$13:$H$20, "&lt;"&amp;BG1)</f>
        <v>0</v>
      </c>
      <c r="BG3" s="244">
        <f>SUMIFS('Revenue Tracking'!$F$13:$F$20, 'Revenue Tracking'!$H$13:$H$20, "&gt;="&amp;BG1,'Revenue Tracking'!$H$13:$H$20, "&lt;"&amp;BH1)</f>
        <v>0</v>
      </c>
      <c r="BH3" s="244">
        <f>SUMIFS('Revenue Tracking'!$F$13:$F$20, 'Revenue Tracking'!$H$13:$H$20, "&gt;="&amp;BH1,'Revenue Tracking'!$H$13:$H$20, "&lt;"&amp;BI1)</f>
        <v>0</v>
      </c>
      <c r="BI3" s="244">
        <f>SUMIFS('Revenue Tracking'!$F$13:$F$20, 'Revenue Tracking'!$H$13:$H$20, "&gt;="&amp;BI1,'Revenue Tracking'!$H$13:$H$20, "&lt;"&amp;BJ1)</f>
        <v>0</v>
      </c>
      <c r="BJ3" s="244">
        <f>SUMIFS('Revenue Tracking'!$F$13:$F$20, 'Revenue Tracking'!$H$13:$H$20, "&gt;="&amp;BJ1,'Revenue Tracking'!$H$13:$H$20, "&lt;"&amp;BK1)</f>
        <v>0</v>
      </c>
      <c r="BK3" s="244">
        <f>SUMIFS('Revenue Tracking'!$F$13:$F$20, 'Revenue Tracking'!$H$13:$H$20, "&gt;="&amp;BK1,'Revenue Tracking'!$H$13:$H$20, "&lt;"&amp;BL1)</f>
        <v>0</v>
      </c>
      <c r="BL3" s="244">
        <f>SUMIFS('Revenue Tracking'!$F$13:$F$20, 'Revenue Tracking'!$H$13:$H$20, "&gt;="&amp;BL1,'Revenue Tracking'!$H$13:$H$20, "&lt;"&amp;BM1)</f>
        <v>0</v>
      </c>
      <c r="BM3" s="244">
        <f>SUMIFS('Revenue Tracking'!$F$13:$F$20, 'Revenue Tracking'!$H$13:$H$20, "&gt;="&amp;BM1,'Revenue Tracking'!$H$13:$H$20, "&lt;"&amp;BN1)</f>
        <v>0</v>
      </c>
      <c r="BN3" s="244">
        <f>SUMIFS('Revenue Tracking'!$F$13:$F$20, 'Revenue Tracking'!$H$13:$H$20, "&gt;="&amp;BN1,'Revenue Tracking'!$H$13:$H$20, "&lt;"&amp;BO1)</f>
        <v>0</v>
      </c>
      <c r="BO3" s="244">
        <f>SUMIFS('Revenue Tracking'!$F$13:$F$20, 'Revenue Tracking'!$H$13:$H$20, "&gt;="&amp;BO1,'Revenue Tracking'!$H$13:$H$20, "&lt;"&amp;BP1)</f>
        <v>0</v>
      </c>
      <c r="BP3" s="244">
        <f>SUMIFS('Revenue Tracking'!$F$13:$F$20, 'Revenue Tracking'!$H$13:$H$20, "&gt;="&amp;BP1,'Revenue Tracking'!$H$13:$H$20, "&lt;"&amp;BQ1)</f>
        <v>0</v>
      </c>
      <c r="BQ3" s="244">
        <f>SUMIFS('Revenue Tracking'!$F$13:$F$20, 'Revenue Tracking'!$H$13:$H$20, "&gt;="&amp;BQ1,'Revenue Tracking'!$H$13:$H$20, "&lt;"&amp;BR1)</f>
        <v>0</v>
      </c>
      <c r="BR3" s="244">
        <f>SUMIFS('Revenue Tracking'!$F$13:$F$20, 'Revenue Tracking'!$H$13:$H$20, "&gt;="&amp;BR1,'Revenue Tracking'!$H$13:$H$20, "&lt;"&amp;BS1)</f>
        <v>0</v>
      </c>
      <c r="BS3" s="244">
        <f>SUMIFS('Revenue Tracking'!$F$13:$F$20, 'Revenue Tracking'!$H$13:$H$20, "&gt;="&amp;BS1,'Revenue Tracking'!$H$13:$H$20, "&lt;"&amp;BT1)</f>
        <v>0</v>
      </c>
      <c r="BT3" s="244">
        <f>SUMIFS('Revenue Tracking'!$F$13:$F$20, 'Revenue Tracking'!$H$13:$H$20, "&gt;="&amp;BT1,'Revenue Tracking'!$H$13:$H$20, "&lt;"&amp;BU1)</f>
        <v>0</v>
      </c>
      <c r="BU3" s="244">
        <f>SUMIFS('Revenue Tracking'!$F$13:$F$20, 'Revenue Tracking'!$H$13:$H$20, "&gt;="&amp;BU1,'Revenue Tracking'!$H$13:$H$20, "&lt;"&amp;BV1)</f>
        <v>0</v>
      </c>
      <c r="BV3" s="244">
        <f>SUMIFS('Revenue Tracking'!$F$13:$F$20, 'Revenue Tracking'!$H$13:$H$20, "&gt;="&amp;BV1,'Revenue Tracking'!$H$13:$H$20, "&lt;"&amp;BW1)</f>
        <v>0</v>
      </c>
      <c r="BW3" s="244">
        <f>SUMIFS('Revenue Tracking'!$F$13:$F$20, 'Revenue Tracking'!$H$13:$H$20, "&gt;="&amp;BW1,'Revenue Tracking'!$H$13:$H$20, "&lt;"&amp;BX1)</f>
        <v>0</v>
      </c>
      <c r="BX3" s="244">
        <f>SUMIFS('Revenue Tracking'!$F$13:$F$20, 'Revenue Tracking'!$H$13:$H$20, "&gt;="&amp;BX1,'Revenue Tracking'!$H$13:$H$20, "&lt;"&amp;BY1)</f>
        <v>0</v>
      </c>
      <c r="BY3" s="244">
        <f>SUMIFS('Revenue Tracking'!$F$13:$F$20, 'Revenue Tracking'!$H$13:$H$20, "&gt;="&amp;BY1,'Revenue Tracking'!$H$13:$H$20, "&lt;"&amp;BZ1)</f>
        <v>0</v>
      </c>
      <c r="BZ3" s="244">
        <f>SUMIFS('Revenue Tracking'!$F$13:$F$20, 'Revenue Tracking'!$H$13:$H$20, "&gt;="&amp;BZ1,'Revenue Tracking'!$H$13:$H$20, "&lt;"&amp;CA1)</f>
        <v>0</v>
      </c>
      <c r="CA3" s="244">
        <f>SUMIFS('Revenue Tracking'!$F$13:$F$20, 'Revenue Tracking'!$H$13:$H$20, "&gt;="&amp;CA1,'Revenue Tracking'!$H$13:$H$20, "&lt;"&amp;CB1)</f>
        <v>0</v>
      </c>
      <c r="CB3" s="244">
        <f>SUMIFS('Revenue Tracking'!$F$13:$F$20, 'Revenue Tracking'!$H$13:$H$20, "&gt;="&amp;CB1,'Revenue Tracking'!$H$13:$H$20, "&lt;"&amp;CC1)</f>
        <v>0</v>
      </c>
      <c r="CC3" s="244">
        <f>SUMIFS('Revenue Tracking'!$F$13:$F$20, 'Revenue Tracking'!$H$13:$H$20, "&gt;="&amp;CC1,'Revenue Tracking'!$H$13:$H$20, "&lt;"&amp;CD1)</f>
        <v>0</v>
      </c>
      <c r="CD3" s="244">
        <f>SUMIFS('Revenue Tracking'!$F$13:$F$20, 'Revenue Tracking'!$H$13:$H$20, "&gt;="&amp;CD1,'Revenue Tracking'!$H$13:$H$20, "&lt;"&amp;CE1)</f>
        <v>0</v>
      </c>
      <c r="CE3" s="244">
        <f>SUMIFS('Revenue Tracking'!$F$13:$F$20, 'Revenue Tracking'!$H$13:$H$20, "&gt;="&amp;CE1,'Revenue Tracking'!$H$13:$H$20, "&lt;"&amp;CF1)</f>
        <v>0</v>
      </c>
      <c r="CF3" s="244">
        <f>SUMIFS('Revenue Tracking'!$F$13:$F$20, 'Revenue Tracking'!$H$13:$H$20, "&gt;="&amp;CF1,'Revenue Tracking'!$H$13:$H$20, "&lt;"&amp;CG1)</f>
        <v>0</v>
      </c>
      <c r="CG3" s="244">
        <f>SUMIFS('Revenue Tracking'!$F$13:$F$20, 'Revenue Tracking'!$H$13:$H$20, "&gt;="&amp;CG1,'Revenue Tracking'!$H$13:$H$20, "&lt;"&amp;CH1)</f>
        <v>0</v>
      </c>
      <c r="CH3" s="244">
        <f>SUMIFS('Revenue Tracking'!$F$13:$F$20, 'Revenue Tracking'!$H$13:$H$20, "&gt;="&amp;CH1,'Revenue Tracking'!$H$13:$H$20, "&lt;"&amp;CI1)</f>
        <v>0</v>
      </c>
      <c r="CI3" s="244">
        <f>SUMIFS('Revenue Tracking'!$F$13:$F$20, 'Revenue Tracking'!$H$13:$H$20, "&gt;="&amp;CI1,'Revenue Tracking'!$H$13:$H$20, "&lt;"&amp;CJ1)</f>
        <v>0</v>
      </c>
      <c r="CJ3" s="244">
        <f>SUMIFS('Revenue Tracking'!$F$13:$F$20, 'Revenue Tracking'!$H$13:$H$20, "&gt;="&amp;CJ1,'Revenue Tracking'!$H$13:$H$20, "&lt;"&amp;CK1)</f>
        <v>0</v>
      </c>
      <c r="CK3" s="244">
        <f>SUMIFS('Revenue Tracking'!$F$13:$F$20, 'Revenue Tracking'!$H$13:$H$20, "&gt;="&amp;CK1,'Revenue Tracking'!$H$13:$H$20, "&lt;"&amp;CL1)</f>
        <v>0</v>
      </c>
      <c r="CL3" s="244">
        <f>SUMIFS('Revenue Tracking'!$F$13:$F$20, 'Revenue Tracking'!$H$13:$H$20, "&gt;="&amp;CL1,'Revenue Tracking'!$H$13:$H$20, "&lt;"&amp;CM1)</f>
        <v>0</v>
      </c>
      <c r="CM3" s="244">
        <f>SUMIFS('Revenue Tracking'!$F$13:$F$20, 'Revenue Tracking'!$H$13:$H$20, "&gt;="&amp;CM1,'Revenue Tracking'!$H$13:$H$20, "&lt;"&amp;CN1)</f>
        <v>0</v>
      </c>
      <c r="CN3" s="244">
        <f>SUMIFS('Revenue Tracking'!$F$13:$F$20, 'Revenue Tracking'!$H$13:$H$20, "&gt;="&amp;CN1,'Revenue Tracking'!$H$13:$H$20, "&lt;"&amp;CO1)</f>
        <v>0</v>
      </c>
      <c r="CO3" s="244">
        <f>SUMIFS('Revenue Tracking'!$F$13:$F$20, 'Revenue Tracking'!$H$13:$H$20, "&gt;="&amp;CO1,'Revenue Tracking'!$H$13:$H$20, "&lt;"&amp;CP1)</f>
        <v>0</v>
      </c>
      <c r="CP3" s="244">
        <f>SUMIFS('Revenue Tracking'!$F$13:$F$20, 'Revenue Tracking'!$H$13:$H$20, "&gt;="&amp;CP1,'Revenue Tracking'!$H$13:$H$20, "&lt;"&amp;CQ1)</f>
        <v>0</v>
      </c>
    </row>
    <row r="4" spans="1:572">
      <c r="A4" s="916"/>
      <c r="B4" s="241" t="s">
        <v>217</v>
      </c>
      <c r="C4" s="242"/>
      <c r="D4" s="242"/>
      <c r="E4" s="243"/>
      <c r="F4" s="244">
        <f>F3</f>
        <v>0</v>
      </c>
      <c r="G4" s="244">
        <f>F4+G3</f>
        <v>0</v>
      </c>
      <c r="H4" s="244">
        <f>G4+H3</f>
        <v>0</v>
      </c>
      <c r="I4" s="244">
        <f t="shared" ref="I4:BT4" si="3">H4+I3</f>
        <v>0</v>
      </c>
      <c r="J4" s="244">
        <f t="shared" si="3"/>
        <v>0</v>
      </c>
      <c r="K4" s="244">
        <f t="shared" si="3"/>
        <v>4037445.8078627745</v>
      </c>
      <c r="L4" s="244">
        <f t="shared" si="3"/>
        <v>4037445.8078627745</v>
      </c>
      <c r="M4" s="244">
        <f t="shared" si="3"/>
        <v>4037445.8078627745</v>
      </c>
      <c r="N4" s="244">
        <f t="shared" si="3"/>
        <v>4037445.8078627745</v>
      </c>
      <c r="O4" s="244">
        <f t="shared" si="3"/>
        <v>4037445.8078627745</v>
      </c>
      <c r="P4" s="244">
        <f t="shared" si="3"/>
        <v>4037445.8078627745</v>
      </c>
      <c r="Q4" s="244">
        <f t="shared" si="3"/>
        <v>4037445.8078627745</v>
      </c>
      <c r="R4" s="244">
        <f t="shared" si="3"/>
        <v>4037445.8078627745</v>
      </c>
      <c r="S4" s="244">
        <f t="shared" si="3"/>
        <v>4037445.8078627745</v>
      </c>
      <c r="T4" s="244">
        <f t="shared" si="3"/>
        <v>4037445.8078627745</v>
      </c>
      <c r="U4" s="244">
        <f t="shared" si="3"/>
        <v>4037445.8078627745</v>
      </c>
      <c r="V4" s="244">
        <f t="shared" si="3"/>
        <v>7498113.6431737244</v>
      </c>
      <c r="W4" s="244">
        <f t="shared" si="3"/>
        <v>7498113.6431737244</v>
      </c>
      <c r="X4" s="244">
        <f t="shared" si="3"/>
        <v>7498113.6431737244</v>
      </c>
      <c r="Y4" s="244">
        <f t="shared" si="3"/>
        <v>9805225.5333810244</v>
      </c>
      <c r="Z4" s="244">
        <f t="shared" si="3"/>
        <v>9805225.5333810244</v>
      </c>
      <c r="AA4" s="244">
        <f t="shared" si="3"/>
        <v>9805225.5333810244</v>
      </c>
      <c r="AB4" s="244">
        <f t="shared" si="3"/>
        <v>9805225.5333810244</v>
      </c>
      <c r="AC4" s="244">
        <f t="shared" si="3"/>
        <v>9805225.5333810244</v>
      </c>
      <c r="AD4" s="244">
        <f t="shared" si="3"/>
        <v>9805225.5333810244</v>
      </c>
      <c r="AE4" s="244">
        <f t="shared" si="3"/>
        <v>9805225.5333810244</v>
      </c>
      <c r="AF4" s="244">
        <f t="shared" si="3"/>
        <v>9805225.5333810244</v>
      </c>
      <c r="AG4" s="244">
        <f t="shared" si="3"/>
        <v>11076666.538484674</v>
      </c>
      <c r="AH4" s="244">
        <f t="shared" si="3"/>
        <v>11076666.538484674</v>
      </c>
      <c r="AI4" s="244">
        <f t="shared" si="3"/>
        <v>11076666.538484674</v>
      </c>
      <c r="AJ4" s="244">
        <f t="shared" si="3"/>
        <v>11729547.5310365</v>
      </c>
      <c r="AK4" s="244">
        <f t="shared" si="3"/>
        <v>11729547.5310365</v>
      </c>
      <c r="AL4" s="244">
        <f t="shared" si="3"/>
        <v>11729547.5310365</v>
      </c>
      <c r="AM4" s="244">
        <f t="shared" si="3"/>
        <v>11729547.5310365</v>
      </c>
      <c r="AN4" s="244">
        <f t="shared" si="3"/>
        <v>11729547.5310365</v>
      </c>
      <c r="AO4" s="244">
        <f t="shared" si="3"/>
        <v>11729547.5310365</v>
      </c>
      <c r="AP4" s="244">
        <f t="shared" si="3"/>
        <v>11729547.5310365</v>
      </c>
      <c r="AQ4" s="244">
        <f t="shared" si="3"/>
        <v>11729547.5310365</v>
      </c>
      <c r="AR4" s="244">
        <f t="shared" si="3"/>
        <v>11729547.5310365</v>
      </c>
      <c r="AS4" s="244">
        <f t="shared" si="3"/>
        <v>11729547.5310365</v>
      </c>
      <c r="AT4" s="244">
        <f t="shared" si="3"/>
        <v>11729547.5310365</v>
      </c>
      <c r="AU4" s="244">
        <f t="shared" si="3"/>
        <v>11729547.5310365</v>
      </c>
      <c r="AV4" s="244">
        <f t="shared" si="3"/>
        <v>11729547.5310365</v>
      </c>
      <c r="AW4" s="244">
        <f t="shared" si="3"/>
        <v>11729547.5310365</v>
      </c>
      <c r="AX4" s="244">
        <f t="shared" si="3"/>
        <v>11729547.5310365</v>
      </c>
      <c r="AY4" s="244">
        <f t="shared" si="3"/>
        <v>11729547.5310365</v>
      </c>
      <c r="AZ4" s="244">
        <f t="shared" si="3"/>
        <v>11729547.5310365</v>
      </c>
      <c r="BA4" s="244">
        <f t="shared" si="3"/>
        <v>11729547.5310365</v>
      </c>
      <c r="BB4" s="244">
        <f t="shared" si="3"/>
        <v>11729547.5310365</v>
      </c>
      <c r="BC4" s="244">
        <f t="shared" si="3"/>
        <v>11729547.5310365</v>
      </c>
      <c r="BD4" s="244">
        <f t="shared" si="3"/>
        <v>11729547.5310365</v>
      </c>
      <c r="BE4" s="244">
        <f t="shared" si="3"/>
        <v>11729547.5310365</v>
      </c>
      <c r="BF4" s="244">
        <f t="shared" si="3"/>
        <v>11729547.5310365</v>
      </c>
      <c r="BG4" s="244">
        <f t="shared" si="3"/>
        <v>11729547.5310365</v>
      </c>
      <c r="BH4" s="244">
        <f t="shared" si="3"/>
        <v>11729547.5310365</v>
      </c>
      <c r="BI4" s="244">
        <f t="shared" si="3"/>
        <v>11729547.5310365</v>
      </c>
      <c r="BJ4" s="244">
        <f t="shared" si="3"/>
        <v>11729547.5310365</v>
      </c>
      <c r="BK4" s="244">
        <f t="shared" si="3"/>
        <v>11729547.5310365</v>
      </c>
      <c r="BL4" s="244">
        <f t="shared" si="3"/>
        <v>11729547.5310365</v>
      </c>
      <c r="BM4" s="244">
        <f t="shared" si="3"/>
        <v>11729547.5310365</v>
      </c>
      <c r="BN4" s="244">
        <f t="shared" si="3"/>
        <v>11729547.5310365</v>
      </c>
      <c r="BO4" s="244">
        <f t="shared" si="3"/>
        <v>11729547.5310365</v>
      </c>
      <c r="BP4" s="244">
        <f t="shared" si="3"/>
        <v>11729547.5310365</v>
      </c>
      <c r="BQ4" s="244">
        <f t="shared" si="3"/>
        <v>11729547.5310365</v>
      </c>
      <c r="BR4" s="244">
        <f t="shared" si="3"/>
        <v>11729547.5310365</v>
      </c>
      <c r="BS4" s="244">
        <f t="shared" si="3"/>
        <v>11729547.5310365</v>
      </c>
      <c r="BT4" s="244">
        <f t="shared" si="3"/>
        <v>11729547.5310365</v>
      </c>
      <c r="BU4" s="244">
        <f t="shared" ref="BU4:CJ4" si="4">BT4+BU3</f>
        <v>11729547.5310365</v>
      </c>
      <c r="BV4" s="244">
        <f t="shared" si="4"/>
        <v>11729547.5310365</v>
      </c>
      <c r="BW4" s="244">
        <f t="shared" si="4"/>
        <v>11729547.5310365</v>
      </c>
      <c r="BX4" s="244">
        <f t="shared" si="4"/>
        <v>11729547.5310365</v>
      </c>
      <c r="BY4" s="244">
        <f t="shared" si="4"/>
        <v>11729547.5310365</v>
      </c>
      <c r="BZ4" s="244">
        <f t="shared" si="4"/>
        <v>11729547.5310365</v>
      </c>
      <c r="CA4" s="244">
        <f t="shared" si="4"/>
        <v>11729547.5310365</v>
      </c>
      <c r="CB4" s="244">
        <f t="shared" si="4"/>
        <v>11729547.5310365</v>
      </c>
      <c r="CC4" s="244">
        <f t="shared" si="4"/>
        <v>11729547.5310365</v>
      </c>
      <c r="CD4" s="244">
        <f t="shared" si="4"/>
        <v>11729547.5310365</v>
      </c>
      <c r="CE4" s="244">
        <f t="shared" si="4"/>
        <v>11729547.5310365</v>
      </c>
      <c r="CF4" s="244">
        <f t="shared" si="4"/>
        <v>11729547.5310365</v>
      </c>
      <c r="CG4" s="244">
        <f t="shared" si="4"/>
        <v>11729547.5310365</v>
      </c>
      <c r="CH4" s="244">
        <f t="shared" si="4"/>
        <v>11729547.5310365</v>
      </c>
      <c r="CI4" s="244">
        <f t="shared" si="4"/>
        <v>11729547.5310365</v>
      </c>
      <c r="CJ4" s="244">
        <f t="shared" si="4"/>
        <v>11729547.5310365</v>
      </c>
      <c r="CK4" s="244">
        <f t="shared" ref="CK4" si="5">CJ4+CK3</f>
        <v>11729547.5310365</v>
      </c>
      <c r="CL4" s="244">
        <f t="shared" ref="CL4" si="6">CK4+CL3</f>
        <v>11729547.5310365</v>
      </c>
      <c r="CM4" s="244">
        <f t="shared" ref="CM4" si="7">CL4+CM3</f>
        <v>11729547.5310365</v>
      </c>
      <c r="CN4" s="244">
        <f t="shared" ref="CN4" si="8">CM4+CN3</f>
        <v>11729547.5310365</v>
      </c>
      <c r="CO4" s="244">
        <f t="shared" ref="CO4" si="9">CN4+CO3</f>
        <v>11729547.5310365</v>
      </c>
      <c r="CP4" s="244">
        <f t="shared" ref="CP4" si="10">CO4+CP3</f>
        <v>11729547.5310365</v>
      </c>
    </row>
    <row r="5" spans="1:572" s="249" customFormat="1">
      <c r="A5" s="916"/>
      <c r="B5" s="245" t="s">
        <v>65</v>
      </c>
      <c r="C5" s="246">
        <f>'Revenue Tracking'!D5</f>
        <v>10556110.224391304</v>
      </c>
      <c r="D5" s="246">
        <f>SUM(F5:CP5)</f>
        <v>10556110.2243913</v>
      </c>
      <c r="E5" s="243"/>
      <c r="F5" s="247">
        <f>SUMIFS('Expenditure Breakdown'!$G$6:$G$150, 'Expenditure Breakdown'!$H$6:$H$150, "&gt;="&amp;F1,'Expenditure Breakdown'!$H$6:$H$150, "&lt;"&amp;G1)</f>
        <v>0</v>
      </c>
      <c r="G5" s="247">
        <f>SUMIFS('Expenditure Breakdown'!$G$6:$G$150, 'Expenditure Breakdown'!$H$6:$H$150, "&gt;="&amp;G1,'Expenditure Breakdown'!$H$6:$H$150, "&lt;"&amp;H1)</f>
        <v>0</v>
      </c>
      <c r="H5" s="247">
        <f>SUMIFS('Expenditure Breakdown'!$G$6:$G$150, 'Expenditure Breakdown'!$H$6:$H$150, "&gt;="&amp;H1,'Expenditure Breakdown'!$H$6:$H$150, "&lt;"&amp;I1)</f>
        <v>0</v>
      </c>
      <c r="I5" s="247">
        <f>SUMIFS('Expenditure Breakdown'!$G$6:$G$150, 'Expenditure Breakdown'!$H$6:$H$150, "&gt;="&amp;I1,'Expenditure Breakdown'!$H$6:$H$150, "&lt;"&amp;J1)</f>
        <v>0</v>
      </c>
      <c r="J5" s="247">
        <f>SUMIFS('Expenditure Breakdown'!$G$6:$G$150, 'Expenditure Breakdown'!$H$6:$H$150, "&gt;="&amp;J1,'Expenditure Breakdown'!$H$6:$H$150, "&lt;"&amp;K1)</f>
        <v>0</v>
      </c>
      <c r="K5" s="247">
        <f>SUMIFS('Expenditure Breakdown'!$G$6:$G$150, 'Expenditure Breakdown'!$H$6:$H$150, "&gt;="&amp;K1,'Expenditure Breakdown'!$H$6:$H$150, "&lt;"&amp;L1)</f>
        <v>0</v>
      </c>
      <c r="L5" s="247">
        <f>SUMIFS('Expenditure Breakdown'!$G$6:$G$150, 'Expenditure Breakdown'!$H$6:$H$150, "&gt;="&amp;L1,'Expenditure Breakdown'!$H$6:$H$150, "&lt;"&amp;M1)</f>
        <v>0</v>
      </c>
      <c r="M5" s="247">
        <f>SUMIFS('Expenditure Breakdown'!$G$6:$G$150, 'Expenditure Breakdown'!$H$6:$H$150, "&gt;="&amp;M1,'Expenditure Breakdown'!$H$6:$H$150, "&lt;"&amp;N1)</f>
        <v>0</v>
      </c>
      <c r="N5" s="247">
        <f>SUMIFS('Expenditure Breakdown'!$G$6:$G$150, 'Expenditure Breakdown'!$H$6:$H$150, "&gt;="&amp;N1,'Expenditure Breakdown'!$H$6:$H$150, "&lt;"&amp;O1)</f>
        <v>0</v>
      </c>
      <c r="O5" s="247">
        <f>SUMIFS('Expenditure Breakdown'!$G$6:$G$150, 'Expenditure Breakdown'!$H$6:$H$150, "&gt;="&amp;O1,'Expenditure Breakdown'!$H$6:$H$150, "&lt;"&amp;P1)</f>
        <v>0</v>
      </c>
      <c r="P5" s="247">
        <f>SUMIFS('Expenditure Breakdown'!$G$6:$G$150, 'Expenditure Breakdown'!$H$6:$H$150, "&gt;="&amp;P1,'Expenditure Breakdown'!$H$6:$H$150, "&lt;"&amp;Q1)</f>
        <v>0</v>
      </c>
      <c r="Q5" s="247">
        <f>SUMIFS('Expenditure Breakdown'!$G$6:$G$150, 'Expenditure Breakdown'!$H$6:$H$150, "&gt;="&amp;Q1,'Expenditure Breakdown'!$H$6:$H$150, "&lt;"&amp;R1)</f>
        <v>0</v>
      </c>
      <c r="R5" s="247">
        <f>SUMIFS('Expenditure Breakdown'!$G$6:$G$150, 'Expenditure Breakdown'!$H$6:$H$150, "&gt;="&amp;R1,'Expenditure Breakdown'!$H$6:$H$150, "&lt;"&amp;S1)</f>
        <v>936612.75260869565</v>
      </c>
      <c r="S5" s="247">
        <f>SUMIFS('Expenditure Breakdown'!$G$6:$G$150, 'Expenditure Breakdown'!$H$6:$H$150, "&gt;="&amp;S1,'Expenditure Breakdown'!$H$6:$H$150, "&lt;"&amp;T1)</f>
        <v>158939.12891304347</v>
      </c>
      <c r="T5" s="247">
        <f>SUMIFS('Expenditure Breakdown'!$G$6:$G$150, 'Expenditure Breakdown'!$H$6:$H$150, "&gt;="&amp;T1,'Expenditure Breakdown'!$H$6:$H$150, "&lt;"&amp;U1)</f>
        <v>0</v>
      </c>
      <c r="U5" s="247">
        <f>SUMIFS('Expenditure Breakdown'!$G$6:$G$150, 'Expenditure Breakdown'!$H$6:$H$150, "&gt;="&amp;U1,'Expenditure Breakdown'!$H$6:$H$150, "&lt;"&amp;V1)</f>
        <v>0</v>
      </c>
      <c r="V5" s="247">
        <f>SUMIFS('Expenditure Breakdown'!$G$6:$G$150, 'Expenditure Breakdown'!$H$6:$H$150, "&gt;="&amp;V1,'Expenditure Breakdown'!$H$6:$H$150, "&lt;"&amp;W1)</f>
        <v>388526.95652173914</v>
      </c>
      <c r="W5" s="247">
        <f>SUMIFS('Expenditure Breakdown'!$G$6:$G$150, 'Expenditure Breakdown'!$H$6:$H$150, "&gt;="&amp;W1,'Expenditure Breakdown'!$H$6:$H$150, "&lt;"&amp;X1)</f>
        <v>6714691.8815217391</v>
      </c>
      <c r="X5" s="247">
        <f>SUMIFS('Expenditure Breakdown'!$G$6:$G$150, 'Expenditure Breakdown'!$H$6:$H$150, "&gt;="&amp;X1,'Expenditure Breakdown'!$H$6:$H$150, "&lt;"&amp;Y1)</f>
        <v>0</v>
      </c>
      <c r="Y5" s="247">
        <f>SUMIFS('Expenditure Breakdown'!$G$6:$G$150, 'Expenditure Breakdown'!$H$6:$H$150, "&gt;="&amp;Y1,'Expenditure Breakdown'!$H$6:$H$150, "&lt;"&amp;Z1)</f>
        <v>0</v>
      </c>
      <c r="Z5" s="247">
        <f>SUMIFS('Expenditure Breakdown'!$G$6:$G$150, 'Expenditure Breakdown'!$H$6:$H$150, "&gt;="&amp;Z1,'Expenditure Breakdown'!$H$6:$H$150, "&lt;"&amp;AA1)</f>
        <v>259000</v>
      </c>
      <c r="AA5" s="247">
        <f>SUMIFS('Expenditure Breakdown'!$G$6:$G$150, 'Expenditure Breakdown'!$H$6:$H$150, "&gt;="&amp;AA1,'Expenditure Breakdown'!$H$6:$H$150, "&lt;"&amp;AB1)</f>
        <v>0</v>
      </c>
      <c r="AB5" s="247">
        <f>SUMIFS('Expenditure Breakdown'!$G$6:$G$150, 'Expenditure Breakdown'!$H$6:$H$150, "&gt;="&amp;AB1,'Expenditure Breakdown'!$H$6:$H$150, "&lt;"&amp;AC1)</f>
        <v>277838.25782608695</v>
      </c>
      <c r="AC5" s="247">
        <f>SUMIFS('Expenditure Breakdown'!$G$6:$G$150, 'Expenditure Breakdown'!$H$6:$H$150, "&gt;="&amp;AC1,'Expenditure Breakdown'!$H$6:$H$150, "&lt;"&amp;AD1)</f>
        <v>91000</v>
      </c>
      <c r="AD5" s="247">
        <f>SUMIFS('Expenditure Breakdown'!$G$6:$G$150, 'Expenditure Breakdown'!$H$6:$H$150, "&gt;="&amp;AD1,'Expenditure Breakdown'!$H$6:$H$150, "&lt;"&amp;AE1)</f>
        <v>1349318.1459420288</v>
      </c>
      <c r="AE5" s="247">
        <f>SUMIFS('Expenditure Breakdown'!$G$6:$G$150, 'Expenditure Breakdown'!$H$6:$H$150, "&gt;="&amp;AE1,'Expenditure Breakdown'!$H$6:$H$150, "&lt;"&amp;AF1)</f>
        <v>0</v>
      </c>
      <c r="AF5" s="247">
        <f>SUMIFS('Expenditure Breakdown'!$G$6:$G$150, 'Expenditure Breakdown'!$H$6:$H$150, "&gt;="&amp;AF1,'Expenditure Breakdown'!$H$6:$H$150, "&lt;"&amp;AG1)</f>
        <v>46306.376304347825</v>
      </c>
      <c r="AG5" s="247">
        <f>SUMIFS('Expenditure Breakdown'!$G$6:$G$150, 'Expenditure Breakdown'!$H$6:$H$150, "&gt;="&amp;AG1,'Expenditure Breakdown'!$H$6:$H$150, "&lt;"&amp;AH1)</f>
        <v>0</v>
      </c>
      <c r="AH5" s="247">
        <f>SUMIFS('Expenditure Breakdown'!$G$6:$G$150, 'Expenditure Breakdown'!$H$6:$H$150, "&gt;="&amp;AH1,'Expenditure Breakdown'!$H$6:$H$150, "&lt;"&amp;AI1)</f>
        <v>0</v>
      </c>
      <c r="AI5" s="247">
        <f>SUMIFS('Expenditure Breakdown'!$G$6:$G$150, 'Expenditure Breakdown'!$H$6:$H$150, "&gt;="&amp;AI1,'Expenditure Breakdown'!$H$6:$H$150, "&lt;"&amp;AJ1)</f>
        <v>287570.34844927536</v>
      </c>
      <c r="AJ5" s="247">
        <f>SUMIFS('Expenditure Breakdown'!$G$6:$G$150, 'Expenditure Breakdown'!$H$6:$H$150, "&gt;="&amp;AJ1,'Expenditure Breakdown'!$H$6:$H$150, "&lt;"&amp;AK1)</f>
        <v>0</v>
      </c>
      <c r="AK5" s="247">
        <f>SUMIFS('Expenditure Breakdown'!$G$6:$G$150, 'Expenditure Breakdown'!$H$6:$H$150, "&gt;="&amp;AK1,'Expenditure Breakdown'!$H$6:$H$150, "&lt;"&amp;AL1)</f>
        <v>0</v>
      </c>
      <c r="AL5" s="247">
        <f>SUMIFS('Expenditure Breakdown'!$G$6:$G$150, 'Expenditure Breakdown'!$H$6:$H$150, "&gt;="&amp;AL1,'Expenditure Breakdown'!$H$6:$H$150, "&lt;"&amp;AM1)</f>
        <v>0</v>
      </c>
      <c r="AM5" s="247">
        <f>SUMIFS('Expenditure Breakdown'!$G$6:$G$150, 'Expenditure Breakdown'!$H$6:$H$150, "&gt;="&amp;AM1,'Expenditure Breakdown'!$H$6:$H$150, "&lt;"&amp;AN1)</f>
        <v>0</v>
      </c>
      <c r="AN5" s="247">
        <f>SUMIFS('Expenditure Breakdown'!$G$6:$G$150, 'Expenditure Breakdown'!$H$6:$H$150, "&gt;="&amp;AN1,'Expenditure Breakdown'!$H$6:$H$150, "&lt;"&amp;AO1)</f>
        <v>0</v>
      </c>
      <c r="AO5" s="247">
        <f>SUMIFS('Expenditure Breakdown'!$G$6:$G$150, 'Expenditure Breakdown'!$H$6:$H$150, "&gt;="&amp;AO1,'Expenditure Breakdown'!$H$6:$H$150, "&lt;"&amp;AP1)</f>
        <v>0</v>
      </c>
      <c r="AP5" s="247">
        <f>SUMIFS('Expenditure Breakdown'!$G$6:$G$150, 'Expenditure Breakdown'!$H$6:$H$150, "&gt;="&amp;AP1,'Expenditure Breakdown'!$H$6:$H$150, "&lt;"&amp;AQ1)</f>
        <v>0</v>
      </c>
      <c r="AQ5" s="247">
        <f>SUMIFS('Expenditure Breakdown'!$G$6:$G$150, 'Expenditure Breakdown'!$H$6:$H$150, "&gt;="&amp;AQ1,'Expenditure Breakdown'!$H$6:$H$150, "&lt;"&amp;AR1)</f>
        <v>0</v>
      </c>
      <c r="AR5" s="247">
        <f>SUMIFS('Expenditure Breakdown'!$G$6:$G$150, 'Expenditure Breakdown'!$H$6:$H$150, "&gt;="&amp;AR1,'Expenditure Breakdown'!$H$6:$H$150, "&lt;"&amp;AS1)</f>
        <v>0</v>
      </c>
      <c r="AS5" s="247">
        <f>SUMIFS('Expenditure Breakdown'!$G$6:$G$150, 'Expenditure Breakdown'!$H$6:$H$150, "&gt;="&amp;AS1,'Expenditure Breakdown'!$H$6:$H$150, "&lt;"&amp;AT1)</f>
        <v>46306.376304347825</v>
      </c>
      <c r="AT5" s="247">
        <f>SUMIFS('Expenditure Breakdown'!$G$6:$G$150, 'Expenditure Breakdown'!$H$6:$H$150, "&gt;="&amp;AT1,'Expenditure Breakdown'!$H$6:$H$150, "&lt;"&amp;AU1)</f>
        <v>0</v>
      </c>
      <c r="AU5" s="247">
        <f>SUMIFS('Expenditure Breakdown'!$G$6:$G$150, 'Expenditure Breakdown'!$H$6:$H$150, "&gt;="&amp;AU1,'Expenditure Breakdown'!$H$6:$H$150, "&lt;"&amp;AV1)</f>
        <v>0</v>
      </c>
      <c r="AV5" s="247">
        <f>SUMIFS('Expenditure Breakdown'!$G$6:$G$150, 'Expenditure Breakdown'!$H$6:$H$150, "&gt;="&amp;AV1,'Expenditure Breakdown'!$H$6:$H$150, "&lt;"&amp;AW1)</f>
        <v>0</v>
      </c>
      <c r="AW5" s="247">
        <f>SUMIFS('Expenditure Breakdown'!$G$6:$G$150, 'Expenditure Breakdown'!$H$6:$H$150, "&gt;="&amp;AW1,'Expenditure Breakdown'!$H$6:$H$150, "&lt;"&amp;AX1)</f>
        <v>0</v>
      </c>
      <c r="AX5" s="247">
        <f>SUMIFS('Expenditure Breakdown'!$G$6:$G$150, 'Expenditure Breakdown'!$H$6:$H$150, "&gt;="&amp;AX1,'Expenditure Breakdown'!$H$6:$H$150, "&lt;"&amp;AY1)</f>
        <v>0</v>
      </c>
      <c r="AY5" s="247">
        <f>SUMIFS('Expenditure Breakdown'!$G$6:$G$150, 'Expenditure Breakdown'!$H$6:$H$150, "&gt;="&amp;AY1,'Expenditure Breakdown'!$H$6:$H$150, "&lt;"&amp;AZ1)</f>
        <v>0</v>
      </c>
      <c r="AZ5" s="247">
        <f>SUMIFS('Expenditure Breakdown'!$G$6:$G$150, 'Expenditure Breakdown'!$H$6:$H$150, "&gt;="&amp;AZ1,'Expenditure Breakdown'!$H$6:$H$150, "&lt;"&amp;BA1)</f>
        <v>0</v>
      </c>
      <c r="BA5" s="247">
        <f>SUMIFS('Expenditure Breakdown'!$G$6:$G$150, 'Expenditure Breakdown'!$H$6:$H$150, "&gt;="&amp;BA1,'Expenditure Breakdown'!$H$6:$H$150, "&lt;"&amp;BB1)</f>
        <v>0</v>
      </c>
      <c r="BB5" s="247">
        <f>SUMIFS('Expenditure Breakdown'!$G$6:$G$150, 'Expenditure Breakdown'!$H$6:$H$150, "&gt;="&amp;BB1,'Expenditure Breakdown'!$H$6:$H$150, "&lt;"&amp;BC1)</f>
        <v>0</v>
      </c>
      <c r="BC5" s="247">
        <f>SUMIFS('Expenditure Breakdown'!$G$6:$G$150, 'Expenditure Breakdown'!$H$6:$H$150, "&gt;="&amp;BC1,'Expenditure Breakdown'!$H$6:$H$150, "&lt;"&amp;BD1)</f>
        <v>0</v>
      </c>
      <c r="BD5" s="247">
        <f>SUMIFS('Expenditure Breakdown'!$G$6:$G$150, 'Expenditure Breakdown'!$H$6:$H$150, "&gt;="&amp;BD1,'Expenditure Breakdown'!$H$6:$H$150, "&lt;"&amp;BE1)</f>
        <v>0</v>
      </c>
      <c r="BE5" s="247">
        <f>SUMIFS('Expenditure Breakdown'!$G$6:$G$150, 'Expenditure Breakdown'!$H$6:$H$150, "&gt;="&amp;BE1,'Expenditure Breakdown'!$H$6:$H$150, "&lt;"&amp;BF1)</f>
        <v>0</v>
      </c>
      <c r="BF5" s="247">
        <f>SUMIFS('Expenditure Breakdown'!$G$6:$G$150, 'Expenditure Breakdown'!$H$6:$H$150, "&gt;="&amp;BF1,'Expenditure Breakdown'!$H$6:$H$150, "&lt;"&amp;BG1)</f>
        <v>0</v>
      </c>
      <c r="BG5" s="247">
        <f>SUMIFS('Expenditure Breakdown'!$G$6:$G$150, 'Expenditure Breakdown'!$H$6:$H$150, "&gt;="&amp;BG1,'Expenditure Breakdown'!$H$6:$H$150, "&lt;"&amp;BH1)</f>
        <v>0</v>
      </c>
      <c r="BH5" s="247">
        <f>SUMIFS('Expenditure Breakdown'!$G$6:$G$150, 'Expenditure Breakdown'!$H$6:$H$150, "&gt;="&amp;BH1,'Expenditure Breakdown'!$H$6:$H$150, "&lt;"&amp;BI1)</f>
        <v>0</v>
      </c>
      <c r="BI5" s="247">
        <f>SUMIFS('Expenditure Breakdown'!$G$6:$G$150, 'Expenditure Breakdown'!$H$6:$H$150, "&gt;="&amp;BI1,'Expenditure Breakdown'!$H$6:$H$150, "&lt;"&amp;BJ1)</f>
        <v>0</v>
      </c>
      <c r="BJ5" s="247">
        <f>SUMIFS('Expenditure Breakdown'!$G$6:$G$150, 'Expenditure Breakdown'!$H$6:$H$150, "&gt;="&amp;BJ1,'Expenditure Breakdown'!$H$6:$H$150, "&lt;"&amp;BK1)</f>
        <v>0</v>
      </c>
      <c r="BK5" s="247">
        <f>SUMIFS('Expenditure Breakdown'!$G$6:$G$150, 'Expenditure Breakdown'!$H$6:$H$150, "&gt;="&amp;BK1,'Expenditure Breakdown'!$H$6:$H$150, "&lt;"&amp;BL1)</f>
        <v>0</v>
      </c>
      <c r="BL5" s="247">
        <f>SUMIFS('Expenditure Breakdown'!$G$6:$G$150, 'Expenditure Breakdown'!$H$6:$H$150, "&gt;="&amp;BL1,'Expenditure Breakdown'!$H$6:$H$150, "&lt;"&amp;BM1)</f>
        <v>0</v>
      </c>
      <c r="BM5" s="247">
        <f>SUMIFS('Expenditure Breakdown'!$G$6:$G$150, 'Expenditure Breakdown'!$H$6:$H$150, "&gt;="&amp;BM1,'Expenditure Breakdown'!$H$6:$H$150, "&lt;"&amp;BN1)</f>
        <v>0</v>
      </c>
      <c r="BN5" s="247">
        <f>SUMIFS('Expenditure Breakdown'!$G$6:$G$150, 'Expenditure Breakdown'!$H$6:$H$150, "&gt;="&amp;BN1,'Expenditure Breakdown'!$H$6:$H$150, "&lt;"&amp;BO1)</f>
        <v>0</v>
      </c>
      <c r="BO5" s="247">
        <f>SUMIFS('Expenditure Breakdown'!$G$6:$G$150, 'Expenditure Breakdown'!$H$6:$H$150, "&gt;="&amp;BO1,'Expenditure Breakdown'!$H$6:$H$150, "&lt;"&amp;BP1)</f>
        <v>0</v>
      </c>
      <c r="BP5" s="247">
        <f>SUMIFS('Expenditure Breakdown'!$G$6:$G$150, 'Expenditure Breakdown'!$H$6:$H$150, "&gt;="&amp;BP1,'Expenditure Breakdown'!$H$6:$H$150, "&lt;"&amp;BQ1)</f>
        <v>0</v>
      </c>
      <c r="BQ5" s="247">
        <f>SUMIFS('Expenditure Breakdown'!$G$6:$G$150, 'Expenditure Breakdown'!$H$6:$H$150, "&gt;="&amp;BQ1,'Expenditure Breakdown'!$H$6:$H$150, "&lt;"&amp;BR1)</f>
        <v>0</v>
      </c>
      <c r="BR5" s="247">
        <f>SUMIFS('Expenditure Breakdown'!$G$6:$G$150, 'Expenditure Breakdown'!$H$6:$H$150, "&gt;="&amp;BR1,'Expenditure Breakdown'!$H$6:$H$150, "&lt;"&amp;BS1)</f>
        <v>0</v>
      </c>
      <c r="BS5" s="247">
        <f>SUMIFS('Expenditure Breakdown'!$G$6:$G$150, 'Expenditure Breakdown'!$H$6:$H$150, "&gt;="&amp;BS1,'Expenditure Breakdown'!$H$6:$H$150, "&lt;"&amp;BT1)</f>
        <v>0</v>
      </c>
      <c r="BT5" s="247">
        <f>SUMIFS('Expenditure Breakdown'!$G$6:$G$150, 'Expenditure Breakdown'!$H$6:$H$150, "&gt;="&amp;BT1,'Expenditure Breakdown'!$H$6:$H$150, "&lt;"&amp;BU1)</f>
        <v>0</v>
      </c>
      <c r="BU5" s="247">
        <f>SUMIFS('Expenditure Breakdown'!$G$6:$G$150, 'Expenditure Breakdown'!$H$6:$H$150, "&gt;="&amp;BU1,'Expenditure Breakdown'!$H$6:$H$150, "&lt;"&amp;BV1)</f>
        <v>0</v>
      </c>
      <c r="BV5" s="247">
        <f>SUMIFS('Expenditure Breakdown'!$G$6:$G$150, 'Expenditure Breakdown'!$H$6:$H$150, "&gt;="&amp;BV1,'Expenditure Breakdown'!$H$6:$H$150, "&lt;"&amp;BW1)</f>
        <v>0</v>
      </c>
      <c r="BW5" s="247">
        <f>SUMIFS('Expenditure Breakdown'!$G$6:$G$150, 'Expenditure Breakdown'!$H$6:$H$150, "&gt;="&amp;BW1,'Expenditure Breakdown'!$H$6:$H$150, "&lt;"&amp;BX1)</f>
        <v>0</v>
      </c>
      <c r="BX5" s="247">
        <f>SUMIFS('Expenditure Breakdown'!$G$6:$G$150, 'Expenditure Breakdown'!$H$6:$H$150, "&gt;="&amp;BX1,'Expenditure Breakdown'!$H$6:$H$150, "&lt;"&amp;BY1)</f>
        <v>0</v>
      </c>
      <c r="BY5" s="247">
        <f>SUMIFS('Expenditure Breakdown'!$G$6:$G$150, 'Expenditure Breakdown'!$H$6:$H$150, "&gt;="&amp;BY1,'Expenditure Breakdown'!$H$6:$H$150, "&lt;"&amp;BZ1)</f>
        <v>0</v>
      </c>
      <c r="BZ5" s="247">
        <f>SUMIFS('Expenditure Breakdown'!$G$6:$G$150, 'Expenditure Breakdown'!$H$6:$H$150, "&gt;="&amp;BZ1,'Expenditure Breakdown'!$H$6:$H$150, "&lt;"&amp;CA1)</f>
        <v>0</v>
      </c>
      <c r="CA5" s="247">
        <f>SUMIFS('Expenditure Breakdown'!$G$6:$G$150, 'Expenditure Breakdown'!$H$6:$H$150, "&gt;="&amp;CA1,'Expenditure Breakdown'!$H$6:$H$150, "&lt;"&amp;CB1)</f>
        <v>0</v>
      </c>
      <c r="CB5" s="247">
        <f>SUMIFS('Expenditure Breakdown'!$G$6:$G$150, 'Expenditure Breakdown'!$H$6:$H$150, "&gt;="&amp;CB1,'Expenditure Breakdown'!$H$6:$H$150, "&lt;"&amp;CC1)</f>
        <v>0</v>
      </c>
      <c r="CC5" s="247">
        <f>SUMIFS('Expenditure Breakdown'!$G$6:$G$150, 'Expenditure Breakdown'!$H$6:$H$150, "&gt;="&amp;CC1,'Expenditure Breakdown'!$H$6:$H$150, "&lt;"&amp;CD1)</f>
        <v>0</v>
      </c>
      <c r="CD5" s="247">
        <f>SUMIFS('Expenditure Breakdown'!$G$6:$G$150, 'Expenditure Breakdown'!$H$6:$H$150, "&gt;="&amp;CD1,'Expenditure Breakdown'!$H$6:$H$150, "&lt;"&amp;CE1)</f>
        <v>0</v>
      </c>
      <c r="CE5" s="247">
        <f>SUMIFS('Expenditure Breakdown'!$G$6:$G$150, 'Expenditure Breakdown'!$H$6:$H$150, "&gt;="&amp;CE1,'Expenditure Breakdown'!$H$6:$H$150, "&lt;"&amp;CF1)</f>
        <v>0</v>
      </c>
      <c r="CF5" s="247">
        <f>SUMIFS('Expenditure Breakdown'!$G$6:$G$150, 'Expenditure Breakdown'!$H$6:$H$150, "&gt;="&amp;CF1,'Expenditure Breakdown'!$H$6:$H$150, "&lt;"&amp;CG1)</f>
        <v>0</v>
      </c>
      <c r="CG5" s="247">
        <f>SUMIFS('Expenditure Breakdown'!$G$6:$G$150, 'Expenditure Breakdown'!$H$6:$H$150, "&gt;="&amp;CG1,'Expenditure Breakdown'!$H$6:$H$150, "&lt;"&amp;CH1)</f>
        <v>0</v>
      </c>
      <c r="CH5" s="247">
        <f>SUMIFS('Expenditure Breakdown'!$G$6:$G$150, 'Expenditure Breakdown'!$H$6:$H$150, "&gt;="&amp;CH1,'Expenditure Breakdown'!$H$6:$H$150, "&lt;"&amp;CI1)</f>
        <v>0</v>
      </c>
      <c r="CI5" s="247">
        <f>SUMIFS('Expenditure Breakdown'!$G$6:$G$150, 'Expenditure Breakdown'!$H$6:$H$150, "&gt;="&amp;CI1,'Expenditure Breakdown'!$H$6:$H$150, "&lt;"&amp;CJ1)</f>
        <v>0</v>
      </c>
      <c r="CJ5" s="247">
        <f>SUMIFS('Expenditure Breakdown'!$G$6:$G$150, 'Expenditure Breakdown'!$H$6:$H$150, "&gt;="&amp;CJ1,'Expenditure Breakdown'!$H$6:$H$150, "&lt;"&amp;CK1)</f>
        <v>0</v>
      </c>
      <c r="CK5" s="247">
        <f>SUMIFS('Expenditure Breakdown'!$G$6:$G$150, 'Expenditure Breakdown'!$H$6:$H$150, "&gt;="&amp;CK1,'Expenditure Breakdown'!$H$6:$H$150, "&lt;"&amp;CL1)</f>
        <v>0</v>
      </c>
      <c r="CL5" s="247">
        <f>SUMIFS('Expenditure Breakdown'!$G$6:$G$150, 'Expenditure Breakdown'!$H$6:$H$150, "&gt;="&amp;CL1,'Expenditure Breakdown'!$H$6:$H$150, "&lt;"&amp;CM1)</f>
        <v>0</v>
      </c>
      <c r="CM5" s="247">
        <f>SUMIFS('Expenditure Breakdown'!$G$6:$G$150, 'Expenditure Breakdown'!$H$6:$H$150, "&gt;="&amp;CM1,'Expenditure Breakdown'!$H$6:$H$150, "&lt;"&amp;CN1)</f>
        <v>0</v>
      </c>
      <c r="CN5" s="247">
        <f>SUMIFS('Expenditure Breakdown'!$G$6:$G$150, 'Expenditure Breakdown'!$H$6:$H$150, "&gt;="&amp;CN1,'Expenditure Breakdown'!$H$6:$H$150, "&lt;"&amp;CO1)</f>
        <v>0</v>
      </c>
      <c r="CO5" s="247">
        <f>SUMIFS('Expenditure Breakdown'!$G$6:$G$150, 'Expenditure Breakdown'!$H$6:$H$150, "&gt;="&amp;CO1,'Expenditure Breakdown'!$H$6:$H$150, "&lt;"&amp;CP1)</f>
        <v>0</v>
      </c>
      <c r="CP5" s="247">
        <f>SUMIFS('Expenditure Breakdown'!$G$6:$G$150, 'Expenditure Breakdown'!$H$6:$H$150, "&gt;="&amp;CP1,'Expenditure Breakdown'!$H$6:$H$150, "&lt;"&amp;CQ1)</f>
        <v>0</v>
      </c>
      <c r="CQ5" s="237"/>
      <c r="CR5" s="248"/>
      <c r="CS5" s="248"/>
    </row>
    <row r="6" spans="1:572" s="249" customFormat="1">
      <c r="A6" s="916"/>
      <c r="B6" s="245" t="s">
        <v>218</v>
      </c>
      <c r="C6" s="246"/>
      <c r="D6" s="246"/>
      <c r="E6" s="243"/>
      <c r="F6" s="247">
        <f>F5</f>
        <v>0</v>
      </c>
      <c r="G6" s="247">
        <f>F6+G5</f>
        <v>0</v>
      </c>
      <c r="H6" s="247">
        <f>G6+H5</f>
        <v>0</v>
      </c>
      <c r="I6" s="247">
        <f t="shared" ref="I6:BT6" si="11">H6+I5</f>
        <v>0</v>
      </c>
      <c r="J6" s="247">
        <f t="shared" si="11"/>
        <v>0</v>
      </c>
      <c r="K6" s="247">
        <f t="shared" si="11"/>
        <v>0</v>
      </c>
      <c r="L6" s="247">
        <f t="shared" si="11"/>
        <v>0</v>
      </c>
      <c r="M6" s="247">
        <f t="shared" si="11"/>
        <v>0</v>
      </c>
      <c r="N6" s="247">
        <f t="shared" si="11"/>
        <v>0</v>
      </c>
      <c r="O6" s="247">
        <f t="shared" si="11"/>
        <v>0</v>
      </c>
      <c r="P6" s="247">
        <f t="shared" si="11"/>
        <v>0</v>
      </c>
      <c r="Q6" s="247">
        <f t="shared" si="11"/>
        <v>0</v>
      </c>
      <c r="R6" s="247">
        <f t="shared" si="11"/>
        <v>936612.75260869565</v>
      </c>
      <c r="S6" s="247">
        <f t="shared" si="11"/>
        <v>1095551.8815217391</v>
      </c>
      <c r="T6" s="247">
        <f t="shared" si="11"/>
        <v>1095551.8815217391</v>
      </c>
      <c r="U6" s="247">
        <f t="shared" si="11"/>
        <v>1095551.8815217391</v>
      </c>
      <c r="V6" s="247">
        <f t="shared" si="11"/>
        <v>1484078.8380434783</v>
      </c>
      <c r="W6" s="247">
        <f t="shared" si="11"/>
        <v>8198770.7195652174</v>
      </c>
      <c r="X6" s="247">
        <f t="shared" si="11"/>
        <v>8198770.7195652174</v>
      </c>
      <c r="Y6" s="247">
        <f t="shared" si="11"/>
        <v>8198770.7195652174</v>
      </c>
      <c r="Z6" s="247">
        <f t="shared" si="11"/>
        <v>8457770.7195652165</v>
      </c>
      <c r="AA6" s="247">
        <f t="shared" si="11"/>
        <v>8457770.7195652165</v>
      </c>
      <c r="AB6" s="247">
        <f t="shared" si="11"/>
        <v>8735608.9773913026</v>
      </c>
      <c r="AC6" s="247">
        <f t="shared" si="11"/>
        <v>8826608.9773913026</v>
      </c>
      <c r="AD6" s="247">
        <f t="shared" si="11"/>
        <v>10175927.123333331</v>
      </c>
      <c r="AE6" s="247">
        <f t="shared" si="11"/>
        <v>10175927.123333331</v>
      </c>
      <c r="AF6" s="247">
        <f t="shared" si="11"/>
        <v>10222233.499637678</v>
      </c>
      <c r="AG6" s="247">
        <f t="shared" si="11"/>
        <v>10222233.499637678</v>
      </c>
      <c r="AH6" s="247">
        <f t="shared" si="11"/>
        <v>10222233.499637678</v>
      </c>
      <c r="AI6" s="247">
        <f t="shared" si="11"/>
        <v>10509803.848086953</v>
      </c>
      <c r="AJ6" s="247">
        <f t="shared" si="11"/>
        <v>10509803.848086953</v>
      </c>
      <c r="AK6" s="247">
        <f t="shared" si="11"/>
        <v>10509803.848086953</v>
      </c>
      <c r="AL6" s="247">
        <f t="shared" si="11"/>
        <v>10509803.848086953</v>
      </c>
      <c r="AM6" s="247">
        <f t="shared" si="11"/>
        <v>10509803.848086953</v>
      </c>
      <c r="AN6" s="247">
        <f t="shared" si="11"/>
        <v>10509803.848086953</v>
      </c>
      <c r="AO6" s="247">
        <f t="shared" si="11"/>
        <v>10509803.848086953</v>
      </c>
      <c r="AP6" s="247">
        <f t="shared" si="11"/>
        <v>10509803.848086953</v>
      </c>
      <c r="AQ6" s="247">
        <f t="shared" si="11"/>
        <v>10509803.848086953</v>
      </c>
      <c r="AR6" s="247">
        <f t="shared" si="11"/>
        <v>10509803.848086953</v>
      </c>
      <c r="AS6" s="247">
        <f t="shared" si="11"/>
        <v>10556110.2243913</v>
      </c>
      <c r="AT6" s="247">
        <f t="shared" si="11"/>
        <v>10556110.2243913</v>
      </c>
      <c r="AU6" s="247">
        <f t="shared" si="11"/>
        <v>10556110.2243913</v>
      </c>
      <c r="AV6" s="247">
        <f t="shared" si="11"/>
        <v>10556110.2243913</v>
      </c>
      <c r="AW6" s="247">
        <f t="shared" si="11"/>
        <v>10556110.2243913</v>
      </c>
      <c r="AX6" s="247">
        <f t="shared" si="11"/>
        <v>10556110.2243913</v>
      </c>
      <c r="AY6" s="247">
        <f t="shared" si="11"/>
        <v>10556110.2243913</v>
      </c>
      <c r="AZ6" s="247">
        <f t="shared" si="11"/>
        <v>10556110.2243913</v>
      </c>
      <c r="BA6" s="247">
        <f t="shared" si="11"/>
        <v>10556110.2243913</v>
      </c>
      <c r="BB6" s="247">
        <f t="shared" si="11"/>
        <v>10556110.2243913</v>
      </c>
      <c r="BC6" s="247">
        <f t="shared" si="11"/>
        <v>10556110.2243913</v>
      </c>
      <c r="BD6" s="247">
        <f t="shared" si="11"/>
        <v>10556110.2243913</v>
      </c>
      <c r="BE6" s="247">
        <f t="shared" si="11"/>
        <v>10556110.2243913</v>
      </c>
      <c r="BF6" s="247">
        <f t="shared" si="11"/>
        <v>10556110.2243913</v>
      </c>
      <c r="BG6" s="247">
        <f t="shared" si="11"/>
        <v>10556110.2243913</v>
      </c>
      <c r="BH6" s="247">
        <f t="shared" si="11"/>
        <v>10556110.2243913</v>
      </c>
      <c r="BI6" s="247">
        <f t="shared" si="11"/>
        <v>10556110.2243913</v>
      </c>
      <c r="BJ6" s="247">
        <f t="shared" si="11"/>
        <v>10556110.2243913</v>
      </c>
      <c r="BK6" s="247">
        <f t="shared" si="11"/>
        <v>10556110.2243913</v>
      </c>
      <c r="BL6" s="247">
        <f t="shared" si="11"/>
        <v>10556110.2243913</v>
      </c>
      <c r="BM6" s="247">
        <f t="shared" si="11"/>
        <v>10556110.2243913</v>
      </c>
      <c r="BN6" s="247">
        <f t="shared" si="11"/>
        <v>10556110.2243913</v>
      </c>
      <c r="BO6" s="247">
        <f t="shared" si="11"/>
        <v>10556110.2243913</v>
      </c>
      <c r="BP6" s="247">
        <f t="shared" si="11"/>
        <v>10556110.2243913</v>
      </c>
      <c r="BQ6" s="247">
        <f t="shared" si="11"/>
        <v>10556110.2243913</v>
      </c>
      <c r="BR6" s="247">
        <f t="shared" si="11"/>
        <v>10556110.2243913</v>
      </c>
      <c r="BS6" s="247">
        <f t="shared" si="11"/>
        <v>10556110.2243913</v>
      </c>
      <c r="BT6" s="247">
        <f t="shared" si="11"/>
        <v>10556110.2243913</v>
      </c>
      <c r="BU6" s="247">
        <f t="shared" ref="BU6:CJ6" si="12">BT6+BU5</f>
        <v>10556110.2243913</v>
      </c>
      <c r="BV6" s="247">
        <f t="shared" si="12"/>
        <v>10556110.2243913</v>
      </c>
      <c r="BW6" s="247">
        <f t="shared" si="12"/>
        <v>10556110.2243913</v>
      </c>
      <c r="BX6" s="247">
        <f t="shared" si="12"/>
        <v>10556110.2243913</v>
      </c>
      <c r="BY6" s="247">
        <f t="shared" si="12"/>
        <v>10556110.2243913</v>
      </c>
      <c r="BZ6" s="247">
        <f t="shared" si="12"/>
        <v>10556110.2243913</v>
      </c>
      <c r="CA6" s="247">
        <f t="shared" si="12"/>
        <v>10556110.2243913</v>
      </c>
      <c r="CB6" s="247">
        <f t="shared" si="12"/>
        <v>10556110.2243913</v>
      </c>
      <c r="CC6" s="247">
        <f t="shared" si="12"/>
        <v>10556110.2243913</v>
      </c>
      <c r="CD6" s="247">
        <f t="shared" si="12"/>
        <v>10556110.2243913</v>
      </c>
      <c r="CE6" s="247">
        <f t="shared" si="12"/>
        <v>10556110.2243913</v>
      </c>
      <c r="CF6" s="247">
        <f t="shared" si="12"/>
        <v>10556110.2243913</v>
      </c>
      <c r="CG6" s="247">
        <f t="shared" si="12"/>
        <v>10556110.2243913</v>
      </c>
      <c r="CH6" s="247">
        <f t="shared" si="12"/>
        <v>10556110.2243913</v>
      </c>
      <c r="CI6" s="247">
        <f t="shared" si="12"/>
        <v>10556110.2243913</v>
      </c>
      <c r="CJ6" s="247">
        <f t="shared" si="12"/>
        <v>10556110.2243913</v>
      </c>
      <c r="CK6" s="247">
        <f t="shared" ref="CK6" si="13">CJ6+CK5</f>
        <v>10556110.2243913</v>
      </c>
      <c r="CL6" s="247">
        <f t="shared" ref="CL6" si="14">CK6+CL5</f>
        <v>10556110.2243913</v>
      </c>
      <c r="CM6" s="247">
        <f t="shared" ref="CM6" si="15">CL6+CM5</f>
        <v>10556110.2243913</v>
      </c>
      <c r="CN6" s="247">
        <f t="shared" ref="CN6" si="16">CM6+CN5</f>
        <v>10556110.2243913</v>
      </c>
      <c r="CO6" s="247">
        <f t="shared" ref="CO6" si="17">CN6+CO5</f>
        <v>10556110.2243913</v>
      </c>
      <c r="CP6" s="247">
        <f t="shared" ref="CP6" si="18">CO6+CP5</f>
        <v>10556110.2243913</v>
      </c>
      <c r="CQ6" s="237"/>
      <c r="CR6" s="248"/>
    </row>
    <row r="7" spans="1:572">
      <c r="A7" s="916"/>
      <c r="B7" s="250" t="s">
        <v>219</v>
      </c>
      <c r="C7" s="251"/>
      <c r="D7" s="251"/>
      <c r="E7" s="252"/>
      <c r="F7" s="253">
        <f t="shared" ref="F7:H7" si="19">F4-F6</f>
        <v>0</v>
      </c>
      <c r="G7" s="253">
        <f t="shared" si="19"/>
        <v>0</v>
      </c>
      <c r="H7" s="253">
        <f t="shared" si="19"/>
        <v>0</v>
      </c>
      <c r="I7" s="253">
        <f t="shared" ref="I7:BT7" si="20">I4-I6</f>
        <v>0</v>
      </c>
      <c r="J7" s="253">
        <f t="shared" si="20"/>
        <v>0</v>
      </c>
      <c r="K7" s="253">
        <f t="shared" si="20"/>
        <v>4037445.8078627745</v>
      </c>
      <c r="L7" s="253">
        <f t="shared" si="20"/>
        <v>4037445.8078627745</v>
      </c>
      <c r="M7" s="253">
        <f t="shared" si="20"/>
        <v>4037445.8078627745</v>
      </c>
      <c r="N7" s="253">
        <f t="shared" si="20"/>
        <v>4037445.8078627745</v>
      </c>
      <c r="O7" s="253">
        <f t="shared" si="20"/>
        <v>4037445.8078627745</v>
      </c>
      <c r="P7" s="253">
        <f t="shared" si="20"/>
        <v>4037445.8078627745</v>
      </c>
      <c r="Q7" s="253">
        <f t="shared" si="20"/>
        <v>4037445.8078627745</v>
      </c>
      <c r="R7" s="253">
        <f t="shared" si="20"/>
        <v>3100833.0552540789</v>
      </c>
      <c r="S7" s="253">
        <f t="shared" si="20"/>
        <v>2941893.9263410354</v>
      </c>
      <c r="T7" s="253">
        <f t="shared" si="20"/>
        <v>2941893.9263410354</v>
      </c>
      <c r="U7" s="253">
        <f t="shared" si="20"/>
        <v>2941893.9263410354</v>
      </c>
      <c r="V7" s="253">
        <f t="shared" si="20"/>
        <v>6014034.8051302461</v>
      </c>
      <c r="W7" s="253">
        <f t="shared" si="20"/>
        <v>-700657.07639149297</v>
      </c>
      <c r="X7" s="253">
        <f t="shared" si="20"/>
        <v>-700657.07639149297</v>
      </c>
      <c r="Y7" s="253">
        <f t="shared" si="20"/>
        <v>1606454.813815807</v>
      </c>
      <c r="Z7" s="253">
        <f t="shared" si="20"/>
        <v>1347454.8138158079</v>
      </c>
      <c r="AA7" s="253">
        <f t="shared" si="20"/>
        <v>1347454.8138158079</v>
      </c>
      <c r="AB7" s="253">
        <f t="shared" si="20"/>
        <v>1069616.5559897218</v>
      </c>
      <c r="AC7" s="253">
        <f t="shared" si="20"/>
        <v>978616.55598972179</v>
      </c>
      <c r="AD7" s="253">
        <f t="shared" si="20"/>
        <v>-370701.58995230682</v>
      </c>
      <c r="AE7" s="253">
        <f t="shared" si="20"/>
        <v>-370701.58995230682</v>
      </c>
      <c r="AF7" s="253">
        <f t="shared" si="20"/>
        <v>-417007.96625665389</v>
      </c>
      <c r="AG7" s="253">
        <f t="shared" si="20"/>
        <v>854433.03884699568</v>
      </c>
      <c r="AH7" s="253">
        <f t="shared" si="20"/>
        <v>854433.03884699568</v>
      </c>
      <c r="AI7" s="253">
        <f t="shared" si="20"/>
        <v>566862.69039772078</v>
      </c>
      <c r="AJ7" s="253">
        <f t="shared" si="20"/>
        <v>1219743.6829495467</v>
      </c>
      <c r="AK7" s="253">
        <f t="shared" si="20"/>
        <v>1219743.6829495467</v>
      </c>
      <c r="AL7" s="253">
        <f t="shared" si="20"/>
        <v>1219743.6829495467</v>
      </c>
      <c r="AM7" s="253">
        <f t="shared" si="20"/>
        <v>1219743.6829495467</v>
      </c>
      <c r="AN7" s="253">
        <f t="shared" si="20"/>
        <v>1219743.6829495467</v>
      </c>
      <c r="AO7" s="253">
        <f t="shared" si="20"/>
        <v>1219743.6829495467</v>
      </c>
      <c r="AP7" s="253">
        <f t="shared" si="20"/>
        <v>1219743.6829495467</v>
      </c>
      <c r="AQ7" s="253">
        <f t="shared" si="20"/>
        <v>1219743.6829495467</v>
      </c>
      <c r="AR7" s="253">
        <f t="shared" si="20"/>
        <v>1219743.6829495467</v>
      </c>
      <c r="AS7" s="253">
        <f t="shared" si="20"/>
        <v>1173437.3066451997</v>
      </c>
      <c r="AT7" s="253">
        <f t="shared" si="20"/>
        <v>1173437.3066451997</v>
      </c>
      <c r="AU7" s="253">
        <f t="shared" si="20"/>
        <v>1173437.3066451997</v>
      </c>
      <c r="AV7" s="253">
        <f t="shared" si="20"/>
        <v>1173437.3066451997</v>
      </c>
      <c r="AW7" s="253">
        <f t="shared" si="20"/>
        <v>1173437.3066451997</v>
      </c>
      <c r="AX7" s="253">
        <f t="shared" si="20"/>
        <v>1173437.3066451997</v>
      </c>
      <c r="AY7" s="253">
        <f t="shared" si="20"/>
        <v>1173437.3066451997</v>
      </c>
      <c r="AZ7" s="253">
        <f t="shared" si="20"/>
        <v>1173437.3066451997</v>
      </c>
      <c r="BA7" s="253">
        <f t="shared" si="20"/>
        <v>1173437.3066451997</v>
      </c>
      <c r="BB7" s="253">
        <f t="shared" si="20"/>
        <v>1173437.3066451997</v>
      </c>
      <c r="BC7" s="253">
        <f t="shared" si="20"/>
        <v>1173437.3066451997</v>
      </c>
      <c r="BD7" s="253">
        <f t="shared" si="20"/>
        <v>1173437.3066451997</v>
      </c>
      <c r="BE7" s="253">
        <f t="shared" si="20"/>
        <v>1173437.3066451997</v>
      </c>
      <c r="BF7" s="253">
        <f t="shared" si="20"/>
        <v>1173437.3066451997</v>
      </c>
      <c r="BG7" s="253">
        <f t="shared" si="20"/>
        <v>1173437.3066451997</v>
      </c>
      <c r="BH7" s="253">
        <f t="shared" si="20"/>
        <v>1173437.3066451997</v>
      </c>
      <c r="BI7" s="253">
        <f t="shared" si="20"/>
        <v>1173437.3066451997</v>
      </c>
      <c r="BJ7" s="253">
        <f t="shared" si="20"/>
        <v>1173437.3066451997</v>
      </c>
      <c r="BK7" s="253">
        <f t="shared" si="20"/>
        <v>1173437.3066451997</v>
      </c>
      <c r="BL7" s="253">
        <f t="shared" si="20"/>
        <v>1173437.3066451997</v>
      </c>
      <c r="BM7" s="253">
        <f t="shared" si="20"/>
        <v>1173437.3066451997</v>
      </c>
      <c r="BN7" s="253">
        <f t="shared" si="20"/>
        <v>1173437.3066451997</v>
      </c>
      <c r="BO7" s="253">
        <f t="shared" si="20"/>
        <v>1173437.3066451997</v>
      </c>
      <c r="BP7" s="253">
        <f t="shared" si="20"/>
        <v>1173437.3066451997</v>
      </c>
      <c r="BQ7" s="253">
        <f t="shared" si="20"/>
        <v>1173437.3066451997</v>
      </c>
      <c r="BR7" s="253">
        <f t="shared" si="20"/>
        <v>1173437.3066451997</v>
      </c>
      <c r="BS7" s="253">
        <f t="shared" si="20"/>
        <v>1173437.3066451997</v>
      </c>
      <c r="BT7" s="253">
        <f t="shared" si="20"/>
        <v>1173437.3066451997</v>
      </c>
      <c r="BU7" s="253">
        <f t="shared" ref="BU7:CJ7" si="21">BU4-BU6</f>
        <v>1173437.3066451997</v>
      </c>
      <c r="BV7" s="253">
        <f t="shared" si="21"/>
        <v>1173437.3066451997</v>
      </c>
      <c r="BW7" s="253">
        <f t="shared" si="21"/>
        <v>1173437.3066451997</v>
      </c>
      <c r="BX7" s="253">
        <f t="shared" si="21"/>
        <v>1173437.3066451997</v>
      </c>
      <c r="BY7" s="253">
        <f t="shared" si="21"/>
        <v>1173437.3066451997</v>
      </c>
      <c r="BZ7" s="253">
        <f t="shared" si="21"/>
        <v>1173437.3066451997</v>
      </c>
      <c r="CA7" s="253">
        <f t="shared" si="21"/>
        <v>1173437.3066451997</v>
      </c>
      <c r="CB7" s="253">
        <f t="shared" si="21"/>
        <v>1173437.3066451997</v>
      </c>
      <c r="CC7" s="253">
        <f t="shared" si="21"/>
        <v>1173437.3066451997</v>
      </c>
      <c r="CD7" s="253">
        <f t="shared" si="21"/>
        <v>1173437.3066451997</v>
      </c>
      <c r="CE7" s="253">
        <f t="shared" si="21"/>
        <v>1173437.3066451997</v>
      </c>
      <c r="CF7" s="253">
        <f t="shared" si="21"/>
        <v>1173437.3066451997</v>
      </c>
      <c r="CG7" s="253">
        <f t="shared" si="21"/>
        <v>1173437.3066451997</v>
      </c>
      <c r="CH7" s="253">
        <f t="shared" si="21"/>
        <v>1173437.3066451997</v>
      </c>
      <c r="CI7" s="253">
        <f t="shared" si="21"/>
        <v>1173437.3066451997</v>
      </c>
      <c r="CJ7" s="253">
        <f t="shared" si="21"/>
        <v>1173437.3066451997</v>
      </c>
      <c r="CK7" s="253">
        <f t="shared" ref="CK7:CP7" si="22">CK4-CK6</f>
        <v>1173437.3066451997</v>
      </c>
      <c r="CL7" s="253">
        <f t="shared" si="22"/>
        <v>1173437.3066451997</v>
      </c>
      <c r="CM7" s="253">
        <f t="shared" si="22"/>
        <v>1173437.3066451997</v>
      </c>
      <c r="CN7" s="253">
        <f t="shared" si="22"/>
        <v>1173437.3066451997</v>
      </c>
      <c r="CO7" s="253">
        <f t="shared" si="22"/>
        <v>1173437.3066451997</v>
      </c>
      <c r="CP7" s="253">
        <f t="shared" si="22"/>
        <v>1173437.3066451997</v>
      </c>
    </row>
    <row r="8" spans="1:572" s="237" customFormat="1">
      <c r="A8" s="915" t="s">
        <v>60</v>
      </c>
      <c r="B8" s="238"/>
      <c r="C8" s="239" t="s">
        <v>216</v>
      </c>
      <c r="D8" s="239" t="s">
        <v>216</v>
      </c>
      <c r="E8" s="239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  <c r="R8" s="254"/>
      <c r="S8" s="254"/>
      <c r="T8" s="254"/>
      <c r="U8" s="254"/>
      <c r="V8" s="254"/>
      <c r="W8" s="254"/>
      <c r="X8" s="254"/>
      <c r="Y8" s="254"/>
      <c r="Z8" s="254"/>
      <c r="AA8" s="254"/>
      <c r="AB8" s="254"/>
      <c r="AC8" s="254"/>
      <c r="AD8" s="254"/>
      <c r="AE8" s="254"/>
      <c r="AF8" s="254"/>
      <c r="AG8" s="254"/>
      <c r="AH8" s="254"/>
      <c r="AI8" s="254"/>
      <c r="AJ8" s="254"/>
      <c r="AK8" s="254"/>
      <c r="AL8" s="254"/>
      <c r="AM8" s="254"/>
      <c r="AN8" s="254"/>
      <c r="AO8" s="254"/>
      <c r="AP8" s="254"/>
      <c r="AQ8" s="254"/>
      <c r="AR8" s="254"/>
      <c r="AS8" s="254"/>
      <c r="AT8" s="254"/>
      <c r="AU8" s="254"/>
      <c r="AV8" s="254"/>
      <c r="AW8" s="254"/>
      <c r="AX8" s="254"/>
      <c r="AY8" s="254"/>
      <c r="AZ8" s="254"/>
      <c r="BA8" s="254"/>
      <c r="BB8" s="254"/>
      <c r="BC8" s="254"/>
      <c r="BD8" s="254"/>
      <c r="BE8" s="254"/>
      <c r="BF8" s="254"/>
      <c r="BG8" s="254"/>
      <c r="BH8" s="254"/>
      <c r="BI8" s="254"/>
      <c r="BJ8" s="254"/>
      <c r="BK8" s="254"/>
      <c r="BL8" s="254"/>
      <c r="BM8" s="254"/>
      <c r="BN8" s="254"/>
      <c r="BO8" s="254"/>
      <c r="BP8" s="254"/>
      <c r="BQ8" s="254"/>
      <c r="BR8" s="254"/>
      <c r="BS8" s="254"/>
      <c r="BT8" s="254"/>
      <c r="BU8" s="254"/>
      <c r="BV8" s="254"/>
      <c r="BW8" s="254"/>
      <c r="BX8" s="254"/>
      <c r="BY8" s="254"/>
      <c r="BZ8" s="254"/>
      <c r="CA8" s="254"/>
      <c r="CB8" s="254"/>
      <c r="CC8" s="254"/>
      <c r="CD8" s="254"/>
      <c r="CE8" s="254"/>
      <c r="CF8" s="254"/>
      <c r="CG8" s="254"/>
      <c r="CH8" s="254"/>
      <c r="CI8" s="254"/>
      <c r="CJ8" s="254"/>
      <c r="CK8" s="254"/>
      <c r="CL8" s="254"/>
      <c r="CM8" s="254"/>
      <c r="CN8" s="254"/>
      <c r="CO8" s="254"/>
      <c r="CP8" s="254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</row>
    <row r="9" spans="1:572">
      <c r="A9" s="916"/>
      <c r="B9" s="255" t="s">
        <v>220</v>
      </c>
      <c r="C9" s="256">
        <f>'Revenue Tracking'!F4</f>
        <v>11729547.5310365</v>
      </c>
      <c r="D9" s="256">
        <f>SUM(F9:CP9)</f>
        <v>11729547.531036498</v>
      </c>
      <c r="E9" s="243"/>
      <c r="F9" s="257">
        <f>SUMIFS('Revenue Tracking'!$F$13:$F$20, 'Revenue Tracking'!$P$13:$P$20, "&gt;="&amp;F1,'Revenue Tracking'!$P$13:$P$20, "&lt;"&amp;G1)</f>
        <v>0</v>
      </c>
      <c r="G9" s="257">
        <f>SUMIFS('Revenue Tracking'!$F$13:$F$20, 'Revenue Tracking'!$P$13:$P$20, "&gt;="&amp;G1,'Revenue Tracking'!$P$13:$P$20, "&lt;"&amp;H1)</f>
        <v>0</v>
      </c>
      <c r="H9" s="257">
        <f>SUMIFS('Revenue Tracking'!$F$13:$F$20, 'Revenue Tracking'!$P$13:$P$20, "&gt;="&amp;H1,'Revenue Tracking'!$P$13:$P$20, "&lt;"&amp;I1)</f>
        <v>0</v>
      </c>
      <c r="I9" s="257">
        <f>SUMIFS('Revenue Tracking'!$F$13:$F$20, 'Revenue Tracking'!$P$13:$P$20, "&gt;="&amp;I1,'Revenue Tracking'!$P$13:$P$20, "&lt;"&amp;J1)</f>
        <v>0</v>
      </c>
      <c r="J9" s="257">
        <f>SUMIFS('Revenue Tracking'!$F$13:$F$20, 'Revenue Tracking'!$P$13:$P$20, "&gt;="&amp;J1,'Revenue Tracking'!$P$13:$P$20, "&lt;"&amp;K1)</f>
        <v>0</v>
      </c>
      <c r="K9" s="257">
        <f>SUMIFS('Revenue Tracking'!$F$13:$F$20, 'Revenue Tracking'!$P$13:$P$20, "&gt;="&amp;K1,'Revenue Tracking'!$P$13:$P$20, "&lt;"&amp;L1)</f>
        <v>73118.58</v>
      </c>
      <c r="L9" s="257">
        <f>SUMIFS('Revenue Tracking'!$F$13:$F$20, 'Revenue Tracking'!$P$13:$P$20, "&gt;="&amp;L1,'Revenue Tracking'!$P$13:$P$20, "&lt;"&amp;M1)</f>
        <v>0</v>
      </c>
      <c r="M9" s="257">
        <f>SUMIFS('Revenue Tracking'!$F$13:$F$20, 'Revenue Tracking'!$P$13:$P$20, "&gt;="&amp;M1,'Revenue Tracking'!$P$13:$P$20, "&lt;"&amp;N1)</f>
        <v>0</v>
      </c>
      <c r="N9" s="257">
        <f>SUMIFS('Revenue Tracking'!$F$13:$F$20, 'Revenue Tracking'!$P$13:$P$20, "&gt;="&amp;N1,'Revenue Tracking'!$P$13:$P$20, "&lt;"&amp;O1)</f>
        <v>0</v>
      </c>
      <c r="O9" s="257">
        <f>SUMIFS('Revenue Tracking'!$F$13:$F$20, 'Revenue Tracking'!$P$13:$P$20, "&gt;="&amp;O1,'Revenue Tracking'!$P$13:$P$20, "&lt;"&amp;P1)</f>
        <v>0</v>
      </c>
      <c r="P9" s="257">
        <f>SUMIFS('Revenue Tracking'!$F$13:$F$20, 'Revenue Tracking'!$P$13:$P$20, "&gt;="&amp;P1,'Revenue Tracking'!$P$13:$P$20, "&lt;"&amp;Q1)</f>
        <v>0</v>
      </c>
      <c r="Q9" s="257">
        <f>SUMIFS('Revenue Tracking'!$F$13:$F$20, 'Revenue Tracking'!$P$13:$P$20, "&gt;="&amp;Q1,'Revenue Tracking'!$P$13:$P$20, "&lt;"&amp;R1)</f>
        <v>6344557.6980700744</v>
      </c>
      <c r="R9" s="257">
        <f>SUMIFS('Revenue Tracking'!$F$13:$F$20, 'Revenue Tracking'!$P$13:$P$20, "&gt;="&amp;R1,'Revenue Tracking'!$P$13:$P$20, "&lt;"&amp;S1)</f>
        <v>0</v>
      </c>
      <c r="S9" s="257">
        <f>SUMIFS('Revenue Tracking'!$F$13:$F$20, 'Revenue Tracking'!$P$13:$P$20, "&gt;="&amp;S1,'Revenue Tracking'!$P$13:$P$20, "&lt;"&amp;T1)</f>
        <v>3460667.8353109499</v>
      </c>
      <c r="T9" s="257">
        <f>SUMIFS('Revenue Tracking'!$F$13:$F$20, 'Revenue Tracking'!$P$13:$P$20, "&gt;="&amp;T1,'Revenue Tracking'!$P$13:$P$20, "&lt;"&amp;U1)</f>
        <v>120869.5</v>
      </c>
      <c r="U9" s="257">
        <f>SUMIFS('Revenue Tracking'!$F$13:$F$20, 'Revenue Tracking'!$P$13:$P$20, "&gt;="&amp;U1,'Revenue Tracking'!$P$13:$P$20, "&lt;"&amp;V1)</f>
        <v>0</v>
      </c>
      <c r="V9" s="257">
        <f>SUMIFS('Revenue Tracking'!$F$13:$F$20, 'Revenue Tracking'!$P$13:$P$20, "&gt;="&amp;V1,'Revenue Tracking'!$P$13:$P$20, "&lt;"&amp;W1)</f>
        <v>0</v>
      </c>
      <c r="W9" s="257">
        <f>SUMIFS('Revenue Tracking'!$F$13:$F$20, 'Revenue Tracking'!$P$13:$P$20, "&gt;="&amp;W1,'Revenue Tracking'!$P$13:$P$20, "&lt;"&amp;X1)</f>
        <v>0</v>
      </c>
      <c r="X9" s="257">
        <f>SUMIFS('Revenue Tracking'!$F$13:$F$20, 'Revenue Tracking'!$P$13:$P$20, "&gt;="&amp;X1,'Revenue Tracking'!$P$13:$P$20, "&lt;"&amp;Y1)</f>
        <v>0</v>
      </c>
      <c r="Y9" s="257">
        <f>SUMIFS('Revenue Tracking'!$F$13:$F$20, 'Revenue Tracking'!$P$13:$P$20, "&gt;="&amp;Y1,'Revenue Tracking'!$P$13:$P$20, "&lt;"&amp;Z1)</f>
        <v>0</v>
      </c>
      <c r="Z9" s="257">
        <f>SUMIFS('Revenue Tracking'!$F$13:$F$20, 'Revenue Tracking'!$P$13:$P$20, "&gt;="&amp;Z1,'Revenue Tracking'!$P$13:$P$20, "&lt;"&amp;AA1)</f>
        <v>0</v>
      </c>
      <c r="AA9" s="257">
        <f>SUMIFS('Revenue Tracking'!$F$13:$F$20, 'Revenue Tracking'!$P$13:$P$20, "&gt;="&amp;AA1,'Revenue Tracking'!$P$13:$P$20, "&lt;"&amp;AB1)</f>
        <v>0</v>
      </c>
      <c r="AB9" s="257">
        <f>SUMIFS('Revenue Tracking'!$F$13:$F$20, 'Revenue Tracking'!$P$13:$P$20, "&gt;="&amp;AB1,'Revenue Tracking'!$P$13:$P$20, "&lt;"&amp;AC1)</f>
        <v>0</v>
      </c>
      <c r="AC9" s="257">
        <f>SUMIFS('Revenue Tracking'!$F$13:$F$20, 'Revenue Tracking'!$P$13:$P$20, "&gt;="&amp;AC1,'Revenue Tracking'!$P$13:$P$20, "&lt;"&amp;AD1)</f>
        <v>0</v>
      </c>
      <c r="AD9" s="257">
        <f>SUMIFS('Revenue Tracking'!$F$13:$F$20, 'Revenue Tracking'!$P$13:$P$20, "&gt;="&amp;AD1,'Revenue Tracking'!$P$13:$P$20, "&lt;"&amp;AE1)</f>
        <v>0</v>
      </c>
      <c r="AE9" s="257">
        <f>SUMIFS('Revenue Tracking'!$F$13:$F$20, 'Revenue Tracking'!$P$13:$P$20, "&gt;="&amp;AE1,'Revenue Tracking'!$P$13:$P$20, "&lt;"&amp;AF1)</f>
        <v>0</v>
      </c>
      <c r="AF9" s="257">
        <f>SUMIFS('Revenue Tracking'!$F$13:$F$20, 'Revenue Tracking'!$P$13:$P$20, "&gt;="&amp;AF1,'Revenue Tracking'!$P$13:$P$20, "&lt;"&amp;AG1)</f>
        <v>0</v>
      </c>
      <c r="AG9" s="257">
        <f>SUMIFS('Revenue Tracking'!$F$13:$F$20, 'Revenue Tracking'!$P$13:$P$20, "&gt;="&amp;AG1,'Revenue Tracking'!$P$13:$P$20, "&lt;"&amp;AH1)</f>
        <v>1153555.94510365</v>
      </c>
      <c r="AH9" s="257">
        <f>SUMIFS('Revenue Tracking'!$F$13:$F$20, 'Revenue Tracking'!$P$13:$P$20, "&gt;="&amp;AH1,'Revenue Tracking'!$P$13:$P$20, "&lt;"&amp;AI1)</f>
        <v>0</v>
      </c>
      <c r="AI9" s="257">
        <f>SUMIFS('Revenue Tracking'!$F$13:$F$20, 'Revenue Tracking'!$P$13:$P$20, "&gt;="&amp;AI1,'Revenue Tracking'!$P$13:$P$20, "&lt;"&amp;AJ1)</f>
        <v>0</v>
      </c>
      <c r="AJ9" s="257">
        <f>SUMIFS('Revenue Tracking'!$F$13:$F$20, 'Revenue Tracking'!$P$13:$P$20, "&gt;="&amp;AJ1,'Revenue Tracking'!$P$13:$P$20, "&lt;"&amp;AK1)</f>
        <v>0</v>
      </c>
      <c r="AK9" s="257">
        <f>SUMIFS('Revenue Tracking'!$F$13:$F$20, 'Revenue Tracking'!$P$13:$P$20, "&gt;="&amp;AK1,'Revenue Tracking'!$P$13:$P$20, "&lt;"&amp;AL1)</f>
        <v>0</v>
      </c>
      <c r="AL9" s="257">
        <f>SUMIFS('Revenue Tracking'!$F$13:$F$20, 'Revenue Tracking'!$P$13:$P$20, "&gt;="&amp;AL1,'Revenue Tracking'!$P$13:$P$20, "&lt;"&amp;AM1)</f>
        <v>0</v>
      </c>
      <c r="AM9" s="257">
        <f>SUMIFS('Revenue Tracking'!$F$13:$F$20, 'Revenue Tracking'!$P$13:$P$20, "&gt;="&amp;AM1,'Revenue Tracking'!$P$13:$P$20, "&lt;"&amp;AN1)</f>
        <v>576777.97255182499</v>
      </c>
      <c r="AN9" s="257">
        <f>SUMIFS('Revenue Tracking'!$F$13:$F$20, 'Revenue Tracking'!$P$13:$P$20, "&gt;="&amp;AN1,'Revenue Tracking'!$P$13:$P$20, "&lt;"&amp;AO1)</f>
        <v>0</v>
      </c>
      <c r="AO9" s="257">
        <f>SUMIFS('Revenue Tracking'!$F$13:$F$20, 'Revenue Tracking'!$P$13:$P$20, "&gt;="&amp;AO1,'Revenue Tracking'!$P$13:$P$20, "&lt;"&amp;AP1)</f>
        <v>0</v>
      </c>
      <c r="AP9" s="257">
        <f>SUMIFS('Revenue Tracking'!$F$13:$F$20, 'Revenue Tracking'!$P$13:$P$20, "&gt;="&amp;AP1,'Revenue Tracking'!$P$13:$P$20, "&lt;"&amp;AQ1)</f>
        <v>0</v>
      </c>
      <c r="AQ9" s="257">
        <f>SUMIFS('Revenue Tracking'!$F$13:$F$20, 'Revenue Tracking'!$P$13:$P$20, "&gt;="&amp;AQ1,'Revenue Tracking'!$P$13:$P$20, "&lt;"&amp;AR1)</f>
        <v>0</v>
      </c>
      <c r="AR9" s="257">
        <f>SUMIFS('Revenue Tracking'!$F$13:$F$20, 'Revenue Tracking'!$P$13:$P$20, "&gt;="&amp;AR1,'Revenue Tracking'!$P$13:$P$20, "&lt;"&amp;AS1)</f>
        <v>0</v>
      </c>
      <c r="AS9" s="257">
        <f>SUMIFS('Revenue Tracking'!$F$13:$F$20, 'Revenue Tracking'!$P$13:$P$20, "&gt;="&amp;AS1,'Revenue Tracking'!$P$13:$P$20, "&lt;"&amp;AT1)</f>
        <v>0</v>
      </c>
      <c r="AT9" s="257">
        <f>SUMIFS('Revenue Tracking'!$F$13:$F$20, 'Revenue Tracking'!$P$13:$P$20, "&gt;="&amp;AT1,'Revenue Tracking'!$P$13:$P$20, "&lt;"&amp;AU1)</f>
        <v>0</v>
      </c>
      <c r="AU9" s="257">
        <f>SUMIFS('Revenue Tracking'!$F$13:$F$20, 'Revenue Tracking'!$P$13:$P$20, "&gt;="&amp;AU1,'Revenue Tracking'!$P$13:$P$20, "&lt;"&amp;AV1)</f>
        <v>0</v>
      </c>
      <c r="AV9" s="257">
        <f>SUMIFS('Revenue Tracking'!$F$13:$F$20, 'Revenue Tracking'!$P$13:$P$20, "&gt;="&amp;AV1,'Revenue Tracking'!$P$13:$P$20, "&lt;"&amp;AW1)</f>
        <v>0</v>
      </c>
      <c r="AW9" s="257">
        <f>SUMIFS('Revenue Tracking'!$F$13:$F$20, 'Revenue Tracking'!$P$13:$P$20, "&gt;="&amp;AW1,'Revenue Tracking'!$P$13:$P$20, "&lt;"&amp;AX1)</f>
        <v>0</v>
      </c>
      <c r="AX9" s="257">
        <f>SUMIFS('Revenue Tracking'!$F$13:$F$20, 'Revenue Tracking'!$P$13:$P$20, "&gt;="&amp;AX1,'Revenue Tracking'!$P$13:$P$20, "&lt;"&amp;AY1)</f>
        <v>0</v>
      </c>
      <c r="AY9" s="257">
        <f>SUMIFS('Revenue Tracking'!$F$13:$F$20, 'Revenue Tracking'!$P$13:$P$20, "&gt;="&amp;AY1,'Revenue Tracking'!$P$13:$P$20, "&lt;"&amp;AZ1)</f>
        <v>0</v>
      </c>
      <c r="AZ9" s="257">
        <f>SUMIFS('Revenue Tracking'!$F$13:$F$20, 'Revenue Tracking'!$P$13:$P$20, "&gt;="&amp;AZ1,'Revenue Tracking'!$P$13:$P$20, "&lt;"&amp;BA1)</f>
        <v>0</v>
      </c>
      <c r="BA9" s="257">
        <f>SUMIFS('Revenue Tracking'!$F$13:$F$20, 'Revenue Tracking'!$P$13:$P$20, "&gt;="&amp;BA1,'Revenue Tracking'!$P$13:$P$20, "&lt;"&amp;BB1)</f>
        <v>0</v>
      </c>
      <c r="BB9" s="257">
        <f>SUMIFS('Revenue Tracking'!$F$13:$F$20, 'Revenue Tracking'!$P$13:$P$20, "&gt;="&amp;BB1,'Revenue Tracking'!$P$13:$P$20, "&lt;"&amp;BC1)</f>
        <v>0</v>
      </c>
      <c r="BC9" s="257">
        <f>SUMIFS('Revenue Tracking'!$F$13:$F$20, 'Revenue Tracking'!$P$13:$P$20, "&gt;="&amp;BC1,'Revenue Tracking'!$P$13:$P$20, "&lt;"&amp;BD1)</f>
        <v>0</v>
      </c>
      <c r="BD9" s="257">
        <f>SUMIFS('Revenue Tracking'!$F$13:$F$20, 'Revenue Tracking'!$P$13:$P$20, "&gt;="&amp;BD1,'Revenue Tracking'!$P$13:$P$20, "&lt;"&amp;BE1)</f>
        <v>0</v>
      </c>
      <c r="BE9" s="257">
        <f>SUMIFS('Revenue Tracking'!$F$13:$F$20, 'Revenue Tracking'!$P$13:$P$20, "&gt;="&amp;BE1,'Revenue Tracking'!$P$13:$P$20, "&lt;"&amp;BF1)</f>
        <v>0</v>
      </c>
      <c r="BF9" s="257">
        <f>SUMIFS('Revenue Tracking'!$F$13:$F$20, 'Revenue Tracking'!$P$13:$P$20, "&gt;="&amp;BF1,'Revenue Tracking'!$P$13:$P$20, "&lt;"&amp;BG1)</f>
        <v>0</v>
      </c>
      <c r="BG9" s="257">
        <f>SUMIFS('Revenue Tracking'!$F$13:$F$20, 'Revenue Tracking'!$P$13:$P$20, "&gt;="&amp;BG1,'Revenue Tracking'!$P$13:$P$20, "&lt;"&amp;BH1)</f>
        <v>0</v>
      </c>
      <c r="BH9" s="257">
        <f>SUMIFS('Revenue Tracking'!$F$13:$F$20, 'Revenue Tracking'!$P$13:$P$20, "&gt;="&amp;BH1,'Revenue Tracking'!$P$13:$P$20, "&lt;"&amp;BI1)</f>
        <v>0</v>
      </c>
      <c r="BI9" s="257">
        <f>SUMIFS('Revenue Tracking'!$F$13:$F$20, 'Revenue Tracking'!$P$13:$P$20, "&gt;="&amp;BI1,'Revenue Tracking'!$P$13:$P$20, "&lt;"&amp;BJ1)</f>
        <v>0</v>
      </c>
      <c r="BJ9" s="257">
        <f>SUMIFS('Revenue Tracking'!$F$13:$F$20, 'Revenue Tracking'!$P$13:$P$20, "&gt;="&amp;BJ1,'Revenue Tracking'!$P$13:$P$20, "&lt;"&amp;BK1)</f>
        <v>0</v>
      </c>
      <c r="BK9" s="257">
        <f>SUMIFS('Revenue Tracking'!$F$13:$F$20, 'Revenue Tracking'!$P$13:$P$20, "&gt;="&amp;BK1,'Revenue Tracking'!$P$13:$P$20, "&lt;"&amp;BL1)</f>
        <v>0</v>
      </c>
      <c r="BL9" s="257">
        <f>SUMIFS('Revenue Tracking'!$F$13:$F$20, 'Revenue Tracking'!$P$13:$P$20, "&gt;="&amp;BL1,'Revenue Tracking'!$P$13:$P$20, "&lt;"&amp;BM1)</f>
        <v>0</v>
      </c>
      <c r="BM9" s="257">
        <f>SUMIFS('Revenue Tracking'!$F$13:$F$20, 'Revenue Tracking'!$P$13:$P$20, "&gt;="&amp;BM1,'Revenue Tracking'!$P$13:$P$20, "&lt;"&amp;BN1)</f>
        <v>0</v>
      </c>
      <c r="BN9" s="257">
        <f>SUMIFS('Revenue Tracking'!$F$13:$F$20, 'Revenue Tracking'!$P$13:$P$20, "&gt;="&amp;BN1,'Revenue Tracking'!$P$13:$P$20, "&lt;"&amp;BO1)</f>
        <v>0</v>
      </c>
      <c r="BO9" s="257">
        <f>SUMIFS('Revenue Tracking'!$F$13:$F$20, 'Revenue Tracking'!$P$13:$P$20, "&gt;="&amp;BO1,'Revenue Tracking'!$P$13:$P$20, "&lt;"&amp;BP1)</f>
        <v>0</v>
      </c>
      <c r="BP9" s="257">
        <f>SUMIFS('Revenue Tracking'!$F$13:$F$20, 'Revenue Tracking'!$P$13:$P$20, "&gt;="&amp;BP1,'Revenue Tracking'!$P$13:$P$20, "&lt;"&amp;BQ1)</f>
        <v>0</v>
      </c>
      <c r="BQ9" s="257">
        <f>SUMIFS('Revenue Tracking'!$F$13:$F$20, 'Revenue Tracking'!$P$13:$P$20, "&gt;="&amp;BQ1,'Revenue Tracking'!$P$13:$P$20, "&lt;"&amp;BR1)</f>
        <v>0</v>
      </c>
      <c r="BR9" s="257">
        <f>SUMIFS('Revenue Tracking'!$F$13:$F$20, 'Revenue Tracking'!$P$13:$P$20, "&gt;="&amp;BR1,'Revenue Tracking'!$P$13:$P$20, "&lt;"&amp;BS1)</f>
        <v>0</v>
      </c>
      <c r="BS9" s="257">
        <f>SUMIFS('Revenue Tracking'!$F$13:$F$20, 'Revenue Tracking'!$P$13:$P$20, "&gt;="&amp;BS1,'Revenue Tracking'!$P$13:$P$20, "&lt;"&amp;BT1)</f>
        <v>0</v>
      </c>
      <c r="BT9" s="257">
        <f>SUMIFS('Revenue Tracking'!$F$13:$F$20, 'Revenue Tracking'!$P$13:$P$20, "&gt;="&amp;BT1,'Revenue Tracking'!$P$13:$P$20, "&lt;"&amp;BU1)</f>
        <v>0</v>
      </c>
      <c r="BU9" s="257">
        <f>SUMIFS('Revenue Tracking'!$F$13:$F$20, 'Revenue Tracking'!$P$13:$P$20, "&gt;="&amp;BU1,'Revenue Tracking'!$P$13:$P$20, "&lt;"&amp;BV1)</f>
        <v>0</v>
      </c>
      <c r="BV9" s="257">
        <f>SUMIFS('Revenue Tracking'!$F$13:$F$20, 'Revenue Tracking'!$P$13:$P$20, "&gt;="&amp;BV1,'Revenue Tracking'!$P$13:$P$20, "&lt;"&amp;BW1)</f>
        <v>0</v>
      </c>
      <c r="BW9" s="257">
        <f>SUMIFS('Revenue Tracking'!$F$13:$F$20, 'Revenue Tracking'!$P$13:$P$20, "&gt;="&amp;BW1,'Revenue Tracking'!$P$13:$P$20, "&lt;"&amp;BX1)</f>
        <v>0</v>
      </c>
      <c r="BX9" s="257">
        <f>SUMIFS('Revenue Tracking'!$F$13:$F$20, 'Revenue Tracking'!$P$13:$P$20, "&gt;="&amp;BX1,'Revenue Tracking'!$P$13:$P$20, "&lt;"&amp;BY1)</f>
        <v>0</v>
      </c>
      <c r="BY9" s="257">
        <f>SUMIFS('Revenue Tracking'!$F$13:$F$20, 'Revenue Tracking'!$P$13:$P$20, "&gt;="&amp;BY1,'Revenue Tracking'!$P$13:$P$20, "&lt;"&amp;BZ1)</f>
        <v>0</v>
      </c>
      <c r="BZ9" s="257">
        <f>SUMIFS('Revenue Tracking'!$F$13:$F$20, 'Revenue Tracking'!$P$13:$P$20, "&gt;="&amp;BZ1,'Revenue Tracking'!$P$13:$P$20, "&lt;"&amp;CA1)</f>
        <v>0</v>
      </c>
      <c r="CA9" s="257">
        <f>SUMIFS('Revenue Tracking'!$F$13:$F$20, 'Revenue Tracking'!$P$13:$P$20, "&gt;="&amp;CA1,'Revenue Tracking'!$P$13:$P$20, "&lt;"&amp;CB1)</f>
        <v>0</v>
      </c>
      <c r="CB9" s="257">
        <f>SUMIFS('Revenue Tracking'!$F$13:$F$20, 'Revenue Tracking'!$P$13:$P$20, "&gt;="&amp;CB1,'Revenue Tracking'!$P$13:$P$20, "&lt;"&amp;CC1)</f>
        <v>0</v>
      </c>
      <c r="CC9" s="257">
        <f>SUMIFS('Revenue Tracking'!$F$13:$F$20, 'Revenue Tracking'!$P$13:$P$20, "&gt;="&amp;CC1,'Revenue Tracking'!$P$13:$P$20, "&lt;"&amp;CD1)</f>
        <v>0</v>
      </c>
      <c r="CD9" s="257">
        <f>SUMIFS('Revenue Tracking'!$F$13:$F$20, 'Revenue Tracking'!$P$13:$P$20, "&gt;="&amp;CD1,'Revenue Tracking'!$P$13:$P$20, "&lt;"&amp;CE1)</f>
        <v>0</v>
      </c>
      <c r="CE9" s="257">
        <f>SUMIFS('Revenue Tracking'!$F$13:$F$20, 'Revenue Tracking'!$P$13:$P$20, "&gt;="&amp;CE1,'Revenue Tracking'!$P$13:$P$20, "&lt;"&amp;CF1)</f>
        <v>0</v>
      </c>
      <c r="CF9" s="257">
        <f>SUMIFS('Revenue Tracking'!$F$13:$F$20, 'Revenue Tracking'!$P$13:$P$20, "&gt;="&amp;CF1,'Revenue Tracking'!$P$13:$P$20, "&lt;"&amp;CG1)</f>
        <v>0</v>
      </c>
      <c r="CG9" s="257">
        <f>SUMIFS('Revenue Tracking'!$F$13:$F$20, 'Revenue Tracking'!$P$13:$P$20, "&gt;="&amp;CG1,'Revenue Tracking'!$P$13:$P$20, "&lt;"&amp;CH1)</f>
        <v>0</v>
      </c>
      <c r="CH9" s="257">
        <f>SUMIFS('Revenue Tracking'!$F$13:$F$20, 'Revenue Tracking'!$P$13:$P$20, "&gt;="&amp;CH1,'Revenue Tracking'!$P$13:$P$20, "&lt;"&amp;CI1)</f>
        <v>0</v>
      </c>
      <c r="CI9" s="257">
        <f>SUMIFS('Revenue Tracking'!$F$13:$F$20, 'Revenue Tracking'!$P$13:$P$20, "&gt;="&amp;CI1,'Revenue Tracking'!$P$13:$P$20, "&lt;"&amp;CJ1)</f>
        <v>0</v>
      </c>
      <c r="CJ9" s="257">
        <f>SUMIFS('Revenue Tracking'!$F$13:$F$20, 'Revenue Tracking'!$P$13:$P$20, "&gt;="&amp;CJ1,'Revenue Tracking'!$P$13:$P$20, "&lt;"&amp;CK1)</f>
        <v>0</v>
      </c>
      <c r="CK9" s="257">
        <f>SUMIFS('Revenue Tracking'!$F$13:$F$20, 'Revenue Tracking'!$P$13:$P$20, "&gt;="&amp;CK1,'Revenue Tracking'!$P$13:$P$20, "&lt;"&amp;CL1)</f>
        <v>0</v>
      </c>
      <c r="CL9" s="257">
        <f>SUMIFS('Revenue Tracking'!$F$13:$F$20, 'Revenue Tracking'!$P$13:$P$20, "&gt;="&amp;CL1,'Revenue Tracking'!$P$13:$P$20, "&lt;"&amp;CM1)</f>
        <v>0</v>
      </c>
      <c r="CM9" s="257">
        <f>SUMIFS('Revenue Tracking'!$F$13:$F$20, 'Revenue Tracking'!$P$13:$P$20, "&gt;="&amp;CM1,'Revenue Tracking'!$P$13:$P$20, "&lt;"&amp;CN1)</f>
        <v>0</v>
      </c>
      <c r="CN9" s="257">
        <f>SUMIFS('Revenue Tracking'!$F$13:$F$20, 'Revenue Tracking'!$P$13:$P$20, "&gt;="&amp;CN1,'Revenue Tracking'!$P$13:$P$20, "&lt;"&amp;CO1)</f>
        <v>0</v>
      </c>
      <c r="CO9" s="257">
        <f>SUMIFS('Revenue Tracking'!$F$13:$F$20, 'Revenue Tracking'!$P$13:$P$20, "&gt;="&amp;CO1,'Revenue Tracking'!$P$13:$P$20, "&lt;"&amp;CP1)</f>
        <v>0</v>
      </c>
      <c r="CP9" s="257">
        <f>SUMIFS('Revenue Tracking'!$F$13:$F$20, 'Revenue Tracking'!$P$13:$P$20, "&gt;="&amp;CP1,'Revenue Tracking'!$P$13:$P$20, "&lt;"&amp;CQ1)</f>
        <v>0</v>
      </c>
    </row>
    <row r="10" spans="1:572">
      <c r="A10" s="916"/>
      <c r="B10" s="255" t="s">
        <v>221</v>
      </c>
      <c r="C10" s="256"/>
      <c r="D10" s="256"/>
      <c r="E10" s="243"/>
      <c r="F10" s="257">
        <f>F9</f>
        <v>0</v>
      </c>
      <c r="G10" s="257">
        <f>F10+G9</f>
        <v>0</v>
      </c>
      <c r="H10" s="257">
        <f>G10+H9</f>
        <v>0</v>
      </c>
      <c r="I10" s="257">
        <f t="shared" ref="I10:BT10" si="23">H10+I9</f>
        <v>0</v>
      </c>
      <c r="J10" s="257">
        <f t="shared" si="23"/>
        <v>0</v>
      </c>
      <c r="K10" s="257">
        <f t="shared" si="23"/>
        <v>73118.58</v>
      </c>
      <c r="L10" s="257">
        <f t="shared" si="23"/>
        <v>73118.58</v>
      </c>
      <c r="M10" s="257">
        <f t="shared" si="23"/>
        <v>73118.58</v>
      </c>
      <c r="N10" s="257">
        <f t="shared" si="23"/>
        <v>73118.58</v>
      </c>
      <c r="O10" s="257">
        <f t="shared" si="23"/>
        <v>73118.58</v>
      </c>
      <c r="P10" s="257">
        <f t="shared" si="23"/>
        <v>73118.58</v>
      </c>
      <c r="Q10" s="257">
        <f t="shared" si="23"/>
        <v>6417676.2780700745</v>
      </c>
      <c r="R10" s="257">
        <f t="shared" si="23"/>
        <v>6417676.2780700745</v>
      </c>
      <c r="S10" s="257">
        <f t="shared" si="23"/>
        <v>9878344.1133810245</v>
      </c>
      <c r="T10" s="257">
        <f t="shared" si="23"/>
        <v>9999213.6133810245</v>
      </c>
      <c r="U10" s="257">
        <f t="shared" si="23"/>
        <v>9999213.6133810245</v>
      </c>
      <c r="V10" s="257">
        <f t="shared" si="23"/>
        <v>9999213.6133810245</v>
      </c>
      <c r="W10" s="257">
        <f t="shared" si="23"/>
        <v>9999213.6133810245</v>
      </c>
      <c r="X10" s="257">
        <f t="shared" si="23"/>
        <v>9999213.6133810245</v>
      </c>
      <c r="Y10" s="257">
        <f t="shared" si="23"/>
        <v>9999213.6133810245</v>
      </c>
      <c r="Z10" s="257">
        <f t="shared" si="23"/>
        <v>9999213.6133810245</v>
      </c>
      <c r="AA10" s="257">
        <f t="shared" si="23"/>
        <v>9999213.6133810245</v>
      </c>
      <c r="AB10" s="257">
        <f t="shared" si="23"/>
        <v>9999213.6133810245</v>
      </c>
      <c r="AC10" s="257">
        <f t="shared" si="23"/>
        <v>9999213.6133810245</v>
      </c>
      <c r="AD10" s="257">
        <f t="shared" si="23"/>
        <v>9999213.6133810245</v>
      </c>
      <c r="AE10" s="257">
        <f t="shared" si="23"/>
        <v>9999213.6133810245</v>
      </c>
      <c r="AF10" s="257">
        <f t="shared" si="23"/>
        <v>9999213.6133810245</v>
      </c>
      <c r="AG10" s="257">
        <f t="shared" si="23"/>
        <v>11152769.558484674</v>
      </c>
      <c r="AH10" s="257">
        <f t="shared" si="23"/>
        <v>11152769.558484674</v>
      </c>
      <c r="AI10" s="257">
        <f t="shared" si="23"/>
        <v>11152769.558484674</v>
      </c>
      <c r="AJ10" s="257">
        <f t="shared" si="23"/>
        <v>11152769.558484674</v>
      </c>
      <c r="AK10" s="257">
        <f t="shared" si="23"/>
        <v>11152769.558484674</v>
      </c>
      <c r="AL10" s="257">
        <f t="shared" si="23"/>
        <v>11152769.558484674</v>
      </c>
      <c r="AM10" s="257">
        <f t="shared" si="23"/>
        <v>11729547.531036498</v>
      </c>
      <c r="AN10" s="257">
        <f t="shared" si="23"/>
        <v>11729547.531036498</v>
      </c>
      <c r="AO10" s="257">
        <f t="shared" si="23"/>
        <v>11729547.531036498</v>
      </c>
      <c r="AP10" s="257">
        <f t="shared" si="23"/>
        <v>11729547.531036498</v>
      </c>
      <c r="AQ10" s="257">
        <f t="shared" si="23"/>
        <v>11729547.531036498</v>
      </c>
      <c r="AR10" s="257">
        <f t="shared" si="23"/>
        <v>11729547.531036498</v>
      </c>
      <c r="AS10" s="257">
        <f t="shared" si="23"/>
        <v>11729547.531036498</v>
      </c>
      <c r="AT10" s="257">
        <f t="shared" si="23"/>
        <v>11729547.531036498</v>
      </c>
      <c r="AU10" s="257">
        <f t="shared" si="23"/>
        <v>11729547.531036498</v>
      </c>
      <c r="AV10" s="257">
        <f t="shared" si="23"/>
        <v>11729547.531036498</v>
      </c>
      <c r="AW10" s="257">
        <f t="shared" si="23"/>
        <v>11729547.531036498</v>
      </c>
      <c r="AX10" s="257">
        <f t="shared" si="23"/>
        <v>11729547.531036498</v>
      </c>
      <c r="AY10" s="257">
        <f t="shared" si="23"/>
        <v>11729547.531036498</v>
      </c>
      <c r="AZ10" s="257">
        <f t="shared" si="23"/>
        <v>11729547.531036498</v>
      </c>
      <c r="BA10" s="257">
        <f t="shared" si="23"/>
        <v>11729547.531036498</v>
      </c>
      <c r="BB10" s="257">
        <f t="shared" si="23"/>
        <v>11729547.531036498</v>
      </c>
      <c r="BC10" s="257">
        <f t="shared" si="23"/>
        <v>11729547.531036498</v>
      </c>
      <c r="BD10" s="257">
        <f t="shared" si="23"/>
        <v>11729547.531036498</v>
      </c>
      <c r="BE10" s="257">
        <f t="shared" si="23"/>
        <v>11729547.531036498</v>
      </c>
      <c r="BF10" s="257">
        <f t="shared" si="23"/>
        <v>11729547.531036498</v>
      </c>
      <c r="BG10" s="257">
        <f t="shared" si="23"/>
        <v>11729547.531036498</v>
      </c>
      <c r="BH10" s="257">
        <f t="shared" si="23"/>
        <v>11729547.531036498</v>
      </c>
      <c r="BI10" s="257">
        <f t="shared" si="23"/>
        <v>11729547.531036498</v>
      </c>
      <c r="BJ10" s="257">
        <f t="shared" si="23"/>
        <v>11729547.531036498</v>
      </c>
      <c r="BK10" s="257">
        <f t="shared" si="23"/>
        <v>11729547.531036498</v>
      </c>
      <c r="BL10" s="257">
        <f t="shared" si="23"/>
        <v>11729547.531036498</v>
      </c>
      <c r="BM10" s="257">
        <f t="shared" si="23"/>
        <v>11729547.531036498</v>
      </c>
      <c r="BN10" s="257">
        <f t="shared" si="23"/>
        <v>11729547.531036498</v>
      </c>
      <c r="BO10" s="257">
        <f t="shared" si="23"/>
        <v>11729547.531036498</v>
      </c>
      <c r="BP10" s="257">
        <f t="shared" si="23"/>
        <v>11729547.531036498</v>
      </c>
      <c r="BQ10" s="257">
        <f t="shared" si="23"/>
        <v>11729547.531036498</v>
      </c>
      <c r="BR10" s="257">
        <f t="shared" si="23"/>
        <v>11729547.531036498</v>
      </c>
      <c r="BS10" s="257">
        <f t="shared" si="23"/>
        <v>11729547.531036498</v>
      </c>
      <c r="BT10" s="257">
        <f t="shared" si="23"/>
        <v>11729547.531036498</v>
      </c>
      <c r="BU10" s="257">
        <f t="shared" ref="BU10:CJ10" si="24">BT10+BU9</f>
        <v>11729547.531036498</v>
      </c>
      <c r="BV10" s="257">
        <f t="shared" si="24"/>
        <v>11729547.531036498</v>
      </c>
      <c r="BW10" s="257">
        <f t="shared" si="24"/>
        <v>11729547.531036498</v>
      </c>
      <c r="BX10" s="257">
        <f t="shared" si="24"/>
        <v>11729547.531036498</v>
      </c>
      <c r="BY10" s="257">
        <f t="shared" si="24"/>
        <v>11729547.531036498</v>
      </c>
      <c r="BZ10" s="257">
        <f t="shared" si="24"/>
        <v>11729547.531036498</v>
      </c>
      <c r="CA10" s="257">
        <f t="shared" si="24"/>
        <v>11729547.531036498</v>
      </c>
      <c r="CB10" s="257">
        <f t="shared" si="24"/>
        <v>11729547.531036498</v>
      </c>
      <c r="CC10" s="257">
        <f t="shared" si="24"/>
        <v>11729547.531036498</v>
      </c>
      <c r="CD10" s="257">
        <f t="shared" si="24"/>
        <v>11729547.531036498</v>
      </c>
      <c r="CE10" s="257">
        <f t="shared" si="24"/>
        <v>11729547.531036498</v>
      </c>
      <c r="CF10" s="257">
        <f t="shared" si="24"/>
        <v>11729547.531036498</v>
      </c>
      <c r="CG10" s="257">
        <f t="shared" si="24"/>
        <v>11729547.531036498</v>
      </c>
      <c r="CH10" s="257">
        <f t="shared" si="24"/>
        <v>11729547.531036498</v>
      </c>
      <c r="CI10" s="257">
        <f t="shared" si="24"/>
        <v>11729547.531036498</v>
      </c>
      <c r="CJ10" s="257">
        <f t="shared" si="24"/>
        <v>11729547.531036498</v>
      </c>
      <c r="CK10" s="257">
        <f t="shared" ref="CK10" si="25">CJ10+CK9</f>
        <v>11729547.531036498</v>
      </c>
      <c r="CL10" s="257">
        <f t="shared" ref="CL10" si="26">CK10+CL9</f>
        <v>11729547.531036498</v>
      </c>
      <c r="CM10" s="257">
        <f t="shared" ref="CM10" si="27">CL10+CM9</f>
        <v>11729547.531036498</v>
      </c>
      <c r="CN10" s="257">
        <f t="shared" ref="CN10" si="28">CM10+CN9</f>
        <v>11729547.531036498</v>
      </c>
      <c r="CO10" s="257">
        <f t="shared" ref="CO10" si="29">CN10+CO9</f>
        <v>11729547.531036498</v>
      </c>
      <c r="CP10" s="257">
        <f t="shared" ref="CP10" si="30">CO10+CP9</f>
        <v>11729547.531036498</v>
      </c>
    </row>
    <row r="11" spans="1:572" s="249" customFormat="1">
      <c r="A11" s="916"/>
      <c r="B11" s="258" t="s">
        <v>222</v>
      </c>
      <c r="C11" s="259">
        <f>'Revenue Tracking'!F5</f>
        <v>11989842.5275</v>
      </c>
      <c r="D11" s="259">
        <f>SUM(F11:CP11)</f>
        <v>11989842.527499996</v>
      </c>
      <c r="E11" s="243"/>
      <c r="F11" s="260">
        <f>SUMIFS('Expenditure Breakdown'!$R$6:$R$150, 'Expenditure Breakdown'!$W$6:$W$150, "&gt;="&amp;F1,'Expenditure Breakdown'!$W$6:$W$150, "&lt;"&amp;G1)</f>
        <v>0</v>
      </c>
      <c r="G11" s="260">
        <f>SUMIFS('Expenditure Breakdown'!$R$6:$R$150, 'Expenditure Breakdown'!$W$6:$W$150, "&gt;="&amp;G1,'Expenditure Breakdown'!$W$6:$W$150, "&lt;"&amp;H1)</f>
        <v>0</v>
      </c>
      <c r="H11" s="260">
        <f>SUMIFS('Expenditure Breakdown'!$R$6:$R$150, 'Expenditure Breakdown'!$W$6:$W$150, "&gt;="&amp;H1,'Expenditure Breakdown'!$W$6:$W$150, "&lt;"&amp;I1)</f>
        <v>0</v>
      </c>
      <c r="I11" s="260">
        <f>SUMIFS('Expenditure Breakdown'!$R$6:$R$150, 'Expenditure Breakdown'!$W$6:$W$150, "&gt;="&amp;I1,'Expenditure Breakdown'!$W$6:$W$150, "&lt;"&amp;J1)</f>
        <v>11026.4</v>
      </c>
      <c r="J11" s="260">
        <f>SUMIFS('Expenditure Breakdown'!$R$6:$R$150, 'Expenditure Breakdown'!$W$6:$W$150, "&gt;="&amp;J1,'Expenditure Breakdown'!$W$6:$W$150, "&lt;"&amp;K1)</f>
        <v>0</v>
      </c>
      <c r="K11" s="260">
        <f>SUMIFS('Expenditure Breakdown'!$R$6:$R$150, 'Expenditure Breakdown'!$W$6:$W$150, "&gt;="&amp;K1,'Expenditure Breakdown'!$W$6:$W$150, "&lt;"&amp;L1)</f>
        <v>94959.2</v>
      </c>
      <c r="L11" s="260">
        <f>SUMIFS('Expenditure Breakdown'!$R$6:$R$150, 'Expenditure Breakdown'!$W$6:$W$150, "&gt;="&amp;L1,'Expenditure Breakdown'!$W$6:$W$150, "&lt;"&amp;M1)</f>
        <v>0</v>
      </c>
      <c r="M11" s="260">
        <f>SUMIFS('Expenditure Breakdown'!$R$6:$R$150, 'Expenditure Breakdown'!$W$6:$W$150, "&gt;="&amp;M1,'Expenditure Breakdown'!$W$6:$W$150, "&lt;"&amp;N1)</f>
        <v>0</v>
      </c>
      <c r="N11" s="260">
        <f>SUMIFS('Expenditure Breakdown'!$R$6:$R$150, 'Expenditure Breakdown'!$W$6:$W$150, "&gt;="&amp;N1,'Expenditure Breakdown'!$W$6:$W$150, "&lt;"&amp;O1)</f>
        <v>0</v>
      </c>
      <c r="O11" s="260">
        <f>SUMIFS('Expenditure Breakdown'!$R$6:$R$150, 'Expenditure Breakdown'!$W$6:$W$150, "&gt;="&amp;O1,'Expenditure Breakdown'!$W$6:$W$150, "&lt;"&amp;P1)</f>
        <v>6375.86</v>
      </c>
      <c r="P11" s="260">
        <f>SUMIFS('Expenditure Breakdown'!$R$6:$R$150, 'Expenditure Breakdown'!$W$6:$W$150, "&gt;="&amp;P1,'Expenditure Breakdown'!$W$6:$W$150, "&lt;"&amp;Q1)</f>
        <v>0</v>
      </c>
      <c r="Q11" s="260">
        <f>SUMIFS('Expenditure Breakdown'!$R$6:$R$150, 'Expenditure Breakdown'!$W$6:$W$150, "&gt;="&amp;Q1,'Expenditure Breakdown'!$W$6:$W$150, "&lt;"&amp;R1)</f>
        <v>40696.799999999996</v>
      </c>
      <c r="R11" s="260">
        <f>SUMIFS('Expenditure Breakdown'!$R$6:$R$150, 'Expenditure Breakdown'!$W$6:$W$150, "&gt;="&amp;R1,'Expenditure Breakdown'!$W$6:$W$150, "&lt;"&amp;S1)</f>
        <v>11169</v>
      </c>
      <c r="S11" s="260">
        <f>SUMIFS('Expenditure Breakdown'!$R$6:$R$150, 'Expenditure Breakdown'!$W$6:$W$150, "&gt;="&amp;S1,'Expenditure Breakdown'!$W$6:$W$150, "&lt;"&amp;T1)</f>
        <v>208591.54</v>
      </c>
      <c r="T11" s="260">
        <f>SUMIFS('Expenditure Breakdown'!$R$6:$R$150, 'Expenditure Breakdown'!$W$6:$W$150, "&gt;="&amp;T1,'Expenditure Breakdown'!$W$6:$W$150, "&lt;"&amp;U1)</f>
        <v>6629089</v>
      </c>
      <c r="U11" s="260">
        <f>SUMIFS('Expenditure Breakdown'!$R$6:$R$150, 'Expenditure Breakdown'!$W$6:$W$150, "&gt;="&amp;U1,'Expenditure Breakdown'!$W$6:$W$150, "&lt;"&amp;V1)</f>
        <v>1282168.3900000001</v>
      </c>
      <c r="V11" s="260">
        <f>SUMIFS('Expenditure Breakdown'!$R$6:$R$150, 'Expenditure Breakdown'!$W$6:$W$150, "&gt;="&amp;V1,'Expenditure Breakdown'!$W$6:$W$150, "&lt;"&amp;W1)</f>
        <v>6486.5</v>
      </c>
      <c r="W11" s="260">
        <f>SUMIFS('Expenditure Breakdown'!$R$6:$R$150, 'Expenditure Breakdown'!$W$6:$W$150, "&gt;="&amp;W1,'Expenditure Breakdown'!$W$6:$W$150, "&lt;"&amp;X1)</f>
        <v>725.13</v>
      </c>
      <c r="X11" s="260">
        <f>SUMIFS('Expenditure Breakdown'!$R$6:$R$150, 'Expenditure Breakdown'!$W$6:$W$150, "&gt;="&amp;X1,'Expenditure Breakdown'!$W$6:$W$150, "&lt;"&amp;Y1)</f>
        <v>0</v>
      </c>
      <c r="Y11" s="260">
        <f>SUMIFS('Expenditure Breakdown'!$R$6:$R$150, 'Expenditure Breakdown'!$W$6:$W$150, "&gt;="&amp;Y1,'Expenditure Breakdown'!$W$6:$W$150, "&lt;"&amp;Z1)</f>
        <v>16380</v>
      </c>
      <c r="Z11" s="260">
        <f>SUMIFS('Expenditure Breakdown'!$R$6:$R$150, 'Expenditure Breakdown'!$W$6:$W$150, "&gt;="&amp;Z1,'Expenditure Breakdown'!$W$6:$W$150, "&lt;"&amp;AA1)</f>
        <v>111354.7</v>
      </c>
      <c r="AA11" s="260">
        <f>SUMIFS('Expenditure Breakdown'!$R$6:$R$150, 'Expenditure Breakdown'!$W$6:$W$150, "&gt;="&amp;AA1,'Expenditure Breakdown'!$W$6:$W$150, "&lt;"&amp;AB1)</f>
        <v>12702.32</v>
      </c>
      <c r="AB11" s="260">
        <f>SUMIFS('Expenditure Breakdown'!$R$6:$R$150, 'Expenditure Breakdown'!$W$6:$W$150, "&gt;="&amp;AB1,'Expenditure Breakdown'!$W$6:$W$150, "&lt;"&amp;AC1)</f>
        <v>33032</v>
      </c>
      <c r="AC11" s="260">
        <f>SUMIFS('Expenditure Breakdown'!$R$6:$R$150, 'Expenditure Breakdown'!$W$6:$W$150, "&gt;="&amp;AC1,'Expenditure Breakdown'!$W$6:$W$150, "&lt;"&amp;AD1)</f>
        <v>0</v>
      </c>
      <c r="AD11" s="260">
        <f>SUMIFS('Expenditure Breakdown'!$R$6:$R$150, 'Expenditure Breakdown'!$W$6:$W$150, "&gt;="&amp;AD1,'Expenditure Breakdown'!$W$6:$W$150, "&lt;"&amp;AE1)</f>
        <v>1062066.0625</v>
      </c>
      <c r="AE11" s="260">
        <f>SUMIFS('Expenditure Breakdown'!$R$6:$R$150, 'Expenditure Breakdown'!$W$6:$W$150, "&gt;="&amp;AE1,'Expenditure Breakdown'!$W$6:$W$150, "&lt;"&amp;AF1)</f>
        <v>7863</v>
      </c>
      <c r="AF11" s="260">
        <f>SUMIFS('Expenditure Breakdown'!$R$6:$R$150, 'Expenditure Breakdown'!$W$6:$W$150, "&gt;="&amp;AF1,'Expenditure Breakdown'!$W$6:$W$150, "&lt;"&amp;AG1)</f>
        <v>258485.745</v>
      </c>
      <c r="AG11" s="260">
        <f>SUMIFS('Expenditure Breakdown'!$R$6:$R$150, 'Expenditure Breakdown'!$W$6:$W$150, "&gt;="&amp;AG1,'Expenditure Breakdown'!$W$6:$W$150, "&lt;"&amp;AH1)</f>
        <v>101498.3325</v>
      </c>
      <c r="AH11" s="260">
        <f>SUMIFS('Expenditure Breakdown'!$R$6:$R$150, 'Expenditure Breakdown'!$W$6:$W$150, "&gt;="&amp;AH1,'Expenditure Breakdown'!$W$6:$W$150, "&lt;"&amp;AI1)</f>
        <v>55100</v>
      </c>
      <c r="AI11" s="260">
        <f>SUMIFS('Expenditure Breakdown'!$R$6:$R$150, 'Expenditure Breakdown'!$W$6:$W$150, "&gt;="&amp;AI1,'Expenditure Breakdown'!$W$6:$W$150, "&lt;"&amp;AJ1)</f>
        <v>152194.49313795625</v>
      </c>
      <c r="AJ11" s="260">
        <f>SUMIFS('Expenditure Breakdown'!$R$6:$R$150, 'Expenditure Breakdown'!$W$6:$W$150, "&gt;="&amp;AJ1,'Expenditure Breakdown'!$W$6:$W$150, "&lt;"&amp;AK1)</f>
        <v>0</v>
      </c>
      <c r="AK11" s="260">
        <f>SUMIFS('Expenditure Breakdown'!$R$6:$R$150, 'Expenditure Breakdown'!$W$6:$W$150, "&gt;="&amp;AK1,'Expenditure Breakdown'!$W$6:$W$150, "&lt;"&amp;AL1)</f>
        <v>213011.88500000001</v>
      </c>
      <c r="AL11" s="260">
        <f>SUMIFS('Expenditure Breakdown'!$R$6:$R$150, 'Expenditure Breakdown'!$W$6:$W$150, "&gt;="&amp;AL1,'Expenditure Breakdown'!$W$6:$W$150, "&lt;"&amp;AM1)</f>
        <v>0</v>
      </c>
      <c r="AM11" s="260">
        <f>SUMIFS('Expenditure Breakdown'!$R$6:$R$150, 'Expenditure Breakdown'!$W$6:$W$150, "&gt;="&amp;AM1,'Expenditure Breakdown'!$W$6:$W$150, "&lt;"&amp;AN1)</f>
        <v>22794.36</v>
      </c>
      <c r="AN11" s="260">
        <f>SUMIFS('Expenditure Breakdown'!$R$6:$R$150, 'Expenditure Breakdown'!$W$6:$W$150, "&gt;="&amp;AN1,'Expenditure Breakdown'!$W$6:$W$150, "&lt;"&amp;AO1)</f>
        <v>26533.690000000002</v>
      </c>
      <c r="AO11" s="260">
        <f>SUMIFS('Expenditure Breakdown'!$R$6:$R$150, 'Expenditure Breakdown'!$W$6:$W$150, "&gt;="&amp;AO1,'Expenditure Breakdown'!$W$6:$W$150, "&lt;"&amp;AP1)</f>
        <v>0</v>
      </c>
      <c r="AP11" s="260">
        <f>SUMIFS('Expenditure Breakdown'!$R$6:$R$150, 'Expenditure Breakdown'!$W$6:$W$150, "&gt;="&amp;AP1,'Expenditure Breakdown'!$W$6:$W$150, "&lt;"&amp;AQ1)</f>
        <v>235763.03</v>
      </c>
      <c r="AQ11" s="260">
        <f>SUMIFS('Expenditure Breakdown'!$R$6:$R$150, 'Expenditure Breakdown'!$W$6:$W$150, "&gt;="&amp;AQ1,'Expenditure Breakdown'!$W$6:$W$150, "&lt;"&amp;AR1)</f>
        <v>19732.669999999998</v>
      </c>
      <c r="AR11" s="260">
        <f>SUMIFS('Expenditure Breakdown'!$R$6:$R$150, 'Expenditure Breakdown'!$W$6:$W$150, "&gt;="&amp;AR1,'Expenditure Breakdown'!$W$6:$W$150, "&lt;"&amp;AS1)</f>
        <v>101765.3425</v>
      </c>
      <c r="AS11" s="260">
        <f>SUMIFS('Expenditure Breakdown'!$R$6:$R$150, 'Expenditure Breakdown'!$W$6:$W$150, "&gt;="&amp;AS1,'Expenditure Breakdown'!$W$6:$W$150, "&lt;"&amp;AT1)</f>
        <v>151922.51999999999</v>
      </c>
      <c r="AT11" s="260">
        <f>SUMIFS('Expenditure Breakdown'!$R$6:$R$150, 'Expenditure Breakdown'!$W$6:$W$150, "&gt;="&amp;AT1,'Expenditure Breakdown'!$W$6:$W$150, "&lt;"&amp;AU1)</f>
        <v>83068</v>
      </c>
      <c r="AU11" s="260">
        <f>SUMIFS('Expenditure Breakdown'!$R$6:$R$150, 'Expenditure Breakdown'!$W$6:$W$150, "&gt;="&amp;AU1,'Expenditure Breakdown'!$W$6:$W$150, "&lt;"&amp;AV1)</f>
        <v>36485.85</v>
      </c>
      <c r="AV11" s="260">
        <f>SUMIFS('Expenditure Breakdown'!$R$6:$R$150, 'Expenditure Breakdown'!$W$6:$W$150, "&gt;="&amp;AV1,'Expenditure Breakdown'!$W$6:$W$150, "&lt;"&amp;AW1)</f>
        <v>342594.67686204374</v>
      </c>
      <c r="AW11" s="260">
        <f>SUMIFS('Expenditure Breakdown'!$R$6:$R$150, 'Expenditure Breakdown'!$W$6:$W$150, "&gt;="&amp;AW1,'Expenditure Breakdown'!$W$6:$W$150, "&lt;"&amp;AX1)</f>
        <v>41151.449999999997</v>
      </c>
      <c r="AX11" s="260">
        <f>SUMIFS('Expenditure Breakdown'!$R$6:$R$150, 'Expenditure Breakdown'!$W$6:$W$150, "&gt;="&amp;AX1,'Expenditure Breakdown'!$W$6:$W$150, "&lt;"&amp;AY1)</f>
        <v>156498.65</v>
      </c>
      <c r="AY11" s="260">
        <f>SUMIFS('Expenditure Breakdown'!$R$6:$R$150, 'Expenditure Breakdown'!$W$6:$W$150, "&gt;="&amp;AY1,'Expenditure Breakdown'!$W$6:$W$150, "&lt;"&amp;AZ1)</f>
        <v>1650</v>
      </c>
      <c r="AZ11" s="260">
        <f>SUMIFS('Expenditure Breakdown'!$R$6:$R$150, 'Expenditure Breakdown'!$W$6:$W$150, "&gt;="&amp;AZ1,'Expenditure Breakdown'!$W$6:$W$150, "&lt;"&amp;BA1)</f>
        <v>0</v>
      </c>
      <c r="BA11" s="260">
        <f>SUMIFS('Expenditure Breakdown'!$R$6:$R$150, 'Expenditure Breakdown'!$W$6:$W$150, "&gt;="&amp;BA1,'Expenditure Breakdown'!$W$6:$W$150, "&lt;"&amp;BB1)</f>
        <v>7200</v>
      </c>
      <c r="BB11" s="260">
        <f>SUMIFS('Expenditure Breakdown'!$R$6:$R$150, 'Expenditure Breakdown'!$W$6:$W$150, "&gt;="&amp;BB1,'Expenditure Breakdown'!$W$6:$W$150, "&lt;"&amp;BC1)</f>
        <v>99508</v>
      </c>
      <c r="BC11" s="260">
        <f>SUMIFS('Expenditure Breakdown'!$R$6:$R$150, 'Expenditure Breakdown'!$W$6:$W$150, "&gt;="&amp;BC1,'Expenditure Breakdown'!$W$6:$W$150, "&lt;"&amp;BD1)</f>
        <v>0</v>
      </c>
      <c r="BD11" s="260">
        <f>SUMIFS('Expenditure Breakdown'!$R$6:$R$150, 'Expenditure Breakdown'!$W$6:$W$150, "&gt;="&amp;BD1,'Expenditure Breakdown'!$W$6:$W$150, "&lt;"&amp;BE1)</f>
        <v>0</v>
      </c>
      <c r="BE11" s="260">
        <f>SUMIFS('Expenditure Breakdown'!$R$6:$R$150, 'Expenditure Breakdown'!$W$6:$W$150, "&gt;="&amp;BE1,'Expenditure Breakdown'!$W$6:$W$150, "&lt;"&amp;BF1)</f>
        <v>0</v>
      </c>
      <c r="BF11" s="260">
        <f>SUMIFS('Expenditure Breakdown'!$R$6:$R$150, 'Expenditure Breakdown'!$W$6:$W$150, "&gt;="&amp;BF1,'Expenditure Breakdown'!$W$6:$W$150, "&lt;"&amp;BG1)</f>
        <v>0</v>
      </c>
      <c r="BG11" s="260">
        <f>SUMIFS('Expenditure Breakdown'!$R$6:$R$150, 'Expenditure Breakdown'!$W$6:$W$150, "&gt;="&amp;BG1,'Expenditure Breakdown'!$W$6:$W$150, "&lt;"&amp;BH1)</f>
        <v>0</v>
      </c>
      <c r="BH11" s="260">
        <f>SUMIFS('Expenditure Breakdown'!$R$6:$R$150, 'Expenditure Breakdown'!$W$6:$W$150, "&gt;="&amp;BH1,'Expenditure Breakdown'!$W$6:$W$150, "&lt;"&amp;BI1)</f>
        <v>0</v>
      </c>
      <c r="BI11" s="260">
        <f>SUMIFS('Expenditure Breakdown'!$R$6:$R$150, 'Expenditure Breakdown'!$W$6:$W$150, "&gt;="&amp;BI1,'Expenditure Breakdown'!$W$6:$W$150, "&lt;"&amp;BJ1)</f>
        <v>0</v>
      </c>
      <c r="BJ11" s="260">
        <f>SUMIFS('Expenditure Breakdown'!$R$6:$R$150, 'Expenditure Breakdown'!$W$6:$W$150, "&gt;="&amp;BJ1,'Expenditure Breakdown'!$W$6:$W$150, "&lt;"&amp;BK1)</f>
        <v>0</v>
      </c>
      <c r="BK11" s="260">
        <f>SUMIFS('Expenditure Breakdown'!$R$6:$R$150, 'Expenditure Breakdown'!$W$6:$W$150, "&gt;="&amp;BK1,'Expenditure Breakdown'!$W$6:$W$150, "&lt;"&amp;BL1)</f>
        <v>0</v>
      </c>
      <c r="BL11" s="260">
        <f>SUMIFS('Expenditure Breakdown'!$R$6:$R$150, 'Expenditure Breakdown'!$W$6:$W$150, "&gt;="&amp;BL1,'Expenditure Breakdown'!$W$6:$W$150, "&lt;"&amp;BM1)</f>
        <v>0</v>
      </c>
      <c r="BM11" s="260">
        <f>SUMIFS('Expenditure Breakdown'!$R$6:$R$150, 'Expenditure Breakdown'!$W$6:$W$150, "&gt;="&amp;BM1,'Expenditure Breakdown'!$W$6:$W$150, "&lt;"&amp;BN1)</f>
        <v>0</v>
      </c>
      <c r="BN11" s="260">
        <f>SUMIFS('Expenditure Breakdown'!$R$6:$R$150, 'Expenditure Breakdown'!$W$6:$W$150, "&gt;="&amp;BN1,'Expenditure Breakdown'!$W$6:$W$150, "&lt;"&amp;BO1)</f>
        <v>0</v>
      </c>
      <c r="BO11" s="260">
        <f>SUMIFS('Expenditure Breakdown'!$R$6:$R$150, 'Expenditure Breakdown'!$W$6:$W$150, "&gt;="&amp;BO1,'Expenditure Breakdown'!$W$6:$W$150, "&lt;"&amp;BP1)</f>
        <v>15813</v>
      </c>
      <c r="BP11" s="260">
        <f>SUMIFS('Expenditure Breakdown'!$R$6:$R$150, 'Expenditure Breakdown'!$W$6:$W$150, "&gt;="&amp;BP1,'Expenditure Breakdown'!$W$6:$W$150, "&lt;"&amp;BQ1)</f>
        <v>0</v>
      </c>
      <c r="BQ11" s="260">
        <f>SUMIFS('Expenditure Breakdown'!$R$6:$R$150, 'Expenditure Breakdown'!$W$6:$W$150, "&gt;="&amp;BQ1,'Expenditure Breakdown'!$W$6:$W$150, "&lt;"&amp;BR1)</f>
        <v>105835.65</v>
      </c>
      <c r="BR11" s="260">
        <f>SUMIFS('Expenditure Breakdown'!$R$6:$R$150, 'Expenditure Breakdown'!$W$6:$W$150, "&gt;="&amp;BR1,'Expenditure Breakdown'!$W$6:$W$150, "&lt;"&amp;BS1)</f>
        <v>-68870</v>
      </c>
      <c r="BS11" s="260">
        <f>SUMIFS('Expenditure Breakdown'!$R$6:$R$150, 'Expenditure Breakdown'!$W$6:$W$150, "&gt;="&amp;BS1,'Expenditure Breakdown'!$W$6:$W$150, "&lt;"&amp;BT1)</f>
        <v>3613.64</v>
      </c>
      <c r="BT11" s="260">
        <f>SUMIFS('Expenditure Breakdown'!$R$6:$R$150, 'Expenditure Breakdown'!$W$6:$W$150, "&gt;="&amp;BT1,'Expenditure Breakdown'!$W$6:$W$150, "&lt;"&amp;BU1)</f>
        <v>0</v>
      </c>
      <c r="BU11" s="260">
        <f>SUMIFS('Expenditure Breakdown'!$R$6:$R$150, 'Expenditure Breakdown'!$W$6:$W$150, "&gt;="&amp;BU1,'Expenditure Breakdown'!$W$6:$W$150, "&lt;"&amp;BV1)</f>
        <v>0</v>
      </c>
      <c r="BV11" s="260">
        <f>SUMIFS('Expenditure Breakdown'!$R$6:$R$150, 'Expenditure Breakdown'!$W$6:$W$150, "&gt;="&amp;BV1,'Expenditure Breakdown'!$W$6:$W$150, "&lt;"&amp;BW1)</f>
        <v>246686.63999999998</v>
      </c>
      <c r="BW11" s="260">
        <f>SUMIFS('Expenditure Breakdown'!$R$6:$R$150, 'Expenditure Breakdown'!$W$6:$W$150, "&gt;="&amp;BW1,'Expenditure Breakdown'!$W$6:$W$150, "&lt;"&amp;BX1)</f>
        <v>0</v>
      </c>
      <c r="BX11" s="260">
        <f>SUMIFS('Expenditure Breakdown'!$R$6:$R$150, 'Expenditure Breakdown'!$W$6:$W$150, "&gt;="&amp;BX1,'Expenditure Breakdown'!$W$6:$W$150, "&lt;"&amp;BY1)</f>
        <v>0</v>
      </c>
      <c r="BY11" s="260">
        <f>SUMIFS('Expenditure Breakdown'!$R$6:$R$150, 'Expenditure Breakdown'!$W$6:$W$150, "&gt;="&amp;BY1,'Expenditure Breakdown'!$W$6:$W$150, "&lt;"&amp;BZ1)</f>
        <v>0</v>
      </c>
      <c r="BZ11" s="260">
        <f>SUMIFS('Expenditure Breakdown'!$R$6:$R$150, 'Expenditure Breakdown'!$W$6:$W$150, "&gt;="&amp;BZ1,'Expenditure Breakdown'!$W$6:$W$150, "&lt;"&amp;CA1)</f>
        <v>0</v>
      </c>
      <c r="CA11" s="260">
        <f>SUMIFS('Expenditure Breakdown'!$R$6:$R$150, 'Expenditure Breakdown'!$W$6:$W$150, "&gt;="&amp;CA1,'Expenditure Breakdown'!$W$6:$W$150, "&lt;"&amp;CB1)</f>
        <v>42619</v>
      </c>
      <c r="CB11" s="260">
        <f>SUMIFS('Expenditure Breakdown'!$R$6:$R$150, 'Expenditure Breakdown'!$W$6:$W$150, "&gt;="&amp;CB1,'Expenditure Breakdown'!$W$6:$W$150, "&lt;"&amp;CC1)</f>
        <v>0</v>
      </c>
      <c r="CC11" s="260">
        <f>SUMIFS('Expenditure Breakdown'!$R$6:$R$150, 'Expenditure Breakdown'!$W$6:$W$150, "&gt;="&amp;CC1,'Expenditure Breakdown'!$W$6:$W$150, "&lt;"&amp;CD1)</f>
        <v>0</v>
      </c>
      <c r="CD11" s="260">
        <f>SUMIFS('Expenditure Breakdown'!$R$6:$R$150, 'Expenditure Breakdown'!$W$6:$W$150, "&gt;="&amp;CD1,'Expenditure Breakdown'!$W$6:$W$150, "&lt;"&amp;CE1)</f>
        <v>0</v>
      </c>
      <c r="CE11" s="260">
        <f>SUMIFS('Expenditure Breakdown'!$R$6:$R$150, 'Expenditure Breakdown'!$W$6:$W$150, "&gt;="&amp;CE1,'Expenditure Breakdown'!$W$6:$W$150, "&lt;"&amp;CF1)</f>
        <v>2500</v>
      </c>
      <c r="CF11" s="260">
        <f>SUMIFS('Expenditure Breakdown'!$R$6:$R$150, 'Expenditure Breakdown'!$W$6:$W$150, "&gt;="&amp;CF1,'Expenditure Breakdown'!$W$6:$W$150, "&lt;"&amp;CG1)</f>
        <v>0</v>
      </c>
      <c r="CG11" s="260">
        <f>SUMIFS('Expenditure Breakdown'!$R$6:$R$150, 'Expenditure Breakdown'!$W$6:$W$150, "&gt;="&amp;CG1,'Expenditure Breakdown'!$W$6:$W$150, "&lt;"&amp;CH1)</f>
        <v>0</v>
      </c>
      <c r="CH11" s="260">
        <f>SUMIFS('Expenditure Breakdown'!$R$6:$R$150, 'Expenditure Breakdown'!$W$6:$W$150, "&gt;="&amp;CH1,'Expenditure Breakdown'!$W$6:$W$150, "&lt;"&amp;CI1)</f>
        <v>0</v>
      </c>
      <c r="CI11" s="260">
        <f>SUMIFS('Expenditure Breakdown'!$R$6:$R$150, 'Expenditure Breakdown'!$W$6:$W$150, "&gt;="&amp;CI1,'Expenditure Breakdown'!$W$6:$W$150, "&lt;"&amp;CJ1)</f>
        <v>0</v>
      </c>
      <c r="CJ11" s="260">
        <f>SUMIFS('Expenditure Breakdown'!$R$6:$R$150, 'Expenditure Breakdown'!$W$6:$W$150, "&gt;="&amp;CJ1,'Expenditure Breakdown'!$W$6:$W$150, "&lt;"&amp;CK1)</f>
        <v>0</v>
      </c>
      <c r="CK11" s="260">
        <f>SUMIFS('Expenditure Breakdown'!$R$6:$R$150, 'Expenditure Breakdown'!$W$6:$W$150, "&gt;="&amp;CK1,'Expenditure Breakdown'!$W$6:$W$150, "&lt;"&amp;CL1)</f>
        <v>0</v>
      </c>
      <c r="CL11" s="260">
        <f>SUMIFS('Expenditure Breakdown'!$R$6:$R$150, 'Expenditure Breakdown'!$W$6:$W$150, "&gt;="&amp;CL1,'Expenditure Breakdown'!$W$6:$W$150, "&lt;"&amp;CM1)</f>
        <v>0</v>
      </c>
      <c r="CM11" s="260">
        <f>SUMIFS('Expenditure Breakdown'!$R$6:$R$150, 'Expenditure Breakdown'!$W$6:$W$150, "&gt;="&amp;CM1,'Expenditure Breakdown'!$W$6:$W$150, "&lt;"&amp;CN1)</f>
        <v>0</v>
      </c>
      <c r="CN11" s="260">
        <f>SUMIFS('Expenditure Breakdown'!$R$6:$R$150, 'Expenditure Breakdown'!$W$6:$W$150, "&gt;="&amp;CN1,'Expenditure Breakdown'!$W$6:$W$150, "&lt;"&amp;CO1)</f>
        <v>0</v>
      </c>
      <c r="CO11" s="260">
        <f>SUMIFS('Expenditure Breakdown'!$R$6:$R$150, 'Expenditure Breakdown'!$W$6:$W$150, "&gt;="&amp;CO1,'Expenditure Breakdown'!$W$6:$W$150, "&lt;"&amp;CP1)</f>
        <v>0</v>
      </c>
      <c r="CP11" s="260">
        <f>SUMIFS('Expenditure Breakdown'!$R$6:$R$150, 'Expenditure Breakdown'!$W$6:$W$150, "&gt;="&amp;CP1,'Expenditure Breakdown'!$W$6:$W$150, "&lt;"&amp;CQ1)</f>
        <v>0</v>
      </c>
      <c r="CQ11" s="237"/>
      <c r="CR11" s="248"/>
      <c r="CS11" s="248"/>
    </row>
    <row r="12" spans="1:572" s="249" customFormat="1">
      <c r="A12" s="916"/>
      <c r="B12" s="258" t="s">
        <v>223</v>
      </c>
      <c r="C12" s="259"/>
      <c r="D12" s="259"/>
      <c r="E12" s="243"/>
      <c r="F12" s="260">
        <f>F11</f>
        <v>0</v>
      </c>
      <c r="G12" s="260">
        <f>F12+G11</f>
        <v>0</v>
      </c>
      <c r="H12" s="260">
        <f>G12+H11</f>
        <v>0</v>
      </c>
      <c r="I12" s="260">
        <f t="shared" ref="I12:BT12" si="31">H12+I11</f>
        <v>11026.4</v>
      </c>
      <c r="J12" s="260">
        <f t="shared" si="31"/>
        <v>11026.4</v>
      </c>
      <c r="K12" s="260">
        <f t="shared" si="31"/>
        <v>105985.59999999999</v>
      </c>
      <c r="L12" s="260">
        <f t="shared" si="31"/>
        <v>105985.59999999999</v>
      </c>
      <c r="M12" s="260">
        <f t="shared" si="31"/>
        <v>105985.59999999999</v>
      </c>
      <c r="N12" s="260">
        <f t="shared" si="31"/>
        <v>105985.59999999999</v>
      </c>
      <c r="O12" s="260">
        <f t="shared" si="31"/>
        <v>112361.45999999999</v>
      </c>
      <c r="P12" s="260">
        <f t="shared" si="31"/>
        <v>112361.45999999999</v>
      </c>
      <c r="Q12" s="260">
        <f t="shared" si="31"/>
        <v>153058.25999999998</v>
      </c>
      <c r="R12" s="260">
        <f t="shared" si="31"/>
        <v>164227.25999999998</v>
      </c>
      <c r="S12" s="260">
        <f t="shared" si="31"/>
        <v>372818.8</v>
      </c>
      <c r="T12" s="260">
        <f t="shared" si="31"/>
        <v>7001907.7999999998</v>
      </c>
      <c r="U12" s="260">
        <f t="shared" si="31"/>
        <v>8284076.1899999995</v>
      </c>
      <c r="V12" s="260">
        <f t="shared" si="31"/>
        <v>8290562.6899999995</v>
      </c>
      <c r="W12" s="260">
        <f t="shared" si="31"/>
        <v>8291287.8199999994</v>
      </c>
      <c r="X12" s="260">
        <f t="shared" si="31"/>
        <v>8291287.8199999994</v>
      </c>
      <c r="Y12" s="260">
        <f t="shared" si="31"/>
        <v>8307667.8199999994</v>
      </c>
      <c r="Z12" s="260">
        <f t="shared" si="31"/>
        <v>8419022.5199999996</v>
      </c>
      <c r="AA12" s="260">
        <f t="shared" si="31"/>
        <v>8431724.8399999999</v>
      </c>
      <c r="AB12" s="260">
        <f t="shared" si="31"/>
        <v>8464756.8399999999</v>
      </c>
      <c r="AC12" s="260">
        <f t="shared" si="31"/>
        <v>8464756.8399999999</v>
      </c>
      <c r="AD12" s="260">
        <f t="shared" si="31"/>
        <v>9526822.9024999999</v>
      </c>
      <c r="AE12" s="260">
        <f t="shared" si="31"/>
        <v>9534685.9024999999</v>
      </c>
      <c r="AF12" s="260">
        <f t="shared" si="31"/>
        <v>9793171.647499999</v>
      </c>
      <c r="AG12" s="260">
        <f t="shared" si="31"/>
        <v>9894669.9799999986</v>
      </c>
      <c r="AH12" s="260">
        <f t="shared" si="31"/>
        <v>9949769.9799999986</v>
      </c>
      <c r="AI12" s="260">
        <f t="shared" si="31"/>
        <v>10101964.473137954</v>
      </c>
      <c r="AJ12" s="260">
        <f t="shared" si="31"/>
        <v>10101964.473137954</v>
      </c>
      <c r="AK12" s="260">
        <f t="shared" si="31"/>
        <v>10314976.358137954</v>
      </c>
      <c r="AL12" s="260">
        <f t="shared" si="31"/>
        <v>10314976.358137954</v>
      </c>
      <c r="AM12" s="260">
        <f t="shared" si="31"/>
        <v>10337770.718137953</v>
      </c>
      <c r="AN12" s="260">
        <f t="shared" si="31"/>
        <v>10364304.408137953</v>
      </c>
      <c r="AO12" s="260">
        <f t="shared" si="31"/>
        <v>10364304.408137953</v>
      </c>
      <c r="AP12" s="260">
        <f t="shared" si="31"/>
        <v>10600067.438137952</v>
      </c>
      <c r="AQ12" s="260">
        <f t="shared" si="31"/>
        <v>10619800.108137952</v>
      </c>
      <c r="AR12" s="260">
        <f t="shared" si="31"/>
        <v>10721565.450637951</v>
      </c>
      <c r="AS12" s="260">
        <f t="shared" si="31"/>
        <v>10873487.970637951</v>
      </c>
      <c r="AT12" s="260">
        <f t="shared" si="31"/>
        <v>10956555.970637951</v>
      </c>
      <c r="AU12" s="260">
        <f t="shared" si="31"/>
        <v>10993041.820637951</v>
      </c>
      <c r="AV12" s="260">
        <f t="shared" si="31"/>
        <v>11335636.497499995</v>
      </c>
      <c r="AW12" s="260">
        <f t="shared" si="31"/>
        <v>11376787.947499994</v>
      </c>
      <c r="AX12" s="260">
        <f t="shared" si="31"/>
        <v>11533286.597499995</v>
      </c>
      <c r="AY12" s="260">
        <f t="shared" si="31"/>
        <v>11534936.597499995</v>
      </c>
      <c r="AZ12" s="260">
        <f t="shared" si="31"/>
        <v>11534936.597499995</v>
      </c>
      <c r="BA12" s="260">
        <f t="shared" si="31"/>
        <v>11542136.597499995</v>
      </c>
      <c r="BB12" s="260">
        <f t="shared" si="31"/>
        <v>11641644.597499995</v>
      </c>
      <c r="BC12" s="260">
        <f t="shared" si="31"/>
        <v>11641644.597499995</v>
      </c>
      <c r="BD12" s="260">
        <f t="shared" si="31"/>
        <v>11641644.597499995</v>
      </c>
      <c r="BE12" s="260">
        <f t="shared" si="31"/>
        <v>11641644.597499995</v>
      </c>
      <c r="BF12" s="260">
        <f t="shared" si="31"/>
        <v>11641644.597499995</v>
      </c>
      <c r="BG12" s="260">
        <f t="shared" si="31"/>
        <v>11641644.597499995</v>
      </c>
      <c r="BH12" s="260">
        <f t="shared" si="31"/>
        <v>11641644.597499995</v>
      </c>
      <c r="BI12" s="260">
        <f t="shared" si="31"/>
        <v>11641644.597499995</v>
      </c>
      <c r="BJ12" s="260">
        <f t="shared" si="31"/>
        <v>11641644.597499995</v>
      </c>
      <c r="BK12" s="260">
        <f t="shared" si="31"/>
        <v>11641644.597499995</v>
      </c>
      <c r="BL12" s="260">
        <f t="shared" si="31"/>
        <v>11641644.597499995</v>
      </c>
      <c r="BM12" s="260">
        <f t="shared" si="31"/>
        <v>11641644.597499995</v>
      </c>
      <c r="BN12" s="260">
        <f t="shared" si="31"/>
        <v>11641644.597499995</v>
      </c>
      <c r="BO12" s="260">
        <f t="shared" si="31"/>
        <v>11657457.597499995</v>
      </c>
      <c r="BP12" s="260">
        <f t="shared" si="31"/>
        <v>11657457.597499995</v>
      </c>
      <c r="BQ12" s="260">
        <f t="shared" si="31"/>
        <v>11763293.247499995</v>
      </c>
      <c r="BR12" s="260">
        <f t="shared" si="31"/>
        <v>11694423.247499995</v>
      </c>
      <c r="BS12" s="260">
        <f t="shared" si="31"/>
        <v>11698036.887499996</v>
      </c>
      <c r="BT12" s="260">
        <f t="shared" si="31"/>
        <v>11698036.887499996</v>
      </c>
      <c r="BU12" s="260">
        <f t="shared" ref="BU12:CJ12" si="32">BT12+BU11</f>
        <v>11698036.887499996</v>
      </c>
      <c r="BV12" s="260">
        <f t="shared" si="32"/>
        <v>11944723.527499996</v>
      </c>
      <c r="BW12" s="260">
        <f t="shared" si="32"/>
        <v>11944723.527499996</v>
      </c>
      <c r="BX12" s="260">
        <f t="shared" si="32"/>
        <v>11944723.527499996</v>
      </c>
      <c r="BY12" s="260">
        <f t="shared" si="32"/>
        <v>11944723.527499996</v>
      </c>
      <c r="BZ12" s="260">
        <f t="shared" si="32"/>
        <v>11944723.527499996</v>
      </c>
      <c r="CA12" s="260">
        <f t="shared" si="32"/>
        <v>11987342.527499996</v>
      </c>
      <c r="CB12" s="260">
        <f t="shared" si="32"/>
        <v>11987342.527499996</v>
      </c>
      <c r="CC12" s="260">
        <f t="shared" si="32"/>
        <v>11987342.527499996</v>
      </c>
      <c r="CD12" s="260">
        <f t="shared" si="32"/>
        <v>11987342.527499996</v>
      </c>
      <c r="CE12" s="260">
        <f t="shared" si="32"/>
        <v>11989842.527499996</v>
      </c>
      <c r="CF12" s="260">
        <f t="shared" si="32"/>
        <v>11989842.527499996</v>
      </c>
      <c r="CG12" s="260">
        <f t="shared" si="32"/>
        <v>11989842.527499996</v>
      </c>
      <c r="CH12" s="260">
        <f t="shared" si="32"/>
        <v>11989842.527499996</v>
      </c>
      <c r="CI12" s="260">
        <f t="shared" si="32"/>
        <v>11989842.527499996</v>
      </c>
      <c r="CJ12" s="260">
        <f t="shared" si="32"/>
        <v>11989842.527499996</v>
      </c>
      <c r="CK12" s="260">
        <f t="shared" ref="CK12" si="33">CJ12+CK11</f>
        <v>11989842.527499996</v>
      </c>
      <c r="CL12" s="260">
        <f t="shared" ref="CL12" si="34">CK12+CL11</f>
        <v>11989842.527499996</v>
      </c>
      <c r="CM12" s="260">
        <f t="shared" ref="CM12" si="35">CL12+CM11</f>
        <v>11989842.527499996</v>
      </c>
      <c r="CN12" s="260">
        <f t="shared" ref="CN12" si="36">CM12+CN11</f>
        <v>11989842.527499996</v>
      </c>
      <c r="CO12" s="260">
        <f t="shared" ref="CO12" si="37">CN12+CO11</f>
        <v>11989842.527499996</v>
      </c>
      <c r="CP12" s="260">
        <f t="shared" ref="CP12" si="38">CO12+CP11</f>
        <v>11989842.527499996</v>
      </c>
      <c r="CQ12" s="237"/>
      <c r="CR12" s="248"/>
    </row>
    <row r="13" spans="1:572" s="237" customFormat="1">
      <c r="A13" s="916"/>
      <c r="E13" s="243"/>
      <c r="F13" s="254"/>
      <c r="G13" s="254"/>
      <c r="H13" s="254"/>
      <c r="I13" s="254"/>
      <c r="J13" s="254"/>
      <c r="K13" s="254"/>
      <c r="L13" s="254"/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A13" s="254"/>
      <c r="AB13" s="254"/>
      <c r="AC13" s="254"/>
      <c r="AD13" s="254"/>
      <c r="AE13" s="254"/>
      <c r="AF13" s="254"/>
      <c r="AG13" s="254"/>
      <c r="AH13" s="254"/>
      <c r="AI13" s="254"/>
      <c r="AJ13" s="254"/>
      <c r="AK13" s="254"/>
      <c r="AL13" s="254"/>
      <c r="AM13" s="254"/>
      <c r="AN13" s="254"/>
      <c r="AO13" s="254"/>
      <c r="AP13" s="254"/>
      <c r="AQ13" s="254"/>
      <c r="AR13" s="254"/>
      <c r="AS13" s="254"/>
      <c r="AT13" s="254"/>
      <c r="AU13" s="254"/>
      <c r="AV13" s="254"/>
      <c r="AW13" s="254"/>
      <c r="AX13" s="254"/>
      <c r="AY13" s="254"/>
      <c r="AZ13" s="254"/>
      <c r="BA13" s="254"/>
      <c r="BB13" s="254"/>
      <c r="BC13" s="254"/>
      <c r="BD13" s="254"/>
      <c r="BE13" s="254"/>
      <c r="BF13" s="254"/>
      <c r="BG13" s="254"/>
      <c r="BH13" s="254"/>
      <c r="BI13" s="254"/>
      <c r="BJ13" s="254"/>
      <c r="BK13" s="254"/>
      <c r="BL13" s="254"/>
      <c r="BM13" s="254"/>
      <c r="BN13" s="254"/>
      <c r="BO13" s="254"/>
      <c r="BP13" s="254"/>
      <c r="BQ13" s="254"/>
      <c r="BR13" s="254"/>
      <c r="BS13" s="254"/>
      <c r="BT13" s="254"/>
      <c r="BU13" s="254"/>
      <c r="BV13" s="254"/>
      <c r="BW13" s="254"/>
      <c r="BX13" s="254"/>
      <c r="BY13" s="254"/>
      <c r="BZ13" s="254"/>
      <c r="CA13" s="254"/>
      <c r="CB13" s="254"/>
      <c r="CC13" s="254"/>
      <c r="CD13" s="254"/>
      <c r="CE13" s="254"/>
      <c r="CF13" s="254"/>
      <c r="CG13" s="254"/>
      <c r="CH13" s="254"/>
      <c r="CI13" s="254"/>
      <c r="CJ13" s="254"/>
      <c r="CK13" s="254"/>
      <c r="CL13" s="254"/>
      <c r="CM13" s="254"/>
      <c r="CN13" s="254"/>
      <c r="CO13" s="254"/>
      <c r="CP13" s="254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</row>
    <row r="14" spans="1:572">
      <c r="A14" s="916"/>
      <c r="B14" s="250" t="s">
        <v>224</v>
      </c>
      <c r="C14" s="251"/>
      <c r="D14" s="251"/>
      <c r="E14" s="252"/>
      <c r="F14" s="253">
        <f t="shared" ref="F14:H14" si="39">F10-F12</f>
        <v>0</v>
      </c>
      <c r="G14" s="253">
        <f t="shared" si="39"/>
        <v>0</v>
      </c>
      <c r="H14" s="253">
        <f t="shared" si="39"/>
        <v>0</v>
      </c>
      <c r="I14" s="253">
        <f t="shared" ref="I14:BT14" si="40">I10-I12</f>
        <v>-11026.4</v>
      </c>
      <c r="J14" s="253">
        <f t="shared" si="40"/>
        <v>-11026.4</v>
      </c>
      <c r="K14" s="253">
        <f t="shared" si="40"/>
        <v>-32867.01999999999</v>
      </c>
      <c r="L14" s="253">
        <f t="shared" si="40"/>
        <v>-32867.01999999999</v>
      </c>
      <c r="M14" s="253">
        <f t="shared" si="40"/>
        <v>-32867.01999999999</v>
      </c>
      <c r="N14" s="253">
        <f t="shared" si="40"/>
        <v>-32867.01999999999</v>
      </c>
      <c r="O14" s="253">
        <f t="shared" si="40"/>
        <v>-39242.87999999999</v>
      </c>
      <c r="P14" s="253">
        <f t="shared" si="40"/>
        <v>-39242.87999999999</v>
      </c>
      <c r="Q14" s="253">
        <f t="shared" si="40"/>
        <v>6264618.0180700747</v>
      </c>
      <c r="R14" s="253">
        <f t="shared" si="40"/>
        <v>6253449.0180700747</v>
      </c>
      <c r="S14" s="253">
        <f t="shared" si="40"/>
        <v>9505525.3133810237</v>
      </c>
      <c r="T14" s="253">
        <f t="shared" si="40"/>
        <v>2997305.8133810246</v>
      </c>
      <c r="U14" s="253">
        <f t="shared" si="40"/>
        <v>1715137.423381025</v>
      </c>
      <c r="V14" s="253">
        <f t="shared" si="40"/>
        <v>1708650.923381025</v>
      </c>
      <c r="W14" s="253">
        <f t="shared" si="40"/>
        <v>1707925.7933810251</v>
      </c>
      <c r="X14" s="253">
        <f t="shared" si="40"/>
        <v>1707925.7933810251</v>
      </c>
      <c r="Y14" s="253">
        <f t="shared" si="40"/>
        <v>1691545.7933810251</v>
      </c>
      <c r="Z14" s="253">
        <f t="shared" si="40"/>
        <v>1580191.0933810249</v>
      </c>
      <c r="AA14" s="253">
        <f t="shared" si="40"/>
        <v>1567488.7733810246</v>
      </c>
      <c r="AB14" s="253">
        <f t="shared" si="40"/>
        <v>1534456.7733810246</v>
      </c>
      <c r="AC14" s="253">
        <f t="shared" si="40"/>
        <v>1534456.7733810246</v>
      </c>
      <c r="AD14" s="253">
        <f t="shared" si="40"/>
        <v>472390.7108810246</v>
      </c>
      <c r="AE14" s="253">
        <f t="shared" si="40"/>
        <v>464527.7108810246</v>
      </c>
      <c r="AF14" s="253">
        <f t="shared" si="40"/>
        <v>206041.96588102542</v>
      </c>
      <c r="AG14" s="253">
        <f t="shared" si="40"/>
        <v>1258099.5784846749</v>
      </c>
      <c r="AH14" s="253">
        <f t="shared" si="40"/>
        <v>1202999.5784846749</v>
      </c>
      <c r="AI14" s="253">
        <f t="shared" si="40"/>
        <v>1050805.0853467193</v>
      </c>
      <c r="AJ14" s="253">
        <f t="shared" si="40"/>
        <v>1050805.0853467193</v>
      </c>
      <c r="AK14" s="253">
        <f t="shared" si="40"/>
        <v>837793.20034671947</v>
      </c>
      <c r="AL14" s="253">
        <f t="shared" si="40"/>
        <v>837793.20034671947</v>
      </c>
      <c r="AM14" s="253">
        <f t="shared" si="40"/>
        <v>1391776.8128985446</v>
      </c>
      <c r="AN14" s="253">
        <f t="shared" si="40"/>
        <v>1365243.1228985451</v>
      </c>
      <c r="AO14" s="253">
        <f t="shared" si="40"/>
        <v>1365243.1228985451</v>
      </c>
      <c r="AP14" s="253">
        <f t="shared" si="40"/>
        <v>1129480.0928985458</v>
      </c>
      <c r="AQ14" s="253">
        <f t="shared" si="40"/>
        <v>1109747.4228985459</v>
      </c>
      <c r="AR14" s="253">
        <f t="shared" si="40"/>
        <v>1007982.0803985465</v>
      </c>
      <c r="AS14" s="253">
        <f t="shared" si="40"/>
        <v>856059.56039854698</v>
      </c>
      <c r="AT14" s="253">
        <f t="shared" si="40"/>
        <v>772991.56039854698</v>
      </c>
      <c r="AU14" s="253">
        <f t="shared" si="40"/>
        <v>736505.71039854735</v>
      </c>
      <c r="AV14" s="253">
        <f t="shared" si="40"/>
        <v>393911.03353650309</v>
      </c>
      <c r="AW14" s="253">
        <f t="shared" si="40"/>
        <v>352759.58353650384</v>
      </c>
      <c r="AX14" s="253">
        <f t="shared" si="40"/>
        <v>196260.93353650346</v>
      </c>
      <c r="AY14" s="253">
        <f t="shared" si="40"/>
        <v>194610.93353650346</v>
      </c>
      <c r="AZ14" s="253">
        <f t="shared" si="40"/>
        <v>194610.93353650346</v>
      </c>
      <c r="BA14" s="253">
        <f t="shared" si="40"/>
        <v>187410.93353650346</v>
      </c>
      <c r="BB14" s="253">
        <f t="shared" si="40"/>
        <v>87902.933536503464</v>
      </c>
      <c r="BC14" s="253">
        <f t="shared" si="40"/>
        <v>87902.933536503464</v>
      </c>
      <c r="BD14" s="253">
        <f t="shared" si="40"/>
        <v>87902.933536503464</v>
      </c>
      <c r="BE14" s="253">
        <f t="shared" si="40"/>
        <v>87902.933536503464</v>
      </c>
      <c r="BF14" s="253">
        <f t="shared" si="40"/>
        <v>87902.933536503464</v>
      </c>
      <c r="BG14" s="253">
        <f t="shared" si="40"/>
        <v>87902.933536503464</v>
      </c>
      <c r="BH14" s="253">
        <f t="shared" si="40"/>
        <v>87902.933536503464</v>
      </c>
      <c r="BI14" s="253">
        <f t="shared" si="40"/>
        <v>87902.933536503464</v>
      </c>
      <c r="BJ14" s="253">
        <f t="shared" si="40"/>
        <v>87902.933536503464</v>
      </c>
      <c r="BK14" s="253">
        <f t="shared" si="40"/>
        <v>87902.933536503464</v>
      </c>
      <c r="BL14" s="253">
        <f t="shared" si="40"/>
        <v>87902.933536503464</v>
      </c>
      <c r="BM14" s="253">
        <f t="shared" si="40"/>
        <v>87902.933536503464</v>
      </c>
      <c r="BN14" s="253">
        <f t="shared" si="40"/>
        <v>87902.933536503464</v>
      </c>
      <c r="BO14" s="253">
        <f t="shared" si="40"/>
        <v>72089.933536503464</v>
      </c>
      <c r="BP14" s="253">
        <f t="shared" si="40"/>
        <v>72089.933536503464</v>
      </c>
      <c r="BQ14" s="253">
        <f t="shared" si="40"/>
        <v>-33745.716463496909</v>
      </c>
      <c r="BR14" s="253">
        <f t="shared" si="40"/>
        <v>35124.283536503091</v>
      </c>
      <c r="BS14" s="253">
        <f t="shared" si="40"/>
        <v>31510.643536502495</v>
      </c>
      <c r="BT14" s="253">
        <f t="shared" si="40"/>
        <v>31510.643536502495</v>
      </c>
      <c r="BU14" s="253">
        <f t="shared" ref="BU14:CJ14" si="41">BU10-BU12</f>
        <v>31510.643536502495</v>
      </c>
      <c r="BV14" s="253">
        <f t="shared" si="41"/>
        <v>-215175.9964634981</v>
      </c>
      <c r="BW14" s="253">
        <f t="shared" si="41"/>
        <v>-215175.9964634981</v>
      </c>
      <c r="BX14" s="253">
        <f t="shared" si="41"/>
        <v>-215175.9964634981</v>
      </c>
      <c r="BY14" s="253">
        <f t="shared" si="41"/>
        <v>-215175.9964634981</v>
      </c>
      <c r="BZ14" s="253">
        <f t="shared" si="41"/>
        <v>-215175.9964634981</v>
      </c>
      <c r="CA14" s="253">
        <f t="shared" si="41"/>
        <v>-257794.9964634981</v>
      </c>
      <c r="CB14" s="253">
        <f t="shared" si="41"/>
        <v>-257794.9964634981</v>
      </c>
      <c r="CC14" s="253">
        <f t="shared" si="41"/>
        <v>-257794.9964634981</v>
      </c>
      <c r="CD14" s="253">
        <f t="shared" si="41"/>
        <v>-257794.9964634981</v>
      </c>
      <c r="CE14" s="253">
        <f t="shared" si="41"/>
        <v>-260294.9964634981</v>
      </c>
      <c r="CF14" s="253">
        <f t="shared" si="41"/>
        <v>-260294.9964634981</v>
      </c>
      <c r="CG14" s="253">
        <f t="shared" si="41"/>
        <v>-260294.9964634981</v>
      </c>
      <c r="CH14" s="253">
        <f t="shared" si="41"/>
        <v>-260294.9964634981</v>
      </c>
      <c r="CI14" s="253">
        <f t="shared" si="41"/>
        <v>-260294.9964634981</v>
      </c>
      <c r="CJ14" s="253">
        <f t="shared" si="41"/>
        <v>-260294.9964634981</v>
      </c>
      <c r="CK14" s="253">
        <f t="shared" ref="CK14:CP14" si="42">CK10-CK12</f>
        <v>-260294.9964634981</v>
      </c>
      <c r="CL14" s="253">
        <f t="shared" si="42"/>
        <v>-260294.9964634981</v>
      </c>
      <c r="CM14" s="253">
        <f t="shared" si="42"/>
        <v>-260294.9964634981</v>
      </c>
      <c r="CN14" s="253">
        <f t="shared" si="42"/>
        <v>-260294.9964634981</v>
      </c>
      <c r="CO14" s="253">
        <f t="shared" si="42"/>
        <v>-260294.9964634981</v>
      </c>
      <c r="CP14" s="253">
        <f t="shared" si="42"/>
        <v>-260294.9964634981</v>
      </c>
    </row>
    <row r="15" spans="1:572" s="237" customFormat="1"/>
    <row r="16" spans="1:572" s="237" customFormat="1">
      <c r="C16" s="239" t="s">
        <v>216</v>
      </c>
      <c r="D16" s="239" t="s">
        <v>216</v>
      </c>
    </row>
    <row r="17" spans="1:94">
      <c r="A17" s="917"/>
      <c r="B17" s="241" t="s">
        <v>225</v>
      </c>
      <c r="C17" s="531">
        <f>C3-D17</f>
        <v>-215227.07974513061</v>
      </c>
      <c r="D17" s="242">
        <f>SUM(F17:CP17)</f>
        <v>11750786.53078163</v>
      </c>
      <c r="E17" s="252"/>
      <c r="F17" s="260">
        <f>SUMIFS('Expenditure Breakdown'!$U$6:$U$150, 'Expenditure Breakdown'!$T$6:$T$150, "&gt;="&amp;F1,'Expenditure Breakdown'!$T$6:$T$150, "&lt;"&amp;G1)</f>
        <v>0</v>
      </c>
      <c r="G17" s="260">
        <f>SUMIFS('Expenditure Breakdown'!$U$6:$U$150, 'Expenditure Breakdown'!$T$6:$T$150, "&gt;="&amp;G1,'Expenditure Breakdown'!$T$6:$T$150, "&lt;"&amp;H1)</f>
        <v>0</v>
      </c>
      <c r="H17" s="260">
        <f>SUMIFS('Expenditure Breakdown'!$U$6:$U$150, 'Expenditure Breakdown'!$T$6:$T$150, "&gt;="&amp;H1,'Expenditure Breakdown'!$T$6:$T$150, "&lt;"&amp;I1)</f>
        <v>0</v>
      </c>
      <c r="I17" s="260">
        <f>SUMIFS('Expenditure Breakdown'!$U$6:$U$150, 'Expenditure Breakdown'!$T$6:$T$150, "&gt;="&amp;I1,'Expenditure Breakdown'!$T$6:$T$150, "&lt;"&amp;J1)</f>
        <v>14115.734382012277</v>
      </c>
      <c r="J17" s="260">
        <f>SUMIFS('Expenditure Breakdown'!$U$6:$U$150, 'Expenditure Breakdown'!$T$6:$T$150, "&gt;="&amp;J1,'Expenditure Breakdown'!$T$6:$T$150, "&lt;"&amp;K1)</f>
        <v>0</v>
      </c>
      <c r="K17" s="260">
        <f>SUMIFS('Expenditure Breakdown'!$U$6:$U$150, 'Expenditure Breakdown'!$T$6:$T$150, "&gt;="&amp;K1,'Expenditure Breakdown'!$T$6:$T$150, "&lt;"&amp;L1)</f>
        <v>0</v>
      </c>
      <c r="L17" s="260">
        <f>SUMIFS('Expenditure Breakdown'!$U$6:$U$150, 'Expenditure Breakdown'!$T$6:$T$150, "&gt;="&amp;L1,'Expenditure Breakdown'!$T$6:$T$150, "&lt;"&amp;M1)</f>
        <v>0</v>
      </c>
      <c r="M17" s="260">
        <f>SUMIFS('Expenditure Breakdown'!$U$6:$U$150, 'Expenditure Breakdown'!$T$6:$T$150, "&gt;="&amp;M1,'Expenditure Breakdown'!$T$6:$T$150, "&lt;"&amp;N1)</f>
        <v>0</v>
      </c>
      <c r="N17" s="260">
        <f>SUMIFS('Expenditure Breakdown'!$U$6:$U$150, 'Expenditure Breakdown'!$T$6:$T$150, "&gt;="&amp;N1,'Expenditure Breakdown'!$T$6:$T$150, "&lt;"&amp;O1)</f>
        <v>1604879.5114995264</v>
      </c>
      <c r="O17" s="260">
        <f>SUMIFS('Expenditure Breakdown'!$U$6:$U$150, 'Expenditure Breakdown'!$T$6:$T$150, "&gt;="&amp;O1,'Expenditure Breakdown'!$T$6:$T$150, "&lt;"&amp;P1)</f>
        <v>0</v>
      </c>
      <c r="P17" s="260">
        <f>SUMIFS('Expenditure Breakdown'!$U$6:$U$150, 'Expenditure Breakdown'!$T$6:$T$150, "&gt;="&amp;P1,'Expenditure Breakdown'!$T$6:$T$150, "&lt;"&amp;Q1)</f>
        <v>0</v>
      </c>
      <c r="Q17" s="260">
        <f>SUMIFS('Expenditure Breakdown'!$U$6:$U$150, 'Expenditure Breakdown'!$T$6:$T$150, "&gt;="&amp;Q1,'Expenditure Breakdown'!$T$6:$T$150, "&lt;"&amp;R1)</f>
        <v>0</v>
      </c>
      <c r="R17" s="260">
        <f>SUMIFS('Expenditure Breakdown'!$U$6:$U$150, 'Expenditure Breakdown'!$T$6:$T$150, "&gt;="&amp;R1,'Expenditure Breakdown'!$T$6:$T$150, "&lt;"&amp;S1)</f>
        <v>8282775.6401818199</v>
      </c>
      <c r="S17" s="260">
        <f>SUMIFS('Expenditure Breakdown'!$U$6:$U$150, 'Expenditure Breakdown'!$T$6:$T$150, "&gt;="&amp;S1,'Expenditure Breakdown'!$T$6:$T$150, "&lt;"&amp;T1)</f>
        <v>0</v>
      </c>
      <c r="T17" s="260">
        <f>SUMIFS('Expenditure Breakdown'!$U$6:$U$150, 'Expenditure Breakdown'!$T$6:$T$150, "&gt;="&amp;T1,'Expenditure Breakdown'!$T$6:$T$150, "&lt;"&amp;U1)</f>
        <v>0</v>
      </c>
      <c r="U17" s="260">
        <f>SUMIFS('Expenditure Breakdown'!$U$6:$U$150, 'Expenditure Breakdown'!$T$6:$T$150, "&gt;="&amp;U1,'Expenditure Breakdown'!$T$6:$T$150, "&lt;"&amp;V1)</f>
        <v>0</v>
      </c>
      <c r="V17" s="260">
        <f>SUMIFS('Expenditure Breakdown'!$U$6:$U$150, 'Expenditure Breakdown'!$T$6:$T$150, "&gt;="&amp;V1,'Expenditure Breakdown'!$T$6:$T$150, "&lt;"&amp;W1)</f>
        <v>358260.78648917581</v>
      </c>
      <c r="W17" s="260">
        <f>SUMIFS('Expenditure Breakdown'!$U$6:$U$150, 'Expenditure Breakdown'!$T$6:$T$150, "&gt;="&amp;W1,'Expenditure Breakdown'!$T$6:$T$150, "&lt;"&amp;X1)</f>
        <v>0</v>
      </c>
      <c r="X17" s="260">
        <f>SUMIFS('Expenditure Breakdown'!$U$6:$U$150, 'Expenditure Breakdown'!$T$6:$T$150, "&gt;="&amp;X1,'Expenditure Breakdown'!$T$6:$T$150, "&lt;"&amp;Y1)</f>
        <v>0</v>
      </c>
      <c r="Y17" s="260">
        <f>SUMIFS('Expenditure Breakdown'!$U$6:$U$150, 'Expenditure Breakdown'!$T$6:$T$150, "&gt;="&amp;Y1,'Expenditure Breakdown'!$T$6:$T$150, "&lt;"&amp;Z1)</f>
        <v>0</v>
      </c>
      <c r="Z17" s="260">
        <f>SUMIFS('Expenditure Breakdown'!$U$6:$U$150, 'Expenditure Breakdown'!$T$6:$T$150, "&gt;="&amp;Z1,'Expenditure Breakdown'!$T$6:$T$150, "&lt;"&amp;AA1)</f>
        <v>0</v>
      </c>
      <c r="AA17" s="260">
        <f>SUMIFS('Expenditure Breakdown'!$U$6:$U$150, 'Expenditure Breakdown'!$T$6:$T$150, "&gt;="&amp;AA1,'Expenditure Breakdown'!$T$6:$T$150, "&lt;"&amp;AB1)</f>
        <v>82940.345456871044</v>
      </c>
      <c r="AB17" s="260">
        <f>SUMIFS('Expenditure Breakdown'!$U$6:$U$150, 'Expenditure Breakdown'!$T$6:$T$150, "&gt;="&amp;AB1,'Expenditure Breakdown'!$T$6:$T$150, "&lt;"&amp;AC1)</f>
        <v>0</v>
      </c>
      <c r="AC17" s="260">
        <f>SUMIFS('Expenditure Breakdown'!$U$6:$U$150, 'Expenditure Breakdown'!$T$6:$T$150, "&gt;="&amp;AC1,'Expenditure Breakdown'!$T$6:$T$150, "&lt;"&amp;AD1)</f>
        <v>0</v>
      </c>
      <c r="AD17" s="260">
        <f>SUMIFS('Expenditure Breakdown'!$U$6:$U$150, 'Expenditure Breakdown'!$T$6:$T$150, "&gt;="&amp;AD1,'Expenditure Breakdown'!$T$6:$T$150, "&lt;"&amp;AE1)</f>
        <v>0</v>
      </c>
      <c r="AE17" s="260">
        <f>SUMIFS('Expenditure Breakdown'!$U$6:$U$150, 'Expenditure Breakdown'!$T$6:$T$150, "&gt;="&amp;AE1,'Expenditure Breakdown'!$T$6:$T$150, "&lt;"&amp;AF1)</f>
        <v>681491.64058274415</v>
      </c>
      <c r="AF17" s="260">
        <f>SUMIFS('Expenditure Breakdown'!$U$6:$U$150, 'Expenditure Breakdown'!$T$6:$T$150, "&gt;="&amp;AF1,'Expenditure Breakdown'!$T$6:$T$150, "&lt;"&amp;AG1)</f>
        <v>0</v>
      </c>
      <c r="AG17" s="260">
        <f>SUMIFS('Expenditure Breakdown'!$U$6:$U$150, 'Expenditure Breakdown'!$T$6:$T$150, "&gt;="&amp;AG1,'Expenditure Breakdown'!$T$6:$T$150, "&lt;"&amp;AH1)</f>
        <v>0</v>
      </c>
      <c r="AH17" s="260">
        <f>SUMIFS('Expenditure Breakdown'!$U$6:$U$150, 'Expenditure Breakdown'!$T$6:$T$150, "&gt;="&amp;AH1,'Expenditure Breakdown'!$T$6:$T$150, "&lt;"&amp;AI1)</f>
        <v>0</v>
      </c>
      <c r="AI17" s="260">
        <f>SUMIFS('Expenditure Breakdown'!$U$6:$U$150, 'Expenditure Breakdown'!$T$6:$T$150, "&gt;="&amp;AI1,'Expenditure Breakdown'!$T$6:$T$150, "&lt;"&amp;AJ1)</f>
        <v>506938.11546085496</v>
      </c>
      <c r="AJ17" s="260">
        <f>SUMIFS('Expenditure Breakdown'!$U$6:$U$150, 'Expenditure Breakdown'!$T$6:$T$150, "&gt;="&amp;AJ1,'Expenditure Breakdown'!$T$6:$T$150, "&lt;"&amp;AK1)</f>
        <v>0</v>
      </c>
      <c r="AK17" s="260">
        <f>SUMIFS('Expenditure Breakdown'!$U$6:$U$150, 'Expenditure Breakdown'!$T$6:$T$150, "&gt;="&amp;AK1,'Expenditure Breakdown'!$T$6:$T$150, "&lt;"&amp;AL1)</f>
        <v>0</v>
      </c>
      <c r="AL17" s="260">
        <f>SUMIFS('Expenditure Breakdown'!$U$6:$U$150, 'Expenditure Breakdown'!$T$6:$T$150, "&gt;="&amp;AL1,'Expenditure Breakdown'!$T$6:$T$150, "&lt;"&amp;AM1)</f>
        <v>0</v>
      </c>
      <c r="AM17" s="260">
        <f>SUMIFS('Expenditure Breakdown'!$U$6:$U$150, 'Expenditure Breakdown'!$T$6:$T$150, "&gt;="&amp;AM1,'Expenditure Breakdown'!$T$6:$T$150, "&lt;"&amp;AN1)</f>
        <v>0</v>
      </c>
      <c r="AN17" s="260">
        <f>SUMIFS('Expenditure Breakdown'!$U$6:$U$150, 'Expenditure Breakdown'!$T$6:$T$150, "&gt;="&amp;AN1,'Expenditure Breakdown'!$T$6:$T$150, "&lt;"&amp;AO1)</f>
        <v>122878.44672862702</v>
      </c>
      <c r="AO17" s="260">
        <f>SUMIFS('Expenditure Breakdown'!$U$6:$U$150, 'Expenditure Breakdown'!$T$6:$T$150, "&gt;="&amp;AO1,'Expenditure Breakdown'!$T$6:$T$150, "&lt;"&amp;AP1)</f>
        <v>0</v>
      </c>
      <c r="AP17" s="260">
        <f>SUMIFS('Expenditure Breakdown'!$U$6:$U$150, 'Expenditure Breakdown'!$T$6:$T$150, "&gt;="&amp;AP1,'Expenditure Breakdown'!$T$6:$T$150, "&lt;"&amp;AQ1)</f>
        <v>0</v>
      </c>
      <c r="AQ17" s="260">
        <f>SUMIFS('Expenditure Breakdown'!$U$6:$U$150, 'Expenditure Breakdown'!$T$6:$T$150, "&gt;="&amp;AQ1,'Expenditure Breakdown'!$T$6:$T$150, "&lt;"&amp;AR1)</f>
        <v>0</v>
      </c>
      <c r="AR17" s="260">
        <f>SUMIFS('Expenditure Breakdown'!$U$6:$U$150, 'Expenditure Breakdown'!$T$6:$T$150, "&gt;="&amp;AR1,'Expenditure Breakdown'!$T$6:$T$150, "&lt;"&amp;AS1)</f>
        <v>0</v>
      </c>
      <c r="AS17" s="260">
        <f>SUMIFS('Expenditure Breakdown'!$U$6:$U$150, 'Expenditure Breakdown'!$T$6:$T$150, "&gt;="&amp;AS1,'Expenditure Breakdown'!$T$6:$T$150, "&lt;"&amp;AT1)</f>
        <v>0</v>
      </c>
      <c r="AT17" s="260">
        <f>SUMIFS('Expenditure Breakdown'!$U$6:$U$150, 'Expenditure Breakdown'!$T$6:$T$150, "&gt;="&amp;AT1,'Expenditure Breakdown'!$T$6:$T$150, "&lt;"&amp;AU1)</f>
        <v>0</v>
      </c>
      <c r="AU17" s="260">
        <f>SUMIFS('Expenditure Breakdown'!$U$6:$U$150, 'Expenditure Breakdown'!$T$6:$T$150, "&gt;="&amp;AU1,'Expenditure Breakdown'!$T$6:$T$150, "&lt;"&amp;AV1)</f>
        <v>0</v>
      </c>
      <c r="AV17" s="260">
        <f>SUMIFS('Expenditure Breakdown'!$U$6:$U$150, 'Expenditure Breakdown'!$T$6:$T$150, "&gt;="&amp;AV1,'Expenditure Breakdown'!$T$6:$T$150, "&lt;"&amp;AW1)</f>
        <v>96506.31</v>
      </c>
      <c r="AW17" s="260">
        <f>SUMIFS('Expenditure Breakdown'!$U$6:$U$150, 'Expenditure Breakdown'!$T$6:$T$150, "&gt;="&amp;AW1,'Expenditure Breakdown'!$T$6:$T$150, "&lt;"&amp;AX1)</f>
        <v>0</v>
      </c>
      <c r="AX17" s="260">
        <f>SUMIFS('Expenditure Breakdown'!$U$6:$U$150, 'Expenditure Breakdown'!$T$6:$T$150, "&gt;="&amp;AX1,'Expenditure Breakdown'!$T$6:$T$150, "&lt;"&amp;AY1)</f>
        <v>0</v>
      </c>
      <c r="AY17" s="260">
        <f>SUMIFS('Expenditure Breakdown'!$U$6:$U$150, 'Expenditure Breakdown'!$T$6:$T$150, "&gt;="&amp;AY1,'Expenditure Breakdown'!$T$6:$T$150, "&lt;"&amp;AZ1)</f>
        <v>0</v>
      </c>
      <c r="AZ17" s="260">
        <f>SUMIFS('Expenditure Breakdown'!$U$6:$U$150, 'Expenditure Breakdown'!$T$6:$T$150, "&gt;="&amp;AZ1,'Expenditure Breakdown'!$T$6:$T$150, "&lt;"&amp;BA1)</f>
        <v>0</v>
      </c>
      <c r="BA17" s="260">
        <f>SUMIFS('Expenditure Breakdown'!$U$6:$U$150, 'Expenditure Breakdown'!$T$6:$T$150, "&gt;="&amp;BA1,'Expenditure Breakdown'!$T$6:$T$150, "&lt;"&amp;BB1)</f>
        <v>0</v>
      </c>
      <c r="BB17" s="260">
        <f>SUMIFS('Expenditure Breakdown'!$U$6:$U$150, 'Expenditure Breakdown'!$T$6:$T$150, "&gt;="&amp;BB1,'Expenditure Breakdown'!$T$6:$T$150, "&lt;"&amp;BC1)</f>
        <v>0</v>
      </c>
      <c r="BC17" s="260">
        <f>SUMIFS('Expenditure Breakdown'!$U$6:$U$150, 'Expenditure Breakdown'!$T$6:$T$150, "&gt;="&amp;BC1,'Expenditure Breakdown'!$T$6:$T$150, "&lt;"&amp;BD1)</f>
        <v>0</v>
      </c>
      <c r="BD17" s="260">
        <f>SUMIFS('Expenditure Breakdown'!$U$6:$U$150, 'Expenditure Breakdown'!$T$6:$T$150, "&gt;="&amp;BD1,'Expenditure Breakdown'!$T$6:$T$150, "&lt;"&amp;BE1)</f>
        <v>0</v>
      </c>
      <c r="BE17" s="260">
        <f>SUMIFS('Expenditure Breakdown'!$U$6:$U$150, 'Expenditure Breakdown'!$T$6:$T$150, "&gt;="&amp;BE1,'Expenditure Breakdown'!$T$6:$T$150, "&lt;"&amp;BF1)</f>
        <v>0</v>
      </c>
      <c r="BF17" s="260">
        <f>SUMIFS('Expenditure Breakdown'!$U$6:$U$150, 'Expenditure Breakdown'!$T$6:$T$150, "&gt;="&amp;BF1,'Expenditure Breakdown'!$T$6:$T$150, "&lt;"&amp;BG1)</f>
        <v>0</v>
      </c>
      <c r="BG17" s="260">
        <f>SUMIFS('Expenditure Breakdown'!$U$6:$U$150, 'Expenditure Breakdown'!$T$6:$T$150, "&gt;="&amp;BG1,'Expenditure Breakdown'!$T$6:$T$150, "&lt;"&amp;BH1)</f>
        <v>0</v>
      </c>
      <c r="BH17" s="260">
        <f>SUMIFS('Expenditure Breakdown'!$U$6:$U$150, 'Expenditure Breakdown'!$T$6:$T$150, "&gt;="&amp;BH1,'Expenditure Breakdown'!$T$6:$T$150, "&lt;"&amp;BI1)</f>
        <v>0</v>
      </c>
      <c r="BI17" s="260">
        <f>SUMIFS('Expenditure Breakdown'!$U$6:$U$150, 'Expenditure Breakdown'!$T$6:$T$150, "&gt;="&amp;BI1,'Expenditure Breakdown'!$T$6:$T$150, "&lt;"&amp;BJ1)</f>
        <v>0</v>
      </c>
      <c r="BJ17" s="260">
        <f>SUMIFS('Expenditure Breakdown'!$U$6:$U$150, 'Expenditure Breakdown'!$T$6:$T$150, "&gt;="&amp;BJ1,'Expenditure Breakdown'!$T$6:$T$150, "&lt;"&amp;BK1)</f>
        <v>0</v>
      </c>
      <c r="BK17" s="260">
        <f>SUMIFS('Expenditure Breakdown'!$U$6:$U$150, 'Expenditure Breakdown'!$T$6:$T$150, "&gt;="&amp;BK1,'Expenditure Breakdown'!$T$6:$T$150, "&lt;"&amp;BL1)</f>
        <v>0</v>
      </c>
      <c r="BL17" s="260">
        <f>SUMIFS('Expenditure Breakdown'!$U$6:$U$150, 'Expenditure Breakdown'!$T$6:$T$150, "&gt;="&amp;BL1,'Expenditure Breakdown'!$T$6:$T$150, "&lt;"&amp;BM1)</f>
        <v>0</v>
      </c>
      <c r="BM17" s="260">
        <f>SUMIFS('Expenditure Breakdown'!$U$6:$U$150, 'Expenditure Breakdown'!$T$6:$T$150, "&gt;="&amp;BM1,'Expenditure Breakdown'!$T$6:$T$150, "&lt;"&amp;BN1)</f>
        <v>0</v>
      </c>
      <c r="BN17" s="260">
        <f>SUMIFS('Expenditure Breakdown'!$U$6:$U$150, 'Expenditure Breakdown'!$T$6:$T$150, "&gt;="&amp;BN1,'Expenditure Breakdown'!$T$6:$T$150, "&lt;"&amp;BO1)</f>
        <v>0</v>
      </c>
      <c r="BO17" s="260">
        <f>SUMIFS('Expenditure Breakdown'!$U$6:$U$150, 'Expenditure Breakdown'!$T$6:$T$150, "&gt;="&amp;BO1,'Expenditure Breakdown'!$T$6:$T$150, "&lt;"&amp;BP1)</f>
        <v>0</v>
      </c>
      <c r="BP17" s="260">
        <f>SUMIFS('Expenditure Breakdown'!$U$6:$U$150, 'Expenditure Breakdown'!$T$6:$T$150, "&gt;="&amp;BP1,'Expenditure Breakdown'!$T$6:$T$150, "&lt;"&amp;BQ1)</f>
        <v>0</v>
      </c>
      <c r="BQ17" s="260">
        <f>SUMIFS('Expenditure Breakdown'!$U$6:$U$150, 'Expenditure Breakdown'!$T$6:$T$150, "&gt;="&amp;BQ1,'Expenditure Breakdown'!$T$6:$T$150, "&lt;"&amp;BR1)</f>
        <v>0</v>
      </c>
      <c r="BR17" s="260">
        <f>SUMIFS('Expenditure Breakdown'!$U$6:$U$150, 'Expenditure Breakdown'!$T$6:$T$150, "&gt;="&amp;BR1,'Expenditure Breakdown'!$T$6:$T$150, "&lt;"&amp;BS1)</f>
        <v>0</v>
      </c>
      <c r="BS17" s="260">
        <f>SUMIFS('Expenditure Breakdown'!$U$6:$U$150, 'Expenditure Breakdown'!$T$6:$T$150, "&gt;="&amp;BS1,'Expenditure Breakdown'!$T$6:$T$150, "&lt;"&amp;BT1)</f>
        <v>0</v>
      </c>
      <c r="BT17" s="260">
        <f>SUMIFS('Expenditure Breakdown'!$U$6:$U$150, 'Expenditure Breakdown'!$T$6:$T$150, "&gt;="&amp;BT1,'Expenditure Breakdown'!$T$6:$T$150, "&lt;"&amp;BU1)</f>
        <v>0</v>
      </c>
      <c r="BU17" s="260">
        <f>SUMIFS('Expenditure Breakdown'!$U$6:$U$150, 'Expenditure Breakdown'!$T$6:$T$150, "&gt;="&amp;BU1,'Expenditure Breakdown'!$T$6:$T$150, "&lt;"&amp;BV1)</f>
        <v>0</v>
      </c>
      <c r="BV17" s="260">
        <f>SUMIFS('Expenditure Breakdown'!$U$6:$U$150, 'Expenditure Breakdown'!$T$6:$T$150, "&gt;="&amp;BV1,'Expenditure Breakdown'!$T$6:$T$150, "&lt;"&amp;BW1)</f>
        <v>0</v>
      </c>
      <c r="BW17" s="260">
        <f>SUMIFS('Expenditure Breakdown'!$U$6:$U$150, 'Expenditure Breakdown'!$T$6:$T$150, "&gt;="&amp;BW1,'Expenditure Breakdown'!$T$6:$T$150, "&lt;"&amp;BX1)</f>
        <v>0</v>
      </c>
      <c r="BX17" s="260">
        <f>SUMIFS('Expenditure Breakdown'!$U$6:$U$150, 'Expenditure Breakdown'!$T$6:$T$150, "&gt;="&amp;BX1,'Expenditure Breakdown'!$T$6:$T$150, "&lt;"&amp;BY1)</f>
        <v>0</v>
      </c>
      <c r="BY17" s="260">
        <f>SUMIFS('Expenditure Breakdown'!$U$6:$U$150, 'Expenditure Breakdown'!$T$6:$T$150, "&gt;="&amp;BY1,'Expenditure Breakdown'!$T$6:$T$150, "&lt;"&amp;BZ1)</f>
        <v>0</v>
      </c>
      <c r="BZ17" s="260">
        <f>SUMIFS('Expenditure Breakdown'!$U$6:$U$150, 'Expenditure Breakdown'!$T$6:$T$150, "&gt;="&amp;BZ1,'Expenditure Breakdown'!$T$6:$T$150, "&lt;"&amp;CA1)</f>
        <v>0</v>
      </c>
      <c r="CA17" s="260">
        <f>SUMIFS('Expenditure Breakdown'!$U$6:$U$150, 'Expenditure Breakdown'!$T$6:$T$150, "&gt;="&amp;CA1,'Expenditure Breakdown'!$T$6:$T$150, "&lt;"&amp;CB1)</f>
        <v>0</v>
      </c>
      <c r="CB17" s="260">
        <f>SUMIFS('Expenditure Breakdown'!$U$6:$U$150, 'Expenditure Breakdown'!$T$6:$T$150, "&gt;="&amp;CB1,'Expenditure Breakdown'!$T$6:$T$150, "&lt;"&amp;CC1)</f>
        <v>0</v>
      </c>
      <c r="CC17" s="260">
        <f>SUMIFS('Expenditure Breakdown'!$U$6:$U$150, 'Expenditure Breakdown'!$T$6:$T$150, "&gt;="&amp;CC1,'Expenditure Breakdown'!$T$6:$T$150, "&lt;"&amp;CD1)</f>
        <v>0</v>
      </c>
      <c r="CD17" s="260">
        <f>SUMIFS('Expenditure Breakdown'!$U$6:$U$150, 'Expenditure Breakdown'!$T$6:$T$150, "&gt;="&amp;CD1,'Expenditure Breakdown'!$T$6:$T$150, "&lt;"&amp;CE1)</f>
        <v>0</v>
      </c>
      <c r="CE17" s="260">
        <f>SUMIFS('Expenditure Breakdown'!$U$6:$U$150, 'Expenditure Breakdown'!$T$6:$T$150, "&gt;="&amp;CE1,'Expenditure Breakdown'!$T$6:$T$150, "&lt;"&amp;CF1)</f>
        <v>0</v>
      </c>
      <c r="CF17" s="260">
        <f>SUMIFS('Expenditure Breakdown'!$U$6:$U$150, 'Expenditure Breakdown'!$T$6:$T$150, "&gt;="&amp;CF1,'Expenditure Breakdown'!$T$6:$T$150, "&lt;"&amp;CG1)</f>
        <v>0</v>
      </c>
      <c r="CG17" s="260">
        <f>SUMIFS('Expenditure Breakdown'!$U$6:$U$150, 'Expenditure Breakdown'!$T$6:$T$150, "&gt;="&amp;CG1,'Expenditure Breakdown'!$T$6:$T$150, "&lt;"&amp;CH1)</f>
        <v>0</v>
      </c>
      <c r="CH17" s="260">
        <f>SUMIFS('Expenditure Breakdown'!$U$6:$U$150, 'Expenditure Breakdown'!$T$6:$T$150, "&gt;="&amp;CH1,'Expenditure Breakdown'!$T$6:$T$150, "&lt;"&amp;CI1)</f>
        <v>0</v>
      </c>
      <c r="CI17" s="260">
        <f>SUMIFS('Expenditure Breakdown'!$U$6:$U$150, 'Expenditure Breakdown'!$T$6:$T$150, "&gt;="&amp;CI1,'Expenditure Breakdown'!$T$6:$T$150, "&lt;"&amp;CJ1)</f>
        <v>0</v>
      </c>
      <c r="CJ17" s="260">
        <f>SUMIFS('Expenditure Breakdown'!$U$6:$U$150, 'Expenditure Breakdown'!$T$6:$T$150, "&gt;="&amp;CJ1,'Expenditure Breakdown'!$T$6:$T$150, "&lt;"&amp;CK1)</f>
        <v>0</v>
      </c>
      <c r="CK17" s="260">
        <f>SUMIFS('Expenditure Breakdown'!$U$6:$U$150, 'Expenditure Breakdown'!$T$6:$T$150, "&gt;="&amp;CK1,'Expenditure Breakdown'!$T$6:$T$150, "&lt;"&amp;CL1)</f>
        <v>0</v>
      </c>
      <c r="CL17" s="260">
        <f>SUMIFS('Expenditure Breakdown'!$U$6:$U$150, 'Expenditure Breakdown'!$T$6:$T$150, "&gt;="&amp;CL1,'Expenditure Breakdown'!$T$6:$T$150, "&lt;"&amp;CM1)</f>
        <v>0</v>
      </c>
      <c r="CM17" s="260">
        <f>SUMIFS('Expenditure Breakdown'!$U$6:$U$150, 'Expenditure Breakdown'!$T$6:$T$150, "&gt;="&amp;CM1,'Expenditure Breakdown'!$T$6:$T$150, "&lt;"&amp;CN1)</f>
        <v>0</v>
      </c>
      <c r="CN17" s="260">
        <f>SUMIFS('Expenditure Breakdown'!$U$6:$U$150, 'Expenditure Breakdown'!$T$6:$T$150, "&gt;="&amp;CN1,'Expenditure Breakdown'!$T$6:$T$150, "&lt;"&amp;CO1)</f>
        <v>0</v>
      </c>
      <c r="CO17" s="260">
        <f>SUMIFS('Expenditure Breakdown'!$U$6:$U$150, 'Expenditure Breakdown'!$T$6:$T$150, "&gt;="&amp;CO1,'Expenditure Breakdown'!$T$6:$T$150, "&lt;"&amp;CP1)</f>
        <v>0</v>
      </c>
      <c r="CP17" s="260">
        <f>SUMIFS('Expenditure Breakdown'!$U$6:$U$150, 'Expenditure Breakdown'!$T$6:$T$150, "&gt;="&amp;CP1,'Expenditure Breakdown'!$T$6:$T$150, "&lt;"&amp;CQ1)</f>
        <v>0</v>
      </c>
    </row>
    <row r="18" spans="1:94">
      <c r="A18" s="917"/>
      <c r="B18" s="241" t="s">
        <v>226</v>
      </c>
      <c r="C18" s="531">
        <f>D17-D18</f>
        <v>0</v>
      </c>
      <c r="D18" s="242">
        <f>MAX(F18:CP18)</f>
        <v>11750786.53078163</v>
      </c>
      <c r="E18" s="252"/>
      <c r="F18" s="260">
        <f>F17</f>
        <v>0</v>
      </c>
      <c r="G18" s="260">
        <f>F18+G17</f>
        <v>0</v>
      </c>
      <c r="H18" s="260">
        <f>G18+H17</f>
        <v>0</v>
      </c>
      <c r="I18" s="260">
        <f t="shared" ref="I18:BT18" si="43">H18+I17</f>
        <v>14115.734382012277</v>
      </c>
      <c r="J18" s="260">
        <f t="shared" si="43"/>
        <v>14115.734382012277</v>
      </c>
      <c r="K18" s="260">
        <f t="shared" si="43"/>
        <v>14115.734382012277</v>
      </c>
      <c r="L18" s="260">
        <f t="shared" si="43"/>
        <v>14115.734382012277</v>
      </c>
      <c r="M18" s="260">
        <f t="shared" si="43"/>
        <v>14115.734382012277</v>
      </c>
      <c r="N18" s="260">
        <f t="shared" si="43"/>
        <v>1618995.2458815388</v>
      </c>
      <c r="O18" s="260">
        <f t="shared" si="43"/>
        <v>1618995.2458815388</v>
      </c>
      <c r="P18" s="260">
        <f t="shared" si="43"/>
        <v>1618995.2458815388</v>
      </c>
      <c r="Q18" s="260">
        <f t="shared" si="43"/>
        <v>1618995.2458815388</v>
      </c>
      <c r="R18" s="260">
        <f t="shared" si="43"/>
        <v>9901770.8860633597</v>
      </c>
      <c r="S18" s="260">
        <f t="shared" si="43"/>
        <v>9901770.8860633597</v>
      </c>
      <c r="T18" s="260">
        <f t="shared" si="43"/>
        <v>9901770.8860633597</v>
      </c>
      <c r="U18" s="260">
        <f t="shared" si="43"/>
        <v>9901770.8860633597</v>
      </c>
      <c r="V18" s="260">
        <f t="shared" si="43"/>
        <v>10260031.672552535</v>
      </c>
      <c r="W18" s="260">
        <f t="shared" si="43"/>
        <v>10260031.672552535</v>
      </c>
      <c r="X18" s="260">
        <f t="shared" si="43"/>
        <v>10260031.672552535</v>
      </c>
      <c r="Y18" s="260">
        <f t="shared" si="43"/>
        <v>10260031.672552535</v>
      </c>
      <c r="Z18" s="260">
        <f t="shared" si="43"/>
        <v>10260031.672552535</v>
      </c>
      <c r="AA18" s="260">
        <f t="shared" si="43"/>
        <v>10342972.018009406</v>
      </c>
      <c r="AB18" s="260">
        <f t="shared" si="43"/>
        <v>10342972.018009406</v>
      </c>
      <c r="AC18" s="260">
        <f t="shared" si="43"/>
        <v>10342972.018009406</v>
      </c>
      <c r="AD18" s="260">
        <f t="shared" si="43"/>
        <v>10342972.018009406</v>
      </c>
      <c r="AE18" s="260">
        <f t="shared" si="43"/>
        <v>11024463.65859215</v>
      </c>
      <c r="AF18" s="260">
        <f t="shared" si="43"/>
        <v>11024463.65859215</v>
      </c>
      <c r="AG18" s="260">
        <f t="shared" si="43"/>
        <v>11024463.65859215</v>
      </c>
      <c r="AH18" s="260">
        <f t="shared" si="43"/>
        <v>11024463.65859215</v>
      </c>
      <c r="AI18" s="260">
        <f t="shared" si="43"/>
        <v>11531401.774053004</v>
      </c>
      <c r="AJ18" s="260">
        <f t="shared" si="43"/>
        <v>11531401.774053004</v>
      </c>
      <c r="AK18" s="260">
        <f t="shared" si="43"/>
        <v>11531401.774053004</v>
      </c>
      <c r="AL18" s="260">
        <f t="shared" si="43"/>
        <v>11531401.774053004</v>
      </c>
      <c r="AM18" s="260">
        <f t="shared" si="43"/>
        <v>11531401.774053004</v>
      </c>
      <c r="AN18" s="260">
        <f t="shared" si="43"/>
        <v>11654280.22078163</v>
      </c>
      <c r="AO18" s="260">
        <f t="shared" si="43"/>
        <v>11654280.22078163</v>
      </c>
      <c r="AP18" s="260">
        <f t="shared" si="43"/>
        <v>11654280.22078163</v>
      </c>
      <c r="AQ18" s="260">
        <f t="shared" si="43"/>
        <v>11654280.22078163</v>
      </c>
      <c r="AR18" s="260">
        <f t="shared" si="43"/>
        <v>11654280.22078163</v>
      </c>
      <c r="AS18" s="260">
        <f t="shared" si="43"/>
        <v>11654280.22078163</v>
      </c>
      <c r="AT18" s="260">
        <f t="shared" si="43"/>
        <v>11654280.22078163</v>
      </c>
      <c r="AU18" s="260">
        <f t="shared" si="43"/>
        <v>11654280.22078163</v>
      </c>
      <c r="AV18" s="260">
        <f t="shared" si="43"/>
        <v>11750786.53078163</v>
      </c>
      <c r="AW18" s="260">
        <f t="shared" si="43"/>
        <v>11750786.53078163</v>
      </c>
      <c r="AX18" s="260">
        <f t="shared" si="43"/>
        <v>11750786.53078163</v>
      </c>
      <c r="AY18" s="260">
        <f t="shared" si="43"/>
        <v>11750786.53078163</v>
      </c>
      <c r="AZ18" s="260">
        <f t="shared" si="43"/>
        <v>11750786.53078163</v>
      </c>
      <c r="BA18" s="260">
        <f t="shared" si="43"/>
        <v>11750786.53078163</v>
      </c>
      <c r="BB18" s="260">
        <f t="shared" si="43"/>
        <v>11750786.53078163</v>
      </c>
      <c r="BC18" s="260">
        <f t="shared" si="43"/>
        <v>11750786.53078163</v>
      </c>
      <c r="BD18" s="260">
        <f t="shared" si="43"/>
        <v>11750786.53078163</v>
      </c>
      <c r="BE18" s="260">
        <f t="shared" si="43"/>
        <v>11750786.53078163</v>
      </c>
      <c r="BF18" s="260">
        <f t="shared" si="43"/>
        <v>11750786.53078163</v>
      </c>
      <c r="BG18" s="260">
        <f t="shared" si="43"/>
        <v>11750786.53078163</v>
      </c>
      <c r="BH18" s="260">
        <f t="shared" si="43"/>
        <v>11750786.53078163</v>
      </c>
      <c r="BI18" s="260">
        <f t="shared" si="43"/>
        <v>11750786.53078163</v>
      </c>
      <c r="BJ18" s="260">
        <f t="shared" si="43"/>
        <v>11750786.53078163</v>
      </c>
      <c r="BK18" s="260">
        <f t="shared" si="43"/>
        <v>11750786.53078163</v>
      </c>
      <c r="BL18" s="260">
        <f t="shared" si="43"/>
        <v>11750786.53078163</v>
      </c>
      <c r="BM18" s="260">
        <f t="shared" si="43"/>
        <v>11750786.53078163</v>
      </c>
      <c r="BN18" s="260">
        <f t="shared" si="43"/>
        <v>11750786.53078163</v>
      </c>
      <c r="BO18" s="260">
        <f t="shared" si="43"/>
        <v>11750786.53078163</v>
      </c>
      <c r="BP18" s="260">
        <f t="shared" si="43"/>
        <v>11750786.53078163</v>
      </c>
      <c r="BQ18" s="260">
        <f t="shared" si="43"/>
        <v>11750786.53078163</v>
      </c>
      <c r="BR18" s="260">
        <f t="shared" si="43"/>
        <v>11750786.53078163</v>
      </c>
      <c r="BS18" s="260">
        <f t="shared" si="43"/>
        <v>11750786.53078163</v>
      </c>
      <c r="BT18" s="260">
        <f t="shared" si="43"/>
        <v>11750786.53078163</v>
      </c>
      <c r="BU18" s="260">
        <f t="shared" ref="BU18:CJ18" si="44">BT18+BU17</f>
        <v>11750786.53078163</v>
      </c>
      <c r="BV18" s="260">
        <f t="shared" si="44"/>
        <v>11750786.53078163</v>
      </c>
      <c r="BW18" s="260">
        <f t="shared" si="44"/>
        <v>11750786.53078163</v>
      </c>
      <c r="BX18" s="260">
        <f t="shared" si="44"/>
        <v>11750786.53078163</v>
      </c>
      <c r="BY18" s="260">
        <f t="shared" si="44"/>
        <v>11750786.53078163</v>
      </c>
      <c r="BZ18" s="260">
        <f t="shared" si="44"/>
        <v>11750786.53078163</v>
      </c>
      <c r="CA18" s="260">
        <f t="shared" si="44"/>
        <v>11750786.53078163</v>
      </c>
      <c r="CB18" s="260">
        <f t="shared" si="44"/>
        <v>11750786.53078163</v>
      </c>
      <c r="CC18" s="260">
        <f t="shared" si="44"/>
        <v>11750786.53078163</v>
      </c>
      <c r="CD18" s="260">
        <f t="shared" si="44"/>
        <v>11750786.53078163</v>
      </c>
      <c r="CE18" s="260">
        <f t="shared" si="44"/>
        <v>11750786.53078163</v>
      </c>
      <c r="CF18" s="260">
        <f t="shared" si="44"/>
        <v>11750786.53078163</v>
      </c>
      <c r="CG18" s="260">
        <f t="shared" si="44"/>
        <v>11750786.53078163</v>
      </c>
      <c r="CH18" s="260">
        <f t="shared" si="44"/>
        <v>11750786.53078163</v>
      </c>
      <c r="CI18" s="260">
        <f t="shared" si="44"/>
        <v>11750786.53078163</v>
      </c>
      <c r="CJ18" s="260">
        <f t="shared" si="44"/>
        <v>11750786.53078163</v>
      </c>
      <c r="CK18" s="260">
        <f t="shared" ref="CK18" si="45">CJ18+CK17</f>
        <v>11750786.53078163</v>
      </c>
      <c r="CL18" s="260">
        <f t="shared" ref="CL18" si="46">CK18+CL17</f>
        <v>11750786.53078163</v>
      </c>
      <c r="CM18" s="260">
        <f t="shared" ref="CM18" si="47">CL18+CM17</f>
        <v>11750786.53078163</v>
      </c>
      <c r="CN18" s="260">
        <f t="shared" ref="CN18" si="48">CM18+CN17</f>
        <v>11750786.53078163</v>
      </c>
      <c r="CO18" s="260">
        <f t="shared" ref="CO18" si="49">CN18+CO17</f>
        <v>11750786.53078163</v>
      </c>
      <c r="CP18" s="260">
        <f t="shared" ref="CP18" si="50">CO18+CP17</f>
        <v>11750786.53078163</v>
      </c>
    </row>
    <row r="19" spans="1:94" s="237" customFormat="1"/>
    <row r="20" spans="1:94">
      <c r="B20" t="s">
        <v>227</v>
      </c>
      <c r="D20" s="615">
        <f>SUM(F20:CP20)</f>
        <v>1938729.6575000002</v>
      </c>
      <c r="E20" s="237"/>
      <c r="F20" s="638">
        <f>SUMIFS('Expenditure Breakdown'!$R$26:$R$33, 'Expenditure Breakdown'!$W$26:$W$33, "&gt;="&amp;F1,'Expenditure Breakdown'!$W$26:$W$33, "&lt;"&amp;G1)+SUMIFS('Expenditure Breakdown'!$R$44:$R$51, 'Expenditure Breakdown'!$W$44:$W$51, "&gt;="&amp;F1,'Expenditure Breakdown'!$W$44:$W$51, "&lt;"&amp;G1)+SUMIFS('Expenditure Breakdown'!$R$78:$R$85, 'Expenditure Breakdown'!$W$78:$W$85, "&gt;="&amp;F1,'Expenditure Breakdown'!$W$78:$W$85, "&lt;"&amp;G1)</f>
        <v>0</v>
      </c>
      <c r="G20" s="638">
        <f>SUMIFS('Expenditure Breakdown'!$R$26:$R$33, 'Expenditure Breakdown'!$W$26:$W$33, "&gt;="&amp;G1,'Expenditure Breakdown'!$W$26:$W$33, "&lt;"&amp;H1)+SUMIFS('Expenditure Breakdown'!$R$44:$R$51, 'Expenditure Breakdown'!$W$44:$W$51, "&gt;="&amp;G1,'Expenditure Breakdown'!$W$44:$W$51, "&lt;"&amp;H1)+SUMIFS('Expenditure Breakdown'!$R$78:$R$85, 'Expenditure Breakdown'!$W$78:$W$85, "&gt;="&amp;G1,'Expenditure Breakdown'!$W$78:$W$85, "&lt;"&amp;H1)</f>
        <v>0</v>
      </c>
      <c r="H20" s="638">
        <f>SUMIFS('Expenditure Breakdown'!$R$26:$R$33, 'Expenditure Breakdown'!$W$26:$W$33, "&gt;="&amp;H1,'Expenditure Breakdown'!$W$26:$W$33, "&lt;"&amp;I1)+SUMIFS('Expenditure Breakdown'!$R$44:$R$51, 'Expenditure Breakdown'!$W$44:$W$51, "&gt;="&amp;H1,'Expenditure Breakdown'!$W$44:$W$51, "&lt;"&amp;I1)+SUMIFS('Expenditure Breakdown'!$R$78:$R$85, 'Expenditure Breakdown'!$W$78:$W$85, "&gt;="&amp;H1,'Expenditure Breakdown'!$W$78:$W$85, "&lt;"&amp;I1)</f>
        <v>0</v>
      </c>
      <c r="I20" s="638">
        <f>SUMIFS('Expenditure Breakdown'!$R$26:$R$33, 'Expenditure Breakdown'!$W$26:$W$33, "&gt;="&amp;I1,'Expenditure Breakdown'!$W$26:$W$33, "&lt;"&amp;J1)+SUMIFS('Expenditure Breakdown'!$R$44:$R$51, 'Expenditure Breakdown'!$W$44:$W$51, "&gt;="&amp;I1,'Expenditure Breakdown'!$W$44:$W$51, "&lt;"&amp;J1)+SUMIFS('Expenditure Breakdown'!$R$78:$R$85, 'Expenditure Breakdown'!$W$78:$W$85, "&gt;="&amp;I1,'Expenditure Breakdown'!$W$78:$W$85, "&lt;"&amp;J1)</f>
        <v>0</v>
      </c>
      <c r="J20" s="638">
        <f>SUMIFS('Expenditure Breakdown'!$R$26:$R$33, 'Expenditure Breakdown'!$W$26:$W$33, "&gt;="&amp;J1,'Expenditure Breakdown'!$W$26:$W$33, "&lt;"&amp;K1)+SUMIFS('Expenditure Breakdown'!$R$44:$R$51, 'Expenditure Breakdown'!$W$44:$W$51, "&gt;="&amp;J1,'Expenditure Breakdown'!$W$44:$W$51, "&lt;"&amp;K1)+SUMIFS('Expenditure Breakdown'!$R$78:$R$85, 'Expenditure Breakdown'!$W$78:$W$85, "&gt;="&amp;J1,'Expenditure Breakdown'!$W$78:$W$85, "&lt;"&amp;K1)</f>
        <v>0</v>
      </c>
      <c r="K20" s="638">
        <f>SUMIFS('Expenditure Breakdown'!$R$26:$R$33, 'Expenditure Breakdown'!$W$26:$W$33, "&gt;="&amp;K1,'Expenditure Breakdown'!$W$26:$W$33, "&lt;"&amp;L1)+SUMIFS('Expenditure Breakdown'!$R$44:$R$51, 'Expenditure Breakdown'!$W$44:$W$51, "&gt;="&amp;K1,'Expenditure Breakdown'!$W$44:$W$51, "&lt;"&amp;L1)+SUMIFS('Expenditure Breakdown'!$R$78:$R$85, 'Expenditure Breakdown'!$W$78:$W$85, "&gt;="&amp;K1,'Expenditure Breakdown'!$W$78:$W$85, "&lt;"&amp;L1)</f>
        <v>0</v>
      </c>
      <c r="L20" s="638">
        <f>SUMIFS('Expenditure Breakdown'!$R$26:$R$33, 'Expenditure Breakdown'!$W$26:$W$33, "&gt;="&amp;L1,'Expenditure Breakdown'!$W$26:$W$33, "&lt;"&amp;M1)+SUMIFS('Expenditure Breakdown'!$R$44:$R$51, 'Expenditure Breakdown'!$W$44:$W$51, "&gt;="&amp;L1,'Expenditure Breakdown'!$W$44:$W$51, "&lt;"&amp;M1)+SUMIFS('Expenditure Breakdown'!$R$78:$R$85, 'Expenditure Breakdown'!$W$78:$W$85, "&gt;="&amp;L1,'Expenditure Breakdown'!$W$78:$W$85, "&lt;"&amp;M1)</f>
        <v>0</v>
      </c>
      <c r="M20" s="638">
        <f>SUMIFS('Expenditure Breakdown'!$R$26:$R$33, 'Expenditure Breakdown'!$W$26:$W$33, "&gt;="&amp;M1,'Expenditure Breakdown'!$W$26:$W$33, "&lt;"&amp;N1)+SUMIFS('Expenditure Breakdown'!$R$44:$R$51, 'Expenditure Breakdown'!$W$44:$W$51, "&gt;="&amp;M1,'Expenditure Breakdown'!$W$44:$W$51, "&lt;"&amp;N1)+SUMIFS('Expenditure Breakdown'!$R$78:$R$85, 'Expenditure Breakdown'!$W$78:$W$85, "&gt;="&amp;M1,'Expenditure Breakdown'!$W$78:$W$85, "&lt;"&amp;N1)</f>
        <v>0</v>
      </c>
      <c r="N20" s="638">
        <f>SUMIFS('Expenditure Breakdown'!$R$26:$R$33, 'Expenditure Breakdown'!$W$26:$W$33, "&gt;="&amp;N1,'Expenditure Breakdown'!$W$26:$W$33, "&lt;"&amp;O1)+SUMIFS('Expenditure Breakdown'!$R$44:$R$51, 'Expenditure Breakdown'!$W$44:$W$51, "&gt;="&amp;N1,'Expenditure Breakdown'!$W$44:$W$51, "&lt;"&amp;O1)+SUMIFS('Expenditure Breakdown'!$R$78:$R$85, 'Expenditure Breakdown'!$W$78:$W$85, "&gt;="&amp;N1,'Expenditure Breakdown'!$W$78:$W$85, "&lt;"&amp;O1)</f>
        <v>0</v>
      </c>
      <c r="O20" s="638">
        <f>SUMIFS('Expenditure Breakdown'!$R$26:$R$33, 'Expenditure Breakdown'!$W$26:$W$33, "&gt;="&amp;O1,'Expenditure Breakdown'!$W$26:$W$33, "&lt;"&amp;P1)+SUMIFS('Expenditure Breakdown'!$R$44:$R$51, 'Expenditure Breakdown'!$W$44:$W$51, "&gt;="&amp;O1,'Expenditure Breakdown'!$W$44:$W$51, "&lt;"&amp;P1)+SUMIFS('Expenditure Breakdown'!$R$78:$R$85, 'Expenditure Breakdown'!$W$78:$W$85, "&gt;="&amp;O1,'Expenditure Breakdown'!$W$78:$W$85, "&lt;"&amp;P1)</f>
        <v>0</v>
      </c>
      <c r="P20" s="638">
        <f>SUMIFS('Expenditure Breakdown'!$R$26:$R$33, 'Expenditure Breakdown'!$W$26:$W$33, "&gt;="&amp;P1,'Expenditure Breakdown'!$W$26:$W$33, "&lt;"&amp;Q1)+SUMIFS('Expenditure Breakdown'!$R$44:$R$51, 'Expenditure Breakdown'!$W$44:$W$51, "&gt;="&amp;P1,'Expenditure Breakdown'!$W$44:$W$51, "&lt;"&amp;Q1)+SUMIFS('Expenditure Breakdown'!$R$78:$R$85, 'Expenditure Breakdown'!$W$78:$W$85, "&gt;="&amp;P1,'Expenditure Breakdown'!$W$78:$W$85, "&lt;"&amp;Q1)</f>
        <v>0</v>
      </c>
      <c r="Q20" s="638">
        <f>SUMIFS('Expenditure Breakdown'!$R$26:$R$33, 'Expenditure Breakdown'!$W$26:$W$33, "&gt;="&amp;Q1,'Expenditure Breakdown'!$W$26:$W$33, "&lt;"&amp;R1)+SUMIFS('Expenditure Breakdown'!$R$44:$R$51, 'Expenditure Breakdown'!$W$44:$W$51, "&gt;="&amp;Q1,'Expenditure Breakdown'!$W$44:$W$51, "&lt;"&amp;R1)+SUMIFS('Expenditure Breakdown'!$R$78:$R$85, 'Expenditure Breakdown'!$W$78:$W$85, "&gt;="&amp;Q1,'Expenditure Breakdown'!$W$78:$W$85, "&lt;"&amp;R1)</f>
        <v>0</v>
      </c>
      <c r="R20" s="638">
        <f>SUMIFS('Expenditure Breakdown'!$R$26:$R$33, 'Expenditure Breakdown'!$W$26:$W$33, "&gt;="&amp;R1,'Expenditure Breakdown'!$W$26:$W$33, "&lt;"&amp;S1)+SUMIFS('Expenditure Breakdown'!$R$44:$R$51, 'Expenditure Breakdown'!$W$44:$W$51, "&gt;="&amp;R1,'Expenditure Breakdown'!$W$44:$W$51, "&lt;"&amp;S1)+SUMIFS('Expenditure Breakdown'!$R$78:$R$85, 'Expenditure Breakdown'!$W$78:$W$85, "&gt;="&amp;R1,'Expenditure Breakdown'!$W$78:$W$85, "&lt;"&amp;S1)</f>
        <v>0</v>
      </c>
      <c r="S20" s="638">
        <f>SUMIFS('Expenditure Breakdown'!$R$26:$R$33, 'Expenditure Breakdown'!$W$26:$W$33, "&gt;="&amp;S1,'Expenditure Breakdown'!$W$26:$W$33, "&lt;"&amp;T1)+SUMIFS('Expenditure Breakdown'!$R$44:$R$51, 'Expenditure Breakdown'!$W$44:$W$51, "&gt;="&amp;S1,'Expenditure Breakdown'!$W$44:$W$51, "&lt;"&amp;T1)+SUMIFS('Expenditure Breakdown'!$R$78:$R$85, 'Expenditure Breakdown'!$W$78:$W$85, "&gt;="&amp;S1,'Expenditure Breakdown'!$W$78:$W$85, "&lt;"&amp;T1)</f>
        <v>193872.97</v>
      </c>
      <c r="T20" s="638">
        <f>SUMIFS('Expenditure Breakdown'!$R$26:$R$33, 'Expenditure Breakdown'!$W$26:$W$33, "&gt;="&amp;T1,'Expenditure Breakdown'!$W$26:$W$33, "&lt;"&amp;U1)+SUMIFS('Expenditure Breakdown'!$R$44:$R$51, 'Expenditure Breakdown'!$W$44:$W$51, "&gt;="&amp;T1,'Expenditure Breakdown'!$W$44:$W$51, "&lt;"&amp;U1)+SUMIFS('Expenditure Breakdown'!$R$78:$R$85, 'Expenditure Breakdown'!$W$78:$W$85, "&gt;="&amp;T1,'Expenditure Breakdown'!$W$78:$W$85, "&lt;"&amp;U1)</f>
        <v>290809.45</v>
      </c>
      <c r="U20" s="638">
        <f>SUMIFS('Expenditure Breakdown'!$R$26:$R$33, 'Expenditure Breakdown'!$W$26:$W$33, "&gt;="&amp;U1,'Expenditure Breakdown'!$W$26:$W$33, "&lt;"&amp;V1)+SUMIFS('Expenditure Breakdown'!$R$44:$R$51, 'Expenditure Breakdown'!$W$44:$W$51, "&gt;="&amp;U1,'Expenditure Breakdown'!$W$44:$W$51, "&lt;"&amp;V1)+SUMIFS('Expenditure Breakdown'!$R$78:$R$85, 'Expenditure Breakdown'!$W$78:$W$85, "&gt;="&amp;U1,'Expenditure Breakdown'!$W$78:$W$85, "&lt;"&amp;V1)</f>
        <v>0</v>
      </c>
      <c r="V20" s="638">
        <f>SUMIFS('Expenditure Breakdown'!$R$26:$R$33, 'Expenditure Breakdown'!$W$26:$W$33, "&gt;="&amp;V1,'Expenditure Breakdown'!$W$26:$W$33, "&lt;"&amp;W1)+SUMIFS('Expenditure Breakdown'!$R$44:$R$51, 'Expenditure Breakdown'!$W$44:$W$51, "&gt;="&amp;V1,'Expenditure Breakdown'!$W$44:$W$51, "&lt;"&amp;W1)+SUMIFS('Expenditure Breakdown'!$R$78:$R$85, 'Expenditure Breakdown'!$W$78:$W$85, "&gt;="&amp;V1,'Expenditure Breakdown'!$W$78:$W$85, "&lt;"&amp;W1)</f>
        <v>0</v>
      </c>
      <c r="W20" s="638">
        <f>SUMIFS('Expenditure Breakdown'!$R$26:$R$33, 'Expenditure Breakdown'!$W$26:$W$33, "&gt;="&amp;W1,'Expenditure Breakdown'!$W$26:$W$33, "&lt;"&amp;X1)+SUMIFS('Expenditure Breakdown'!$R$44:$R$51, 'Expenditure Breakdown'!$W$44:$W$51, "&gt;="&amp;W1,'Expenditure Breakdown'!$W$44:$W$51, "&lt;"&amp;X1)+SUMIFS('Expenditure Breakdown'!$R$78:$R$85, 'Expenditure Breakdown'!$W$78:$W$85, "&gt;="&amp;W1,'Expenditure Breakdown'!$W$78:$W$85, "&lt;"&amp;X1)</f>
        <v>0</v>
      </c>
      <c r="X20" s="638">
        <f>SUMIFS('Expenditure Breakdown'!$R$26:$R$33, 'Expenditure Breakdown'!$W$26:$W$33, "&gt;="&amp;X1,'Expenditure Breakdown'!$W$26:$W$33, "&lt;"&amp;Y1)+SUMIFS('Expenditure Breakdown'!$R$44:$R$51, 'Expenditure Breakdown'!$W$44:$W$51, "&gt;="&amp;X1,'Expenditure Breakdown'!$W$44:$W$51, "&lt;"&amp;Y1)+SUMIFS('Expenditure Breakdown'!$R$78:$R$85, 'Expenditure Breakdown'!$W$78:$W$85, "&gt;="&amp;X1,'Expenditure Breakdown'!$W$78:$W$85, "&lt;"&amp;Y1)</f>
        <v>0</v>
      </c>
      <c r="Y20" s="638">
        <f>SUMIFS('Expenditure Breakdown'!$R$26:$R$33, 'Expenditure Breakdown'!$W$26:$W$33, "&gt;="&amp;Y1,'Expenditure Breakdown'!$W$26:$W$33, "&lt;"&amp;Z1)+SUMIFS('Expenditure Breakdown'!$R$44:$R$51, 'Expenditure Breakdown'!$W$44:$W$51, "&gt;="&amp;Y1,'Expenditure Breakdown'!$W$44:$W$51, "&lt;"&amp;Z1)+SUMIFS('Expenditure Breakdown'!$R$78:$R$85, 'Expenditure Breakdown'!$W$78:$W$85, "&gt;="&amp;Y1,'Expenditure Breakdown'!$W$78:$W$85, "&lt;"&amp;Z1)</f>
        <v>0</v>
      </c>
      <c r="Z20" s="638">
        <f>SUMIFS('Expenditure Breakdown'!$R$26:$R$33, 'Expenditure Breakdown'!$W$26:$W$33, "&gt;="&amp;Z1,'Expenditure Breakdown'!$W$26:$W$33, "&lt;"&amp;AA1)+SUMIFS('Expenditure Breakdown'!$R$44:$R$51, 'Expenditure Breakdown'!$W$44:$W$51, "&gt;="&amp;Z1,'Expenditure Breakdown'!$W$44:$W$51, "&lt;"&amp;AA1)+SUMIFS('Expenditure Breakdown'!$R$78:$R$85, 'Expenditure Breakdown'!$W$78:$W$85, "&gt;="&amp;Z1,'Expenditure Breakdown'!$W$78:$W$85, "&lt;"&amp;AA1)</f>
        <v>0</v>
      </c>
      <c r="AA20" s="638">
        <f>SUMIFS('Expenditure Breakdown'!$R$26:$R$33, 'Expenditure Breakdown'!$W$26:$W$33, "&gt;="&amp;AA1,'Expenditure Breakdown'!$W$26:$W$33, "&lt;"&amp;AB1)+SUMIFS('Expenditure Breakdown'!$R$44:$R$51, 'Expenditure Breakdown'!$W$44:$W$51, "&gt;="&amp;AA1,'Expenditure Breakdown'!$W$44:$W$51, "&lt;"&amp;AB1)+SUMIFS('Expenditure Breakdown'!$R$78:$R$85, 'Expenditure Breakdown'!$W$78:$W$85, "&gt;="&amp;AA1,'Expenditure Breakdown'!$W$78:$W$85, "&lt;"&amp;AB1)</f>
        <v>0</v>
      </c>
      <c r="AB20" s="638">
        <f>SUMIFS('Expenditure Breakdown'!$R$26:$R$33, 'Expenditure Breakdown'!$W$26:$W$33, "&gt;="&amp;AB1,'Expenditure Breakdown'!$W$26:$W$33, "&lt;"&amp;AC1)+SUMIFS('Expenditure Breakdown'!$R$44:$R$51, 'Expenditure Breakdown'!$W$44:$W$51, "&gt;="&amp;AB1,'Expenditure Breakdown'!$W$44:$W$51, "&lt;"&amp;AC1)+SUMIFS('Expenditure Breakdown'!$R$78:$R$85, 'Expenditure Breakdown'!$W$78:$W$85, "&gt;="&amp;AB1,'Expenditure Breakdown'!$W$78:$W$85, "&lt;"&amp;AC1)</f>
        <v>0</v>
      </c>
      <c r="AC20" s="638">
        <f>SUMIFS('Expenditure Breakdown'!$R$26:$R$33, 'Expenditure Breakdown'!$W$26:$W$33, "&gt;="&amp;AC1,'Expenditure Breakdown'!$W$26:$W$33, "&lt;"&amp;AD1)+SUMIFS('Expenditure Breakdown'!$R$44:$R$51, 'Expenditure Breakdown'!$W$44:$W$51, "&gt;="&amp;AC1,'Expenditure Breakdown'!$W$44:$W$51, "&lt;"&amp;AD1)+SUMIFS('Expenditure Breakdown'!$R$78:$R$85, 'Expenditure Breakdown'!$W$78:$W$85, "&gt;="&amp;AC1,'Expenditure Breakdown'!$W$78:$W$85, "&lt;"&amp;AD1)</f>
        <v>0</v>
      </c>
      <c r="AD20" s="638">
        <f>SUMIFS('Expenditure Breakdown'!$R$26:$R$33, 'Expenditure Breakdown'!$W$26:$W$33, "&gt;="&amp;AD1,'Expenditure Breakdown'!$W$26:$W$33, "&lt;"&amp;AE1)+SUMIFS('Expenditure Breakdown'!$R$44:$R$51, 'Expenditure Breakdown'!$W$44:$W$51, "&gt;="&amp;AD1,'Expenditure Breakdown'!$W$44:$W$51, "&lt;"&amp;AE1)+SUMIFS('Expenditure Breakdown'!$R$78:$R$85, 'Expenditure Breakdown'!$W$78:$W$85, "&gt;="&amp;AD1,'Expenditure Breakdown'!$W$78:$W$85, "&lt;"&amp;AE1)</f>
        <v>872428.34250000003</v>
      </c>
      <c r="AE20" s="638">
        <f>SUMIFS('Expenditure Breakdown'!$R$26:$R$33, 'Expenditure Breakdown'!$W$26:$W$33, "&gt;="&amp;AE1,'Expenditure Breakdown'!$W$26:$W$33, "&lt;"&amp;AF1)+SUMIFS('Expenditure Breakdown'!$R$44:$R$51, 'Expenditure Breakdown'!$W$44:$W$51, "&gt;="&amp;AE1,'Expenditure Breakdown'!$W$44:$W$51, "&lt;"&amp;AF1)+SUMIFS('Expenditure Breakdown'!$R$78:$R$85, 'Expenditure Breakdown'!$W$78:$W$85, "&gt;="&amp;AE1,'Expenditure Breakdown'!$W$78:$W$85, "&lt;"&amp;AF1)</f>
        <v>0</v>
      </c>
      <c r="AF20" s="638">
        <f>SUMIFS('Expenditure Breakdown'!$R$26:$R$33, 'Expenditure Breakdown'!$W$26:$W$33, "&gt;="&amp;AF1,'Expenditure Breakdown'!$W$26:$W$33, "&lt;"&amp;AG1)+SUMIFS('Expenditure Breakdown'!$R$44:$R$51, 'Expenditure Breakdown'!$W$44:$W$51, "&gt;="&amp;AF1,'Expenditure Breakdown'!$W$44:$W$51, "&lt;"&amp;AG1)+SUMIFS('Expenditure Breakdown'!$R$78:$R$85, 'Expenditure Breakdown'!$W$78:$W$85, "&gt;="&amp;AF1,'Expenditure Breakdown'!$W$78:$W$85, "&lt;"&amp;AG1)</f>
        <v>193872.965</v>
      </c>
      <c r="AG20" s="638">
        <f>SUMIFS('Expenditure Breakdown'!$R$26:$R$33, 'Expenditure Breakdown'!$W$26:$W$33, "&gt;="&amp;AG1,'Expenditure Breakdown'!$W$26:$W$33, "&lt;"&amp;AH1)+SUMIFS('Expenditure Breakdown'!$R$44:$R$51, 'Expenditure Breakdown'!$W$44:$W$51, "&gt;="&amp;AG1,'Expenditure Breakdown'!$W$44:$W$51, "&lt;"&amp;AH1)+SUMIFS('Expenditure Breakdown'!$R$78:$R$85, 'Expenditure Breakdown'!$W$78:$W$85, "&gt;="&amp;AG1,'Expenditure Breakdown'!$W$78:$W$85, "&lt;"&amp;AH1)</f>
        <v>96936.482499999998</v>
      </c>
      <c r="AH20" s="638">
        <f>SUMIFS('Expenditure Breakdown'!$R$26:$R$33, 'Expenditure Breakdown'!$W$26:$W$33, "&gt;="&amp;AH1,'Expenditure Breakdown'!$W$26:$W$33, "&lt;"&amp;AI1)+SUMIFS('Expenditure Breakdown'!$R$44:$R$51, 'Expenditure Breakdown'!$W$44:$W$51, "&gt;="&amp;AH1,'Expenditure Breakdown'!$W$44:$W$51, "&lt;"&amp;AI1)+SUMIFS('Expenditure Breakdown'!$R$78:$R$85, 'Expenditure Breakdown'!$W$78:$W$85, "&gt;="&amp;AH1,'Expenditure Breakdown'!$W$78:$W$85, "&lt;"&amp;AI1)</f>
        <v>0</v>
      </c>
      <c r="AI20" s="638">
        <f>SUMIFS('Expenditure Breakdown'!$R$26:$R$33, 'Expenditure Breakdown'!$W$26:$W$33, "&gt;="&amp;AI1,'Expenditure Breakdown'!$W$26:$W$33, "&lt;"&amp;AJ1)+SUMIFS('Expenditure Breakdown'!$R$44:$R$51, 'Expenditure Breakdown'!$W$44:$W$51, "&gt;="&amp;AI1,'Expenditure Breakdown'!$W$44:$W$51, "&lt;"&amp;AJ1)+SUMIFS('Expenditure Breakdown'!$R$78:$R$85, 'Expenditure Breakdown'!$W$78:$W$85, "&gt;="&amp;AI1,'Expenditure Breakdown'!$W$78:$W$85, "&lt;"&amp;AJ1)</f>
        <v>0</v>
      </c>
      <c r="AJ20" s="638">
        <f>SUMIFS('Expenditure Breakdown'!$R$26:$R$33, 'Expenditure Breakdown'!$W$26:$W$33, "&gt;="&amp;AJ1,'Expenditure Breakdown'!$W$26:$W$33, "&lt;"&amp;AK1)+SUMIFS('Expenditure Breakdown'!$R$44:$R$51, 'Expenditure Breakdown'!$W$44:$W$51, "&gt;="&amp;AJ1,'Expenditure Breakdown'!$W$44:$W$51, "&lt;"&amp;AK1)+SUMIFS('Expenditure Breakdown'!$R$78:$R$85, 'Expenditure Breakdown'!$W$78:$W$85, "&gt;="&amp;AJ1,'Expenditure Breakdown'!$W$78:$W$85, "&lt;"&amp;AK1)</f>
        <v>0</v>
      </c>
      <c r="AK20" s="638">
        <f>SUMIFS('Expenditure Breakdown'!$R$26:$R$33, 'Expenditure Breakdown'!$W$26:$W$33, "&gt;="&amp;AK1,'Expenditure Breakdown'!$W$26:$W$33, "&lt;"&amp;AL1)+SUMIFS('Expenditure Breakdown'!$R$44:$R$51, 'Expenditure Breakdown'!$W$44:$W$51, "&gt;="&amp;AK1,'Expenditure Breakdown'!$W$44:$W$51, "&lt;"&amp;AL1)+SUMIFS('Expenditure Breakdown'!$R$78:$R$85, 'Expenditure Breakdown'!$W$78:$W$85, "&gt;="&amp;AK1,'Expenditure Breakdown'!$W$78:$W$85, "&lt;"&amp;AL1)</f>
        <v>193872.965</v>
      </c>
      <c r="AL20" s="638">
        <f>SUMIFS('Expenditure Breakdown'!$R$26:$R$33, 'Expenditure Breakdown'!$W$26:$W$33, "&gt;="&amp;AL1,'Expenditure Breakdown'!$W$26:$W$33, "&lt;"&amp;AM1)+SUMIFS('Expenditure Breakdown'!$R$44:$R$51, 'Expenditure Breakdown'!$W$44:$W$51, "&gt;="&amp;AL1,'Expenditure Breakdown'!$W$44:$W$51, "&lt;"&amp;AM1)+SUMIFS('Expenditure Breakdown'!$R$78:$R$85, 'Expenditure Breakdown'!$W$78:$W$85, "&gt;="&amp;AL1,'Expenditure Breakdown'!$W$78:$W$85, "&lt;"&amp;AM1)</f>
        <v>0</v>
      </c>
      <c r="AM20" s="638">
        <f>SUMIFS('Expenditure Breakdown'!$R$26:$R$33, 'Expenditure Breakdown'!$W$26:$W$33, "&gt;="&amp;AM1,'Expenditure Breakdown'!$W$26:$W$33, "&lt;"&amp;AN1)+SUMIFS('Expenditure Breakdown'!$R$44:$R$51, 'Expenditure Breakdown'!$W$44:$W$51, "&gt;="&amp;AM1,'Expenditure Breakdown'!$W$44:$W$51, "&lt;"&amp;AN1)+SUMIFS('Expenditure Breakdown'!$R$78:$R$85, 'Expenditure Breakdown'!$W$78:$W$85, "&gt;="&amp;AM1,'Expenditure Breakdown'!$W$78:$W$85, "&lt;"&amp;AN1)</f>
        <v>0</v>
      </c>
      <c r="AN20" s="638">
        <f>SUMIFS('Expenditure Breakdown'!$R$26:$R$33, 'Expenditure Breakdown'!$W$26:$W$33, "&gt;="&amp;AN1,'Expenditure Breakdown'!$W$26:$W$33, "&lt;"&amp;AO1)+SUMIFS('Expenditure Breakdown'!$R$44:$R$51, 'Expenditure Breakdown'!$W$44:$W$51, "&gt;="&amp;AN1,'Expenditure Breakdown'!$W$44:$W$51, "&lt;"&amp;AO1)+SUMIFS('Expenditure Breakdown'!$R$78:$R$85, 'Expenditure Breakdown'!$W$78:$W$85, "&gt;="&amp;AN1,'Expenditure Breakdown'!$W$78:$W$85, "&lt;"&amp;AO1)</f>
        <v>0</v>
      </c>
      <c r="AO20" s="638">
        <f>SUMIFS('Expenditure Breakdown'!$R$26:$R$33, 'Expenditure Breakdown'!$W$26:$W$33, "&gt;="&amp;AO1,'Expenditure Breakdown'!$W$26:$W$33, "&lt;"&amp;AP1)+SUMIFS('Expenditure Breakdown'!$R$44:$R$51, 'Expenditure Breakdown'!$W$44:$W$51, "&gt;="&amp;AO1,'Expenditure Breakdown'!$W$44:$W$51, "&lt;"&amp;AP1)+SUMIFS('Expenditure Breakdown'!$R$78:$R$85, 'Expenditure Breakdown'!$W$78:$W$85, "&gt;="&amp;AO1,'Expenditure Breakdown'!$W$78:$W$85, "&lt;"&amp;AP1)</f>
        <v>0</v>
      </c>
      <c r="AP20" s="638">
        <f>SUMIFS('Expenditure Breakdown'!$R$26:$R$33, 'Expenditure Breakdown'!$W$26:$W$33, "&gt;="&amp;AP1,'Expenditure Breakdown'!$W$26:$W$33, "&lt;"&amp;AQ1)+SUMIFS('Expenditure Breakdown'!$R$44:$R$51, 'Expenditure Breakdown'!$W$44:$W$51, "&gt;="&amp;AP1,'Expenditure Breakdown'!$W$44:$W$51, "&lt;"&amp;AQ1)+SUMIFS('Expenditure Breakdown'!$R$78:$R$85, 'Expenditure Breakdown'!$W$78:$W$85, "&gt;="&amp;AP1,'Expenditure Breakdown'!$W$78:$W$85, "&lt;"&amp;AQ1)</f>
        <v>0</v>
      </c>
      <c r="AQ20" s="638">
        <f>SUMIFS('Expenditure Breakdown'!$R$26:$R$33, 'Expenditure Breakdown'!$W$26:$W$33, "&gt;="&amp;AQ1,'Expenditure Breakdown'!$W$26:$W$33, "&lt;"&amp;AR1)+SUMIFS('Expenditure Breakdown'!$R$44:$R$51, 'Expenditure Breakdown'!$W$44:$W$51, "&gt;="&amp;AQ1,'Expenditure Breakdown'!$W$44:$W$51, "&lt;"&amp;AR1)+SUMIFS('Expenditure Breakdown'!$R$78:$R$85, 'Expenditure Breakdown'!$W$78:$W$85, "&gt;="&amp;AQ1,'Expenditure Breakdown'!$W$78:$W$85, "&lt;"&amp;AR1)</f>
        <v>0</v>
      </c>
      <c r="AR20" s="638">
        <f>SUMIFS('Expenditure Breakdown'!$R$26:$R$33, 'Expenditure Breakdown'!$W$26:$W$33, "&gt;="&amp;AR1,'Expenditure Breakdown'!$W$26:$W$33, "&lt;"&amp;AS1)+SUMIFS('Expenditure Breakdown'!$R$44:$R$51, 'Expenditure Breakdown'!$W$44:$W$51, "&gt;="&amp;AR1,'Expenditure Breakdown'!$W$44:$W$51, "&lt;"&amp;AS1)+SUMIFS('Expenditure Breakdown'!$R$78:$R$85, 'Expenditure Breakdown'!$W$78:$W$85, "&gt;="&amp;AR1,'Expenditure Breakdown'!$W$78:$W$85, "&lt;"&amp;AS1)</f>
        <v>96936.482499999998</v>
      </c>
      <c r="AS20" s="638">
        <f>SUMIFS('Expenditure Breakdown'!$R$26:$R$33, 'Expenditure Breakdown'!$W$26:$W$33, "&gt;="&amp;AS1,'Expenditure Breakdown'!$W$26:$W$33, "&lt;"&amp;AT1)+SUMIFS('Expenditure Breakdown'!$R$44:$R$51, 'Expenditure Breakdown'!$W$44:$W$51, "&gt;="&amp;AS1,'Expenditure Breakdown'!$W$44:$W$51, "&lt;"&amp;AT1)+SUMIFS('Expenditure Breakdown'!$R$78:$R$85, 'Expenditure Breakdown'!$W$78:$W$85, "&gt;="&amp;AS1,'Expenditure Breakdown'!$W$78:$W$85, "&lt;"&amp;AT1)</f>
        <v>0</v>
      </c>
      <c r="AT20" s="638">
        <f>SUMIFS('Expenditure Breakdown'!$R$26:$R$33, 'Expenditure Breakdown'!$W$26:$W$33, "&gt;="&amp;AT1,'Expenditure Breakdown'!$W$26:$W$33, "&lt;"&amp;AU1)+SUMIFS('Expenditure Breakdown'!$R$44:$R$51, 'Expenditure Breakdown'!$W$44:$W$51, "&gt;="&amp;AT1,'Expenditure Breakdown'!$W$44:$W$51, "&lt;"&amp;AU1)+SUMIFS('Expenditure Breakdown'!$R$78:$R$85, 'Expenditure Breakdown'!$W$78:$W$85, "&gt;="&amp;AT1,'Expenditure Breakdown'!$W$78:$W$85, "&lt;"&amp;AU1)</f>
        <v>0</v>
      </c>
      <c r="AU20" s="638">
        <f>SUMIFS('Expenditure Breakdown'!$R$26:$R$33, 'Expenditure Breakdown'!$W$26:$W$33, "&gt;="&amp;AU1,'Expenditure Breakdown'!$W$26:$W$33, "&lt;"&amp;AV1)+SUMIFS('Expenditure Breakdown'!$R$44:$R$51, 'Expenditure Breakdown'!$W$44:$W$51, "&gt;="&amp;AU1,'Expenditure Breakdown'!$W$44:$W$51, "&lt;"&amp;AV1)+SUMIFS('Expenditure Breakdown'!$R$78:$R$85, 'Expenditure Breakdown'!$W$78:$W$85, "&gt;="&amp;AU1,'Expenditure Breakdown'!$W$78:$W$85, "&lt;"&amp;AV1)</f>
        <v>0</v>
      </c>
      <c r="AV20" s="638">
        <f>SUMIFS('Expenditure Breakdown'!$R$26:$R$33, 'Expenditure Breakdown'!$W$26:$W$33, "&gt;="&amp;AV1,'Expenditure Breakdown'!$W$26:$W$33, "&lt;"&amp;AW1)+SUMIFS('Expenditure Breakdown'!$R$44:$R$51, 'Expenditure Breakdown'!$W$44:$W$51, "&gt;="&amp;AV1,'Expenditure Breakdown'!$W$44:$W$51, "&lt;"&amp;AW1)+SUMIFS('Expenditure Breakdown'!$R$78:$R$85, 'Expenditure Breakdown'!$W$78:$W$85, "&gt;="&amp;AV1,'Expenditure Breakdown'!$W$78:$W$85, "&lt;"&amp;AW1)</f>
        <v>0</v>
      </c>
      <c r="AW20" s="638">
        <f>SUMIFS('Expenditure Breakdown'!$R$26:$R$33, 'Expenditure Breakdown'!$W$26:$W$33, "&gt;="&amp;AW1,'Expenditure Breakdown'!$W$26:$W$33, "&lt;"&amp;AX1)+SUMIFS('Expenditure Breakdown'!$R$44:$R$51, 'Expenditure Breakdown'!$W$44:$W$51, "&gt;="&amp;AW1,'Expenditure Breakdown'!$W$44:$W$51, "&lt;"&amp;AX1)+SUMIFS('Expenditure Breakdown'!$R$78:$R$85, 'Expenditure Breakdown'!$W$78:$W$85, "&gt;="&amp;AW1,'Expenditure Breakdown'!$W$78:$W$85, "&lt;"&amp;AX1)</f>
        <v>0</v>
      </c>
      <c r="AX20" s="638">
        <f>SUMIFS('Expenditure Breakdown'!$R$26:$R$33, 'Expenditure Breakdown'!$W$26:$W$33, "&gt;="&amp;AX1,'Expenditure Breakdown'!$W$26:$W$33, "&lt;"&amp;AY1)+SUMIFS('Expenditure Breakdown'!$R$44:$R$51, 'Expenditure Breakdown'!$W$44:$W$51, "&gt;="&amp;AX1,'Expenditure Breakdown'!$W$44:$W$51, "&lt;"&amp;AY1)+SUMIFS('Expenditure Breakdown'!$R$78:$R$85, 'Expenditure Breakdown'!$W$78:$W$85, "&gt;="&amp;AX1,'Expenditure Breakdown'!$W$78:$W$85, "&lt;"&amp;AY1)</f>
        <v>0</v>
      </c>
      <c r="AY20" s="638">
        <f>SUMIFS('Expenditure Breakdown'!$R$26:$R$33, 'Expenditure Breakdown'!$W$26:$W$33, "&gt;="&amp;AY1,'Expenditure Breakdown'!$W$26:$W$33, "&lt;"&amp;AZ1)+SUMIFS('Expenditure Breakdown'!$R$44:$R$51, 'Expenditure Breakdown'!$W$44:$W$51, "&gt;="&amp;AY1,'Expenditure Breakdown'!$W$44:$W$51, "&lt;"&amp;AZ1)+SUMIFS('Expenditure Breakdown'!$R$78:$R$85, 'Expenditure Breakdown'!$W$78:$W$85, "&gt;="&amp;AY1,'Expenditure Breakdown'!$W$78:$W$85, "&lt;"&amp;AZ1)</f>
        <v>0</v>
      </c>
      <c r="AZ20" s="638">
        <f>SUMIFS('Expenditure Breakdown'!$R$26:$R$33, 'Expenditure Breakdown'!$W$26:$W$33, "&gt;="&amp;AZ1,'Expenditure Breakdown'!$W$26:$W$33, "&lt;"&amp;BA1)+SUMIFS('Expenditure Breakdown'!$R$44:$R$51, 'Expenditure Breakdown'!$W$44:$W$51, "&gt;="&amp;AZ1,'Expenditure Breakdown'!$W$44:$W$51, "&lt;"&amp;BA1)+SUMIFS('Expenditure Breakdown'!$R$78:$R$85, 'Expenditure Breakdown'!$W$78:$W$85, "&gt;="&amp;AZ1,'Expenditure Breakdown'!$W$78:$W$85, "&lt;"&amp;BA1)</f>
        <v>0</v>
      </c>
      <c r="BA20" s="638">
        <f>SUMIFS('Expenditure Breakdown'!$R$26:$R$33, 'Expenditure Breakdown'!$W$26:$W$33, "&gt;="&amp;BA1,'Expenditure Breakdown'!$W$26:$W$33, "&lt;"&amp;BB1)+SUMIFS('Expenditure Breakdown'!$R$44:$R$51, 'Expenditure Breakdown'!$W$44:$W$51, "&gt;="&amp;BA1,'Expenditure Breakdown'!$W$44:$W$51, "&lt;"&amp;BB1)+SUMIFS('Expenditure Breakdown'!$R$78:$R$85, 'Expenditure Breakdown'!$W$78:$W$85, "&gt;="&amp;BA1,'Expenditure Breakdown'!$W$78:$W$85, "&lt;"&amp;BB1)</f>
        <v>0</v>
      </c>
      <c r="BB20" s="638">
        <f>SUMIFS('Expenditure Breakdown'!$R$26:$R$33, 'Expenditure Breakdown'!$W$26:$W$33, "&gt;="&amp;BB1,'Expenditure Breakdown'!$W$26:$W$33, "&lt;"&amp;BC1)+SUMIFS('Expenditure Breakdown'!$R$44:$R$51, 'Expenditure Breakdown'!$W$44:$W$51, "&gt;="&amp;BB1,'Expenditure Breakdown'!$W$44:$W$51, "&lt;"&amp;BC1)+SUMIFS('Expenditure Breakdown'!$R$78:$R$85, 'Expenditure Breakdown'!$W$78:$W$85, "&gt;="&amp;BB1,'Expenditure Breakdown'!$W$78:$W$85, "&lt;"&amp;BC1)</f>
        <v>0</v>
      </c>
      <c r="BC20" s="638">
        <f>SUMIFS('Expenditure Breakdown'!$R$26:$R$33, 'Expenditure Breakdown'!$W$26:$W$33, "&gt;="&amp;BC1,'Expenditure Breakdown'!$W$26:$W$33, "&lt;"&amp;BD1)+SUMIFS('Expenditure Breakdown'!$R$44:$R$51, 'Expenditure Breakdown'!$W$44:$W$51, "&gt;="&amp;BC1,'Expenditure Breakdown'!$W$44:$W$51, "&lt;"&amp;BD1)+SUMIFS('Expenditure Breakdown'!$R$78:$R$85, 'Expenditure Breakdown'!$W$78:$W$85, "&gt;="&amp;BC1,'Expenditure Breakdown'!$W$78:$W$85, "&lt;"&amp;BD1)</f>
        <v>0</v>
      </c>
      <c r="BD20" s="638">
        <f>SUMIFS('Expenditure Breakdown'!$R$26:$R$33, 'Expenditure Breakdown'!$W$26:$W$33, "&gt;="&amp;BD1,'Expenditure Breakdown'!$W$26:$W$33, "&lt;"&amp;BE1)+SUMIFS('Expenditure Breakdown'!$R$44:$R$51, 'Expenditure Breakdown'!$W$44:$W$51, "&gt;="&amp;BD1,'Expenditure Breakdown'!$W$44:$W$51, "&lt;"&amp;BE1)+SUMIFS('Expenditure Breakdown'!$R$78:$R$85, 'Expenditure Breakdown'!$W$78:$W$85, "&gt;="&amp;BD1,'Expenditure Breakdown'!$W$78:$W$85, "&lt;"&amp;BE1)</f>
        <v>0</v>
      </c>
      <c r="BE20" s="638">
        <f>SUMIFS('Expenditure Breakdown'!$R$26:$R$33, 'Expenditure Breakdown'!$W$26:$W$33, "&gt;="&amp;BE1,'Expenditure Breakdown'!$W$26:$W$33, "&lt;"&amp;BF1)+SUMIFS('Expenditure Breakdown'!$R$44:$R$51, 'Expenditure Breakdown'!$W$44:$W$51, "&gt;="&amp;BE1,'Expenditure Breakdown'!$W$44:$W$51, "&lt;"&amp;BF1)+SUMIFS('Expenditure Breakdown'!$R$78:$R$85, 'Expenditure Breakdown'!$W$78:$W$85, "&gt;="&amp;BE1,'Expenditure Breakdown'!$W$78:$W$85, "&lt;"&amp;BF1)</f>
        <v>0</v>
      </c>
      <c r="BF20" s="638">
        <f>SUMIFS('Expenditure Breakdown'!$R$26:$R$33, 'Expenditure Breakdown'!$W$26:$W$33, "&gt;="&amp;BF1,'Expenditure Breakdown'!$W$26:$W$33, "&lt;"&amp;BG1)+SUMIFS('Expenditure Breakdown'!$R$44:$R$51, 'Expenditure Breakdown'!$W$44:$W$51, "&gt;="&amp;BF1,'Expenditure Breakdown'!$W$44:$W$51, "&lt;"&amp;BG1)+SUMIFS('Expenditure Breakdown'!$R$78:$R$85, 'Expenditure Breakdown'!$W$78:$W$85, "&gt;="&amp;BF1,'Expenditure Breakdown'!$W$78:$W$85, "&lt;"&amp;BG1)</f>
        <v>0</v>
      </c>
      <c r="BG20" s="638">
        <f>SUMIFS('Expenditure Breakdown'!$R$26:$R$33, 'Expenditure Breakdown'!$W$26:$W$33, "&gt;="&amp;BG1,'Expenditure Breakdown'!$W$26:$W$33, "&lt;"&amp;BH1)+SUMIFS('Expenditure Breakdown'!$R$44:$R$51, 'Expenditure Breakdown'!$W$44:$W$51, "&gt;="&amp;BG1,'Expenditure Breakdown'!$W$44:$W$51, "&lt;"&amp;BH1)+SUMIFS('Expenditure Breakdown'!$R$78:$R$85, 'Expenditure Breakdown'!$W$78:$W$85, "&gt;="&amp;BG1,'Expenditure Breakdown'!$W$78:$W$85, "&lt;"&amp;BH1)</f>
        <v>0</v>
      </c>
      <c r="BH20" s="638">
        <f>SUMIFS('Expenditure Breakdown'!$R$26:$R$33, 'Expenditure Breakdown'!$W$26:$W$33, "&gt;="&amp;BH1,'Expenditure Breakdown'!$W$26:$W$33, "&lt;"&amp;BI1)+SUMIFS('Expenditure Breakdown'!$R$44:$R$51, 'Expenditure Breakdown'!$W$44:$W$51, "&gt;="&amp;BH1,'Expenditure Breakdown'!$W$44:$W$51, "&lt;"&amp;BI1)+SUMIFS('Expenditure Breakdown'!$R$78:$R$85, 'Expenditure Breakdown'!$W$78:$W$85, "&gt;="&amp;BH1,'Expenditure Breakdown'!$W$78:$W$85, "&lt;"&amp;BI1)</f>
        <v>0</v>
      </c>
      <c r="BI20" s="638">
        <f>SUMIFS('Expenditure Breakdown'!$R$26:$R$33, 'Expenditure Breakdown'!$W$26:$W$33, "&gt;="&amp;BI1,'Expenditure Breakdown'!$W$26:$W$33, "&lt;"&amp;BJ1)+SUMIFS('Expenditure Breakdown'!$R$44:$R$51, 'Expenditure Breakdown'!$W$44:$W$51, "&gt;="&amp;BI1,'Expenditure Breakdown'!$W$44:$W$51, "&lt;"&amp;BJ1)+SUMIFS('Expenditure Breakdown'!$R$78:$R$85, 'Expenditure Breakdown'!$W$78:$W$85, "&gt;="&amp;BI1,'Expenditure Breakdown'!$W$78:$W$85, "&lt;"&amp;BJ1)</f>
        <v>0</v>
      </c>
      <c r="BJ20" s="638">
        <f>SUMIFS('Expenditure Breakdown'!$R$26:$R$33, 'Expenditure Breakdown'!$W$26:$W$33, "&gt;="&amp;BJ1,'Expenditure Breakdown'!$W$26:$W$33, "&lt;"&amp;BK1)+SUMIFS('Expenditure Breakdown'!$R$44:$R$51, 'Expenditure Breakdown'!$W$44:$W$51, "&gt;="&amp;BJ1,'Expenditure Breakdown'!$W$44:$W$51, "&lt;"&amp;BK1)+SUMIFS('Expenditure Breakdown'!$R$78:$R$85, 'Expenditure Breakdown'!$W$78:$W$85, "&gt;="&amp;BJ1,'Expenditure Breakdown'!$W$78:$W$85, "&lt;"&amp;BK1)</f>
        <v>0</v>
      </c>
      <c r="BK20" s="638">
        <f>SUMIFS('Expenditure Breakdown'!$R$26:$R$33, 'Expenditure Breakdown'!$W$26:$W$33, "&gt;="&amp;BK1,'Expenditure Breakdown'!$W$26:$W$33, "&lt;"&amp;BL1)+SUMIFS('Expenditure Breakdown'!$R$44:$R$51, 'Expenditure Breakdown'!$W$44:$W$51, "&gt;="&amp;BK1,'Expenditure Breakdown'!$W$44:$W$51, "&lt;"&amp;BL1)+SUMIFS('Expenditure Breakdown'!$R$78:$R$85, 'Expenditure Breakdown'!$W$78:$W$85, "&gt;="&amp;BK1,'Expenditure Breakdown'!$W$78:$W$85, "&lt;"&amp;BL1)</f>
        <v>0</v>
      </c>
      <c r="BL20" s="638">
        <f>SUMIFS('Expenditure Breakdown'!$R$26:$R$33, 'Expenditure Breakdown'!$W$26:$W$33, "&gt;="&amp;BL1,'Expenditure Breakdown'!$W$26:$W$33, "&lt;"&amp;BM1)+SUMIFS('Expenditure Breakdown'!$R$44:$R$51, 'Expenditure Breakdown'!$W$44:$W$51, "&gt;="&amp;BL1,'Expenditure Breakdown'!$W$44:$W$51, "&lt;"&amp;BM1)+SUMIFS('Expenditure Breakdown'!$R$78:$R$85, 'Expenditure Breakdown'!$W$78:$W$85, "&gt;="&amp;BL1,'Expenditure Breakdown'!$W$78:$W$85, "&lt;"&amp;BM1)</f>
        <v>0</v>
      </c>
      <c r="BM20" s="638">
        <f>SUMIFS('Expenditure Breakdown'!$R$26:$R$33, 'Expenditure Breakdown'!$W$26:$W$33, "&gt;="&amp;BM1,'Expenditure Breakdown'!$W$26:$W$33, "&lt;"&amp;BN1)+SUMIFS('Expenditure Breakdown'!$R$44:$R$51, 'Expenditure Breakdown'!$W$44:$W$51, "&gt;="&amp;BM1,'Expenditure Breakdown'!$W$44:$W$51, "&lt;"&amp;BN1)+SUMIFS('Expenditure Breakdown'!$R$78:$R$85, 'Expenditure Breakdown'!$W$78:$W$85, "&gt;="&amp;BM1,'Expenditure Breakdown'!$W$78:$W$85, "&lt;"&amp;BN1)</f>
        <v>0</v>
      </c>
      <c r="BN20" s="638">
        <f>SUMIFS('Expenditure Breakdown'!$R$26:$R$33, 'Expenditure Breakdown'!$W$26:$W$33, "&gt;="&amp;BN1,'Expenditure Breakdown'!$W$26:$W$33, "&lt;"&amp;BO1)+SUMIFS('Expenditure Breakdown'!$R$44:$R$51, 'Expenditure Breakdown'!$W$44:$W$51, "&gt;="&amp;BN1,'Expenditure Breakdown'!$W$44:$W$51, "&lt;"&amp;BO1)+SUMIFS('Expenditure Breakdown'!$R$78:$R$85, 'Expenditure Breakdown'!$W$78:$W$85, "&gt;="&amp;BN1,'Expenditure Breakdown'!$W$78:$W$85, "&lt;"&amp;BO1)</f>
        <v>0</v>
      </c>
      <c r="BO20" s="638">
        <f>SUMIFS('Expenditure Breakdown'!$R$26:$R$33, 'Expenditure Breakdown'!$W$26:$W$33, "&gt;="&amp;BO1,'Expenditure Breakdown'!$W$26:$W$33, "&lt;"&amp;BP1)+SUMIFS('Expenditure Breakdown'!$R$44:$R$51, 'Expenditure Breakdown'!$W$44:$W$51, "&gt;="&amp;BO1,'Expenditure Breakdown'!$W$44:$W$51, "&lt;"&amp;BP1)+SUMIFS('Expenditure Breakdown'!$R$78:$R$85, 'Expenditure Breakdown'!$W$78:$W$85, "&gt;="&amp;BO1,'Expenditure Breakdown'!$W$78:$W$85, "&lt;"&amp;BP1)</f>
        <v>0</v>
      </c>
      <c r="BP20" s="638">
        <f>SUMIFS('Expenditure Breakdown'!$R$26:$R$33, 'Expenditure Breakdown'!$W$26:$W$33, "&gt;="&amp;BP1,'Expenditure Breakdown'!$W$26:$W$33, "&lt;"&amp;BQ1)+SUMIFS('Expenditure Breakdown'!$R$44:$R$51, 'Expenditure Breakdown'!$W$44:$W$51, "&gt;="&amp;BP1,'Expenditure Breakdown'!$W$44:$W$51, "&lt;"&amp;BQ1)+SUMIFS('Expenditure Breakdown'!$R$78:$R$85, 'Expenditure Breakdown'!$W$78:$W$85, "&gt;="&amp;BP1,'Expenditure Breakdown'!$W$78:$W$85, "&lt;"&amp;BQ1)</f>
        <v>0</v>
      </c>
      <c r="BQ20" s="638">
        <f>SUMIFS('Expenditure Breakdown'!$R$26:$R$33, 'Expenditure Breakdown'!$W$26:$W$33, "&gt;="&amp;BQ1,'Expenditure Breakdown'!$W$26:$W$33, "&lt;"&amp;BR1)+SUMIFS('Expenditure Breakdown'!$R$44:$R$51, 'Expenditure Breakdown'!$W$44:$W$51, "&gt;="&amp;BQ1,'Expenditure Breakdown'!$W$44:$W$51, "&lt;"&amp;BR1)+SUMIFS('Expenditure Breakdown'!$R$78:$R$85, 'Expenditure Breakdown'!$W$78:$W$85, "&gt;="&amp;BQ1,'Expenditure Breakdown'!$W$78:$W$85, "&lt;"&amp;BR1)</f>
        <v>0</v>
      </c>
      <c r="BR20" s="638">
        <f>SUMIFS('Expenditure Breakdown'!$R$26:$R$33, 'Expenditure Breakdown'!$W$26:$W$33, "&gt;="&amp;BR1,'Expenditure Breakdown'!$W$26:$W$33, "&lt;"&amp;BS1)+SUMIFS('Expenditure Breakdown'!$R$44:$R$51, 'Expenditure Breakdown'!$W$44:$W$51, "&gt;="&amp;BR1,'Expenditure Breakdown'!$W$44:$W$51, "&lt;"&amp;BS1)+SUMIFS('Expenditure Breakdown'!$R$78:$R$85, 'Expenditure Breakdown'!$W$78:$W$85, "&gt;="&amp;BR1,'Expenditure Breakdown'!$W$78:$W$85, "&lt;"&amp;BS1)</f>
        <v>0</v>
      </c>
      <c r="BS20" s="638">
        <f>SUMIFS('Expenditure Breakdown'!$R$26:$R$33, 'Expenditure Breakdown'!$W$26:$W$33, "&gt;="&amp;BS1,'Expenditure Breakdown'!$W$26:$W$33, "&lt;"&amp;BT1)+SUMIFS('Expenditure Breakdown'!$R$44:$R$51, 'Expenditure Breakdown'!$W$44:$W$51, "&gt;="&amp;BS1,'Expenditure Breakdown'!$W$44:$W$51, "&lt;"&amp;BT1)+SUMIFS('Expenditure Breakdown'!$R$78:$R$85, 'Expenditure Breakdown'!$W$78:$W$85, "&gt;="&amp;BS1,'Expenditure Breakdown'!$W$78:$W$85, "&lt;"&amp;BT1)</f>
        <v>0</v>
      </c>
      <c r="BT20" s="638">
        <f>SUMIFS('Expenditure Breakdown'!$R$26:$R$33, 'Expenditure Breakdown'!$W$26:$W$33, "&gt;="&amp;BT1,'Expenditure Breakdown'!$W$26:$W$33, "&lt;"&amp;BU1)+SUMIFS('Expenditure Breakdown'!$R$44:$R$51, 'Expenditure Breakdown'!$W$44:$W$51, "&gt;="&amp;BT1,'Expenditure Breakdown'!$W$44:$W$51, "&lt;"&amp;BU1)+SUMIFS('Expenditure Breakdown'!$R$78:$R$85, 'Expenditure Breakdown'!$W$78:$W$85, "&gt;="&amp;BT1,'Expenditure Breakdown'!$W$78:$W$85, "&lt;"&amp;BU1)</f>
        <v>0</v>
      </c>
      <c r="BU20" s="638">
        <f>SUMIFS('Expenditure Breakdown'!$R$26:$R$33, 'Expenditure Breakdown'!$W$26:$W$33, "&gt;="&amp;BU1,'Expenditure Breakdown'!$W$26:$W$33, "&lt;"&amp;BV1)+SUMIFS('Expenditure Breakdown'!$R$44:$R$51, 'Expenditure Breakdown'!$W$44:$W$51, "&gt;="&amp;BU1,'Expenditure Breakdown'!$W$44:$W$51, "&lt;"&amp;BV1)+SUMIFS('Expenditure Breakdown'!$R$78:$R$85, 'Expenditure Breakdown'!$W$78:$W$85, "&gt;="&amp;BU1,'Expenditure Breakdown'!$W$78:$W$85, "&lt;"&amp;BV1)</f>
        <v>0</v>
      </c>
      <c r="BV20" s="638">
        <f>SUMIFS('Expenditure Breakdown'!$R$26:$R$33, 'Expenditure Breakdown'!$W$26:$W$33, "&gt;="&amp;BV1,'Expenditure Breakdown'!$W$26:$W$33, "&lt;"&amp;BW1)+SUMIFS('Expenditure Breakdown'!$R$44:$R$51, 'Expenditure Breakdown'!$W$44:$W$51, "&gt;="&amp;BV1,'Expenditure Breakdown'!$W$44:$W$51, "&lt;"&amp;BW1)+SUMIFS('Expenditure Breakdown'!$R$78:$R$85, 'Expenditure Breakdown'!$W$78:$W$85, "&gt;="&amp;BV1,'Expenditure Breakdown'!$W$78:$W$85, "&lt;"&amp;BW1)</f>
        <v>0</v>
      </c>
      <c r="BW20" s="638">
        <f>SUMIFS('Expenditure Breakdown'!$R$26:$R$33, 'Expenditure Breakdown'!$W$26:$W$33, "&gt;="&amp;BW1,'Expenditure Breakdown'!$W$26:$W$33, "&lt;"&amp;BX1)+SUMIFS('Expenditure Breakdown'!$R$44:$R$51, 'Expenditure Breakdown'!$W$44:$W$51, "&gt;="&amp;BW1,'Expenditure Breakdown'!$W$44:$W$51, "&lt;"&amp;BX1)+SUMIFS('Expenditure Breakdown'!$R$78:$R$85, 'Expenditure Breakdown'!$W$78:$W$85, "&gt;="&amp;BW1,'Expenditure Breakdown'!$W$78:$W$85, "&lt;"&amp;BX1)</f>
        <v>0</v>
      </c>
      <c r="BX20" s="638">
        <f>SUMIFS('Expenditure Breakdown'!$R$26:$R$33, 'Expenditure Breakdown'!$W$26:$W$33, "&gt;="&amp;BX1,'Expenditure Breakdown'!$W$26:$W$33, "&lt;"&amp;BY1)+SUMIFS('Expenditure Breakdown'!$R$44:$R$51, 'Expenditure Breakdown'!$W$44:$W$51, "&gt;="&amp;BX1,'Expenditure Breakdown'!$W$44:$W$51, "&lt;"&amp;BY1)+SUMIFS('Expenditure Breakdown'!$R$78:$R$85, 'Expenditure Breakdown'!$W$78:$W$85, "&gt;="&amp;BX1,'Expenditure Breakdown'!$W$78:$W$85, "&lt;"&amp;BY1)</f>
        <v>0</v>
      </c>
      <c r="BY20" s="638">
        <f>SUMIFS('Expenditure Breakdown'!$R$26:$R$33, 'Expenditure Breakdown'!$W$26:$W$33, "&gt;="&amp;BY1,'Expenditure Breakdown'!$W$26:$W$33, "&lt;"&amp;BZ1)+SUMIFS('Expenditure Breakdown'!$R$44:$R$51, 'Expenditure Breakdown'!$W$44:$W$51, "&gt;="&amp;BY1,'Expenditure Breakdown'!$W$44:$W$51, "&lt;"&amp;BZ1)+SUMIFS('Expenditure Breakdown'!$R$78:$R$85, 'Expenditure Breakdown'!$W$78:$W$85, "&gt;="&amp;BY1,'Expenditure Breakdown'!$W$78:$W$85, "&lt;"&amp;BZ1)</f>
        <v>0</v>
      </c>
      <c r="BZ20" s="638">
        <f>SUMIFS('Expenditure Breakdown'!$R$26:$R$33, 'Expenditure Breakdown'!$W$26:$W$33, "&gt;="&amp;BZ1,'Expenditure Breakdown'!$W$26:$W$33, "&lt;"&amp;CA1)+SUMIFS('Expenditure Breakdown'!$R$44:$R$51, 'Expenditure Breakdown'!$W$44:$W$51, "&gt;="&amp;BZ1,'Expenditure Breakdown'!$W$44:$W$51, "&lt;"&amp;CA1)+SUMIFS('Expenditure Breakdown'!$R$78:$R$85, 'Expenditure Breakdown'!$W$78:$W$85, "&gt;="&amp;BZ1,'Expenditure Breakdown'!$W$78:$W$85, "&lt;"&amp;CA1)</f>
        <v>0</v>
      </c>
      <c r="CA20" s="638">
        <f>SUMIFS('Expenditure Breakdown'!$R$26:$R$33, 'Expenditure Breakdown'!$W$26:$W$33, "&gt;="&amp;CA1,'Expenditure Breakdown'!$W$26:$W$33, "&lt;"&amp;CB1)+SUMIFS('Expenditure Breakdown'!$R$44:$R$51, 'Expenditure Breakdown'!$W$44:$W$51, "&gt;="&amp;CA1,'Expenditure Breakdown'!$W$44:$W$51, "&lt;"&amp;CB1)+SUMIFS('Expenditure Breakdown'!$R$78:$R$85, 'Expenditure Breakdown'!$W$78:$W$85, "&gt;="&amp;CA1,'Expenditure Breakdown'!$W$78:$W$85, "&lt;"&amp;CB1)</f>
        <v>0</v>
      </c>
      <c r="CB20" s="638">
        <f>SUMIFS('Expenditure Breakdown'!$R$26:$R$33, 'Expenditure Breakdown'!$W$26:$W$33, "&gt;="&amp;CB1,'Expenditure Breakdown'!$W$26:$W$33, "&lt;"&amp;CC1)+SUMIFS('Expenditure Breakdown'!$R$44:$R$51, 'Expenditure Breakdown'!$W$44:$W$51, "&gt;="&amp;CB1,'Expenditure Breakdown'!$W$44:$W$51, "&lt;"&amp;CC1)+SUMIFS('Expenditure Breakdown'!$R$78:$R$85, 'Expenditure Breakdown'!$W$78:$W$85, "&gt;="&amp;CB1,'Expenditure Breakdown'!$W$78:$W$85, "&lt;"&amp;CC1)</f>
        <v>0</v>
      </c>
      <c r="CC20" s="638">
        <f>SUMIFS('Expenditure Breakdown'!$R$26:$R$33, 'Expenditure Breakdown'!$W$26:$W$33, "&gt;="&amp;CC1,'Expenditure Breakdown'!$W$26:$W$33, "&lt;"&amp;CD1)+SUMIFS('Expenditure Breakdown'!$R$44:$R$51, 'Expenditure Breakdown'!$W$44:$W$51, "&gt;="&amp;CC1,'Expenditure Breakdown'!$W$44:$W$51, "&lt;"&amp;CD1)+SUMIFS('Expenditure Breakdown'!$R$78:$R$85, 'Expenditure Breakdown'!$W$78:$W$85, "&gt;="&amp;CC1,'Expenditure Breakdown'!$W$78:$W$85, "&lt;"&amp;CD1)</f>
        <v>0</v>
      </c>
      <c r="CD20" s="638">
        <f>SUMIFS('Expenditure Breakdown'!$R$26:$R$33, 'Expenditure Breakdown'!$W$26:$W$33, "&gt;="&amp;CD1,'Expenditure Breakdown'!$W$26:$W$33, "&lt;"&amp;CE1)+SUMIFS('Expenditure Breakdown'!$R$44:$R$51, 'Expenditure Breakdown'!$W$44:$W$51, "&gt;="&amp;CD1,'Expenditure Breakdown'!$W$44:$W$51, "&lt;"&amp;CE1)+SUMIFS('Expenditure Breakdown'!$R$78:$R$85, 'Expenditure Breakdown'!$W$78:$W$85, "&gt;="&amp;CD1,'Expenditure Breakdown'!$W$78:$W$85, "&lt;"&amp;CE1)</f>
        <v>0</v>
      </c>
      <c r="CE20" s="638">
        <f>SUMIFS('Expenditure Breakdown'!$R$26:$R$33, 'Expenditure Breakdown'!$W$26:$W$33, "&gt;="&amp;CE1,'Expenditure Breakdown'!$W$26:$W$33, "&lt;"&amp;CF1)+SUMIFS('Expenditure Breakdown'!$R$44:$R$51, 'Expenditure Breakdown'!$W$44:$W$51, "&gt;="&amp;CE1,'Expenditure Breakdown'!$W$44:$W$51, "&lt;"&amp;CF1)+SUMIFS('Expenditure Breakdown'!$R$78:$R$85, 'Expenditure Breakdown'!$W$78:$W$85, "&gt;="&amp;CE1,'Expenditure Breakdown'!$W$78:$W$85, "&lt;"&amp;CF1)</f>
        <v>0</v>
      </c>
      <c r="CF20" s="638">
        <f>SUMIFS('Expenditure Breakdown'!$R$26:$R$33, 'Expenditure Breakdown'!$W$26:$W$33, "&gt;="&amp;CF1,'Expenditure Breakdown'!$W$26:$W$33, "&lt;"&amp;CG1)+SUMIFS('Expenditure Breakdown'!$R$44:$R$51, 'Expenditure Breakdown'!$W$44:$W$51, "&gt;="&amp;CF1,'Expenditure Breakdown'!$W$44:$W$51, "&lt;"&amp;CG1)+SUMIFS('Expenditure Breakdown'!$R$78:$R$85, 'Expenditure Breakdown'!$W$78:$W$85, "&gt;="&amp;CF1,'Expenditure Breakdown'!$W$78:$W$85, "&lt;"&amp;CG1)</f>
        <v>0</v>
      </c>
      <c r="CG20" s="638">
        <f>SUMIFS('Expenditure Breakdown'!$R$26:$R$33, 'Expenditure Breakdown'!$W$26:$W$33, "&gt;="&amp;CG1,'Expenditure Breakdown'!$W$26:$W$33, "&lt;"&amp;CH1)+SUMIFS('Expenditure Breakdown'!$R$44:$R$51, 'Expenditure Breakdown'!$W$44:$W$51, "&gt;="&amp;CG1,'Expenditure Breakdown'!$W$44:$W$51, "&lt;"&amp;CH1)+SUMIFS('Expenditure Breakdown'!$R$78:$R$85, 'Expenditure Breakdown'!$W$78:$W$85, "&gt;="&amp;CG1,'Expenditure Breakdown'!$W$78:$W$85, "&lt;"&amp;CH1)</f>
        <v>0</v>
      </c>
      <c r="CH20" s="638">
        <f>SUMIFS('Expenditure Breakdown'!$R$26:$R$33, 'Expenditure Breakdown'!$W$26:$W$33, "&gt;="&amp;CH1,'Expenditure Breakdown'!$W$26:$W$33, "&lt;"&amp;CI1)+SUMIFS('Expenditure Breakdown'!$R$44:$R$51, 'Expenditure Breakdown'!$W$44:$W$51, "&gt;="&amp;CH1,'Expenditure Breakdown'!$W$44:$W$51, "&lt;"&amp;CI1)+SUMIFS('Expenditure Breakdown'!$R$78:$R$85, 'Expenditure Breakdown'!$W$78:$W$85, "&gt;="&amp;CH1,'Expenditure Breakdown'!$W$78:$W$85, "&lt;"&amp;CI1)</f>
        <v>0</v>
      </c>
      <c r="CI20" s="638">
        <f>SUMIFS('Expenditure Breakdown'!$R$26:$R$33, 'Expenditure Breakdown'!$W$26:$W$33, "&gt;="&amp;CI1,'Expenditure Breakdown'!$W$26:$W$33, "&lt;"&amp;CJ1)+SUMIFS('Expenditure Breakdown'!$R$44:$R$51, 'Expenditure Breakdown'!$W$44:$W$51, "&gt;="&amp;CI1,'Expenditure Breakdown'!$W$44:$W$51, "&lt;"&amp;CJ1)+SUMIFS('Expenditure Breakdown'!$R$78:$R$85, 'Expenditure Breakdown'!$W$78:$W$85, "&gt;="&amp;CI1,'Expenditure Breakdown'!$W$78:$W$85, "&lt;"&amp;CJ1)</f>
        <v>0</v>
      </c>
      <c r="CJ20" s="638">
        <f>SUMIFS('Expenditure Breakdown'!$R$26:$R$33, 'Expenditure Breakdown'!$W$26:$W$33, "&gt;="&amp;CJ1,'Expenditure Breakdown'!$W$26:$W$33, "&lt;"&amp;CK1)+SUMIFS('Expenditure Breakdown'!$R$44:$R$51, 'Expenditure Breakdown'!$W$44:$W$51, "&gt;="&amp;CJ1,'Expenditure Breakdown'!$W$44:$W$51, "&lt;"&amp;CK1)+SUMIFS('Expenditure Breakdown'!$R$78:$R$85, 'Expenditure Breakdown'!$W$78:$W$85, "&gt;="&amp;CJ1,'Expenditure Breakdown'!$W$78:$W$85, "&lt;"&amp;CK1)</f>
        <v>0</v>
      </c>
      <c r="CK20" s="638">
        <f>SUMIFS('Expenditure Breakdown'!$R$26:$R$33, 'Expenditure Breakdown'!$W$26:$W$33, "&gt;="&amp;CK1,'Expenditure Breakdown'!$W$26:$W$33, "&lt;"&amp;CL1)+SUMIFS('Expenditure Breakdown'!$R$44:$R$51, 'Expenditure Breakdown'!$W$44:$W$51, "&gt;="&amp;CK1,'Expenditure Breakdown'!$W$44:$W$51, "&lt;"&amp;CL1)+SUMIFS('Expenditure Breakdown'!$R$78:$R$85, 'Expenditure Breakdown'!$W$78:$W$85, "&gt;="&amp;CK1,'Expenditure Breakdown'!$W$78:$W$85, "&lt;"&amp;CL1)</f>
        <v>0</v>
      </c>
      <c r="CL20" s="638">
        <f>SUMIFS('Expenditure Breakdown'!$R$26:$R$33, 'Expenditure Breakdown'!$W$26:$W$33, "&gt;="&amp;CL1,'Expenditure Breakdown'!$W$26:$W$33, "&lt;"&amp;CM1)+SUMIFS('Expenditure Breakdown'!$R$44:$R$51, 'Expenditure Breakdown'!$W$44:$W$51, "&gt;="&amp;CL1,'Expenditure Breakdown'!$W$44:$W$51, "&lt;"&amp;CM1)+SUMIFS('Expenditure Breakdown'!$R$78:$R$85, 'Expenditure Breakdown'!$W$78:$W$85, "&gt;="&amp;CL1,'Expenditure Breakdown'!$W$78:$W$85, "&lt;"&amp;CM1)</f>
        <v>0</v>
      </c>
      <c r="CM20" s="638">
        <f>SUMIFS('Expenditure Breakdown'!$R$26:$R$33, 'Expenditure Breakdown'!$W$26:$W$33, "&gt;="&amp;CM1,'Expenditure Breakdown'!$W$26:$W$33, "&lt;"&amp;CN1)+SUMIFS('Expenditure Breakdown'!$R$44:$R$51, 'Expenditure Breakdown'!$W$44:$W$51, "&gt;="&amp;CM1,'Expenditure Breakdown'!$W$44:$W$51, "&lt;"&amp;CN1)+SUMIFS('Expenditure Breakdown'!$R$78:$R$85, 'Expenditure Breakdown'!$W$78:$W$85, "&gt;="&amp;CM1,'Expenditure Breakdown'!$W$78:$W$85, "&lt;"&amp;CN1)</f>
        <v>0</v>
      </c>
      <c r="CN20" s="638">
        <f>SUMIFS('Expenditure Breakdown'!$R$26:$R$33, 'Expenditure Breakdown'!$W$26:$W$33, "&gt;="&amp;CN1,'Expenditure Breakdown'!$W$26:$W$33, "&lt;"&amp;CO1)+SUMIFS('Expenditure Breakdown'!$R$44:$R$51, 'Expenditure Breakdown'!$W$44:$W$51, "&gt;="&amp;CN1,'Expenditure Breakdown'!$W$44:$W$51, "&lt;"&amp;CO1)+SUMIFS('Expenditure Breakdown'!$R$78:$R$85, 'Expenditure Breakdown'!$W$78:$W$85, "&gt;="&amp;CN1,'Expenditure Breakdown'!$W$78:$W$85, "&lt;"&amp;CO1)</f>
        <v>0</v>
      </c>
      <c r="CO20" s="638">
        <f>SUMIFS('Expenditure Breakdown'!$R$26:$R$33, 'Expenditure Breakdown'!$W$26:$W$33, "&gt;="&amp;CO1,'Expenditure Breakdown'!$W$26:$W$33, "&lt;"&amp;CP1)+SUMIFS('Expenditure Breakdown'!$R$44:$R$51, 'Expenditure Breakdown'!$W$44:$W$51, "&gt;="&amp;CO1,'Expenditure Breakdown'!$W$44:$W$51, "&lt;"&amp;CP1)+SUMIFS('Expenditure Breakdown'!$R$78:$R$85, 'Expenditure Breakdown'!$W$78:$W$85, "&gt;="&amp;CO1,'Expenditure Breakdown'!$W$78:$W$85, "&lt;"&amp;CP1)</f>
        <v>0</v>
      </c>
      <c r="CP20" s="638">
        <f>SUMIFS('Expenditure Breakdown'!$R$26:$R$33, 'Expenditure Breakdown'!$W$26:$W$33, "&gt;="&amp;CP1,'Expenditure Breakdown'!$W$26:$W$33, "&lt;"&amp;CQ1)+SUMIFS('Expenditure Breakdown'!$R$44:$R$51, 'Expenditure Breakdown'!$W$44:$W$51, "&gt;="&amp;CP1,'Expenditure Breakdown'!$W$44:$W$51, "&lt;"&amp;CQ1)+SUMIFS('Expenditure Breakdown'!$R$78:$R$85, 'Expenditure Breakdown'!$W$78:$W$85, "&gt;="&amp;CP1,'Expenditure Breakdown'!$W$78:$W$85, "&lt;"&amp;CQ1)</f>
        <v>0</v>
      </c>
    </row>
    <row r="21" spans="1:94">
      <c r="B21" t="s">
        <v>228</v>
      </c>
      <c r="E21" s="237"/>
      <c r="F21" s="638">
        <f>F20</f>
        <v>0</v>
      </c>
      <c r="G21" s="638">
        <f>G20+F21</f>
        <v>0</v>
      </c>
      <c r="H21" s="638">
        <f>H20+G21</f>
        <v>0</v>
      </c>
      <c r="I21" s="638">
        <f t="shared" ref="I21:BT21" si="51">I20+H21</f>
        <v>0</v>
      </c>
      <c r="J21" s="638">
        <f t="shared" si="51"/>
        <v>0</v>
      </c>
      <c r="K21" s="638">
        <f t="shared" si="51"/>
        <v>0</v>
      </c>
      <c r="L21" s="638">
        <f t="shared" si="51"/>
        <v>0</v>
      </c>
      <c r="M21" s="638">
        <f t="shared" si="51"/>
        <v>0</v>
      </c>
      <c r="N21" s="638">
        <f t="shared" si="51"/>
        <v>0</v>
      </c>
      <c r="O21" s="638">
        <f t="shared" si="51"/>
        <v>0</v>
      </c>
      <c r="P21" s="638">
        <f t="shared" si="51"/>
        <v>0</v>
      </c>
      <c r="Q21" s="638">
        <f t="shared" si="51"/>
        <v>0</v>
      </c>
      <c r="R21" s="638">
        <f t="shared" si="51"/>
        <v>0</v>
      </c>
      <c r="S21" s="638">
        <f t="shared" si="51"/>
        <v>193872.97</v>
      </c>
      <c r="T21" s="638">
        <f t="shared" si="51"/>
        <v>484682.42000000004</v>
      </c>
      <c r="U21" s="638">
        <f t="shared" si="51"/>
        <v>484682.42000000004</v>
      </c>
      <c r="V21" s="638">
        <f t="shared" si="51"/>
        <v>484682.42000000004</v>
      </c>
      <c r="W21" s="638">
        <f t="shared" si="51"/>
        <v>484682.42000000004</v>
      </c>
      <c r="X21" s="638">
        <f t="shared" si="51"/>
        <v>484682.42000000004</v>
      </c>
      <c r="Y21" s="638">
        <f t="shared" si="51"/>
        <v>484682.42000000004</v>
      </c>
      <c r="Z21" s="638">
        <f t="shared" si="51"/>
        <v>484682.42000000004</v>
      </c>
      <c r="AA21" s="638">
        <f t="shared" si="51"/>
        <v>484682.42000000004</v>
      </c>
      <c r="AB21" s="638">
        <f t="shared" si="51"/>
        <v>484682.42000000004</v>
      </c>
      <c r="AC21" s="638">
        <f t="shared" si="51"/>
        <v>484682.42000000004</v>
      </c>
      <c r="AD21" s="638">
        <f t="shared" si="51"/>
        <v>1357110.7625000002</v>
      </c>
      <c r="AE21" s="638">
        <f t="shared" si="51"/>
        <v>1357110.7625000002</v>
      </c>
      <c r="AF21" s="638">
        <f t="shared" si="51"/>
        <v>1550983.7275000003</v>
      </c>
      <c r="AG21" s="638">
        <f t="shared" si="51"/>
        <v>1647920.2100000002</v>
      </c>
      <c r="AH21" s="638">
        <f t="shared" si="51"/>
        <v>1647920.2100000002</v>
      </c>
      <c r="AI21" s="638">
        <f t="shared" si="51"/>
        <v>1647920.2100000002</v>
      </c>
      <c r="AJ21" s="638">
        <f t="shared" si="51"/>
        <v>1647920.2100000002</v>
      </c>
      <c r="AK21" s="638">
        <f t="shared" si="51"/>
        <v>1841793.1750000003</v>
      </c>
      <c r="AL21" s="638">
        <f t="shared" si="51"/>
        <v>1841793.1750000003</v>
      </c>
      <c r="AM21" s="638">
        <f t="shared" si="51"/>
        <v>1841793.1750000003</v>
      </c>
      <c r="AN21" s="638">
        <f t="shared" si="51"/>
        <v>1841793.1750000003</v>
      </c>
      <c r="AO21" s="638">
        <f t="shared" si="51"/>
        <v>1841793.1750000003</v>
      </c>
      <c r="AP21" s="638">
        <f t="shared" si="51"/>
        <v>1841793.1750000003</v>
      </c>
      <c r="AQ21" s="638">
        <f t="shared" si="51"/>
        <v>1841793.1750000003</v>
      </c>
      <c r="AR21" s="638">
        <f t="shared" si="51"/>
        <v>1938729.6575000002</v>
      </c>
      <c r="AS21" s="638">
        <f t="shared" si="51"/>
        <v>1938729.6575000002</v>
      </c>
      <c r="AT21" s="638">
        <f t="shared" si="51"/>
        <v>1938729.6575000002</v>
      </c>
      <c r="AU21" s="638">
        <f t="shared" si="51"/>
        <v>1938729.6575000002</v>
      </c>
      <c r="AV21" s="638">
        <f t="shared" si="51"/>
        <v>1938729.6575000002</v>
      </c>
      <c r="AW21" s="638">
        <f t="shared" si="51"/>
        <v>1938729.6575000002</v>
      </c>
      <c r="AX21" s="638">
        <f t="shared" si="51"/>
        <v>1938729.6575000002</v>
      </c>
      <c r="AY21" s="638">
        <f t="shared" si="51"/>
        <v>1938729.6575000002</v>
      </c>
      <c r="AZ21" s="638">
        <f t="shared" si="51"/>
        <v>1938729.6575000002</v>
      </c>
      <c r="BA21" s="638">
        <f t="shared" si="51"/>
        <v>1938729.6575000002</v>
      </c>
      <c r="BB21" s="638">
        <f t="shared" si="51"/>
        <v>1938729.6575000002</v>
      </c>
      <c r="BC21" s="638">
        <f t="shared" si="51"/>
        <v>1938729.6575000002</v>
      </c>
      <c r="BD21" s="638">
        <f t="shared" si="51"/>
        <v>1938729.6575000002</v>
      </c>
      <c r="BE21" s="638">
        <f t="shared" si="51"/>
        <v>1938729.6575000002</v>
      </c>
      <c r="BF21" s="638">
        <f t="shared" si="51"/>
        <v>1938729.6575000002</v>
      </c>
      <c r="BG21" s="638">
        <f t="shared" si="51"/>
        <v>1938729.6575000002</v>
      </c>
      <c r="BH21" s="638">
        <f t="shared" si="51"/>
        <v>1938729.6575000002</v>
      </c>
      <c r="BI21" s="638">
        <f t="shared" si="51"/>
        <v>1938729.6575000002</v>
      </c>
      <c r="BJ21" s="638">
        <f t="shared" si="51"/>
        <v>1938729.6575000002</v>
      </c>
      <c r="BK21" s="638">
        <f t="shared" si="51"/>
        <v>1938729.6575000002</v>
      </c>
      <c r="BL21" s="638">
        <f t="shared" si="51"/>
        <v>1938729.6575000002</v>
      </c>
      <c r="BM21" s="638">
        <f t="shared" si="51"/>
        <v>1938729.6575000002</v>
      </c>
      <c r="BN21" s="638">
        <f t="shared" si="51"/>
        <v>1938729.6575000002</v>
      </c>
      <c r="BO21" s="638">
        <f t="shared" si="51"/>
        <v>1938729.6575000002</v>
      </c>
      <c r="BP21" s="638">
        <f t="shared" si="51"/>
        <v>1938729.6575000002</v>
      </c>
      <c r="BQ21" s="638">
        <f t="shared" si="51"/>
        <v>1938729.6575000002</v>
      </c>
      <c r="BR21" s="638">
        <f t="shared" si="51"/>
        <v>1938729.6575000002</v>
      </c>
      <c r="BS21" s="638">
        <f t="shared" si="51"/>
        <v>1938729.6575000002</v>
      </c>
      <c r="BT21" s="638">
        <f t="shared" si="51"/>
        <v>1938729.6575000002</v>
      </c>
      <c r="BU21" s="638">
        <f t="shared" ref="BU21:CJ21" si="52">BU20+BT21</f>
        <v>1938729.6575000002</v>
      </c>
      <c r="BV21" s="638">
        <f t="shared" si="52"/>
        <v>1938729.6575000002</v>
      </c>
      <c r="BW21" s="638">
        <f t="shared" si="52"/>
        <v>1938729.6575000002</v>
      </c>
      <c r="BX21" s="638">
        <f t="shared" si="52"/>
        <v>1938729.6575000002</v>
      </c>
      <c r="BY21" s="638">
        <f t="shared" si="52"/>
        <v>1938729.6575000002</v>
      </c>
      <c r="BZ21" s="638">
        <f t="shared" si="52"/>
        <v>1938729.6575000002</v>
      </c>
      <c r="CA21" s="638">
        <f t="shared" si="52"/>
        <v>1938729.6575000002</v>
      </c>
      <c r="CB21" s="638">
        <f t="shared" si="52"/>
        <v>1938729.6575000002</v>
      </c>
      <c r="CC21" s="638">
        <f t="shared" si="52"/>
        <v>1938729.6575000002</v>
      </c>
      <c r="CD21" s="638">
        <f t="shared" si="52"/>
        <v>1938729.6575000002</v>
      </c>
      <c r="CE21" s="638">
        <f t="shared" si="52"/>
        <v>1938729.6575000002</v>
      </c>
      <c r="CF21" s="638">
        <f t="shared" si="52"/>
        <v>1938729.6575000002</v>
      </c>
      <c r="CG21" s="638">
        <f t="shared" si="52"/>
        <v>1938729.6575000002</v>
      </c>
      <c r="CH21" s="638">
        <f t="shared" si="52"/>
        <v>1938729.6575000002</v>
      </c>
      <c r="CI21" s="638">
        <f t="shared" si="52"/>
        <v>1938729.6575000002</v>
      </c>
      <c r="CJ21" s="638">
        <f t="shared" si="52"/>
        <v>1938729.6575000002</v>
      </c>
      <c r="CK21" s="638">
        <f t="shared" ref="CK21" si="53">CK20+CJ21</f>
        <v>1938729.6575000002</v>
      </c>
      <c r="CL21" s="638">
        <f t="shared" ref="CL21" si="54">CL20+CK21</f>
        <v>1938729.6575000002</v>
      </c>
      <c r="CM21" s="638">
        <f t="shared" ref="CM21" si="55">CM20+CL21</f>
        <v>1938729.6575000002</v>
      </c>
      <c r="CN21" s="638">
        <f t="shared" ref="CN21" si="56">CN20+CM21</f>
        <v>1938729.6575000002</v>
      </c>
      <c r="CO21" s="638">
        <f t="shared" ref="CO21" si="57">CO20+CN21</f>
        <v>1938729.6575000002</v>
      </c>
      <c r="CP21" s="638">
        <f t="shared" ref="CP21" si="58">CP20+CO21</f>
        <v>1938729.6575000002</v>
      </c>
    </row>
    <row r="22" spans="1:94" s="237" customFormat="1"/>
    <row r="24" spans="1:94">
      <c r="D24" s="521"/>
    </row>
  </sheetData>
  <mergeCells count="3">
    <mergeCell ref="A2:A7"/>
    <mergeCell ref="A8:A14"/>
    <mergeCell ref="A17:A18"/>
  </mergeCells>
  <conditionalFormatting sqref="C17">
    <cfRule type="cellIs" dxfId="22" priority="1" operator="greaterThan">
      <formula>0.1</formula>
    </cfRule>
  </conditionalFormatting>
  <conditionalFormatting sqref="D3">
    <cfRule type="cellIs" dxfId="21" priority="10" operator="notEqual">
      <formula>$C$3</formula>
    </cfRule>
  </conditionalFormatting>
  <conditionalFormatting sqref="D5">
    <cfRule type="cellIs" dxfId="20" priority="8" operator="notEqual">
      <formula>$C$5</formula>
    </cfRule>
  </conditionalFormatting>
  <conditionalFormatting sqref="D9">
    <cfRule type="cellIs" dxfId="19" priority="9" operator="notEqual">
      <formula>$C$9</formula>
    </cfRule>
  </conditionalFormatting>
  <conditionalFormatting sqref="D11">
    <cfRule type="cellIs" dxfId="18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Q513"/>
  <sheetViews>
    <sheetView tabSelected="1" topLeftCell="S1" zoomScale="70" zoomScaleNormal="70" workbookViewId="0">
      <pane ySplit="4" topLeftCell="O117" activePane="bottomLeft" state="frozen"/>
      <selection pane="bottomLeft" activeCell="U147" sqref="U147"/>
      <selection activeCell="Q24" sqref="Q24"/>
    </sheetView>
  </sheetViews>
  <sheetFormatPr defaultColWidth="9.42578125" defaultRowHeight="14.1"/>
  <cols>
    <col min="1" max="1" width="2.42578125" style="114" hidden="1" customWidth="1"/>
    <col min="2" max="2" width="6.42578125" style="24" hidden="1" customWidth="1"/>
    <col min="3" max="3" width="20.42578125" style="24" hidden="1" customWidth="1"/>
    <col min="4" max="4" width="29.42578125" style="24" hidden="1" customWidth="1"/>
    <col min="5" max="5" width="8.42578125" style="70" hidden="1" customWidth="1"/>
    <col min="6" max="6" width="14.42578125" style="64" hidden="1" customWidth="1"/>
    <col min="7" max="7" width="16.42578125" style="24" hidden="1" customWidth="1"/>
    <col min="8" max="8" width="14" style="24" hidden="1" customWidth="1"/>
    <col min="9" max="9" width="2.42578125" style="114" hidden="1" customWidth="1"/>
    <col min="10" max="10" width="17.42578125" style="455" hidden="1" customWidth="1"/>
    <col min="11" max="11" width="17.42578125" style="455" customWidth="1"/>
    <col min="12" max="12" width="5.5703125" style="114" customWidth="1"/>
    <col min="13" max="13" width="5.5703125" style="24" customWidth="1"/>
    <col min="14" max="14" width="21.5703125" style="24" bestFit="1" customWidth="1"/>
    <col min="15" max="15" width="81.5703125" style="24" bestFit="1" customWidth="1"/>
    <col min="16" max="16" width="16.42578125" style="70" bestFit="1" customWidth="1"/>
    <col min="17" max="17" width="19.5703125" style="64" customWidth="1"/>
    <col min="18" max="18" width="16.5703125" style="456" bestFit="1" customWidth="1"/>
    <col min="19" max="19" width="38.5703125" style="462" bestFit="1" customWidth="1"/>
    <col min="20" max="20" width="16.5703125" style="65" customWidth="1"/>
    <col min="21" max="21" width="17.42578125" style="65" customWidth="1"/>
    <col min="22" max="22" width="18.5703125" style="65" customWidth="1"/>
    <col min="23" max="23" width="21.5703125" style="471" customWidth="1"/>
    <col min="24" max="24" width="21.5703125" style="24" bestFit="1" customWidth="1"/>
    <col min="25" max="25" width="39.5703125" style="65" bestFit="1" customWidth="1"/>
    <col min="26" max="26" width="34.42578125" style="114" customWidth="1"/>
    <col min="27" max="27" width="29.42578125" style="114" bestFit="1" customWidth="1"/>
    <col min="28" max="28" width="19.5703125" style="114" customWidth="1"/>
    <col min="29" max="29" width="2.42578125" style="114" customWidth="1"/>
    <col min="30" max="30" width="10.42578125" style="114" customWidth="1"/>
    <col min="31" max="31" width="39.42578125" style="114" bestFit="1" customWidth="1"/>
    <col min="32" max="32" width="24" style="114" customWidth="1"/>
    <col min="33" max="33" width="13.5703125" style="114" bestFit="1" customWidth="1"/>
    <col min="34" max="34" width="9.42578125" style="114"/>
    <col min="35" max="35" width="15.5703125" style="114" bestFit="1" customWidth="1"/>
    <col min="36" max="43" width="9.42578125" style="114"/>
    <col min="44" max="16384" width="9.42578125" style="24"/>
  </cols>
  <sheetData>
    <row r="1" spans="1:43" s="114" customFormat="1" ht="4.5" customHeight="1" thickBot="1">
      <c r="E1" s="167"/>
      <c r="F1" s="115"/>
      <c r="J1" s="302"/>
      <c r="K1" s="302"/>
      <c r="P1" s="167"/>
      <c r="Q1" s="115"/>
      <c r="R1" s="491"/>
      <c r="S1" s="458"/>
      <c r="T1" s="168"/>
      <c r="U1" s="168"/>
      <c r="V1" s="168"/>
      <c r="W1" s="463"/>
      <c r="Y1" s="168"/>
    </row>
    <row r="2" spans="1:43" ht="21.75" customHeight="1" thickBot="1">
      <c r="B2" s="938" t="s">
        <v>229</v>
      </c>
      <c r="C2" s="938"/>
      <c r="D2" s="938"/>
      <c r="E2" s="938"/>
      <c r="F2" s="938"/>
      <c r="G2" s="938"/>
      <c r="H2" s="938"/>
      <c r="J2" s="304">
        <f>SUM(J6:J151)</f>
        <v>10556110.224391304</v>
      </c>
      <c r="K2" s="304">
        <f>SUM(K6:K151)</f>
        <v>11729547.531036533</v>
      </c>
      <c r="M2" s="939" t="s">
        <v>230</v>
      </c>
      <c r="N2" s="939"/>
      <c r="O2" s="939"/>
      <c r="P2" s="939"/>
      <c r="Q2" s="939"/>
      <c r="R2" s="939"/>
      <c r="S2" s="941" t="s">
        <v>231</v>
      </c>
      <c r="T2" s="941"/>
      <c r="U2" s="941"/>
      <c r="V2" s="941"/>
      <c r="W2" s="941"/>
      <c r="X2" s="472">
        <f>SUM(X6:X151)</f>
        <v>11989842.5275</v>
      </c>
      <c r="Y2" s="114"/>
    </row>
    <row r="3" spans="1:43" s="114" customFormat="1" ht="13.5" customHeight="1" thickBot="1">
      <c r="E3" s="167"/>
      <c r="F3" s="115"/>
      <c r="J3" s="302"/>
      <c r="K3" s="503"/>
      <c r="P3" s="167"/>
      <c r="Q3" s="115"/>
      <c r="R3" s="303"/>
      <c r="Y3" s="168"/>
    </row>
    <row r="4" spans="1:43" s="70" customFormat="1" ht="42.6" thickBot="1">
      <c r="A4" s="167"/>
      <c r="B4" s="305" t="s">
        <v>232</v>
      </c>
      <c r="C4" s="306" t="s">
        <v>233</v>
      </c>
      <c r="D4" s="306" t="s">
        <v>234</v>
      </c>
      <c r="E4" s="306" t="s">
        <v>235</v>
      </c>
      <c r="F4" s="306" t="s">
        <v>236</v>
      </c>
      <c r="G4" s="307" t="s">
        <v>237</v>
      </c>
      <c r="H4" s="308" t="s">
        <v>238</v>
      </c>
      <c r="I4" s="309"/>
      <c r="J4" s="310" t="s">
        <v>239</v>
      </c>
      <c r="K4" s="310" t="str">
        <f>IF(K2-'Revenue Tracking'!D4&gt;=0, "Total Revenue", "ERROR on REV" )</f>
        <v>Total Revenue</v>
      </c>
      <c r="L4" s="167"/>
      <c r="M4" s="305" t="s">
        <v>232</v>
      </c>
      <c r="N4" s="306" t="s">
        <v>240</v>
      </c>
      <c r="O4" s="306" t="s">
        <v>234</v>
      </c>
      <c r="P4" s="306" t="s">
        <v>235</v>
      </c>
      <c r="Q4" s="306" t="s">
        <v>236</v>
      </c>
      <c r="R4" s="549" t="s">
        <v>241</v>
      </c>
      <c r="S4" s="113" t="s">
        <v>77</v>
      </c>
      <c r="T4" s="522" t="s">
        <v>78</v>
      </c>
      <c r="U4" s="523" t="s">
        <v>242</v>
      </c>
      <c r="V4" s="524" t="s">
        <v>216</v>
      </c>
      <c r="W4" s="522" t="s">
        <v>243</v>
      </c>
      <c r="X4" s="473" t="s">
        <v>239</v>
      </c>
      <c r="Y4" s="113" t="s">
        <v>244</v>
      </c>
      <c r="Z4" s="113" t="s">
        <v>245</v>
      </c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</row>
    <row r="5" spans="1:43" s="3" customFormat="1" ht="7.5" customHeight="1" thickBot="1">
      <c r="B5" s="311"/>
      <c r="C5" s="312"/>
      <c r="D5" s="312"/>
      <c r="E5" s="313"/>
      <c r="F5" s="314"/>
      <c r="G5" s="315"/>
      <c r="H5" s="316"/>
      <c r="I5" s="317"/>
      <c r="J5" s="318"/>
      <c r="K5" s="318"/>
      <c r="L5" s="319"/>
      <c r="M5" s="311"/>
      <c r="N5" s="312"/>
      <c r="O5" s="312"/>
      <c r="P5" s="313"/>
      <c r="Q5" s="314"/>
      <c r="R5" s="320"/>
      <c r="S5" s="459"/>
      <c r="T5" s="110"/>
      <c r="U5" s="504"/>
      <c r="V5" s="457"/>
      <c r="W5" s="464"/>
      <c r="X5" s="474"/>
      <c r="Y5" s="110"/>
      <c r="Z5" s="110"/>
    </row>
    <row r="6" spans="1:43" ht="14.25" customHeight="1">
      <c r="B6" s="344">
        <v>1</v>
      </c>
      <c r="C6" s="479" t="s">
        <v>246</v>
      </c>
      <c r="D6" s="345" t="s">
        <v>247</v>
      </c>
      <c r="E6" s="346">
        <v>728</v>
      </c>
      <c r="F6" s="572">
        <v>1425.27</v>
      </c>
      <c r="G6" s="401">
        <f>E6*F6</f>
        <v>1037596.5599999999</v>
      </c>
      <c r="H6" s="348">
        <f>'Project Plan'!I40+60</f>
        <v>45768</v>
      </c>
      <c r="I6" s="349"/>
      <c r="J6" s="921">
        <f>SUM(G6:G11)</f>
        <v>1077596.56</v>
      </c>
      <c r="K6" s="921">
        <v>1171300.60869565</v>
      </c>
      <c r="L6" s="573"/>
      <c r="M6" s="344">
        <v>1</v>
      </c>
      <c r="N6" s="654" t="s">
        <v>248</v>
      </c>
      <c r="O6" s="345" t="s">
        <v>249</v>
      </c>
      <c r="P6" s="720">
        <f>400000/585</f>
        <v>683.76068376068372</v>
      </c>
      <c r="Q6" s="572">
        <v>1327.95</v>
      </c>
      <c r="R6" s="401">
        <v>908317.8</v>
      </c>
      <c r="S6" s="541" t="s">
        <v>250</v>
      </c>
      <c r="T6" s="733">
        <v>45657</v>
      </c>
      <c r="U6" s="739">
        <v>1146065.7029619529</v>
      </c>
      <c r="V6" s="933">
        <f>K6-SUM(U6:U11)</f>
        <v>-4.2663027998059988E-3</v>
      </c>
      <c r="W6" s="733">
        <v>45708</v>
      </c>
      <c r="X6" s="922">
        <f>SUM(R6:R11)</f>
        <v>908317.8</v>
      </c>
      <c r="Y6" s="213"/>
      <c r="Z6" s="198"/>
      <c r="AA6" s="169">
        <v>19</v>
      </c>
      <c r="AB6" s="169"/>
    </row>
    <row r="7" spans="1:43" ht="15" customHeight="1">
      <c r="B7" s="397">
        <v>1</v>
      </c>
      <c r="C7" s="655"/>
      <c r="D7" s="575"/>
      <c r="E7" s="576"/>
      <c r="F7" s="706"/>
      <c r="G7" s="401"/>
      <c r="H7" s="353"/>
      <c r="I7" s="354"/>
      <c r="J7" s="921"/>
      <c r="K7" s="921"/>
      <c r="L7" s="355"/>
      <c r="M7" s="397">
        <v>1</v>
      </c>
      <c r="N7" s="399" t="s">
        <v>248</v>
      </c>
      <c r="O7" s="575"/>
      <c r="P7" s="576"/>
      <c r="Q7" s="719"/>
      <c r="R7" s="401"/>
      <c r="S7" s="537"/>
      <c r="T7" s="762">
        <v>45688</v>
      </c>
      <c r="U7" s="732">
        <v>25234.91</v>
      </c>
      <c r="V7" s="933"/>
      <c r="W7" s="467"/>
      <c r="X7" s="922"/>
      <c r="Y7" s="208"/>
      <c r="Z7" s="199"/>
      <c r="AA7" s="170" t="s">
        <v>251</v>
      </c>
      <c r="AB7" s="171" t="s">
        <v>252</v>
      </c>
      <c r="AC7" s="24"/>
      <c r="AD7" s="24"/>
    </row>
    <row r="8" spans="1:43" ht="15" customHeight="1" thickBot="1">
      <c r="B8" s="397">
        <v>1</v>
      </c>
      <c r="C8" s="575"/>
      <c r="D8" s="399" t="s">
        <v>253</v>
      </c>
      <c r="E8" s="645"/>
      <c r="F8" s="535"/>
      <c r="G8" s="578">
        <v>40000</v>
      </c>
      <c r="H8" s="353">
        <f>H6</f>
        <v>45768</v>
      </c>
      <c r="I8" s="354"/>
      <c r="J8" s="921"/>
      <c r="K8" s="921"/>
      <c r="L8" s="355"/>
      <c r="M8" s="397">
        <v>1</v>
      </c>
      <c r="N8" s="399" t="s">
        <v>248</v>
      </c>
      <c r="O8" s="399" t="s">
        <v>253</v>
      </c>
      <c r="P8" s="645"/>
      <c r="Q8" s="535"/>
      <c r="R8" s="578"/>
      <c r="S8" s="460"/>
      <c r="T8" s="508"/>
      <c r="U8" s="514">
        <f t="shared" ref="U8:U11" si="0">(R8/$X$6*$K$6)</f>
        <v>0</v>
      </c>
      <c r="V8" s="933"/>
      <c r="W8" s="467"/>
      <c r="X8" s="922"/>
      <c r="Y8" s="208"/>
      <c r="Z8" s="199"/>
      <c r="AA8" s="172" t="s">
        <v>254</v>
      </c>
      <c r="AB8" s="173">
        <f>C45+G60+G61</f>
        <v>1142809.6826086957</v>
      </c>
      <c r="AD8" s="639"/>
      <c r="AG8" s="639"/>
    </row>
    <row r="9" spans="1:43" ht="15" customHeight="1" thickBot="1">
      <c r="B9" s="397">
        <v>1</v>
      </c>
      <c r="C9" s="575"/>
      <c r="D9" s="577"/>
      <c r="E9" s="576"/>
      <c r="F9" s="535"/>
      <c r="G9" s="401"/>
      <c r="H9" s="353"/>
      <c r="I9" s="354"/>
      <c r="J9" s="921"/>
      <c r="K9" s="921"/>
      <c r="L9" s="355"/>
      <c r="M9" s="397">
        <v>1</v>
      </c>
      <c r="N9" s="399" t="s">
        <v>248</v>
      </c>
      <c r="O9" s="577"/>
      <c r="P9" s="576"/>
      <c r="Q9" s="535"/>
      <c r="R9" s="401"/>
      <c r="S9" s="460"/>
      <c r="T9" s="508" t="str">
        <f t="shared" ref="T9:T22" si="1">IF(W9&gt;1,EOMONTH(W9,0),"")</f>
        <v/>
      </c>
      <c r="U9" s="514">
        <f t="shared" si="0"/>
        <v>0</v>
      </c>
      <c r="V9" s="933"/>
      <c r="W9" s="467"/>
      <c r="X9" s="922"/>
      <c r="Y9" s="208"/>
      <c r="Z9" s="199"/>
      <c r="AA9" s="172" t="s">
        <v>255</v>
      </c>
      <c r="AB9" s="632">
        <f>SUM(G24:G33)</f>
        <v>202684.79999999999</v>
      </c>
      <c r="AG9" s="639"/>
    </row>
    <row r="10" spans="1:43" ht="15" customHeight="1" thickBot="1">
      <c r="B10" s="397">
        <v>1</v>
      </c>
      <c r="C10" s="575"/>
      <c r="D10" s="577"/>
      <c r="E10" s="576"/>
      <c r="F10" s="535"/>
      <c r="G10" s="401"/>
      <c r="H10" s="353"/>
      <c r="I10" s="354"/>
      <c r="J10" s="921"/>
      <c r="K10" s="921"/>
      <c r="L10" s="355"/>
      <c r="M10" s="397">
        <v>1</v>
      </c>
      <c r="N10" s="399" t="s">
        <v>248</v>
      </c>
      <c r="O10" s="577"/>
      <c r="P10" s="576"/>
      <c r="Q10" s="535"/>
      <c r="R10" s="401"/>
      <c r="S10" s="460"/>
      <c r="T10" s="508" t="str">
        <f t="shared" si="1"/>
        <v/>
      </c>
      <c r="U10" s="514">
        <f t="shared" si="0"/>
        <v>0</v>
      </c>
      <c r="V10" s="933"/>
      <c r="W10" s="467"/>
      <c r="X10" s="922"/>
      <c r="Y10" s="208"/>
      <c r="Z10" s="199"/>
      <c r="AA10" s="172" t="s">
        <v>256</v>
      </c>
      <c r="AB10" s="173">
        <f>C79+G59</f>
        <v>446100</v>
      </c>
      <c r="AD10" s="639">
        <f>AB10/140000</f>
        <v>3.1864285714285714</v>
      </c>
      <c r="AG10" s="639"/>
    </row>
    <row r="11" spans="1:43" ht="15" customHeight="1" thickBot="1">
      <c r="B11" s="403">
        <v>1</v>
      </c>
      <c r="C11" s="656"/>
      <c r="D11" s="579"/>
      <c r="E11" s="580"/>
      <c r="F11" s="495"/>
      <c r="G11" s="424"/>
      <c r="H11" s="356"/>
      <c r="I11" s="357"/>
      <c r="J11" s="921"/>
      <c r="K11" s="921"/>
      <c r="L11" s="358"/>
      <c r="M11" s="403">
        <v>1</v>
      </c>
      <c r="N11" s="656" t="s">
        <v>248</v>
      </c>
      <c r="O11" s="579"/>
      <c r="P11" s="580"/>
      <c r="Q11" s="495"/>
      <c r="R11" s="424"/>
      <c r="S11" s="529"/>
      <c r="T11" s="511" t="str">
        <f t="shared" si="1"/>
        <v/>
      </c>
      <c r="U11" s="515">
        <f t="shared" si="0"/>
        <v>0</v>
      </c>
      <c r="V11" s="933"/>
      <c r="W11" s="468"/>
      <c r="X11" s="922"/>
      <c r="Y11" s="214"/>
      <c r="Z11" s="200"/>
      <c r="AA11" s="172" t="s">
        <v>257</v>
      </c>
      <c r="AB11" s="173">
        <f>C80</f>
        <v>242059.99999999997</v>
      </c>
      <c r="AD11" s="639">
        <f>AB11/140000</f>
        <v>1.7289999999999999</v>
      </c>
      <c r="AG11" s="639"/>
    </row>
    <row r="12" spans="1:43" ht="14.45" thickBot="1">
      <c r="A12" s="24"/>
      <c r="B12" s="337"/>
      <c r="C12" s="338"/>
      <c r="D12" s="339"/>
      <c r="E12" s="340"/>
      <c r="F12" s="341"/>
      <c r="G12" s="341"/>
      <c r="H12" s="342"/>
      <c r="I12" s="24"/>
      <c r="J12" s="343"/>
      <c r="K12" s="343"/>
      <c r="L12" s="24"/>
      <c r="M12" s="337"/>
      <c r="N12" s="597"/>
      <c r="O12" s="598"/>
      <c r="P12" s="599"/>
      <c r="Q12" s="600"/>
      <c r="R12" s="600"/>
      <c r="S12" s="536"/>
      <c r="T12" s="526" t="str">
        <f t="shared" si="1"/>
        <v/>
      </c>
      <c r="U12" s="505"/>
      <c r="V12" s="634"/>
      <c r="W12" s="466"/>
      <c r="X12" s="475"/>
      <c r="Y12" s="212"/>
      <c r="Z12" s="197"/>
      <c r="AA12" s="172" t="s">
        <v>258</v>
      </c>
      <c r="AB12" s="173">
        <f>G88</f>
        <v>8500</v>
      </c>
      <c r="AC12" s="24"/>
      <c r="AD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</row>
    <row r="13" spans="1:43" ht="14.25" customHeight="1" thickBot="1">
      <c r="B13" s="364">
        <v>2</v>
      </c>
      <c r="C13" s="407" t="s">
        <v>259</v>
      </c>
      <c r="D13" s="407" t="s">
        <v>260</v>
      </c>
      <c r="E13" s="496">
        <v>3</v>
      </c>
      <c r="F13" s="581">
        <v>70000</v>
      </c>
      <c r="G13" s="368">
        <f>E13*F13</f>
        <v>210000</v>
      </c>
      <c r="H13" s="369">
        <f>'Project Plan'!E25+30</f>
        <v>45742</v>
      </c>
      <c r="I13" s="370"/>
      <c r="J13" s="940">
        <f>SUM(G13:G16)</f>
        <v>210000</v>
      </c>
      <c r="K13" s="940">
        <v>228260.869565217</v>
      </c>
      <c r="L13" s="371"/>
      <c r="M13" s="364">
        <v>2</v>
      </c>
      <c r="N13" s="657" t="s">
        <v>261</v>
      </c>
      <c r="O13" s="407" t="s">
        <v>260</v>
      </c>
      <c r="P13" s="496">
        <v>3</v>
      </c>
      <c r="Q13" s="581">
        <v>68870</v>
      </c>
      <c r="R13" s="368">
        <v>206611.05</v>
      </c>
      <c r="S13" s="582" t="s">
        <v>250</v>
      </c>
      <c r="T13" s="734">
        <v>45657</v>
      </c>
      <c r="U13" s="740">
        <v>179134.84977088645</v>
      </c>
      <c r="V13" s="942">
        <f>K13-SUM(U13:U16)</f>
        <v>-4.3873753165826201E-3</v>
      </c>
      <c r="W13" s="770">
        <f>W23</f>
        <v>45708</v>
      </c>
      <c r="X13" s="923">
        <f>SUM(R13:R16)</f>
        <v>180931.83</v>
      </c>
      <c r="Y13" s="771"/>
      <c r="Z13" s="201"/>
      <c r="AA13" s="172" t="s">
        <v>262</v>
      </c>
      <c r="AB13" s="173">
        <f>G90</f>
        <v>40675.5</v>
      </c>
    </row>
    <row r="14" spans="1:43" ht="15" customHeight="1" thickBot="1">
      <c r="B14" s="408">
        <v>2</v>
      </c>
      <c r="C14" s="409"/>
      <c r="D14" s="409"/>
      <c r="E14" s="583"/>
      <c r="F14" s="584"/>
      <c r="G14" s="410"/>
      <c r="H14" s="378"/>
      <c r="I14" s="379"/>
      <c r="J14" s="940"/>
      <c r="K14" s="940"/>
      <c r="L14" s="380"/>
      <c r="M14" s="408">
        <v>2</v>
      </c>
      <c r="N14" s="658" t="s">
        <v>261</v>
      </c>
      <c r="O14" s="409" t="s">
        <v>263</v>
      </c>
      <c r="P14" s="583">
        <v>1</v>
      </c>
      <c r="Q14" s="584">
        <v>43190.78</v>
      </c>
      <c r="R14" s="410">
        <f>Q14*P14</f>
        <v>43190.78</v>
      </c>
      <c r="S14" s="582" t="s">
        <v>264</v>
      </c>
      <c r="T14" s="734">
        <v>45747</v>
      </c>
      <c r="U14" s="742">
        <v>49126.024181705885</v>
      </c>
      <c r="V14" s="942"/>
      <c r="W14" s="753">
        <v>45785</v>
      </c>
      <c r="X14" s="923"/>
      <c r="Y14" s="209" t="s">
        <v>265</v>
      </c>
      <c r="Z14" s="194"/>
      <c r="AA14" s="172" t="s">
        <v>266</v>
      </c>
      <c r="AB14" s="173">
        <f>G89</f>
        <v>4933.333333333333</v>
      </c>
    </row>
    <row r="15" spans="1:43" ht="15" customHeight="1" thickBot="1">
      <c r="B15" s="408">
        <v>2</v>
      </c>
      <c r="C15" s="409"/>
      <c r="D15" s="409"/>
      <c r="E15" s="583"/>
      <c r="F15" s="584"/>
      <c r="G15" s="410"/>
      <c r="H15" s="378"/>
      <c r="I15" s="379"/>
      <c r="J15" s="940"/>
      <c r="K15" s="940"/>
      <c r="L15" s="380"/>
      <c r="M15" s="408">
        <v>2</v>
      </c>
      <c r="N15" s="658" t="s">
        <v>261</v>
      </c>
      <c r="O15" s="409" t="s">
        <v>267</v>
      </c>
      <c r="P15" s="583">
        <v>1</v>
      </c>
      <c r="Q15" s="584">
        <v>-68870</v>
      </c>
      <c r="R15" s="410">
        <f>P15*Q15</f>
        <v>-68870</v>
      </c>
      <c r="S15" s="539" t="s">
        <v>268</v>
      </c>
      <c r="T15" s="833">
        <v>46053</v>
      </c>
      <c r="U15" s="517">
        <v>0</v>
      </c>
      <c r="V15" s="942"/>
      <c r="W15" s="858">
        <v>46053</v>
      </c>
      <c r="X15" s="923"/>
      <c r="Y15" s="209"/>
      <c r="Z15" s="194"/>
      <c r="AA15" s="172" t="s">
        <v>269</v>
      </c>
      <c r="AB15" s="173">
        <f>G87</f>
        <v>0</v>
      </c>
    </row>
    <row r="16" spans="1:43" ht="15" customHeight="1" thickBot="1">
      <c r="B16" s="585">
        <v>2</v>
      </c>
      <c r="C16" s="586"/>
      <c r="D16" s="586"/>
      <c r="E16" s="587"/>
      <c r="F16" s="588"/>
      <c r="G16" s="589"/>
      <c r="H16" s="387"/>
      <c r="I16" s="388"/>
      <c r="J16" s="940"/>
      <c r="K16" s="940"/>
      <c r="L16" s="389"/>
      <c r="M16" s="585">
        <v>2</v>
      </c>
      <c r="N16" s="659" t="s">
        <v>261</v>
      </c>
      <c r="O16" s="586"/>
      <c r="P16" s="587"/>
      <c r="Q16" s="588"/>
      <c r="R16" s="589"/>
      <c r="S16" s="538"/>
      <c r="T16" s="510"/>
      <c r="U16" s="518">
        <f t="shared" ref="U16" si="2">(R16/$X$13*$K$13)</f>
        <v>0</v>
      </c>
      <c r="V16" s="942"/>
      <c r="W16" s="469"/>
      <c r="X16" s="923"/>
      <c r="Y16" s="216"/>
      <c r="Z16" s="202"/>
      <c r="AA16" s="172" t="s">
        <v>270</v>
      </c>
      <c r="AB16" s="174">
        <v>0</v>
      </c>
    </row>
    <row r="17" spans="1:43" ht="14.45" thickBot="1">
      <c r="A17" s="24"/>
      <c r="B17" s="359"/>
      <c r="C17" s="338"/>
      <c r="D17" s="338"/>
      <c r="E17" s="360"/>
      <c r="F17" s="361"/>
      <c r="G17" s="362"/>
      <c r="H17" s="342"/>
      <c r="I17" s="363"/>
      <c r="J17" s="343"/>
      <c r="K17" s="343"/>
      <c r="L17" s="24"/>
      <c r="M17" s="359"/>
      <c r="N17" s="338"/>
      <c r="O17" s="338"/>
      <c r="P17" s="360"/>
      <c r="Q17" s="361"/>
      <c r="R17" s="362"/>
      <c r="S17" s="536"/>
      <c r="T17" s="526" t="str">
        <f t="shared" si="1"/>
        <v/>
      </c>
      <c r="U17" s="505"/>
      <c r="V17" s="634"/>
      <c r="W17" s="466"/>
      <c r="X17" s="475"/>
      <c r="Y17" s="212"/>
      <c r="Z17" s="197"/>
      <c r="AA17" s="172" t="s">
        <v>102</v>
      </c>
      <c r="AB17" s="173">
        <f>SUM(AB8:AB16)</f>
        <v>2087763.315942029</v>
      </c>
      <c r="AC17" s="24"/>
      <c r="AD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</row>
    <row r="18" spans="1:43" ht="14.25" customHeight="1">
      <c r="B18" s="344">
        <v>3</v>
      </c>
      <c r="C18" s="394" t="s">
        <v>271</v>
      </c>
      <c r="D18" s="418" t="s">
        <v>272</v>
      </c>
      <c r="E18" s="346"/>
      <c r="F18" s="677"/>
      <c r="G18" s="347">
        <v>180180</v>
      </c>
      <c r="H18" s="348">
        <f>'Project Plan'!E21+30</f>
        <v>45721</v>
      </c>
      <c r="I18" s="349"/>
      <c r="J18" s="921">
        <f>SUM(G18:G21)</f>
        <v>180180</v>
      </c>
      <c r="K18" s="921">
        <v>195847.82608695701</v>
      </c>
      <c r="L18" s="350"/>
      <c r="M18" s="344">
        <v>3</v>
      </c>
      <c r="N18" s="660" t="s">
        <v>273</v>
      </c>
      <c r="O18" s="418" t="s">
        <v>274</v>
      </c>
      <c r="P18" s="346"/>
      <c r="Q18" s="677"/>
      <c r="R18" s="347">
        <f>80274.7</f>
        <v>80274.7</v>
      </c>
      <c r="S18" s="528" t="s">
        <v>275</v>
      </c>
      <c r="T18" s="717">
        <v>45716</v>
      </c>
      <c r="U18" s="739">
        <v>186596.42114662621</v>
      </c>
      <c r="V18" s="933">
        <f>K18-SUM(U18:U21)</f>
        <v>0</v>
      </c>
      <c r="W18" s="774">
        <v>45744</v>
      </c>
      <c r="X18" s="922">
        <f>SUM(R18:R21)</f>
        <v>86550.7</v>
      </c>
      <c r="Y18" s="213" t="s">
        <v>276</v>
      </c>
      <c r="Z18" s="198"/>
      <c r="AA18" s="172" t="s">
        <v>277</v>
      </c>
      <c r="AB18" s="175">
        <f>+AB17*0.85</f>
        <v>1774598.8185507245</v>
      </c>
      <c r="AD18" s="176" t="s">
        <v>278</v>
      </c>
    </row>
    <row r="19" spans="1:43" ht="14.25" customHeight="1">
      <c r="B19" s="397">
        <v>3</v>
      </c>
      <c r="C19" s="398"/>
      <c r="D19" s="420"/>
      <c r="E19" s="402"/>
      <c r="F19" s="421"/>
      <c r="G19" s="401"/>
      <c r="H19" s="353"/>
      <c r="I19" s="354"/>
      <c r="J19" s="921"/>
      <c r="K19" s="921"/>
      <c r="L19" s="355"/>
      <c r="M19" s="397">
        <v>3</v>
      </c>
      <c r="N19" s="661" t="s">
        <v>273</v>
      </c>
      <c r="O19" s="420" t="s">
        <v>279</v>
      </c>
      <c r="P19" s="402"/>
      <c r="Q19" s="421"/>
      <c r="R19" s="401">
        <v>3980</v>
      </c>
      <c r="S19" s="537" t="s">
        <v>275</v>
      </c>
      <c r="T19" s="759">
        <f>T18</f>
        <v>45716</v>
      </c>
      <c r="U19" s="732">
        <v>9251.4049403307945</v>
      </c>
      <c r="V19" s="933"/>
      <c r="W19" s="718">
        <f>W18</f>
        <v>45744</v>
      </c>
      <c r="X19" s="922"/>
      <c r="Y19" s="208" t="s">
        <v>276</v>
      </c>
      <c r="Z19" s="199"/>
      <c r="AA19" s="178" t="s">
        <v>280</v>
      </c>
      <c r="AB19" s="174">
        <f>+AB18/'Project Plan'!$E$3/1000</f>
        <v>4.436497046376811</v>
      </c>
    </row>
    <row r="20" spans="1:43" ht="14.25" customHeight="1" thickBot="1">
      <c r="B20" s="397">
        <v>3</v>
      </c>
      <c r="C20" s="398"/>
      <c r="D20" s="420"/>
      <c r="E20" s="402"/>
      <c r="F20" s="421"/>
      <c r="G20" s="401"/>
      <c r="H20" s="353"/>
      <c r="I20" s="354"/>
      <c r="J20" s="921"/>
      <c r="K20" s="921"/>
      <c r="L20" s="355"/>
      <c r="M20" s="397">
        <v>3</v>
      </c>
      <c r="N20" s="661" t="s">
        <v>273</v>
      </c>
      <c r="O20" s="420" t="s">
        <v>281</v>
      </c>
      <c r="P20" s="400">
        <v>100</v>
      </c>
      <c r="Q20" s="706">
        <v>11.48</v>
      </c>
      <c r="R20" s="401">
        <f>Q20*P20</f>
        <v>1148</v>
      </c>
      <c r="S20" s="537" t="s">
        <v>282</v>
      </c>
      <c r="T20" s="759">
        <v>45747</v>
      </c>
      <c r="U20" s="732">
        <v>0</v>
      </c>
      <c r="V20" s="933"/>
      <c r="W20" s="718">
        <v>45747</v>
      </c>
      <c r="X20" s="922"/>
      <c r="Y20" s="208"/>
      <c r="Z20" s="199"/>
    </row>
    <row r="21" spans="1:43" ht="15" customHeight="1" thickBot="1">
      <c r="B21" s="403">
        <v>3</v>
      </c>
      <c r="C21" s="433"/>
      <c r="D21" s="422"/>
      <c r="E21" s="406"/>
      <c r="F21" s="423"/>
      <c r="G21" s="424"/>
      <c r="H21" s="356"/>
      <c r="I21" s="357"/>
      <c r="J21" s="921"/>
      <c r="K21" s="921"/>
      <c r="L21" s="358"/>
      <c r="M21" s="403">
        <v>3</v>
      </c>
      <c r="N21" s="662" t="s">
        <v>273</v>
      </c>
      <c r="O21" s="422" t="s">
        <v>283</v>
      </c>
      <c r="P21" s="400">
        <v>100</v>
      </c>
      <c r="Q21" s="706">
        <v>11.48</v>
      </c>
      <c r="R21" s="401">
        <f>Q21*P21</f>
        <v>1148</v>
      </c>
      <c r="S21" s="748" t="s">
        <v>284</v>
      </c>
      <c r="T21" s="747">
        <v>45747</v>
      </c>
      <c r="U21" s="515"/>
      <c r="V21" s="933"/>
      <c r="W21" s="781">
        <f>T21+30</f>
        <v>45777</v>
      </c>
      <c r="X21" s="922"/>
      <c r="Y21" s="214" t="s">
        <v>285</v>
      </c>
      <c r="Z21" s="200"/>
      <c r="AA21" s="179" t="s">
        <v>60</v>
      </c>
      <c r="AB21" s="180" t="s">
        <v>286</v>
      </c>
      <c r="AP21" s="24"/>
      <c r="AQ21" s="24"/>
    </row>
    <row r="22" spans="1:43" ht="14.45" thickBot="1">
      <c r="A22" s="24"/>
      <c r="B22" s="359"/>
      <c r="C22" s="390"/>
      <c r="D22" s="391"/>
      <c r="E22" s="392"/>
      <c r="F22" s="393"/>
      <c r="G22" s="362"/>
      <c r="H22" s="342"/>
      <c r="I22" s="363"/>
      <c r="J22" s="343"/>
      <c r="K22" s="343"/>
      <c r="L22" s="24"/>
      <c r="M22" s="359"/>
      <c r="N22" s="390"/>
      <c r="O22" s="391"/>
      <c r="P22" s="392"/>
      <c r="Q22" s="393"/>
      <c r="R22" s="362"/>
      <c r="S22" s="536"/>
      <c r="T22" s="526" t="str">
        <f t="shared" si="1"/>
        <v/>
      </c>
      <c r="U22" s="505"/>
      <c r="V22" s="634"/>
      <c r="W22" s="466"/>
      <c r="X22" s="475"/>
      <c r="Y22" s="212"/>
      <c r="Z22" s="197"/>
      <c r="AA22" s="181" t="s">
        <v>254</v>
      </c>
      <c r="AB22" s="182">
        <v>1142809.6826086957</v>
      </c>
      <c r="AD22" s="639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</row>
    <row r="23" spans="1:43" ht="14.25" customHeight="1" thickTop="1">
      <c r="B23" s="364">
        <v>4</v>
      </c>
      <c r="C23" s="365" t="s">
        <v>255</v>
      </c>
      <c r="D23" s="365" t="s">
        <v>287</v>
      </c>
      <c r="E23" s="496">
        <v>10120</v>
      </c>
      <c r="F23" s="581">
        <v>14</v>
      </c>
      <c r="G23" s="368">
        <f>E23*F23</f>
        <v>141680</v>
      </c>
      <c r="H23" s="369">
        <f>'Project Plan'!E36+30</f>
        <v>45721</v>
      </c>
      <c r="I23" s="370"/>
      <c r="J23" s="940">
        <f>SUM(G23:G33)</f>
        <v>344364.79999999993</v>
      </c>
      <c r="K23" s="940">
        <v>374309.56521739101</v>
      </c>
      <c r="L23" s="371"/>
      <c r="M23" s="364">
        <v>4</v>
      </c>
      <c r="N23" s="663" t="s">
        <v>288</v>
      </c>
      <c r="O23" s="365" t="s">
        <v>287</v>
      </c>
      <c r="P23" s="496">
        <v>12000</v>
      </c>
      <c r="Q23" s="581">
        <v>13.3</v>
      </c>
      <c r="R23" s="368">
        <f>P23*Q23</f>
        <v>159600</v>
      </c>
      <c r="S23" s="539" t="s">
        <v>250</v>
      </c>
      <c r="T23" s="734">
        <v>45657</v>
      </c>
      <c r="U23" s="740">
        <v>187862.44490114271</v>
      </c>
      <c r="V23" s="943">
        <f>K23-SUM(U23:U33)</f>
        <v>-1.9967228872701526E-3</v>
      </c>
      <c r="W23" s="768">
        <f>W6</f>
        <v>45708</v>
      </c>
      <c r="X23" s="923">
        <f>SUM(R23:R33)</f>
        <v>362150</v>
      </c>
      <c r="Y23" s="215"/>
      <c r="Z23" s="201"/>
      <c r="AA23" s="181" t="s">
        <v>255</v>
      </c>
      <c r="AB23" s="182">
        <v>202684.79999999999</v>
      </c>
      <c r="AD23" s="639"/>
      <c r="AP23" s="24"/>
      <c r="AQ23" s="24"/>
    </row>
    <row r="24" spans="1:43" ht="14.25" customHeight="1" thickBot="1">
      <c r="B24" s="408">
        <v>4</v>
      </c>
      <c r="C24" s="619"/>
      <c r="D24" s="619" t="s">
        <v>289</v>
      </c>
      <c r="E24" s="583"/>
      <c r="F24" s="678">
        <v>0.1</v>
      </c>
      <c r="G24" s="377">
        <f>C26*F24</f>
        <v>20268.48</v>
      </c>
      <c r="H24" s="378">
        <f>H43</f>
        <v>45684</v>
      </c>
      <c r="I24" s="379"/>
      <c r="J24" s="940"/>
      <c r="K24" s="940"/>
      <c r="L24" s="380"/>
      <c r="M24" s="372">
        <v>4</v>
      </c>
      <c r="N24" s="664" t="s">
        <v>288</v>
      </c>
      <c r="O24" s="619" t="s">
        <v>290</v>
      </c>
      <c r="P24" s="583"/>
      <c r="Q24" s="584"/>
      <c r="R24" s="377">
        <v>55100</v>
      </c>
      <c r="S24" s="539" t="s">
        <v>291</v>
      </c>
      <c r="T24" s="734">
        <v>45747</v>
      </c>
      <c r="U24" s="763">
        <v>13110.75015871392</v>
      </c>
      <c r="V24" s="943"/>
      <c r="W24" s="753">
        <v>45799</v>
      </c>
      <c r="X24" s="923"/>
      <c r="Y24" s="620" t="s">
        <v>292</v>
      </c>
      <c r="Z24" s="621"/>
      <c r="AA24" s="181" t="s">
        <v>256</v>
      </c>
      <c r="AB24" s="182">
        <v>100100</v>
      </c>
      <c r="AD24" s="639">
        <f>AB24/140000</f>
        <v>0.71499999999999997</v>
      </c>
      <c r="AP24" s="24"/>
      <c r="AQ24" s="24"/>
    </row>
    <row r="25" spans="1:43" ht="14.25" customHeight="1" thickBot="1">
      <c r="B25" s="408"/>
      <c r="C25" s="619"/>
      <c r="D25" s="619"/>
      <c r="E25" s="583"/>
      <c r="F25" s="678"/>
      <c r="G25" s="377"/>
      <c r="H25" s="378"/>
      <c r="I25" s="379"/>
      <c r="J25" s="940"/>
      <c r="K25" s="940"/>
      <c r="L25" s="380"/>
      <c r="M25" s="372">
        <v>4</v>
      </c>
      <c r="N25" s="664" t="s">
        <v>288</v>
      </c>
      <c r="O25" s="619" t="s">
        <v>293</v>
      </c>
      <c r="P25" s="583">
        <v>4000</v>
      </c>
      <c r="Q25" s="584">
        <v>13.3</v>
      </c>
      <c r="R25" s="377">
        <f>P25*Q25</f>
        <v>53200</v>
      </c>
      <c r="S25" s="539" t="s">
        <v>294</v>
      </c>
      <c r="T25" s="734">
        <v>45716</v>
      </c>
      <c r="U25" s="763">
        <v>72136.625518857516</v>
      </c>
      <c r="V25" s="943"/>
      <c r="W25" s="753">
        <v>45771</v>
      </c>
      <c r="X25" s="923"/>
      <c r="Y25" s="743"/>
      <c r="Z25" s="621"/>
      <c r="AA25" s="181" t="s">
        <v>257</v>
      </c>
      <c r="AB25" s="182">
        <v>242059.99999999997</v>
      </c>
      <c r="AD25" s="639"/>
      <c r="AP25" s="24"/>
      <c r="AQ25" s="24"/>
    </row>
    <row r="26" spans="1:43" ht="14.25" customHeight="1" thickBot="1">
      <c r="B26" s="408">
        <v>4</v>
      </c>
      <c r="C26" s="716">
        <v>202684.79999999999</v>
      </c>
      <c r="D26" s="619" t="s">
        <v>134</v>
      </c>
      <c r="E26" s="583"/>
      <c r="F26" s="678">
        <v>0.15</v>
      </c>
      <c r="G26" s="377">
        <f>$C$26*F26</f>
        <v>30402.719999999998</v>
      </c>
      <c r="H26" s="378">
        <f>H45</f>
        <v>45691</v>
      </c>
      <c r="I26" s="379"/>
      <c r="J26" s="940"/>
      <c r="K26" s="940"/>
      <c r="L26" s="380"/>
      <c r="M26" s="372">
        <v>4</v>
      </c>
      <c r="N26" s="664" t="s">
        <v>288</v>
      </c>
      <c r="O26" s="619" t="s">
        <v>289</v>
      </c>
      <c r="P26" s="694">
        <f>AF40</f>
        <v>94250</v>
      </c>
      <c r="Q26" s="678">
        <f>Q78</f>
        <v>0.1</v>
      </c>
      <c r="R26" s="377">
        <f>$P$26*Q26</f>
        <v>9425</v>
      </c>
      <c r="S26" s="539" t="str">
        <f>S78</f>
        <v>Matthews Group INV 1423</v>
      </c>
      <c r="T26" s="734">
        <f>T78</f>
        <v>45688</v>
      </c>
      <c r="U26" s="763">
        <v>11255.535941135646</v>
      </c>
      <c r="V26" s="943"/>
      <c r="W26" s="753">
        <f t="shared" ref="W26:W33" si="3">W78</f>
        <v>45695</v>
      </c>
      <c r="X26" s="923"/>
      <c r="Y26" s="945" t="s">
        <v>295</v>
      </c>
      <c r="Z26" s="621"/>
      <c r="AA26" s="181" t="str">
        <f>AA12</f>
        <v>Offloading</v>
      </c>
      <c r="AB26" s="182">
        <v>8500</v>
      </c>
      <c r="AD26" s="639">
        <f>AB25/140000</f>
        <v>1.7289999999999999</v>
      </c>
      <c r="AP26" s="24"/>
      <c r="AQ26" s="24"/>
    </row>
    <row r="27" spans="1:43" ht="14.25" customHeight="1" thickBot="1">
      <c r="B27" s="408">
        <v>4</v>
      </c>
      <c r="C27" s="619"/>
      <c r="D27" s="619" t="s">
        <v>296</v>
      </c>
      <c r="E27" s="649"/>
      <c r="F27" s="678">
        <v>0.2</v>
      </c>
      <c r="G27" s="377">
        <f t="shared" ref="G27:G32" si="4">$C$26*F27</f>
        <v>40536.959999999999</v>
      </c>
      <c r="H27" s="378">
        <f t="shared" ref="H27:H32" si="5">H46</f>
        <v>45756</v>
      </c>
      <c r="I27" s="379"/>
      <c r="J27" s="940"/>
      <c r="K27" s="940"/>
      <c r="L27" s="380"/>
      <c r="M27" s="372">
        <v>4</v>
      </c>
      <c r="N27" s="664" t="s">
        <v>288</v>
      </c>
      <c r="O27" s="619" t="s">
        <v>134</v>
      </c>
      <c r="P27" s="649"/>
      <c r="Q27" s="678">
        <f t="shared" ref="Q27:Q32" si="6">Q79</f>
        <v>0.15</v>
      </c>
      <c r="R27" s="377">
        <f t="shared" ref="R27:R33" si="7">$P$26*Q27</f>
        <v>14137.5</v>
      </c>
      <c r="S27" s="539" t="s">
        <v>297</v>
      </c>
      <c r="T27" s="734">
        <f t="shared" ref="T27:T30" si="8">T79</f>
        <v>45688</v>
      </c>
      <c r="U27" s="763">
        <v>16883.303911703468</v>
      </c>
      <c r="V27" s="943"/>
      <c r="W27" s="753">
        <f t="shared" si="3"/>
        <v>45701</v>
      </c>
      <c r="X27" s="923"/>
      <c r="Y27" s="946"/>
      <c r="Z27" s="621"/>
      <c r="AA27" s="181" t="str">
        <f>AA13</f>
        <v>Roof Access/Scaffolding</v>
      </c>
      <c r="AB27" s="182">
        <v>40675.5</v>
      </c>
      <c r="AD27" s="639"/>
      <c r="AP27" s="24"/>
      <c r="AQ27" s="24"/>
    </row>
    <row r="28" spans="1:43" ht="14.25" customHeight="1" thickBot="1">
      <c r="B28" s="408">
        <v>4</v>
      </c>
      <c r="C28" s="619"/>
      <c r="D28" s="619" t="s">
        <v>298</v>
      </c>
      <c r="E28" s="649"/>
      <c r="F28" s="678">
        <v>0.25</v>
      </c>
      <c r="G28" s="377">
        <f t="shared" si="4"/>
        <v>50671.199999999997</v>
      </c>
      <c r="H28" s="378">
        <f t="shared" si="5"/>
        <v>45719</v>
      </c>
      <c r="I28" s="379"/>
      <c r="J28" s="940"/>
      <c r="K28" s="940"/>
      <c r="L28" s="380"/>
      <c r="M28" s="372">
        <v>4</v>
      </c>
      <c r="N28" s="664" t="s">
        <v>288</v>
      </c>
      <c r="O28" s="619" t="s">
        <v>296</v>
      </c>
      <c r="P28" s="649"/>
      <c r="Q28" s="678">
        <f t="shared" si="6"/>
        <v>0.2</v>
      </c>
      <c r="R28" s="377">
        <f t="shared" si="7"/>
        <v>18850</v>
      </c>
      <c r="S28" s="780" t="s">
        <v>299</v>
      </c>
      <c r="T28" s="734">
        <f t="shared" si="8"/>
        <v>45777</v>
      </c>
      <c r="U28" s="763">
        <v>19482.908475349497</v>
      </c>
      <c r="V28" s="943"/>
      <c r="W28" s="753">
        <f t="shared" si="3"/>
        <v>45771</v>
      </c>
      <c r="X28" s="923"/>
      <c r="Y28" s="946"/>
      <c r="Z28" s="621"/>
      <c r="AA28" s="181" t="str">
        <f>AA14</f>
        <v>Storage</v>
      </c>
      <c r="AB28" s="182">
        <v>4933.333333333333</v>
      </c>
      <c r="AD28" s="639"/>
      <c r="AP28" s="24"/>
      <c r="AQ28" s="24"/>
    </row>
    <row r="29" spans="1:43" ht="14.25" customHeight="1" thickBot="1">
      <c r="B29" s="408">
        <v>4</v>
      </c>
      <c r="C29" s="619"/>
      <c r="D29" s="619" t="s">
        <v>300</v>
      </c>
      <c r="E29" s="649"/>
      <c r="F29" s="678">
        <v>0.1</v>
      </c>
      <c r="G29" s="377">
        <f t="shared" si="4"/>
        <v>20268.48</v>
      </c>
      <c r="H29" s="378">
        <f t="shared" si="5"/>
        <v>45772</v>
      </c>
      <c r="I29" s="379"/>
      <c r="J29" s="940"/>
      <c r="K29" s="940"/>
      <c r="L29" s="380"/>
      <c r="M29" s="372">
        <v>4</v>
      </c>
      <c r="N29" s="664" t="s">
        <v>288</v>
      </c>
      <c r="O29" s="619" t="s">
        <v>298</v>
      </c>
      <c r="P29" s="649"/>
      <c r="Q29" s="678">
        <f t="shared" si="6"/>
        <v>0.25</v>
      </c>
      <c r="R29" s="377">
        <f t="shared" si="7"/>
        <v>23562.5</v>
      </c>
      <c r="S29" s="780" t="s">
        <v>301</v>
      </c>
      <c r="T29" s="734">
        <f t="shared" si="8"/>
        <v>45777</v>
      </c>
      <c r="U29" s="763">
        <v>24353.635594186875</v>
      </c>
      <c r="V29" s="943"/>
      <c r="W29" s="753">
        <f t="shared" si="3"/>
        <v>45771</v>
      </c>
      <c r="X29" s="923"/>
      <c r="Y29" s="946"/>
      <c r="Z29" s="621"/>
      <c r="AA29" s="181" t="str">
        <f>AA15</f>
        <v>Telehandler</v>
      </c>
      <c r="AB29" s="182">
        <f>AB15*0.75</f>
        <v>0</v>
      </c>
      <c r="AD29" s="639"/>
      <c r="AP29" s="24"/>
      <c r="AQ29" s="24"/>
    </row>
    <row r="30" spans="1:43" ht="14.25" customHeight="1" thickBot="1">
      <c r="B30" s="408">
        <v>4</v>
      </c>
      <c r="C30" s="619"/>
      <c r="D30" s="619" t="s">
        <v>302</v>
      </c>
      <c r="E30" s="649"/>
      <c r="F30" s="678">
        <v>0.1</v>
      </c>
      <c r="G30" s="377">
        <f t="shared" si="4"/>
        <v>20268.48</v>
      </c>
      <c r="H30" s="378">
        <f t="shared" si="5"/>
        <v>45758</v>
      </c>
      <c r="I30" s="379"/>
      <c r="J30" s="940"/>
      <c r="K30" s="940"/>
      <c r="L30" s="380"/>
      <c r="M30" s="372">
        <v>4</v>
      </c>
      <c r="N30" s="664" t="s">
        <v>288</v>
      </c>
      <c r="O30" s="619" t="s">
        <v>300</v>
      </c>
      <c r="P30" s="649"/>
      <c r="Q30" s="678">
        <f t="shared" si="6"/>
        <v>0.1</v>
      </c>
      <c r="R30" s="377">
        <f t="shared" si="7"/>
        <v>9425</v>
      </c>
      <c r="S30" s="780" t="s">
        <v>303</v>
      </c>
      <c r="T30" s="734">
        <f t="shared" si="8"/>
        <v>45777</v>
      </c>
      <c r="U30" s="763">
        <v>9741.4542376747486</v>
      </c>
      <c r="V30" s="943"/>
      <c r="W30" s="753">
        <f t="shared" si="3"/>
        <v>45785</v>
      </c>
      <c r="X30" s="923"/>
      <c r="Y30" s="946"/>
      <c r="Z30" s="621"/>
      <c r="AA30" s="181" t="str">
        <f>AA16</f>
        <v>Other</v>
      </c>
      <c r="AB30" s="182">
        <f>AB16*0.75</f>
        <v>0</v>
      </c>
      <c r="AD30" s="639"/>
      <c r="AP30" s="24"/>
      <c r="AQ30" s="24"/>
    </row>
    <row r="31" spans="1:43" ht="15" customHeight="1" thickBot="1">
      <c r="B31" s="372">
        <v>4</v>
      </c>
      <c r="C31" s="373"/>
      <c r="D31" s="411" t="s">
        <v>304</v>
      </c>
      <c r="E31" s="649"/>
      <c r="F31" s="678">
        <v>0.05</v>
      </c>
      <c r="G31" s="377">
        <f t="shared" si="4"/>
        <v>10134.24</v>
      </c>
      <c r="H31" s="378">
        <f t="shared" si="5"/>
        <v>45786</v>
      </c>
      <c r="I31" s="379"/>
      <c r="J31" s="940"/>
      <c r="K31" s="940"/>
      <c r="L31" s="380"/>
      <c r="M31" s="372">
        <v>4</v>
      </c>
      <c r="N31" s="664" t="s">
        <v>288</v>
      </c>
      <c r="O31" s="411" t="s">
        <v>302</v>
      </c>
      <c r="P31" s="649"/>
      <c r="Q31" s="678">
        <f t="shared" si="6"/>
        <v>0.1</v>
      </c>
      <c r="R31" s="377">
        <f t="shared" si="7"/>
        <v>9425</v>
      </c>
      <c r="S31" s="539" t="s">
        <v>305</v>
      </c>
      <c r="T31" s="734">
        <f>T83</f>
        <v>45808</v>
      </c>
      <c r="U31" s="790">
        <v>9741.4542376747486</v>
      </c>
      <c r="V31" s="943"/>
      <c r="W31" s="753">
        <f t="shared" si="3"/>
        <v>45820</v>
      </c>
      <c r="X31" s="923"/>
      <c r="Y31" s="946"/>
      <c r="Z31" s="194"/>
      <c r="AA31" s="181" t="s">
        <v>270</v>
      </c>
      <c r="AB31" s="182">
        <v>0</v>
      </c>
      <c r="AD31" s="639"/>
      <c r="AP31" s="24"/>
      <c r="AQ31" s="24"/>
    </row>
    <row r="32" spans="1:43" ht="15" customHeight="1" thickBot="1">
      <c r="B32" s="372">
        <v>4</v>
      </c>
      <c r="C32" s="411"/>
      <c r="D32" s="648" t="s">
        <v>306</v>
      </c>
      <c r="E32" s="590"/>
      <c r="F32" s="715">
        <v>0.05</v>
      </c>
      <c r="G32" s="377">
        <f t="shared" si="4"/>
        <v>10134.24</v>
      </c>
      <c r="H32" s="378">
        <f t="shared" si="5"/>
        <v>45876</v>
      </c>
      <c r="I32" s="380"/>
      <c r="J32" s="940"/>
      <c r="K32" s="940"/>
      <c r="L32" s="380"/>
      <c r="M32" s="372">
        <v>4</v>
      </c>
      <c r="N32" s="664" t="s">
        <v>288</v>
      </c>
      <c r="O32" s="648" t="s">
        <v>304</v>
      </c>
      <c r="P32" s="590"/>
      <c r="Q32" s="678">
        <f t="shared" si="6"/>
        <v>0.05</v>
      </c>
      <c r="R32" s="377">
        <f t="shared" si="7"/>
        <v>4712.5</v>
      </c>
      <c r="S32" s="539" t="s">
        <v>307</v>
      </c>
      <c r="T32" s="734">
        <v>45838</v>
      </c>
      <c r="U32" s="791">
        <v>4870.7271188373743</v>
      </c>
      <c r="V32" s="943"/>
      <c r="W32" s="753">
        <f t="shared" si="3"/>
        <v>45793</v>
      </c>
      <c r="X32" s="923"/>
      <c r="Y32" s="946"/>
      <c r="Z32" s="194"/>
      <c r="AA32" s="181" t="s">
        <v>270</v>
      </c>
      <c r="AB32" s="182">
        <v>0</v>
      </c>
      <c r="AD32" s="639"/>
      <c r="AP32" s="24"/>
      <c r="AQ32" s="24"/>
    </row>
    <row r="33" spans="1:43" ht="15" customHeight="1" thickBot="1">
      <c r="B33" s="381">
        <v>4</v>
      </c>
      <c r="C33" s="416"/>
      <c r="D33" s="416"/>
      <c r="E33" s="587"/>
      <c r="F33" s="591"/>
      <c r="G33" s="386"/>
      <c r="H33" s="387"/>
      <c r="I33" s="389"/>
      <c r="J33" s="940"/>
      <c r="K33" s="940"/>
      <c r="L33" s="389"/>
      <c r="M33" s="381">
        <v>4</v>
      </c>
      <c r="N33" s="665" t="s">
        <v>288</v>
      </c>
      <c r="O33" s="416" t="s">
        <v>306</v>
      </c>
      <c r="P33" s="587"/>
      <c r="Q33" s="679">
        <f>Q85</f>
        <v>0.05</v>
      </c>
      <c r="R33" s="591">
        <f t="shared" si="7"/>
        <v>4712.5</v>
      </c>
      <c r="S33" s="627" t="s">
        <v>308</v>
      </c>
      <c r="T33" s="730">
        <v>45838</v>
      </c>
      <c r="U33" s="812">
        <v>4870.7271188373743</v>
      </c>
      <c r="V33" s="943"/>
      <c r="W33" s="797">
        <f t="shared" si="3"/>
        <v>45869</v>
      </c>
      <c r="X33" s="923"/>
      <c r="Y33" s="947"/>
      <c r="Z33" s="202"/>
      <c r="AA33" s="181" t="s">
        <v>102</v>
      </c>
      <c r="AB33" s="182">
        <f>SUM(AB22:AB31)</f>
        <v>1741763.315942029</v>
      </c>
      <c r="AP33" s="24"/>
      <c r="AQ33" s="24"/>
    </row>
    <row r="34" spans="1:43" ht="14.45" thickBot="1">
      <c r="A34" s="24"/>
      <c r="B34" s="337"/>
      <c r="C34" s="338"/>
      <c r="D34" s="338"/>
      <c r="E34" s="360"/>
      <c r="F34" s="341"/>
      <c r="G34" s="361"/>
      <c r="H34" s="342"/>
      <c r="I34" s="24"/>
      <c r="J34" s="343"/>
      <c r="K34" s="343"/>
      <c r="L34" s="24"/>
      <c r="M34" s="337"/>
      <c r="N34" s="338"/>
      <c r="O34" s="338"/>
      <c r="P34" s="360"/>
      <c r="Q34" s="341"/>
      <c r="R34" s="361"/>
      <c r="S34" s="536"/>
      <c r="T34" s="526" t="str">
        <f t="shared" ref="T34:T43" si="9">IF(W34&gt;1,EOMONTH(W34,0),"")</f>
        <v/>
      </c>
      <c r="U34" s="505"/>
      <c r="V34" s="634"/>
      <c r="W34" s="466"/>
      <c r="X34" s="475"/>
      <c r="Y34" s="212"/>
      <c r="Z34" s="197"/>
      <c r="AA34" s="618" t="s">
        <v>280</v>
      </c>
      <c r="AB34" s="183">
        <f>+AB33/'Project Plan'!$E$3/1000</f>
        <v>4.3544082898550727</v>
      </c>
      <c r="AD34" s="693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</row>
    <row r="35" spans="1:43" ht="14.25" customHeight="1" thickBot="1">
      <c r="B35" s="344">
        <v>5</v>
      </c>
      <c r="C35" s="394" t="s">
        <v>309</v>
      </c>
      <c r="D35" s="418" t="s">
        <v>310</v>
      </c>
      <c r="E35" s="346"/>
      <c r="F35" s="447"/>
      <c r="G35" s="347">
        <v>26000</v>
      </c>
      <c r="H35" s="348">
        <f>H13</f>
        <v>45742</v>
      </c>
      <c r="I35" s="349"/>
      <c r="J35" s="921">
        <f>SUM(G35:G41)</f>
        <v>174000</v>
      </c>
      <c r="K35" s="921">
        <v>189130.43478260899</v>
      </c>
      <c r="L35" s="350"/>
      <c r="M35" s="344">
        <v>5</v>
      </c>
      <c r="N35" s="660" t="s">
        <v>311</v>
      </c>
      <c r="O35" s="418" t="s">
        <v>310</v>
      </c>
      <c r="P35" s="346"/>
      <c r="Q35" s="447"/>
      <c r="R35" s="347">
        <v>7639.54</v>
      </c>
      <c r="S35" s="528" t="s">
        <v>312</v>
      </c>
      <c r="T35" s="717">
        <v>45688</v>
      </c>
      <c r="U35" s="739">
        <v>31106.653393420871</v>
      </c>
      <c r="V35" s="933">
        <f>K35-SUM(U35:U41)</f>
        <v>-4.858700733166188E-3</v>
      </c>
      <c r="W35" s="778">
        <v>45708</v>
      </c>
      <c r="X35" s="922">
        <f>SUM(R35:R41)</f>
        <v>68208.040000000008</v>
      </c>
      <c r="Y35" s="213"/>
      <c r="Z35" s="198"/>
      <c r="AC35" s="24"/>
      <c r="AP35" s="24"/>
      <c r="AQ35" s="24"/>
    </row>
    <row r="36" spans="1:43" ht="14.25" customHeight="1" thickBot="1">
      <c r="B36" s="351">
        <v>5</v>
      </c>
      <c r="C36" s="395"/>
      <c r="D36" s="420" t="s">
        <v>313</v>
      </c>
      <c r="E36" s="402"/>
      <c r="F36" s="653"/>
      <c r="G36" s="401">
        <v>8000</v>
      </c>
      <c r="H36" s="353">
        <f>H35</f>
        <v>45742</v>
      </c>
      <c r="I36" s="354"/>
      <c r="J36" s="921"/>
      <c r="K36" s="921"/>
      <c r="L36" s="355"/>
      <c r="M36" s="351">
        <v>5</v>
      </c>
      <c r="N36" s="666" t="s">
        <v>311</v>
      </c>
      <c r="O36" s="352" t="s">
        <v>314</v>
      </c>
      <c r="P36" s="650"/>
      <c r="Q36" s="651"/>
      <c r="R36" s="401">
        <v>6486.5</v>
      </c>
      <c r="S36" s="528" t="s">
        <v>315</v>
      </c>
      <c r="T36" s="717">
        <v>45688</v>
      </c>
      <c r="U36" s="732">
        <v>26411.708982009975</v>
      </c>
      <c r="V36" s="933"/>
      <c r="W36" s="769">
        <v>45715</v>
      </c>
      <c r="X36" s="922"/>
      <c r="Y36" s="746" t="s">
        <v>316</v>
      </c>
      <c r="Z36" s="203"/>
      <c r="AC36" s="24"/>
      <c r="AE36" s="639"/>
      <c r="AP36" s="24"/>
      <c r="AQ36" s="24"/>
    </row>
    <row r="37" spans="1:43" ht="14.25" customHeight="1">
      <c r="B37" s="351"/>
      <c r="C37" s="395"/>
      <c r="D37" s="848"/>
      <c r="E37" s="849"/>
      <c r="F37" s="850"/>
      <c r="G37" s="401"/>
      <c r="H37" s="396"/>
      <c r="I37" s="354"/>
      <c r="J37" s="921"/>
      <c r="K37" s="921"/>
      <c r="L37" s="355"/>
      <c r="M37" s="351">
        <v>5</v>
      </c>
      <c r="N37" s="666" t="s">
        <v>311</v>
      </c>
      <c r="O37" s="352"/>
      <c r="P37" s="650"/>
      <c r="Q37" s="651"/>
      <c r="R37" s="401"/>
      <c r="S37" s="528"/>
      <c r="T37" s="717"/>
      <c r="U37" s="732"/>
      <c r="V37" s="933"/>
      <c r="W37" s="769"/>
      <c r="X37" s="922"/>
      <c r="Y37" s="746"/>
      <c r="Z37" s="203"/>
      <c r="AC37" s="24"/>
      <c r="AE37" s="639"/>
      <c r="AP37" s="24"/>
      <c r="AQ37" s="24"/>
    </row>
    <row r="38" spans="1:43" ht="14.25" customHeight="1" thickBot="1">
      <c r="B38" s="351">
        <v>5</v>
      </c>
      <c r="C38" s="395"/>
      <c r="D38" s="352"/>
      <c r="E38" s="650"/>
      <c r="F38" s="651"/>
      <c r="G38" s="401"/>
      <c r="H38" s="396"/>
      <c r="I38" s="354"/>
      <c r="J38" s="921"/>
      <c r="K38" s="921"/>
      <c r="L38" s="355"/>
      <c r="M38" s="351">
        <v>5</v>
      </c>
      <c r="N38" s="666" t="s">
        <v>311</v>
      </c>
      <c r="O38" s="352" t="s">
        <v>317</v>
      </c>
      <c r="P38" s="650"/>
      <c r="Q38" s="651"/>
      <c r="R38" s="401">
        <v>27100</v>
      </c>
      <c r="S38" s="528" t="s">
        <v>318</v>
      </c>
      <c r="T38" s="717">
        <v>45716</v>
      </c>
      <c r="U38" s="732">
        <v>86134.180461736512</v>
      </c>
      <c r="V38" s="933"/>
      <c r="W38" s="718">
        <v>45744</v>
      </c>
      <c r="X38" s="922"/>
      <c r="Y38" s="217" t="s">
        <v>319</v>
      </c>
      <c r="Z38" s="203"/>
      <c r="AA38" s="179" t="s">
        <v>320</v>
      </c>
      <c r="AB38" s="180" t="s">
        <v>286</v>
      </c>
      <c r="AE38" s="179" t="s">
        <v>321</v>
      </c>
      <c r="AF38" s="180" t="s">
        <v>286</v>
      </c>
      <c r="AP38" s="24"/>
      <c r="AQ38" s="24"/>
    </row>
    <row r="39" spans="1:43" ht="14.25" customHeight="1" thickBot="1">
      <c r="B39" s="397">
        <v>5</v>
      </c>
      <c r="C39" s="398"/>
      <c r="D39" s="399" t="s">
        <v>322</v>
      </c>
      <c r="E39" s="568"/>
      <c r="F39" s="448"/>
      <c r="G39" s="401">
        <v>125000</v>
      </c>
      <c r="H39" s="353">
        <f>H35+30</f>
        <v>45772</v>
      </c>
      <c r="I39" s="354"/>
      <c r="J39" s="921"/>
      <c r="K39" s="921"/>
      <c r="L39" s="355"/>
      <c r="M39" s="397">
        <v>5</v>
      </c>
      <c r="N39" s="666" t="s">
        <v>311</v>
      </c>
      <c r="O39" s="352" t="s">
        <v>323</v>
      </c>
      <c r="P39" s="650"/>
      <c r="Q39" s="651"/>
      <c r="R39" s="401">
        <v>11169</v>
      </c>
      <c r="S39" s="537" t="s">
        <v>324</v>
      </c>
      <c r="T39" s="717">
        <v>45688</v>
      </c>
      <c r="U39" s="732">
        <v>45477.896804142358</v>
      </c>
      <c r="V39" s="933"/>
      <c r="W39" s="779">
        <v>45688</v>
      </c>
      <c r="X39" s="922"/>
      <c r="Y39" s="208"/>
      <c r="Z39" s="199"/>
      <c r="AA39" s="181" t="s">
        <v>254</v>
      </c>
      <c r="AB39" s="182">
        <v>2107709.65</v>
      </c>
      <c r="AE39" s="181" t="s">
        <v>254</v>
      </c>
      <c r="AF39" s="182">
        <f>448746+718781.65</f>
        <v>1167527.6499999999</v>
      </c>
      <c r="AI39" s="639">
        <f t="shared" ref="AI39:AI50" si="10">AB39-AF39</f>
        <v>940182</v>
      </c>
      <c r="AP39" s="24"/>
      <c r="AQ39" s="24"/>
    </row>
    <row r="40" spans="1:43" ht="14.25" customHeight="1" thickBot="1">
      <c r="B40" s="397">
        <v>5</v>
      </c>
      <c r="C40" s="398"/>
      <c r="D40" s="399" t="s">
        <v>323</v>
      </c>
      <c r="E40" s="568"/>
      <c r="F40" s="448"/>
      <c r="G40" s="401">
        <v>15000</v>
      </c>
      <c r="H40" s="353">
        <f>H36</f>
        <v>45742</v>
      </c>
      <c r="I40" s="354"/>
      <c r="J40" s="921"/>
      <c r="K40" s="921"/>
      <c r="L40" s="355"/>
      <c r="M40" s="397">
        <v>5</v>
      </c>
      <c r="N40" s="666" t="s">
        <v>311</v>
      </c>
      <c r="O40" s="399" t="s">
        <v>325</v>
      </c>
      <c r="P40" s="568"/>
      <c r="Q40" s="448"/>
      <c r="R40" s="401">
        <v>15813</v>
      </c>
      <c r="S40" s="537" t="s">
        <v>326</v>
      </c>
      <c r="T40" s="851">
        <v>46022</v>
      </c>
      <c r="U40" s="514">
        <v>0</v>
      </c>
      <c r="V40" s="933"/>
      <c r="W40" s="779">
        <v>46029</v>
      </c>
      <c r="X40" s="922"/>
      <c r="Y40" s="957"/>
      <c r="Z40" s="199"/>
      <c r="AA40" s="181" t="s">
        <v>255</v>
      </c>
      <c r="AB40" s="182">
        <v>90086.98</v>
      </c>
      <c r="AE40" s="181" t="s">
        <v>255</v>
      </c>
      <c r="AF40" s="182">
        <v>94250</v>
      </c>
      <c r="AI40" s="639">
        <f t="shared" si="10"/>
        <v>-4163.0200000000041</v>
      </c>
      <c r="AP40" s="24"/>
      <c r="AQ40" s="24"/>
    </row>
    <row r="41" spans="1:43" ht="15" customHeight="1" thickBot="1">
      <c r="B41" s="403">
        <v>5</v>
      </c>
      <c r="C41" s="433"/>
      <c r="D41" s="404"/>
      <c r="E41" s="571"/>
      <c r="F41" s="449"/>
      <c r="G41" s="424"/>
      <c r="H41" s="356"/>
      <c r="I41" s="357"/>
      <c r="J41" s="921"/>
      <c r="K41" s="921"/>
      <c r="L41" s="358"/>
      <c r="M41" s="403">
        <v>5</v>
      </c>
      <c r="N41" s="662" t="s">
        <v>311</v>
      </c>
      <c r="O41" s="404"/>
      <c r="P41" s="405"/>
      <c r="Q41" s="449"/>
      <c r="R41" s="424"/>
      <c r="S41" s="529"/>
      <c r="T41" s="511" t="str">
        <f t="shared" si="9"/>
        <v/>
      </c>
      <c r="U41" s="515">
        <f t="shared" ref="U41" si="11">(R41/$X$35*$K$35)</f>
        <v>0</v>
      </c>
      <c r="V41" s="933"/>
      <c r="W41" s="468"/>
      <c r="X41" s="922"/>
      <c r="Y41" s="959"/>
      <c r="Z41" s="200"/>
      <c r="AA41" s="181" t="s">
        <v>256</v>
      </c>
      <c r="AB41" s="182">
        <v>707500</v>
      </c>
      <c r="AD41" s="639">
        <f>AB41/400/1000</f>
        <v>1.76875</v>
      </c>
      <c r="AE41" s="181" t="s">
        <v>256</v>
      </c>
      <c r="AF41" s="182">
        <v>328952</v>
      </c>
      <c r="AG41" s="639">
        <f>AF41/400/1000</f>
        <v>0.82238</v>
      </c>
      <c r="AI41" s="639">
        <f t="shared" si="10"/>
        <v>378548</v>
      </c>
    </row>
    <row r="42" spans="1:43" ht="14.45" thickBot="1">
      <c r="A42" s="24"/>
      <c r="B42" s="359"/>
      <c r="C42" s="390"/>
      <c r="D42" s="339"/>
      <c r="E42" s="340"/>
      <c r="F42" s="341"/>
      <c r="G42" s="362"/>
      <c r="H42" s="342"/>
      <c r="I42" s="363"/>
      <c r="J42" s="417"/>
      <c r="K42" s="417"/>
      <c r="L42" s="24"/>
      <c r="M42" s="359"/>
      <c r="N42" s="390"/>
      <c r="O42" s="339"/>
      <c r="P42" s="340"/>
      <c r="Q42" s="341"/>
      <c r="R42" s="362"/>
      <c r="S42" s="536"/>
      <c r="T42" s="526" t="str">
        <f t="shared" si="9"/>
        <v/>
      </c>
      <c r="U42" s="505"/>
      <c r="V42" s="634"/>
      <c r="W42" s="466"/>
      <c r="X42" s="476"/>
      <c r="Y42" s="212"/>
      <c r="Z42" s="197"/>
      <c r="AA42" s="181" t="s">
        <v>257</v>
      </c>
      <c r="AB42" s="182">
        <v>487883</v>
      </c>
      <c r="AD42" s="639">
        <f>AB42/400/1000</f>
        <v>1.2197074999999999</v>
      </c>
      <c r="AE42" s="181" t="s">
        <v>257</v>
      </c>
      <c r="AF42" s="182">
        <v>348000</v>
      </c>
      <c r="AG42" s="639">
        <f>AF42/400/1000</f>
        <v>0.87</v>
      </c>
      <c r="AH42" s="24"/>
      <c r="AI42" s="639">
        <f t="shared" si="10"/>
        <v>139883</v>
      </c>
      <c r="AJ42" s="24"/>
      <c r="AK42" s="24"/>
      <c r="AL42" s="24"/>
      <c r="AM42" s="24"/>
      <c r="AN42" s="24"/>
      <c r="AO42" s="24"/>
      <c r="AP42" s="24"/>
      <c r="AQ42" s="24"/>
    </row>
    <row r="43" spans="1:43" ht="14.25" customHeight="1" thickBot="1">
      <c r="B43" s="364">
        <v>6</v>
      </c>
      <c r="C43" s="365" t="s">
        <v>254</v>
      </c>
      <c r="D43" s="366" t="s">
        <v>289</v>
      </c>
      <c r="E43" s="367"/>
      <c r="F43" s="592">
        <v>0.1</v>
      </c>
      <c r="G43" s="368">
        <f>$C$45*F43</f>
        <v>38128.272608695654</v>
      </c>
      <c r="H43" s="369">
        <f>H78</f>
        <v>45684</v>
      </c>
      <c r="I43" s="370"/>
      <c r="J43" s="940">
        <f>SUM(G43:G51)</f>
        <v>381282.72608695657</v>
      </c>
      <c r="K43" s="940">
        <v>414437.745746692</v>
      </c>
      <c r="L43" s="371"/>
      <c r="M43" s="364">
        <v>6</v>
      </c>
      <c r="N43" s="669" t="s">
        <v>327</v>
      </c>
      <c r="O43" s="671"/>
      <c r="P43" s="695"/>
      <c r="Q43" s="680"/>
      <c r="R43" s="672"/>
      <c r="S43" s="539"/>
      <c r="T43" s="506" t="str">
        <f t="shared" si="9"/>
        <v/>
      </c>
      <c r="U43" s="516">
        <f t="shared" ref="U43" si="12">(R43/$X$43*$K$43)</f>
        <v>0</v>
      </c>
      <c r="V43" s="928">
        <f>K43-SUM(U43:U51)</f>
        <v>0</v>
      </c>
      <c r="W43" s="646"/>
      <c r="X43" s="923">
        <f>SUM(R43:R51)</f>
        <v>1167527.6575</v>
      </c>
      <c r="Y43" s="215"/>
      <c r="Z43" s="201"/>
      <c r="AA43" s="181" t="s">
        <v>328</v>
      </c>
      <c r="AB43" s="182">
        <v>45135.199999999997</v>
      </c>
      <c r="AE43" s="181" t="s">
        <v>329</v>
      </c>
      <c r="AF43" s="182">
        <v>76862</v>
      </c>
      <c r="AI43" s="639">
        <f t="shared" si="10"/>
        <v>-31726.800000000003</v>
      </c>
    </row>
    <row r="44" spans="1:43" ht="14.25" customHeight="1" thickBot="1">
      <c r="B44" s="372">
        <v>6</v>
      </c>
      <c r="C44" s="619"/>
      <c r="D44" s="697"/>
      <c r="E44" s="698"/>
      <c r="F44" s="699"/>
      <c r="G44" s="410"/>
      <c r="H44" s="700"/>
      <c r="I44" s="379"/>
      <c r="J44" s="940"/>
      <c r="K44" s="940"/>
      <c r="L44" s="380"/>
      <c r="M44" s="372">
        <v>6</v>
      </c>
      <c r="N44" s="667" t="s">
        <v>327</v>
      </c>
      <c r="O44" s="701" t="s">
        <v>289</v>
      </c>
      <c r="P44" s="702">
        <f>AF39</f>
        <v>1167527.6499999999</v>
      </c>
      <c r="Q44" s="703">
        <f>Q78</f>
        <v>0.1</v>
      </c>
      <c r="R44" s="377">
        <v>116752.77</v>
      </c>
      <c r="S44" s="539" t="str">
        <f>S78</f>
        <v>Matthews Group INV 1423</v>
      </c>
      <c r="T44" s="749">
        <f>T78</f>
        <v>45688</v>
      </c>
      <c r="U44" s="742">
        <v>41443.776083293342</v>
      </c>
      <c r="V44" s="928"/>
      <c r="W44" s="754">
        <f>W78</f>
        <v>45695</v>
      </c>
      <c r="X44" s="923"/>
      <c r="Y44" s="961" t="s">
        <v>295</v>
      </c>
      <c r="Z44" s="621"/>
      <c r="AA44" s="181" t="s">
        <v>330</v>
      </c>
      <c r="AB44" s="182">
        <v>46000</v>
      </c>
      <c r="AE44" s="181" t="s">
        <v>331</v>
      </c>
      <c r="AF44" s="182"/>
      <c r="AI44" s="639">
        <f t="shared" si="10"/>
        <v>46000</v>
      </c>
    </row>
    <row r="45" spans="1:43" ht="14.25" customHeight="1" thickBot="1">
      <c r="B45" s="372">
        <v>6</v>
      </c>
      <c r="C45" s="593">
        <v>381282.72608695651</v>
      </c>
      <c r="D45" s="374" t="s">
        <v>134</v>
      </c>
      <c r="E45" s="375"/>
      <c r="F45" s="376">
        <v>0.15</v>
      </c>
      <c r="G45" s="377">
        <f t="shared" ref="G45:G51" si="13">$C$45*F45</f>
        <v>57192.408913043473</v>
      </c>
      <c r="H45" s="378">
        <f>H79</f>
        <v>45691</v>
      </c>
      <c r="I45" s="379"/>
      <c r="J45" s="940"/>
      <c r="K45" s="940"/>
      <c r="L45" s="380"/>
      <c r="M45" s="372">
        <v>6</v>
      </c>
      <c r="N45" s="667" t="s">
        <v>327</v>
      </c>
      <c r="O45" s="374" t="s">
        <v>134</v>
      </c>
      <c r="P45" s="375"/>
      <c r="Q45" s="703">
        <f t="shared" ref="Q45:Q50" si="14">Q79</f>
        <v>0.15</v>
      </c>
      <c r="R45" s="377">
        <v>175129.15</v>
      </c>
      <c r="S45" s="539" t="s">
        <v>297</v>
      </c>
      <c r="T45" s="749">
        <f t="shared" ref="T45:T50" si="15">T79</f>
        <v>45688</v>
      </c>
      <c r="U45" s="742">
        <v>62165.662350088074</v>
      </c>
      <c r="V45" s="928"/>
      <c r="W45" s="753">
        <f>W79</f>
        <v>45701</v>
      </c>
      <c r="X45" s="923"/>
      <c r="Y45" s="962"/>
      <c r="Z45" s="194"/>
      <c r="AA45" s="181" t="s">
        <v>332</v>
      </c>
      <c r="AB45" s="744">
        <f>87630-42000</f>
        <v>45630</v>
      </c>
      <c r="AE45" s="181" t="s">
        <v>129</v>
      </c>
      <c r="AF45" s="182">
        <v>14375</v>
      </c>
      <c r="AI45" s="639">
        <f t="shared" si="10"/>
        <v>31255</v>
      </c>
    </row>
    <row r="46" spans="1:43" ht="14.25" customHeight="1" thickBot="1">
      <c r="B46" s="372">
        <v>6</v>
      </c>
      <c r="C46" s="593"/>
      <c r="D46" s="374" t="s">
        <v>296</v>
      </c>
      <c r="E46" s="375"/>
      <c r="F46" s="376">
        <v>0.2</v>
      </c>
      <c r="G46" s="377">
        <f t="shared" si="13"/>
        <v>76256.545217391307</v>
      </c>
      <c r="H46" s="378">
        <f t="shared" ref="H46:H50" si="16">H80</f>
        <v>45756</v>
      </c>
      <c r="I46" s="379"/>
      <c r="J46" s="940"/>
      <c r="K46" s="940"/>
      <c r="L46" s="380"/>
      <c r="M46" s="372">
        <v>6</v>
      </c>
      <c r="N46" s="668" t="s">
        <v>327</v>
      </c>
      <c r="O46" s="374" t="s">
        <v>296</v>
      </c>
      <c r="P46" s="375"/>
      <c r="Q46" s="703">
        <f t="shared" si="14"/>
        <v>0.2</v>
      </c>
      <c r="R46" s="377">
        <f t="shared" ref="R46:R51" si="17">$P$44*Q46</f>
        <v>233505.53</v>
      </c>
      <c r="S46" s="539" t="s">
        <v>299</v>
      </c>
      <c r="T46" s="749">
        <f t="shared" si="15"/>
        <v>45777</v>
      </c>
      <c r="U46" s="742">
        <v>82887.548616882821</v>
      </c>
      <c r="V46" s="928"/>
      <c r="W46" s="753">
        <f>W80</f>
        <v>45771</v>
      </c>
      <c r="X46" s="923"/>
      <c r="Y46" s="962"/>
      <c r="Z46" s="194"/>
      <c r="AA46" s="181" t="s">
        <v>129</v>
      </c>
      <c r="AB46" s="182">
        <v>15525</v>
      </c>
      <c r="AE46" s="181" t="s">
        <v>270</v>
      </c>
      <c r="AF46" s="182">
        <v>0</v>
      </c>
      <c r="AI46" s="639">
        <f t="shared" si="10"/>
        <v>15525</v>
      </c>
    </row>
    <row r="47" spans="1:43" ht="14.25" customHeight="1" thickBot="1">
      <c r="B47" s="372">
        <v>6</v>
      </c>
      <c r="C47" s="593"/>
      <c r="D47" s="374" t="s">
        <v>298</v>
      </c>
      <c r="E47" s="375"/>
      <c r="F47" s="376">
        <v>0.25</v>
      </c>
      <c r="G47" s="377">
        <f t="shared" si="13"/>
        <v>95320.681521739127</v>
      </c>
      <c r="H47" s="378">
        <f t="shared" si="16"/>
        <v>45719</v>
      </c>
      <c r="I47" s="379"/>
      <c r="J47" s="940"/>
      <c r="K47" s="940"/>
      <c r="L47" s="380"/>
      <c r="M47" s="372">
        <v>6</v>
      </c>
      <c r="N47" s="667" t="s">
        <v>327</v>
      </c>
      <c r="O47" s="374" t="s">
        <v>298</v>
      </c>
      <c r="P47" s="375"/>
      <c r="Q47" s="703">
        <f t="shared" si="14"/>
        <v>0.25</v>
      </c>
      <c r="R47" s="377">
        <f t="shared" si="17"/>
        <v>291881.91249999998</v>
      </c>
      <c r="S47" s="539" t="s">
        <v>301</v>
      </c>
      <c r="T47" s="749">
        <f t="shared" si="15"/>
        <v>45777</v>
      </c>
      <c r="U47" s="742">
        <v>103609.43577110351</v>
      </c>
      <c r="V47" s="928"/>
      <c r="W47" s="753">
        <f>W81</f>
        <v>45771</v>
      </c>
      <c r="X47" s="923"/>
      <c r="Y47" s="962"/>
      <c r="Z47" s="194"/>
      <c r="AA47" s="181" t="str">
        <f>AA32</f>
        <v>Other</v>
      </c>
      <c r="AB47" s="182">
        <f>AB32*0.75</f>
        <v>0</v>
      </c>
      <c r="AE47" s="181" t="s">
        <v>270</v>
      </c>
      <c r="AF47" s="182">
        <f>AF32*0.75</f>
        <v>0</v>
      </c>
      <c r="AI47" s="639">
        <f t="shared" si="10"/>
        <v>0</v>
      </c>
    </row>
    <row r="48" spans="1:43" ht="14.25" customHeight="1" thickBot="1">
      <c r="B48" s="372">
        <v>6</v>
      </c>
      <c r="C48" s="593"/>
      <c r="D48" s="374" t="s">
        <v>300</v>
      </c>
      <c r="E48" s="375"/>
      <c r="F48" s="376">
        <v>0.1</v>
      </c>
      <c r="G48" s="377">
        <f t="shared" si="13"/>
        <v>38128.272608695654</v>
      </c>
      <c r="H48" s="378">
        <f t="shared" si="16"/>
        <v>45772</v>
      </c>
      <c r="I48" s="379"/>
      <c r="J48" s="940"/>
      <c r="K48" s="940"/>
      <c r="L48" s="380"/>
      <c r="M48" s="372">
        <v>6</v>
      </c>
      <c r="N48" s="668" t="s">
        <v>327</v>
      </c>
      <c r="O48" s="374" t="s">
        <v>300</v>
      </c>
      <c r="P48" s="375"/>
      <c r="Q48" s="703">
        <f t="shared" si="14"/>
        <v>0.1</v>
      </c>
      <c r="R48" s="377">
        <f t="shared" si="17"/>
        <v>116752.765</v>
      </c>
      <c r="S48" s="539" t="s">
        <v>303</v>
      </c>
      <c r="T48" s="749">
        <f t="shared" si="15"/>
        <v>45777</v>
      </c>
      <c r="U48" s="742">
        <v>41443.774308441411</v>
      </c>
      <c r="V48" s="928"/>
      <c r="W48" s="753">
        <f>W82</f>
        <v>45785</v>
      </c>
      <c r="X48" s="923"/>
      <c r="Y48" s="962"/>
      <c r="Z48" s="194"/>
      <c r="AA48" s="181" t="s">
        <v>270</v>
      </c>
      <c r="AB48" s="182">
        <v>0</v>
      </c>
      <c r="AE48" s="181" t="s">
        <v>333</v>
      </c>
      <c r="AF48" s="818">
        <v>190762.14</v>
      </c>
      <c r="AI48" s="639">
        <f t="shared" si="10"/>
        <v>-190762.14</v>
      </c>
    </row>
    <row r="49" spans="1:43" ht="14.25" customHeight="1" thickBot="1">
      <c r="B49" s="372">
        <v>6</v>
      </c>
      <c r="C49" s="593"/>
      <c r="D49" s="374" t="s">
        <v>302</v>
      </c>
      <c r="E49" s="375"/>
      <c r="F49" s="376">
        <v>0.1</v>
      </c>
      <c r="G49" s="377">
        <f t="shared" si="13"/>
        <v>38128.272608695654</v>
      </c>
      <c r="H49" s="378">
        <f t="shared" si="16"/>
        <v>45758</v>
      </c>
      <c r="I49" s="379"/>
      <c r="J49" s="940"/>
      <c r="K49" s="940"/>
      <c r="L49" s="380"/>
      <c r="M49" s="372">
        <v>6</v>
      </c>
      <c r="N49" s="667" t="s">
        <v>327</v>
      </c>
      <c r="O49" s="374" t="s">
        <v>302</v>
      </c>
      <c r="P49" s="375"/>
      <c r="Q49" s="703">
        <f t="shared" si="14"/>
        <v>0.1</v>
      </c>
      <c r="R49" s="377">
        <f t="shared" si="17"/>
        <v>116752.765</v>
      </c>
      <c r="S49" s="539" t="s">
        <v>305</v>
      </c>
      <c r="T49" s="749">
        <f t="shared" si="15"/>
        <v>45808</v>
      </c>
      <c r="U49" s="791">
        <v>41443.774308441411</v>
      </c>
      <c r="V49" s="928"/>
      <c r="W49" s="753">
        <f t="shared" ref="W49:W50" si="18">W83</f>
        <v>45820</v>
      </c>
      <c r="X49" s="923"/>
      <c r="Y49" s="962"/>
      <c r="Z49" s="194"/>
      <c r="AA49" s="181" t="s">
        <v>270</v>
      </c>
      <c r="AB49" s="182">
        <v>0</v>
      </c>
      <c r="AE49" s="181" t="s">
        <v>270</v>
      </c>
      <c r="AF49" s="182">
        <v>0</v>
      </c>
      <c r="AI49" s="639">
        <f t="shared" si="10"/>
        <v>0</v>
      </c>
    </row>
    <row r="50" spans="1:43" ht="14.25" customHeight="1" thickBot="1">
      <c r="B50" s="372">
        <v>6</v>
      </c>
      <c r="C50" s="373"/>
      <c r="D50" s="374" t="s">
        <v>304</v>
      </c>
      <c r="E50" s="375"/>
      <c r="F50" s="376">
        <v>0.05</v>
      </c>
      <c r="G50" s="377">
        <f t="shared" si="13"/>
        <v>19064.136304347827</v>
      </c>
      <c r="H50" s="378">
        <f t="shared" si="16"/>
        <v>45786</v>
      </c>
      <c r="I50" s="379"/>
      <c r="J50" s="940"/>
      <c r="K50" s="940"/>
      <c r="L50" s="380"/>
      <c r="M50" s="372">
        <v>6</v>
      </c>
      <c r="N50" s="668" t="s">
        <v>327</v>
      </c>
      <c r="O50" s="374" t="s">
        <v>304</v>
      </c>
      <c r="P50" s="375"/>
      <c r="Q50" s="703">
        <f t="shared" si="14"/>
        <v>0.05</v>
      </c>
      <c r="R50" s="377">
        <f t="shared" si="17"/>
        <v>58376.3825</v>
      </c>
      <c r="S50" s="539" t="s">
        <v>307</v>
      </c>
      <c r="T50" s="749">
        <f t="shared" si="15"/>
        <v>45838</v>
      </c>
      <c r="U50" s="791">
        <v>20721.887154220705</v>
      </c>
      <c r="V50" s="928"/>
      <c r="W50" s="753">
        <f t="shared" si="18"/>
        <v>45793</v>
      </c>
      <c r="X50" s="923"/>
      <c r="Y50" s="962"/>
      <c r="Z50" s="194"/>
      <c r="AA50" s="181" t="s">
        <v>102</v>
      </c>
      <c r="AB50" s="182">
        <f>SUM(AB39:AB49)</f>
        <v>3545469.83</v>
      </c>
      <c r="AE50" s="181" t="s">
        <v>102</v>
      </c>
      <c r="AF50" s="182">
        <f>SUM(AF39:AF49)</f>
        <v>2220728.79</v>
      </c>
      <c r="AI50" s="639">
        <f t="shared" si="10"/>
        <v>1324741.04</v>
      </c>
    </row>
    <row r="51" spans="1:43" ht="15" customHeight="1" thickBot="1">
      <c r="B51" s="381">
        <v>6</v>
      </c>
      <c r="C51" s="594"/>
      <c r="D51" s="383" t="s">
        <v>306</v>
      </c>
      <c r="E51" s="384"/>
      <c r="F51" s="385">
        <v>0.05</v>
      </c>
      <c r="G51" s="386">
        <f t="shared" si="13"/>
        <v>19064.136304347827</v>
      </c>
      <c r="H51" s="387">
        <f>H85</f>
        <v>45876</v>
      </c>
      <c r="I51" s="388"/>
      <c r="J51" s="940"/>
      <c r="K51" s="940"/>
      <c r="L51" s="389"/>
      <c r="M51" s="381">
        <v>6</v>
      </c>
      <c r="N51" s="670" t="s">
        <v>327</v>
      </c>
      <c r="O51" s="383" t="s">
        <v>306</v>
      </c>
      <c r="P51" s="384"/>
      <c r="Q51" s="385">
        <f>Q85</f>
        <v>0.05</v>
      </c>
      <c r="R51" s="386">
        <f t="shared" si="17"/>
        <v>58376.3825</v>
      </c>
      <c r="S51" s="800" t="s">
        <v>308</v>
      </c>
      <c r="T51" s="801">
        <v>45838</v>
      </c>
      <c r="U51" s="812">
        <v>20721.887154220705</v>
      </c>
      <c r="V51" s="928"/>
      <c r="W51" s="797">
        <f>W85</f>
        <v>45869</v>
      </c>
      <c r="X51" s="923"/>
      <c r="Y51" s="963"/>
      <c r="Z51" s="202"/>
      <c r="AA51" s="618" t="s">
        <v>280</v>
      </c>
      <c r="AB51" s="183">
        <f>+AB50/'Project Plan'!$E$3/1000</f>
        <v>8.863674575000001</v>
      </c>
      <c r="AE51" s="618" t="s">
        <v>280</v>
      </c>
      <c r="AF51" s="183">
        <f>+AF50/'Project Plan'!$E$3/1000</f>
        <v>5.5518219750000002</v>
      </c>
    </row>
    <row r="52" spans="1:43" ht="14.45" thickBot="1">
      <c r="A52" s="24"/>
      <c r="B52" s="359"/>
      <c r="C52" s="425"/>
      <c r="D52" s="391"/>
      <c r="E52" s="392"/>
      <c r="F52" s="393"/>
      <c r="G52" s="362"/>
      <c r="H52" s="342"/>
      <c r="I52" s="363"/>
      <c r="J52" s="343"/>
      <c r="K52" s="343"/>
      <c r="L52" s="24"/>
      <c r="M52" s="359"/>
      <c r="N52" s="425"/>
      <c r="O52" s="391"/>
      <c r="P52" s="392"/>
      <c r="Q52" s="393"/>
      <c r="R52" s="362"/>
      <c r="S52" s="505"/>
      <c r="T52" s="550" t="str">
        <f t="shared" ref="T52:T80" si="19">IF(W52&gt;1,EOMONTH(W52,0),"")</f>
        <v/>
      </c>
      <c r="U52" s="505"/>
      <c r="V52" s="635"/>
      <c r="W52" s="466"/>
      <c r="X52" s="475"/>
      <c r="Y52" s="212"/>
      <c r="Z52" s="197"/>
      <c r="AE52" s="618" t="s">
        <v>334</v>
      </c>
      <c r="AF52" s="819">
        <f>AF50/1400000</f>
        <v>1.5862348500000001</v>
      </c>
      <c r="AG52" s="24" t="s">
        <v>335</v>
      </c>
      <c r="AH52" s="24"/>
      <c r="AI52" s="24"/>
      <c r="AJ52" s="24"/>
      <c r="AK52" s="24"/>
      <c r="AL52" s="24"/>
      <c r="AM52" s="24"/>
      <c r="AN52" s="24"/>
      <c r="AO52" s="24"/>
      <c r="AP52" s="24"/>
      <c r="AQ52" s="24"/>
    </row>
    <row r="53" spans="1:43" ht="14.25" customHeight="1" thickBot="1">
      <c r="B53" s="551">
        <v>7</v>
      </c>
      <c r="C53" s="394" t="s">
        <v>336</v>
      </c>
      <c r="D53" s="552" t="s">
        <v>337</v>
      </c>
      <c r="E53" s="553"/>
      <c r="F53" s="554"/>
      <c r="G53" s="555">
        <v>6161300</v>
      </c>
      <c r="H53" s="556">
        <f>'Project Plan'!E33+30</f>
        <v>45721</v>
      </c>
      <c r="I53" s="349"/>
      <c r="J53" s="921">
        <f>SUM(G53:G64)</f>
        <v>7393826.9565217393</v>
      </c>
      <c r="K53" s="921">
        <v>8036768.4310018905</v>
      </c>
      <c r="L53" s="350"/>
      <c r="M53" s="551">
        <v>7</v>
      </c>
      <c r="N53" s="394" t="s">
        <v>338</v>
      </c>
      <c r="O53" s="552" t="s">
        <v>337</v>
      </c>
      <c r="P53" s="553"/>
      <c r="Q53" s="554"/>
      <c r="R53" s="555"/>
      <c r="S53" s="574"/>
      <c r="T53" s="542"/>
      <c r="U53" s="513">
        <f t="shared" ref="U53:U62" si="20">(R53/$X$53*$K$53)</f>
        <v>0</v>
      </c>
      <c r="V53" s="933">
        <f>K53-SUM(U53:U64)</f>
        <v>-1.2750029563903809E-3</v>
      </c>
      <c r="W53" s="557"/>
      <c r="X53" s="922">
        <f>SUM(R53:R64)</f>
        <v>6386529</v>
      </c>
      <c r="Y53" s="558"/>
      <c r="Z53" s="559"/>
    </row>
    <row r="54" spans="1:43" ht="14.25" customHeight="1" thickBot="1">
      <c r="B54" s="560">
        <v>7</v>
      </c>
      <c r="C54" s="561"/>
      <c r="D54" s="562"/>
      <c r="E54" s="563"/>
      <c r="F54" s="564"/>
      <c r="G54" s="565"/>
      <c r="H54" s="566"/>
      <c r="I54" s="354"/>
      <c r="J54" s="921"/>
      <c r="K54" s="921"/>
      <c r="L54" s="355"/>
      <c r="M54" s="560">
        <v>7</v>
      </c>
      <c r="N54" s="561" t="s">
        <v>338</v>
      </c>
      <c r="O54" s="562" t="s">
        <v>339</v>
      </c>
      <c r="P54" s="563"/>
      <c r="Q54" s="564"/>
      <c r="R54" s="565">
        <v>521100</v>
      </c>
      <c r="S54" s="748" t="s">
        <v>340</v>
      </c>
      <c r="T54" s="747">
        <v>45688</v>
      </c>
      <c r="U54" s="732">
        <v>650850.70315160288</v>
      </c>
      <c r="V54" s="933"/>
      <c r="W54" s="758">
        <v>45701</v>
      </c>
      <c r="X54" s="922"/>
      <c r="Y54" s="954" t="s">
        <v>341</v>
      </c>
      <c r="Z54" s="596"/>
    </row>
    <row r="55" spans="1:43" ht="14.25" customHeight="1" thickBot="1">
      <c r="B55" s="560"/>
      <c r="C55" s="561"/>
      <c r="D55" s="562"/>
      <c r="E55" s="563"/>
      <c r="F55" s="564"/>
      <c r="G55" s="565"/>
      <c r="H55" s="566"/>
      <c r="I55" s="354"/>
      <c r="J55" s="921"/>
      <c r="K55" s="921"/>
      <c r="L55" s="355"/>
      <c r="M55" s="560">
        <v>7</v>
      </c>
      <c r="N55" s="561" t="s">
        <v>338</v>
      </c>
      <c r="O55" s="562" t="s">
        <v>342</v>
      </c>
      <c r="P55" s="563"/>
      <c r="Q55" s="564"/>
      <c r="R55" s="565">
        <v>584600</v>
      </c>
      <c r="S55" s="748" t="s">
        <v>340</v>
      </c>
      <c r="T55" s="747">
        <v>45688</v>
      </c>
      <c r="U55" s="732">
        <v>730161.81359130121</v>
      </c>
      <c r="V55" s="933"/>
      <c r="W55" s="758">
        <f>W54</f>
        <v>45701</v>
      </c>
      <c r="X55" s="922"/>
      <c r="Y55" s="955"/>
      <c r="Z55" s="596"/>
    </row>
    <row r="56" spans="1:43" ht="14.25" customHeight="1" thickBot="1">
      <c r="B56" s="560"/>
      <c r="C56" s="561"/>
      <c r="D56" s="562"/>
      <c r="E56" s="563"/>
      <c r="F56" s="564"/>
      <c r="G56" s="565"/>
      <c r="H56" s="566"/>
      <c r="I56" s="354"/>
      <c r="J56" s="921"/>
      <c r="K56" s="921"/>
      <c r="L56" s="355"/>
      <c r="M56" s="560">
        <v>7</v>
      </c>
      <c r="N56" s="561" t="s">
        <v>338</v>
      </c>
      <c r="O56" s="562" t="s">
        <v>343</v>
      </c>
      <c r="P56" s="563"/>
      <c r="Q56" s="564"/>
      <c r="R56" s="565">
        <v>296000</v>
      </c>
      <c r="S56" s="748" t="s">
        <v>340</v>
      </c>
      <c r="T56" s="747">
        <v>45688</v>
      </c>
      <c r="U56" s="732">
        <v>369702.18409686134</v>
      </c>
      <c r="V56" s="933"/>
      <c r="W56" s="758">
        <f>W54</f>
        <v>45701</v>
      </c>
      <c r="X56" s="922"/>
      <c r="Y56" s="955"/>
      <c r="Z56" s="596"/>
    </row>
    <row r="57" spans="1:43" ht="14.25" customHeight="1" thickBot="1">
      <c r="B57" s="560"/>
      <c r="C57" s="561"/>
      <c r="D57" s="562"/>
      <c r="E57" s="563"/>
      <c r="F57" s="564"/>
      <c r="G57" s="565"/>
      <c r="H57" s="566"/>
      <c r="I57" s="354"/>
      <c r="J57" s="921"/>
      <c r="K57" s="921"/>
      <c r="L57" s="355"/>
      <c r="M57" s="560">
        <v>7</v>
      </c>
      <c r="N57" s="561" t="s">
        <v>338</v>
      </c>
      <c r="O57" s="562" t="s">
        <v>344</v>
      </c>
      <c r="P57" s="603">
        <v>2</v>
      </c>
      <c r="Q57" s="704">
        <v>2461447</v>
      </c>
      <c r="R57" s="565">
        <f>P57*Q57</f>
        <v>4922894</v>
      </c>
      <c r="S57" s="748" t="s">
        <v>345</v>
      </c>
      <c r="T57" s="747">
        <v>45688</v>
      </c>
      <c r="U57" s="732">
        <v>6148664.4049909934</v>
      </c>
      <c r="V57" s="933"/>
      <c r="W57" s="758">
        <f>W54</f>
        <v>45701</v>
      </c>
      <c r="X57" s="922"/>
      <c r="Y57" s="956"/>
      <c r="Z57" s="596"/>
    </row>
    <row r="58" spans="1:43" ht="14.25" customHeight="1" thickBot="1">
      <c r="B58" s="560"/>
      <c r="C58" s="561"/>
      <c r="D58" s="562"/>
      <c r="E58" s="563"/>
      <c r="F58" s="564"/>
      <c r="G58" s="565"/>
      <c r="H58" s="566"/>
      <c r="I58" s="354"/>
      <c r="J58" s="921"/>
      <c r="K58" s="921"/>
      <c r="L58" s="355"/>
      <c r="M58" s="560">
        <v>7</v>
      </c>
      <c r="N58" s="561" t="s">
        <v>338</v>
      </c>
      <c r="O58" s="562" t="s">
        <v>346</v>
      </c>
      <c r="P58" s="563"/>
      <c r="Q58" s="564"/>
      <c r="R58" s="565">
        <v>0</v>
      </c>
      <c r="S58" s="529"/>
      <c r="T58" s="511"/>
      <c r="U58" s="514">
        <f t="shared" si="20"/>
        <v>0</v>
      </c>
      <c r="V58" s="933"/>
      <c r="W58" s="567"/>
      <c r="X58" s="922"/>
      <c r="Y58" s="492"/>
      <c r="Z58" s="596"/>
    </row>
    <row r="59" spans="1:43" ht="14.25" customHeight="1" thickBot="1">
      <c r="B59" s="560">
        <v>7</v>
      </c>
      <c r="C59" s="561"/>
      <c r="D59" s="562" t="s">
        <v>347</v>
      </c>
      <c r="E59" s="563"/>
      <c r="F59" s="564"/>
      <c r="G59" s="565">
        <v>346000</v>
      </c>
      <c r="H59" s="566">
        <f>'Project Plan'!E20</f>
        <v>45684</v>
      </c>
      <c r="I59" s="354"/>
      <c r="J59" s="921"/>
      <c r="K59" s="921"/>
      <c r="L59" s="355"/>
      <c r="M59" s="560">
        <v>7</v>
      </c>
      <c r="N59" s="561" t="s">
        <v>338</v>
      </c>
      <c r="O59" s="562"/>
      <c r="P59" s="563"/>
      <c r="Q59" s="704"/>
      <c r="R59" s="565"/>
      <c r="S59" s="529"/>
      <c r="T59" s="511"/>
      <c r="U59" s="514">
        <f t="shared" si="20"/>
        <v>0</v>
      </c>
      <c r="V59" s="933"/>
      <c r="W59" s="567"/>
      <c r="X59" s="922"/>
      <c r="Y59" s="492"/>
      <c r="Z59" s="596"/>
    </row>
    <row r="60" spans="1:43" ht="14.25" customHeight="1" thickBot="1">
      <c r="B60" s="560">
        <v>7</v>
      </c>
      <c r="C60" s="561"/>
      <c r="D60" s="562" t="s">
        <v>348</v>
      </c>
      <c r="E60" s="563"/>
      <c r="F60" s="564"/>
      <c r="G60" s="565">
        <v>498000</v>
      </c>
      <c r="H60" s="566">
        <f>H59</f>
        <v>45684</v>
      </c>
      <c r="I60" s="354"/>
      <c r="J60" s="921"/>
      <c r="K60" s="921"/>
      <c r="L60" s="355"/>
      <c r="M60" s="560">
        <v>7</v>
      </c>
      <c r="N60" s="561" t="s">
        <v>338</v>
      </c>
      <c r="O60" s="569" t="s">
        <v>349</v>
      </c>
      <c r="P60" s="563"/>
      <c r="Q60" s="704"/>
      <c r="R60" s="565">
        <v>20645</v>
      </c>
      <c r="S60" s="748" t="s">
        <v>350</v>
      </c>
      <c r="T60" s="802">
        <v>45869</v>
      </c>
      <c r="U60" s="514">
        <v>0</v>
      </c>
      <c r="V60" s="933"/>
      <c r="W60" s="758">
        <v>45842</v>
      </c>
      <c r="X60" s="922"/>
      <c r="Y60" s="492" t="s">
        <v>351</v>
      </c>
      <c r="Z60" s="493"/>
    </row>
    <row r="61" spans="1:43" ht="14.25" customHeight="1" thickBot="1">
      <c r="B61" s="560">
        <v>7</v>
      </c>
      <c r="C61" s="561"/>
      <c r="D61" s="562" t="s">
        <v>352</v>
      </c>
      <c r="E61" s="563"/>
      <c r="F61" s="564"/>
      <c r="G61" s="565">
        <v>263526.95652173914</v>
      </c>
      <c r="H61" s="566">
        <f>H60+30</f>
        <v>45714</v>
      </c>
      <c r="I61" s="354"/>
      <c r="J61" s="921"/>
      <c r="K61" s="921"/>
      <c r="L61" s="355"/>
      <c r="M61" s="560">
        <v>7</v>
      </c>
      <c r="N61" s="561" t="s">
        <v>338</v>
      </c>
      <c r="O61" s="562"/>
      <c r="P61" s="563"/>
      <c r="Q61" s="704"/>
      <c r="R61" s="565"/>
      <c r="S61" s="529"/>
      <c r="T61" s="511"/>
      <c r="U61" s="514">
        <f t="shared" si="20"/>
        <v>0</v>
      </c>
      <c r="V61" s="933"/>
      <c r="W61" s="567"/>
      <c r="X61" s="922"/>
      <c r="Y61" s="492"/>
      <c r="Z61" s="493"/>
    </row>
    <row r="62" spans="1:43" ht="14.25" customHeight="1" thickBot="1">
      <c r="B62" s="560">
        <v>7</v>
      </c>
      <c r="C62" s="561"/>
      <c r="D62" s="562" t="s">
        <v>353</v>
      </c>
      <c r="E62" s="563"/>
      <c r="F62" s="564"/>
      <c r="G62" s="565">
        <v>125000</v>
      </c>
      <c r="H62" s="566">
        <f>H61</f>
        <v>45714</v>
      </c>
      <c r="I62" s="354"/>
      <c r="J62" s="921"/>
      <c r="K62" s="921"/>
      <c r="L62" s="355"/>
      <c r="M62" s="560">
        <v>7</v>
      </c>
      <c r="N62" s="561" t="s">
        <v>338</v>
      </c>
      <c r="O62" s="562" t="s">
        <v>354</v>
      </c>
      <c r="P62" s="563"/>
      <c r="Q62" s="564"/>
      <c r="R62" s="565"/>
      <c r="S62" s="529"/>
      <c r="T62" s="511"/>
      <c r="U62" s="514">
        <f t="shared" si="20"/>
        <v>0</v>
      </c>
      <c r="V62" s="933"/>
      <c r="W62" s="567"/>
      <c r="X62" s="922"/>
      <c r="Y62" s="492"/>
      <c r="Z62" s="493"/>
    </row>
    <row r="63" spans="1:43" ht="14.25" customHeight="1" thickBot="1">
      <c r="B63" s="560">
        <v>7</v>
      </c>
      <c r="C63" s="561"/>
      <c r="D63" s="562"/>
      <c r="E63" s="563"/>
      <c r="F63" s="564"/>
      <c r="G63" s="565"/>
      <c r="H63" s="566"/>
      <c r="I63" s="354"/>
      <c r="J63" s="921"/>
      <c r="K63" s="921"/>
      <c r="L63" s="355"/>
      <c r="M63" s="560">
        <v>7</v>
      </c>
      <c r="N63" s="561" t="s">
        <v>338</v>
      </c>
      <c r="O63" s="562" t="s">
        <v>355</v>
      </c>
      <c r="P63" s="563"/>
      <c r="Q63" s="564"/>
      <c r="R63" s="565">
        <f>41290 * 0.8</f>
        <v>33032</v>
      </c>
      <c r="S63" s="748" t="s">
        <v>356</v>
      </c>
      <c r="T63" s="747">
        <v>45777</v>
      </c>
      <c r="U63" s="732">
        <v>126963.80915690806</v>
      </c>
      <c r="V63" s="933"/>
      <c r="W63" s="758">
        <v>45757</v>
      </c>
      <c r="X63" s="922"/>
      <c r="Y63" s="951" t="s">
        <v>357</v>
      </c>
      <c r="Z63" s="493"/>
    </row>
    <row r="64" spans="1:43" ht="15" customHeight="1" thickBot="1">
      <c r="B64" s="403">
        <v>7</v>
      </c>
      <c r="C64" s="433"/>
      <c r="D64" s="422"/>
      <c r="E64" s="406"/>
      <c r="F64" s="423"/>
      <c r="G64" s="424"/>
      <c r="H64" s="356"/>
      <c r="I64" s="357"/>
      <c r="J64" s="921"/>
      <c r="K64" s="921"/>
      <c r="L64" s="358"/>
      <c r="M64" s="403">
        <v>7</v>
      </c>
      <c r="N64" s="433" t="s">
        <v>338</v>
      </c>
      <c r="O64" s="422" t="s">
        <v>358</v>
      </c>
      <c r="P64" s="406"/>
      <c r="Q64" s="423"/>
      <c r="R64" s="424">
        <f>41290* 0.2</f>
        <v>8258</v>
      </c>
      <c r="S64" s="776" t="s">
        <v>356</v>
      </c>
      <c r="T64" s="777">
        <v>45777</v>
      </c>
      <c r="U64" s="783">
        <v>10425.517289227013</v>
      </c>
      <c r="V64" s="933"/>
      <c r="W64" s="758">
        <v>45785</v>
      </c>
      <c r="X64" s="922"/>
      <c r="Y64" s="952"/>
      <c r="Z64" s="200"/>
    </row>
    <row r="65" spans="1:43" ht="14.45" thickBot="1">
      <c r="A65" s="24"/>
      <c r="B65" s="359"/>
      <c r="C65" s="425"/>
      <c r="D65" s="391"/>
      <c r="E65" s="392"/>
      <c r="F65" s="393"/>
      <c r="G65" s="362"/>
      <c r="H65" s="342"/>
      <c r="I65" s="363"/>
      <c r="J65" s="343"/>
      <c r="K65" s="343"/>
      <c r="L65" s="24"/>
      <c r="M65" s="359"/>
      <c r="N65" s="425"/>
      <c r="O65" s="391"/>
      <c r="P65" s="392"/>
      <c r="Q65" s="393"/>
      <c r="R65" s="362"/>
      <c r="S65" s="505"/>
      <c r="T65" s="550" t="str">
        <f t="shared" si="19"/>
        <v/>
      </c>
      <c r="U65" s="505"/>
      <c r="V65" s="635"/>
      <c r="W65" s="466"/>
      <c r="X65" s="475"/>
      <c r="Y65" s="212"/>
      <c r="Z65" s="197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</row>
    <row r="66" spans="1:43" ht="14.25" customHeight="1" thickBot="1">
      <c r="B66" s="426">
        <v>8</v>
      </c>
      <c r="C66" s="365" t="s">
        <v>359</v>
      </c>
      <c r="D66" s="427"/>
      <c r="E66" s="709"/>
      <c r="F66" s="707"/>
      <c r="G66" s="428"/>
      <c r="H66" s="429"/>
      <c r="I66" s="370"/>
      <c r="J66" s="940">
        <f>SUM(G66:G76)</f>
        <v>0</v>
      </c>
      <c r="K66" s="921">
        <v>193988.08</v>
      </c>
      <c r="L66" s="371"/>
      <c r="M66" s="426">
        <v>8</v>
      </c>
      <c r="N66" s="663" t="s">
        <v>360</v>
      </c>
      <c r="O66" s="427" t="s">
        <v>361</v>
      </c>
      <c r="P66" s="727">
        <v>0.7</v>
      </c>
      <c r="Q66" s="707">
        <v>135656</v>
      </c>
      <c r="R66" s="428">
        <f>P66*Q66</f>
        <v>94959.2</v>
      </c>
      <c r="S66" s="539" t="s">
        <v>362</v>
      </c>
      <c r="T66" s="729">
        <v>45657</v>
      </c>
      <c r="U66" s="740">
        <f>(R66/$X$66*$K$66)</f>
        <v>58843.236586052408</v>
      </c>
      <c r="V66" s="928">
        <f>K66-SUM(U66:U76)</f>
        <v>-21238.979577624676</v>
      </c>
      <c r="W66" s="731">
        <v>45638</v>
      </c>
      <c r="X66" s="923">
        <f>SUM(R66:R76)</f>
        <v>313051.31999999995</v>
      </c>
      <c r="Y66" s="960" t="s">
        <v>363</v>
      </c>
      <c r="Z66" s="205"/>
    </row>
    <row r="67" spans="1:43" ht="14.25" customHeight="1" thickBot="1">
      <c r="B67" s="412">
        <v>8</v>
      </c>
      <c r="C67" s="413"/>
      <c r="D67" s="430"/>
      <c r="E67" s="649"/>
      <c r="F67" s="708"/>
      <c r="G67" s="414"/>
      <c r="H67" s="415"/>
      <c r="I67" s="379"/>
      <c r="J67" s="940"/>
      <c r="K67" s="921"/>
      <c r="L67" s="380"/>
      <c r="M67" s="412">
        <v>8</v>
      </c>
      <c r="N67" s="673" t="s">
        <v>360</v>
      </c>
      <c r="O67" s="430" t="s">
        <v>361</v>
      </c>
      <c r="P67" s="829">
        <v>0.3</v>
      </c>
      <c r="Q67" s="828"/>
      <c r="R67" s="377">
        <f>Q66*P67</f>
        <v>40696.799999999996</v>
      </c>
      <c r="S67" s="539" t="s">
        <v>362</v>
      </c>
      <c r="T67" s="730">
        <v>45657</v>
      </c>
      <c r="U67" s="742">
        <f>(R67/$X$66*$K$66)</f>
        <v>25218.529965451031</v>
      </c>
      <c r="V67" s="928"/>
      <c r="W67" s="745">
        <v>45680</v>
      </c>
      <c r="X67" s="923"/>
      <c r="Y67" s="953"/>
      <c r="Z67" s="204"/>
    </row>
    <row r="68" spans="1:43" ht="14.25" customHeight="1" thickBot="1">
      <c r="B68" s="412"/>
      <c r="C68" s="413"/>
      <c r="D68" s="430"/>
      <c r="E68" s="649"/>
      <c r="F68" s="708"/>
      <c r="G68" s="414"/>
      <c r="H68" s="415"/>
      <c r="I68" s="379"/>
      <c r="J68" s="940"/>
      <c r="K68" s="921"/>
      <c r="L68" s="380"/>
      <c r="M68" s="412">
        <v>8</v>
      </c>
      <c r="N68" s="673" t="s">
        <v>360</v>
      </c>
      <c r="O68" s="430" t="s">
        <v>364</v>
      </c>
      <c r="P68" s="825">
        <v>0.8</v>
      </c>
      <c r="Q68" s="824">
        <v>103835</v>
      </c>
      <c r="R68" s="826">
        <f>P68*Q68</f>
        <v>83068</v>
      </c>
      <c r="S68" s="627" t="s">
        <v>365</v>
      </c>
      <c r="T68" s="730">
        <v>45900</v>
      </c>
      <c r="U68" s="791">
        <v>61634.14</v>
      </c>
      <c r="V68" s="928"/>
      <c r="W68" s="745">
        <v>45883</v>
      </c>
      <c r="X68" s="923"/>
      <c r="Y68" s="945" t="s">
        <v>366</v>
      </c>
      <c r="Z68" s="204"/>
    </row>
    <row r="69" spans="1:43" ht="14.25" customHeight="1" thickBot="1">
      <c r="B69" s="412">
        <v>8</v>
      </c>
      <c r="C69" s="413"/>
      <c r="D69" s="430"/>
      <c r="E69" s="649"/>
      <c r="F69" s="711"/>
      <c r="G69" s="414"/>
      <c r="H69" s="415"/>
      <c r="I69" s="379"/>
      <c r="J69" s="940"/>
      <c r="K69" s="921"/>
      <c r="L69" s="380"/>
      <c r="M69" s="412">
        <v>8</v>
      </c>
      <c r="N69" s="673" t="s">
        <v>360</v>
      </c>
      <c r="O69" s="430"/>
      <c r="P69" s="728">
        <v>0.2</v>
      </c>
      <c r="Q69" s="708"/>
      <c r="R69" s="414">
        <f>Q68*P69</f>
        <v>20767</v>
      </c>
      <c r="S69" s="627" t="s">
        <v>365</v>
      </c>
      <c r="T69" s="730">
        <v>45900</v>
      </c>
      <c r="U69" s="791">
        <v>13633.19</v>
      </c>
      <c r="V69" s="928"/>
      <c r="W69" s="745">
        <v>45901</v>
      </c>
      <c r="X69" s="923"/>
      <c r="Y69" s="953"/>
      <c r="Z69" s="204"/>
    </row>
    <row r="70" spans="1:43" ht="14.25" customHeight="1" thickBot="1">
      <c r="B70" s="412">
        <v>8</v>
      </c>
      <c r="C70" s="413"/>
      <c r="D70" s="430"/>
      <c r="E70" s="649"/>
      <c r="F70" s="708"/>
      <c r="G70" s="414"/>
      <c r="H70" s="415"/>
      <c r="I70" s="379"/>
      <c r="J70" s="940"/>
      <c r="K70" s="921"/>
      <c r="L70" s="380"/>
      <c r="M70" s="412">
        <v>8</v>
      </c>
      <c r="N70" s="673" t="s">
        <v>360</v>
      </c>
      <c r="O70" s="430" t="s">
        <v>367</v>
      </c>
      <c r="P70" s="649"/>
      <c r="Q70" s="708"/>
      <c r="R70" s="414">
        <v>6715</v>
      </c>
      <c r="S70" s="627" t="s">
        <v>368</v>
      </c>
      <c r="T70" s="730">
        <v>45747</v>
      </c>
      <c r="U70" s="742">
        <v>9149.5499999999993</v>
      </c>
      <c r="V70" s="928"/>
      <c r="W70" s="745">
        <f>T70+30</f>
        <v>45777</v>
      </c>
      <c r="X70" s="923"/>
      <c r="Y70" s="218" t="s">
        <v>369</v>
      </c>
      <c r="Z70" s="204"/>
    </row>
    <row r="71" spans="1:43" ht="15" customHeight="1" thickBot="1">
      <c r="B71" s="381">
        <v>8</v>
      </c>
      <c r="C71" s="382"/>
      <c r="D71" s="383"/>
      <c r="E71" s="710"/>
      <c r="F71" s="385"/>
      <c r="G71" s="386"/>
      <c r="H71" s="387"/>
      <c r="I71" s="388"/>
      <c r="J71" s="940"/>
      <c r="K71" s="921"/>
      <c r="L71" s="827"/>
      <c r="M71" s="372">
        <v>8</v>
      </c>
      <c r="N71" s="668" t="s">
        <v>360</v>
      </c>
      <c r="O71" s="374" t="s">
        <v>370</v>
      </c>
      <c r="P71" s="590"/>
      <c r="Q71" s="376"/>
      <c r="R71" s="377">
        <v>22794.36</v>
      </c>
      <c r="S71" s="780" t="s">
        <v>371</v>
      </c>
      <c r="T71" s="833">
        <v>45838</v>
      </c>
      <c r="U71" s="791">
        <v>25509.433026121202</v>
      </c>
      <c r="V71" s="928"/>
      <c r="W71" s="753">
        <v>45834</v>
      </c>
      <c r="X71" s="923"/>
      <c r="Y71" s="218" t="s">
        <v>372</v>
      </c>
      <c r="Z71" s="218"/>
    </row>
    <row r="72" spans="1:43" ht="15" customHeight="1" thickBot="1">
      <c r="B72" s="381"/>
      <c r="C72" s="382"/>
      <c r="D72" s="383"/>
      <c r="E72" s="710"/>
      <c r="F72" s="385"/>
      <c r="G72" s="386"/>
      <c r="H72" s="387"/>
      <c r="I72" s="388"/>
      <c r="J72" s="940"/>
      <c r="K72" s="921"/>
      <c r="L72" s="827"/>
      <c r="M72" s="372">
        <v>8</v>
      </c>
      <c r="N72" s="668" t="s">
        <v>360</v>
      </c>
      <c r="O72" s="374"/>
      <c r="P72" s="590"/>
      <c r="Q72" s="376"/>
      <c r="R72" s="377"/>
      <c r="S72" s="780"/>
      <c r="T72" s="833"/>
      <c r="U72" s="791">
        <v>0</v>
      </c>
      <c r="V72" s="928"/>
      <c r="W72" s="753"/>
      <c r="X72" s="923"/>
      <c r="Y72" s="218"/>
      <c r="Z72" s="218"/>
    </row>
    <row r="73" spans="1:43" ht="15" customHeight="1" thickBot="1">
      <c r="B73" s="381"/>
      <c r="C73" s="382"/>
      <c r="D73" s="383"/>
      <c r="E73" s="710"/>
      <c r="F73" s="385"/>
      <c r="G73" s="386"/>
      <c r="H73" s="387"/>
      <c r="I73" s="388"/>
      <c r="J73" s="940"/>
      <c r="K73" s="921"/>
      <c r="L73" s="827"/>
      <c r="M73" s="372">
        <v>8</v>
      </c>
      <c r="N73" s="668" t="s">
        <v>360</v>
      </c>
      <c r="O73" s="374"/>
      <c r="P73" s="590"/>
      <c r="Q73" s="376"/>
      <c r="R73" s="377"/>
      <c r="S73" s="780"/>
      <c r="T73" s="833"/>
      <c r="U73" s="791">
        <v>0</v>
      </c>
      <c r="V73" s="928"/>
      <c r="W73" s="753"/>
      <c r="X73" s="923"/>
      <c r="Y73" s="218"/>
      <c r="Z73" s="218"/>
    </row>
    <row r="74" spans="1:43" ht="15" customHeight="1">
      <c r="B74" s="381">
        <v>8</v>
      </c>
      <c r="C74" s="382"/>
      <c r="D74" s="383"/>
      <c r="E74" s="710"/>
      <c r="F74" s="385"/>
      <c r="G74" s="386"/>
      <c r="H74" s="387"/>
      <c r="I74" s="388"/>
      <c r="J74" s="940"/>
      <c r="K74" s="921"/>
      <c r="L74" s="827"/>
      <c r="M74" s="372">
        <v>8</v>
      </c>
      <c r="N74" s="668" t="s">
        <v>360</v>
      </c>
      <c r="O74" s="374" t="s">
        <v>373</v>
      </c>
      <c r="P74" s="590"/>
      <c r="Q74" s="376"/>
      <c r="R74" s="885">
        <v>7200</v>
      </c>
      <c r="S74" s="780" t="s">
        <v>374</v>
      </c>
      <c r="T74" s="833">
        <v>45900</v>
      </c>
      <c r="U74" s="791">
        <v>0</v>
      </c>
      <c r="V74" s="928"/>
      <c r="W74" s="753">
        <f>T74+30</f>
        <v>45930</v>
      </c>
      <c r="X74" s="923"/>
      <c r="Y74" s="218" t="s">
        <v>375</v>
      </c>
      <c r="Z74" s="218"/>
    </row>
    <row r="75" spans="1:43" ht="15" customHeight="1" thickBot="1">
      <c r="B75" s="381">
        <v>8</v>
      </c>
      <c r="C75" s="382"/>
      <c r="D75" s="383"/>
      <c r="E75" s="710"/>
      <c r="F75" s="385"/>
      <c r="G75" s="386"/>
      <c r="H75" s="387"/>
      <c r="I75" s="388"/>
      <c r="J75" s="940"/>
      <c r="K75" s="921"/>
      <c r="L75" s="827"/>
      <c r="M75" s="372">
        <v>8</v>
      </c>
      <c r="N75" s="668" t="s">
        <v>360</v>
      </c>
      <c r="O75" s="374" t="s">
        <v>376</v>
      </c>
      <c r="P75" s="590"/>
      <c r="Q75" s="376"/>
      <c r="R75" s="377">
        <v>36485.85</v>
      </c>
      <c r="S75" s="780" t="s">
        <v>377</v>
      </c>
      <c r="T75" s="833">
        <v>45900</v>
      </c>
      <c r="U75" s="791">
        <v>21238.98</v>
      </c>
      <c r="V75" s="928"/>
      <c r="W75" s="753">
        <v>45888</v>
      </c>
      <c r="X75" s="923"/>
      <c r="Y75" s="218" t="s">
        <v>378</v>
      </c>
      <c r="Z75" s="218"/>
    </row>
    <row r="76" spans="1:43" ht="15" customHeight="1" thickBot="1">
      <c r="B76" s="381">
        <v>8</v>
      </c>
      <c r="C76" s="382"/>
      <c r="D76" s="383"/>
      <c r="E76" s="710"/>
      <c r="F76" s="385"/>
      <c r="G76" s="386"/>
      <c r="H76" s="387"/>
      <c r="I76" s="388"/>
      <c r="J76" s="940"/>
      <c r="K76" s="921"/>
      <c r="L76" s="389"/>
      <c r="M76" s="585">
        <v>8</v>
      </c>
      <c r="N76" s="820" t="s">
        <v>360</v>
      </c>
      <c r="O76" s="821" t="s">
        <v>379</v>
      </c>
      <c r="P76" s="587"/>
      <c r="Q76" s="822"/>
      <c r="R76" s="589">
        <v>365.11</v>
      </c>
      <c r="S76" s="823" t="s">
        <v>380</v>
      </c>
      <c r="T76" s="830">
        <v>45869</v>
      </c>
      <c r="U76" s="831"/>
      <c r="V76" s="928"/>
      <c r="W76" s="832">
        <v>45900</v>
      </c>
      <c r="X76" s="923"/>
      <c r="Y76" s="216" t="s">
        <v>372</v>
      </c>
      <c r="Z76" s="202"/>
    </row>
    <row r="77" spans="1:43" ht="22.5" customHeight="1" thickBot="1">
      <c r="A77" s="24"/>
      <c r="B77" s="431"/>
      <c r="C77" s="166"/>
      <c r="D77" s="166"/>
      <c r="E77" s="166"/>
      <c r="F77" s="166"/>
      <c r="G77" s="166"/>
      <c r="H77" s="166"/>
      <c r="I77" s="166"/>
      <c r="J77" s="684"/>
      <c r="K77" s="685"/>
      <c r="L77" s="166" t="s">
        <v>381</v>
      </c>
      <c r="M77" s="431"/>
      <c r="N77" s="166"/>
      <c r="O77" s="166"/>
      <c r="P77" s="166"/>
      <c r="Q77" s="166"/>
      <c r="R77" s="166"/>
      <c r="S77" s="540"/>
      <c r="T77" s="192" t="str">
        <f t="shared" si="19"/>
        <v/>
      </c>
      <c r="U77" s="512"/>
      <c r="V77" s="689"/>
      <c r="W77" s="478"/>
      <c r="X77" s="690"/>
      <c r="Y77" s="219"/>
      <c r="Z77" s="166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</row>
    <row r="78" spans="1:43" ht="15" customHeight="1" thickBot="1">
      <c r="B78" s="397">
        <v>9</v>
      </c>
      <c r="C78" s="692" t="s">
        <v>382</v>
      </c>
      <c r="D78" s="418" t="s">
        <v>289</v>
      </c>
      <c r="E78" s="402"/>
      <c r="F78" s="419">
        <v>0.1</v>
      </c>
      <c r="G78" s="401">
        <f>SUM($C$79:$C$80)*F78</f>
        <v>34216</v>
      </c>
      <c r="H78" s="353">
        <f>'Project Plan'!E21-7</f>
        <v>45684</v>
      </c>
      <c r="I78" s="354"/>
      <c r="J78" s="944">
        <f>SUM(G78:G85)</f>
        <v>342160</v>
      </c>
      <c r="K78" s="921">
        <f>117764.705882353+284776.470588235</f>
        <v>402541.17647058802</v>
      </c>
      <c r="L78" s="355"/>
      <c r="M78" s="397">
        <v>9</v>
      </c>
      <c r="N78" s="661" t="s">
        <v>383</v>
      </c>
      <c r="O78" s="418" t="s">
        <v>289</v>
      </c>
      <c r="P78" s="696">
        <f>AF41+AF42</f>
        <v>676952</v>
      </c>
      <c r="Q78" s="419">
        <v>0.1</v>
      </c>
      <c r="R78" s="347">
        <f>$P$78*Q78</f>
        <v>67695.199999999997</v>
      </c>
      <c r="S78" s="541" t="s">
        <v>384</v>
      </c>
      <c r="T78" s="750">
        <v>45688</v>
      </c>
      <c r="U78" s="764">
        <v>40254.117647058811</v>
      </c>
      <c r="V78" s="929">
        <v>0</v>
      </c>
      <c r="W78" s="755">
        <v>45695</v>
      </c>
      <c r="X78" s="924">
        <f>SUM(R78:R85)</f>
        <v>676951.99999999988</v>
      </c>
      <c r="Y78" s="948" t="s">
        <v>295</v>
      </c>
      <c r="Z78" s="199"/>
    </row>
    <row r="79" spans="1:43" ht="15" customHeight="1" thickBot="1">
      <c r="B79" s="397">
        <v>9</v>
      </c>
      <c r="C79" s="692">
        <v>100100</v>
      </c>
      <c r="D79" s="420" t="s">
        <v>134</v>
      </c>
      <c r="E79" s="402"/>
      <c r="F79" s="421">
        <v>0.15</v>
      </c>
      <c r="G79" s="401">
        <f t="shared" ref="G79:G85" si="21">SUM($C$79:$C$80)*F79</f>
        <v>51324</v>
      </c>
      <c r="H79" s="353">
        <f>'Project Plan'!I21</f>
        <v>45691</v>
      </c>
      <c r="I79" s="354"/>
      <c r="J79" s="944"/>
      <c r="K79" s="921"/>
      <c r="L79" s="355"/>
      <c r="M79" s="397">
        <v>9</v>
      </c>
      <c r="N79" s="661" t="s">
        <v>383</v>
      </c>
      <c r="O79" s="420" t="s">
        <v>134</v>
      </c>
      <c r="P79" s="402"/>
      <c r="Q79" s="421">
        <v>0.15</v>
      </c>
      <c r="R79" s="401">
        <f t="shared" ref="R79:R85" si="22">$P$78*Q79</f>
        <v>101542.8</v>
      </c>
      <c r="S79" s="528" t="s">
        <v>297</v>
      </c>
      <c r="T79" s="717">
        <v>45688</v>
      </c>
      <c r="U79" s="765">
        <v>60381.176470588209</v>
      </c>
      <c r="V79" s="929"/>
      <c r="W79" s="757">
        <v>45701</v>
      </c>
      <c r="X79" s="924"/>
      <c r="Y79" s="949"/>
      <c r="Z79" s="199"/>
    </row>
    <row r="80" spans="1:43" ht="15" customHeight="1" thickBot="1">
      <c r="B80" s="397">
        <v>9</v>
      </c>
      <c r="C80" s="692">
        <v>242059.99999999997</v>
      </c>
      <c r="D80" s="420" t="s">
        <v>296</v>
      </c>
      <c r="E80" s="402"/>
      <c r="F80" s="421">
        <v>0.2</v>
      </c>
      <c r="G80" s="401">
        <f t="shared" si="21"/>
        <v>68432</v>
      </c>
      <c r="H80" s="353">
        <f>'Project Plan'!G24</f>
        <v>45756</v>
      </c>
      <c r="I80" s="354"/>
      <c r="J80" s="944"/>
      <c r="K80" s="921"/>
      <c r="L80" s="355"/>
      <c r="M80" s="397">
        <v>9</v>
      </c>
      <c r="N80" s="661" t="s">
        <v>383</v>
      </c>
      <c r="O80" s="420" t="s">
        <v>296</v>
      </c>
      <c r="P80" s="402"/>
      <c r="Q80" s="421">
        <v>0.2</v>
      </c>
      <c r="R80" s="401">
        <f t="shared" si="22"/>
        <v>135390.39999999999</v>
      </c>
      <c r="S80" s="528" t="s">
        <v>299</v>
      </c>
      <c r="T80" s="717">
        <f t="shared" si="19"/>
        <v>45777</v>
      </c>
      <c r="U80" s="765">
        <v>80508.235294117621</v>
      </c>
      <c r="V80" s="929"/>
      <c r="W80" s="757">
        <v>45771</v>
      </c>
      <c r="X80" s="924"/>
      <c r="Y80" s="949"/>
      <c r="Z80" s="199"/>
    </row>
    <row r="81" spans="1:43" ht="15" customHeight="1" thickBot="1">
      <c r="B81" s="397">
        <v>9</v>
      </c>
      <c r="C81" s="432"/>
      <c r="D81" s="420" t="s">
        <v>298</v>
      </c>
      <c r="E81" s="402"/>
      <c r="F81" s="421">
        <v>0.25</v>
      </c>
      <c r="G81" s="401">
        <f t="shared" si="21"/>
        <v>85540</v>
      </c>
      <c r="H81" s="353">
        <f>'Project Plan'!G33</f>
        <v>45719</v>
      </c>
      <c r="I81" s="354"/>
      <c r="J81" s="944"/>
      <c r="K81" s="921"/>
      <c r="L81" s="355"/>
      <c r="M81" s="397">
        <v>9</v>
      </c>
      <c r="N81" s="661" t="s">
        <v>383</v>
      </c>
      <c r="O81" s="420" t="s">
        <v>298</v>
      </c>
      <c r="P81" s="402"/>
      <c r="Q81" s="421">
        <v>0.25</v>
      </c>
      <c r="R81" s="401">
        <f t="shared" si="22"/>
        <v>169238</v>
      </c>
      <c r="S81" s="528" t="s">
        <v>301</v>
      </c>
      <c r="T81" s="717">
        <v>45777</v>
      </c>
      <c r="U81" s="765">
        <v>100635.29411764703</v>
      </c>
      <c r="V81" s="929"/>
      <c r="W81" s="757">
        <v>45771</v>
      </c>
      <c r="X81" s="924"/>
      <c r="Y81" s="949"/>
      <c r="Z81" s="199"/>
    </row>
    <row r="82" spans="1:43" ht="15" customHeight="1" thickBot="1">
      <c r="B82" s="397">
        <v>9</v>
      </c>
      <c r="C82" s="432"/>
      <c r="D82" s="420" t="s">
        <v>300</v>
      </c>
      <c r="E82" s="402"/>
      <c r="F82" s="421">
        <v>0.1</v>
      </c>
      <c r="G82" s="401">
        <f t="shared" si="21"/>
        <v>34216</v>
      </c>
      <c r="H82" s="353">
        <f>'Project Plan'!G43</f>
        <v>45772</v>
      </c>
      <c r="I82" s="354"/>
      <c r="J82" s="944"/>
      <c r="K82" s="921"/>
      <c r="L82" s="355"/>
      <c r="M82" s="397">
        <v>9</v>
      </c>
      <c r="N82" s="661" t="s">
        <v>383</v>
      </c>
      <c r="O82" s="420" t="s">
        <v>300</v>
      </c>
      <c r="P82" s="402"/>
      <c r="Q82" s="421">
        <v>0.1</v>
      </c>
      <c r="R82" s="401">
        <f t="shared" si="22"/>
        <v>67695.199999999997</v>
      </c>
      <c r="S82" s="537" t="s">
        <v>303</v>
      </c>
      <c r="T82" s="759">
        <v>45777</v>
      </c>
      <c r="U82" s="784">
        <v>40254.117647058811</v>
      </c>
      <c r="V82" s="929"/>
      <c r="W82" s="796">
        <v>45785</v>
      </c>
      <c r="X82" s="924"/>
      <c r="Y82" s="949"/>
      <c r="Z82" s="199"/>
    </row>
    <row r="83" spans="1:43" ht="15" customHeight="1" thickBot="1">
      <c r="B83" s="397">
        <v>9</v>
      </c>
      <c r="C83" s="432"/>
      <c r="D83" s="420" t="s">
        <v>302</v>
      </c>
      <c r="E83" s="402"/>
      <c r="F83" s="421">
        <v>0.1</v>
      </c>
      <c r="G83" s="401">
        <f t="shared" si="21"/>
        <v>34216</v>
      </c>
      <c r="H83" s="353">
        <f>'Project Plan'!G53</f>
        <v>45758</v>
      </c>
      <c r="I83" s="354"/>
      <c r="J83" s="944"/>
      <c r="K83" s="921"/>
      <c r="L83" s="355"/>
      <c r="M83" s="397">
        <v>9</v>
      </c>
      <c r="N83" s="661" t="s">
        <v>383</v>
      </c>
      <c r="O83" s="420" t="s">
        <v>302</v>
      </c>
      <c r="P83" s="402"/>
      <c r="Q83" s="421">
        <v>0.1</v>
      </c>
      <c r="R83" s="401">
        <f t="shared" si="22"/>
        <v>67695.199999999997</v>
      </c>
      <c r="S83" s="537" t="s">
        <v>305</v>
      </c>
      <c r="T83" s="759">
        <v>45808</v>
      </c>
      <c r="U83" s="792">
        <v>40254.117647058811</v>
      </c>
      <c r="V83" s="929"/>
      <c r="W83" s="796">
        <v>45820</v>
      </c>
      <c r="X83" s="924"/>
      <c r="Y83" s="949"/>
      <c r="Z83" s="199"/>
    </row>
    <row r="84" spans="1:43" ht="15" customHeight="1" thickBot="1">
      <c r="B84" s="560">
        <v>9</v>
      </c>
      <c r="C84" s="652"/>
      <c r="D84" s="562" t="s">
        <v>304</v>
      </c>
      <c r="E84" s="563"/>
      <c r="F84" s="564">
        <v>0.05</v>
      </c>
      <c r="G84" s="565">
        <f t="shared" si="21"/>
        <v>17108</v>
      </c>
      <c r="H84" s="566">
        <f>'Project Plan'!G55</f>
        <v>45786</v>
      </c>
      <c r="I84" s="354"/>
      <c r="J84" s="944"/>
      <c r="K84" s="921"/>
      <c r="L84" s="355"/>
      <c r="M84" s="397">
        <v>9</v>
      </c>
      <c r="N84" s="661" t="s">
        <v>383</v>
      </c>
      <c r="O84" s="562" t="s">
        <v>304</v>
      </c>
      <c r="P84" s="563"/>
      <c r="Q84" s="564">
        <v>0.05</v>
      </c>
      <c r="R84" s="565">
        <f t="shared" si="22"/>
        <v>33847.599999999999</v>
      </c>
      <c r="S84" s="537" t="s">
        <v>307</v>
      </c>
      <c r="T84" s="747">
        <v>45838</v>
      </c>
      <c r="U84" s="813">
        <v>20127.058823529405</v>
      </c>
      <c r="V84" s="929"/>
      <c r="W84" s="798">
        <f>'Project Plan'!K55+7</f>
        <v>45793</v>
      </c>
      <c r="X84" s="924"/>
      <c r="Y84" s="950"/>
      <c r="Z84" s="493"/>
    </row>
    <row r="85" spans="1:43" ht="15" customHeight="1" thickBot="1">
      <c r="B85" s="403">
        <v>9</v>
      </c>
      <c r="C85" s="681"/>
      <c r="D85" s="422" t="s">
        <v>306</v>
      </c>
      <c r="E85" s="406"/>
      <c r="F85" s="423">
        <v>0.05</v>
      </c>
      <c r="G85" s="424">
        <f t="shared" si="21"/>
        <v>17108</v>
      </c>
      <c r="H85" s="682">
        <f>H84+90</f>
        <v>45876</v>
      </c>
      <c r="I85" s="683"/>
      <c r="J85" s="944"/>
      <c r="K85" s="921"/>
      <c r="L85" s="494"/>
      <c r="M85" s="686">
        <v>9</v>
      </c>
      <c r="N85" s="687" t="s">
        <v>383</v>
      </c>
      <c r="O85" s="422" t="s">
        <v>306</v>
      </c>
      <c r="P85" s="406"/>
      <c r="Q85" s="423">
        <v>0.05</v>
      </c>
      <c r="R85" s="688">
        <f t="shared" si="22"/>
        <v>33847.599999999999</v>
      </c>
      <c r="S85" s="537" t="s">
        <v>308</v>
      </c>
      <c r="T85" s="799">
        <v>45838</v>
      </c>
      <c r="U85" s="814">
        <v>20127.058823529405</v>
      </c>
      <c r="V85" s="929"/>
      <c r="W85" s="682">
        <v>45869</v>
      </c>
      <c r="X85" s="924"/>
      <c r="Y85" s="691"/>
      <c r="Z85" s="200"/>
    </row>
    <row r="86" spans="1:43" ht="14.45" thickBot="1">
      <c r="A86" s="24"/>
      <c r="B86" s="359"/>
      <c r="C86" s="390"/>
      <c r="D86" s="391"/>
      <c r="E86" s="392"/>
      <c r="F86" s="393"/>
      <c r="G86" s="362"/>
      <c r="H86" s="342"/>
      <c r="I86" s="363"/>
      <c r="J86" s="343"/>
      <c r="K86" s="595"/>
      <c r="L86" s="24"/>
      <c r="M86" s="359"/>
      <c r="N86" s="390"/>
      <c r="O86" s="391"/>
      <c r="P86" s="392"/>
      <c r="Q86" s="393"/>
      <c r="R86" s="362"/>
      <c r="S86" s="633"/>
      <c r="T86" s="543" t="str">
        <f t="shared" ref="T86:T128" si="23">IF(W86&gt;1,EOMONTH(W86,0),"")</f>
        <v/>
      </c>
      <c r="U86" s="505"/>
      <c r="V86" s="634"/>
      <c r="W86" s="466"/>
      <c r="X86" s="475"/>
      <c r="Y86" s="212"/>
      <c r="Z86" s="197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</row>
    <row r="87" spans="1:43" ht="14.25" customHeight="1" thickBot="1">
      <c r="B87" s="321">
        <v>10</v>
      </c>
      <c r="C87" s="322" t="s">
        <v>385</v>
      </c>
      <c r="D87" s="322"/>
      <c r="E87" s="323"/>
      <c r="F87" s="434"/>
      <c r="G87" s="435"/>
      <c r="H87" s="325"/>
      <c r="I87" s="326"/>
      <c r="J87" s="926">
        <f>SUM(G87:G98)</f>
        <v>54108.833333333328</v>
      </c>
      <c r="K87" s="926">
        <f>10000+5803.92156862745+47853.5294117647</f>
        <v>63657.450980392154</v>
      </c>
      <c r="L87" s="436"/>
      <c r="M87" s="321">
        <v>10</v>
      </c>
      <c r="N87" s="674" t="s">
        <v>386</v>
      </c>
      <c r="O87" s="322" t="s">
        <v>387</v>
      </c>
      <c r="P87" s="323"/>
      <c r="Q87" s="434"/>
      <c r="R87" s="435">
        <v>16380</v>
      </c>
      <c r="S87" s="614" t="s">
        <v>388</v>
      </c>
      <c r="T87" s="772">
        <v>45747</v>
      </c>
      <c r="U87" s="741">
        <v>3052.5431209584194</v>
      </c>
      <c r="V87" s="930">
        <f>K87-SUM(U87:U98)</f>
        <v>-3.5580334952101111E-4</v>
      </c>
      <c r="W87" s="773">
        <v>45736</v>
      </c>
      <c r="X87" s="936">
        <f>SUM(R87:R98)</f>
        <v>114637</v>
      </c>
      <c r="Y87" s="207" t="s">
        <v>389</v>
      </c>
      <c r="Z87" s="193"/>
      <c r="AA87" s="24"/>
      <c r="AB87" s="24"/>
    </row>
    <row r="88" spans="1:43" ht="14.25" customHeight="1" thickBot="1">
      <c r="B88" s="437">
        <v>10</v>
      </c>
      <c r="C88" s="331"/>
      <c r="D88" s="331" t="s">
        <v>258</v>
      </c>
      <c r="E88" s="442"/>
      <c r="F88" s="443"/>
      <c r="G88" s="324">
        <v>8500</v>
      </c>
      <c r="H88" s="328">
        <f>H82</f>
        <v>45772</v>
      </c>
      <c r="I88" s="329"/>
      <c r="J88" s="926"/>
      <c r="K88" s="926"/>
      <c r="L88" s="330"/>
      <c r="M88" s="437">
        <v>10</v>
      </c>
      <c r="N88" s="675" t="s">
        <v>386</v>
      </c>
      <c r="O88" s="331" t="s">
        <v>390</v>
      </c>
      <c r="P88" s="442"/>
      <c r="Q88" s="443"/>
      <c r="R88" s="324">
        <v>7020</v>
      </c>
      <c r="S88" s="752" t="s">
        <v>391</v>
      </c>
      <c r="T88" s="751">
        <v>45747</v>
      </c>
      <c r="U88" s="766">
        <v>109.27</v>
      </c>
      <c r="V88" s="930"/>
      <c r="W88" s="775">
        <v>45750</v>
      </c>
      <c r="X88" s="936"/>
      <c r="Y88" s="210" t="s">
        <v>392</v>
      </c>
      <c r="Z88" s="195"/>
    </row>
    <row r="89" spans="1:43" ht="14.25" customHeight="1" thickBot="1">
      <c r="B89" s="437">
        <v>10</v>
      </c>
      <c r="C89" s="331"/>
      <c r="D89" s="331" t="s">
        <v>266</v>
      </c>
      <c r="E89" s="442"/>
      <c r="F89" s="443"/>
      <c r="G89" s="324">
        <v>4933.333333333333</v>
      </c>
      <c r="H89" s="328">
        <f>H88</f>
        <v>45772</v>
      </c>
      <c r="I89" s="329"/>
      <c r="J89" s="926"/>
      <c r="K89" s="926"/>
      <c r="L89" s="330"/>
      <c r="M89" s="437">
        <v>10</v>
      </c>
      <c r="N89" s="675" t="s">
        <v>386</v>
      </c>
      <c r="O89" s="331" t="s">
        <v>289</v>
      </c>
      <c r="P89" s="713">
        <f>SUM(AF43:AF45)</f>
        <v>91237</v>
      </c>
      <c r="Q89" s="712">
        <f>Q78</f>
        <v>0.1</v>
      </c>
      <c r="R89" s="324">
        <f>$P$89*Q89</f>
        <v>9123.7000000000007</v>
      </c>
      <c r="S89" s="752" t="str">
        <f>S78</f>
        <v>Matthews Group INV 1423</v>
      </c>
      <c r="T89" s="751">
        <f>T78</f>
        <v>45688</v>
      </c>
      <c r="U89" s="766">
        <v>6079.160758102219</v>
      </c>
      <c r="V89" s="930"/>
      <c r="W89" s="756">
        <f>W78</f>
        <v>45695</v>
      </c>
      <c r="X89" s="936"/>
      <c r="Y89" s="964" t="s">
        <v>295</v>
      </c>
      <c r="Z89" s="195"/>
    </row>
    <row r="90" spans="1:43" ht="15" customHeight="1" thickBot="1">
      <c r="B90" s="437">
        <v>10</v>
      </c>
      <c r="C90" s="438"/>
      <c r="D90" s="438" t="s">
        <v>393</v>
      </c>
      <c r="E90" s="439"/>
      <c r="F90" s="440"/>
      <c r="G90" s="441">
        <v>40675.5</v>
      </c>
      <c r="H90" s="328">
        <f>H88</f>
        <v>45772</v>
      </c>
      <c r="I90" s="329"/>
      <c r="J90" s="926"/>
      <c r="K90" s="926"/>
      <c r="L90" s="330"/>
      <c r="M90" s="437">
        <v>10</v>
      </c>
      <c r="N90" s="675" t="s">
        <v>386</v>
      </c>
      <c r="O90" s="438" t="s">
        <v>134</v>
      </c>
      <c r="P90" s="439"/>
      <c r="Q90" s="712">
        <f t="shared" ref="Q90:Q96" si="24">Q79</f>
        <v>0.15</v>
      </c>
      <c r="R90" s="324">
        <f t="shared" ref="R90:R96" si="25">$P$89*Q90</f>
        <v>13685.55</v>
      </c>
      <c r="S90" s="502" t="s">
        <v>297</v>
      </c>
      <c r="T90" s="751">
        <f t="shared" ref="T90:T96" si="26">T79</f>
        <v>45688</v>
      </c>
      <c r="U90" s="766">
        <v>9118.741137153329</v>
      </c>
      <c r="V90" s="930"/>
      <c r="W90" s="756">
        <f t="shared" ref="W90:W96" si="27">W79</f>
        <v>45701</v>
      </c>
      <c r="X90" s="936"/>
      <c r="Y90" s="965"/>
      <c r="Z90" s="206"/>
    </row>
    <row r="91" spans="1:43" ht="15" customHeight="1" thickBot="1">
      <c r="B91" s="437">
        <v>10</v>
      </c>
      <c r="C91" s="438"/>
      <c r="D91" s="438"/>
      <c r="E91" s="439"/>
      <c r="F91" s="440"/>
      <c r="G91" s="441"/>
      <c r="H91" s="328"/>
      <c r="I91" s="329"/>
      <c r="J91" s="926"/>
      <c r="K91" s="926"/>
      <c r="L91" s="330"/>
      <c r="M91" s="437">
        <v>10</v>
      </c>
      <c r="N91" s="675" t="s">
        <v>386</v>
      </c>
      <c r="O91" s="438" t="s">
        <v>296</v>
      </c>
      <c r="P91" s="439"/>
      <c r="Q91" s="712">
        <f t="shared" si="24"/>
        <v>0.2</v>
      </c>
      <c r="R91" s="324">
        <f t="shared" si="25"/>
        <v>18247.400000000001</v>
      </c>
      <c r="S91" s="502" t="s">
        <v>299</v>
      </c>
      <c r="T91" s="751">
        <f t="shared" si="26"/>
        <v>45777</v>
      </c>
      <c r="U91" s="766">
        <v>12684.565018661742</v>
      </c>
      <c r="V91" s="930"/>
      <c r="W91" s="756">
        <f t="shared" si="27"/>
        <v>45771</v>
      </c>
      <c r="X91" s="936"/>
      <c r="Y91" s="965"/>
      <c r="Z91" s="206"/>
    </row>
    <row r="92" spans="1:43" ht="15" customHeight="1" thickBot="1">
      <c r="B92" s="437">
        <v>10</v>
      </c>
      <c r="C92" s="438"/>
      <c r="D92" s="438"/>
      <c r="E92" s="439"/>
      <c r="F92" s="440"/>
      <c r="G92" s="441"/>
      <c r="H92" s="328"/>
      <c r="I92" s="329"/>
      <c r="J92" s="926"/>
      <c r="K92" s="926"/>
      <c r="L92" s="330"/>
      <c r="M92" s="437">
        <v>10</v>
      </c>
      <c r="N92" s="675" t="s">
        <v>386</v>
      </c>
      <c r="O92" s="438" t="s">
        <v>298</v>
      </c>
      <c r="P92" s="439"/>
      <c r="Q92" s="712">
        <f t="shared" si="24"/>
        <v>0.25</v>
      </c>
      <c r="R92" s="324">
        <f t="shared" si="25"/>
        <v>22809.25</v>
      </c>
      <c r="S92" s="502" t="s">
        <v>301</v>
      </c>
      <c r="T92" s="751">
        <f t="shared" si="26"/>
        <v>45777</v>
      </c>
      <c r="U92" s="766">
        <v>14824.168773327177</v>
      </c>
      <c r="V92" s="930"/>
      <c r="W92" s="756">
        <f t="shared" si="27"/>
        <v>45771</v>
      </c>
      <c r="X92" s="936"/>
      <c r="Y92" s="965"/>
      <c r="Z92" s="206"/>
    </row>
    <row r="93" spans="1:43" ht="15" customHeight="1" thickBot="1">
      <c r="B93" s="437">
        <v>10</v>
      </c>
      <c r="C93" s="438"/>
      <c r="D93" s="438"/>
      <c r="E93" s="439"/>
      <c r="F93" s="440"/>
      <c r="G93" s="441"/>
      <c r="H93" s="328"/>
      <c r="I93" s="329"/>
      <c r="J93" s="926"/>
      <c r="K93" s="926"/>
      <c r="L93" s="330"/>
      <c r="M93" s="437">
        <v>10</v>
      </c>
      <c r="N93" s="675" t="s">
        <v>386</v>
      </c>
      <c r="O93" s="438" t="s">
        <v>300</v>
      </c>
      <c r="P93" s="439"/>
      <c r="Q93" s="712">
        <f t="shared" si="24"/>
        <v>0.1</v>
      </c>
      <c r="R93" s="324">
        <f t="shared" si="25"/>
        <v>9123.7000000000007</v>
      </c>
      <c r="S93" s="502" t="s">
        <v>303</v>
      </c>
      <c r="T93" s="751">
        <f t="shared" si="26"/>
        <v>45777</v>
      </c>
      <c r="U93" s="766">
        <v>5929.6675093308704</v>
      </c>
      <c r="V93" s="930"/>
      <c r="W93" s="756">
        <f t="shared" si="27"/>
        <v>45785</v>
      </c>
      <c r="X93" s="936"/>
      <c r="Y93" s="965"/>
      <c r="Z93" s="206"/>
    </row>
    <row r="94" spans="1:43" ht="15" customHeight="1" thickBot="1">
      <c r="B94" s="437">
        <v>10</v>
      </c>
      <c r="C94" s="438"/>
      <c r="D94" s="438"/>
      <c r="E94" s="439"/>
      <c r="F94" s="440"/>
      <c r="G94" s="441"/>
      <c r="H94" s="328"/>
      <c r="I94" s="329"/>
      <c r="J94" s="926"/>
      <c r="K94" s="926"/>
      <c r="L94" s="330"/>
      <c r="M94" s="437">
        <v>10</v>
      </c>
      <c r="N94" s="675" t="s">
        <v>386</v>
      </c>
      <c r="O94" s="438" t="s">
        <v>302</v>
      </c>
      <c r="P94" s="439"/>
      <c r="Q94" s="712">
        <f t="shared" si="24"/>
        <v>0.1</v>
      </c>
      <c r="R94" s="324">
        <f t="shared" si="25"/>
        <v>9123.7000000000007</v>
      </c>
      <c r="S94" s="502" t="s">
        <v>305</v>
      </c>
      <c r="T94" s="751">
        <f t="shared" si="26"/>
        <v>45808</v>
      </c>
      <c r="U94" s="793">
        <v>5929.6675093308704</v>
      </c>
      <c r="V94" s="930"/>
      <c r="W94" s="756">
        <f t="shared" si="27"/>
        <v>45820</v>
      </c>
      <c r="X94" s="936"/>
      <c r="Y94" s="965"/>
      <c r="Z94" s="206"/>
    </row>
    <row r="95" spans="1:43" ht="15" customHeight="1" thickBot="1">
      <c r="B95" s="437">
        <v>10</v>
      </c>
      <c r="C95" s="438"/>
      <c r="D95" s="438"/>
      <c r="E95" s="439"/>
      <c r="F95" s="440"/>
      <c r="G95" s="441"/>
      <c r="H95" s="328"/>
      <c r="I95" s="329"/>
      <c r="J95" s="926"/>
      <c r="K95" s="926"/>
      <c r="L95" s="330"/>
      <c r="M95" s="437">
        <v>10</v>
      </c>
      <c r="N95" s="675" t="s">
        <v>386</v>
      </c>
      <c r="O95" s="438" t="s">
        <v>304</v>
      </c>
      <c r="P95" s="439"/>
      <c r="Q95" s="712">
        <f t="shared" si="24"/>
        <v>0.05</v>
      </c>
      <c r="R95" s="324">
        <f t="shared" si="25"/>
        <v>4561.8500000000004</v>
      </c>
      <c r="S95" s="502" t="s">
        <v>307</v>
      </c>
      <c r="T95" s="751">
        <f t="shared" si="26"/>
        <v>45838</v>
      </c>
      <c r="U95" s="793">
        <v>2964.8337546654352</v>
      </c>
      <c r="V95" s="930"/>
      <c r="W95" s="756">
        <f t="shared" si="27"/>
        <v>45793</v>
      </c>
      <c r="X95" s="936"/>
      <c r="Y95" s="965"/>
      <c r="Z95" s="206"/>
    </row>
    <row r="96" spans="1:43" ht="15" customHeight="1" thickBot="1">
      <c r="B96" s="437">
        <v>10</v>
      </c>
      <c r="C96" s="438"/>
      <c r="D96" s="438"/>
      <c r="E96" s="439"/>
      <c r="F96" s="440"/>
      <c r="G96" s="441"/>
      <c r="H96" s="328"/>
      <c r="I96" s="329"/>
      <c r="J96" s="926"/>
      <c r="K96" s="926"/>
      <c r="L96" s="330"/>
      <c r="M96" s="437">
        <v>10</v>
      </c>
      <c r="N96" s="675" t="s">
        <v>386</v>
      </c>
      <c r="O96" s="438" t="s">
        <v>306</v>
      </c>
      <c r="P96" s="439"/>
      <c r="Q96" s="712">
        <f t="shared" si="24"/>
        <v>0.05</v>
      </c>
      <c r="R96" s="324">
        <f t="shared" si="25"/>
        <v>4561.8500000000004</v>
      </c>
      <c r="S96" s="502" t="s">
        <v>308</v>
      </c>
      <c r="T96" s="751">
        <f t="shared" si="26"/>
        <v>45838</v>
      </c>
      <c r="U96" s="793">
        <v>2964.8337546654352</v>
      </c>
      <c r="V96" s="930"/>
      <c r="W96" s="756">
        <f t="shared" si="27"/>
        <v>45869</v>
      </c>
      <c r="X96" s="936"/>
      <c r="Y96" s="966"/>
      <c r="Z96" s="206"/>
    </row>
    <row r="97" spans="1:43" ht="15" customHeight="1" thickBot="1">
      <c r="B97" s="437">
        <v>10</v>
      </c>
      <c r="C97" s="438"/>
      <c r="D97" s="438"/>
      <c r="E97" s="439"/>
      <c r="F97" s="440"/>
      <c r="G97" s="441"/>
      <c r="H97" s="328"/>
      <c r="I97" s="329"/>
      <c r="J97" s="926"/>
      <c r="K97" s="926"/>
      <c r="L97" s="330"/>
      <c r="M97" s="437">
        <v>10</v>
      </c>
      <c r="N97" s="675" t="s">
        <v>386</v>
      </c>
      <c r="O97" s="438"/>
      <c r="P97" s="439"/>
      <c r="Q97" s="440"/>
      <c r="R97" s="441"/>
      <c r="S97" s="461"/>
      <c r="T97" s="507" t="str">
        <f t="shared" si="23"/>
        <v/>
      </c>
      <c r="U97" s="544">
        <f t="shared" ref="U97:U98" si="28">(R97/$X$87*$K$87)</f>
        <v>0</v>
      </c>
      <c r="V97" s="930"/>
      <c r="W97" s="470"/>
      <c r="X97" s="936"/>
      <c r="Y97" s="220"/>
      <c r="Z97" s="206"/>
    </row>
    <row r="98" spans="1:43" ht="15" customHeight="1" thickBot="1">
      <c r="B98" s="332">
        <v>10</v>
      </c>
      <c r="C98" s="444"/>
      <c r="D98" s="444"/>
      <c r="E98" s="445"/>
      <c r="F98" s="446"/>
      <c r="G98" s="333"/>
      <c r="H98" s="334"/>
      <c r="I98" s="335"/>
      <c r="J98" s="926"/>
      <c r="K98" s="926"/>
      <c r="L98" s="336"/>
      <c r="M98" s="332">
        <v>10</v>
      </c>
      <c r="N98" s="676" t="s">
        <v>386</v>
      </c>
      <c r="O98" s="444"/>
      <c r="P98" s="445"/>
      <c r="Q98" s="446"/>
      <c r="R98" s="333"/>
      <c r="S98" s="527"/>
      <c r="T98" s="525" t="str">
        <f t="shared" si="23"/>
        <v/>
      </c>
      <c r="U98" s="545">
        <f t="shared" si="28"/>
        <v>0</v>
      </c>
      <c r="V98" s="930"/>
      <c r="W98" s="465"/>
      <c r="X98" s="936"/>
      <c r="Y98" s="211"/>
      <c r="Z98" s="196"/>
    </row>
    <row r="99" spans="1:43" ht="14.45" thickBot="1">
      <c r="A99" s="24"/>
      <c r="B99" s="337"/>
      <c r="C99" s="338"/>
      <c r="D99" s="338"/>
      <c r="E99" s="360"/>
      <c r="F99" s="341"/>
      <c r="G99" s="341"/>
      <c r="H99" s="342"/>
      <c r="I99" s="363"/>
      <c r="J99" s="343"/>
      <c r="K99" s="595"/>
      <c r="L99" s="24"/>
      <c r="M99" s="337"/>
      <c r="N99" s="338"/>
      <c r="O99" s="338"/>
      <c r="P99" s="360"/>
      <c r="Q99" s="341"/>
      <c r="R99" s="341"/>
      <c r="S99" s="536"/>
      <c r="T99" s="526" t="str">
        <f t="shared" si="23"/>
        <v/>
      </c>
      <c r="U99" s="505"/>
      <c r="V99" s="634"/>
      <c r="W99" s="466"/>
      <c r="X99" s="475"/>
      <c r="Y99" s="212"/>
      <c r="Z99" s="197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</row>
    <row r="100" spans="1:43" ht="14.25" customHeight="1" thickBot="1">
      <c r="B100" s="344">
        <v>11</v>
      </c>
      <c r="C100" s="345" t="s">
        <v>394</v>
      </c>
      <c r="D100" s="479" t="s">
        <v>395</v>
      </c>
      <c r="E100" s="346"/>
      <c r="F100" s="447"/>
      <c r="G100" s="347">
        <v>11000</v>
      </c>
      <c r="H100" s="348">
        <f>'Project Plan'!E57</f>
        <v>45763</v>
      </c>
      <c r="I100" s="349"/>
      <c r="J100" s="921">
        <f>SUM(G100:G105)</f>
        <v>111020</v>
      </c>
      <c r="K100" s="921">
        <v>130611.764705882</v>
      </c>
      <c r="L100" s="350"/>
      <c r="M100" s="344">
        <v>11</v>
      </c>
      <c r="N100" s="479" t="s">
        <v>396</v>
      </c>
      <c r="O100" s="479" t="s">
        <v>395</v>
      </c>
      <c r="P100" s="346"/>
      <c r="Q100" s="447"/>
      <c r="R100" s="347">
        <v>15750</v>
      </c>
      <c r="S100" s="528" t="s">
        <v>397</v>
      </c>
      <c r="T100" s="757">
        <v>45808</v>
      </c>
      <c r="U100" s="795">
        <v>76116.379468817002</v>
      </c>
      <c r="V100" s="931">
        <f>K100-SUM(U100:U105)</f>
        <v>1.0185568826273084E-3</v>
      </c>
      <c r="W100" s="774">
        <v>45862</v>
      </c>
      <c r="X100" s="922">
        <f>SUM(R100:R105)</f>
        <v>38759.07</v>
      </c>
      <c r="Y100" s="213"/>
      <c r="Z100" s="198"/>
    </row>
    <row r="101" spans="1:43" ht="14.25" customHeight="1" thickBot="1">
      <c r="B101" s="351"/>
      <c r="C101" s="352"/>
      <c r="D101" s="785"/>
      <c r="E101" s="786"/>
      <c r="F101" s="787"/>
      <c r="G101" s="788"/>
      <c r="H101" s="396"/>
      <c r="I101" s="354"/>
      <c r="J101" s="921"/>
      <c r="K101" s="921"/>
      <c r="L101" s="355"/>
      <c r="M101" s="344">
        <v>11</v>
      </c>
      <c r="N101" s="479" t="s">
        <v>396</v>
      </c>
      <c r="O101" s="785" t="s">
        <v>398</v>
      </c>
      <c r="P101" s="786"/>
      <c r="Q101" s="787"/>
      <c r="R101" s="788">
        <f>2564.19+1418.48</f>
        <v>3982.67</v>
      </c>
      <c r="S101" s="528" t="s">
        <v>397</v>
      </c>
      <c r="T101" s="717">
        <v>45808</v>
      </c>
      <c r="U101" s="817">
        <v>13420.950423763396</v>
      </c>
      <c r="V101" s="932"/>
      <c r="W101" s="769">
        <f>W100</f>
        <v>45862</v>
      </c>
      <c r="X101" s="922"/>
      <c r="Y101" s="217"/>
      <c r="Z101" s="203"/>
    </row>
    <row r="102" spans="1:43" ht="15" customHeight="1" thickBot="1">
      <c r="B102" s="397">
        <v>11</v>
      </c>
      <c r="C102" s="399"/>
      <c r="D102" s="399" t="s">
        <v>399</v>
      </c>
      <c r="E102" s="400"/>
      <c r="F102" s="448"/>
      <c r="G102" s="401">
        <v>20020</v>
      </c>
      <c r="H102" s="353">
        <f>'Project Plan'!E21</f>
        <v>45691</v>
      </c>
      <c r="I102" s="354"/>
      <c r="J102" s="921"/>
      <c r="K102" s="921"/>
      <c r="L102" s="355"/>
      <c r="M102" s="397">
        <v>11</v>
      </c>
      <c r="N102" s="575" t="s">
        <v>396</v>
      </c>
      <c r="O102" s="399" t="s">
        <v>399</v>
      </c>
      <c r="P102" s="400"/>
      <c r="Q102" s="448"/>
      <c r="R102" s="401">
        <v>11026.4</v>
      </c>
      <c r="S102" s="537" t="s">
        <v>400</v>
      </c>
      <c r="T102" s="717">
        <v>45626</v>
      </c>
      <c r="U102" s="732">
        <v>14115.734382012277</v>
      </c>
      <c r="V102" s="932"/>
      <c r="W102" s="718">
        <v>45624</v>
      </c>
      <c r="X102" s="922"/>
      <c r="Y102" s="208" t="s">
        <v>401</v>
      </c>
      <c r="Z102" s="199"/>
    </row>
    <row r="103" spans="1:43" ht="15" customHeight="1" thickBot="1">
      <c r="B103" s="397">
        <v>11</v>
      </c>
      <c r="C103" s="399"/>
      <c r="D103" s="399"/>
      <c r="E103" s="400"/>
      <c r="F103" s="448"/>
      <c r="G103" s="401"/>
      <c r="H103" s="353"/>
      <c r="I103" s="354"/>
      <c r="J103" s="921"/>
      <c r="K103" s="921"/>
      <c r="L103" s="355"/>
      <c r="M103" s="397">
        <v>11</v>
      </c>
      <c r="N103" s="575" t="s">
        <v>396</v>
      </c>
      <c r="O103" s="399" t="s">
        <v>402</v>
      </c>
      <c r="P103" s="400"/>
      <c r="Q103" s="448"/>
      <c r="R103" s="401">
        <v>8000</v>
      </c>
      <c r="S103" s="537" t="s">
        <v>403</v>
      </c>
      <c r="T103" s="717">
        <v>45808</v>
      </c>
      <c r="U103" s="794">
        <v>26958.699412732451</v>
      </c>
      <c r="V103" s="932"/>
      <c r="W103" s="717">
        <v>45808</v>
      </c>
      <c r="X103" s="922"/>
      <c r="Y103" s="208"/>
      <c r="Z103" s="199"/>
      <c r="AA103" s="24"/>
      <c r="AB103" s="24"/>
    </row>
    <row r="104" spans="1:43" ht="14.25" customHeight="1" thickBot="1">
      <c r="B104" s="397">
        <v>11</v>
      </c>
      <c r="C104" s="399"/>
      <c r="D104" s="399" t="s">
        <v>404</v>
      </c>
      <c r="E104" s="400"/>
      <c r="F104" s="448"/>
      <c r="G104" s="401">
        <v>80000</v>
      </c>
      <c r="H104" s="353">
        <f>H100</f>
        <v>45763</v>
      </c>
      <c r="I104" s="354"/>
      <c r="J104" s="921"/>
      <c r="K104" s="921"/>
      <c r="L104" s="355"/>
      <c r="M104" s="397">
        <v>11</v>
      </c>
      <c r="N104" s="575" t="s">
        <v>396</v>
      </c>
      <c r="O104" s="399" t="s">
        <v>404</v>
      </c>
      <c r="P104" s="400"/>
      <c r="Q104" s="448"/>
      <c r="R104" s="401"/>
      <c r="S104" s="460"/>
      <c r="T104" s="509"/>
      <c r="U104" s="514">
        <v>0</v>
      </c>
      <c r="V104" s="932"/>
      <c r="W104" s="467"/>
      <c r="X104" s="922"/>
      <c r="Y104" s="208"/>
      <c r="Z104" s="199" t="s">
        <v>405</v>
      </c>
    </row>
    <row r="105" spans="1:43" ht="15" customHeight="1" thickBot="1">
      <c r="B105" s="403">
        <v>11</v>
      </c>
      <c r="C105" s="404"/>
      <c r="D105" s="404"/>
      <c r="E105" s="405"/>
      <c r="F105" s="449"/>
      <c r="G105" s="424"/>
      <c r="H105" s="356"/>
      <c r="I105" s="357"/>
      <c r="J105" s="921"/>
      <c r="K105" s="921"/>
      <c r="L105" s="358"/>
      <c r="M105" s="403">
        <v>11</v>
      </c>
      <c r="N105" s="656" t="s">
        <v>396</v>
      </c>
      <c r="O105" s="404"/>
      <c r="P105" s="405"/>
      <c r="Q105" s="714"/>
      <c r="R105" s="424"/>
      <c r="S105" s="529"/>
      <c r="T105" s="511" t="str">
        <f t="shared" si="23"/>
        <v/>
      </c>
      <c r="U105" s="515">
        <f t="shared" ref="U105" si="29">R105/$X$100*$K$100</f>
        <v>0</v>
      </c>
      <c r="V105" s="932"/>
      <c r="W105" s="468"/>
      <c r="X105" s="922"/>
      <c r="Y105" s="214"/>
      <c r="Z105" s="200"/>
    </row>
    <row r="106" spans="1:43" ht="15" customHeight="1" thickBot="1">
      <c r="A106" s="24"/>
      <c r="B106" s="359"/>
      <c r="C106" s="338"/>
      <c r="D106" s="338"/>
      <c r="E106" s="360"/>
      <c r="F106" s="341"/>
      <c r="G106" s="362"/>
      <c r="H106" s="342"/>
      <c r="I106" s="363"/>
      <c r="J106" s="343"/>
      <c r="K106" s="343"/>
      <c r="L106" s="24"/>
      <c r="M106" s="359"/>
      <c r="N106" s="338"/>
      <c r="O106" s="338"/>
      <c r="P106" s="360"/>
      <c r="Q106" s="341"/>
      <c r="R106" s="362"/>
      <c r="S106" s="536"/>
      <c r="T106" s="526" t="str">
        <f t="shared" si="23"/>
        <v/>
      </c>
      <c r="U106" s="505"/>
      <c r="V106" s="634"/>
      <c r="W106" s="466"/>
      <c r="X106" s="475"/>
      <c r="Y106" s="212"/>
      <c r="Z106" s="197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</row>
    <row r="107" spans="1:43" ht="14.45" thickBot="1">
      <c r="B107" s="321">
        <v>12</v>
      </c>
      <c r="C107" s="322" t="s">
        <v>406</v>
      </c>
      <c r="D107" s="322"/>
      <c r="E107" s="323"/>
      <c r="F107" s="616"/>
      <c r="G107" s="435"/>
      <c r="H107" s="325"/>
      <c r="I107" s="925"/>
      <c r="J107" s="926">
        <f>SUM(G107:G107)</f>
        <v>0</v>
      </c>
      <c r="K107" s="926">
        <v>0</v>
      </c>
      <c r="L107" s="927"/>
      <c r="M107" s="321">
        <v>12</v>
      </c>
      <c r="N107" s="322" t="s">
        <v>406</v>
      </c>
      <c r="O107" s="322"/>
      <c r="P107" s="323"/>
      <c r="Q107" s="616"/>
      <c r="R107" s="435"/>
      <c r="S107" s="614"/>
      <c r="T107" s="628"/>
      <c r="U107" s="617"/>
      <c r="V107" s="636"/>
      <c r="W107" s="629"/>
      <c r="X107" s="934">
        <f>SUM(R107:R108)</f>
        <v>0</v>
      </c>
      <c r="Y107" s="207"/>
      <c r="Z107" s="193"/>
    </row>
    <row r="108" spans="1:43" ht="15" customHeight="1" thickBot="1">
      <c r="B108" s="332">
        <v>12</v>
      </c>
      <c r="C108" s="444" t="s">
        <v>406</v>
      </c>
      <c r="D108" s="444"/>
      <c r="E108" s="445"/>
      <c r="F108" s="622"/>
      <c r="G108" s="333"/>
      <c r="H108" s="334"/>
      <c r="I108" s="925"/>
      <c r="J108" s="926"/>
      <c r="K108" s="926"/>
      <c r="L108" s="927"/>
      <c r="M108" s="332">
        <v>12</v>
      </c>
      <c r="N108" s="444" t="s">
        <v>406</v>
      </c>
      <c r="O108" s="444"/>
      <c r="P108" s="445"/>
      <c r="Q108" s="622"/>
      <c r="R108" s="333"/>
      <c r="S108" s="502"/>
      <c r="T108" s="530" t="str">
        <f t="shared" si="23"/>
        <v/>
      </c>
      <c r="U108" s="630"/>
      <c r="V108" s="637"/>
      <c r="W108" s="465"/>
      <c r="X108" s="934"/>
      <c r="Y108" s="631"/>
      <c r="Z108" s="196"/>
    </row>
    <row r="109" spans="1:43" ht="14.45" thickBot="1">
      <c r="A109" s="24"/>
      <c r="B109" s="359"/>
      <c r="C109" s="338"/>
      <c r="D109" s="338"/>
      <c r="E109" s="360"/>
      <c r="F109" s="393"/>
      <c r="G109" s="362"/>
      <c r="H109" s="342"/>
      <c r="I109" s="363"/>
      <c r="J109" s="417"/>
      <c r="K109" s="417"/>
      <c r="L109" s="24"/>
      <c r="M109" s="359"/>
      <c r="N109" s="338"/>
      <c r="O109" s="338"/>
      <c r="P109" s="360"/>
      <c r="Q109" s="393"/>
      <c r="R109" s="362"/>
      <c r="S109" s="536"/>
      <c r="T109" s="526" t="str">
        <f t="shared" si="23"/>
        <v/>
      </c>
      <c r="U109" s="505"/>
      <c r="V109" s="634"/>
      <c r="W109" s="466"/>
      <c r="X109" s="476"/>
      <c r="Y109" s="212"/>
      <c r="Z109" s="197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</row>
    <row r="110" spans="1:43" ht="15.75" customHeight="1" thickBot="1">
      <c r="B110" s="344">
        <v>13</v>
      </c>
      <c r="C110" s="345" t="s">
        <v>407</v>
      </c>
      <c r="D110" s="479" t="s">
        <v>408</v>
      </c>
      <c r="E110" s="346"/>
      <c r="F110" s="447"/>
      <c r="G110" s="347">
        <v>128356.74844927537</v>
      </c>
      <c r="H110" s="348">
        <f>'Project Plan'!G57+31</f>
        <v>45803</v>
      </c>
      <c r="I110" s="920"/>
      <c r="J110" s="921">
        <f>SUM(G110:G116)</f>
        <v>239970.34844927539</v>
      </c>
      <c r="K110" s="921">
        <v>272693.57778326701</v>
      </c>
      <c r="L110" s="350"/>
      <c r="M110" s="344">
        <v>13</v>
      </c>
      <c r="N110" s="479" t="s">
        <v>409</v>
      </c>
      <c r="O110" s="479" t="s">
        <v>408</v>
      </c>
      <c r="P110" s="346"/>
      <c r="Q110" s="347"/>
      <c r="R110" s="347">
        <f>'Revenue Tracking'!D4*1.25%</f>
        <v>144194.49313795625</v>
      </c>
      <c r="S110" s="528" t="s">
        <v>410</v>
      </c>
      <c r="T110" s="717">
        <v>45808</v>
      </c>
      <c r="U110" s="795">
        <v>272693.57778326701</v>
      </c>
      <c r="V110" s="933">
        <f>K110-SUM(U110:U116)</f>
        <v>0</v>
      </c>
      <c r="W110" s="348">
        <f>T110</f>
        <v>45808</v>
      </c>
      <c r="X110" s="922">
        <f>SUM(R110:R116)</f>
        <v>447579.71</v>
      </c>
      <c r="Y110" s="213"/>
      <c r="Z110" s="198"/>
    </row>
    <row r="111" spans="1:43" ht="15.75" customHeight="1" thickBot="1">
      <c r="B111" s="397">
        <v>13</v>
      </c>
      <c r="C111" s="399"/>
      <c r="D111" s="399" t="s">
        <v>411</v>
      </c>
      <c r="E111" s="400"/>
      <c r="F111" s="448"/>
      <c r="G111" s="401">
        <v>16000</v>
      </c>
      <c r="H111" s="353">
        <f>H110</f>
        <v>45803</v>
      </c>
      <c r="I111" s="920"/>
      <c r="J111" s="921"/>
      <c r="K111" s="921"/>
      <c r="L111" s="355"/>
      <c r="M111" s="397">
        <v>13</v>
      </c>
      <c r="N111" s="575" t="s">
        <v>409</v>
      </c>
      <c r="O111" s="399" t="s">
        <v>408</v>
      </c>
      <c r="P111" s="400"/>
      <c r="Q111" s="401"/>
      <c r="R111" s="401">
        <f>-R110</f>
        <v>-144194.49313795625</v>
      </c>
      <c r="S111" s="896" t="s">
        <v>412</v>
      </c>
      <c r="T111" s="717">
        <v>45900</v>
      </c>
      <c r="U111" s="794">
        <v>0</v>
      </c>
      <c r="V111" s="933"/>
      <c r="W111" s="759">
        <v>45900</v>
      </c>
      <c r="X111" s="922"/>
      <c r="Y111" s="208"/>
      <c r="Z111" s="199"/>
      <c r="AA111" s="24"/>
      <c r="AB111" s="24"/>
    </row>
    <row r="112" spans="1:43" ht="15.75" customHeight="1" thickBot="1">
      <c r="B112" s="397">
        <v>13</v>
      </c>
      <c r="C112" s="399"/>
      <c r="D112" s="399" t="s">
        <v>413</v>
      </c>
      <c r="E112" s="400"/>
      <c r="F112" s="448"/>
      <c r="G112" s="401">
        <v>54400</v>
      </c>
      <c r="H112" s="353">
        <f>H110</f>
        <v>45803</v>
      </c>
      <c r="I112" s="920"/>
      <c r="J112" s="921"/>
      <c r="K112" s="921"/>
      <c r="L112" s="355"/>
      <c r="M112" s="397">
        <v>13</v>
      </c>
      <c r="N112" s="575" t="s">
        <v>409</v>
      </c>
      <c r="O112" s="399" t="s">
        <v>408</v>
      </c>
      <c r="P112" s="400"/>
      <c r="Q112" s="401"/>
      <c r="R112" s="401">
        <v>447579.71</v>
      </c>
      <c r="S112" s="896" t="s">
        <v>410</v>
      </c>
      <c r="T112" s="759">
        <v>45900</v>
      </c>
      <c r="U112" s="794">
        <v>0</v>
      </c>
      <c r="V112" s="933"/>
      <c r="W112" s="759">
        <v>45900</v>
      </c>
      <c r="X112" s="922"/>
      <c r="Y112" s="208"/>
      <c r="Z112" s="199"/>
    </row>
    <row r="113" spans="1:43" ht="15.75" customHeight="1" thickBot="1">
      <c r="B113" s="397">
        <v>13</v>
      </c>
      <c r="C113" s="399"/>
      <c r="D113" s="399" t="s">
        <v>414</v>
      </c>
      <c r="E113" s="400"/>
      <c r="F113" s="448"/>
      <c r="G113" s="401">
        <v>20800</v>
      </c>
      <c r="H113" s="353">
        <f>H110</f>
        <v>45803</v>
      </c>
      <c r="I113" s="920"/>
      <c r="J113" s="921"/>
      <c r="K113" s="921"/>
      <c r="L113" s="355"/>
      <c r="M113" s="397">
        <v>13</v>
      </c>
      <c r="N113" s="575" t="s">
        <v>409</v>
      </c>
      <c r="O113" s="399"/>
      <c r="P113" s="400"/>
      <c r="Q113" s="401"/>
      <c r="R113" s="401">
        <v>0</v>
      </c>
      <c r="S113" s="529"/>
      <c r="T113" s="759">
        <f t="shared" si="23"/>
        <v>45808</v>
      </c>
      <c r="U113" s="794">
        <v>0</v>
      </c>
      <c r="V113" s="933"/>
      <c r="W113" s="759">
        <f>W110</f>
        <v>45808</v>
      </c>
      <c r="X113" s="922"/>
      <c r="Y113" s="492"/>
      <c r="Z113" s="493"/>
    </row>
    <row r="114" spans="1:43" ht="15.75" customHeight="1" thickBot="1">
      <c r="B114" s="397">
        <v>13</v>
      </c>
      <c r="C114" s="399"/>
      <c r="D114" s="399" t="s">
        <v>415</v>
      </c>
      <c r="E114" s="400"/>
      <c r="F114" s="448"/>
      <c r="G114" s="401">
        <v>20413.599999999999</v>
      </c>
      <c r="H114" s="353">
        <f>H110</f>
        <v>45803</v>
      </c>
      <c r="I114" s="920"/>
      <c r="J114" s="921"/>
      <c r="K114" s="921"/>
      <c r="L114" s="355"/>
      <c r="M114" s="397">
        <v>13</v>
      </c>
      <c r="N114" s="575" t="s">
        <v>409</v>
      </c>
      <c r="O114" s="399"/>
      <c r="P114" s="400"/>
      <c r="Q114" s="401"/>
      <c r="R114" s="401">
        <v>0</v>
      </c>
      <c r="S114" s="529"/>
      <c r="T114" s="717">
        <f t="shared" si="23"/>
        <v>45808</v>
      </c>
      <c r="U114" s="794">
        <v>0</v>
      </c>
      <c r="V114" s="933"/>
      <c r="W114" s="759">
        <f>W110</f>
        <v>45808</v>
      </c>
      <c r="X114" s="922"/>
      <c r="Y114" s="492"/>
      <c r="Z114" s="493"/>
    </row>
    <row r="115" spans="1:43" ht="15.75" customHeight="1" thickBot="1">
      <c r="B115" s="397">
        <v>13</v>
      </c>
      <c r="C115" s="569"/>
      <c r="D115" s="569"/>
      <c r="E115" s="603"/>
      <c r="F115" s="570"/>
      <c r="G115" s="565"/>
      <c r="H115" s="566"/>
      <c r="I115" s="920"/>
      <c r="J115" s="921"/>
      <c r="K115" s="921"/>
      <c r="L115" s="355"/>
      <c r="M115" s="397">
        <v>13</v>
      </c>
      <c r="N115" s="575" t="s">
        <v>409</v>
      </c>
      <c r="O115" s="569"/>
      <c r="P115" s="603"/>
      <c r="Q115" s="704"/>
      <c r="R115" s="565"/>
      <c r="S115" s="529"/>
      <c r="T115" s="508" t="str">
        <f t="shared" si="23"/>
        <v/>
      </c>
      <c r="U115" s="514"/>
      <c r="V115" s="933"/>
      <c r="W115" s="508"/>
      <c r="X115" s="922"/>
      <c r="Y115" s="492"/>
      <c r="Z115" s="493"/>
    </row>
    <row r="116" spans="1:43" ht="15.75" customHeight="1" thickBot="1">
      <c r="B116" s="403">
        <v>13</v>
      </c>
      <c r="C116" s="404"/>
      <c r="D116" s="404"/>
      <c r="E116" s="405"/>
      <c r="F116" s="449"/>
      <c r="G116" s="424"/>
      <c r="H116" s="356"/>
      <c r="I116" s="920"/>
      <c r="J116" s="921"/>
      <c r="K116" s="921"/>
      <c r="L116" s="494"/>
      <c r="M116" s="403">
        <v>13</v>
      </c>
      <c r="N116" s="656" t="s">
        <v>409</v>
      </c>
      <c r="O116" s="404"/>
      <c r="P116" s="405"/>
      <c r="Q116" s="449"/>
      <c r="R116" s="424"/>
      <c r="S116" s="529"/>
      <c r="T116" s="511" t="str">
        <f t="shared" si="23"/>
        <v/>
      </c>
      <c r="U116" s="515"/>
      <c r="V116" s="933"/>
      <c r="W116" s="468"/>
      <c r="X116" s="922"/>
      <c r="Y116" s="214"/>
      <c r="Z116" s="200"/>
    </row>
    <row r="117" spans="1:43" ht="14.45" thickBot="1">
      <c r="A117" s="24"/>
      <c r="B117" s="359"/>
      <c r="C117" s="338"/>
      <c r="D117" s="338"/>
      <c r="E117" s="360"/>
      <c r="F117" s="341"/>
      <c r="G117" s="362"/>
      <c r="H117" s="342"/>
      <c r="I117" s="363"/>
      <c r="J117" s="343"/>
      <c r="K117" s="343"/>
      <c r="L117" s="24"/>
      <c r="M117" s="359"/>
      <c r="N117" s="338"/>
      <c r="O117" s="338"/>
      <c r="P117" s="360"/>
      <c r="Q117" s="341"/>
      <c r="R117" s="362"/>
      <c r="S117" s="536"/>
      <c r="T117" s="526" t="str">
        <f t="shared" si="23"/>
        <v/>
      </c>
      <c r="U117" s="505"/>
      <c r="V117" s="634"/>
      <c r="W117" s="466"/>
      <c r="X117" s="476"/>
      <c r="Y117" s="212"/>
      <c r="Z117" s="197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</row>
    <row r="118" spans="1:43" ht="14.25" customHeight="1" thickBot="1">
      <c r="B118" s="321">
        <v>14</v>
      </c>
      <c r="C118" s="322" t="s">
        <v>416</v>
      </c>
      <c r="D118" s="322" t="s">
        <v>417</v>
      </c>
      <c r="E118" s="323"/>
      <c r="F118" s="434"/>
      <c r="G118" s="435">
        <v>47600</v>
      </c>
      <c r="H118" s="325">
        <f>H110</f>
        <v>45803</v>
      </c>
      <c r="I118" s="326"/>
      <c r="J118" s="926">
        <f>SUM(G118:G127)</f>
        <v>47600</v>
      </c>
      <c r="K118" s="926">
        <v>56000</v>
      </c>
      <c r="L118" s="436"/>
      <c r="M118" s="321">
        <v>14</v>
      </c>
      <c r="N118" s="674" t="s">
        <v>418</v>
      </c>
      <c r="O118" s="322" t="s">
        <v>419</v>
      </c>
      <c r="P118" s="323"/>
      <c r="Q118" s="434"/>
      <c r="R118" s="435">
        <v>6375.86</v>
      </c>
      <c r="S118" s="736" t="s">
        <v>420</v>
      </c>
      <c r="T118" s="735">
        <v>45657</v>
      </c>
      <c r="U118" s="741">
        <v>7754.7473140411212</v>
      </c>
      <c r="V118" s="930">
        <f>K118-SUM(U118:U127)</f>
        <v>-4.0461192911607213E-3</v>
      </c>
      <c r="W118" s="761">
        <v>45666</v>
      </c>
      <c r="X118" s="936">
        <f>SUM(R118:R127)</f>
        <v>67232.7</v>
      </c>
      <c r="Y118" s="207"/>
      <c r="Z118" s="193"/>
      <c r="AA118" s="24"/>
      <c r="AB118" s="24"/>
    </row>
    <row r="119" spans="1:43" ht="15" customHeight="1" thickBot="1">
      <c r="B119" s="327">
        <v>14</v>
      </c>
      <c r="C119" s="331"/>
      <c r="D119" s="331"/>
      <c r="E119" s="442"/>
      <c r="F119" s="443"/>
      <c r="G119" s="324"/>
      <c r="H119" s="328"/>
      <c r="I119" s="329"/>
      <c r="J119" s="926"/>
      <c r="K119" s="926"/>
      <c r="L119" s="330"/>
      <c r="M119" s="327">
        <v>14</v>
      </c>
      <c r="N119" s="675" t="s">
        <v>418</v>
      </c>
      <c r="O119" s="331"/>
      <c r="P119" s="442"/>
      <c r="Q119" s="443"/>
      <c r="R119" s="324">
        <v>5594.87</v>
      </c>
      <c r="S119" s="737" t="s">
        <v>420</v>
      </c>
      <c r="T119" s="760">
        <v>45688</v>
      </c>
      <c r="U119" s="767">
        <v>7583.8908723643481</v>
      </c>
      <c r="V119" s="930"/>
      <c r="W119" s="760">
        <v>45695</v>
      </c>
      <c r="X119" s="936"/>
      <c r="Y119" s="210"/>
      <c r="Z119" s="195"/>
    </row>
    <row r="120" spans="1:43" ht="15" customHeight="1" thickBot="1">
      <c r="B120" s="327">
        <v>14</v>
      </c>
      <c r="C120" s="331"/>
      <c r="D120" s="331"/>
      <c r="E120" s="442"/>
      <c r="F120" s="443"/>
      <c r="G120" s="324"/>
      <c r="H120" s="328"/>
      <c r="I120" s="329"/>
      <c r="J120" s="926"/>
      <c r="K120" s="926"/>
      <c r="L120" s="330"/>
      <c r="M120" s="327">
        <v>14</v>
      </c>
      <c r="N120" s="675" t="s">
        <v>418</v>
      </c>
      <c r="O120" s="331"/>
      <c r="P120" s="442"/>
      <c r="Q120" s="443"/>
      <c r="R120" s="324">
        <v>725.13</v>
      </c>
      <c r="S120" s="737" t="s">
        <v>420</v>
      </c>
      <c r="T120" s="760">
        <v>45716</v>
      </c>
      <c r="U120" s="767">
        <v>4142.1544216248094</v>
      </c>
      <c r="V120" s="930"/>
      <c r="W120" s="760">
        <v>45723</v>
      </c>
      <c r="X120" s="936"/>
      <c r="Y120" s="210"/>
      <c r="Z120" s="195"/>
    </row>
    <row r="121" spans="1:43" ht="15" customHeight="1" thickBot="1">
      <c r="B121" s="327">
        <v>14</v>
      </c>
      <c r="C121" s="331"/>
      <c r="D121" s="331"/>
      <c r="E121" s="442"/>
      <c r="F121" s="443"/>
      <c r="G121" s="324"/>
      <c r="H121" s="328"/>
      <c r="I121" s="329"/>
      <c r="J121" s="926"/>
      <c r="K121" s="926"/>
      <c r="L121" s="330"/>
      <c r="M121" s="327">
        <v>14</v>
      </c>
      <c r="N121" s="675" t="s">
        <v>418</v>
      </c>
      <c r="O121" s="331"/>
      <c r="P121" s="442"/>
      <c r="Q121" s="443"/>
      <c r="R121" s="324">
        <v>4534.32</v>
      </c>
      <c r="S121" s="737" t="s">
        <v>420</v>
      </c>
      <c r="T121" s="760">
        <v>45747</v>
      </c>
      <c r="U121" s="767">
        <v>8392.2079954928231</v>
      </c>
      <c r="V121" s="930"/>
      <c r="W121" s="760">
        <v>45751</v>
      </c>
      <c r="X121" s="936"/>
      <c r="Y121" s="210"/>
      <c r="Z121" s="195"/>
    </row>
    <row r="122" spans="1:43" ht="15" customHeight="1">
      <c r="B122" s="327">
        <v>14</v>
      </c>
      <c r="C122" s="604"/>
      <c r="D122" s="604"/>
      <c r="E122" s="605"/>
      <c r="F122" s="606"/>
      <c r="G122" s="607"/>
      <c r="H122" s="608"/>
      <c r="I122" s="329"/>
      <c r="J122" s="926"/>
      <c r="K122" s="926"/>
      <c r="L122" s="330"/>
      <c r="M122" s="327">
        <v>14</v>
      </c>
      <c r="N122" s="675" t="s">
        <v>418</v>
      </c>
      <c r="O122" s="604"/>
      <c r="P122" s="605"/>
      <c r="Q122" s="606"/>
      <c r="R122" s="607">
        <v>4040.3</v>
      </c>
      <c r="S122" s="738" t="s">
        <v>420</v>
      </c>
      <c r="T122" s="760">
        <v>45777</v>
      </c>
      <c r="U122" s="767">
        <v>7747.5087728269291</v>
      </c>
      <c r="V122" s="930"/>
      <c r="W122" s="782">
        <v>45785</v>
      </c>
      <c r="X122" s="936"/>
      <c r="Y122" s="609"/>
      <c r="Z122" s="610"/>
    </row>
    <row r="123" spans="1:43" ht="15" customHeight="1">
      <c r="B123" s="332">
        <v>14</v>
      </c>
      <c r="C123" s="444"/>
      <c r="D123" s="444"/>
      <c r="E123" s="445"/>
      <c r="F123" s="446"/>
      <c r="G123" s="333"/>
      <c r="H123" s="334"/>
      <c r="I123" s="335"/>
      <c r="J123" s="926"/>
      <c r="K123" s="926"/>
      <c r="L123" s="330"/>
      <c r="M123" s="327">
        <v>14</v>
      </c>
      <c r="N123" s="675" t="s">
        <v>418</v>
      </c>
      <c r="O123" s="331"/>
      <c r="P123" s="442"/>
      <c r="Q123" s="443"/>
      <c r="R123" s="324">
        <v>10015.219999999999</v>
      </c>
      <c r="S123" s="738" t="s">
        <v>420</v>
      </c>
      <c r="T123" s="789">
        <v>45808</v>
      </c>
      <c r="U123" s="811">
        <v>20379.494669769258</v>
      </c>
      <c r="V123" s="930"/>
      <c r="W123" s="756">
        <v>45817</v>
      </c>
      <c r="X123" s="936"/>
      <c r="Y123" s="892"/>
      <c r="Z123" s="196"/>
    </row>
    <row r="124" spans="1:43" ht="15" customHeight="1">
      <c r="B124" s="332">
        <v>14</v>
      </c>
      <c r="C124" s="444"/>
      <c r="D124" s="444"/>
      <c r="E124" s="445"/>
      <c r="F124" s="446"/>
      <c r="G124" s="333"/>
      <c r="H124" s="334"/>
      <c r="I124" s="335"/>
      <c r="J124" s="926"/>
      <c r="K124" s="926"/>
      <c r="L124" s="330"/>
      <c r="M124" s="838">
        <v>14</v>
      </c>
      <c r="N124" s="839" t="s">
        <v>418</v>
      </c>
      <c r="O124" s="604"/>
      <c r="P124" s="605"/>
      <c r="Q124" s="606"/>
      <c r="R124" s="607">
        <v>5888.6900000000005</v>
      </c>
      <c r="S124" s="738" t="s">
        <v>420</v>
      </c>
      <c r="T124" s="789">
        <v>45838</v>
      </c>
      <c r="U124" s="846">
        <v>0</v>
      </c>
      <c r="V124" s="930"/>
      <c r="W124" s="847">
        <v>45842</v>
      </c>
      <c r="X124" s="936"/>
      <c r="Y124" s="893"/>
      <c r="Z124" s="196"/>
    </row>
    <row r="125" spans="1:43" ht="15" customHeight="1">
      <c r="B125" s="332">
        <v>14</v>
      </c>
      <c r="C125" s="444"/>
      <c r="D125" s="444"/>
      <c r="E125" s="445"/>
      <c r="F125" s="446"/>
      <c r="G125" s="333"/>
      <c r="H125" s="334"/>
      <c r="I125" s="335"/>
      <c r="J125" s="926"/>
      <c r="K125" s="926"/>
      <c r="L125" s="330"/>
      <c r="M125" s="840">
        <v>14</v>
      </c>
      <c r="N125" s="841" t="s">
        <v>418</v>
      </c>
      <c r="O125" s="842"/>
      <c r="P125" s="843"/>
      <c r="Q125" s="844"/>
      <c r="R125" s="845">
        <v>6060.2199999999993</v>
      </c>
      <c r="S125" s="837" t="s">
        <v>420</v>
      </c>
      <c r="T125" s="789">
        <v>45869</v>
      </c>
      <c r="U125" s="811">
        <v>0</v>
      </c>
      <c r="V125" s="935"/>
      <c r="W125" s="756">
        <v>45876</v>
      </c>
      <c r="X125" s="936"/>
      <c r="Y125" s="893"/>
      <c r="Z125" s="196"/>
    </row>
    <row r="126" spans="1:43" ht="15" customHeight="1">
      <c r="B126" s="332">
        <v>14</v>
      </c>
      <c r="C126" s="444"/>
      <c r="D126" s="444"/>
      <c r="E126" s="445"/>
      <c r="F126" s="446"/>
      <c r="G126" s="333"/>
      <c r="H126" s="334"/>
      <c r="I126" s="335"/>
      <c r="J126" s="926"/>
      <c r="K126" s="926"/>
      <c r="L126" s="330"/>
      <c r="M126" s="859">
        <v>14</v>
      </c>
      <c r="N126" s="860" t="s">
        <v>418</v>
      </c>
      <c r="O126" s="861"/>
      <c r="P126" s="862"/>
      <c r="Q126" s="863"/>
      <c r="R126" s="864">
        <v>20384.45</v>
      </c>
      <c r="S126" s="738" t="s">
        <v>420</v>
      </c>
      <c r="T126" s="789">
        <v>45900</v>
      </c>
      <c r="U126" s="865">
        <v>0</v>
      </c>
      <c r="V126" s="935"/>
      <c r="W126" s="866">
        <v>45905</v>
      </c>
      <c r="X126" s="936"/>
      <c r="Y126" s="893"/>
      <c r="Z126" s="196"/>
    </row>
    <row r="127" spans="1:43" ht="15" customHeight="1">
      <c r="B127" s="332">
        <v>14</v>
      </c>
      <c r="C127" s="444"/>
      <c r="D127" s="444"/>
      <c r="E127" s="445"/>
      <c r="F127" s="446"/>
      <c r="G127" s="333"/>
      <c r="H127" s="334"/>
      <c r="I127" s="335"/>
      <c r="J127" s="926"/>
      <c r="K127" s="926"/>
      <c r="L127" s="330"/>
      <c r="M127" s="803">
        <v>14</v>
      </c>
      <c r="N127" s="804" t="s">
        <v>418</v>
      </c>
      <c r="O127" s="805"/>
      <c r="P127" s="806"/>
      <c r="Q127" s="807"/>
      <c r="R127" s="808">
        <v>3613.64</v>
      </c>
      <c r="S127" s="738" t="s">
        <v>420</v>
      </c>
      <c r="T127" s="789">
        <v>46053</v>
      </c>
      <c r="U127" s="810">
        <v>0</v>
      </c>
      <c r="V127" s="930"/>
      <c r="W127" s="809">
        <v>46058</v>
      </c>
      <c r="X127" s="936"/>
      <c r="Y127" s="894"/>
      <c r="Z127" s="196"/>
    </row>
    <row r="128" spans="1:43" ht="14.45" thickBot="1">
      <c r="A128" s="24"/>
      <c r="B128" s="359"/>
      <c r="C128" s="338"/>
      <c r="D128" s="338"/>
      <c r="E128" s="360"/>
      <c r="F128" s="341"/>
      <c r="G128" s="362"/>
      <c r="H128" s="342"/>
      <c r="I128" s="363"/>
      <c r="J128" s="450"/>
      <c r="K128" s="450"/>
      <c r="L128" s="24"/>
      <c r="M128" s="359"/>
      <c r="N128" s="338"/>
      <c r="O128" s="338"/>
      <c r="P128" s="360"/>
      <c r="Q128" s="341"/>
      <c r="R128" s="362"/>
      <c r="S128" s="536"/>
      <c r="T128" s="526" t="str">
        <f t="shared" si="23"/>
        <v/>
      </c>
      <c r="U128" s="505"/>
      <c r="V128" s="634"/>
      <c r="W128" s="466"/>
      <c r="X128" s="477"/>
      <c r="Y128" s="212"/>
      <c r="Z128" s="197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</row>
    <row r="129" spans="2:26" ht="14.45" thickBot="1">
      <c r="B129" s="344">
        <v>15</v>
      </c>
      <c r="C129" s="345" t="s">
        <v>421</v>
      </c>
      <c r="D129" s="345"/>
      <c r="E129" s="346"/>
      <c r="F129" s="447"/>
      <c r="G129" s="347"/>
      <c r="H129" s="348"/>
      <c r="I129" s="349"/>
      <c r="J129" s="921">
        <f>SUM(G129:G150)</f>
        <v>0</v>
      </c>
      <c r="K129" s="921">
        <v>0</v>
      </c>
      <c r="L129" s="350"/>
      <c r="M129" s="344">
        <v>15</v>
      </c>
      <c r="N129" s="479" t="s">
        <v>422</v>
      </c>
      <c r="O129" s="345" t="s">
        <v>423</v>
      </c>
      <c r="P129" s="346"/>
      <c r="Q129" s="447"/>
      <c r="R129" s="347">
        <v>267.01</v>
      </c>
      <c r="S129" s="528" t="s">
        <v>424</v>
      </c>
      <c r="T129" s="717">
        <v>45838</v>
      </c>
      <c r="U129" s="513"/>
      <c r="V129" s="933">
        <f>K129-SUM(U129:U150)</f>
        <v>0</v>
      </c>
      <c r="W129" s="774">
        <v>45867</v>
      </c>
      <c r="X129" s="922">
        <f>SUM(R129:R150)</f>
        <v>1171415.7</v>
      </c>
      <c r="Y129" s="213"/>
      <c r="Z129" s="198"/>
    </row>
    <row r="130" spans="2:26" ht="14.45" thickBot="1">
      <c r="B130" s="351"/>
      <c r="C130" s="352"/>
      <c r="D130" s="352"/>
      <c r="E130" s="786"/>
      <c r="F130" s="787"/>
      <c r="G130" s="788"/>
      <c r="H130" s="396"/>
      <c r="I130" s="354"/>
      <c r="J130" s="921"/>
      <c r="K130" s="921"/>
      <c r="L130" s="355"/>
      <c r="M130" s="351">
        <v>15</v>
      </c>
      <c r="N130" s="575" t="s">
        <v>422</v>
      </c>
      <c r="O130" s="352" t="s">
        <v>425</v>
      </c>
      <c r="P130" s="786"/>
      <c r="Q130" s="787"/>
      <c r="R130" s="788">
        <v>140381.96</v>
      </c>
      <c r="S130" s="528" t="s">
        <v>426</v>
      </c>
      <c r="T130" s="717">
        <v>45869</v>
      </c>
      <c r="U130" s="816"/>
      <c r="V130" s="933"/>
      <c r="W130" s="769">
        <v>45856</v>
      </c>
      <c r="X130" s="922"/>
      <c r="Y130" s="217"/>
      <c r="Z130" s="203"/>
    </row>
    <row r="131" spans="2:26" ht="14.45" thickBot="1">
      <c r="B131" s="351"/>
      <c r="C131" s="352"/>
      <c r="D131" s="352"/>
      <c r="E131" s="786"/>
      <c r="F131" s="787"/>
      <c r="G131" s="788"/>
      <c r="H131" s="396"/>
      <c r="I131" s="354"/>
      <c r="J131" s="921"/>
      <c r="K131" s="921"/>
      <c r="L131" s="355"/>
      <c r="M131" s="351">
        <v>15</v>
      </c>
      <c r="N131" s="575" t="s">
        <v>422</v>
      </c>
      <c r="O131" s="352" t="s">
        <v>427</v>
      </c>
      <c r="P131" s="786"/>
      <c r="Q131" s="787"/>
      <c r="R131" s="788">
        <v>145862.29999999999</v>
      </c>
      <c r="S131" s="528" t="s">
        <v>428</v>
      </c>
      <c r="T131" s="717">
        <v>45869</v>
      </c>
      <c r="U131" s="816"/>
      <c r="V131" s="933"/>
      <c r="W131" s="769">
        <v>45876</v>
      </c>
      <c r="X131" s="922"/>
      <c r="Y131" s="217"/>
      <c r="Z131" s="203"/>
    </row>
    <row r="132" spans="2:26" ht="14.45" thickBot="1">
      <c r="B132" s="351"/>
      <c r="C132" s="352"/>
      <c r="D132" s="352"/>
      <c r="E132" s="786"/>
      <c r="F132" s="787"/>
      <c r="G132" s="788"/>
      <c r="H132" s="396"/>
      <c r="I132" s="354"/>
      <c r="J132" s="921"/>
      <c r="K132" s="921"/>
      <c r="L132" s="355"/>
      <c r="M132" s="351">
        <v>15</v>
      </c>
      <c r="N132" s="575" t="s">
        <v>422</v>
      </c>
      <c r="O132" s="352" t="s">
        <v>429</v>
      </c>
      <c r="P132" s="786"/>
      <c r="Q132" s="787"/>
      <c r="R132" s="788">
        <v>142388.65</v>
      </c>
      <c r="S132" s="528" t="s">
        <v>430</v>
      </c>
      <c r="T132" s="717">
        <v>45900</v>
      </c>
      <c r="U132" s="816"/>
      <c r="V132" s="933"/>
      <c r="W132" s="769">
        <v>45911</v>
      </c>
      <c r="X132" s="922"/>
      <c r="Y132" s="217"/>
      <c r="Z132" s="203"/>
    </row>
    <row r="133" spans="2:26" ht="14.45" thickBot="1">
      <c r="B133" s="397">
        <v>15</v>
      </c>
      <c r="C133" s="399"/>
      <c r="D133" s="399"/>
      <c r="E133" s="400"/>
      <c r="F133" s="448"/>
      <c r="G133" s="401"/>
      <c r="H133" s="353"/>
      <c r="I133" s="354"/>
      <c r="J133" s="921"/>
      <c r="K133" s="921"/>
      <c r="L133" s="355"/>
      <c r="M133" s="397">
        <v>15</v>
      </c>
      <c r="N133" s="575" t="s">
        <v>422</v>
      </c>
      <c r="O133" s="399" t="s">
        <v>431</v>
      </c>
      <c r="P133" s="400"/>
      <c r="Q133" s="448"/>
      <c r="R133" s="401">
        <v>26436</v>
      </c>
      <c r="S133" s="537" t="s">
        <v>432</v>
      </c>
      <c r="T133" s="759">
        <v>45900</v>
      </c>
      <c r="U133" s="546"/>
      <c r="V133" s="933"/>
      <c r="W133" s="718">
        <v>45898</v>
      </c>
      <c r="X133" s="922"/>
      <c r="Y133" s="208" t="s">
        <v>433</v>
      </c>
      <c r="Z133" s="199"/>
    </row>
    <row r="134" spans="2:26" ht="14.45" thickBot="1">
      <c r="B134" s="397">
        <v>15</v>
      </c>
      <c r="C134" s="399"/>
      <c r="D134" s="399"/>
      <c r="E134" s="400"/>
      <c r="F134" s="448"/>
      <c r="G134" s="401"/>
      <c r="H134" s="353"/>
      <c r="I134" s="354"/>
      <c r="J134" s="921"/>
      <c r="K134" s="921"/>
      <c r="L134" s="355"/>
      <c r="M134" s="397">
        <v>15</v>
      </c>
      <c r="N134" s="575" t="s">
        <v>422</v>
      </c>
      <c r="O134" s="399" t="s">
        <v>434</v>
      </c>
      <c r="P134" s="400"/>
      <c r="Q134" s="448"/>
      <c r="R134" s="401">
        <v>14110</v>
      </c>
      <c r="S134" s="537" t="s">
        <v>435</v>
      </c>
      <c r="T134" s="759">
        <v>45930</v>
      </c>
      <c r="U134" s="546"/>
      <c r="V134" s="933"/>
      <c r="W134" s="718">
        <v>45911</v>
      </c>
      <c r="X134" s="922"/>
      <c r="Y134" s="208" t="s">
        <v>436</v>
      </c>
      <c r="Z134" s="199"/>
    </row>
    <row r="135" spans="2:26" ht="14.45" thickBot="1">
      <c r="B135" s="397">
        <v>15</v>
      </c>
      <c r="C135" s="399"/>
      <c r="D135" s="399"/>
      <c r="E135" s="400"/>
      <c r="F135" s="448"/>
      <c r="G135" s="401"/>
      <c r="H135" s="353"/>
      <c r="I135" s="354"/>
      <c r="J135" s="921"/>
      <c r="K135" s="921"/>
      <c r="L135" s="355"/>
      <c r="M135" s="397">
        <v>15</v>
      </c>
      <c r="N135" s="575" t="s">
        <v>422</v>
      </c>
      <c r="O135" s="399" t="s">
        <v>437</v>
      </c>
      <c r="P135" s="400"/>
      <c r="Q135" s="448"/>
      <c r="R135" s="401">
        <v>1650</v>
      </c>
      <c r="S135" s="537" t="s">
        <v>438</v>
      </c>
      <c r="T135" s="759">
        <v>45900</v>
      </c>
      <c r="U135" s="546"/>
      <c r="V135" s="933"/>
      <c r="W135" s="718">
        <v>45918</v>
      </c>
      <c r="X135" s="922"/>
      <c r="Y135" s="208" t="s">
        <v>439</v>
      </c>
      <c r="Z135" s="199"/>
    </row>
    <row r="136" spans="2:26" ht="14.45" thickBot="1">
      <c r="B136" s="397">
        <v>15</v>
      </c>
      <c r="C136" s="399"/>
      <c r="D136" s="399"/>
      <c r="E136" s="400"/>
      <c r="F136" s="448"/>
      <c r="G136" s="401"/>
      <c r="H136" s="353"/>
      <c r="I136" s="354"/>
      <c r="J136" s="921"/>
      <c r="K136" s="921"/>
      <c r="L136" s="355"/>
      <c r="M136" s="397">
        <v>15</v>
      </c>
      <c r="N136" s="575" t="s">
        <v>422</v>
      </c>
      <c r="O136" s="399" t="s">
        <v>440</v>
      </c>
      <c r="P136" s="400"/>
      <c r="Q136" s="535">
        <v>0.5</v>
      </c>
      <c r="R136" s="401">
        <f>190762.14*Q136</f>
        <v>95381.07</v>
      </c>
      <c r="S136" s="537" t="s">
        <v>441</v>
      </c>
      <c r="T136" s="759">
        <v>45777</v>
      </c>
      <c r="U136" s="546"/>
      <c r="V136" s="933"/>
      <c r="W136" s="718">
        <v>45771</v>
      </c>
      <c r="X136" s="922"/>
      <c r="Y136" s="957" t="s">
        <v>442</v>
      </c>
      <c r="Z136" s="199"/>
    </row>
    <row r="137" spans="2:26" ht="14.45" thickBot="1">
      <c r="B137" s="560"/>
      <c r="C137" s="569"/>
      <c r="D137" s="569"/>
      <c r="E137" s="603"/>
      <c r="F137" s="570"/>
      <c r="G137" s="565"/>
      <c r="H137" s="566"/>
      <c r="I137" s="354"/>
      <c r="J137" s="921"/>
      <c r="K137" s="921"/>
      <c r="L137" s="355"/>
      <c r="M137" s="397">
        <v>15</v>
      </c>
      <c r="N137" s="575" t="s">
        <v>422</v>
      </c>
      <c r="O137" s="399" t="s">
        <v>443</v>
      </c>
      <c r="P137" s="603"/>
      <c r="Q137" s="835"/>
      <c r="R137" s="401">
        <v>99508</v>
      </c>
      <c r="S137" s="537" t="s">
        <v>444</v>
      </c>
      <c r="T137" s="747">
        <v>45900</v>
      </c>
      <c r="U137" s="836"/>
      <c r="V137" s="933"/>
      <c r="W137" s="758">
        <v>45937</v>
      </c>
      <c r="X137" s="922"/>
      <c r="Y137" s="958"/>
      <c r="Z137" s="493"/>
    </row>
    <row r="138" spans="2:26" ht="14.45" thickBot="1">
      <c r="B138" s="560"/>
      <c r="C138" s="569"/>
      <c r="D138" s="569"/>
      <c r="E138" s="603"/>
      <c r="F138" s="570"/>
      <c r="G138" s="565"/>
      <c r="H138" s="566"/>
      <c r="I138" s="354"/>
      <c r="J138" s="921"/>
      <c r="K138" s="921"/>
      <c r="L138" s="355"/>
      <c r="M138" s="397">
        <v>15</v>
      </c>
      <c r="N138" s="575" t="s">
        <v>422</v>
      </c>
      <c r="O138" s="399" t="s">
        <v>445</v>
      </c>
      <c r="P138" s="603"/>
      <c r="Q138" s="835"/>
      <c r="R138" s="401">
        <v>161300</v>
      </c>
      <c r="S138" s="537" t="s">
        <v>446</v>
      </c>
      <c r="T138" s="747">
        <v>46053</v>
      </c>
      <c r="U138" s="836"/>
      <c r="V138" s="933"/>
      <c r="W138" s="758">
        <v>46079</v>
      </c>
      <c r="X138" s="922"/>
      <c r="Y138" s="958"/>
      <c r="Z138" s="493"/>
    </row>
    <row r="139" spans="2:26">
      <c r="B139" s="560"/>
      <c r="C139" s="569"/>
      <c r="D139" s="569"/>
      <c r="E139" s="603"/>
      <c r="F139" s="570"/>
      <c r="G139" s="565"/>
      <c r="H139" s="566"/>
      <c r="I139" s="354"/>
      <c r="J139" s="921"/>
      <c r="K139" s="921"/>
      <c r="L139" s="355"/>
      <c r="M139" s="397">
        <v>15</v>
      </c>
      <c r="N139" s="575" t="s">
        <v>422</v>
      </c>
      <c r="O139" s="399" t="s">
        <v>447</v>
      </c>
      <c r="P139" s="603"/>
      <c r="Q139" s="835"/>
      <c r="R139" s="401">
        <v>12408.35</v>
      </c>
      <c r="S139" s="537" t="s">
        <v>448</v>
      </c>
      <c r="T139" s="747">
        <v>45900</v>
      </c>
      <c r="U139" s="836"/>
      <c r="V139" s="933"/>
      <c r="W139" s="758">
        <v>45896</v>
      </c>
      <c r="X139" s="922"/>
      <c r="Y139" s="958"/>
      <c r="Z139" s="493"/>
    </row>
    <row r="140" spans="2:26" ht="15" customHeight="1" thickBot="1">
      <c r="B140" s="403">
        <v>15</v>
      </c>
      <c r="C140" s="404"/>
      <c r="D140" s="404"/>
      <c r="E140" s="405"/>
      <c r="F140" s="449"/>
      <c r="G140" s="424"/>
      <c r="H140" s="356"/>
      <c r="I140" s="357"/>
      <c r="J140" s="921"/>
      <c r="K140" s="921"/>
      <c r="L140" s="872"/>
      <c r="M140" s="873">
        <v>15</v>
      </c>
      <c r="N140" s="874" t="s">
        <v>422</v>
      </c>
      <c r="O140" s="399" t="s">
        <v>449</v>
      </c>
      <c r="P140" s="853"/>
      <c r="Q140" s="854">
        <v>0.5</v>
      </c>
      <c r="R140" s="401">
        <f>190762.14*Q140</f>
        <v>95381.07</v>
      </c>
      <c r="S140" s="537" t="s">
        <v>441</v>
      </c>
      <c r="T140" s="870">
        <v>45777</v>
      </c>
      <c r="U140" s="877"/>
      <c r="V140" s="933"/>
      <c r="W140" s="880">
        <v>45855</v>
      </c>
      <c r="X140" s="922"/>
      <c r="Y140" s="958"/>
      <c r="Z140" s="200"/>
    </row>
    <row r="141" spans="2:26" ht="15" customHeight="1" thickBot="1">
      <c r="B141" s="403"/>
      <c r="C141" s="404"/>
      <c r="D141" s="404"/>
      <c r="E141" s="405"/>
      <c r="F141" s="449"/>
      <c r="G141" s="424"/>
      <c r="H141" s="356"/>
      <c r="I141" s="357"/>
      <c r="J141" s="921"/>
      <c r="K141" s="921"/>
      <c r="L141" s="872"/>
      <c r="M141" s="873">
        <v>15</v>
      </c>
      <c r="N141" s="874" t="s">
        <v>422</v>
      </c>
      <c r="O141" s="399"/>
      <c r="P141" s="869"/>
      <c r="Q141" s="535"/>
      <c r="R141" s="886"/>
      <c r="S141" s="537"/>
      <c r="T141" s="884"/>
      <c r="U141" s="878"/>
      <c r="V141" s="933"/>
      <c r="W141" s="881"/>
      <c r="X141" s="937"/>
      <c r="Y141" s="888"/>
      <c r="Z141" s="887"/>
    </row>
    <row r="142" spans="2:26" ht="15" customHeight="1" thickBot="1">
      <c r="B142" s="403"/>
      <c r="C142" s="404"/>
      <c r="D142" s="404"/>
      <c r="E142" s="405"/>
      <c r="F142" s="449"/>
      <c r="G142" s="424"/>
      <c r="H142" s="356"/>
      <c r="I142" s="357"/>
      <c r="J142" s="921"/>
      <c r="K142" s="921"/>
      <c r="L142" s="872"/>
      <c r="M142" s="873">
        <v>15</v>
      </c>
      <c r="N142" s="874" t="s">
        <v>422</v>
      </c>
      <c r="O142" s="399" t="s">
        <v>450</v>
      </c>
      <c r="P142" s="869"/>
      <c r="Q142" s="535"/>
      <c r="R142" s="886">
        <v>88678.15</v>
      </c>
      <c r="S142" s="890" t="s">
        <v>451</v>
      </c>
      <c r="T142" s="871">
        <v>46053</v>
      </c>
      <c r="U142" s="878"/>
      <c r="V142" s="933"/>
      <c r="W142" s="882">
        <v>46045</v>
      </c>
      <c r="X142" s="937"/>
      <c r="Y142" s="918" t="s">
        <v>452</v>
      </c>
      <c r="Z142" s="887"/>
    </row>
    <row r="143" spans="2:26" ht="15" customHeight="1" thickBot="1">
      <c r="B143" s="403"/>
      <c r="C143" s="404"/>
      <c r="D143" s="404"/>
      <c r="E143" s="405"/>
      <c r="F143" s="449"/>
      <c r="G143" s="424"/>
      <c r="H143" s="356"/>
      <c r="I143" s="357"/>
      <c r="J143" s="921"/>
      <c r="K143" s="921"/>
      <c r="L143" s="872"/>
      <c r="M143" s="873">
        <v>15</v>
      </c>
      <c r="N143" s="874" t="s">
        <v>422</v>
      </c>
      <c r="O143" s="399" t="s">
        <v>450</v>
      </c>
      <c r="P143" s="869"/>
      <c r="Q143" s="535"/>
      <c r="R143" s="886">
        <v>88678.15</v>
      </c>
      <c r="S143" s="890" t="s">
        <v>453</v>
      </c>
      <c r="T143" s="895">
        <v>46112</v>
      </c>
      <c r="U143" s="878"/>
      <c r="V143" s="933"/>
      <c r="W143" s="882">
        <v>46079</v>
      </c>
      <c r="X143" s="937"/>
      <c r="Y143" s="919"/>
      <c r="Z143" s="887"/>
    </row>
    <row r="144" spans="2:26" ht="15" customHeight="1" thickBot="1">
      <c r="B144" s="403"/>
      <c r="C144" s="404"/>
      <c r="D144" s="404"/>
      <c r="E144" s="405"/>
      <c r="F144" s="449"/>
      <c r="G144" s="424"/>
      <c r="H144" s="356"/>
      <c r="I144" s="357"/>
      <c r="J144" s="921"/>
      <c r="K144" s="921"/>
      <c r="L144" s="872"/>
      <c r="M144" s="873">
        <v>15</v>
      </c>
      <c r="N144" s="874" t="s">
        <v>422</v>
      </c>
      <c r="O144" s="399" t="s">
        <v>454</v>
      </c>
      <c r="P144" s="869"/>
      <c r="Q144" s="535"/>
      <c r="R144" s="886">
        <v>-20449.009999999998</v>
      </c>
      <c r="S144" s="890" t="s">
        <v>455</v>
      </c>
      <c r="T144" s="895">
        <v>46112</v>
      </c>
      <c r="U144" s="878"/>
      <c r="V144" s="933"/>
      <c r="W144" s="882">
        <v>46081</v>
      </c>
      <c r="X144" s="937"/>
      <c r="Y144" s="888"/>
      <c r="Z144" s="887"/>
    </row>
    <row r="145" spans="2:26" ht="15" customHeight="1" thickBot="1">
      <c r="B145" s="403"/>
      <c r="C145" s="404"/>
      <c r="D145" s="404"/>
      <c r="E145" s="405"/>
      <c r="F145" s="449"/>
      <c r="G145" s="424"/>
      <c r="H145" s="356"/>
      <c r="I145" s="357"/>
      <c r="J145" s="921"/>
      <c r="K145" s="921"/>
      <c r="L145" s="872"/>
      <c r="M145" s="873">
        <v>15</v>
      </c>
      <c r="N145" s="874" t="s">
        <v>422</v>
      </c>
      <c r="O145" s="399"/>
      <c r="P145" s="869"/>
      <c r="Q145" s="535"/>
      <c r="R145" s="886"/>
      <c r="S145" s="537"/>
      <c r="T145" s="884"/>
      <c r="U145" s="878"/>
      <c r="V145" s="933"/>
      <c r="W145" s="881"/>
      <c r="X145" s="937"/>
      <c r="Y145" s="891"/>
      <c r="Z145" s="887"/>
    </row>
    <row r="146" spans="2:26" ht="15" customHeight="1" thickBot="1">
      <c r="B146" s="403"/>
      <c r="C146" s="404"/>
      <c r="D146" s="404"/>
      <c r="E146" s="405"/>
      <c r="F146" s="449"/>
      <c r="G146" s="424"/>
      <c r="H146" s="356"/>
      <c r="I146" s="357"/>
      <c r="J146" s="921"/>
      <c r="K146" s="921"/>
      <c r="L146" s="872"/>
      <c r="M146" s="873">
        <v>15</v>
      </c>
      <c r="N146" s="874" t="s">
        <v>422</v>
      </c>
      <c r="O146" s="399" t="s">
        <v>456</v>
      </c>
      <c r="P146" s="869"/>
      <c r="Q146" s="535"/>
      <c r="R146" s="886">
        <v>17157.5</v>
      </c>
      <c r="S146" s="890" t="s">
        <v>457</v>
      </c>
      <c r="T146" s="871">
        <v>46053</v>
      </c>
      <c r="U146" s="878"/>
      <c r="V146" s="933"/>
      <c r="W146" s="882">
        <v>46045</v>
      </c>
      <c r="X146" s="937"/>
      <c r="Y146" s="918" t="s">
        <v>458</v>
      </c>
      <c r="Z146" s="887"/>
    </row>
    <row r="147" spans="2:26" ht="15" customHeight="1" thickBot="1">
      <c r="B147" s="403"/>
      <c r="C147" s="404"/>
      <c r="D147" s="404"/>
      <c r="E147" s="405"/>
      <c r="F147" s="449"/>
      <c r="G147" s="424"/>
      <c r="H147" s="356"/>
      <c r="I147" s="357"/>
      <c r="J147" s="921"/>
      <c r="K147" s="921"/>
      <c r="L147" s="872"/>
      <c r="M147" s="873">
        <v>15</v>
      </c>
      <c r="N147" s="874" t="s">
        <v>422</v>
      </c>
      <c r="O147" s="399" t="s">
        <v>459</v>
      </c>
      <c r="P147" s="869"/>
      <c r="Q147" s="535">
        <v>0.5</v>
      </c>
      <c r="R147" s="886">
        <v>17157.5</v>
      </c>
      <c r="S147" s="537" t="s">
        <v>460</v>
      </c>
      <c r="T147" s="895">
        <v>46081</v>
      </c>
      <c r="U147" s="878"/>
      <c r="V147" s="933"/>
      <c r="W147" s="882">
        <v>46079</v>
      </c>
      <c r="X147" s="937"/>
      <c r="Y147" s="919"/>
      <c r="Z147" s="887"/>
    </row>
    <row r="148" spans="2:26" ht="15" customHeight="1" thickBot="1">
      <c r="B148" s="403"/>
      <c r="C148" s="404"/>
      <c r="D148" s="404"/>
      <c r="E148" s="405"/>
      <c r="F148" s="449"/>
      <c r="G148" s="424"/>
      <c r="H148" s="356"/>
      <c r="I148" s="357"/>
      <c r="J148" s="921"/>
      <c r="K148" s="921"/>
      <c r="L148" s="872"/>
      <c r="M148" s="873">
        <v>15</v>
      </c>
      <c r="N148" s="874" t="s">
        <v>422</v>
      </c>
      <c r="O148" s="399"/>
      <c r="P148" s="869"/>
      <c r="Q148" s="535"/>
      <c r="R148" s="886"/>
      <c r="S148" s="537"/>
      <c r="T148" s="884"/>
      <c r="U148" s="878"/>
      <c r="V148" s="933"/>
      <c r="W148" s="881"/>
      <c r="X148" s="937"/>
      <c r="Y148" s="888"/>
      <c r="Z148" s="887"/>
    </row>
    <row r="149" spans="2:26" ht="15" customHeight="1" thickBot="1">
      <c r="B149" s="403"/>
      <c r="C149" s="404"/>
      <c r="D149" s="404"/>
      <c r="E149" s="405"/>
      <c r="F149" s="449"/>
      <c r="G149" s="424"/>
      <c r="H149" s="356"/>
      <c r="I149" s="357"/>
      <c r="J149" s="921"/>
      <c r="K149" s="921"/>
      <c r="L149" s="872"/>
      <c r="M149" s="873">
        <v>15</v>
      </c>
      <c r="N149" s="874" t="s">
        <v>422</v>
      </c>
      <c r="O149" s="399" t="s">
        <v>461</v>
      </c>
      <c r="P149" s="869"/>
      <c r="Q149" s="535"/>
      <c r="R149" s="868">
        <v>42619</v>
      </c>
      <c r="S149" s="537" t="s">
        <v>462</v>
      </c>
      <c r="T149" s="871">
        <v>46081</v>
      </c>
      <c r="U149" s="878"/>
      <c r="V149" s="933"/>
      <c r="W149" s="881">
        <v>46112</v>
      </c>
      <c r="X149" s="937"/>
      <c r="Y149" s="888"/>
      <c r="Z149" s="887"/>
    </row>
    <row r="150" spans="2:26" ht="15" customHeight="1" thickBot="1">
      <c r="B150" s="403">
        <v>15</v>
      </c>
      <c r="C150" s="404"/>
      <c r="D150" s="404"/>
      <c r="E150" s="405"/>
      <c r="F150" s="449"/>
      <c r="G150" s="424"/>
      <c r="H150" s="356"/>
      <c r="I150" s="357"/>
      <c r="J150" s="921"/>
      <c r="K150" s="921"/>
      <c r="L150" s="358"/>
      <c r="M150" s="876">
        <v>15</v>
      </c>
      <c r="N150" s="875" t="s">
        <v>422</v>
      </c>
      <c r="O150" s="399" t="s">
        <v>463</v>
      </c>
      <c r="P150" s="855"/>
      <c r="Q150" s="867"/>
      <c r="R150" s="868">
        <v>2500</v>
      </c>
      <c r="S150" s="537" t="s">
        <v>464</v>
      </c>
      <c r="T150" s="972">
        <v>46112</v>
      </c>
      <c r="U150" s="879"/>
      <c r="V150" s="933"/>
      <c r="W150" s="883">
        <f>T150+30</f>
        <v>46142</v>
      </c>
      <c r="X150" s="922"/>
      <c r="Y150" s="897" t="s">
        <v>465</v>
      </c>
      <c r="Z150" s="200"/>
    </row>
    <row r="151" spans="2:26" s="3" customFormat="1">
      <c r="B151" s="109"/>
      <c r="E151" s="4"/>
      <c r="F151" s="109"/>
      <c r="G151" s="5"/>
      <c r="H151" s="5"/>
      <c r="I151" s="451"/>
      <c r="J151" s="452"/>
      <c r="K151" s="452"/>
      <c r="M151" s="109"/>
      <c r="P151" s="4"/>
      <c r="Q151" s="109"/>
      <c r="R151" s="453"/>
      <c r="S151" s="453"/>
      <c r="T151" s="453"/>
      <c r="U151" s="453"/>
      <c r="V151" s="453"/>
      <c r="W151" s="453"/>
      <c r="X151" s="453"/>
      <c r="Y151" s="453"/>
    </row>
    <row r="152" spans="2:26">
      <c r="B152" s="114"/>
      <c r="C152" s="114"/>
      <c r="D152" s="114"/>
      <c r="E152" s="167"/>
      <c r="F152" s="115"/>
      <c r="G152" s="114"/>
      <c r="H152" s="114"/>
      <c r="J152" s="114"/>
      <c r="K152" s="114"/>
      <c r="M152" s="114"/>
      <c r="N152" s="114"/>
      <c r="O152" s="114"/>
      <c r="P152" s="114"/>
      <c r="Q152" s="114"/>
      <c r="R152" s="303"/>
      <c r="S152" s="303"/>
      <c r="T152" s="303"/>
      <c r="U152" s="501">
        <f>SUM(U6:U127)</f>
        <v>11750786.53078164</v>
      </c>
      <c r="V152" s="303"/>
      <c r="W152" s="303"/>
      <c r="X152" s="303"/>
      <c r="Y152" s="114"/>
    </row>
    <row r="153" spans="2:26">
      <c r="B153" s="114"/>
      <c r="C153" s="114"/>
      <c r="D153" s="114"/>
      <c r="E153" s="167"/>
      <c r="F153" s="115"/>
      <c r="G153" s="114"/>
      <c r="H153" s="114"/>
      <c r="J153" s="302"/>
      <c r="K153" s="302"/>
      <c r="M153" s="114"/>
      <c r="N153" s="114"/>
      <c r="O153" s="114"/>
      <c r="P153" s="167"/>
      <c r="R153" s="889"/>
      <c r="S153" s="303"/>
      <c r="T153" s="303"/>
      <c r="U153" s="303"/>
      <c r="V153" s="303"/>
      <c r="W153" s="303"/>
      <c r="X153" s="303"/>
      <c r="Y153" s="168"/>
    </row>
    <row r="154" spans="2:26">
      <c r="B154" s="114"/>
      <c r="C154" s="114"/>
      <c r="D154" s="114"/>
      <c r="E154" s="167"/>
      <c r="F154" s="115"/>
      <c r="G154" s="114"/>
      <c r="H154" s="114"/>
      <c r="J154" s="454"/>
      <c r="K154" s="454"/>
      <c r="M154" s="114"/>
      <c r="N154" s="114"/>
      <c r="O154" s="114"/>
      <c r="P154" s="167"/>
      <c r="Q154" s="115"/>
      <c r="R154" s="889"/>
      <c r="S154" s="303"/>
      <c r="T154" s="303"/>
      <c r="U154" s="303"/>
      <c r="V154" s="303"/>
      <c r="W154" s="303"/>
      <c r="X154" s="303"/>
      <c r="Y154" s="168"/>
    </row>
    <row r="155" spans="2:26">
      <c r="B155" s="114"/>
      <c r="C155" s="114"/>
      <c r="D155" s="114"/>
      <c r="E155" s="167"/>
      <c r="F155" s="115"/>
      <c r="G155" s="114"/>
      <c r="H155" s="114"/>
      <c r="J155" s="302"/>
      <c r="K155" s="302"/>
      <c r="M155" s="114"/>
      <c r="N155" s="114"/>
      <c r="O155" s="114"/>
      <c r="P155" s="167"/>
      <c r="Q155" s="115"/>
      <c r="R155" s="303"/>
      <c r="S155" s="303"/>
      <c r="T155" s="303"/>
      <c r="U155" s="303"/>
      <c r="V155" s="303"/>
      <c r="W155" s="303"/>
      <c r="X155" s="303"/>
      <c r="Y155" s="168"/>
    </row>
    <row r="156" spans="2:26">
      <c r="B156" s="114"/>
      <c r="C156" s="114"/>
      <c r="D156" s="114"/>
      <c r="E156" s="167"/>
      <c r="F156" s="115"/>
      <c r="G156" s="114"/>
      <c r="H156" s="114"/>
      <c r="J156" s="454"/>
      <c r="K156" s="454"/>
      <c r="M156" s="114"/>
      <c r="N156" s="114"/>
      <c r="O156" s="114"/>
      <c r="P156" s="167"/>
      <c r="Q156" s="115"/>
      <c r="R156" s="303"/>
      <c r="S156" s="303"/>
      <c r="T156" s="303"/>
      <c r="U156" s="303"/>
      <c r="V156" s="303"/>
      <c r="W156" s="303"/>
      <c r="X156" s="303"/>
      <c r="Y156" s="168"/>
    </row>
    <row r="157" spans="2:26">
      <c r="B157" s="114"/>
      <c r="C157" s="114"/>
      <c r="D157" s="114"/>
      <c r="E157" s="167"/>
      <c r="F157" s="115"/>
      <c r="G157" s="114"/>
      <c r="H157" s="114"/>
      <c r="J157" s="302"/>
      <c r="K157" s="302"/>
      <c r="M157" s="114"/>
      <c r="N157" s="114"/>
      <c r="O157" s="114"/>
      <c r="P157" s="167"/>
      <c r="Q157" s="115"/>
      <c r="R157" s="889"/>
      <c r="S157" s="303"/>
      <c r="T157" s="303"/>
      <c r="U157" s="303"/>
      <c r="V157" s="303"/>
      <c r="W157" s="303"/>
      <c r="X157" s="303"/>
      <c r="Y157" s="168"/>
    </row>
    <row r="158" spans="2:26">
      <c r="B158" s="114"/>
      <c r="C158" s="114"/>
      <c r="D158" s="114"/>
      <c r="E158" s="167"/>
      <c r="F158" s="115"/>
      <c r="G158" s="114"/>
      <c r="H158" s="114"/>
      <c r="J158" s="302"/>
      <c r="K158" s="302"/>
      <c r="M158" s="114"/>
      <c r="N158" s="114"/>
      <c r="O158" s="114"/>
      <c r="P158" s="167"/>
      <c r="Q158" s="115"/>
      <c r="R158" s="501"/>
      <c r="S158" s="303"/>
      <c r="T158" s="303"/>
      <c r="U158" s="303"/>
      <c r="V158" s="303"/>
      <c r="W158" s="303"/>
      <c r="X158" s="303"/>
      <c r="Y158" s="168"/>
    </row>
    <row r="159" spans="2:26">
      <c r="B159" s="114"/>
      <c r="C159" s="114"/>
      <c r="D159" s="114"/>
      <c r="E159" s="167"/>
      <c r="F159" s="115"/>
      <c r="G159" s="114"/>
      <c r="H159" s="114"/>
      <c r="J159" s="302"/>
      <c r="K159" s="302"/>
      <c r="M159" s="114"/>
      <c r="N159" s="114"/>
      <c r="O159" s="114"/>
      <c r="P159" s="167"/>
      <c r="Q159" s="115"/>
      <c r="R159" s="303"/>
      <c r="S159" s="303"/>
      <c r="T159" s="303"/>
      <c r="U159" s="303"/>
      <c r="V159" s="303"/>
      <c r="W159" s="303"/>
      <c r="X159" s="303"/>
      <c r="Y159" s="168"/>
    </row>
    <row r="160" spans="2:26">
      <c r="B160" s="114"/>
      <c r="C160" s="114"/>
      <c r="D160" s="114"/>
      <c r="E160" s="167"/>
      <c r="F160" s="115"/>
      <c r="G160" s="114"/>
      <c r="H160" s="114"/>
      <c r="J160" s="302"/>
      <c r="K160" s="302"/>
      <c r="M160" s="114"/>
      <c r="N160" s="114"/>
      <c r="O160" s="114"/>
      <c r="P160" s="167"/>
      <c r="Q160" s="115"/>
      <c r="R160" s="303"/>
      <c r="S160" s="303"/>
      <c r="T160" s="303"/>
      <c r="U160" s="303"/>
      <c r="V160" s="303"/>
      <c r="W160" s="303"/>
      <c r="X160" s="303"/>
      <c r="Y160" s="168"/>
    </row>
    <row r="161" spans="2:25">
      <c r="B161" s="114"/>
      <c r="C161" s="114"/>
      <c r="D161" s="114"/>
      <c r="E161" s="167"/>
      <c r="F161" s="115"/>
      <c r="G161" s="114"/>
      <c r="H161" s="114"/>
      <c r="J161" s="302"/>
      <c r="K161" s="302"/>
      <c r="M161" s="114"/>
      <c r="N161" s="114"/>
      <c r="O161" s="114"/>
      <c r="P161" s="167"/>
      <c r="Q161" s="115"/>
      <c r="R161" s="303"/>
      <c r="S161" s="303"/>
      <c r="T161" s="303"/>
      <c r="U161" s="303"/>
      <c r="V161" s="303"/>
      <c r="W161" s="303"/>
      <c r="X161" s="303"/>
      <c r="Y161" s="168"/>
    </row>
    <row r="162" spans="2:25">
      <c r="B162" s="114"/>
      <c r="C162" s="114"/>
      <c r="D162" s="114"/>
      <c r="E162" s="167"/>
      <c r="F162" s="115"/>
      <c r="G162" s="114"/>
      <c r="H162" s="114"/>
      <c r="J162" s="302"/>
      <c r="K162" s="302"/>
      <c r="M162" s="114"/>
      <c r="N162" s="114"/>
      <c r="O162" s="114"/>
      <c r="P162" s="167"/>
      <c r="Q162" s="115"/>
      <c r="R162" s="303"/>
      <c r="S162" s="303"/>
      <c r="T162" s="303"/>
      <c r="U162" s="303"/>
      <c r="V162" s="303"/>
      <c r="W162" s="303"/>
      <c r="X162" s="303"/>
      <c r="Y162" s="168"/>
    </row>
    <row r="163" spans="2:25">
      <c r="B163" s="114"/>
      <c r="C163" s="114"/>
      <c r="D163" s="114"/>
      <c r="E163" s="167"/>
      <c r="F163" s="115"/>
      <c r="G163" s="114"/>
      <c r="H163" s="114"/>
      <c r="J163" s="302"/>
      <c r="K163" s="302"/>
      <c r="M163" s="114"/>
      <c r="N163" s="114"/>
      <c r="O163" s="114"/>
      <c r="P163" s="167"/>
      <c r="Q163" s="115"/>
      <c r="R163" s="303"/>
      <c r="S163" s="303"/>
      <c r="T163" s="303"/>
      <c r="U163" s="303"/>
      <c r="V163" s="303"/>
      <c r="W163" s="303"/>
      <c r="X163" s="303"/>
      <c r="Y163" s="168"/>
    </row>
    <row r="164" spans="2:25">
      <c r="B164" s="114"/>
      <c r="C164" s="114"/>
      <c r="D164" s="114"/>
      <c r="E164" s="167"/>
      <c r="F164" s="115"/>
      <c r="G164" s="114"/>
      <c r="H164" s="114"/>
      <c r="J164" s="302"/>
      <c r="K164" s="302"/>
      <c r="M164" s="114"/>
      <c r="N164" s="114"/>
      <c r="O164" s="114"/>
      <c r="P164" s="167"/>
      <c r="Q164" s="115"/>
      <c r="R164" s="303"/>
      <c r="S164" s="303"/>
      <c r="T164" s="303"/>
      <c r="U164" s="303"/>
      <c r="V164" s="303"/>
      <c r="W164" s="303"/>
      <c r="X164" s="303"/>
      <c r="Y164" s="168"/>
    </row>
    <row r="165" spans="2:25" s="114" customFormat="1">
      <c r="E165" s="167"/>
      <c r="F165" s="115"/>
      <c r="J165" s="302"/>
      <c r="K165" s="302"/>
      <c r="P165" s="167"/>
      <c r="Q165" s="115"/>
      <c r="R165" s="303"/>
      <c r="S165" s="303"/>
      <c r="T165" s="303"/>
      <c r="U165" s="303"/>
      <c r="V165" s="303"/>
      <c r="W165" s="303"/>
      <c r="X165" s="303"/>
      <c r="Y165" s="168"/>
    </row>
    <row r="166" spans="2:25" s="114" customFormat="1">
      <c r="E166" s="167"/>
      <c r="F166" s="115"/>
      <c r="J166" s="302"/>
      <c r="K166" s="302"/>
      <c r="P166" s="167"/>
      <c r="Q166" s="115"/>
      <c r="R166" s="303"/>
      <c r="S166" s="303"/>
      <c r="T166" s="303"/>
      <c r="U166" s="303"/>
      <c r="V166" s="303"/>
      <c r="W166" s="303"/>
      <c r="X166" s="303"/>
      <c r="Y166" s="168"/>
    </row>
    <row r="167" spans="2:25" s="114" customFormat="1">
      <c r="E167" s="167"/>
      <c r="F167" s="115"/>
      <c r="J167" s="302"/>
      <c r="K167" s="302"/>
      <c r="P167" s="167"/>
      <c r="Q167" s="115"/>
      <c r="R167" s="303"/>
      <c r="S167" s="303"/>
      <c r="T167" s="303"/>
      <c r="U167" s="303"/>
      <c r="V167" s="303"/>
      <c r="W167" s="303"/>
      <c r="X167" s="303"/>
      <c r="Y167" s="168"/>
    </row>
    <row r="168" spans="2:25" s="114" customFormat="1">
      <c r="E168" s="167"/>
      <c r="F168" s="115"/>
      <c r="J168" s="302"/>
      <c r="K168" s="302"/>
      <c r="P168" s="167"/>
      <c r="Q168" s="115"/>
      <c r="R168" s="303"/>
      <c r="S168" s="303"/>
      <c r="T168" s="303"/>
      <c r="U168" s="303"/>
      <c r="V168" s="303"/>
      <c r="W168" s="303"/>
      <c r="X168" s="303"/>
      <c r="Y168" s="168"/>
    </row>
    <row r="169" spans="2:25" s="114" customFormat="1">
      <c r="E169" s="167"/>
      <c r="F169" s="115"/>
      <c r="J169" s="302"/>
      <c r="K169" s="302"/>
      <c r="P169" s="167"/>
      <c r="Q169" s="115"/>
      <c r="R169" s="303"/>
      <c r="S169" s="303"/>
      <c r="T169" s="303"/>
      <c r="U169" s="303"/>
      <c r="V169" s="303"/>
      <c r="W169" s="303"/>
      <c r="X169" s="303"/>
      <c r="Y169" s="168"/>
    </row>
    <row r="170" spans="2:25" s="114" customFormat="1">
      <c r="E170" s="167"/>
      <c r="F170" s="115"/>
      <c r="J170" s="302"/>
      <c r="K170" s="302"/>
      <c r="P170" s="167"/>
      <c r="Q170" s="115"/>
      <c r="R170" s="303"/>
      <c r="S170" s="303"/>
      <c r="T170" s="303"/>
      <c r="U170" s="303"/>
      <c r="V170" s="303"/>
      <c r="W170" s="303"/>
      <c r="X170" s="303"/>
      <c r="Y170" s="168"/>
    </row>
    <row r="171" spans="2:25" s="114" customFormat="1">
      <c r="E171" s="167"/>
      <c r="F171" s="115"/>
      <c r="J171" s="302"/>
      <c r="K171" s="302"/>
      <c r="P171" s="167"/>
      <c r="Q171" s="115"/>
      <c r="R171" s="303"/>
      <c r="S171" s="303"/>
      <c r="T171" s="303"/>
      <c r="U171" s="303"/>
      <c r="V171" s="303"/>
      <c r="W171" s="303"/>
      <c r="X171" s="303"/>
      <c r="Y171" s="168"/>
    </row>
    <row r="172" spans="2:25" s="114" customFormat="1">
      <c r="E172" s="167"/>
      <c r="F172" s="115"/>
      <c r="J172" s="302"/>
      <c r="K172" s="302"/>
      <c r="P172" s="167"/>
      <c r="Q172" s="115"/>
      <c r="R172" s="303"/>
      <c r="S172" s="303"/>
      <c r="T172" s="303"/>
      <c r="U172" s="303"/>
      <c r="V172" s="303"/>
      <c r="W172" s="303"/>
      <c r="X172" s="303"/>
      <c r="Y172" s="168"/>
    </row>
    <row r="173" spans="2:25" s="114" customFormat="1">
      <c r="E173" s="167"/>
      <c r="F173" s="115"/>
      <c r="J173" s="302"/>
      <c r="K173" s="302"/>
      <c r="P173" s="167"/>
      <c r="Q173" s="115"/>
      <c r="R173" s="303"/>
      <c r="S173" s="303"/>
      <c r="T173" s="303"/>
      <c r="U173" s="303"/>
      <c r="V173" s="303"/>
      <c r="W173" s="303"/>
      <c r="X173" s="303"/>
      <c r="Y173" s="168"/>
    </row>
    <row r="174" spans="2:25" s="114" customFormat="1">
      <c r="E174" s="167"/>
      <c r="F174" s="115"/>
      <c r="J174" s="302"/>
      <c r="K174" s="302"/>
      <c r="P174" s="167"/>
      <c r="Q174" s="115"/>
      <c r="R174" s="303"/>
      <c r="S174" s="303"/>
      <c r="T174" s="303"/>
      <c r="U174" s="303"/>
      <c r="V174" s="303"/>
      <c r="W174" s="303"/>
      <c r="X174" s="303"/>
      <c r="Y174" s="168"/>
    </row>
    <row r="175" spans="2:25" s="114" customFormat="1">
      <c r="E175" s="167"/>
      <c r="F175" s="115"/>
      <c r="J175" s="302"/>
      <c r="K175" s="302"/>
      <c r="P175" s="167"/>
      <c r="Q175" s="115"/>
      <c r="R175" s="303"/>
      <c r="S175" s="303"/>
      <c r="T175" s="303"/>
      <c r="U175" s="303"/>
      <c r="V175" s="303"/>
      <c r="W175" s="303"/>
      <c r="X175" s="303"/>
      <c r="Y175" s="168"/>
    </row>
    <row r="176" spans="2:25" s="114" customFormat="1">
      <c r="E176" s="167"/>
      <c r="F176" s="115"/>
      <c r="J176" s="302"/>
      <c r="K176" s="302"/>
      <c r="P176" s="167"/>
      <c r="Q176" s="115"/>
      <c r="R176" s="303"/>
      <c r="S176" s="303"/>
      <c r="T176" s="303"/>
      <c r="U176" s="303"/>
      <c r="V176" s="303"/>
      <c r="W176" s="303"/>
      <c r="X176" s="303"/>
      <c r="Y176" s="168"/>
    </row>
    <row r="177" spans="5:25" s="114" customFormat="1">
      <c r="E177" s="167"/>
      <c r="F177" s="115"/>
      <c r="J177" s="302"/>
      <c r="K177" s="302"/>
      <c r="P177" s="167"/>
      <c r="Q177" s="115"/>
      <c r="R177" s="303"/>
      <c r="S177" s="303"/>
      <c r="T177" s="303"/>
      <c r="U177" s="303"/>
      <c r="V177" s="303"/>
      <c r="W177" s="303"/>
      <c r="X177" s="303"/>
      <c r="Y177" s="168"/>
    </row>
    <row r="178" spans="5:25" s="114" customFormat="1">
      <c r="E178" s="167"/>
      <c r="F178" s="115"/>
      <c r="J178" s="302"/>
      <c r="K178" s="302"/>
      <c r="P178" s="167"/>
      <c r="Q178" s="115"/>
      <c r="R178" s="303"/>
      <c r="S178" s="303"/>
      <c r="T178" s="303"/>
      <c r="U178" s="303"/>
      <c r="V178" s="303"/>
      <c r="W178" s="303"/>
      <c r="X178" s="303"/>
      <c r="Y178" s="168"/>
    </row>
    <row r="179" spans="5:25" s="114" customFormat="1">
      <c r="E179" s="167"/>
      <c r="F179" s="115"/>
      <c r="J179" s="302"/>
      <c r="K179" s="302"/>
      <c r="P179" s="167"/>
      <c r="Q179" s="115"/>
      <c r="R179" s="303"/>
      <c r="S179" s="303"/>
      <c r="T179" s="303"/>
      <c r="U179" s="303"/>
      <c r="V179" s="303"/>
      <c r="W179" s="303"/>
      <c r="X179" s="303"/>
      <c r="Y179" s="168"/>
    </row>
    <row r="180" spans="5:25" s="114" customFormat="1">
      <c r="E180" s="167"/>
      <c r="F180" s="115"/>
      <c r="J180" s="302"/>
      <c r="K180" s="302"/>
      <c r="P180" s="167"/>
      <c r="Q180" s="115"/>
      <c r="R180" s="303"/>
      <c r="S180" s="303"/>
      <c r="T180" s="303"/>
      <c r="U180" s="303"/>
      <c r="V180" s="303"/>
      <c r="W180" s="303"/>
      <c r="X180" s="303"/>
      <c r="Y180" s="168"/>
    </row>
    <row r="181" spans="5:25" s="114" customFormat="1">
      <c r="E181" s="167"/>
      <c r="F181" s="115"/>
      <c r="J181" s="302"/>
      <c r="K181" s="302"/>
      <c r="P181" s="167"/>
      <c r="Q181" s="115"/>
      <c r="R181" s="303"/>
      <c r="S181" s="303"/>
      <c r="T181" s="303"/>
      <c r="U181" s="303"/>
      <c r="V181" s="303"/>
      <c r="W181" s="303"/>
      <c r="X181" s="303"/>
      <c r="Y181" s="168"/>
    </row>
    <row r="182" spans="5:25" s="114" customFormat="1">
      <c r="E182" s="167"/>
      <c r="F182" s="115"/>
      <c r="J182" s="302"/>
      <c r="K182" s="302"/>
      <c r="P182" s="167"/>
      <c r="Q182" s="115"/>
      <c r="R182" s="303"/>
      <c r="S182" s="303"/>
      <c r="T182" s="303"/>
      <c r="U182" s="303"/>
      <c r="V182" s="303"/>
      <c r="W182" s="303"/>
      <c r="X182" s="303"/>
      <c r="Y182" s="168"/>
    </row>
    <row r="183" spans="5:25" s="114" customFormat="1">
      <c r="E183" s="167"/>
      <c r="F183" s="115"/>
      <c r="J183" s="302"/>
      <c r="K183" s="302"/>
      <c r="P183" s="167"/>
      <c r="Q183" s="115"/>
      <c r="R183" s="303"/>
      <c r="S183" s="303"/>
      <c r="T183" s="303"/>
      <c r="U183" s="303"/>
      <c r="V183" s="303"/>
      <c r="W183" s="303"/>
      <c r="X183" s="303"/>
      <c r="Y183" s="168"/>
    </row>
    <row r="184" spans="5:25" s="114" customFormat="1">
      <c r="E184" s="167"/>
      <c r="F184" s="115"/>
      <c r="J184" s="302"/>
      <c r="K184" s="302"/>
      <c r="P184" s="167"/>
      <c r="Q184" s="115"/>
      <c r="R184" s="303"/>
      <c r="S184" s="303"/>
      <c r="T184" s="303"/>
      <c r="U184" s="303"/>
      <c r="V184" s="303"/>
      <c r="W184" s="303"/>
      <c r="X184" s="303"/>
      <c r="Y184" s="168"/>
    </row>
    <row r="185" spans="5:25" s="114" customFormat="1">
      <c r="E185" s="167"/>
      <c r="F185" s="115"/>
      <c r="J185" s="302"/>
      <c r="K185" s="302"/>
      <c r="P185" s="167"/>
      <c r="Q185" s="115"/>
      <c r="R185" s="303"/>
      <c r="S185" s="303"/>
      <c r="T185" s="303"/>
      <c r="U185" s="303"/>
      <c r="V185" s="303"/>
      <c r="W185" s="303"/>
      <c r="X185" s="303"/>
      <c r="Y185" s="168"/>
    </row>
    <row r="186" spans="5:25" s="114" customFormat="1">
      <c r="E186" s="167"/>
      <c r="F186" s="115"/>
      <c r="J186" s="302"/>
      <c r="K186" s="302"/>
      <c r="P186" s="167"/>
      <c r="Q186" s="115"/>
      <c r="R186" s="303"/>
      <c r="S186" s="303"/>
      <c r="T186" s="303"/>
      <c r="U186" s="303"/>
      <c r="V186" s="303"/>
      <c r="W186" s="303"/>
      <c r="X186" s="303"/>
      <c r="Y186" s="168"/>
    </row>
    <row r="187" spans="5:25" s="114" customFormat="1">
      <c r="E187" s="167"/>
      <c r="F187" s="115"/>
      <c r="J187" s="302"/>
      <c r="K187" s="302"/>
      <c r="P187" s="167"/>
      <c r="Q187" s="115"/>
      <c r="R187" s="303"/>
      <c r="S187" s="303"/>
      <c r="T187" s="303"/>
      <c r="U187" s="303"/>
      <c r="V187" s="303"/>
      <c r="W187" s="303"/>
      <c r="X187" s="303"/>
      <c r="Y187" s="168"/>
    </row>
    <row r="188" spans="5:25" s="114" customFormat="1">
      <c r="E188" s="167"/>
      <c r="F188" s="115"/>
      <c r="J188" s="302"/>
      <c r="K188" s="302"/>
      <c r="P188" s="167"/>
      <c r="Q188" s="115"/>
      <c r="R188" s="303"/>
      <c r="S188" s="303"/>
      <c r="T188" s="303"/>
      <c r="U188" s="303"/>
      <c r="V188" s="303"/>
      <c r="W188" s="303"/>
      <c r="X188" s="303"/>
      <c r="Y188" s="168"/>
    </row>
    <row r="189" spans="5:25" s="114" customFormat="1">
      <c r="E189" s="167"/>
      <c r="F189" s="115"/>
      <c r="J189" s="302"/>
      <c r="K189" s="302"/>
      <c r="P189" s="167"/>
      <c r="Q189" s="115"/>
      <c r="R189" s="303"/>
      <c r="S189" s="303"/>
      <c r="T189" s="303"/>
      <c r="U189" s="303"/>
      <c r="V189" s="303"/>
      <c r="W189" s="303"/>
      <c r="X189" s="303"/>
      <c r="Y189" s="168"/>
    </row>
    <row r="190" spans="5:25" s="114" customFormat="1">
      <c r="E190" s="167"/>
      <c r="F190" s="115"/>
      <c r="J190" s="302"/>
      <c r="K190" s="302"/>
      <c r="P190" s="167"/>
      <c r="Q190" s="115"/>
      <c r="R190" s="303"/>
      <c r="S190" s="303"/>
      <c r="T190" s="303"/>
      <c r="U190" s="303"/>
      <c r="V190" s="303"/>
      <c r="W190" s="303"/>
      <c r="X190" s="303"/>
      <c r="Y190" s="168"/>
    </row>
    <row r="191" spans="5:25" s="114" customFormat="1">
      <c r="E191" s="167"/>
      <c r="F191" s="115"/>
      <c r="J191" s="302"/>
      <c r="K191" s="302"/>
      <c r="P191" s="167"/>
      <c r="Q191" s="115"/>
      <c r="R191" s="303"/>
      <c r="S191" s="303"/>
      <c r="T191" s="303"/>
      <c r="U191" s="303"/>
      <c r="V191" s="303"/>
      <c r="W191" s="303"/>
      <c r="X191" s="303"/>
      <c r="Y191" s="168"/>
    </row>
    <row r="192" spans="5:25" s="114" customFormat="1">
      <c r="E192" s="167"/>
      <c r="F192" s="115"/>
      <c r="J192" s="302"/>
      <c r="K192" s="302"/>
      <c r="P192" s="167"/>
      <c r="Q192" s="115"/>
      <c r="R192" s="303"/>
      <c r="S192" s="303"/>
      <c r="T192" s="303"/>
      <c r="U192" s="303"/>
      <c r="V192" s="303"/>
      <c r="W192" s="303"/>
      <c r="X192" s="303"/>
      <c r="Y192" s="168"/>
    </row>
    <row r="193" spans="5:25" s="114" customFormat="1">
      <c r="E193" s="167"/>
      <c r="F193" s="115"/>
      <c r="J193" s="302"/>
      <c r="K193" s="302"/>
      <c r="P193" s="167"/>
      <c r="Q193" s="115"/>
      <c r="R193" s="303"/>
      <c r="S193" s="303"/>
      <c r="T193" s="303"/>
      <c r="U193" s="303"/>
      <c r="V193" s="303"/>
      <c r="W193" s="303"/>
      <c r="X193" s="303"/>
      <c r="Y193" s="168"/>
    </row>
    <row r="194" spans="5:25" s="114" customFormat="1">
      <c r="E194" s="167"/>
      <c r="F194" s="115"/>
      <c r="J194" s="302"/>
      <c r="K194" s="302"/>
      <c r="P194" s="167"/>
      <c r="Q194" s="115"/>
      <c r="R194" s="303"/>
      <c r="S194" s="303"/>
      <c r="T194" s="303"/>
      <c r="U194" s="303"/>
      <c r="V194" s="303"/>
      <c r="W194" s="303"/>
      <c r="X194" s="303"/>
      <c r="Y194" s="168"/>
    </row>
    <row r="195" spans="5:25" s="114" customFormat="1">
      <c r="E195" s="167"/>
      <c r="F195" s="115"/>
      <c r="J195" s="302"/>
      <c r="K195" s="302"/>
      <c r="P195" s="167"/>
      <c r="Q195" s="115"/>
      <c r="R195" s="303"/>
      <c r="S195" s="303"/>
      <c r="T195" s="303"/>
      <c r="U195" s="303"/>
      <c r="V195" s="303"/>
      <c r="W195" s="303"/>
      <c r="X195" s="303"/>
      <c r="Y195" s="168"/>
    </row>
    <row r="196" spans="5:25" s="114" customFormat="1">
      <c r="E196" s="167"/>
      <c r="F196" s="115"/>
      <c r="J196" s="302"/>
      <c r="K196" s="302"/>
      <c r="P196" s="167"/>
      <c r="Q196" s="115"/>
      <c r="R196" s="303"/>
      <c r="S196" s="303"/>
      <c r="T196" s="303"/>
      <c r="U196" s="303"/>
      <c r="V196" s="303"/>
      <c r="W196" s="303"/>
      <c r="X196" s="303"/>
      <c r="Y196" s="168"/>
    </row>
    <row r="197" spans="5:25" s="114" customFormat="1">
      <c r="E197" s="167"/>
      <c r="F197" s="115"/>
      <c r="J197" s="302"/>
      <c r="K197" s="302"/>
      <c r="P197" s="167"/>
      <c r="Q197" s="115"/>
      <c r="R197" s="303"/>
      <c r="S197" s="303"/>
      <c r="T197" s="303"/>
      <c r="U197" s="303"/>
      <c r="V197" s="303"/>
      <c r="W197" s="303"/>
      <c r="X197" s="303"/>
      <c r="Y197" s="168"/>
    </row>
    <row r="198" spans="5:25" s="114" customFormat="1">
      <c r="E198" s="167"/>
      <c r="F198" s="115"/>
      <c r="J198" s="302"/>
      <c r="K198" s="302"/>
      <c r="P198" s="167"/>
      <c r="Q198" s="115"/>
      <c r="R198" s="303"/>
      <c r="S198" s="303"/>
      <c r="T198" s="303"/>
      <c r="U198" s="303"/>
      <c r="V198" s="303"/>
      <c r="W198" s="303"/>
      <c r="X198" s="303"/>
      <c r="Y198" s="168"/>
    </row>
    <row r="199" spans="5:25" s="114" customFormat="1">
      <c r="E199" s="167"/>
      <c r="F199" s="115"/>
      <c r="J199" s="302"/>
      <c r="K199" s="302"/>
      <c r="P199" s="167"/>
      <c r="Q199" s="115"/>
      <c r="R199" s="303"/>
      <c r="S199" s="303"/>
      <c r="T199" s="303"/>
      <c r="U199" s="303"/>
      <c r="V199" s="303"/>
      <c r="W199" s="303"/>
      <c r="X199" s="303"/>
      <c r="Y199" s="168"/>
    </row>
    <row r="200" spans="5:25" s="114" customFormat="1">
      <c r="E200" s="167"/>
      <c r="F200" s="115"/>
      <c r="J200" s="302"/>
      <c r="K200" s="302"/>
      <c r="P200" s="167"/>
      <c r="Q200" s="115"/>
      <c r="R200" s="303"/>
      <c r="S200" s="303"/>
      <c r="T200" s="303"/>
      <c r="U200" s="303"/>
      <c r="V200" s="303"/>
      <c r="W200" s="303"/>
      <c r="X200" s="303"/>
      <c r="Y200" s="168"/>
    </row>
    <row r="201" spans="5:25" s="114" customFormat="1">
      <c r="E201" s="167"/>
      <c r="F201" s="115"/>
      <c r="J201" s="302"/>
      <c r="K201" s="302"/>
      <c r="P201" s="167"/>
      <c r="Q201" s="115"/>
      <c r="R201" s="303"/>
      <c r="S201" s="303"/>
      <c r="T201" s="303"/>
      <c r="U201" s="303"/>
      <c r="V201" s="303"/>
      <c r="W201" s="303"/>
      <c r="X201" s="303"/>
      <c r="Y201" s="168"/>
    </row>
    <row r="202" spans="5:25" s="114" customFormat="1">
      <c r="E202" s="167"/>
      <c r="F202" s="115"/>
      <c r="J202" s="302"/>
      <c r="K202" s="302"/>
      <c r="P202" s="167"/>
      <c r="Q202" s="115"/>
      <c r="R202" s="303"/>
      <c r="S202" s="303"/>
      <c r="T202" s="303"/>
      <c r="U202" s="303"/>
      <c r="V202" s="303"/>
      <c r="W202" s="303"/>
      <c r="X202" s="303"/>
      <c r="Y202" s="168"/>
    </row>
    <row r="203" spans="5:25" s="114" customFormat="1">
      <c r="E203" s="167"/>
      <c r="F203" s="115"/>
      <c r="J203" s="302"/>
      <c r="K203" s="302"/>
      <c r="P203" s="167"/>
      <c r="Q203" s="115"/>
      <c r="R203" s="303"/>
      <c r="S203" s="303"/>
      <c r="T203" s="303"/>
      <c r="U203" s="303"/>
      <c r="V203" s="303"/>
      <c r="W203" s="303"/>
      <c r="X203" s="303"/>
      <c r="Y203" s="168"/>
    </row>
    <row r="204" spans="5:25" s="114" customFormat="1">
      <c r="E204" s="167"/>
      <c r="F204" s="115"/>
      <c r="J204" s="302"/>
      <c r="K204" s="302"/>
      <c r="P204" s="167"/>
      <c r="Q204" s="115"/>
      <c r="R204" s="303"/>
      <c r="S204" s="303"/>
      <c r="T204" s="303"/>
      <c r="U204" s="303"/>
      <c r="V204" s="303"/>
      <c r="W204" s="303"/>
      <c r="X204" s="303"/>
      <c r="Y204" s="168"/>
    </row>
    <row r="205" spans="5:25" s="114" customFormat="1">
      <c r="E205" s="167"/>
      <c r="F205" s="115"/>
      <c r="J205" s="302"/>
      <c r="K205" s="302"/>
      <c r="P205" s="167"/>
      <c r="Q205" s="115"/>
      <c r="R205" s="303"/>
      <c r="S205" s="303"/>
      <c r="T205" s="303"/>
      <c r="U205" s="303"/>
      <c r="V205" s="303"/>
      <c r="W205" s="303"/>
      <c r="X205" s="303"/>
      <c r="Y205" s="168"/>
    </row>
    <row r="206" spans="5:25" s="114" customFormat="1">
      <c r="E206" s="167"/>
      <c r="F206" s="115"/>
      <c r="J206" s="302"/>
      <c r="K206" s="302"/>
      <c r="P206" s="167"/>
      <c r="Q206" s="115"/>
      <c r="R206" s="303"/>
      <c r="S206" s="303"/>
      <c r="T206" s="303"/>
      <c r="U206" s="303"/>
      <c r="V206" s="303"/>
      <c r="W206" s="303"/>
      <c r="X206" s="303"/>
      <c r="Y206" s="168"/>
    </row>
    <row r="207" spans="5:25" s="114" customFormat="1">
      <c r="E207" s="167"/>
      <c r="F207" s="115"/>
      <c r="J207" s="302"/>
      <c r="K207" s="302"/>
      <c r="P207" s="167"/>
      <c r="Q207" s="115"/>
      <c r="R207" s="303"/>
      <c r="S207" s="303"/>
      <c r="T207" s="303"/>
      <c r="U207" s="303"/>
      <c r="V207" s="303"/>
      <c r="W207" s="303"/>
      <c r="X207" s="303"/>
      <c r="Y207" s="168"/>
    </row>
    <row r="208" spans="5:25" s="114" customFormat="1">
      <c r="E208" s="167"/>
      <c r="F208" s="115"/>
      <c r="J208" s="302"/>
      <c r="K208" s="302"/>
      <c r="P208" s="167"/>
      <c r="Q208" s="115"/>
      <c r="R208" s="303"/>
      <c r="S208" s="303"/>
      <c r="T208" s="303"/>
      <c r="U208" s="303"/>
      <c r="V208" s="303"/>
      <c r="W208" s="303"/>
      <c r="X208" s="303"/>
      <c r="Y208" s="168"/>
    </row>
    <row r="209" spans="5:25" s="114" customFormat="1">
      <c r="E209" s="167"/>
      <c r="F209" s="115"/>
      <c r="J209" s="302"/>
      <c r="K209" s="302"/>
      <c r="P209" s="167"/>
      <c r="Q209" s="115"/>
      <c r="R209" s="303"/>
      <c r="S209" s="303"/>
      <c r="T209" s="303"/>
      <c r="U209" s="303"/>
      <c r="V209" s="303"/>
      <c r="W209" s="303"/>
      <c r="X209" s="303"/>
      <c r="Y209" s="168"/>
    </row>
    <row r="210" spans="5:25" s="114" customFormat="1">
      <c r="E210" s="167"/>
      <c r="F210" s="115"/>
      <c r="J210" s="302"/>
      <c r="K210" s="302"/>
      <c r="P210" s="167"/>
      <c r="Q210" s="115"/>
      <c r="R210" s="303"/>
      <c r="S210" s="303"/>
      <c r="T210" s="303"/>
      <c r="U210" s="303"/>
      <c r="V210" s="303"/>
      <c r="W210" s="303"/>
      <c r="X210" s="303"/>
      <c r="Y210" s="168"/>
    </row>
    <row r="211" spans="5:25" s="114" customFormat="1">
      <c r="E211" s="167"/>
      <c r="F211" s="115"/>
      <c r="J211" s="302"/>
      <c r="K211" s="302"/>
      <c r="P211" s="167"/>
      <c r="Q211" s="115"/>
      <c r="R211" s="303"/>
      <c r="S211" s="303"/>
      <c r="T211" s="303"/>
      <c r="U211" s="303"/>
      <c r="V211" s="303"/>
      <c r="W211" s="303"/>
      <c r="X211" s="303"/>
      <c r="Y211" s="168"/>
    </row>
    <row r="212" spans="5:25" s="114" customFormat="1">
      <c r="E212" s="167"/>
      <c r="F212" s="115"/>
      <c r="J212" s="302"/>
      <c r="K212" s="302"/>
      <c r="P212" s="167"/>
      <c r="Q212" s="115"/>
      <c r="R212" s="303"/>
      <c r="S212" s="303"/>
      <c r="T212" s="303"/>
      <c r="U212" s="303"/>
      <c r="V212" s="303"/>
      <c r="W212" s="303"/>
      <c r="X212" s="303"/>
      <c r="Y212" s="168"/>
    </row>
    <row r="213" spans="5:25" s="114" customFormat="1">
      <c r="E213" s="167"/>
      <c r="F213" s="115"/>
      <c r="J213" s="302"/>
      <c r="K213" s="302"/>
      <c r="P213" s="167"/>
      <c r="Q213" s="115"/>
      <c r="R213" s="303"/>
      <c r="S213" s="303"/>
      <c r="T213" s="303"/>
      <c r="U213" s="303"/>
      <c r="V213" s="303"/>
      <c r="W213" s="303"/>
      <c r="X213" s="303"/>
      <c r="Y213" s="168"/>
    </row>
    <row r="214" spans="5:25" s="114" customFormat="1">
      <c r="E214" s="167"/>
      <c r="F214" s="115"/>
      <c r="J214" s="302"/>
      <c r="K214" s="302"/>
      <c r="P214" s="167"/>
      <c r="Q214" s="115"/>
      <c r="R214" s="303"/>
      <c r="S214" s="303"/>
      <c r="T214" s="303"/>
      <c r="U214" s="303"/>
      <c r="V214" s="303"/>
      <c r="W214" s="303"/>
      <c r="X214" s="303"/>
      <c r="Y214" s="168"/>
    </row>
    <row r="215" spans="5:25" s="114" customFormat="1">
      <c r="E215" s="167"/>
      <c r="F215" s="115"/>
      <c r="J215" s="302"/>
      <c r="K215" s="302"/>
      <c r="P215" s="167"/>
      <c r="Q215" s="115"/>
      <c r="R215" s="303"/>
      <c r="S215" s="303"/>
      <c r="T215" s="303"/>
      <c r="U215" s="303"/>
      <c r="V215" s="303"/>
      <c r="W215" s="303"/>
      <c r="X215" s="303"/>
      <c r="Y215" s="168"/>
    </row>
    <row r="216" spans="5:25" s="114" customFormat="1">
      <c r="E216" s="167"/>
      <c r="F216" s="115"/>
      <c r="J216" s="302"/>
      <c r="K216" s="302"/>
      <c r="P216" s="167"/>
      <c r="Q216" s="115"/>
      <c r="R216" s="303"/>
      <c r="S216" s="303"/>
      <c r="T216" s="303"/>
      <c r="U216" s="303"/>
      <c r="V216" s="303"/>
      <c r="W216" s="303"/>
      <c r="X216" s="303"/>
      <c r="Y216" s="168"/>
    </row>
    <row r="217" spans="5:25" s="114" customFormat="1">
      <c r="E217" s="167"/>
      <c r="F217" s="115"/>
      <c r="J217" s="302"/>
      <c r="K217" s="302"/>
      <c r="P217" s="167"/>
      <c r="Q217" s="115"/>
      <c r="R217" s="303"/>
      <c r="S217" s="303"/>
      <c r="T217" s="303"/>
      <c r="U217" s="303"/>
      <c r="V217" s="303"/>
      <c r="W217" s="303"/>
      <c r="X217" s="303"/>
      <c r="Y217" s="168"/>
    </row>
    <row r="218" spans="5:25" s="114" customFormat="1">
      <c r="E218" s="167"/>
      <c r="F218" s="115"/>
      <c r="J218" s="302"/>
      <c r="K218" s="302"/>
      <c r="P218" s="167"/>
      <c r="Q218" s="115"/>
      <c r="R218" s="303"/>
      <c r="S218" s="303"/>
      <c r="T218" s="303"/>
      <c r="U218" s="303"/>
      <c r="V218" s="303"/>
      <c r="W218" s="303"/>
      <c r="X218" s="303"/>
      <c r="Y218" s="168"/>
    </row>
    <row r="219" spans="5:25" s="114" customFormat="1">
      <c r="E219" s="167"/>
      <c r="F219" s="115"/>
      <c r="J219" s="302"/>
      <c r="K219" s="302"/>
      <c r="P219" s="167"/>
      <c r="Q219" s="115"/>
      <c r="R219" s="303"/>
      <c r="S219" s="303"/>
      <c r="T219" s="303"/>
      <c r="U219" s="303"/>
      <c r="V219" s="303"/>
      <c r="W219" s="303"/>
      <c r="X219" s="303"/>
      <c r="Y219" s="168"/>
    </row>
    <row r="220" spans="5:25" s="114" customFormat="1">
      <c r="E220" s="167"/>
      <c r="F220" s="115"/>
      <c r="J220" s="302"/>
      <c r="K220" s="302"/>
      <c r="P220" s="167"/>
      <c r="Q220" s="115"/>
      <c r="R220" s="303"/>
      <c r="S220" s="303"/>
      <c r="T220" s="303"/>
      <c r="U220" s="303"/>
      <c r="V220" s="303"/>
      <c r="W220" s="303"/>
      <c r="X220" s="303"/>
      <c r="Y220" s="168"/>
    </row>
    <row r="221" spans="5:25" s="114" customFormat="1">
      <c r="E221" s="167"/>
      <c r="F221" s="115"/>
      <c r="J221" s="302"/>
      <c r="K221" s="302"/>
      <c r="P221" s="167"/>
      <c r="Q221" s="115"/>
      <c r="R221" s="303"/>
      <c r="S221" s="303"/>
      <c r="T221" s="303"/>
      <c r="U221" s="303"/>
      <c r="V221" s="303"/>
      <c r="W221" s="303"/>
      <c r="X221" s="303"/>
      <c r="Y221" s="168"/>
    </row>
    <row r="222" spans="5:25" s="114" customFormat="1">
      <c r="E222" s="167"/>
      <c r="F222" s="115"/>
      <c r="J222" s="302"/>
      <c r="K222" s="302"/>
      <c r="P222" s="167"/>
      <c r="Q222" s="115"/>
      <c r="R222" s="303"/>
      <c r="S222" s="303"/>
      <c r="T222" s="303"/>
      <c r="U222" s="303"/>
      <c r="V222" s="303"/>
      <c r="W222" s="303"/>
      <c r="X222" s="303"/>
      <c r="Y222" s="168"/>
    </row>
    <row r="223" spans="5:25" s="114" customFormat="1">
      <c r="E223" s="167"/>
      <c r="F223" s="115"/>
      <c r="J223" s="302"/>
      <c r="K223" s="302"/>
      <c r="P223" s="167"/>
      <c r="Q223" s="115"/>
      <c r="R223" s="303"/>
      <c r="S223" s="303"/>
      <c r="T223" s="303"/>
      <c r="U223" s="303"/>
      <c r="V223" s="303"/>
      <c r="W223" s="303"/>
      <c r="X223" s="303"/>
      <c r="Y223" s="168"/>
    </row>
    <row r="224" spans="5:25" s="114" customFormat="1">
      <c r="E224" s="167"/>
      <c r="F224" s="115"/>
      <c r="J224" s="302"/>
      <c r="K224" s="302"/>
      <c r="P224" s="167"/>
      <c r="Q224" s="115"/>
      <c r="R224" s="303"/>
      <c r="S224" s="303"/>
      <c r="T224" s="303"/>
      <c r="U224" s="303"/>
      <c r="V224" s="303"/>
      <c r="W224" s="303"/>
      <c r="X224" s="303"/>
      <c r="Y224" s="168"/>
    </row>
    <row r="225" spans="5:25" s="114" customFormat="1">
      <c r="E225" s="167"/>
      <c r="F225" s="115"/>
      <c r="J225" s="302"/>
      <c r="K225" s="302"/>
      <c r="P225" s="167"/>
      <c r="Q225" s="115"/>
      <c r="R225" s="303"/>
      <c r="S225" s="303"/>
      <c r="T225" s="303"/>
      <c r="U225" s="303"/>
      <c r="V225" s="303"/>
      <c r="W225" s="303"/>
      <c r="X225" s="303"/>
      <c r="Y225" s="168"/>
    </row>
    <row r="226" spans="5:25" s="114" customFormat="1">
      <c r="E226" s="167"/>
      <c r="F226" s="115"/>
      <c r="J226" s="302"/>
      <c r="K226" s="302"/>
      <c r="P226" s="167"/>
      <c r="Q226" s="115"/>
      <c r="R226" s="303"/>
      <c r="S226" s="303"/>
      <c r="T226" s="303"/>
      <c r="U226" s="303"/>
      <c r="V226" s="303"/>
      <c r="W226" s="303"/>
      <c r="X226" s="303"/>
      <c r="Y226" s="168"/>
    </row>
    <row r="227" spans="5:25" s="114" customFormat="1">
      <c r="E227" s="167"/>
      <c r="F227" s="115"/>
      <c r="J227" s="302"/>
      <c r="K227" s="302"/>
      <c r="P227" s="167"/>
      <c r="Q227" s="115"/>
      <c r="R227" s="303"/>
      <c r="S227" s="303"/>
      <c r="T227" s="303"/>
      <c r="U227" s="303"/>
      <c r="V227" s="303"/>
      <c r="W227" s="303"/>
      <c r="X227" s="303"/>
      <c r="Y227" s="168"/>
    </row>
    <row r="228" spans="5:25" s="114" customFormat="1">
      <c r="E228" s="167"/>
      <c r="F228" s="115"/>
      <c r="J228" s="302"/>
      <c r="K228" s="302"/>
      <c r="P228" s="167"/>
      <c r="Q228" s="115"/>
      <c r="R228" s="303"/>
      <c r="S228" s="303"/>
      <c r="T228" s="303"/>
      <c r="U228" s="303"/>
      <c r="V228" s="303"/>
      <c r="W228" s="303"/>
      <c r="X228" s="303"/>
      <c r="Y228" s="168"/>
    </row>
    <row r="229" spans="5:25" s="114" customFormat="1">
      <c r="E229" s="167"/>
      <c r="F229" s="115"/>
      <c r="J229" s="302"/>
      <c r="K229" s="302"/>
      <c r="P229" s="167"/>
      <c r="Q229" s="115"/>
      <c r="R229" s="303"/>
      <c r="S229" s="303"/>
      <c r="T229" s="303"/>
      <c r="U229" s="303"/>
      <c r="V229" s="303"/>
      <c r="W229" s="303"/>
      <c r="X229" s="303"/>
      <c r="Y229" s="168"/>
    </row>
    <row r="230" spans="5:25" s="114" customFormat="1">
      <c r="E230" s="167"/>
      <c r="F230" s="115"/>
      <c r="J230" s="302"/>
      <c r="K230" s="302"/>
      <c r="P230" s="167"/>
      <c r="Q230" s="115"/>
      <c r="R230" s="303"/>
      <c r="S230" s="303"/>
      <c r="T230" s="303"/>
      <c r="U230" s="303"/>
      <c r="V230" s="303"/>
      <c r="W230" s="303"/>
      <c r="X230" s="303"/>
      <c r="Y230" s="168"/>
    </row>
    <row r="231" spans="5:25" s="114" customFormat="1">
      <c r="E231" s="167"/>
      <c r="F231" s="115"/>
      <c r="J231" s="302"/>
      <c r="K231" s="302"/>
      <c r="P231" s="167"/>
      <c r="Q231" s="115"/>
      <c r="R231" s="303"/>
      <c r="S231" s="303"/>
      <c r="T231" s="303"/>
      <c r="U231" s="303"/>
      <c r="V231" s="303"/>
      <c r="W231" s="303"/>
      <c r="X231" s="303"/>
      <c r="Y231" s="168"/>
    </row>
    <row r="232" spans="5:25" s="114" customFormat="1">
      <c r="E232" s="167"/>
      <c r="F232" s="115"/>
      <c r="J232" s="302"/>
      <c r="K232" s="302"/>
      <c r="P232" s="167"/>
      <c r="Q232" s="115"/>
      <c r="R232" s="303"/>
      <c r="S232" s="303"/>
      <c r="T232" s="303"/>
      <c r="U232" s="303"/>
      <c r="V232" s="303"/>
      <c r="W232" s="303"/>
      <c r="X232" s="303"/>
      <c r="Y232" s="168"/>
    </row>
    <row r="233" spans="5:25" s="114" customFormat="1">
      <c r="E233" s="167"/>
      <c r="F233" s="115"/>
      <c r="J233" s="302"/>
      <c r="K233" s="302"/>
      <c r="P233" s="167"/>
      <c r="Q233" s="115"/>
      <c r="R233" s="303"/>
      <c r="S233" s="303"/>
      <c r="T233" s="303"/>
      <c r="U233" s="303"/>
      <c r="V233" s="303"/>
      <c r="W233" s="303"/>
      <c r="X233" s="303"/>
      <c r="Y233" s="168"/>
    </row>
    <row r="234" spans="5:25" s="114" customFormat="1">
      <c r="E234" s="167"/>
      <c r="F234" s="115"/>
      <c r="J234" s="302"/>
      <c r="K234" s="302"/>
      <c r="P234" s="167"/>
      <c r="Q234" s="115"/>
      <c r="R234" s="303"/>
      <c r="S234" s="303"/>
      <c r="T234" s="303"/>
      <c r="U234" s="303"/>
      <c r="V234" s="303"/>
      <c r="W234" s="303"/>
      <c r="X234" s="303"/>
      <c r="Y234" s="168"/>
    </row>
    <row r="235" spans="5:25" s="114" customFormat="1">
      <c r="E235" s="167"/>
      <c r="F235" s="115"/>
      <c r="J235" s="302"/>
      <c r="K235" s="302"/>
      <c r="P235" s="167"/>
      <c r="Q235" s="115"/>
      <c r="R235" s="303"/>
      <c r="S235" s="303"/>
      <c r="T235" s="303"/>
      <c r="U235" s="303"/>
      <c r="V235" s="303"/>
      <c r="W235" s="303"/>
      <c r="X235" s="303"/>
      <c r="Y235" s="168"/>
    </row>
    <row r="236" spans="5:25" s="114" customFormat="1">
      <c r="E236" s="167"/>
      <c r="F236" s="115"/>
      <c r="J236" s="302"/>
      <c r="K236" s="302"/>
      <c r="P236" s="167"/>
      <c r="Q236" s="115"/>
      <c r="R236" s="303"/>
      <c r="S236" s="303"/>
      <c r="T236" s="303"/>
      <c r="U236" s="303"/>
      <c r="V236" s="303"/>
      <c r="W236" s="303"/>
      <c r="X236" s="303"/>
      <c r="Y236" s="168"/>
    </row>
    <row r="237" spans="5:25" s="114" customFormat="1">
      <c r="E237" s="167"/>
      <c r="F237" s="115"/>
      <c r="J237" s="302"/>
      <c r="K237" s="302"/>
      <c r="P237" s="167"/>
      <c r="Q237" s="115"/>
      <c r="R237" s="303"/>
      <c r="S237" s="303"/>
      <c r="T237" s="303"/>
      <c r="U237" s="303"/>
      <c r="V237" s="303"/>
      <c r="W237" s="303"/>
      <c r="X237" s="303"/>
      <c r="Y237" s="168"/>
    </row>
    <row r="238" spans="5:25" s="114" customFormat="1">
      <c r="E238" s="167"/>
      <c r="F238" s="115"/>
      <c r="J238" s="302"/>
      <c r="K238" s="302"/>
      <c r="P238" s="167"/>
      <c r="Q238" s="115"/>
      <c r="R238" s="303"/>
      <c r="S238" s="303"/>
      <c r="T238" s="303"/>
      <c r="U238" s="303"/>
      <c r="V238" s="303"/>
      <c r="W238" s="303"/>
      <c r="X238" s="303"/>
      <c r="Y238" s="168"/>
    </row>
    <row r="239" spans="5:25" s="114" customFormat="1">
      <c r="E239" s="167"/>
      <c r="F239" s="115"/>
      <c r="J239" s="302"/>
      <c r="K239" s="302"/>
      <c r="P239" s="167"/>
      <c r="Q239" s="115"/>
      <c r="R239" s="303"/>
      <c r="S239" s="303"/>
      <c r="T239" s="303"/>
      <c r="U239" s="303"/>
      <c r="V239" s="303"/>
      <c r="W239" s="303"/>
      <c r="X239" s="303"/>
      <c r="Y239" s="168"/>
    </row>
    <row r="240" spans="5:25" s="114" customFormat="1">
      <c r="E240" s="167"/>
      <c r="F240" s="115"/>
      <c r="J240" s="302"/>
      <c r="K240" s="302"/>
      <c r="P240" s="167"/>
      <c r="Q240" s="115"/>
      <c r="R240" s="303"/>
      <c r="S240" s="303"/>
      <c r="T240" s="303"/>
      <c r="U240" s="303"/>
      <c r="V240" s="303"/>
      <c r="W240" s="303"/>
      <c r="X240" s="303"/>
      <c r="Y240" s="168"/>
    </row>
    <row r="241" spans="5:25" s="114" customFormat="1">
      <c r="E241" s="167"/>
      <c r="F241" s="115"/>
      <c r="J241" s="302"/>
      <c r="K241" s="302"/>
      <c r="P241" s="167"/>
      <c r="Q241" s="115"/>
      <c r="R241" s="303"/>
      <c r="S241" s="303"/>
      <c r="T241" s="303"/>
      <c r="U241" s="303"/>
      <c r="V241" s="303"/>
      <c r="W241" s="303"/>
      <c r="X241" s="303"/>
      <c r="Y241" s="168"/>
    </row>
    <row r="242" spans="5:25" s="114" customFormat="1">
      <c r="E242" s="167"/>
      <c r="F242" s="115"/>
      <c r="J242" s="302"/>
      <c r="K242" s="302"/>
      <c r="P242" s="167"/>
      <c r="Q242" s="115"/>
      <c r="R242" s="303"/>
      <c r="S242" s="303"/>
      <c r="T242" s="303"/>
      <c r="U242" s="303"/>
      <c r="V242" s="303"/>
      <c r="W242" s="303"/>
      <c r="X242" s="303"/>
      <c r="Y242" s="168"/>
    </row>
    <row r="243" spans="5:25" s="114" customFormat="1">
      <c r="E243" s="167"/>
      <c r="F243" s="115"/>
      <c r="J243" s="302"/>
      <c r="K243" s="302"/>
      <c r="P243" s="167"/>
      <c r="Q243" s="115"/>
      <c r="R243" s="303"/>
      <c r="S243" s="303"/>
      <c r="T243" s="303"/>
      <c r="U243" s="303"/>
      <c r="V243" s="303"/>
      <c r="W243" s="303"/>
      <c r="X243" s="303"/>
      <c r="Y243" s="168"/>
    </row>
    <row r="244" spans="5:25" s="114" customFormat="1">
      <c r="E244" s="167"/>
      <c r="F244" s="115"/>
      <c r="J244" s="302"/>
      <c r="K244" s="302"/>
      <c r="P244" s="167"/>
      <c r="Q244" s="115"/>
      <c r="R244" s="303"/>
      <c r="S244" s="303"/>
      <c r="T244" s="303"/>
      <c r="U244" s="303"/>
      <c r="V244" s="303"/>
      <c r="W244" s="303"/>
      <c r="X244" s="303"/>
      <c r="Y244" s="168"/>
    </row>
    <row r="245" spans="5:25" s="114" customFormat="1">
      <c r="E245" s="167"/>
      <c r="F245" s="115"/>
      <c r="J245" s="302"/>
      <c r="K245" s="302"/>
      <c r="P245" s="167"/>
      <c r="Q245" s="115"/>
      <c r="R245" s="303"/>
      <c r="S245" s="303"/>
      <c r="T245" s="303"/>
      <c r="U245" s="303"/>
      <c r="V245" s="303"/>
      <c r="W245" s="303"/>
      <c r="X245" s="303"/>
      <c r="Y245" s="168"/>
    </row>
    <row r="246" spans="5:25" s="114" customFormat="1">
      <c r="E246" s="167"/>
      <c r="F246" s="115"/>
      <c r="J246" s="302"/>
      <c r="K246" s="302"/>
      <c r="P246" s="167"/>
      <c r="Q246" s="115"/>
      <c r="R246" s="303"/>
      <c r="S246" s="303"/>
      <c r="T246" s="303"/>
      <c r="U246" s="303"/>
      <c r="V246" s="303"/>
      <c r="W246" s="303"/>
      <c r="X246" s="303"/>
      <c r="Y246" s="168"/>
    </row>
    <row r="247" spans="5:25" s="114" customFormat="1">
      <c r="E247" s="167"/>
      <c r="F247" s="115"/>
      <c r="J247" s="302"/>
      <c r="K247" s="302"/>
      <c r="P247" s="167"/>
      <c r="Q247" s="115"/>
      <c r="R247" s="303"/>
      <c r="S247" s="303"/>
      <c r="T247" s="303"/>
      <c r="U247" s="303"/>
      <c r="V247" s="303"/>
      <c r="W247" s="303"/>
      <c r="X247" s="303"/>
      <c r="Y247" s="168"/>
    </row>
    <row r="248" spans="5:25" s="114" customFormat="1">
      <c r="E248" s="167"/>
      <c r="F248" s="115"/>
      <c r="J248" s="302"/>
      <c r="K248" s="302"/>
      <c r="P248" s="167"/>
      <c r="Q248" s="115"/>
      <c r="R248" s="303"/>
      <c r="S248" s="303"/>
      <c r="T248" s="303"/>
      <c r="U248" s="303"/>
      <c r="V248" s="303"/>
      <c r="W248" s="303"/>
      <c r="X248" s="303"/>
      <c r="Y248" s="168"/>
    </row>
    <row r="249" spans="5:25" s="114" customFormat="1">
      <c r="E249" s="167"/>
      <c r="F249" s="115"/>
      <c r="J249" s="302"/>
      <c r="K249" s="302"/>
      <c r="P249" s="167"/>
      <c r="Q249" s="115"/>
      <c r="R249" s="303"/>
      <c r="S249" s="303"/>
      <c r="T249" s="303"/>
      <c r="U249" s="303"/>
      <c r="V249" s="303"/>
      <c r="W249" s="303"/>
      <c r="X249" s="303"/>
      <c r="Y249" s="168"/>
    </row>
    <row r="250" spans="5:25" s="114" customFormat="1">
      <c r="E250" s="167"/>
      <c r="F250" s="115"/>
      <c r="J250" s="302"/>
      <c r="K250" s="302"/>
      <c r="P250" s="167"/>
      <c r="Q250" s="115"/>
      <c r="R250" s="303"/>
      <c r="S250" s="303"/>
      <c r="T250" s="303"/>
      <c r="U250" s="303"/>
      <c r="V250" s="303"/>
      <c r="W250" s="303"/>
      <c r="X250" s="303"/>
      <c r="Y250" s="168"/>
    </row>
    <row r="251" spans="5:25" s="114" customFormat="1">
      <c r="E251" s="167"/>
      <c r="F251" s="115"/>
      <c r="J251" s="302"/>
      <c r="K251" s="302"/>
      <c r="P251" s="167"/>
      <c r="Q251" s="115"/>
      <c r="R251" s="303"/>
      <c r="S251" s="303"/>
      <c r="T251" s="303"/>
      <c r="U251" s="303"/>
      <c r="V251" s="303"/>
      <c r="W251" s="303"/>
      <c r="X251" s="303"/>
      <c r="Y251" s="168"/>
    </row>
    <row r="252" spans="5:25" s="114" customFormat="1">
      <c r="E252" s="167"/>
      <c r="F252" s="115"/>
      <c r="J252" s="302"/>
      <c r="K252" s="302"/>
      <c r="P252" s="167"/>
      <c r="Q252" s="115"/>
      <c r="R252" s="303"/>
      <c r="S252" s="303"/>
      <c r="T252" s="303"/>
      <c r="U252" s="303"/>
      <c r="V252" s="303"/>
      <c r="W252" s="303"/>
      <c r="X252" s="303"/>
      <c r="Y252" s="168"/>
    </row>
    <row r="253" spans="5:25" s="114" customFormat="1">
      <c r="E253" s="167"/>
      <c r="F253" s="115"/>
      <c r="J253" s="302"/>
      <c r="K253" s="302"/>
      <c r="P253" s="167"/>
      <c r="Q253" s="115"/>
      <c r="R253" s="303"/>
      <c r="S253" s="303"/>
      <c r="T253" s="303"/>
      <c r="U253" s="303"/>
      <c r="V253" s="303"/>
      <c r="W253" s="303"/>
      <c r="X253" s="303"/>
      <c r="Y253" s="168"/>
    </row>
    <row r="254" spans="5:25" s="114" customFormat="1">
      <c r="E254" s="167"/>
      <c r="F254" s="115"/>
      <c r="J254" s="302"/>
      <c r="K254" s="302"/>
      <c r="P254" s="167"/>
      <c r="Q254" s="115"/>
      <c r="R254" s="303"/>
      <c r="S254" s="303"/>
      <c r="T254" s="303"/>
      <c r="U254" s="303"/>
      <c r="V254" s="303"/>
      <c r="W254" s="303"/>
      <c r="X254" s="303"/>
      <c r="Y254" s="168"/>
    </row>
    <row r="255" spans="5:25" s="114" customFormat="1">
      <c r="E255" s="167"/>
      <c r="F255" s="115"/>
      <c r="J255" s="302"/>
      <c r="K255" s="302"/>
      <c r="P255" s="167"/>
      <c r="Q255" s="115"/>
      <c r="R255" s="303"/>
      <c r="S255" s="303"/>
      <c r="T255" s="303"/>
      <c r="U255" s="303"/>
      <c r="V255" s="303"/>
      <c r="W255" s="303"/>
      <c r="X255" s="303"/>
      <c r="Y255" s="168"/>
    </row>
    <row r="256" spans="5:25" s="114" customFormat="1">
      <c r="E256" s="167"/>
      <c r="F256" s="115"/>
      <c r="J256" s="302"/>
      <c r="K256" s="302"/>
      <c r="P256" s="167"/>
      <c r="Q256" s="115"/>
      <c r="R256" s="303"/>
      <c r="S256" s="303"/>
      <c r="T256" s="303"/>
      <c r="U256" s="303"/>
      <c r="V256" s="303"/>
      <c r="W256" s="303"/>
      <c r="X256" s="303"/>
      <c r="Y256" s="168"/>
    </row>
    <row r="257" spans="5:25" s="114" customFormat="1">
      <c r="E257" s="167"/>
      <c r="F257" s="115"/>
      <c r="J257" s="302"/>
      <c r="K257" s="302"/>
      <c r="P257" s="167"/>
      <c r="Q257" s="115"/>
      <c r="R257" s="303"/>
      <c r="S257" s="303"/>
      <c r="T257" s="303"/>
      <c r="U257" s="303"/>
      <c r="V257" s="303"/>
      <c r="W257" s="303"/>
      <c r="X257" s="303"/>
      <c r="Y257" s="168"/>
    </row>
    <row r="258" spans="5:25" s="114" customFormat="1">
      <c r="E258" s="167"/>
      <c r="F258" s="115"/>
      <c r="J258" s="302"/>
      <c r="K258" s="302"/>
      <c r="P258" s="167"/>
      <c r="Q258" s="115"/>
      <c r="R258" s="303"/>
      <c r="S258" s="303"/>
      <c r="T258" s="303"/>
      <c r="U258" s="303"/>
      <c r="V258" s="303"/>
      <c r="W258" s="303"/>
      <c r="X258" s="303"/>
      <c r="Y258" s="168"/>
    </row>
    <row r="259" spans="5:25" s="114" customFormat="1">
      <c r="E259" s="167"/>
      <c r="F259" s="115"/>
      <c r="J259" s="302"/>
      <c r="K259" s="302"/>
      <c r="P259" s="167"/>
      <c r="Q259" s="115"/>
      <c r="R259" s="303"/>
      <c r="S259" s="303"/>
      <c r="T259" s="303"/>
      <c r="U259" s="303"/>
      <c r="V259" s="303"/>
      <c r="W259" s="303"/>
      <c r="X259" s="303"/>
      <c r="Y259" s="168"/>
    </row>
    <row r="260" spans="5:25" s="114" customFormat="1">
      <c r="E260" s="167"/>
      <c r="F260" s="115"/>
      <c r="J260" s="302"/>
      <c r="K260" s="302"/>
      <c r="P260" s="167"/>
      <c r="Q260" s="115"/>
      <c r="R260" s="303"/>
      <c r="S260" s="303"/>
      <c r="T260" s="303"/>
      <c r="U260" s="303"/>
      <c r="V260" s="303"/>
      <c r="W260" s="303"/>
      <c r="X260" s="303"/>
      <c r="Y260" s="168"/>
    </row>
    <row r="261" spans="5:25" s="114" customFormat="1">
      <c r="E261" s="167"/>
      <c r="F261" s="115"/>
      <c r="J261" s="302"/>
      <c r="K261" s="302"/>
      <c r="P261" s="167"/>
      <c r="Q261" s="115"/>
      <c r="R261" s="303"/>
      <c r="S261" s="303"/>
      <c r="T261" s="303"/>
      <c r="U261" s="303"/>
      <c r="V261" s="303"/>
      <c r="W261" s="303"/>
      <c r="X261" s="303"/>
      <c r="Y261" s="168"/>
    </row>
    <row r="262" spans="5:25" s="114" customFormat="1">
      <c r="E262" s="167"/>
      <c r="F262" s="115"/>
      <c r="J262" s="302"/>
      <c r="K262" s="302"/>
      <c r="P262" s="167"/>
      <c r="Q262" s="115"/>
      <c r="R262" s="303"/>
      <c r="S262" s="303"/>
      <c r="T262" s="303"/>
      <c r="U262" s="303"/>
      <c r="V262" s="303"/>
      <c r="W262" s="303"/>
      <c r="X262" s="303"/>
      <c r="Y262" s="168"/>
    </row>
    <row r="263" spans="5:25" s="114" customFormat="1">
      <c r="E263" s="167"/>
      <c r="F263" s="115"/>
      <c r="J263" s="302"/>
      <c r="K263" s="302"/>
      <c r="P263" s="167"/>
      <c r="Q263" s="115"/>
      <c r="R263" s="303"/>
      <c r="S263" s="303"/>
      <c r="T263" s="303"/>
      <c r="U263" s="303"/>
      <c r="V263" s="303"/>
      <c r="W263" s="303"/>
      <c r="X263" s="303"/>
      <c r="Y263" s="168"/>
    </row>
    <row r="264" spans="5:25" s="114" customFormat="1">
      <c r="E264" s="167"/>
      <c r="F264" s="115"/>
      <c r="J264" s="302"/>
      <c r="K264" s="302"/>
      <c r="P264" s="167"/>
      <c r="Q264" s="115"/>
      <c r="R264" s="303"/>
      <c r="S264" s="303"/>
      <c r="T264" s="303"/>
      <c r="U264" s="303"/>
      <c r="V264" s="303"/>
      <c r="W264" s="303"/>
      <c r="X264" s="303"/>
      <c r="Y264" s="168"/>
    </row>
    <row r="265" spans="5:25" s="114" customFormat="1">
      <c r="E265" s="167"/>
      <c r="F265" s="115"/>
      <c r="J265" s="302"/>
      <c r="K265" s="302"/>
      <c r="P265" s="167"/>
      <c r="Q265" s="115"/>
      <c r="R265" s="303"/>
      <c r="S265" s="303"/>
      <c r="T265" s="303"/>
      <c r="U265" s="303"/>
      <c r="V265" s="303"/>
      <c r="W265" s="303"/>
      <c r="X265" s="303"/>
      <c r="Y265" s="168"/>
    </row>
    <row r="266" spans="5:25" s="114" customFormat="1">
      <c r="E266" s="167"/>
      <c r="F266" s="115"/>
      <c r="J266" s="302"/>
      <c r="K266" s="302"/>
      <c r="P266" s="167"/>
      <c r="Q266" s="115"/>
      <c r="R266" s="303"/>
      <c r="S266" s="303"/>
      <c r="T266" s="303"/>
      <c r="U266" s="303"/>
      <c r="V266" s="303"/>
      <c r="W266" s="303"/>
      <c r="X266" s="303"/>
      <c r="Y266" s="168"/>
    </row>
    <row r="267" spans="5:25" s="114" customFormat="1">
      <c r="E267" s="167"/>
      <c r="F267" s="115"/>
      <c r="J267" s="302"/>
      <c r="K267" s="302"/>
      <c r="P267" s="167"/>
      <c r="Q267" s="115"/>
      <c r="R267" s="303"/>
      <c r="S267" s="303"/>
      <c r="T267" s="303"/>
      <c r="U267" s="303"/>
      <c r="V267" s="303"/>
      <c r="W267" s="303"/>
      <c r="X267" s="303"/>
      <c r="Y267" s="168"/>
    </row>
    <row r="268" spans="5:25" s="114" customFormat="1">
      <c r="E268" s="167"/>
      <c r="F268" s="115"/>
      <c r="J268" s="302"/>
      <c r="K268" s="302"/>
      <c r="P268" s="167"/>
      <c r="Q268" s="115"/>
      <c r="R268" s="303"/>
      <c r="S268" s="303"/>
      <c r="T268" s="303"/>
      <c r="U268" s="303"/>
      <c r="V268" s="303"/>
      <c r="W268" s="303"/>
      <c r="X268" s="303"/>
      <c r="Y268" s="168"/>
    </row>
    <row r="269" spans="5:25" s="114" customFormat="1">
      <c r="E269" s="167"/>
      <c r="F269" s="115"/>
      <c r="J269" s="302"/>
      <c r="K269" s="302"/>
      <c r="P269" s="167"/>
      <c r="Q269" s="115"/>
      <c r="R269" s="303"/>
      <c r="S269" s="303"/>
      <c r="T269" s="303"/>
      <c r="U269" s="303"/>
      <c r="V269" s="303"/>
      <c r="W269" s="303"/>
      <c r="X269" s="303"/>
      <c r="Y269" s="168"/>
    </row>
    <row r="270" spans="5:25" s="114" customFormat="1">
      <c r="E270" s="167"/>
      <c r="F270" s="115"/>
      <c r="J270" s="302"/>
      <c r="K270" s="302"/>
      <c r="P270" s="167"/>
      <c r="Q270" s="115"/>
      <c r="R270" s="303"/>
      <c r="S270" s="303"/>
      <c r="T270" s="303"/>
      <c r="U270" s="303"/>
      <c r="V270" s="303"/>
      <c r="W270" s="303"/>
      <c r="X270" s="303"/>
      <c r="Y270" s="168"/>
    </row>
    <row r="271" spans="5:25" s="114" customFormat="1">
      <c r="E271" s="167"/>
      <c r="F271" s="115"/>
      <c r="J271" s="302"/>
      <c r="K271" s="302"/>
      <c r="P271" s="167"/>
      <c r="Q271" s="115"/>
      <c r="R271" s="303"/>
      <c r="S271" s="303"/>
      <c r="T271" s="303"/>
      <c r="U271" s="303"/>
      <c r="V271" s="303"/>
      <c r="W271" s="303"/>
      <c r="X271" s="303"/>
      <c r="Y271" s="168"/>
    </row>
    <row r="272" spans="5:25" s="114" customFormat="1">
      <c r="E272" s="167"/>
      <c r="F272" s="115"/>
      <c r="J272" s="302"/>
      <c r="K272" s="302"/>
      <c r="P272" s="167"/>
      <c r="Q272" s="115"/>
      <c r="R272" s="303"/>
      <c r="S272" s="303"/>
      <c r="T272" s="303"/>
      <c r="U272" s="303"/>
      <c r="V272" s="303"/>
      <c r="W272" s="303"/>
      <c r="X272" s="303"/>
      <c r="Y272" s="168"/>
    </row>
    <row r="273" spans="5:25" s="114" customFormat="1">
      <c r="E273" s="167"/>
      <c r="F273" s="115"/>
      <c r="J273" s="302"/>
      <c r="K273" s="302"/>
      <c r="P273" s="167"/>
      <c r="Q273" s="115"/>
      <c r="R273" s="303"/>
      <c r="S273" s="303"/>
      <c r="T273" s="303"/>
      <c r="U273" s="303"/>
      <c r="V273" s="303"/>
      <c r="W273" s="303"/>
      <c r="X273" s="303"/>
      <c r="Y273" s="168"/>
    </row>
    <row r="274" spans="5:25" s="114" customFormat="1">
      <c r="E274" s="167"/>
      <c r="F274" s="115"/>
      <c r="J274" s="302"/>
      <c r="K274" s="302"/>
      <c r="P274" s="167"/>
      <c r="Q274" s="115"/>
      <c r="R274" s="303"/>
      <c r="S274" s="303"/>
      <c r="T274" s="303"/>
      <c r="U274" s="303"/>
      <c r="V274" s="303"/>
      <c r="W274" s="303"/>
      <c r="X274" s="303"/>
      <c r="Y274" s="168"/>
    </row>
    <row r="275" spans="5:25" s="114" customFormat="1">
      <c r="E275" s="167"/>
      <c r="F275" s="115"/>
      <c r="J275" s="302"/>
      <c r="K275" s="302"/>
      <c r="P275" s="167"/>
      <c r="Q275" s="115"/>
      <c r="R275" s="303"/>
      <c r="S275" s="303"/>
      <c r="T275" s="303"/>
      <c r="U275" s="303"/>
      <c r="V275" s="303"/>
      <c r="W275" s="303"/>
      <c r="X275" s="303"/>
      <c r="Y275" s="168"/>
    </row>
    <row r="276" spans="5:25" s="114" customFormat="1">
      <c r="E276" s="167"/>
      <c r="F276" s="115"/>
      <c r="J276" s="302"/>
      <c r="K276" s="302"/>
      <c r="P276" s="167"/>
      <c r="Q276" s="115"/>
      <c r="R276" s="303"/>
      <c r="S276" s="303"/>
      <c r="T276" s="303"/>
      <c r="U276" s="303"/>
      <c r="V276" s="303"/>
      <c r="W276" s="303"/>
      <c r="X276" s="303"/>
      <c r="Y276" s="168"/>
    </row>
    <row r="277" spans="5:25" s="114" customFormat="1">
      <c r="E277" s="167"/>
      <c r="F277" s="115"/>
      <c r="J277" s="302"/>
      <c r="K277" s="302"/>
      <c r="P277" s="167"/>
      <c r="Q277" s="115"/>
      <c r="R277" s="303"/>
      <c r="S277" s="303"/>
      <c r="T277" s="303"/>
      <c r="U277" s="303"/>
      <c r="V277" s="303"/>
      <c r="W277" s="303"/>
      <c r="X277" s="303"/>
      <c r="Y277" s="168"/>
    </row>
    <row r="278" spans="5:25" s="114" customFormat="1">
      <c r="E278" s="167"/>
      <c r="F278" s="115"/>
      <c r="J278" s="302"/>
      <c r="K278" s="302"/>
      <c r="P278" s="167"/>
      <c r="Q278" s="115"/>
      <c r="R278" s="303"/>
      <c r="S278" s="303"/>
      <c r="T278" s="303"/>
      <c r="U278" s="303"/>
      <c r="V278" s="303"/>
      <c r="W278" s="303"/>
      <c r="X278" s="303"/>
      <c r="Y278" s="168"/>
    </row>
    <row r="279" spans="5:25" s="114" customFormat="1">
      <c r="E279" s="167"/>
      <c r="F279" s="115"/>
      <c r="J279" s="302"/>
      <c r="K279" s="302"/>
      <c r="P279" s="167"/>
      <c r="Q279" s="115"/>
      <c r="R279" s="303"/>
      <c r="S279" s="303"/>
      <c r="T279" s="303"/>
      <c r="U279" s="303"/>
      <c r="V279" s="303"/>
      <c r="W279" s="303"/>
      <c r="X279" s="303"/>
      <c r="Y279" s="168"/>
    </row>
    <row r="280" spans="5:25" s="114" customFormat="1">
      <c r="E280" s="167"/>
      <c r="F280" s="115"/>
      <c r="J280" s="302"/>
      <c r="K280" s="302"/>
      <c r="P280" s="167"/>
      <c r="Q280" s="115"/>
      <c r="R280" s="303"/>
      <c r="S280" s="303"/>
      <c r="T280" s="303"/>
      <c r="U280" s="303"/>
      <c r="V280" s="303"/>
      <c r="W280" s="303"/>
      <c r="X280" s="303"/>
      <c r="Y280" s="168"/>
    </row>
    <row r="281" spans="5:25" s="114" customFormat="1">
      <c r="E281" s="167"/>
      <c r="F281" s="115"/>
      <c r="J281" s="302"/>
      <c r="K281" s="302"/>
      <c r="P281" s="167"/>
      <c r="Q281" s="115"/>
      <c r="R281" s="303"/>
      <c r="S281" s="303"/>
      <c r="T281" s="303"/>
      <c r="U281" s="303"/>
      <c r="V281" s="303"/>
      <c r="W281" s="303"/>
      <c r="X281" s="303"/>
      <c r="Y281" s="168"/>
    </row>
    <row r="282" spans="5:25" s="114" customFormat="1">
      <c r="E282" s="167"/>
      <c r="F282" s="115"/>
      <c r="J282" s="302"/>
      <c r="K282" s="302"/>
      <c r="P282" s="167"/>
      <c r="Q282" s="115"/>
      <c r="R282" s="303"/>
      <c r="S282" s="303"/>
      <c r="T282" s="303"/>
      <c r="U282" s="303"/>
      <c r="V282" s="303"/>
      <c r="W282" s="303"/>
      <c r="X282" s="303"/>
      <c r="Y282" s="168"/>
    </row>
    <row r="283" spans="5:25" s="114" customFormat="1">
      <c r="E283" s="167"/>
      <c r="F283" s="115"/>
      <c r="J283" s="302"/>
      <c r="K283" s="302"/>
      <c r="P283" s="167"/>
      <c r="Q283" s="115"/>
      <c r="R283" s="303"/>
      <c r="S283" s="303"/>
      <c r="T283" s="303"/>
      <c r="U283" s="303"/>
      <c r="V283" s="303"/>
      <c r="W283" s="303"/>
      <c r="X283" s="303"/>
      <c r="Y283" s="168"/>
    </row>
    <row r="284" spans="5:25" s="114" customFormat="1">
      <c r="E284" s="167"/>
      <c r="F284" s="115"/>
      <c r="J284" s="302"/>
      <c r="K284" s="302"/>
      <c r="P284" s="167"/>
      <c r="Q284" s="115"/>
      <c r="R284" s="303"/>
      <c r="S284" s="303"/>
      <c r="T284" s="303"/>
      <c r="U284" s="303"/>
      <c r="V284" s="303"/>
      <c r="W284" s="303"/>
      <c r="X284" s="303"/>
      <c r="Y284" s="168"/>
    </row>
    <row r="285" spans="5:25" s="114" customFormat="1">
      <c r="E285" s="167"/>
      <c r="F285" s="115"/>
      <c r="J285" s="302"/>
      <c r="K285" s="302"/>
      <c r="P285" s="167"/>
      <c r="Q285" s="115"/>
      <c r="R285" s="303"/>
      <c r="S285" s="303"/>
      <c r="T285" s="303"/>
      <c r="U285" s="303"/>
      <c r="V285" s="303"/>
      <c r="W285" s="303"/>
      <c r="X285" s="303"/>
      <c r="Y285" s="168"/>
    </row>
    <row r="286" spans="5:25" s="114" customFormat="1">
      <c r="E286" s="167"/>
      <c r="F286" s="115"/>
      <c r="J286" s="302"/>
      <c r="K286" s="302"/>
      <c r="P286" s="167"/>
      <c r="Q286" s="115"/>
      <c r="R286" s="303"/>
      <c r="S286" s="303"/>
      <c r="T286" s="303"/>
      <c r="U286" s="303"/>
      <c r="V286" s="303"/>
      <c r="W286" s="303"/>
      <c r="X286" s="303"/>
      <c r="Y286" s="168"/>
    </row>
    <row r="287" spans="5:25" s="114" customFormat="1">
      <c r="E287" s="167"/>
      <c r="F287" s="115"/>
      <c r="J287" s="302"/>
      <c r="K287" s="302"/>
      <c r="P287" s="167"/>
      <c r="Q287" s="115"/>
      <c r="R287" s="303"/>
      <c r="S287" s="303"/>
      <c r="T287" s="303"/>
      <c r="U287" s="303"/>
      <c r="V287" s="303"/>
      <c r="W287" s="303"/>
      <c r="X287" s="303"/>
      <c r="Y287" s="168"/>
    </row>
    <row r="288" spans="5:25" s="114" customFormat="1">
      <c r="E288" s="167"/>
      <c r="F288" s="115"/>
      <c r="J288" s="302"/>
      <c r="K288" s="302"/>
      <c r="P288" s="167"/>
      <c r="Q288" s="115"/>
      <c r="R288" s="303"/>
      <c r="S288" s="303"/>
      <c r="T288" s="303"/>
      <c r="U288" s="303"/>
      <c r="V288" s="303"/>
      <c r="W288" s="303"/>
      <c r="X288" s="303"/>
      <c r="Y288" s="168"/>
    </row>
    <row r="289" spans="5:25" s="114" customFormat="1">
      <c r="E289" s="167"/>
      <c r="F289" s="115"/>
      <c r="J289" s="302"/>
      <c r="K289" s="302"/>
      <c r="P289" s="167"/>
      <c r="Q289" s="115"/>
      <c r="R289" s="303"/>
      <c r="S289" s="303"/>
      <c r="T289" s="303"/>
      <c r="U289" s="303"/>
      <c r="V289" s="303"/>
      <c r="W289" s="303"/>
      <c r="X289" s="303"/>
      <c r="Y289" s="168"/>
    </row>
    <row r="290" spans="5:25" s="114" customFormat="1">
      <c r="E290" s="167"/>
      <c r="F290" s="115"/>
      <c r="J290" s="302"/>
      <c r="K290" s="302"/>
      <c r="P290" s="167"/>
      <c r="Q290" s="115"/>
      <c r="R290" s="303"/>
      <c r="S290" s="303"/>
      <c r="T290" s="303"/>
      <c r="U290" s="303"/>
      <c r="V290" s="303"/>
      <c r="W290" s="303"/>
      <c r="X290" s="303"/>
      <c r="Y290" s="168"/>
    </row>
    <row r="291" spans="5:25" s="114" customFormat="1">
      <c r="E291" s="167"/>
      <c r="F291" s="115"/>
      <c r="J291" s="302"/>
      <c r="K291" s="302"/>
      <c r="P291" s="167"/>
      <c r="Q291" s="115"/>
      <c r="R291" s="303"/>
      <c r="S291" s="303"/>
      <c r="T291" s="303"/>
      <c r="U291" s="303"/>
      <c r="V291" s="303"/>
      <c r="W291" s="303"/>
      <c r="X291" s="303"/>
      <c r="Y291" s="168"/>
    </row>
    <row r="292" spans="5:25" s="114" customFormat="1">
      <c r="E292" s="167"/>
      <c r="F292" s="115"/>
      <c r="J292" s="302"/>
      <c r="K292" s="302"/>
      <c r="P292" s="167"/>
      <c r="Q292" s="115"/>
      <c r="R292" s="303"/>
      <c r="S292" s="303"/>
      <c r="T292" s="303"/>
      <c r="U292" s="303"/>
      <c r="V292" s="303"/>
      <c r="W292" s="303"/>
      <c r="X292" s="303"/>
      <c r="Y292" s="168"/>
    </row>
    <row r="293" spans="5:25" s="114" customFormat="1">
      <c r="E293" s="167"/>
      <c r="F293" s="115"/>
      <c r="J293" s="302"/>
      <c r="K293" s="302"/>
      <c r="P293" s="167"/>
      <c r="Q293" s="115"/>
      <c r="R293" s="303"/>
      <c r="S293" s="303"/>
      <c r="T293" s="303"/>
      <c r="U293" s="303"/>
      <c r="V293" s="303"/>
      <c r="W293" s="303"/>
      <c r="X293" s="303"/>
      <c r="Y293" s="168"/>
    </row>
    <row r="294" spans="5:25" s="114" customFormat="1">
      <c r="E294" s="167"/>
      <c r="F294" s="115"/>
      <c r="J294" s="302"/>
      <c r="K294" s="302"/>
      <c r="P294" s="167"/>
      <c r="Q294" s="115"/>
      <c r="R294" s="303"/>
      <c r="S294" s="303"/>
      <c r="T294" s="303"/>
      <c r="U294" s="303"/>
      <c r="V294" s="303"/>
      <c r="W294" s="303"/>
      <c r="X294" s="303"/>
      <c r="Y294" s="168"/>
    </row>
    <row r="295" spans="5:25" s="114" customFormat="1">
      <c r="E295" s="167"/>
      <c r="F295" s="115"/>
      <c r="J295" s="302"/>
      <c r="K295" s="302"/>
      <c r="P295" s="167"/>
      <c r="Q295" s="115"/>
      <c r="R295" s="303"/>
      <c r="S295" s="303"/>
      <c r="T295" s="303"/>
      <c r="U295" s="303"/>
      <c r="V295" s="303"/>
      <c r="W295" s="303"/>
      <c r="X295" s="303"/>
      <c r="Y295" s="168"/>
    </row>
    <row r="296" spans="5:25" s="114" customFormat="1">
      <c r="E296" s="167"/>
      <c r="F296" s="115"/>
      <c r="J296" s="302"/>
      <c r="K296" s="302"/>
      <c r="P296" s="167"/>
      <c r="Q296" s="115"/>
      <c r="R296" s="303"/>
      <c r="S296" s="303"/>
      <c r="T296" s="303"/>
      <c r="U296" s="303"/>
      <c r="V296" s="303"/>
      <c r="W296" s="303"/>
      <c r="X296" s="303"/>
      <c r="Y296" s="168"/>
    </row>
    <row r="297" spans="5:25" s="114" customFormat="1">
      <c r="E297" s="167"/>
      <c r="F297" s="115"/>
      <c r="J297" s="302"/>
      <c r="K297" s="302"/>
      <c r="P297" s="167"/>
      <c r="Q297" s="115"/>
      <c r="R297" s="303"/>
      <c r="S297" s="303"/>
      <c r="T297" s="303"/>
      <c r="U297" s="303"/>
      <c r="V297" s="303"/>
      <c r="W297" s="303"/>
      <c r="X297" s="303"/>
      <c r="Y297" s="168"/>
    </row>
    <row r="298" spans="5:25" s="114" customFormat="1">
      <c r="E298" s="167"/>
      <c r="F298" s="115"/>
      <c r="J298" s="302"/>
      <c r="K298" s="302"/>
      <c r="P298" s="167"/>
      <c r="Q298" s="115"/>
      <c r="R298" s="303"/>
      <c r="S298" s="303"/>
      <c r="T298" s="303"/>
      <c r="U298" s="303"/>
      <c r="V298" s="303"/>
      <c r="W298" s="303"/>
      <c r="X298" s="303"/>
      <c r="Y298" s="168"/>
    </row>
    <row r="299" spans="5:25" s="114" customFormat="1">
      <c r="E299" s="167"/>
      <c r="F299" s="115"/>
      <c r="J299" s="302"/>
      <c r="K299" s="302"/>
      <c r="P299" s="167"/>
      <c r="Q299" s="115"/>
      <c r="R299" s="303"/>
      <c r="S299" s="303"/>
      <c r="T299" s="303"/>
      <c r="U299" s="303"/>
      <c r="V299" s="303"/>
      <c r="W299" s="303"/>
      <c r="X299" s="303"/>
      <c r="Y299" s="168"/>
    </row>
    <row r="300" spans="5:25" s="114" customFormat="1">
      <c r="E300" s="167"/>
      <c r="F300" s="115"/>
      <c r="J300" s="302"/>
      <c r="K300" s="302"/>
      <c r="P300" s="167"/>
      <c r="Q300" s="115"/>
      <c r="R300" s="303"/>
      <c r="S300" s="303"/>
      <c r="T300" s="303"/>
      <c r="U300" s="303"/>
      <c r="V300" s="303"/>
      <c r="W300" s="303"/>
      <c r="X300" s="303"/>
      <c r="Y300" s="168"/>
    </row>
    <row r="301" spans="5:25" s="114" customFormat="1">
      <c r="E301" s="167"/>
      <c r="F301" s="115"/>
      <c r="J301" s="302"/>
      <c r="K301" s="302"/>
      <c r="P301" s="167"/>
      <c r="Q301" s="115"/>
      <c r="R301" s="303"/>
      <c r="S301" s="303"/>
      <c r="T301" s="303"/>
      <c r="U301" s="303"/>
      <c r="V301" s="303"/>
      <c r="W301" s="303"/>
      <c r="X301" s="303"/>
      <c r="Y301" s="168"/>
    </row>
    <row r="302" spans="5:25" s="114" customFormat="1">
      <c r="E302" s="167"/>
      <c r="F302" s="115"/>
      <c r="J302" s="302"/>
      <c r="K302" s="302"/>
      <c r="P302" s="167"/>
      <c r="Q302" s="115"/>
      <c r="R302" s="303"/>
      <c r="S302" s="303"/>
      <c r="T302" s="303"/>
      <c r="U302" s="303"/>
      <c r="V302" s="303"/>
      <c r="W302" s="303"/>
      <c r="X302" s="303"/>
      <c r="Y302" s="168"/>
    </row>
    <row r="303" spans="5:25" s="114" customFormat="1">
      <c r="E303" s="167"/>
      <c r="F303" s="115"/>
      <c r="J303" s="302"/>
      <c r="K303" s="302"/>
      <c r="P303" s="167"/>
      <c r="Q303" s="115"/>
      <c r="R303" s="303"/>
      <c r="S303" s="303"/>
      <c r="T303" s="303"/>
      <c r="U303" s="303"/>
      <c r="V303" s="303"/>
      <c r="W303" s="303"/>
      <c r="X303" s="303"/>
      <c r="Y303" s="168"/>
    </row>
    <row r="304" spans="5:25" s="114" customFormat="1">
      <c r="E304" s="167"/>
      <c r="F304" s="115"/>
      <c r="J304" s="302"/>
      <c r="K304" s="302"/>
      <c r="P304" s="167"/>
      <c r="Q304" s="115"/>
      <c r="R304" s="303"/>
      <c r="S304" s="303"/>
      <c r="T304" s="303"/>
      <c r="U304" s="303"/>
      <c r="V304" s="303"/>
      <c r="W304" s="303"/>
      <c r="X304" s="303"/>
      <c r="Y304" s="168"/>
    </row>
    <row r="305" spans="5:25" s="114" customFormat="1">
      <c r="E305" s="167"/>
      <c r="F305" s="115"/>
      <c r="J305" s="302"/>
      <c r="K305" s="302"/>
      <c r="P305" s="167"/>
      <c r="Q305" s="115"/>
      <c r="R305" s="303"/>
      <c r="S305" s="303"/>
      <c r="T305" s="303"/>
      <c r="U305" s="303"/>
      <c r="V305" s="303"/>
      <c r="W305" s="303"/>
      <c r="X305" s="303"/>
      <c r="Y305" s="168"/>
    </row>
    <row r="306" spans="5:25" s="114" customFormat="1">
      <c r="E306" s="167"/>
      <c r="F306" s="115"/>
      <c r="J306" s="302"/>
      <c r="K306" s="302"/>
      <c r="P306" s="167"/>
      <c r="Q306" s="115"/>
      <c r="R306" s="303"/>
      <c r="S306" s="303"/>
      <c r="T306" s="303"/>
      <c r="U306" s="303"/>
      <c r="V306" s="303"/>
      <c r="W306" s="303"/>
      <c r="X306" s="303"/>
      <c r="Y306" s="168"/>
    </row>
    <row r="307" spans="5:25" s="114" customFormat="1">
      <c r="E307" s="167"/>
      <c r="F307" s="115"/>
      <c r="J307" s="302"/>
      <c r="K307" s="302"/>
      <c r="P307" s="167"/>
      <c r="Q307" s="115"/>
      <c r="R307" s="303"/>
      <c r="S307" s="303"/>
      <c r="T307" s="303"/>
      <c r="U307" s="303"/>
      <c r="V307" s="303"/>
      <c r="W307" s="303"/>
      <c r="X307" s="303"/>
      <c r="Y307" s="168"/>
    </row>
    <row r="308" spans="5:25" s="114" customFormat="1">
      <c r="E308" s="167"/>
      <c r="F308" s="115"/>
      <c r="J308" s="302"/>
      <c r="K308" s="302"/>
      <c r="P308" s="167"/>
      <c r="Q308" s="115"/>
      <c r="R308" s="303"/>
      <c r="S308" s="303"/>
      <c r="T308" s="303"/>
      <c r="U308" s="303"/>
      <c r="V308" s="303"/>
      <c r="W308" s="303"/>
      <c r="X308" s="303"/>
      <c r="Y308" s="168"/>
    </row>
    <row r="309" spans="5:25" s="114" customFormat="1">
      <c r="E309" s="167"/>
      <c r="F309" s="115"/>
      <c r="J309" s="302"/>
      <c r="K309" s="302"/>
      <c r="P309" s="167"/>
      <c r="Q309" s="115"/>
      <c r="R309" s="303"/>
      <c r="S309" s="303"/>
      <c r="T309" s="303"/>
      <c r="U309" s="303"/>
      <c r="V309" s="303"/>
      <c r="W309" s="303"/>
      <c r="X309" s="303"/>
      <c r="Y309" s="168"/>
    </row>
    <row r="310" spans="5:25" s="114" customFormat="1">
      <c r="E310" s="167"/>
      <c r="F310" s="115"/>
      <c r="J310" s="302"/>
      <c r="K310" s="302"/>
      <c r="P310" s="167"/>
      <c r="Q310" s="115"/>
      <c r="R310" s="303"/>
      <c r="S310" s="303"/>
      <c r="T310" s="303"/>
      <c r="U310" s="303"/>
      <c r="V310" s="303"/>
      <c r="W310" s="303"/>
      <c r="X310" s="303"/>
      <c r="Y310" s="168"/>
    </row>
    <row r="311" spans="5:25" s="114" customFormat="1">
      <c r="E311" s="167"/>
      <c r="F311" s="115"/>
      <c r="J311" s="302"/>
      <c r="K311" s="302"/>
      <c r="P311" s="167"/>
      <c r="Q311" s="115"/>
      <c r="R311" s="303"/>
      <c r="S311" s="303"/>
      <c r="T311" s="303"/>
      <c r="U311" s="303"/>
      <c r="V311" s="303"/>
      <c r="W311" s="303"/>
      <c r="X311" s="303"/>
      <c r="Y311" s="168"/>
    </row>
    <row r="312" spans="5:25" s="114" customFormat="1">
      <c r="E312" s="167"/>
      <c r="F312" s="115"/>
      <c r="J312" s="302"/>
      <c r="K312" s="302"/>
      <c r="P312" s="167"/>
      <c r="Q312" s="115"/>
      <c r="R312" s="303"/>
      <c r="S312" s="303"/>
      <c r="T312" s="303"/>
      <c r="U312" s="303"/>
      <c r="V312" s="303"/>
      <c r="W312" s="303"/>
      <c r="X312" s="303"/>
      <c r="Y312" s="168"/>
    </row>
    <row r="313" spans="5:25" s="114" customFormat="1">
      <c r="E313" s="167"/>
      <c r="F313" s="115"/>
      <c r="J313" s="302"/>
      <c r="K313" s="302"/>
      <c r="P313" s="167"/>
      <c r="Q313" s="115"/>
      <c r="R313" s="303"/>
      <c r="S313" s="303"/>
      <c r="T313" s="303"/>
      <c r="U313" s="303"/>
      <c r="V313" s="303"/>
      <c r="W313" s="303"/>
      <c r="X313" s="303"/>
      <c r="Y313" s="168"/>
    </row>
    <row r="314" spans="5:25" s="114" customFormat="1">
      <c r="E314" s="167"/>
      <c r="F314" s="115"/>
      <c r="J314" s="302"/>
      <c r="K314" s="302"/>
      <c r="P314" s="167"/>
      <c r="Q314" s="115"/>
      <c r="R314" s="303"/>
      <c r="S314" s="303"/>
      <c r="T314" s="303"/>
      <c r="U314" s="303"/>
      <c r="V314" s="303"/>
      <c r="W314" s="303"/>
      <c r="X314" s="303"/>
      <c r="Y314" s="168"/>
    </row>
    <row r="315" spans="5:25" s="114" customFormat="1">
      <c r="E315" s="167"/>
      <c r="F315" s="115"/>
      <c r="J315" s="302"/>
      <c r="K315" s="302"/>
      <c r="P315" s="167"/>
      <c r="Q315" s="115"/>
      <c r="R315" s="303"/>
      <c r="S315" s="303"/>
      <c r="T315" s="303"/>
      <c r="U315" s="303"/>
      <c r="V315" s="303"/>
      <c r="W315" s="303"/>
      <c r="X315" s="303"/>
      <c r="Y315" s="168"/>
    </row>
    <row r="316" spans="5:25" s="114" customFormat="1">
      <c r="E316" s="167"/>
      <c r="F316" s="115"/>
      <c r="J316" s="302"/>
      <c r="K316" s="302"/>
      <c r="P316" s="167"/>
      <c r="Q316" s="115"/>
      <c r="R316" s="303"/>
      <c r="S316" s="303"/>
      <c r="T316" s="303"/>
      <c r="U316" s="303"/>
      <c r="V316" s="303"/>
      <c r="W316" s="303"/>
      <c r="X316" s="303"/>
      <c r="Y316" s="168"/>
    </row>
    <row r="317" spans="5:25" s="114" customFormat="1">
      <c r="E317" s="167"/>
      <c r="F317" s="115"/>
      <c r="J317" s="302"/>
      <c r="K317" s="302"/>
      <c r="P317" s="167"/>
      <c r="Q317" s="115"/>
      <c r="R317" s="303"/>
      <c r="S317" s="303"/>
      <c r="T317" s="303"/>
      <c r="U317" s="303"/>
      <c r="V317" s="303"/>
      <c r="W317" s="303"/>
      <c r="X317" s="303"/>
      <c r="Y317" s="168"/>
    </row>
    <row r="318" spans="5:25" s="114" customFormat="1">
      <c r="E318" s="167"/>
      <c r="F318" s="115"/>
      <c r="J318" s="302"/>
      <c r="K318" s="302"/>
      <c r="P318" s="167"/>
      <c r="Q318" s="115"/>
      <c r="R318" s="303"/>
      <c r="S318" s="303"/>
      <c r="T318" s="303"/>
      <c r="U318" s="303"/>
      <c r="V318" s="303"/>
      <c r="W318" s="303"/>
      <c r="X318" s="303"/>
      <c r="Y318" s="168"/>
    </row>
    <row r="319" spans="5:25" s="114" customFormat="1">
      <c r="E319" s="167"/>
      <c r="F319" s="115"/>
      <c r="J319" s="302"/>
      <c r="K319" s="302"/>
      <c r="P319" s="167"/>
      <c r="Q319" s="115"/>
      <c r="R319" s="303"/>
      <c r="S319" s="303"/>
      <c r="T319" s="303"/>
      <c r="U319" s="303"/>
      <c r="V319" s="303"/>
      <c r="W319" s="303"/>
      <c r="X319" s="303"/>
      <c r="Y319" s="168"/>
    </row>
    <row r="320" spans="5:25" s="114" customFormat="1">
      <c r="E320" s="167"/>
      <c r="F320" s="115"/>
      <c r="J320" s="302"/>
      <c r="K320" s="302"/>
      <c r="P320" s="167"/>
      <c r="Q320" s="115"/>
      <c r="R320" s="303"/>
      <c r="S320" s="303"/>
      <c r="T320" s="303"/>
      <c r="U320" s="303"/>
      <c r="V320" s="303"/>
      <c r="W320" s="303"/>
      <c r="X320" s="303"/>
      <c r="Y320" s="168"/>
    </row>
    <row r="321" spans="5:25" s="114" customFormat="1">
      <c r="E321" s="167"/>
      <c r="F321" s="115"/>
      <c r="J321" s="302"/>
      <c r="K321" s="302"/>
      <c r="P321" s="167"/>
      <c r="Q321" s="115"/>
      <c r="R321" s="303"/>
      <c r="S321" s="303"/>
      <c r="T321" s="303"/>
      <c r="U321" s="303"/>
      <c r="V321" s="303"/>
      <c r="W321" s="303"/>
      <c r="X321" s="303"/>
      <c r="Y321" s="168"/>
    </row>
    <row r="322" spans="5:25" s="114" customFormat="1">
      <c r="E322" s="167"/>
      <c r="F322" s="115"/>
      <c r="J322" s="302"/>
      <c r="K322" s="302"/>
      <c r="P322" s="167"/>
      <c r="Q322" s="115"/>
      <c r="R322" s="303"/>
      <c r="S322" s="303"/>
      <c r="T322" s="303"/>
      <c r="U322" s="303"/>
      <c r="V322" s="303"/>
      <c r="W322" s="303"/>
      <c r="X322" s="303"/>
      <c r="Y322" s="168"/>
    </row>
    <row r="323" spans="5:25" s="114" customFormat="1">
      <c r="E323" s="167"/>
      <c r="F323" s="115"/>
      <c r="J323" s="302"/>
      <c r="K323" s="302"/>
      <c r="P323" s="167"/>
      <c r="Q323" s="115"/>
      <c r="R323" s="303"/>
      <c r="S323" s="303"/>
      <c r="T323" s="303"/>
      <c r="U323" s="303"/>
      <c r="V323" s="303"/>
      <c r="W323" s="303"/>
      <c r="X323" s="303"/>
      <c r="Y323" s="168"/>
    </row>
    <row r="324" spans="5:25" s="114" customFormat="1">
      <c r="E324" s="167"/>
      <c r="F324" s="115"/>
      <c r="J324" s="302"/>
      <c r="K324" s="302"/>
      <c r="P324" s="167"/>
      <c r="Q324" s="115"/>
      <c r="R324" s="303"/>
      <c r="S324" s="303"/>
      <c r="T324" s="303"/>
      <c r="U324" s="303"/>
      <c r="V324" s="303"/>
      <c r="W324" s="303"/>
      <c r="X324" s="303"/>
      <c r="Y324" s="168"/>
    </row>
    <row r="325" spans="5:25" s="114" customFormat="1">
      <c r="E325" s="167"/>
      <c r="F325" s="115"/>
      <c r="J325" s="302"/>
      <c r="K325" s="302"/>
      <c r="P325" s="167"/>
      <c r="Q325" s="115"/>
      <c r="R325" s="303"/>
      <c r="S325" s="303"/>
      <c r="T325" s="303"/>
      <c r="U325" s="303"/>
      <c r="V325" s="303"/>
      <c r="W325" s="303"/>
      <c r="X325" s="303"/>
      <c r="Y325" s="168"/>
    </row>
    <row r="326" spans="5:25" s="114" customFormat="1">
      <c r="E326" s="167"/>
      <c r="F326" s="115"/>
      <c r="J326" s="302"/>
      <c r="K326" s="302"/>
      <c r="P326" s="167"/>
      <c r="Q326" s="115"/>
      <c r="R326" s="303"/>
      <c r="S326" s="303"/>
      <c r="T326" s="303"/>
      <c r="U326" s="303"/>
      <c r="V326" s="303"/>
      <c r="W326" s="303"/>
      <c r="X326" s="303"/>
      <c r="Y326" s="168"/>
    </row>
    <row r="327" spans="5:25" s="114" customFormat="1">
      <c r="E327" s="167"/>
      <c r="F327" s="115"/>
      <c r="J327" s="302"/>
      <c r="K327" s="302"/>
      <c r="P327" s="167"/>
      <c r="Q327" s="115"/>
      <c r="R327" s="303"/>
      <c r="S327" s="303"/>
      <c r="T327" s="303"/>
      <c r="U327" s="303"/>
      <c r="V327" s="303"/>
      <c r="W327" s="303"/>
      <c r="X327" s="303"/>
      <c r="Y327" s="168"/>
    </row>
    <row r="328" spans="5:25" s="114" customFormat="1">
      <c r="E328" s="167"/>
      <c r="F328" s="115"/>
      <c r="J328" s="302"/>
      <c r="K328" s="302"/>
      <c r="P328" s="167"/>
      <c r="Q328" s="115"/>
      <c r="R328" s="303"/>
      <c r="S328" s="303"/>
      <c r="T328" s="303"/>
      <c r="U328" s="303"/>
      <c r="V328" s="303"/>
      <c r="W328" s="303"/>
      <c r="X328" s="303"/>
      <c r="Y328" s="168"/>
    </row>
    <row r="329" spans="5:25" s="114" customFormat="1">
      <c r="E329" s="167"/>
      <c r="F329" s="115"/>
      <c r="J329" s="302"/>
      <c r="K329" s="302"/>
      <c r="P329" s="167"/>
      <c r="Q329" s="115"/>
      <c r="R329" s="303"/>
      <c r="S329" s="303"/>
      <c r="T329" s="303"/>
      <c r="U329" s="303"/>
      <c r="V329" s="303"/>
      <c r="W329" s="303"/>
      <c r="X329" s="303"/>
      <c r="Y329" s="168"/>
    </row>
    <row r="330" spans="5:25" s="114" customFormat="1">
      <c r="E330" s="167"/>
      <c r="F330" s="115"/>
      <c r="J330" s="302"/>
      <c r="K330" s="302"/>
      <c r="P330" s="167"/>
      <c r="Q330" s="115"/>
      <c r="R330" s="303"/>
      <c r="S330" s="303"/>
      <c r="T330" s="303"/>
      <c r="U330" s="303"/>
      <c r="V330" s="303"/>
      <c r="W330" s="303"/>
      <c r="X330" s="303"/>
      <c r="Y330" s="168"/>
    </row>
    <row r="331" spans="5:25" s="114" customFormat="1">
      <c r="E331" s="167"/>
      <c r="F331" s="115"/>
      <c r="J331" s="302"/>
      <c r="K331" s="302"/>
      <c r="P331" s="167"/>
      <c r="Q331" s="115"/>
      <c r="R331" s="303"/>
      <c r="S331" s="303"/>
      <c r="T331" s="303"/>
      <c r="U331" s="303"/>
      <c r="V331" s="303"/>
      <c r="W331" s="303"/>
      <c r="X331" s="303"/>
      <c r="Y331" s="168"/>
    </row>
    <row r="332" spans="5:25" s="114" customFormat="1">
      <c r="E332" s="167"/>
      <c r="F332" s="115"/>
      <c r="J332" s="302"/>
      <c r="K332" s="302"/>
      <c r="P332" s="167"/>
      <c r="Q332" s="115"/>
      <c r="R332" s="303"/>
      <c r="S332" s="303"/>
      <c r="T332" s="303"/>
      <c r="U332" s="303"/>
      <c r="V332" s="303"/>
      <c r="W332" s="303"/>
      <c r="X332" s="303"/>
      <c r="Y332" s="168"/>
    </row>
    <row r="333" spans="5:25" s="114" customFormat="1">
      <c r="E333" s="167"/>
      <c r="F333" s="115"/>
      <c r="J333" s="302"/>
      <c r="K333" s="302"/>
      <c r="P333" s="167"/>
      <c r="Q333" s="115"/>
      <c r="R333" s="303"/>
      <c r="S333" s="303"/>
      <c r="T333" s="303"/>
      <c r="U333" s="303"/>
      <c r="V333" s="303"/>
      <c r="W333" s="303"/>
      <c r="X333" s="303"/>
      <c r="Y333" s="168"/>
    </row>
    <row r="334" spans="5:25" s="114" customFormat="1">
      <c r="E334" s="167"/>
      <c r="F334" s="115"/>
      <c r="J334" s="302"/>
      <c r="K334" s="302"/>
      <c r="P334" s="167"/>
      <c r="Q334" s="115"/>
      <c r="R334" s="303"/>
      <c r="S334" s="303"/>
      <c r="T334" s="303"/>
      <c r="U334" s="303"/>
      <c r="V334" s="303"/>
      <c r="W334" s="303"/>
      <c r="X334" s="303"/>
      <c r="Y334" s="168"/>
    </row>
    <row r="335" spans="5:25" s="114" customFormat="1">
      <c r="E335" s="167"/>
      <c r="F335" s="115"/>
      <c r="J335" s="302"/>
      <c r="K335" s="302"/>
      <c r="P335" s="167"/>
      <c r="Q335" s="115"/>
      <c r="R335" s="303"/>
      <c r="S335" s="303"/>
      <c r="T335" s="303"/>
      <c r="U335" s="303"/>
      <c r="V335" s="303"/>
      <c r="W335" s="303"/>
      <c r="X335" s="303"/>
      <c r="Y335" s="168"/>
    </row>
    <row r="336" spans="5:25" s="114" customFormat="1">
      <c r="E336" s="167"/>
      <c r="F336" s="115"/>
      <c r="J336" s="302"/>
      <c r="K336" s="302"/>
      <c r="P336" s="167"/>
      <c r="Q336" s="115"/>
      <c r="R336" s="303"/>
      <c r="S336" s="303"/>
      <c r="T336" s="303"/>
      <c r="U336" s="303"/>
      <c r="V336" s="303"/>
      <c r="W336" s="303"/>
      <c r="X336" s="303"/>
      <c r="Y336" s="168"/>
    </row>
    <row r="337" spans="5:25" s="114" customFormat="1">
      <c r="E337" s="167"/>
      <c r="F337" s="115"/>
      <c r="J337" s="302"/>
      <c r="K337" s="302"/>
      <c r="P337" s="167"/>
      <c r="Q337" s="115"/>
      <c r="R337" s="303"/>
      <c r="S337" s="303"/>
      <c r="T337" s="303"/>
      <c r="U337" s="303"/>
      <c r="V337" s="303"/>
      <c r="W337" s="303"/>
      <c r="X337" s="303"/>
      <c r="Y337" s="168"/>
    </row>
    <row r="338" spans="5:25" s="114" customFormat="1">
      <c r="E338" s="167"/>
      <c r="F338" s="115"/>
      <c r="J338" s="302"/>
      <c r="K338" s="302"/>
      <c r="P338" s="167"/>
      <c r="Q338" s="115"/>
      <c r="R338" s="303"/>
      <c r="S338" s="303"/>
      <c r="T338" s="303"/>
      <c r="U338" s="303"/>
      <c r="V338" s="303"/>
      <c r="W338" s="303"/>
      <c r="X338" s="303"/>
      <c r="Y338" s="168"/>
    </row>
    <row r="339" spans="5:25" s="114" customFormat="1">
      <c r="E339" s="167"/>
      <c r="F339" s="115"/>
      <c r="J339" s="302"/>
      <c r="K339" s="302"/>
      <c r="P339" s="167"/>
      <c r="Q339" s="115"/>
      <c r="R339" s="303"/>
      <c r="S339" s="303"/>
      <c r="T339" s="303"/>
      <c r="U339" s="303"/>
      <c r="V339" s="303"/>
      <c r="W339" s="303"/>
      <c r="X339" s="303"/>
      <c r="Y339" s="168"/>
    </row>
    <row r="340" spans="5:25" s="114" customFormat="1">
      <c r="E340" s="167"/>
      <c r="F340" s="115"/>
      <c r="J340" s="302"/>
      <c r="K340" s="302"/>
      <c r="P340" s="167"/>
      <c r="Q340" s="115"/>
      <c r="R340" s="303"/>
      <c r="S340" s="303"/>
      <c r="T340" s="303"/>
      <c r="U340" s="303"/>
      <c r="V340" s="303"/>
      <c r="W340" s="303"/>
      <c r="X340" s="303"/>
      <c r="Y340" s="168"/>
    </row>
    <row r="341" spans="5:25" s="114" customFormat="1">
      <c r="E341" s="167"/>
      <c r="F341" s="115"/>
      <c r="J341" s="302"/>
      <c r="K341" s="302"/>
      <c r="P341" s="167"/>
      <c r="Q341" s="115"/>
      <c r="R341" s="303"/>
      <c r="S341" s="303"/>
      <c r="T341" s="303"/>
      <c r="U341" s="303"/>
      <c r="V341" s="303"/>
      <c r="W341" s="303"/>
      <c r="X341" s="303"/>
      <c r="Y341" s="168"/>
    </row>
    <row r="342" spans="5:25" s="114" customFormat="1">
      <c r="E342" s="167"/>
      <c r="F342" s="115"/>
      <c r="J342" s="302"/>
      <c r="K342" s="302"/>
      <c r="P342" s="167"/>
      <c r="Q342" s="115"/>
      <c r="R342" s="303"/>
      <c r="S342" s="303"/>
      <c r="T342" s="303"/>
      <c r="U342" s="303"/>
      <c r="V342" s="303"/>
      <c r="W342" s="303"/>
      <c r="X342" s="303"/>
      <c r="Y342" s="168"/>
    </row>
    <row r="343" spans="5:25" s="114" customFormat="1">
      <c r="E343" s="167"/>
      <c r="F343" s="115"/>
      <c r="J343" s="302"/>
      <c r="K343" s="302"/>
      <c r="P343" s="167"/>
      <c r="Q343" s="115"/>
      <c r="R343" s="303"/>
      <c r="S343" s="303"/>
      <c r="T343" s="303"/>
      <c r="U343" s="303"/>
      <c r="V343" s="303"/>
      <c r="W343" s="303"/>
      <c r="X343" s="303"/>
      <c r="Y343" s="168"/>
    </row>
    <row r="344" spans="5:25" s="114" customFormat="1">
      <c r="E344" s="167"/>
      <c r="F344" s="115"/>
      <c r="J344" s="302"/>
      <c r="K344" s="302"/>
      <c r="P344" s="167"/>
      <c r="Q344" s="115"/>
      <c r="R344" s="303"/>
      <c r="S344" s="303"/>
      <c r="T344" s="303"/>
      <c r="U344" s="303"/>
      <c r="V344" s="303"/>
      <c r="W344" s="303"/>
      <c r="X344" s="303"/>
      <c r="Y344" s="168"/>
    </row>
    <row r="345" spans="5:25" s="114" customFormat="1">
      <c r="E345" s="167"/>
      <c r="F345" s="115"/>
      <c r="J345" s="302"/>
      <c r="K345" s="302"/>
      <c r="P345" s="167"/>
      <c r="Q345" s="115"/>
      <c r="R345" s="303"/>
      <c r="S345" s="303"/>
      <c r="T345" s="303"/>
      <c r="U345" s="303"/>
      <c r="V345" s="303"/>
      <c r="W345" s="303"/>
      <c r="X345" s="303"/>
      <c r="Y345" s="168"/>
    </row>
    <row r="346" spans="5:25" s="114" customFormat="1">
      <c r="E346" s="167"/>
      <c r="F346" s="115"/>
      <c r="J346" s="302"/>
      <c r="K346" s="302"/>
      <c r="P346" s="167"/>
      <c r="Q346" s="115"/>
      <c r="R346" s="303"/>
      <c r="S346" s="303"/>
      <c r="T346" s="303"/>
      <c r="U346" s="303"/>
      <c r="V346" s="303"/>
      <c r="W346" s="303"/>
      <c r="X346" s="303"/>
      <c r="Y346" s="168"/>
    </row>
    <row r="347" spans="5:25" s="114" customFormat="1">
      <c r="E347" s="167"/>
      <c r="F347" s="115"/>
      <c r="J347" s="302"/>
      <c r="K347" s="302"/>
      <c r="P347" s="167"/>
      <c r="Q347" s="115"/>
      <c r="R347" s="303"/>
      <c r="S347" s="303"/>
      <c r="T347" s="303"/>
      <c r="U347" s="303"/>
      <c r="V347" s="303"/>
      <c r="W347" s="303"/>
      <c r="X347" s="303"/>
      <c r="Y347" s="168"/>
    </row>
    <row r="348" spans="5:25" s="114" customFormat="1">
      <c r="E348" s="167"/>
      <c r="F348" s="115"/>
      <c r="J348" s="302"/>
      <c r="K348" s="302"/>
      <c r="P348" s="167"/>
      <c r="Q348" s="115"/>
      <c r="R348" s="303"/>
      <c r="S348" s="303"/>
      <c r="T348" s="303"/>
      <c r="U348" s="303"/>
      <c r="V348" s="303"/>
      <c r="W348" s="303"/>
      <c r="X348" s="303"/>
      <c r="Y348" s="168"/>
    </row>
    <row r="349" spans="5:25" s="114" customFormat="1">
      <c r="E349" s="167"/>
      <c r="F349" s="115"/>
      <c r="J349" s="302"/>
      <c r="K349" s="302"/>
      <c r="P349" s="167"/>
      <c r="Q349" s="115"/>
      <c r="R349" s="303"/>
      <c r="S349" s="303"/>
      <c r="T349" s="303"/>
      <c r="U349" s="303"/>
      <c r="V349" s="303"/>
      <c r="W349" s="303"/>
      <c r="X349" s="303"/>
      <c r="Y349" s="168"/>
    </row>
    <row r="350" spans="5:25" s="114" customFormat="1">
      <c r="E350" s="167"/>
      <c r="F350" s="115"/>
      <c r="J350" s="302"/>
      <c r="K350" s="302"/>
      <c r="P350" s="167"/>
      <c r="Q350" s="115"/>
      <c r="R350" s="303"/>
      <c r="S350" s="303"/>
      <c r="T350" s="303"/>
      <c r="U350" s="303"/>
      <c r="V350" s="303"/>
      <c r="W350" s="303"/>
      <c r="X350" s="303"/>
      <c r="Y350" s="168"/>
    </row>
    <row r="351" spans="5:25" s="114" customFormat="1">
      <c r="E351" s="167"/>
      <c r="F351" s="115"/>
      <c r="J351" s="302"/>
      <c r="K351" s="302"/>
      <c r="P351" s="167"/>
      <c r="Q351" s="115"/>
      <c r="R351" s="303"/>
      <c r="S351" s="303"/>
      <c r="T351" s="303"/>
      <c r="U351" s="303"/>
      <c r="V351" s="303"/>
      <c r="W351" s="303"/>
      <c r="X351" s="303"/>
      <c r="Y351" s="168"/>
    </row>
    <row r="352" spans="5:25" s="114" customFormat="1">
      <c r="E352" s="167"/>
      <c r="F352" s="115"/>
      <c r="J352" s="302"/>
      <c r="K352" s="302"/>
      <c r="P352" s="167"/>
      <c r="Q352" s="115"/>
      <c r="R352" s="303"/>
      <c r="S352" s="303"/>
      <c r="T352" s="303"/>
      <c r="U352" s="303"/>
      <c r="V352" s="303"/>
      <c r="W352" s="303"/>
      <c r="X352" s="303"/>
      <c r="Y352" s="168"/>
    </row>
    <row r="353" spans="5:25" s="114" customFormat="1">
      <c r="E353" s="167"/>
      <c r="F353" s="115"/>
      <c r="J353" s="302"/>
      <c r="K353" s="302"/>
      <c r="P353" s="167"/>
      <c r="Q353" s="115"/>
      <c r="R353" s="303"/>
      <c r="S353" s="303"/>
      <c r="T353" s="303"/>
      <c r="U353" s="303"/>
      <c r="V353" s="303"/>
      <c r="W353" s="303"/>
      <c r="X353" s="303"/>
      <c r="Y353" s="168"/>
    </row>
    <row r="354" spans="5:25" s="114" customFormat="1">
      <c r="E354" s="167"/>
      <c r="F354" s="115"/>
      <c r="J354" s="302"/>
      <c r="K354" s="302"/>
      <c r="P354" s="167"/>
      <c r="Q354" s="115"/>
      <c r="R354" s="303"/>
      <c r="S354" s="303"/>
      <c r="T354" s="303"/>
      <c r="U354" s="303"/>
      <c r="V354" s="303"/>
      <c r="W354" s="303"/>
      <c r="X354" s="303"/>
      <c r="Y354" s="168"/>
    </row>
    <row r="355" spans="5:25" s="114" customFormat="1">
      <c r="E355" s="167"/>
      <c r="F355" s="115"/>
      <c r="J355" s="302"/>
      <c r="K355" s="302"/>
      <c r="P355" s="167"/>
      <c r="Q355" s="115"/>
      <c r="R355" s="303"/>
      <c r="S355" s="303"/>
      <c r="T355" s="303"/>
      <c r="U355" s="303"/>
      <c r="V355" s="303"/>
      <c r="W355" s="303"/>
      <c r="X355" s="303"/>
      <c r="Y355" s="168"/>
    </row>
    <row r="356" spans="5:25" s="114" customFormat="1">
      <c r="E356" s="167"/>
      <c r="F356" s="115"/>
      <c r="J356" s="302"/>
      <c r="K356" s="302"/>
      <c r="P356" s="167"/>
      <c r="Q356" s="115"/>
      <c r="R356" s="303"/>
      <c r="S356" s="303"/>
      <c r="T356" s="303"/>
      <c r="U356" s="303"/>
      <c r="V356" s="303"/>
      <c r="W356" s="303"/>
      <c r="X356" s="303"/>
      <c r="Y356" s="168"/>
    </row>
    <row r="357" spans="5:25" s="114" customFormat="1">
      <c r="E357" s="167"/>
      <c r="F357" s="115"/>
      <c r="J357" s="302"/>
      <c r="K357" s="302"/>
      <c r="P357" s="167"/>
      <c r="Q357" s="115"/>
      <c r="R357" s="303"/>
      <c r="S357" s="303"/>
      <c r="T357" s="303"/>
      <c r="U357" s="303"/>
      <c r="V357" s="303"/>
      <c r="W357" s="303"/>
      <c r="X357" s="303"/>
      <c r="Y357" s="168"/>
    </row>
    <row r="358" spans="5:25" s="114" customFormat="1">
      <c r="E358" s="167"/>
      <c r="F358" s="115"/>
      <c r="J358" s="302"/>
      <c r="K358" s="302"/>
      <c r="P358" s="167"/>
      <c r="Q358" s="115"/>
      <c r="R358" s="303"/>
      <c r="S358" s="303"/>
      <c r="T358" s="303"/>
      <c r="U358" s="303"/>
      <c r="V358" s="303"/>
      <c r="W358" s="303"/>
      <c r="X358" s="303"/>
      <c r="Y358" s="168"/>
    </row>
    <row r="359" spans="5:25" s="114" customFormat="1">
      <c r="E359" s="167"/>
      <c r="F359" s="115"/>
      <c r="J359" s="302"/>
      <c r="K359" s="302"/>
      <c r="P359" s="167"/>
      <c r="Q359" s="115"/>
      <c r="R359" s="303"/>
      <c r="S359" s="303"/>
      <c r="T359" s="303"/>
      <c r="U359" s="303"/>
      <c r="V359" s="303"/>
      <c r="W359" s="303"/>
      <c r="X359" s="303"/>
      <c r="Y359" s="168"/>
    </row>
    <row r="360" spans="5:25" s="114" customFormat="1">
      <c r="E360" s="167"/>
      <c r="F360" s="115"/>
      <c r="J360" s="302"/>
      <c r="K360" s="302"/>
      <c r="P360" s="167"/>
      <c r="Q360" s="115"/>
      <c r="R360" s="303"/>
      <c r="S360" s="303"/>
      <c r="T360" s="303"/>
      <c r="U360" s="303"/>
      <c r="V360" s="303"/>
      <c r="W360" s="303"/>
      <c r="X360" s="303"/>
      <c r="Y360" s="168"/>
    </row>
    <row r="361" spans="5:25" s="114" customFormat="1">
      <c r="E361" s="167"/>
      <c r="F361" s="115"/>
      <c r="J361" s="302"/>
      <c r="K361" s="302"/>
      <c r="P361" s="167"/>
      <c r="Q361" s="115"/>
      <c r="R361" s="303"/>
      <c r="S361" s="303"/>
      <c r="T361" s="303"/>
      <c r="U361" s="303"/>
      <c r="V361" s="303"/>
      <c r="W361" s="303"/>
      <c r="X361" s="303"/>
      <c r="Y361" s="168"/>
    </row>
    <row r="362" spans="5:25" s="114" customFormat="1">
      <c r="E362" s="167"/>
      <c r="F362" s="115"/>
      <c r="J362" s="302"/>
      <c r="K362" s="302"/>
      <c r="P362" s="167"/>
      <c r="Q362" s="115"/>
      <c r="R362" s="303"/>
      <c r="S362" s="303"/>
      <c r="T362" s="303"/>
      <c r="U362" s="303"/>
      <c r="V362" s="303"/>
      <c r="W362" s="303"/>
      <c r="X362" s="303"/>
      <c r="Y362" s="168"/>
    </row>
    <row r="363" spans="5:25" s="114" customFormat="1">
      <c r="E363" s="167"/>
      <c r="F363" s="115"/>
      <c r="J363" s="302"/>
      <c r="K363" s="302"/>
      <c r="P363" s="167"/>
      <c r="Q363" s="115"/>
      <c r="R363" s="303"/>
      <c r="S363" s="303"/>
      <c r="T363" s="303"/>
      <c r="U363" s="303"/>
      <c r="V363" s="303"/>
      <c r="W363" s="303"/>
      <c r="X363" s="303"/>
      <c r="Y363" s="168"/>
    </row>
    <row r="364" spans="5:25" s="114" customFormat="1">
      <c r="E364" s="167"/>
      <c r="F364" s="115"/>
      <c r="J364" s="302"/>
      <c r="K364" s="302"/>
      <c r="P364" s="167"/>
      <c r="Q364" s="115"/>
      <c r="R364" s="303"/>
      <c r="S364" s="303"/>
      <c r="T364" s="303"/>
      <c r="U364" s="303"/>
      <c r="V364" s="303"/>
      <c r="W364" s="303"/>
      <c r="X364" s="303"/>
      <c r="Y364" s="168"/>
    </row>
    <row r="365" spans="5:25" s="114" customFormat="1">
      <c r="E365" s="167"/>
      <c r="F365" s="115"/>
      <c r="J365" s="302"/>
      <c r="K365" s="302"/>
      <c r="P365" s="167"/>
      <c r="Q365" s="115"/>
      <c r="R365" s="303"/>
      <c r="S365" s="303"/>
      <c r="T365" s="303"/>
      <c r="U365" s="303"/>
      <c r="V365" s="303"/>
      <c r="W365" s="303"/>
      <c r="X365" s="303"/>
      <c r="Y365" s="168"/>
    </row>
    <row r="366" spans="5:25" s="114" customFormat="1">
      <c r="E366" s="167"/>
      <c r="F366" s="115"/>
      <c r="J366" s="302"/>
      <c r="K366" s="302"/>
      <c r="P366" s="167"/>
      <c r="Q366" s="115"/>
      <c r="R366" s="303"/>
      <c r="S366" s="303"/>
      <c r="T366" s="303"/>
      <c r="U366" s="303"/>
      <c r="V366" s="303"/>
      <c r="W366" s="303"/>
      <c r="X366" s="303"/>
      <c r="Y366" s="168"/>
    </row>
    <row r="367" spans="5:25" s="114" customFormat="1">
      <c r="E367" s="167"/>
      <c r="F367" s="115"/>
      <c r="J367" s="302"/>
      <c r="K367" s="302"/>
      <c r="P367" s="167"/>
      <c r="Q367" s="115"/>
      <c r="R367" s="303"/>
      <c r="S367" s="303"/>
      <c r="T367" s="303"/>
      <c r="U367" s="303"/>
      <c r="V367" s="303"/>
      <c r="W367" s="303"/>
      <c r="X367" s="303"/>
      <c r="Y367" s="168"/>
    </row>
    <row r="368" spans="5:25" s="114" customFormat="1">
      <c r="E368" s="167"/>
      <c r="F368" s="115"/>
      <c r="J368" s="302"/>
      <c r="K368" s="302"/>
      <c r="P368" s="167"/>
      <c r="Q368" s="115"/>
      <c r="R368" s="303"/>
      <c r="S368" s="303"/>
      <c r="T368" s="303"/>
      <c r="U368" s="303"/>
      <c r="V368" s="303"/>
      <c r="W368" s="303"/>
      <c r="X368" s="303"/>
      <c r="Y368" s="168"/>
    </row>
    <row r="369" spans="5:25" s="114" customFormat="1">
      <c r="E369" s="167"/>
      <c r="F369" s="115"/>
      <c r="J369" s="302"/>
      <c r="K369" s="302"/>
      <c r="P369" s="167"/>
      <c r="Q369" s="115"/>
      <c r="R369" s="303"/>
      <c r="S369" s="303"/>
      <c r="T369" s="303"/>
      <c r="U369" s="303"/>
      <c r="V369" s="303"/>
      <c r="W369" s="303"/>
      <c r="X369" s="303"/>
      <c r="Y369" s="168"/>
    </row>
    <row r="370" spans="5:25" s="114" customFormat="1">
      <c r="E370" s="167"/>
      <c r="F370" s="115"/>
      <c r="J370" s="302"/>
      <c r="K370" s="302"/>
      <c r="P370" s="167"/>
      <c r="Q370" s="115"/>
      <c r="R370" s="303"/>
      <c r="S370" s="303"/>
      <c r="T370" s="303"/>
      <c r="U370" s="303"/>
      <c r="V370" s="303"/>
      <c r="W370" s="303"/>
      <c r="X370" s="303"/>
      <c r="Y370" s="168"/>
    </row>
    <row r="371" spans="5:25" s="114" customFormat="1">
      <c r="E371" s="167"/>
      <c r="F371" s="115"/>
      <c r="J371" s="302"/>
      <c r="K371" s="302"/>
      <c r="P371" s="167"/>
      <c r="Q371" s="115"/>
      <c r="R371" s="303"/>
      <c r="S371" s="303"/>
      <c r="T371" s="303"/>
      <c r="U371" s="303"/>
      <c r="V371" s="303"/>
      <c r="W371" s="303"/>
      <c r="X371" s="303"/>
      <c r="Y371" s="168"/>
    </row>
    <row r="372" spans="5:25" s="114" customFormat="1">
      <c r="E372" s="167"/>
      <c r="F372" s="115"/>
      <c r="J372" s="302"/>
      <c r="K372" s="302"/>
      <c r="P372" s="167"/>
      <c r="Q372" s="115"/>
      <c r="R372" s="303"/>
      <c r="S372" s="303"/>
      <c r="T372" s="303"/>
      <c r="U372" s="303"/>
      <c r="V372" s="303"/>
      <c r="W372" s="303"/>
      <c r="X372" s="303"/>
      <c r="Y372" s="168"/>
    </row>
    <row r="373" spans="5:25" s="114" customFormat="1">
      <c r="E373" s="167"/>
      <c r="F373" s="115"/>
      <c r="J373" s="302"/>
      <c r="K373" s="302"/>
      <c r="P373" s="167"/>
      <c r="Q373" s="115"/>
      <c r="R373" s="303"/>
      <c r="S373" s="303"/>
      <c r="T373" s="303"/>
      <c r="U373" s="303"/>
      <c r="V373" s="303"/>
      <c r="W373" s="303"/>
      <c r="X373" s="303"/>
      <c r="Y373" s="168"/>
    </row>
    <row r="374" spans="5:25" s="114" customFormat="1">
      <c r="E374" s="167"/>
      <c r="F374" s="115"/>
      <c r="J374" s="302"/>
      <c r="K374" s="302"/>
      <c r="P374" s="167"/>
      <c r="Q374" s="115"/>
      <c r="R374" s="303"/>
      <c r="S374" s="303"/>
      <c r="T374" s="303"/>
      <c r="U374" s="303"/>
      <c r="V374" s="303"/>
      <c r="W374" s="303"/>
      <c r="X374" s="303"/>
      <c r="Y374" s="168"/>
    </row>
    <row r="375" spans="5:25" s="114" customFormat="1">
      <c r="E375" s="167"/>
      <c r="F375" s="115"/>
      <c r="J375" s="302"/>
      <c r="K375" s="302"/>
      <c r="P375" s="167"/>
      <c r="Q375" s="115"/>
      <c r="R375" s="303"/>
      <c r="S375" s="303"/>
      <c r="T375" s="303"/>
      <c r="U375" s="303"/>
      <c r="V375" s="303"/>
      <c r="W375" s="303"/>
      <c r="X375" s="303"/>
      <c r="Y375" s="168"/>
    </row>
    <row r="376" spans="5:25" s="114" customFormat="1">
      <c r="E376" s="167"/>
      <c r="F376" s="115"/>
      <c r="J376" s="302"/>
      <c r="K376" s="302"/>
      <c r="P376" s="167"/>
      <c r="Q376" s="115"/>
      <c r="R376" s="303"/>
      <c r="S376" s="303"/>
      <c r="T376" s="303"/>
      <c r="U376" s="303"/>
      <c r="V376" s="303"/>
      <c r="W376" s="303"/>
      <c r="X376" s="303"/>
      <c r="Y376" s="168"/>
    </row>
    <row r="377" spans="5:25" s="114" customFormat="1">
      <c r="E377" s="167"/>
      <c r="F377" s="115"/>
      <c r="J377" s="302"/>
      <c r="K377" s="302"/>
      <c r="P377" s="167"/>
      <c r="Q377" s="115"/>
      <c r="R377" s="303"/>
      <c r="S377" s="303"/>
      <c r="T377" s="303"/>
      <c r="U377" s="303"/>
      <c r="V377" s="303"/>
      <c r="W377" s="303"/>
      <c r="X377" s="303"/>
      <c r="Y377" s="168"/>
    </row>
    <row r="378" spans="5:25" s="114" customFormat="1">
      <c r="E378" s="167"/>
      <c r="F378" s="115"/>
      <c r="J378" s="302"/>
      <c r="K378" s="302"/>
      <c r="P378" s="167"/>
      <c r="Q378" s="115"/>
      <c r="R378" s="303"/>
      <c r="S378" s="303"/>
      <c r="T378" s="303"/>
      <c r="U378" s="303"/>
      <c r="V378" s="303"/>
      <c r="W378" s="303"/>
      <c r="X378" s="303"/>
      <c r="Y378" s="168"/>
    </row>
    <row r="379" spans="5:25" s="114" customFormat="1">
      <c r="E379" s="167"/>
      <c r="F379" s="115"/>
      <c r="J379" s="302"/>
      <c r="K379" s="302"/>
      <c r="P379" s="167"/>
      <c r="Q379" s="115"/>
      <c r="R379" s="303"/>
      <c r="S379" s="303"/>
      <c r="T379" s="303"/>
      <c r="U379" s="303"/>
      <c r="V379" s="303"/>
      <c r="W379" s="303"/>
      <c r="X379" s="303"/>
      <c r="Y379" s="168"/>
    </row>
    <row r="380" spans="5:25" s="114" customFormat="1">
      <c r="E380" s="167"/>
      <c r="F380" s="115"/>
      <c r="J380" s="302"/>
      <c r="K380" s="302"/>
      <c r="P380" s="167"/>
      <c r="Q380" s="115"/>
      <c r="R380" s="303"/>
      <c r="S380" s="303"/>
      <c r="T380" s="303"/>
      <c r="U380" s="303"/>
      <c r="V380" s="303"/>
      <c r="W380" s="303"/>
      <c r="X380" s="303"/>
      <c r="Y380" s="168"/>
    </row>
    <row r="381" spans="5:25" s="114" customFormat="1">
      <c r="E381" s="167"/>
      <c r="F381" s="115"/>
      <c r="J381" s="302"/>
      <c r="K381" s="302"/>
      <c r="P381" s="167"/>
      <c r="Q381" s="115"/>
      <c r="R381" s="303"/>
      <c r="S381" s="303"/>
      <c r="T381" s="303"/>
      <c r="U381" s="303"/>
      <c r="V381" s="303"/>
      <c r="W381" s="303"/>
      <c r="X381" s="303"/>
      <c r="Y381" s="168"/>
    </row>
    <row r="382" spans="5:25" s="114" customFormat="1">
      <c r="E382" s="167"/>
      <c r="F382" s="115"/>
      <c r="J382" s="302"/>
      <c r="K382" s="302"/>
      <c r="P382" s="167"/>
      <c r="Q382" s="115"/>
      <c r="R382" s="303"/>
      <c r="S382" s="303"/>
      <c r="T382" s="303"/>
      <c r="U382" s="303"/>
      <c r="V382" s="303"/>
      <c r="W382" s="303"/>
      <c r="X382" s="303"/>
      <c r="Y382" s="168"/>
    </row>
    <row r="383" spans="5:25" s="114" customFormat="1">
      <c r="E383" s="167"/>
      <c r="F383" s="115"/>
      <c r="J383" s="302"/>
      <c r="K383" s="302"/>
      <c r="P383" s="167"/>
      <c r="Q383" s="115"/>
      <c r="R383" s="303"/>
      <c r="S383" s="303"/>
      <c r="T383" s="303"/>
      <c r="U383" s="303"/>
      <c r="V383" s="303"/>
      <c r="W383" s="303"/>
      <c r="X383" s="303"/>
      <c r="Y383" s="168"/>
    </row>
    <row r="384" spans="5:25" s="114" customFormat="1">
      <c r="E384" s="167"/>
      <c r="F384" s="115"/>
      <c r="J384" s="302"/>
      <c r="K384" s="302"/>
      <c r="P384" s="167"/>
      <c r="Q384" s="115"/>
      <c r="R384" s="303"/>
      <c r="S384" s="303"/>
      <c r="T384" s="303"/>
      <c r="U384" s="303"/>
      <c r="V384" s="303"/>
      <c r="W384" s="303"/>
      <c r="X384" s="303"/>
      <c r="Y384" s="168"/>
    </row>
    <row r="385" spans="5:25" s="114" customFormat="1">
      <c r="E385" s="167"/>
      <c r="F385" s="115"/>
      <c r="J385" s="302"/>
      <c r="K385" s="302"/>
      <c r="P385" s="167"/>
      <c r="Q385" s="115"/>
      <c r="R385" s="303"/>
      <c r="S385" s="303"/>
      <c r="T385" s="303"/>
      <c r="U385" s="303"/>
      <c r="V385" s="303"/>
      <c r="W385" s="303"/>
      <c r="X385" s="303"/>
      <c r="Y385" s="168"/>
    </row>
    <row r="386" spans="5:25" s="114" customFormat="1">
      <c r="E386" s="167"/>
      <c r="F386" s="115"/>
      <c r="J386" s="302"/>
      <c r="K386" s="302"/>
      <c r="P386" s="167"/>
      <c r="Q386" s="115"/>
      <c r="R386" s="303"/>
      <c r="S386" s="303"/>
      <c r="T386" s="303"/>
      <c r="U386" s="303"/>
      <c r="V386" s="303"/>
      <c r="W386" s="303"/>
      <c r="X386" s="303"/>
      <c r="Y386" s="168"/>
    </row>
    <row r="387" spans="5:25" s="114" customFormat="1">
      <c r="E387" s="167"/>
      <c r="F387" s="115"/>
      <c r="J387" s="302"/>
      <c r="K387" s="302"/>
      <c r="P387" s="167"/>
      <c r="Q387" s="115"/>
      <c r="R387" s="303"/>
      <c r="S387" s="303"/>
      <c r="T387" s="303"/>
      <c r="U387" s="303"/>
      <c r="V387" s="303"/>
      <c r="W387" s="303"/>
      <c r="X387" s="303"/>
      <c r="Y387" s="168"/>
    </row>
    <row r="388" spans="5:25" s="114" customFormat="1">
      <c r="E388" s="167"/>
      <c r="F388" s="115"/>
      <c r="J388" s="302"/>
      <c r="K388" s="302"/>
      <c r="P388" s="167"/>
      <c r="Q388" s="115"/>
      <c r="R388" s="303"/>
      <c r="S388" s="303"/>
      <c r="T388" s="303"/>
      <c r="U388" s="303"/>
      <c r="V388" s="303"/>
      <c r="W388" s="303"/>
      <c r="X388" s="303"/>
      <c r="Y388" s="168"/>
    </row>
    <row r="389" spans="5:25" s="114" customFormat="1">
      <c r="E389" s="167"/>
      <c r="F389" s="115"/>
      <c r="J389" s="302"/>
      <c r="K389" s="302"/>
      <c r="P389" s="167"/>
      <c r="Q389" s="115"/>
      <c r="R389" s="303"/>
      <c r="S389" s="303"/>
      <c r="T389" s="303"/>
      <c r="U389" s="303"/>
      <c r="V389" s="303"/>
      <c r="W389" s="303"/>
      <c r="X389" s="303"/>
      <c r="Y389" s="168"/>
    </row>
    <row r="390" spans="5:25" s="114" customFormat="1">
      <c r="E390" s="167"/>
      <c r="F390" s="115"/>
      <c r="J390" s="302"/>
      <c r="K390" s="302"/>
      <c r="P390" s="167"/>
      <c r="Q390" s="115"/>
      <c r="R390" s="303"/>
      <c r="S390" s="303"/>
      <c r="T390" s="303"/>
      <c r="U390" s="303"/>
      <c r="V390" s="303"/>
      <c r="W390" s="303"/>
      <c r="X390" s="303"/>
      <c r="Y390" s="168"/>
    </row>
    <row r="391" spans="5:25" s="114" customFormat="1">
      <c r="E391" s="167"/>
      <c r="F391" s="115"/>
      <c r="J391" s="302"/>
      <c r="K391" s="302"/>
      <c r="P391" s="167"/>
      <c r="Q391" s="115"/>
      <c r="R391" s="303"/>
      <c r="S391" s="303"/>
      <c r="T391" s="303"/>
      <c r="U391" s="303"/>
      <c r="V391" s="303"/>
      <c r="W391" s="303"/>
      <c r="X391" s="303"/>
      <c r="Y391" s="168"/>
    </row>
    <row r="392" spans="5:25" s="114" customFormat="1">
      <c r="E392" s="167"/>
      <c r="F392" s="115"/>
      <c r="J392" s="302"/>
      <c r="K392" s="302"/>
      <c r="P392" s="167"/>
      <c r="Q392" s="115"/>
      <c r="R392" s="303"/>
      <c r="S392" s="303"/>
      <c r="T392" s="303"/>
      <c r="U392" s="303"/>
      <c r="V392" s="303"/>
      <c r="W392" s="303"/>
      <c r="X392" s="303"/>
      <c r="Y392" s="168"/>
    </row>
    <row r="393" spans="5:25" s="114" customFormat="1">
      <c r="E393" s="167"/>
      <c r="F393" s="115"/>
      <c r="J393" s="302"/>
      <c r="K393" s="302"/>
      <c r="P393" s="167"/>
      <c r="Q393" s="115"/>
      <c r="R393" s="303"/>
      <c r="S393" s="303"/>
      <c r="T393" s="303"/>
      <c r="U393" s="303"/>
      <c r="V393" s="303"/>
      <c r="W393" s="303"/>
      <c r="X393" s="303"/>
      <c r="Y393" s="168"/>
    </row>
    <row r="394" spans="5:25" s="114" customFormat="1">
      <c r="E394" s="167"/>
      <c r="F394" s="115"/>
      <c r="J394" s="302"/>
      <c r="K394" s="302"/>
      <c r="P394" s="167"/>
      <c r="Q394" s="115"/>
      <c r="R394" s="303"/>
      <c r="S394" s="303"/>
      <c r="T394" s="303"/>
      <c r="U394" s="303"/>
      <c r="V394" s="303"/>
      <c r="W394" s="303"/>
      <c r="X394" s="303"/>
      <c r="Y394" s="168"/>
    </row>
    <row r="395" spans="5:25" s="114" customFormat="1">
      <c r="E395" s="167"/>
      <c r="F395" s="115"/>
      <c r="J395" s="302"/>
      <c r="K395" s="302"/>
      <c r="P395" s="167"/>
      <c r="Q395" s="115"/>
      <c r="R395" s="303"/>
      <c r="S395" s="303"/>
      <c r="T395" s="303"/>
      <c r="U395" s="303"/>
      <c r="V395" s="303"/>
      <c r="W395" s="303"/>
      <c r="X395" s="303"/>
      <c r="Y395" s="168"/>
    </row>
    <row r="396" spans="5:25" s="114" customFormat="1">
      <c r="E396" s="167"/>
      <c r="F396" s="115"/>
      <c r="J396" s="302"/>
      <c r="K396" s="302"/>
      <c r="P396" s="167"/>
      <c r="Q396" s="115"/>
      <c r="R396" s="303"/>
      <c r="S396" s="303"/>
      <c r="T396" s="303"/>
      <c r="U396" s="303"/>
      <c r="V396" s="303"/>
      <c r="W396" s="303"/>
      <c r="X396" s="303"/>
      <c r="Y396" s="168"/>
    </row>
    <row r="397" spans="5:25" s="114" customFormat="1">
      <c r="E397" s="167"/>
      <c r="F397" s="115"/>
      <c r="J397" s="302"/>
      <c r="K397" s="302"/>
      <c r="P397" s="167"/>
      <c r="Q397" s="115"/>
      <c r="R397" s="303"/>
      <c r="S397" s="303"/>
      <c r="T397" s="303"/>
      <c r="U397" s="303"/>
      <c r="V397" s="303"/>
      <c r="W397" s="303"/>
      <c r="X397" s="303"/>
      <c r="Y397" s="168"/>
    </row>
    <row r="398" spans="5:25" s="114" customFormat="1">
      <c r="E398" s="167"/>
      <c r="F398" s="115"/>
      <c r="J398" s="302"/>
      <c r="K398" s="302"/>
      <c r="P398" s="167"/>
      <c r="Q398" s="115"/>
      <c r="R398" s="303"/>
      <c r="S398" s="303"/>
      <c r="T398" s="303"/>
      <c r="U398" s="303"/>
      <c r="V398" s="303"/>
      <c r="W398" s="303"/>
      <c r="X398" s="303"/>
      <c r="Y398" s="168"/>
    </row>
    <row r="399" spans="5:25" s="114" customFormat="1">
      <c r="E399" s="167"/>
      <c r="F399" s="115"/>
      <c r="J399" s="302"/>
      <c r="K399" s="302"/>
      <c r="P399" s="167"/>
      <c r="Q399" s="115"/>
      <c r="R399" s="303"/>
      <c r="S399" s="303"/>
      <c r="T399" s="303"/>
      <c r="U399" s="303"/>
      <c r="V399" s="303"/>
      <c r="W399" s="303"/>
      <c r="X399" s="303"/>
      <c r="Y399" s="168"/>
    </row>
    <row r="400" spans="5:25" s="114" customFormat="1">
      <c r="E400" s="167"/>
      <c r="F400" s="115"/>
      <c r="J400" s="302"/>
      <c r="K400" s="302"/>
      <c r="P400" s="167"/>
      <c r="Q400" s="115"/>
      <c r="R400" s="303"/>
      <c r="S400" s="303"/>
      <c r="T400" s="303"/>
      <c r="U400" s="303"/>
      <c r="V400" s="303"/>
      <c r="W400" s="303"/>
      <c r="X400" s="303"/>
      <c r="Y400" s="168"/>
    </row>
    <row r="401" spans="5:25" s="114" customFormat="1">
      <c r="E401" s="167"/>
      <c r="F401" s="115"/>
      <c r="J401" s="302"/>
      <c r="K401" s="302"/>
      <c r="P401" s="167"/>
      <c r="Q401" s="115"/>
      <c r="R401" s="303"/>
      <c r="S401" s="303"/>
      <c r="T401" s="303"/>
      <c r="U401" s="303"/>
      <c r="V401" s="303"/>
      <c r="W401" s="303"/>
      <c r="X401" s="303"/>
      <c r="Y401" s="168"/>
    </row>
    <row r="402" spans="5:25" s="114" customFormat="1">
      <c r="E402" s="167"/>
      <c r="F402" s="115"/>
      <c r="J402" s="302"/>
      <c r="K402" s="302"/>
      <c r="P402" s="167"/>
      <c r="Q402" s="115"/>
      <c r="R402" s="303"/>
      <c r="S402" s="303"/>
      <c r="T402" s="303"/>
      <c r="U402" s="303"/>
      <c r="V402" s="303"/>
      <c r="W402" s="303"/>
      <c r="X402" s="303"/>
      <c r="Y402" s="168"/>
    </row>
    <row r="403" spans="5:25" s="114" customFormat="1">
      <c r="E403" s="167"/>
      <c r="F403" s="115"/>
      <c r="J403" s="302"/>
      <c r="K403" s="302"/>
      <c r="P403" s="167"/>
      <c r="Q403" s="115"/>
      <c r="R403" s="303"/>
      <c r="S403" s="303"/>
      <c r="T403" s="303"/>
      <c r="U403" s="303"/>
      <c r="V403" s="303"/>
      <c r="W403" s="303"/>
      <c r="X403" s="303"/>
      <c r="Y403" s="168"/>
    </row>
    <row r="404" spans="5:25" s="114" customFormat="1">
      <c r="E404" s="167"/>
      <c r="F404" s="115"/>
      <c r="J404" s="302"/>
      <c r="K404" s="302"/>
      <c r="P404" s="167"/>
      <c r="Q404" s="115"/>
      <c r="R404" s="303"/>
      <c r="S404" s="303"/>
      <c r="T404" s="303"/>
      <c r="U404" s="303"/>
      <c r="V404" s="303"/>
      <c r="W404" s="303"/>
      <c r="X404" s="303"/>
      <c r="Y404" s="168"/>
    </row>
    <row r="405" spans="5:25" s="114" customFormat="1">
      <c r="E405" s="167"/>
      <c r="F405" s="115"/>
      <c r="J405" s="302"/>
      <c r="K405" s="302"/>
      <c r="P405" s="167"/>
      <c r="Q405" s="115"/>
      <c r="R405" s="303"/>
      <c r="S405" s="303"/>
      <c r="T405" s="303"/>
      <c r="U405" s="303"/>
      <c r="V405" s="303"/>
      <c r="W405" s="303"/>
      <c r="X405" s="303"/>
      <c r="Y405" s="168"/>
    </row>
    <row r="406" spans="5:25" s="114" customFormat="1">
      <c r="E406" s="167"/>
      <c r="F406" s="115"/>
      <c r="J406" s="302"/>
      <c r="K406" s="302"/>
      <c r="P406" s="167"/>
      <c r="Q406" s="115"/>
      <c r="R406" s="303"/>
      <c r="S406" s="303"/>
      <c r="T406" s="303"/>
      <c r="U406" s="303"/>
      <c r="V406" s="303"/>
      <c r="W406" s="303"/>
      <c r="X406" s="303"/>
      <c r="Y406" s="168"/>
    </row>
    <row r="407" spans="5:25" s="114" customFormat="1">
      <c r="E407" s="167"/>
      <c r="F407" s="115"/>
      <c r="J407" s="302"/>
      <c r="K407" s="302"/>
      <c r="P407" s="167"/>
      <c r="Q407" s="115"/>
      <c r="R407" s="303"/>
      <c r="S407" s="303"/>
      <c r="T407" s="303"/>
      <c r="U407" s="303"/>
      <c r="V407" s="303"/>
      <c r="W407" s="303"/>
      <c r="X407" s="303"/>
      <c r="Y407" s="168"/>
    </row>
    <row r="408" spans="5:25" s="114" customFormat="1">
      <c r="E408" s="167"/>
      <c r="F408" s="115"/>
      <c r="J408" s="302"/>
      <c r="K408" s="302"/>
      <c r="P408" s="167"/>
      <c r="Q408" s="115"/>
      <c r="R408" s="303"/>
      <c r="S408" s="303"/>
      <c r="T408" s="303"/>
      <c r="U408" s="303"/>
      <c r="V408" s="303"/>
      <c r="W408" s="303"/>
      <c r="X408" s="303"/>
      <c r="Y408" s="168"/>
    </row>
    <row r="409" spans="5:25" s="114" customFormat="1">
      <c r="E409" s="167"/>
      <c r="F409" s="115"/>
      <c r="J409" s="302"/>
      <c r="K409" s="302"/>
      <c r="P409" s="167"/>
      <c r="Q409" s="115"/>
      <c r="R409" s="303"/>
      <c r="S409" s="303"/>
      <c r="T409" s="303"/>
      <c r="U409" s="303"/>
      <c r="V409" s="303"/>
      <c r="W409" s="303"/>
      <c r="X409" s="303"/>
      <c r="Y409" s="168"/>
    </row>
    <row r="410" spans="5:25" s="114" customFormat="1">
      <c r="E410" s="167"/>
      <c r="F410" s="115"/>
      <c r="J410" s="302"/>
      <c r="K410" s="302"/>
      <c r="P410" s="167"/>
      <c r="Q410" s="115"/>
      <c r="R410" s="303"/>
      <c r="S410" s="303"/>
      <c r="T410" s="303"/>
      <c r="U410" s="303"/>
      <c r="V410" s="303"/>
      <c r="W410" s="303"/>
      <c r="X410" s="303"/>
      <c r="Y410" s="168"/>
    </row>
    <row r="411" spans="5:25" s="114" customFormat="1">
      <c r="E411" s="167"/>
      <c r="F411" s="115"/>
      <c r="J411" s="302"/>
      <c r="K411" s="302"/>
      <c r="P411" s="167"/>
      <c r="Q411" s="115"/>
      <c r="R411" s="303"/>
      <c r="S411" s="303"/>
      <c r="T411" s="303"/>
      <c r="U411" s="303"/>
      <c r="V411" s="303"/>
      <c r="W411" s="303"/>
      <c r="X411" s="303"/>
      <c r="Y411" s="168"/>
    </row>
    <row r="412" spans="5:25" s="114" customFormat="1">
      <c r="E412" s="167"/>
      <c r="F412" s="115"/>
      <c r="J412" s="302"/>
      <c r="K412" s="302"/>
      <c r="P412" s="167"/>
      <c r="Q412" s="115"/>
      <c r="R412" s="303"/>
      <c r="S412" s="303"/>
      <c r="T412" s="303"/>
      <c r="U412" s="303"/>
      <c r="V412" s="303"/>
      <c r="W412" s="303"/>
      <c r="X412" s="303"/>
      <c r="Y412" s="168"/>
    </row>
    <row r="413" spans="5:25" s="114" customFormat="1">
      <c r="E413" s="167"/>
      <c r="F413" s="115"/>
      <c r="J413" s="302"/>
      <c r="K413" s="302"/>
      <c r="P413" s="167"/>
      <c r="Q413" s="115"/>
      <c r="R413" s="303"/>
      <c r="S413" s="303"/>
      <c r="T413" s="303"/>
      <c r="U413" s="303"/>
      <c r="V413" s="303"/>
      <c r="W413" s="303"/>
      <c r="X413" s="303"/>
      <c r="Y413" s="168"/>
    </row>
    <row r="414" spans="5:25" s="114" customFormat="1">
      <c r="E414" s="167"/>
      <c r="F414" s="115"/>
      <c r="J414" s="302"/>
      <c r="K414" s="302"/>
      <c r="P414" s="167"/>
      <c r="Q414" s="115"/>
      <c r="R414" s="303"/>
      <c r="S414" s="303"/>
      <c r="T414" s="303"/>
      <c r="U414" s="303"/>
      <c r="V414" s="303"/>
      <c r="W414" s="303"/>
      <c r="X414" s="303"/>
      <c r="Y414" s="168"/>
    </row>
    <row r="415" spans="5:25" s="114" customFormat="1">
      <c r="E415" s="167"/>
      <c r="F415" s="115"/>
      <c r="J415" s="302"/>
      <c r="K415" s="302"/>
      <c r="P415" s="167"/>
      <c r="Q415" s="115"/>
      <c r="R415" s="303"/>
      <c r="S415" s="303"/>
      <c r="T415" s="303"/>
      <c r="U415" s="303"/>
      <c r="V415" s="303"/>
      <c r="W415" s="303"/>
      <c r="X415" s="303"/>
      <c r="Y415" s="168"/>
    </row>
    <row r="416" spans="5:25" s="114" customFormat="1">
      <c r="E416" s="167"/>
      <c r="F416" s="115"/>
      <c r="J416" s="302"/>
      <c r="K416" s="302"/>
      <c r="P416" s="167"/>
      <c r="Q416" s="115"/>
      <c r="R416" s="303"/>
      <c r="S416" s="303"/>
      <c r="T416" s="303"/>
      <c r="U416" s="303"/>
      <c r="V416" s="303"/>
      <c r="W416" s="303"/>
      <c r="X416" s="303"/>
      <c r="Y416" s="168"/>
    </row>
    <row r="417" spans="5:25" s="114" customFormat="1">
      <c r="E417" s="167"/>
      <c r="F417" s="115"/>
      <c r="J417" s="302"/>
      <c r="K417" s="302"/>
      <c r="P417" s="167"/>
      <c r="Q417" s="115"/>
      <c r="R417" s="303"/>
      <c r="S417" s="303"/>
      <c r="T417" s="303"/>
      <c r="U417" s="303"/>
      <c r="V417" s="303"/>
      <c r="W417" s="303"/>
      <c r="X417" s="303"/>
      <c r="Y417" s="168"/>
    </row>
    <row r="418" spans="5:25" s="114" customFormat="1">
      <c r="E418" s="167"/>
      <c r="F418" s="115"/>
      <c r="J418" s="302"/>
      <c r="K418" s="302"/>
      <c r="P418" s="167"/>
      <c r="Q418" s="115"/>
      <c r="R418" s="303"/>
      <c r="S418" s="303"/>
      <c r="T418" s="303"/>
      <c r="U418" s="303"/>
      <c r="V418" s="303"/>
      <c r="W418" s="303"/>
      <c r="X418" s="303"/>
      <c r="Y418" s="168"/>
    </row>
    <row r="419" spans="5:25" s="114" customFormat="1">
      <c r="E419" s="167"/>
      <c r="F419" s="115"/>
      <c r="J419" s="302"/>
      <c r="K419" s="302"/>
      <c r="P419" s="167"/>
      <c r="Q419" s="115"/>
      <c r="R419" s="303"/>
      <c r="S419" s="303"/>
      <c r="T419" s="303"/>
      <c r="U419" s="303"/>
      <c r="V419" s="303"/>
      <c r="W419" s="303"/>
      <c r="X419" s="303"/>
      <c r="Y419" s="168"/>
    </row>
    <row r="420" spans="5:25" s="114" customFormat="1">
      <c r="E420" s="167"/>
      <c r="F420" s="115"/>
      <c r="J420" s="302"/>
      <c r="K420" s="302"/>
      <c r="P420" s="167"/>
      <c r="Q420" s="115"/>
      <c r="R420" s="303"/>
      <c r="S420" s="303"/>
      <c r="T420" s="303"/>
      <c r="U420" s="303"/>
      <c r="V420" s="303"/>
      <c r="W420" s="303"/>
      <c r="X420" s="303"/>
      <c r="Y420" s="168"/>
    </row>
    <row r="421" spans="5:25" s="114" customFormat="1">
      <c r="E421" s="167"/>
      <c r="F421" s="115"/>
      <c r="J421" s="302"/>
      <c r="K421" s="302"/>
      <c r="P421" s="167"/>
      <c r="Q421" s="115"/>
      <c r="R421" s="303"/>
      <c r="S421" s="303"/>
      <c r="T421" s="303"/>
      <c r="U421" s="303"/>
      <c r="V421" s="303"/>
      <c r="W421" s="303"/>
      <c r="X421" s="303"/>
      <c r="Y421" s="168"/>
    </row>
    <row r="422" spans="5:25" s="114" customFormat="1">
      <c r="E422" s="167"/>
      <c r="F422" s="115"/>
      <c r="J422" s="302"/>
      <c r="K422" s="302"/>
      <c r="P422" s="167"/>
      <c r="Q422" s="115"/>
      <c r="R422" s="303"/>
      <c r="S422" s="303"/>
      <c r="T422" s="303"/>
      <c r="U422" s="303"/>
      <c r="V422" s="303"/>
      <c r="W422" s="303"/>
      <c r="X422" s="303"/>
      <c r="Y422" s="168"/>
    </row>
    <row r="423" spans="5:25" s="114" customFormat="1">
      <c r="E423" s="167"/>
      <c r="F423" s="115"/>
      <c r="J423" s="302"/>
      <c r="K423" s="302"/>
      <c r="P423" s="167"/>
      <c r="Q423" s="115"/>
      <c r="R423" s="303"/>
      <c r="S423" s="303"/>
      <c r="T423" s="303"/>
      <c r="U423" s="303"/>
      <c r="V423" s="303"/>
      <c r="W423" s="303"/>
      <c r="X423" s="303"/>
      <c r="Y423" s="168"/>
    </row>
    <row r="424" spans="5:25" s="114" customFormat="1">
      <c r="E424" s="167"/>
      <c r="F424" s="115"/>
      <c r="J424" s="302"/>
      <c r="K424" s="302"/>
      <c r="P424" s="167"/>
      <c r="Q424" s="115"/>
      <c r="R424" s="303"/>
      <c r="S424" s="303"/>
      <c r="T424" s="303"/>
      <c r="U424" s="303"/>
      <c r="V424" s="303"/>
      <c r="W424" s="303"/>
      <c r="X424" s="303"/>
      <c r="Y424" s="168"/>
    </row>
    <row r="425" spans="5:25" s="114" customFormat="1">
      <c r="E425" s="167"/>
      <c r="F425" s="115"/>
      <c r="J425" s="302"/>
      <c r="K425" s="302"/>
      <c r="P425" s="167"/>
      <c r="Q425" s="115"/>
      <c r="R425" s="303"/>
      <c r="S425" s="303"/>
      <c r="T425" s="303"/>
      <c r="U425" s="303"/>
      <c r="V425" s="303"/>
      <c r="W425" s="303"/>
      <c r="X425" s="303"/>
      <c r="Y425" s="168"/>
    </row>
    <row r="426" spans="5:25" s="114" customFormat="1">
      <c r="E426" s="167"/>
      <c r="F426" s="115"/>
      <c r="J426" s="302"/>
      <c r="K426" s="302"/>
      <c r="P426" s="167"/>
      <c r="Q426" s="115"/>
      <c r="R426" s="303"/>
      <c r="S426" s="303"/>
      <c r="T426" s="303"/>
      <c r="U426" s="303"/>
      <c r="V426" s="303"/>
      <c r="W426" s="303"/>
      <c r="X426" s="303"/>
      <c r="Y426" s="168"/>
    </row>
    <row r="427" spans="5:25" s="114" customFormat="1">
      <c r="E427" s="167"/>
      <c r="F427" s="115"/>
      <c r="J427" s="302"/>
      <c r="K427" s="302"/>
      <c r="P427" s="167"/>
      <c r="Q427" s="115"/>
      <c r="R427" s="303"/>
      <c r="S427" s="303"/>
      <c r="T427" s="303"/>
      <c r="U427" s="303"/>
      <c r="V427" s="303"/>
      <c r="W427" s="303"/>
      <c r="X427" s="303"/>
      <c r="Y427" s="168"/>
    </row>
    <row r="428" spans="5:25" s="114" customFormat="1">
      <c r="E428" s="167"/>
      <c r="F428" s="115"/>
      <c r="J428" s="302"/>
      <c r="K428" s="302"/>
      <c r="P428" s="167"/>
      <c r="Q428" s="115"/>
      <c r="R428" s="303"/>
      <c r="S428" s="303"/>
      <c r="T428" s="303"/>
      <c r="U428" s="303"/>
      <c r="V428" s="303"/>
      <c r="W428" s="303"/>
      <c r="X428" s="303"/>
      <c r="Y428" s="168"/>
    </row>
    <row r="429" spans="5:25" s="114" customFormat="1">
      <c r="E429" s="167"/>
      <c r="F429" s="115"/>
      <c r="J429" s="302"/>
      <c r="K429" s="302"/>
      <c r="P429" s="167"/>
      <c r="Q429" s="115"/>
      <c r="R429" s="303"/>
      <c r="S429" s="303"/>
      <c r="T429" s="303"/>
      <c r="U429" s="303"/>
      <c r="V429" s="303"/>
      <c r="W429" s="303"/>
      <c r="X429" s="303"/>
      <c r="Y429" s="168"/>
    </row>
    <row r="430" spans="5:25" s="114" customFormat="1">
      <c r="E430" s="167"/>
      <c r="F430" s="115"/>
      <c r="J430" s="302"/>
      <c r="K430" s="302"/>
      <c r="P430" s="167"/>
      <c r="Q430" s="115"/>
      <c r="R430" s="303"/>
      <c r="S430" s="303"/>
      <c r="T430" s="303"/>
      <c r="U430" s="303"/>
      <c r="V430" s="303"/>
      <c r="W430" s="303"/>
      <c r="X430" s="303"/>
      <c r="Y430" s="168"/>
    </row>
    <row r="431" spans="5:25" s="114" customFormat="1">
      <c r="E431" s="167"/>
      <c r="F431" s="115"/>
      <c r="J431" s="302"/>
      <c r="K431" s="302"/>
      <c r="P431" s="167"/>
      <c r="Q431" s="115"/>
      <c r="R431" s="303"/>
      <c r="S431" s="303"/>
      <c r="T431" s="303"/>
      <c r="U431" s="303"/>
      <c r="V431" s="303"/>
      <c r="W431" s="303"/>
      <c r="X431" s="303"/>
      <c r="Y431" s="168"/>
    </row>
    <row r="432" spans="5:25" s="114" customFormat="1">
      <c r="E432" s="167"/>
      <c r="F432" s="115"/>
      <c r="J432" s="302"/>
      <c r="K432" s="302"/>
      <c r="P432" s="167"/>
      <c r="Q432" s="115"/>
      <c r="R432" s="303"/>
      <c r="S432" s="303"/>
      <c r="T432" s="303"/>
      <c r="U432" s="303"/>
      <c r="V432" s="303"/>
      <c r="W432" s="303"/>
      <c r="X432" s="303"/>
      <c r="Y432" s="168"/>
    </row>
    <row r="433" spans="5:25" s="114" customFormat="1">
      <c r="E433" s="167"/>
      <c r="F433" s="115"/>
      <c r="J433" s="302"/>
      <c r="K433" s="302"/>
      <c r="P433" s="167"/>
      <c r="Q433" s="115"/>
      <c r="R433" s="303"/>
      <c r="S433" s="303"/>
      <c r="T433" s="303"/>
      <c r="U433" s="303"/>
      <c r="V433" s="303"/>
      <c r="W433" s="303"/>
      <c r="X433" s="303"/>
      <c r="Y433" s="168"/>
    </row>
    <row r="434" spans="5:25" s="114" customFormat="1">
      <c r="E434" s="167"/>
      <c r="F434" s="115"/>
      <c r="J434" s="302"/>
      <c r="K434" s="302"/>
      <c r="P434" s="167"/>
      <c r="Q434" s="115"/>
      <c r="R434" s="303"/>
      <c r="S434" s="303"/>
      <c r="T434" s="303"/>
      <c r="U434" s="303"/>
      <c r="V434" s="303"/>
      <c r="W434" s="303"/>
      <c r="X434" s="303"/>
      <c r="Y434" s="168"/>
    </row>
    <row r="435" spans="5:25" s="114" customFormat="1">
      <c r="E435" s="167"/>
      <c r="F435" s="115"/>
      <c r="J435" s="302"/>
      <c r="K435" s="302"/>
      <c r="P435" s="167"/>
      <c r="Q435" s="115"/>
      <c r="R435" s="303"/>
      <c r="S435" s="303"/>
      <c r="T435" s="303"/>
      <c r="U435" s="303"/>
      <c r="V435" s="303"/>
      <c r="W435" s="303"/>
      <c r="X435" s="303"/>
      <c r="Y435" s="168"/>
    </row>
    <row r="436" spans="5:25" s="114" customFormat="1">
      <c r="E436" s="167"/>
      <c r="F436" s="115"/>
      <c r="J436" s="302"/>
      <c r="K436" s="302"/>
      <c r="P436" s="167"/>
      <c r="Q436" s="115"/>
      <c r="R436" s="303"/>
      <c r="S436" s="303"/>
      <c r="T436" s="303"/>
      <c r="U436" s="303"/>
      <c r="V436" s="303"/>
      <c r="W436" s="303"/>
      <c r="X436" s="303"/>
      <c r="Y436" s="168"/>
    </row>
    <row r="437" spans="5:25" s="114" customFormat="1">
      <c r="E437" s="167"/>
      <c r="F437" s="115"/>
      <c r="J437" s="302"/>
      <c r="K437" s="302"/>
      <c r="P437" s="167"/>
      <c r="Q437" s="115"/>
      <c r="R437" s="303"/>
      <c r="S437" s="303"/>
      <c r="T437" s="303"/>
      <c r="U437" s="303"/>
      <c r="V437" s="303"/>
      <c r="W437" s="303"/>
      <c r="X437" s="303"/>
      <c r="Y437" s="168"/>
    </row>
    <row r="438" spans="5:25" s="114" customFormat="1">
      <c r="E438" s="167"/>
      <c r="F438" s="115"/>
      <c r="J438" s="302"/>
      <c r="K438" s="302"/>
      <c r="P438" s="167"/>
      <c r="Q438" s="115"/>
      <c r="R438" s="303"/>
      <c r="S438" s="303"/>
      <c r="T438" s="303"/>
      <c r="U438" s="303"/>
      <c r="V438" s="303"/>
      <c r="W438" s="303"/>
      <c r="X438" s="303"/>
      <c r="Y438" s="168"/>
    </row>
    <row r="439" spans="5:25" s="114" customFormat="1">
      <c r="E439" s="167"/>
      <c r="F439" s="115"/>
      <c r="J439" s="302"/>
      <c r="K439" s="302"/>
      <c r="P439" s="167"/>
      <c r="Q439" s="115"/>
      <c r="R439" s="303"/>
      <c r="S439" s="303"/>
      <c r="T439" s="303"/>
      <c r="U439" s="303"/>
      <c r="V439" s="303"/>
      <c r="W439" s="303"/>
      <c r="X439" s="303"/>
      <c r="Y439" s="168"/>
    </row>
    <row r="440" spans="5:25" s="114" customFormat="1">
      <c r="E440" s="167"/>
      <c r="F440" s="115"/>
      <c r="J440" s="302"/>
      <c r="K440" s="302"/>
      <c r="P440" s="167"/>
      <c r="Q440" s="115"/>
      <c r="R440" s="303"/>
      <c r="S440" s="303"/>
      <c r="T440" s="303"/>
      <c r="U440" s="303"/>
      <c r="V440" s="303"/>
      <c r="W440" s="303"/>
      <c r="X440" s="303"/>
      <c r="Y440" s="168"/>
    </row>
    <row r="441" spans="5:25" s="114" customFormat="1">
      <c r="E441" s="167"/>
      <c r="F441" s="115"/>
      <c r="J441" s="302"/>
      <c r="K441" s="302"/>
      <c r="P441" s="167"/>
      <c r="Q441" s="115"/>
      <c r="R441" s="303"/>
      <c r="S441" s="303"/>
      <c r="T441" s="303"/>
      <c r="U441" s="303"/>
      <c r="V441" s="303"/>
      <c r="W441" s="303"/>
      <c r="X441" s="303"/>
      <c r="Y441" s="168"/>
    </row>
    <row r="442" spans="5:25" s="114" customFormat="1">
      <c r="E442" s="167"/>
      <c r="F442" s="115"/>
      <c r="J442" s="302"/>
      <c r="K442" s="302"/>
      <c r="P442" s="167"/>
      <c r="Q442" s="115"/>
      <c r="R442" s="303"/>
      <c r="S442" s="303"/>
      <c r="T442" s="303"/>
      <c r="U442" s="303"/>
      <c r="V442" s="303"/>
      <c r="W442" s="303"/>
      <c r="X442" s="303"/>
      <c r="Y442" s="168"/>
    </row>
    <row r="443" spans="5:25" s="114" customFormat="1">
      <c r="E443" s="167"/>
      <c r="F443" s="115"/>
      <c r="J443" s="302"/>
      <c r="K443" s="302"/>
      <c r="P443" s="167"/>
      <c r="Q443" s="115"/>
      <c r="R443" s="303"/>
      <c r="S443" s="303"/>
      <c r="T443" s="303"/>
      <c r="U443" s="303"/>
      <c r="V443" s="303"/>
      <c r="W443" s="303"/>
      <c r="X443" s="303"/>
      <c r="Y443" s="168"/>
    </row>
    <row r="444" spans="5:25" s="114" customFormat="1">
      <c r="E444" s="167"/>
      <c r="F444" s="115"/>
      <c r="J444" s="302"/>
      <c r="K444" s="302"/>
      <c r="P444" s="167"/>
      <c r="Q444" s="115"/>
      <c r="R444" s="303"/>
      <c r="S444" s="303"/>
      <c r="T444" s="303"/>
      <c r="U444" s="303"/>
      <c r="V444" s="303"/>
      <c r="W444" s="303"/>
      <c r="X444" s="303"/>
      <c r="Y444" s="168"/>
    </row>
    <row r="445" spans="5:25" s="114" customFormat="1">
      <c r="E445" s="167"/>
      <c r="F445" s="115"/>
      <c r="J445" s="302"/>
      <c r="K445" s="302"/>
      <c r="P445" s="167"/>
      <c r="Q445" s="115"/>
      <c r="R445" s="303"/>
      <c r="S445" s="303"/>
      <c r="T445" s="303"/>
      <c r="U445" s="303"/>
      <c r="V445" s="303"/>
      <c r="W445" s="303"/>
      <c r="X445" s="303"/>
      <c r="Y445" s="168"/>
    </row>
    <row r="446" spans="5:25" s="114" customFormat="1">
      <c r="E446" s="167"/>
      <c r="F446" s="115"/>
      <c r="J446" s="302"/>
      <c r="K446" s="302"/>
      <c r="P446" s="167"/>
      <c r="Q446" s="115"/>
      <c r="R446" s="303"/>
      <c r="S446" s="303"/>
      <c r="T446" s="303"/>
      <c r="U446" s="303"/>
      <c r="V446" s="303"/>
      <c r="W446" s="303"/>
      <c r="X446" s="303"/>
      <c r="Y446" s="168"/>
    </row>
    <row r="447" spans="5:25" s="114" customFormat="1">
      <c r="E447" s="167"/>
      <c r="F447" s="115"/>
      <c r="J447" s="302"/>
      <c r="K447" s="302"/>
      <c r="P447" s="167"/>
      <c r="Q447" s="115"/>
      <c r="R447" s="303"/>
      <c r="S447" s="303"/>
      <c r="T447" s="303"/>
      <c r="U447" s="303"/>
      <c r="V447" s="303"/>
      <c r="W447" s="303"/>
      <c r="X447" s="303"/>
      <c r="Y447" s="168"/>
    </row>
    <row r="448" spans="5:25" s="114" customFormat="1">
      <c r="E448" s="167"/>
      <c r="F448" s="115"/>
      <c r="J448" s="302"/>
      <c r="K448" s="302"/>
      <c r="P448" s="167"/>
      <c r="Q448" s="115"/>
      <c r="R448" s="303"/>
      <c r="S448" s="303"/>
      <c r="T448" s="303"/>
      <c r="U448" s="303"/>
      <c r="V448" s="303"/>
      <c r="W448" s="303"/>
      <c r="X448" s="303"/>
      <c r="Y448" s="168"/>
    </row>
    <row r="449" spans="5:25" s="114" customFormat="1">
      <c r="E449" s="167"/>
      <c r="F449" s="115"/>
      <c r="J449" s="302"/>
      <c r="K449" s="302"/>
      <c r="P449" s="167"/>
      <c r="Q449" s="115"/>
      <c r="R449" s="303"/>
      <c r="S449" s="303"/>
      <c r="T449" s="303"/>
      <c r="U449" s="303"/>
      <c r="V449" s="303"/>
      <c r="W449" s="303"/>
      <c r="X449" s="303"/>
      <c r="Y449" s="168"/>
    </row>
    <row r="450" spans="5:25" s="114" customFormat="1">
      <c r="E450" s="167"/>
      <c r="F450" s="115"/>
      <c r="J450" s="302"/>
      <c r="K450" s="302"/>
      <c r="P450" s="167"/>
      <c r="Q450" s="115"/>
      <c r="R450" s="303"/>
      <c r="S450" s="303"/>
      <c r="T450" s="303"/>
      <c r="U450" s="303"/>
      <c r="V450" s="303"/>
      <c r="W450" s="303"/>
      <c r="X450" s="303"/>
      <c r="Y450" s="168"/>
    </row>
    <row r="451" spans="5:25" s="114" customFormat="1">
      <c r="E451" s="167"/>
      <c r="F451" s="115"/>
      <c r="J451" s="302"/>
      <c r="K451" s="302"/>
      <c r="P451" s="167"/>
      <c r="Q451" s="115"/>
      <c r="R451" s="303"/>
      <c r="S451" s="303"/>
      <c r="T451" s="303"/>
      <c r="U451" s="303"/>
      <c r="V451" s="303"/>
      <c r="W451" s="303"/>
      <c r="X451" s="303"/>
      <c r="Y451" s="168"/>
    </row>
    <row r="452" spans="5:25" s="114" customFormat="1">
      <c r="E452" s="167"/>
      <c r="F452" s="115"/>
      <c r="J452" s="302"/>
      <c r="K452" s="302"/>
      <c r="P452" s="167"/>
      <c r="Q452" s="115"/>
      <c r="R452" s="303"/>
      <c r="S452" s="303"/>
      <c r="T452" s="303"/>
      <c r="U452" s="303"/>
      <c r="V452" s="303"/>
      <c r="W452" s="303"/>
      <c r="X452" s="303"/>
      <c r="Y452" s="168"/>
    </row>
    <row r="453" spans="5:25" s="114" customFormat="1">
      <c r="E453" s="167"/>
      <c r="F453" s="115"/>
      <c r="J453" s="302"/>
      <c r="K453" s="302"/>
      <c r="P453" s="167"/>
      <c r="Q453" s="115"/>
      <c r="R453" s="303"/>
      <c r="S453" s="303"/>
      <c r="T453" s="303"/>
      <c r="U453" s="303"/>
      <c r="V453" s="303"/>
      <c r="W453" s="303"/>
      <c r="X453" s="303"/>
      <c r="Y453" s="168"/>
    </row>
    <row r="454" spans="5:25" s="114" customFormat="1">
      <c r="E454" s="167"/>
      <c r="F454" s="115"/>
      <c r="J454" s="302"/>
      <c r="K454" s="302"/>
      <c r="P454" s="167"/>
      <c r="Q454" s="115"/>
      <c r="R454" s="303"/>
      <c r="S454" s="303"/>
      <c r="T454" s="303"/>
      <c r="U454" s="303"/>
      <c r="V454" s="303"/>
      <c r="W454" s="303"/>
      <c r="X454" s="303"/>
      <c r="Y454" s="168"/>
    </row>
    <row r="455" spans="5:25" s="114" customFormat="1">
      <c r="E455" s="167"/>
      <c r="F455" s="115"/>
      <c r="J455" s="302"/>
      <c r="K455" s="302"/>
      <c r="P455" s="167"/>
      <c r="Q455" s="115"/>
      <c r="R455" s="303"/>
      <c r="S455" s="303"/>
      <c r="T455" s="303"/>
      <c r="U455" s="303"/>
      <c r="V455" s="303"/>
      <c r="W455" s="303"/>
      <c r="X455" s="303"/>
      <c r="Y455" s="168"/>
    </row>
    <row r="456" spans="5:25" s="114" customFormat="1">
      <c r="E456" s="167"/>
      <c r="F456" s="115"/>
      <c r="J456" s="302"/>
      <c r="K456" s="302"/>
      <c r="P456" s="167"/>
      <c r="Q456" s="115"/>
      <c r="R456" s="303"/>
      <c r="S456" s="303"/>
      <c r="T456" s="303"/>
      <c r="U456" s="303"/>
      <c r="V456" s="303"/>
      <c r="W456" s="303"/>
      <c r="X456" s="303"/>
      <c r="Y456" s="168"/>
    </row>
    <row r="457" spans="5:25" s="114" customFormat="1">
      <c r="E457" s="167"/>
      <c r="F457" s="115"/>
      <c r="J457" s="302"/>
      <c r="K457" s="302"/>
      <c r="P457" s="167"/>
      <c r="Q457" s="115"/>
      <c r="R457" s="303"/>
      <c r="S457" s="303"/>
      <c r="T457" s="303"/>
      <c r="U457" s="303"/>
      <c r="V457" s="303"/>
      <c r="W457" s="303"/>
      <c r="X457" s="303"/>
      <c r="Y457" s="168"/>
    </row>
    <row r="458" spans="5:25" s="114" customFormat="1">
      <c r="E458" s="167"/>
      <c r="F458" s="115"/>
      <c r="J458" s="302"/>
      <c r="K458" s="302"/>
      <c r="P458" s="167"/>
      <c r="Q458" s="115"/>
      <c r="R458" s="303"/>
      <c r="S458" s="303"/>
      <c r="T458" s="303"/>
      <c r="U458" s="303"/>
      <c r="V458" s="303"/>
      <c r="W458" s="303"/>
      <c r="X458" s="303"/>
      <c r="Y458" s="168"/>
    </row>
    <row r="459" spans="5:25" s="114" customFormat="1">
      <c r="E459" s="167"/>
      <c r="F459" s="115"/>
      <c r="J459" s="302"/>
      <c r="K459" s="302"/>
      <c r="P459" s="167"/>
      <c r="Q459" s="115"/>
      <c r="R459" s="303"/>
      <c r="S459" s="303"/>
      <c r="T459" s="303"/>
      <c r="U459" s="303"/>
      <c r="V459" s="303"/>
      <c r="W459" s="303"/>
      <c r="X459" s="303"/>
      <c r="Y459" s="168"/>
    </row>
    <row r="460" spans="5:25" s="114" customFormat="1">
      <c r="E460" s="167"/>
      <c r="F460" s="115"/>
      <c r="J460" s="302"/>
      <c r="K460" s="302"/>
      <c r="P460" s="167"/>
      <c r="Q460" s="115"/>
      <c r="R460" s="303"/>
      <c r="S460" s="303"/>
      <c r="T460" s="303"/>
      <c r="U460" s="303"/>
      <c r="V460" s="303"/>
      <c r="W460" s="303"/>
      <c r="X460" s="303"/>
      <c r="Y460" s="168"/>
    </row>
    <row r="461" spans="5:25" s="114" customFormat="1">
      <c r="E461" s="167"/>
      <c r="F461" s="115"/>
      <c r="J461" s="302"/>
      <c r="K461" s="302"/>
      <c r="P461" s="167"/>
      <c r="Q461" s="115"/>
      <c r="R461" s="303"/>
      <c r="S461" s="303"/>
      <c r="T461" s="303"/>
      <c r="U461" s="303"/>
      <c r="V461" s="303"/>
      <c r="W461" s="303"/>
      <c r="X461" s="303"/>
      <c r="Y461" s="168"/>
    </row>
    <row r="462" spans="5:25" s="114" customFormat="1">
      <c r="E462" s="167"/>
      <c r="F462" s="115"/>
      <c r="J462" s="302"/>
      <c r="K462" s="302"/>
      <c r="P462" s="167"/>
      <c r="Q462" s="115"/>
      <c r="R462" s="303"/>
      <c r="S462" s="303"/>
      <c r="T462" s="303"/>
      <c r="U462" s="303"/>
      <c r="V462" s="303"/>
      <c r="W462" s="303"/>
      <c r="X462" s="303"/>
      <c r="Y462" s="168"/>
    </row>
    <row r="463" spans="5:25" s="114" customFormat="1">
      <c r="E463" s="167"/>
      <c r="F463" s="115"/>
      <c r="J463" s="302"/>
      <c r="K463" s="302"/>
      <c r="P463" s="167"/>
      <c r="Q463" s="115"/>
      <c r="R463" s="303"/>
      <c r="S463" s="303"/>
      <c r="T463" s="303"/>
      <c r="U463" s="303"/>
      <c r="V463" s="303"/>
      <c r="W463" s="303"/>
      <c r="X463" s="303"/>
      <c r="Y463" s="168"/>
    </row>
    <row r="464" spans="5:25" s="114" customFormat="1">
      <c r="E464" s="167"/>
      <c r="F464" s="115"/>
      <c r="J464" s="302"/>
      <c r="K464" s="302"/>
      <c r="P464" s="167"/>
      <c r="Q464" s="115"/>
      <c r="R464" s="303"/>
      <c r="S464" s="303"/>
      <c r="T464" s="303"/>
      <c r="U464" s="303"/>
      <c r="V464" s="303"/>
      <c r="W464" s="303"/>
      <c r="X464" s="303"/>
      <c r="Y464" s="168"/>
    </row>
    <row r="465" spans="5:25" s="114" customFormat="1">
      <c r="E465" s="167"/>
      <c r="F465" s="115"/>
      <c r="J465" s="302"/>
      <c r="K465" s="302"/>
      <c r="P465" s="167"/>
      <c r="Q465" s="115"/>
      <c r="R465" s="303"/>
      <c r="S465" s="303"/>
      <c r="T465" s="303"/>
      <c r="U465" s="303"/>
      <c r="V465" s="303"/>
      <c r="W465" s="303"/>
      <c r="X465" s="303"/>
      <c r="Y465" s="168"/>
    </row>
    <row r="466" spans="5:25" s="114" customFormat="1">
      <c r="E466" s="167"/>
      <c r="F466" s="115"/>
      <c r="J466" s="302"/>
      <c r="K466" s="302"/>
      <c r="P466" s="167"/>
      <c r="Q466" s="115"/>
      <c r="R466" s="303"/>
      <c r="S466" s="303"/>
      <c r="T466" s="303"/>
      <c r="U466" s="303"/>
      <c r="V466" s="303"/>
      <c r="W466" s="303"/>
      <c r="X466" s="303"/>
      <c r="Y466" s="168"/>
    </row>
    <row r="467" spans="5:25" s="114" customFormat="1">
      <c r="E467" s="167"/>
      <c r="F467" s="115"/>
      <c r="J467" s="302"/>
      <c r="K467" s="302"/>
      <c r="P467" s="167"/>
      <c r="Q467" s="115"/>
      <c r="R467" s="303"/>
      <c r="S467" s="303"/>
      <c r="T467" s="303"/>
      <c r="U467" s="303"/>
      <c r="V467" s="303"/>
      <c r="W467" s="303"/>
      <c r="X467" s="303"/>
      <c r="Y467" s="168"/>
    </row>
    <row r="468" spans="5:25" s="114" customFormat="1">
      <c r="E468" s="167"/>
      <c r="F468" s="115"/>
      <c r="J468" s="302"/>
      <c r="K468" s="302"/>
      <c r="P468" s="167"/>
      <c r="Q468" s="115"/>
      <c r="R468" s="303"/>
      <c r="S468" s="303"/>
      <c r="T468" s="303"/>
      <c r="U468" s="303"/>
      <c r="V468" s="303"/>
      <c r="W468" s="303"/>
      <c r="X468" s="303"/>
      <c r="Y468" s="168"/>
    </row>
    <row r="469" spans="5:25" s="114" customFormat="1">
      <c r="E469" s="167"/>
      <c r="F469" s="115"/>
      <c r="J469" s="302"/>
      <c r="K469" s="302"/>
      <c r="P469" s="167"/>
      <c r="Q469" s="115"/>
      <c r="R469" s="303"/>
      <c r="S469" s="303"/>
      <c r="T469" s="303"/>
      <c r="U469" s="303"/>
      <c r="V469" s="303"/>
      <c r="W469" s="303"/>
      <c r="X469" s="303"/>
      <c r="Y469" s="168"/>
    </row>
    <row r="470" spans="5:25" s="114" customFormat="1">
      <c r="E470" s="167"/>
      <c r="F470" s="115"/>
      <c r="J470" s="302"/>
      <c r="K470" s="302"/>
      <c r="P470" s="167"/>
      <c r="Q470" s="115"/>
      <c r="R470" s="303"/>
      <c r="S470" s="303"/>
      <c r="T470" s="303"/>
      <c r="U470" s="303"/>
      <c r="V470" s="303"/>
      <c r="W470" s="303"/>
      <c r="X470" s="303"/>
      <c r="Y470" s="168"/>
    </row>
    <row r="471" spans="5:25" s="114" customFormat="1">
      <c r="E471" s="167"/>
      <c r="F471" s="115"/>
      <c r="J471" s="302"/>
      <c r="K471" s="302"/>
      <c r="P471" s="167"/>
      <c r="Q471" s="115"/>
      <c r="R471" s="303"/>
      <c r="S471" s="303"/>
      <c r="T471" s="303"/>
      <c r="U471" s="303"/>
      <c r="V471" s="303"/>
      <c r="W471" s="303"/>
      <c r="X471" s="303"/>
      <c r="Y471" s="168"/>
    </row>
    <row r="472" spans="5:25" s="114" customFormat="1">
      <c r="E472" s="167"/>
      <c r="F472" s="115"/>
      <c r="J472" s="302"/>
      <c r="K472" s="302"/>
      <c r="P472" s="167"/>
      <c r="Q472" s="115"/>
      <c r="R472" s="303"/>
      <c r="S472" s="303"/>
      <c r="T472" s="303"/>
      <c r="U472" s="303"/>
      <c r="V472" s="303"/>
      <c r="W472" s="303"/>
      <c r="X472" s="303"/>
      <c r="Y472" s="168"/>
    </row>
    <row r="473" spans="5:25" s="114" customFormat="1">
      <c r="E473" s="167"/>
      <c r="F473" s="115"/>
      <c r="J473" s="302"/>
      <c r="K473" s="302"/>
      <c r="P473" s="167"/>
      <c r="Q473" s="115"/>
      <c r="R473" s="303"/>
      <c r="S473" s="303"/>
      <c r="T473" s="303"/>
      <c r="U473" s="303"/>
      <c r="V473" s="303"/>
      <c r="W473" s="303"/>
      <c r="X473" s="303"/>
      <c r="Y473" s="168"/>
    </row>
    <row r="474" spans="5:25" s="114" customFormat="1">
      <c r="E474" s="167"/>
      <c r="F474" s="115"/>
      <c r="J474" s="302"/>
      <c r="K474" s="302"/>
      <c r="P474" s="167"/>
      <c r="Q474" s="115"/>
      <c r="R474" s="303"/>
      <c r="S474" s="303"/>
      <c r="T474" s="303"/>
      <c r="U474" s="303"/>
      <c r="V474" s="303"/>
      <c r="W474" s="303"/>
      <c r="X474" s="303"/>
      <c r="Y474" s="168"/>
    </row>
    <row r="475" spans="5:25" s="114" customFormat="1">
      <c r="E475" s="167"/>
      <c r="F475" s="115"/>
      <c r="J475" s="302"/>
      <c r="K475" s="302"/>
      <c r="P475" s="167"/>
      <c r="Q475" s="115"/>
      <c r="R475" s="303"/>
      <c r="S475" s="303"/>
      <c r="T475" s="303"/>
      <c r="U475" s="303"/>
      <c r="V475" s="303"/>
      <c r="W475" s="303"/>
      <c r="X475" s="303"/>
      <c r="Y475" s="168"/>
    </row>
    <row r="476" spans="5:25" s="114" customFormat="1">
      <c r="E476" s="167"/>
      <c r="F476" s="115"/>
      <c r="J476" s="302"/>
      <c r="K476" s="302"/>
      <c r="P476" s="167"/>
      <c r="Q476" s="115"/>
      <c r="R476" s="303"/>
      <c r="S476" s="303"/>
      <c r="T476" s="303"/>
      <c r="U476" s="303"/>
      <c r="V476" s="303"/>
      <c r="W476" s="303"/>
      <c r="X476" s="303"/>
      <c r="Y476" s="168"/>
    </row>
    <row r="477" spans="5:25" s="114" customFormat="1">
      <c r="E477" s="167"/>
      <c r="F477" s="115"/>
      <c r="J477" s="302"/>
      <c r="K477" s="302"/>
      <c r="P477" s="167"/>
      <c r="Q477" s="115"/>
      <c r="R477" s="303"/>
      <c r="S477" s="303"/>
      <c r="T477" s="303"/>
      <c r="U477" s="303"/>
      <c r="V477" s="303"/>
      <c r="W477" s="303"/>
      <c r="X477" s="303"/>
      <c r="Y477" s="168"/>
    </row>
    <row r="478" spans="5:25" s="114" customFormat="1">
      <c r="E478" s="167"/>
      <c r="F478" s="115"/>
      <c r="J478" s="302"/>
      <c r="K478" s="302"/>
      <c r="P478" s="167"/>
      <c r="Q478" s="115"/>
      <c r="R478" s="303"/>
      <c r="S478" s="303"/>
      <c r="T478" s="303"/>
      <c r="U478" s="303"/>
      <c r="V478" s="303"/>
      <c r="W478" s="303"/>
      <c r="X478" s="303"/>
      <c r="Y478" s="168"/>
    </row>
    <row r="479" spans="5:25" s="114" customFormat="1">
      <c r="E479" s="167"/>
      <c r="F479" s="115"/>
      <c r="J479" s="302"/>
      <c r="K479" s="302"/>
      <c r="P479" s="167"/>
      <c r="Q479" s="115"/>
      <c r="R479" s="303"/>
      <c r="S479" s="303"/>
      <c r="T479" s="303"/>
      <c r="U479" s="303"/>
      <c r="V479" s="303"/>
      <c r="W479" s="303"/>
      <c r="X479" s="303"/>
      <c r="Y479" s="168"/>
    </row>
    <row r="480" spans="5:25" s="114" customFormat="1">
      <c r="E480" s="167"/>
      <c r="F480" s="115"/>
      <c r="J480" s="302"/>
      <c r="K480" s="302"/>
      <c r="P480" s="167"/>
      <c r="Q480" s="115"/>
      <c r="R480" s="303"/>
      <c r="S480" s="303"/>
      <c r="T480" s="303"/>
      <c r="U480" s="303"/>
      <c r="V480" s="303"/>
      <c r="W480" s="303"/>
      <c r="X480" s="303"/>
      <c r="Y480" s="168"/>
    </row>
    <row r="481" spans="5:25" s="114" customFormat="1">
      <c r="E481" s="167"/>
      <c r="F481" s="115"/>
      <c r="J481" s="302"/>
      <c r="K481" s="302"/>
      <c r="P481" s="167"/>
      <c r="Q481" s="115"/>
      <c r="R481" s="303"/>
      <c r="S481" s="303"/>
      <c r="T481" s="303"/>
      <c r="U481" s="303"/>
      <c r="V481" s="303"/>
      <c r="W481" s="303"/>
      <c r="X481" s="303"/>
      <c r="Y481" s="168"/>
    </row>
    <row r="482" spans="5:25" s="114" customFormat="1">
      <c r="E482" s="167"/>
      <c r="F482" s="115"/>
      <c r="J482" s="302"/>
      <c r="K482" s="302"/>
      <c r="P482" s="167"/>
      <c r="Q482" s="115"/>
      <c r="R482" s="303"/>
      <c r="S482" s="303"/>
      <c r="T482" s="303"/>
      <c r="U482" s="303"/>
      <c r="V482" s="303"/>
      <c r="W482" s="303"/>
      <c r="X482" s="303"/>
      <c r="Y482" s="168"/>
    </row>
    <row r="483" spans="5:25" s="114" customFormat="1">
      <c r="E483" s="167"/>
      <c r="F483" s="115"/>
      <c r="J483" s="302"/>
      <c r="K483" s="302"/>
      <c r="P483" s="167"/>
      <c r="Q483" s="115"/>
      <c r="R483" s="303"/>
      <c r="S483" s="303"/>
      <c r="T483" s="303"/>
      <c r="U483" s="303"/>
      <c r="V483" s="303"/>
      <c r="W483" s="303"/>
      <c r="X483" s="303"/>
      <c r="Y483" s="168"/>
    </row>
    <row r="484" spans="5:25" s="114" customFormat="1">
      <c r="E484" s="167"/>
      <c r="F484" s="115"/>
      <c r="J484" s="302"/>
      <c r="K484" s="302"/>
      <c r="P484" s="167"/>
      <c r="Q484" s="115"/>
      <c r="R484" s="303"/>
      <c r="S484" s="303"/>
      <c r="T484" s="303"/>
      <c r="U484" s="303"/>
      <c r="V484" s="303"/>
      <c r="W484" s="303"/>
      <c r="X484" s="303"/>
      <c r="Y484" s="168"/>
    </row>
    <row r="485" spans="5:25" s="114" customFormat="1">
      <c r="E485" s="167"/>
      <c r="F485" s="115"/>
      <c r="J485" s="302"/>
      <c r="K485" s="302"/>
      <c r="P485" s="167"/>
      <c r="Q485" s="115"/>
      <c r="R485" s="303"/>
      <c r="S485" s="303"/>
      <c r="T485" s="303"/>
      <c r="U485" s="303"/>
      <c r="V485" s="303"/>
      <c r="W485" s="303"/>
      <c r="X485" s="303"/>
      <c r="Y485" s="168"/>
    </row>
    <row r="486" spans="5:25" s="114" customFormat="1">
      <c r="E486" s="167"/>
      <c r="F486" s="115"/>
      <c r="J486" s="302"/>
      <c r="K486" s="302"/>
      <c r="P486" s="167"/>
      <c r="Q486" s="115"/>
      <c r="R486" s="303"/>
      <c r="S486" s="303"/>
      <c r="T486" s="303"/>
      <c r="U486" s="303"/>
      <c r="V486" s="303"/>
      <c r="W486" s="303"/>
      <c r="X486" s="303"/>
      <c r="Y486" s="168"/>
    </row>
    <row r="487" spans="5:25" s="114" customFormat="1">
      <c r="E487" s="167"/>
      <c r="F487" s="115"/>
      <c r="J487" s="302"/>
      <c r="K487" s="302"/>
      <c r="P487" s="167"/>
      <c r="Q487" s="115"/>
      <c r="R487" s="303"/>
      <c r="S487" s="303"/>
      <c r="T487" s="303"/>
      <c r="U487" s="303"/>
      <c r="V487" s="303"/>
      <c r="W487" s="303"/>
      <c r="X487" s="303"/>
      <c r="Y487" s="168"/>
    </row>
    <row r="488" spans="5:25" s="114" customFormat="1">
      <c r="E488" s="167"/>
      <c r="F488" s="115"/>
      <c r="J488" s="302"/>
      <c r="K488" s="302"/>
      <c r="P488" s="167"/>
      <c r="Q488" s="115"/>
      <c r="R488" s="303"/>
      <c r="S488" s="303"/>
      <c r="T488" s="303"/>
      <c r="U488" s="303"/>
      <c r="V488" s="303"/>
      <c r="W488" s="303"/>
      <c r="X488" s="303"/>
      <c r="Y488" s="168"/>
    </row>
    <row r="489" spans="5:25" s="114" customFormat="1">
      <c r="E489" s="167"/>
      <c r="F489" s="115"/>
      <c r="J489" s="302"/>
      <c r="K489" s="302"/>
      <c r="P489" s="167"/>
      <c r="Q489" s="115"/>
      <c r="R489" s="303"/>
      <c r="S489" s="303"/>
      <c r="T489" s="303"/>
      <c r="U489" s="303"/>
      <c r="V489" s="303"/>
      <c r="W489" s="303"/>
      <c r="X489" s="303"/>
      <c r="Y489" s="168"/>
    </row>
    <row r="490" spans="5:25" s="114" customFormat="1">
      <c r="E490" s="167"/>
      <c r="F490" s="115"/>
      <c r="J490" s="302"/>
      <c r="K490" s="302"/>
      <c r="P490" s="167"/>
      <c r="Q490" s="115"/>
      <c r="R490" s="303"/>
      <c r="S490" s="303"/>
      <c r="T490" s="303"/>
      <c r="U490" s="303"/>
      <c r="V490" s="303"/>
      <c r="W490" s="303"/>
      <c r="X490" s="303"/>
      <c r="Y490" s="168"/>
    </row>
    <row r="491" spans="5:25" s="114" customFormat="1">
      <c r="E491" s="167"/>
      <c r="F491" s="115"/>
      <c r="J491" s="302"/>
      <c r="K491" s="302"/>
      <c r="P491" s="167"/>
      <c r="Q491" s="115"/>
      <c r="R491" s="303"/>
      <c r="S491" s="303"/>
      <c r="T491" s="303"/>
      <c r="U491" s="303"/>
      <c r="V491" s="303"/>
      <c r="W491" s="303"/>
      <c r="X491" s="303"/>
      <c r="Y491" s="168"/>
    </row>
    <row r="492" spans="5:25" s="114" customFormat="1">
      <c r="E492" s="167"/>
      <c r="F492" s="115"/>
      <c r="J492" s="302"/>
      <c r="K492" s="302"/>
      <c r="P492" s="167"/>
      <c r="Q492" s="115"/>
      <c r="R492" s="303"/>
      <c r="S492" s="303"/>
      <c r="T492" s="303"/>
      <c r="U492" s="303"/>
      <c r="V492" s="303"/>
      <c r="W492" s="303"/>
      <c r="X492" s="303"/>
      <c r="Y492" s="168"/>
    </row>
    <row r="493" spans="5:25" s="114" customFormat="1">
      <c r="E493" s="167"/>
      <c r="F493" s="115"/>
      <c r="J493" s="302"/>
      <c r="K493" s="302"/>
      <c r="P493" s="167"/>
      <c r="Q493" s="115"/>
      <c r="R493" s="303"/>
      <c r="S493" s="303"/>
      <c r="T493" s="303"/>
      <c r="U493" s="303"/>
      <c r="V493" s="303"/>
      <c r="W493" s="303"/>
      <c r="X493" s="303"/>
      <c r="Y493" s="168"/>
    </row>
    <row r="494" spans="5:25" s="114" customFormat="1">
      <c r="E494" s="167"/>
      <c r="F494" s="115"/>
      <c r="J494" s="302"/>
      <c r="K494" s="302"/>
      <c r="P494" s="167"/>
      <c r="Q494" s="115"/>
      <c r="R494" s="303"/>
      <c r="S494" s="303"/>
      <c r="T494" s="303"/>
      <c r="U494" s="303"/>
      <c r="V494" s="303"/>
      <c r="W494" s="303"/>
      <c r="X494" s="303"/>
      <c r="Y494" s="168"/>
    </row>
    <row r="495" spans="5:25" s="114" customFormat="1">
      <c r="E495" s="167"/>
      <c r="F495" s="115"/>
      <c r="J495" s="302"/>
      <c r="K495" s="302"/>
      <c r="P495" s="167"/>
      <c r="Q495" s="115"/>
      <c r="R495" s="303"/>
      <c r="S495" s="303"/>
      <c r="T495" s="303"/>
      <c r="U495" s="303"/>
      <c r="V495" s="303"/>
      <c r="W495" s="303"/>
      <c r="X495" s="303"/>
      <c r="Y495" s="168"/>
    </row>
    <row r="496" spans="5:25" s="114" customFormat="1">
      <c r="E496" s="167"/>
      <c r="F496" s="115"/>
      <c r="J496" s="302"/>
      <c r="K496" s="302"/>
      <c r="P496" s="167"/>
      <c r="Q496" s="115"/>
      <c r="R496" s="303"/>
      <c r="S496" s="303"/>
      <c r="T496" s="303"/>
      <c r="U496" s="303"/>
      <c r="V496" s="303"/>
      <c r="W496" s="303"/>
      <c r="X496" s="303"/>
      <c r="Y496" s="168"/>
    </row>
    <row r="497" spans="5:25" s="114" customFormat="1">
      <c r="E497" s="167"/>
      <c r="F497" s="115"/>
      <c r="J497" s="302"/>
      <c r="K497" s="302"/>
      <c r="P497" s="167"/>
      <c r="Q497" s="115"/>
      <c r="R497" s="303"/>
      <c r="S497" s="303"/>
      <c r="T497" s="303"/>
      <c r="U497" s="303"/>
      <c r="V497" s="303"/>
      <c r="W497" s="303"/>
      <c r="X497" s="303"/>
      <c r="Y497" s="168"/>
    </row>
    <row r="498" spans="5:25" s="114" customFormat="1">
      <c r="E498" s="167"/>
      <c r="F498" s="115"/>
      <c r="J498" s="302"/>
      <c r="K498" s="302"/>
      <c r="P498" s="167"/>
      <c r="Q498" s="115"/>
      <c r="R498" s="303"/>
      <c r="S498" s="303"/>
      <c r="T498" s="303"/>
      <c r="U498" s="303"/>
      <c r="V498" s="303"/>
      <c r="W498" s="303"/>
      <c r="X498" s="303"/>
      <c r="Y498" s="168"/>
    </row>
    <row r="499" spans="5:25" s="114" customFormat="1">
      <c r="E499" s="167"/>
      <c r="F499" s="115"/>
      <c r="J499" s="302"/>
      <c r="K499" s="302"/>
      <c r="P499" s="167"/>
      <c r="Q499" s="115"/>
      <c r="R499" s="303"/>
      <c r="S499" s="303"/>
      <c r="T499" s="303"/>
      <c r="U499" s="303"/>
      <c r="V499" s="303"/>
      <c r="W499" s="303"/>
      <c r="X499" s="303"/>
      <c r="Y499" s="168"/>
    </row>
    <row r="500" spans="5:25" s="114" customFormat="1">
      <c r="E500" s="167"/>
      <c r="F500" s="115"/>
      <c r="J500" s="302"/>
      <c r="K500" s="302"/>
      <c r="P500" s="167"/>
      <c r="Q500" s="115"/>
      <c r="R500" s="303"/>
      <c r="S500" s="303"/>
      <c r="T500" s="303"/>
      <c r="U500" s="303"/>
      <c r="V500" s="303"/>
      <c r="W500" s="303"/>
      <c r="X500" s="303"/>
      <c r="Y500" s="168"/>
    </row>
    <row r="501" spans="5:25" s="114" customFormat="1">
      <c r="E501" s="167"/>
      <c r="F501" s="115"/>
      <c r="J501" s="302"/>
      <c r="K501" s="302"/>
      <c r="P501" s="167"/>
      <c r="Q501" s="115"/>
      <c r="R501" s="303"/>
      <c r="S501" s="303"/>
      <c r="T501" s="303"/>
      <c r="U501" s="303"/>
      <c r="V501" s="303"/>
      <c r="W501" s="303"/>
      <c r="X501" s="303"/>
      <c r="Y501" s="168"/>
    </row>
    <row r="502" spans="5:25" s="114" customFormat="1">
      <c r="E502" s="167"/>
      <c r="F502" s="115"/>
      <c r="J502" s="302"/>
      <c r="K502" s="302"/>
      <c r="P502" s="167"/>
      <c r="Q502" s="115"/>
      <c r="R502" s="303"/>
      <c r="S502" s="303"/>
      <c r="T502" s="303"/>
      <c r="U502" s="303"/>
      <c r="V502" s="303"/>
      <c r="W502" s="303"/>
      <c r="X502" s="303"/>
      <c r="Y502" s="168"/>
    </row>
    <row r="503" spans="5:25" s="114" customFormat="1">
      <c r="E503" s="167"/>
      <c r="F503" s="115"/>
      <c r="J503" s="302"/>
      <c r="K503" s="302"/>
      <c r="P503" s="167"/>
      <c r="Q503" s="115"/>
      <c r="R503" s="303"/>
      <c r="S503" s="303"/>
      <c r="T503" s="303"/>
      <c r="U503" s="303"/>
      <c r="V503" s="303"/>
      <c r="W503" s="303"/>
      <c r="X503" s="303"/>
      <c r="Y503" s="168"/>
    </row>
    <row r="504" spans="5:25" s="114" customFormat="1">
      <c r="E504" s="167"/>
      <c r="F504" s="115"/>
      <c r="J504" s="302"/>
      <c r="K504" s="302"/>
      <c r="P504" s="167"/>
      <c r="Q504" s="115"/>
      <c r="R504" s="303"/>
      <c r="S504" s="303"/>
      <c r="T504" s="303"/>
      <c r="U504" s="303"/>
      <c r="V504" s="303"/>
      <c r="W504" s="303"/>
      <c r="X504" s="303"/>
      <c r="Y504" s="168"/>
    </row>
    <row r="505" spans="5:25" s="114" customFormat="1">
      <c r="E505" s="167"/>
      <c r="F505" s="115"/>
      <c r="J505" s="302"/>
      <c r="K505" s="302"/>
      <c r="P505" s="167"/>
      <c r="Q505" s="115"/>
      <c r="R505" s="303"/>
      <c r="S505" s="303"/>
      <c r="T505" s="303"/>
      <c r="U505" s="303"/>
      <c r="V505" s="303"/>
      <c r="W505" s="303"/>
      <c r="X505" s="303"/>
      <c r="Y505" s="168"/>
    </row>
    <row r="506" spans="5:25" s="114" customFormat="1">
      <c r="E506" s="167"/>
      <c r="F506" s="115"/>
      <c r="J506" s="302"/>
      <c r="K506" s="302"/>
      <c r="P506" s="167"/>
      <c r="Q506" s="115"/>
      <c r="R506" s="303"/>
      <c r="S506" s="303"/>
      <c r="T506" s="303"/>
      <c r="U506" s="303"/>
      <c r="V506" s="303"/>
      <c r="W506" s="303"/>
      <c r="X506" s="303"/>
      <c r="Y506" s="168"/>
    </row>
    <row r="507" spans="5:25" s="114" customFormat="1">
      <c r="E507" s="167"/>
      <c r="F507" s="115"/>
      <c r="J507" s="302"/>
      <c r="K507" s="302"/>
      <c r="P507" s="167"/>
      <c r="Q507" s="115"/>
      <c r="R507" s="303"/>
      <c r="S507" s="303"/>
      <c r="T507" s="303"/>
      <c r="U507" s="303"/>
      <c r="V507" s="303"/>
      <c r="W507" s="303"/>
      <c r="X507" s="303"/>
      <c r="Y507" s="168"/>
    </row>
    <row r="508" spans="5:25" s="114" customFormat="1">
      <c r="E508" s="167"/>
      <c r="F508" s="115"/>
      <c r="J508" s="302"/>
      <c r="K508" s="302"/>
      <c r="P508" s="167"/>
      <c r="Q508" s="115"/>
      <c r="R508" s="303"/>
      <c r="S508" s="303"/>
      <c r="T508" s="303"/>
      <c r="U508" s="303"/>
      <c r="V508" s="303"/>
      <c r="W508" s="303"/>
      <c r="X508" s="303"/>
      <c r="Y508" s="168"/>
    </row>
    <row r="509" spans="5:25" s="114" customFormat="1">
      <c r="E509" s="167"/>
      <c r="F509" s="115"/>
      <c r="J509" s="302"/>
      <c r="K509" s="302"/>
      <c r="P509" s="167"/>
      <c r="Q509" s="115"/>
      <c r="R509" s="303"/>
      <c r="S509" s="303"/>
      <c r="T509" s="303"/>
      <c r="U509" s="303"/>
      <c r="V509" s="303"/>
      <c r="W509" s="303"/>
      <c r="X509" s="303"/>
      <c r="Y509" s="168"/>
    </row>
    <row r="510" spans="5:25" s="114" customFormat="1">
      <c r="E510" s="167"/>
      <c r="F510" s="115"/>
      <c r="J510" s="302"/>
      <c r="K510" s="302"/>
      <c r="P510" s="167"/>
      <c r="Q510" s="115"/>
      <c r="R510" s="303"/>
      <c r="S510" s="303"/>
      <c r="T510" s="303"/>
      <c r="U510" s="303"/>
      <c r="V510" s="303"/>
      <c r="W510" s="303"/>
      <c r="X510" s="303"/>
      <c r="Y510" s="168"/>
    </row>
    <row r="511" spans="5:25">
      <c r="R511" s="303"/>
      <c r="S511" s="303"/>
      <c r="T511" s="303"/>
      <c r="U511" s="303"/>
      <c r="V511" s="303"/>
      <c r="W511" s="303"/>
      <c r="X511" s="303"/>
    </row>
    <row r="512" spans="5:25">
      <c r="R512" s="303"/>
      <c r="S512" s="303"/>
      <c r="T512" s="303"/>
      <c r="U512" s="303"/>
      <c r="V512" s="303"/>
      <c r="W512" s="303"/>
      <c r="X512" s="303"/>
    </row>
    <row r="513" spans="23:24">
      <c r="W513" s="303"/>
      <c r="X513" s="303"/>
    </row>
  </sheetData>
  <sheetProtection formatCells="0" formatColumns="0" formatRows="0" insertColumns="0" insertRows="0" insertHyperlinks="0" deleteColumns="0" deleteRows="0" sort="0" autoFilter="0" pivotTables="0"/>
  <mergeCells count="77">
    <mergeCell ref="Y142:Y143"/>
    <mergeCell ref="Y136:Y140"/>
    <mergeCell ref="Y40:Y41"/>
    <mergeCell ref="Y66:Y67"/>
    <mergeCell ref="Y44:Y51"/>
    <mergeCell ref="Y89:Y96"/>
    <mergeCell ref="Y26:Y33"/>
    <mergeCell ref="Y78:Y84"/>
    <mergeCell ref="Y63:Y64"/>
    <mergeCell ref="Y68:Y69"/>
    <mergeCell ref="K23:K33"/>
    <mergeCell ref="K35:K41"/>
    <mergeCell ref="K43:K51"/>
    <mergeCell ref="K66:K76"/>
    <mergeCell ref="X53:X64"/>
    <mergeCell ref="K53:K64"/>
    <mergeCell ref="V53:V64"/>
    <mergeCell ref="Y54:Y57"/>
    <mergeCell ref="X43:X51"/>
    <mergeCell ref="V35:V41"/>
    <mergeCell ref="V43:V51"/>
    <mergeCell ref="K129:K150"/>
    <mergeCell ref="J23:J33"/>
    <mergeCell ref="J35:J41"/>
    <mergeCell ref="J43:J51"/>
    <mergeCell ref="J66:J76"/>
    <mergeCell ref="J78:J85"/>
    <mergeCell ref="J53:J64"/>
    <mergeCell ref="J118:J127"/>
    <mergeCell ref="J129:J150"/>
    <mergeCell ref="K87:K98"/>
    <mergeCell ref="K100:K105"/>
    <mergeCell ref="K110:K116"/>
    <mergeCell ref="K118:K127"/>
    <mergeCell ref="J87:J98"/>
    <mergeCell ref="J100:J105"/>
    <mergeCell ref="S2:W2"/>
    <mergeCell ref="V6:V11"/>
    <mergeCell ref="V13:V16"/>
    <mergeCell ref="V18:V21"/>
    <mergeCell ref="V23:V33"/>
    <mergeCell ref="B2:H2"/>
    <mergeCell ref="M2:R2"/>
    <mergeCell ref="J6:J11"/>
    <mergeCell ref="J13:J16"/>
    <mergeCell ref="J18:J21"/>
    <mergeCell ref="K6:K11"/>
    <mergeCell ref="K13:K16"/>
    <mergeCell ref="K18:K21"/>
    <mergeCell ref="X6:X11"/>
    <mergeCell ref="X13:X16"/>
    <mergeCell ref="X18:X21"/>
    <mergeCell ref="X23:X33"/>
    <mergeCell ref="X35:X41"/>
    <mergeCell ref="V110:V116"/>
    <mergeCell ref="X107:X108"/>
    <mergeCell ref="V118:V127"/>
    <mergeCell ref="X87:X98"/>
    <mergeCell ref="V129:V150"/>
    <mergeCell ref="X118:X127"/>
    <mergeCell ref="X129:X150"/>
    <mergeCell ref="Y146:Y147"/>
    <mergeCell ref="I110:I116"/>
    <mergeCell ref="J110:J116"/>
    <mergeCell ref="X110:X116"/>
    <mergeCell ref="X66:X76"/>
    <mergeCell ref="X78:X85"/>
    <mergeCell ref="X100:X105"/>
    <mergeCell ref="I107:I108"/>
    <mergeCell ref="J107:J108"/>
    <mergeCell ref="K107:K108"/>
    <mergeCell ref="L107:L108"/>
    <mergeCell ref="V66:V76"/>
    <mergeCell ref="V78:V85"/>
    <mergeCell ref="V87:V98"/>
    <mergeCell ref="V100:V105"/>
    <mergeCell ref="K78:K85"/>
  </mergeCells>
  <phoneticPr fontId="19" type="noConversion"/>
  <conditionalFormatting sqref="K4">
    <cfRule type="containsText" dxfId="17" priority="2" operator="containsText" text="ERROR">
      <formula>NOT(ISERROR(SEARCH("ERROR",K4)))</formula>
    </cfRule>
  </conditionalFormatting>
  <conditionalFormatting sqref="V35:V41">
    <cfRule type="cellIs" dxfId="16" priority="1" operator="notEqual">
      <formula>0</formula>
    </cfRule>
  </conditionalFormatting>
  <conditionalFormatting sqref="W7:W25 W28:W31 W33:W43 W46:W49 W51:W53 W58:W68 W70 W77 W80:W83 W85:W88 W91:W94 W96:W102 W104:W109 W116:W117 W123:W139">
    <cfRule type="timePeriod" dxfId="15" priority="3" timePeriod="thisWeek">
      <formula>AND(TODAY()-ROUNDDOWN(W7,0)&lt;=WEEKDAY(TODAY())-1,ROUNDDOWN(W7,0)-TODAY()&lt;=7-WEEKDAY(TODAY()))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L10" sqref="L10"/>
    </sheetView>
  </sheetViews>
  <sheetFormatPr defaultColWidth="12.5703125" defaultRowHeight="14.45"/>
  <cols>
    <col min="1" max="1" width="39.42578125" style="497" bestFit="1" customWidth="1"/>
    <col min="2" max="2" width="17.42578125" style="498" bestFit="1" customWidth="1"/>
    <col min="3" max="3" width="7.42578125" style="497" bestFit="1" customWidth="1"/>
    <col min="4" max="4" width="12" style="497" bestFit="1" customWidth="1"/>
    <col min="5" max="6" width="14.85546875" style="497" bestFit="1" customWidth="1"/>
    <col min="7" max="7" width="13.42578125" style="497" bestFit="1" customWidth="1"/>
    <col min="8" max="8" width="12" style="497" bestFit="1" customWidth="1"/>
    <col min="9" max="11" width="13.42578125" style="497" bestFit="1" customWidth="1"/>
    <col min="12" max="12" width="10.5703125" style="497" bestFit="1" customWidth="1"/>
    <col min="13" max="13" width="11.5703125" style="497" bestFit="1" customWidth="1"/>
    <col min="14" max="14" width="12" style="497" bestFit="1" customWidth="1"/>
    <col min="15" max="17" width="10.5703125" style="497" bestFit="1" customWidth="1"/>
    <col min="18" max="18" width="16" style="497" bestFit="1" customWidth="1"/>
    <col min="19" max="19" width="13.5703125" style="497" bestFit="1" customWidth="1"/>
    <col min="20" max="16384" width="12.5703125" style="497"/>
  </cols>
  <sheetData>
    <row r="1" spans="1:20">
      <c r="A1" s="519" t="s">
        <v>242</v>
      </c>
      <c r="B1" t="s">
        <v>466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19" t="s">
        <v>467</v>
      </c>
      <c r="B3" s="519" t="s">
        <v>468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19" t="s">
        <v>469</v>
      </c>
      <c r="B4"/>
      <c r="C4" t="s">
        <v>470</v>
      </c>
      <c r="D4" s="625">
        <v>45626</v>
      </c>
      <c r="E4" s="625">
        <v>45657</v>
      </c>
      <c r="F4" s="625">
        <v>45688</v>
      </c>
      <c r="G4" s="625">
        <v>45716</v>
      </c>
      <c r="H4" s="625">
        <v>45747</v>
      </c>
      <c r="I4" s="625">
        <v>45777</v>
      </c>
      <c r="J4" s="625">
        <v>45808</v>
      </c>
      <c r="K4" s="625">
        <v>45838</v>
      </c>
      <c r="L4" s="625">
        <v>45869</v>
      </c>
      <c r="M4" s="625">
        <v>46022</v>
      </c>
      <c r="N4" s="625">
        <v>45900</v>
      </c>
      <c r="O4" s="625">
        <v>45930</v>
      </c>
      <c r="P4" s="625">
        <v>46053</v>
      </c>
      <c r="Q4" s="625">
        <v>46081</v>
      </c>
      <c r="R4" t="s">
        <v>471</v>
      </c>
      <c r="S4"/>
      <c r="T4"/>
    </row>
    <row r="5" spans="1:20">
      <c r="A5" s="520" t="s">
        <v>470</v>
      </c>
      <c r="B5" s="521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/>
      <c r="T5"/>
    </row>
    <row r="6" spans="1:20">
      <c r="A6" s="520" t="s">
        <v>406</v>
      </c>
      <c r="B6" s="521"/>
      <c r="C6" s="521"/>
      <c r="D6" s="521"/>
      <c r="E6" s="521"/>
      <c r="F6" s="521"/>
      <c r="G6" s="521"/>
      <c r="H6" s="521"/>
      <c r="I6" s="521"/>
      <c r="J6" s="521"/>
      <c r="K6" s="521"/>
      <c r="L6" s="521"/>
      <c r="M6" s="521"/>
      <c r="N6" s="521"/>
      <c r="O6" s="521"/>
      <c r="P6" s="521"/>
      <c r="Q6" s="521"/>
      <c r="R6" s="521"/>
      <c r="S6"/>
      <c r="T6"/>
    </row>
    <row r="7" spans="1:20">
      <c r="A7" s="520" t="s">
        <v>248</v>
      </c>
      <c r="B7" s="521">
        <v>0</v>
      </c>
      <c r="C7" s="521">
        <v>0</v>
      </c>
      <c r="D7" s="521"/>
      <c r="E7" s="521">
        <v>1146065.7029619529</v>
      </c>
      <c r="F7" s="521">
        <v>25234.91</v>
      </c>
      <c r="G7" s="521"/>
      <c r="H7" s="521"/>
      <c r="I7" s="521"/>
      <c r="J7" s="521"/>
      <c r="K7" s="521"/>
      <c r="L7" s="521"/>
      <c r="M7" s="521"/>
      <c r="N7" s="521"/>
      <c r="O7" s="521"/>
      <c r="P7" s="521"/>
      <c r="Q7" s="521"/>
      <c r="R7" s="521">
        <v>1171300.6129619528</v>
      </c>
      <c r="S7"/>
      <c r="T7"/>
    </row>
    <row r="8" spans="1:20">
      <c r="A8" s="520" t="s">
        <v>261</v>
      </c>
      <c r="B8" s="521"/>
      <c r="C8" s="521">
        <v>0</v>
      </c>
      <c r="D8" s="521"/>
      <c r="E8" s="521">
        <v>179134.84977088645</v>
      </c>
      <c r="F8" s="521"/>
      <c r="G8" s="521"/>
      <c r="H8" s="521">
        <v>49126.024181705885</v>
      </c>
      <c r="I8" s="521"/>
      <c r="J8" s="521"/>
      <c r="K8" s="521"/>
      <c r="L8" s="521"/>
      <c r="M8" s="521"/>
      <c r="N8" s="521"/>
      <c r="O8" s="521"/>
      <c r="P8" s="521">
        <v>0</v>
      </c>
      <c r="Q8" s="521"/>
      <c r="R8" s="521">
        <v>228260.87395259232</v>
      </c>
      <c r="S8"/>
      <c r="T8"/>
    </row>
    <row r="9" spans="1:20">
      <c r="A9" s="520" t="s">
        <v>273</v>
      </c>
      <c r="B9" s="521"/>
      <c r="C9" s="521"/>
      <c r="D9" s="521"/>
      <c r="E9" s="521"/>
      <c r="F9" s="521"/>
      <c r="G9" s="521">
        <v>195847.82608695701</v>
      </c>
      <c r="H9" s="521">
        <v>0</v>
      </c>
      <c r="I9" s="521"/>
      <c r="J9" s="521"/>
      <c r="K9" s="521"/>
      <c r="L9" s="521"/>
      <c r="M9" s="521"/>
      <c r="N9" s="521"/>
      <c r="O9" s="521"/>
      <c r="P9" s="521"/>
      <c r="Q9" s="521"/>
      <c r="R9" s="521">
        <v>195847.82608695701</v>
      </c>
      <c r="S9"/>
      <c r="T9"/>
    </row>
    <row r="10" spans="1:20">
      <c r="A10" s="520" t="s">
        <v>288</v>
      </c>
      <c r="B10" s="521"/>
      <c r="C10" s="521"/>
      <c r="D10" s="521"/>
      <c r="E10" s="521">
        <v>187862.44490114271</v>
      </c>
      <c r="F10" s="521">
        <v>28138.839852839112</v>
      </c>
      <c r="G10" s="521">
        <v>72136.625518857516</v>
      </c>
      <c r="H10" s="521">
        <v>13110.75015871392</v>
      </c>
      <c r="I10" s="521">
        <v>53577.998307211121</v>
      </c>
      <c r="J10" s="521">
        <v>9741.4542376747486</v>
      </c>
      <c r="K10" s="521">
        <v>9741.4542376747486</v>
      </c>
      <c r="L10" s="521"/>
      <c r="M10" s="521"/>
      <c r="N10" s="521"/>
      <c r="O10" s="521"/>
      <c r="P10" s="521"/>
      <c r="Q10" s="521"/>
      <c r="R10" s="521">
        <v>374309.56721411389</v>
      </c>
      <c r="S10"/>
      <c r="T10"/>
    </row>
    <row r="11" spans="1:20">
      <c r="A11" s="520" t="s">
        <v>311</v>
      </c>
      <c r="B11" s="521">
        <v>0</v>
      </c>
      <c r="C11" s="521"/>
      <c r="D11" s="521"/>
      <c r="E11" s="521"/>
      <c r="F11" s="521">
        <v>102996.25917957322</v>
      </c>
      <c r="G11" s="521">
        <v>86134.180461736512</v>
      </c>
      <c r="H11" s="521"/>
      <c r="I11" s="521"/>
      <c r="J11" s="521"/>
      <c r="K11" s="521"/>
      <c r="L11" s="521"/>
      <c r="M11" s="521">
        <v>0</v>
      </c>
      <c r="N11" s="521"/>
      <c r="O11" s="521"/>
      <c r="P11" s="521"/>
      <c r="Q11" s="521"/>
      <c r="R11" s="521">
        <v>189130.43964130973</v>
      </c>
      <c r="S11"/>
      <c r="T11"/>
    </row>
    <row r="12" spans="1:20">
      <c r="A12" s="520" t="s">
        <v>327</v>
      </c>
      <c r="B12" s="521">
        <v>0</v>
      </c>
      <c r="C12" s="521"/>
      <c r="D12" s="521"/>
      <c r="E12" s="521"/>
      <c r="F12" s="521">
        <v>103609.43843338141</v>
      </c>
      <c r="G12" s="521"/>
      <c r="H12" s="521"/>
      <c r="I12" s="521">
        <v>227940.75869642774</v>
      </c>
      <c r="J12" s="521">
        <v>41443.774308441411</v>
      </c>
      <c r="K12" s="521">
        <v>41443.774308441411</v>
      </c>
      <c r="L12" s="521"/>
      <c r="M12" s="521"/>
      <c r="N12" s="521"/>
      <c r="O12" s="521"/>
      <c r="P12" s="521"/>
      <c r="Q12" s="521"/>
      <c r="R12" s="521">
        <v>414437.74574669206</v>
      </c>
      <c r="S12"/>
      <c r="T12"/>
    </row>
    <row r="13" spans="1:20">
      <c r="A13" s="520" t="s">
        <v>360</v>
      </c>
      <c r="B13" s="521"/>
      <c r="C13" s="521">
        <v>0</v>
      </c>
      <c r="D13" s="521"/>
      <c r="E13" s="521">
        <v>84061.766551503446</v>
      </c>
      <c r="F13" s="521"/>
      <c r="G13" s="521"/>
      <c r="H13" s="521">
        <v>9149.5499999999993</v>
      </c>
      <c r="I13" s="521"/>
      <c r="J13" s="521"/>
      <c r="K13" s="521">
        <v>25509.433026121202</v>
      </c>
      <c r="L13" s="521"/>
      <c r="M13" s="521"/>
      <c r="N13" s="521">
        <v>96506.31</v>
      </c>
      <c r="O13" s="521"/>
      <c r="P13" s="521"/>
      <c r="Q13" s="521"/>
      <c r="R13" s="521">
        <v>215227.05957762466</v>
      </c>
      <c r="S13"/>
      <c r="T13"/>
    </row>
    <row r="14" spans="1:20">
      <c r="A14" s="520" t="s">
        <v>383</v>
      </c>
      <c r="B14" s="521"/>
      <c r="C14" s="521"/>
      <c r="D14" s="521"/>
      <c r="E14" s="521"/>
      <c r="F14" s="521">
        <v>100635.29411764702</v>
      </c>
      <c r="G14" s="521"/>
      <c r="H14" s="521"/>
      <c r="I14" s="521">
        <v>221397.64705882344</v>
      </c>
      <c r="J14" s="521">
        <v>40254.117647058811</v>
      </c>
      <c r="K14" s="521">
        <v>40254.117647058811</v>
      </c>
      <c r="L14" s="521"/>
      <c r="M14" s="521"/>
      <c r="N14" s="521"/>
      <c r="O14" s="521"/>
      <c r="P14" s="521"/>
      <c r="Q14" s="521"/>
      <c r="R14" s="521">
        <v>402541.17647058808</v>
      </c>
      <c r="S14"/>
      <c r="T14"/>
    </row>
    <row r="15" spans="1:20">
      <c r="A15" s="520" t="s">
        <v>386</v>
      </c>
      <c r="B15" s="521">
        <v>0</v>
      </c>
      <c r="C15" s="521"/>
      <c r="D15" s="521"/>
      <c r="E15" s="521"/>
      <c r="F15" s="521">
        <v>15197.901895255549</v>
      </c>
      <c r="G15" s="521"/>
      <c r="H15" s="521">
        <v>3161.8131209584194</v>
      </c>
      <c r="I15" s="521">
        <v>33438.401301319791</v>
      </c>
      <c r="J15" s="521">
        <v>5929.6675093308704</v>
      </c>
      <c r="K15" s="521">
        <v>5929.6675093308704</v>
      </c>
      <c r="L15" s="521"/>
      <c r="M15" s="521"/>
      <c r="N15" s="521"/>
      <c r="O15" s="521"/>
      <c r="P15" s="521"/>
      <c r="Q15" s="521"/>
      <c r="R15" s="521">
        <v>63657.451336195503</v>
      </c>
      <c r="S15"/>
      <c r="T15"/>
    </row>
    <row r="16" spans="1:20">
      <c r="A16" s="520" t="s">
        <v>396</v>
      </c>
      <c r="B16" s="521">
        <v>0</v>
      </c>
      <c r="C16" s="521">
        <v>0</v>
      </c>
      <c r="D16" s="521">
        <v>14115.734382012277</v>
      </c>
      <c r="E16" s="521"/>
      <c r="F16" s="521"/>
      <c r="G16" s="521"/>
      <c r="H16" s="521"/>
      <c r="I16" s="521"/>
      <c r="J16" s="521">
        <v>116496.02930531284</v>
      </c>
      <c r="K16" s="521"/>
      <c r="L16" s="521"/>
      <c r="M16" s="521"/>
      <c r="N16" s="521"/>
      <c r="O16" s="521"/>
      <c r="P16" s="521"/>
      <c r="Q16" s="521"/>
      <c r="R16" s="521">
        <v>130611.76368732512</v>
      </c>
      <c r="S16"/>
      <c r="T16"/>
    </row>
    <row r="17" spans="1:20">
      <c r="A17" s="520" t="s">
        <v>409</v>
      </c>
      <c r="B17" s="521"/>
      <c r="C17" s="521"/>
      <c r="D17" s="521"/>
      <c r="E17" s="521"/>
      <c r="F17" s="521"/>
      <c r="G17" s="521"/>
      <c r="H17" s="521"/>
      <c r="I17" s="521"/>
      <c r="J17" s="521">
        <v>272693.57778326701</v>
      </c>
      <c r="K17" s="521"/>
      <c r="L17" s="521"/>
      <c r="M17" s="521"/>
      <c r="N17" s="521"/>
      <c r="O17" s="521"/>
      <c r="P17" s="521"/>
      <c r="Q17" s="521"/>
      <c r="R17" s="521">
        <v>272693.57778326701</v>
      </c>
      <c r="S17"/>
      <c r="T17"/>
    </row>
    <row r="18" spans="1:20">
      <c r="A18" s="520" t="s">
        <v>418</v>
      </c>
      <c r="B18" s="521"/>
      <c r="C18" s="521"/>
      <c r="D18" s="521"/>
      <c r="E18" s="521">
        <v>7754.7473140411212</v>
      </c>
      <c r="F18" s="521">
        <v>7583.8908723643481</v>
      </c>
      <c r="G18" s="521">
        <v>4142.1544216248094</v>
      </c>
      <c r="H18" s="521">
        <v>8392.2079954928231</v>
      </c>
      <c r="I18" s="521">
        <v>7747.5087728269291</v>
      </c>
      <c r="J18" s="521">
        <v>20379.494669769258</v>
      </c>
      <c r="K18" s="521">
        <v>0</v>
      </c>
      <c r="L18" s="521">
        <v>0</v>
      </c>
      <c r="M18" s="521"/>
      <c r="N18" s="521">
        <v>0</v>
      </c>
      <c r="O18" s="521"/>
      <c r="P18" s="521">
        <v>0</v>
      </c>
      <c r="Q18" s="521"/>
      <c r="R18" s="521">
        <v>56000.004046119291</v>
      </c>
      <c r="S18"/>
      <c r="T18"/>
    </row>
    <row r="19" spans="1:20">
      <c r="A19" s="520" t="s">
        <v>422</v>
      </c>
      <c r="B19" s="521"/>
      <c r="C19" s="521"/>
      <c r="D19" s="521"/>
      <c r="E19" s="521"/>
      <c r="F19" s="521"/>
      <c r="G19" s="521"/>
      <c r="H19" s="521"/>
      <c r="I19" s="521"/>
      <c r="J19" s="521"/>
      <c r="K19" s="521"/>
      <c r="L19" s="521"/>
      <c r="M19" s="521"/>
      <c r="N19" s="521"/>
      <c r="O19" s="521"/>
      <c r="P19" s="521"/>
      <c r="Q19" s="521"/>
      <c r="R19" s="521"/>
      <c r="S19"/>
      <c r="T19"/>
    </row>
    <row r="20" spans="1:20">
      <c r="A20" s="520" t="s">
        <v>338</v>
      </c>
      <c r="B20" s="521"/>
      <c r="C20" s="521">
        <v>0</v>
      </c>
      <c r="D20" s="521"/>
      <c r="E20" s="521"/>
      <c r="F20" s="521">
        <v>7899379.1058307588</v>
      </c>
      <c r="G20" s="521"/>
      <c r="H20" s="521"/>
      <c r="I20" s="521">
        <v>137389.32644613506</v>
      </c>
      <c r="J20" s="521"/>
      <c r="K20" s="521"/>
      <c r="L20" s="521">
        <v>0</v>
      </c>
      <c r="M20" s="521"/>
      <c r="N20" s="521"/>
      <c r="O20" s="521"/>
      <c r="P20" s="521"/>
      <c r="Q20" s="521"/>
      <c r="R20" s="521">
        <v>8036768.4322768934</v>
      </c>
      <c r="S20"/>
      <c r="T20"/>
    </row>
    <row r="21" spans="1:20">
      <c r="A21" s="520" t="s">
        <v>471</v>
      </c>
      <c r="B21" s="521">
        <v>0</v>
      </c>
      <c r="C21" s="521">
        <v>0</v>
      </c>
      <c r="D21" s="521">
        <v>14115.734382012277</v>
      </c>
      <c r="E21" s="521">
        <v>1604879.5114995264</v>
      </c>
      <c r="F21" s="521">
        <v>8282775.640181819</v>
      </c>
      <c r="G21" s="521">
        <v>358260.78648917581</v>
      </c>
      <c r="H21" s="521">
        <v>82940.345456871044</v>
      </c>
      <c r="I21" s="521">
        <v>681491.64058274415</v>
      </c>
      <c r="J21" s="521">
        <v>506938.11546085496</v>
      </c>
      <c r="K21" s="521">
        <v>122878.44672862704</v>
      </c>
      <c r="L21" s="521">
        <v>0</v>
      </c>
      <c r="M21" s="521">
        <v>0</v>
      </c>
      <c r="N21" s="521">
        <v>96506.31</v>
      </c>
      <c r="O21" s="521"/>
      <c r="P21" s="521">
        <v>0</v>
      </c>
      <c r="Q21" s="521"/>
      <c r="R21" s="521">
        <v>11750786.53078163</v>
      </c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14115.73</v>
      </c>
      <c r="E23">
        <v>1520817.74</v>
      </c>
      <c r="F23">
        <v>8282775.6399999997</v>
      </c>
      <c r="G23">
        <v>358260.79</v>
      </c>
      <c r="H23">
        <v>82940.350000000006</v>
      </c>
      <c r="I23">
        <v>681491.64</v>
      </c>
      <c r="J23">
        <v>506938.12</v>
      </c>
      <c r="K23">
        <v>122878.45</v>
      </c>
      <c r="L23"/>
      <c r="M23" s="613">
        <f>SUM(D23:L23)</f>
        <v>11570218.459999997</v>
      </c>
      <c r="N23"/>
      <c r="O23" s="815">
        <f>GETPIVOTDATA("REVENUE RECOGNITION AMOUNT",$A$3)-M23</f>
        <v>180568.07078163326</v>
      </c>
      <c r="P23" s="815"/>
      <c r="Q23"/>
      <c r="R23"/>
      <c r="S23"/>
      <c r="T23"/>
    </row>
    <row r="24" spans="1:20" ht="39.75" customHeight="1">
      <c r="A24"/>
      <c r="B24"/>
      <c r="C24"/>
      <c r="D24" s="613">
        <f>GETPIVOTDATA("REVENUE RECOGNITION AMOUNT",$A$3,"INVOICE RAISED DATE",DATE(2024,11,30))-D23</f>
        <v>4.3820122773468029E-3</v>
      </c>
      <c r="E24" s="613">
        <f>GETPIVOTDATA("REVENUE RECOGNITION AMOUNT",$A$3,"INVOICE RAISED DATE",DATE(2024,12,31))-E23</f>
        <v>84061.771499526454</v>
      </c>
      <c r="F24" s="613">
        <f>GETPIVOTDATA("REVENUE RECOGNITION AMOUNT",$A$3,"INVOICE RAISED DATE",DATE(2025,1,31))-F23</f>
        <v>1.8181931227445602E-4</v>
      </c>
      <c r="G24" s="613">
        <f>GETPIVOTDATA("REVENUE RECOGNITION AMOUNT",$A$3,"INVOICE RAISED DATE",DATE(2025,2,28))-G23</f>
        <v>-3.5108241718262434E-3</v>
      </c>
      <c r="H24" s="613">
        <f>GETPIVOTDATA("REVENUE RECOGNITION AMOUNT",$A$3,"INVOICE RAISED DATE",DATE(2025,3,31))-H23</f>
        <v>-4.5431289618136361E-3</v>
      </c>
      <c r="I24" s="613">
        <f>GETPIVOTDATA("REVENUE RECOGNITION AMOUNT",$A$3,"INVOICE RAISED DATE",DATE(2025,4,30))-I23</f>
        <v>5.8274413459002972E-4</v>
      </c>
      <c r="J24" s="613">
        <f>GETPIVOTDATA("REVENUE RECOGNITION AMOUNT",$A$3,"INVOICE RAISED DATE",DATE(2025,5,31))-J23</f>
        <v>-4.5391450403258204E-3</v>
      </c>
      <c r="K24" s="613">
        <f>GETPIVOTDATA("REVENUE RECOGNITION AMOUNT",$A$3,"INVOICE RAISED DATE",DATE(2025,6,30))-K23</f>
        <v>-3.2713729597162455E-3</v>
      </c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R25"/>
  <sheetViews>
    <sheetView workbookViewId="0">
      <selection activeCell="M13" sqref="M13"/>
    </sheetView>
  </sheetViews>
  <sheetFormatPr defaultColWidth="8.42578125" defaultRowHeight="14.45"/>
  <cols>
    <col min="1" max="1" width="21.5703125" bestFit="1" customWidth="1"/>
    <col min="2" max="2" width="17.42578125" style="613" bestFit="1" customWidth="1"/>
    <col min="3" max="3" width="13.5703125" style="613" bestFit="1" customWidth="1"/>
    <col min="4" max="4" width="12" style="613" bestFit="1" customWidth="1"/>
    <col min="5" max="6" width="14.85546875" style="613" bestFit="1" customWidth="1"/>
    <col min="7" max="8" width="13.42578125" style="613" bestFit="1" customWidth="1"/>
    <col min="9" max="9" width="14.85546875" style="613" bestFit="1" customWidth="1"/>
    <col min="10" max="13" width="13.42578125" bestFit="1" customWidth="1"/>
    <col min="14" max="15" width="12" bestFit="1" customWidth="1"/>
    <col min="16" max="17" width="13" bestFit="1" customWidth="1"/>
    <col min="18" max="18" width="16" bestFit="1" customWidth="1"/>
    <col min="19" max="19" width="13.42578125" bestFit="1" customWidth="1"/>
  </cols>
  <sheetData>
    <row r="3" spans="1:18">
      <c r="A3" s="519" t="s">
        <v>472</v>
      </c>
      <c r="B3" s="519" t="s">
        <v>468</v>
      </c>
      <c r="C3"/>
      <c r="D3"/>
      <c r="E3"/>
      <c r="F3"/>
      <c r="G3"/>
      <c r="H3"/>
      <c r="I3"/>
    </row>
    <row r="4" spans="1:18">
      <c r="A4" s="519" t="s">
        <v>469</v>
      </c>
      <c r="B4" t="s">
        <v>470</v>
      </c>
      <c r="C4"/>
      <c r="D4" s="625">
        <v>45626</v>
      </c>
      <c r="E4" s="625">
        <v>45657</v>
      </c>
      <c r="F4" s="625">
        <v>45688</v>
      </c>
      <c r="G4" s="625">
        <v>45716</v>
      </c>
      <c r="H4" s="625">
        <v>45747</v>
      </c>
      <c r="I4" s="625">
        <v>45777</v>
      </c>
      <c r="J4" s="625">
        <v>45808</v>
      </c>
      <c r="K4" s="625">
        <v>45838</v>
      </c>
      <c r="L4" s="625">
        <v>45869</v>
      </c>
      <c r="M4" s="625">
        <v>45900</v>
      </c>
      <c r="N4" s="625">
        <v>45930</v>
      </c>
      <c r="O4" s="625">
        <v>46022</v>
      </c>
      <c r="P4" s="625">
        <v>46053</v>
      </c>
      <c r="Q4" s="625">
        <v>46081</v>
      </c>
      <c r="R4" t="s">
        <v>471</v>
      </c>
    </row>
    <row r="5" spans="1:18">
      <c r="A5" s="520" t="s">
        <v>406</v>
      </c>
      <c r="B5" s="626"/>
      <c r="C5" s="626"/>
      <c r="D5" s="626"/>
      <c r="E5" s="626"/>
      <c r="F5" s="626"/>
      <c r="G5" s="626"/>
      <c r="H5" s="626"/>
      <c r="I5" s="626"/>
      <c r="J5" s="626"/>
      <c r="K5" s="626"/>
      <c r="L5" s="626"/>
      <c r="M5" s="626"/>
      <c r="N5" s="626"/>
      <c r="O5" s="626"/>
      <c r="P5" s="626"/>
      <c r="Q5" s="626"/>
      <c r="R5" s="626"/>
    </row>
    <row r="6" spans="1:18">
      <c r="A6" s="520" t="s">
        <v>470</v>
      </c>
      <c r="B6" s="626"/>
      <c r="C6" s="626"/>
      <c r="D6" s="626"/>
      <c r="E6" s="626"/>
      <c r="F6" s="626"/>
      <c r="G6" s="626"/>
      <c r="H6" s="626"/>
      <c r="I6" s="626"/>
      <c r="J6" s="626"/>
      <c r="K6" s="626"/>
      <c r="L6" s="626"/>
      <c r="M6" s="626"/>
      <c r="N6" s="626"/>
      <c r="O6" s="626"/>
      <c r="P6" s="626"/>
      <c r="Q6" s="626"/>
      <c r="R6" s="626"/>
    </row>
    <row r="7" spans="1:18">
      <c r="A7" s="520" t="s">
        <v>248</v>
      </c>
      <c r="B7" s="626"/>
      <c r="C7" s="626"/>
      <c r="D7" s="626"/>
      <c r="E7" s="626">
        <v>908317.8</v>
      </c>
      <c r="F7" s="626"/>
      <c r="G7" s="626"/>
      <c r="H7" s="626"/>
      <c r="I7" s="626"/>
      <c r="J7" s="626"/>
      <c r="K7" s="626"/>
      <c r="L7" s="626"/>
      <c r="M7" s="626"/>
      <c r="N7" s="626"/>
      <c r="O7" s="626"/>
      <c r="P7" s="626"/>
      <c r="Q7" s="626"/>
      <c r="R7" s="626">
        <v>908317.8</v>
      </c>
    </row>
    <row r="8" spans="1:18">
      <c r="A8" s="520" t="s">
        <v>261</v>
      </c>
      <c r="B8" s="626"/>
      <c r="C8" s="626"/>
      <c r="D8" s="626"/>
      <c r="E8" s="626">
        <v>206611.05</v>
      </c>
      <c r="F8" s="626"/>
      <c r="G8" s="626"/>
      <c r="H8" s="626">
        <v>43190.78</v>
      </c>
      <c r="I8" s="626"/>
      <c r="J8" s="626"/>
      <c r="K8" s="626"/>
      <c r="L8" s="626"/>
      <c r="M8" s="626"/>
      <c r="N8" s="626"/>
      <c r="O8" s="626"/>
      <c r="P8" s="626">
        <v>-68870</v>
      </c>
      <c r="Q8" s="626"/>
      <c r="R8" s="626">
        <v>180931.83</v>
      </c>
    </row>
    <row r="9" spans="1:18">
      <c r="A9" s="520" t="s">
        <v>273</v>
      </c>
      <c r="B9" s="626"/>
      <c r="C9" s="626"/>
      <c r="D9" s="626"/>
      <c r="E9" s="626"/>
      <c r="F9" s="626"/>
      <c r="G9" s="626">
        <v>84254.7</v>
      </c>
      <c r="H9" s="626">
        <v>2296</v>
      </c>
      <c r="I9" s="626"/>
      <c r="J9" s="626"/>
      <c r="K9" s="626"/>
      <c r="L9" s="626"/>
      <c r="M9" s="626"/>
      <c r="N9" s="626"/>
      <c r="O9" s="626"/>
      <c r="P9" s="626"/>
      <c r="Q9" s="626"/>
      <c r="R9" s="626">
        <v>86550.7</v>
      </c>
    </row>
    <row r="10" spans="1:18">
      <c r="A10" s="520" t="s">
        <v>288</v>
      </c>
      <c r="B10" s="626"/>
      <c r="C10" s="626"/>
      <c r="D10" s="626"/>
      <c r="E10" s="626">
        <v>159600</v>
      </c>
      <c r="F10" s="626">
        <v>23562.5</v>
      </c>
      <c r="G10" s="626">
        <v>53200</v>
      </c>
      <c r="H10" s="626">
        <v>55100</v>
      </c>
      <c r="I10" s="626">
        <v>51837.5</v>
      </c>
      <c r="J10" s="626">
        <v>9425</v>
      </c>
      <c r="K10" s="626">
        <v>9425</v>
      </c>
      <c r="L10" s="626"/>
      <c r="M10" s="626"/>
      <c r="N10" s="626"/>
      <c r="O10" s="626"/>
      <c r="P10" s="626"/>
      <c r="Q10" s="626"/>
      <c r="R10" s="626">
        <v>362150</v>
      </c>
    </row>
    <row r="11" spans="1:18">
      <c r="A11" s="520" t="s">
        <v>311</v>
      </c>
      <c r="B11" s="626"/>
      <c r="C11" s="626"/>
      <c r="D11" s="626"/>
      <c r="E11" s="626"/>
      <c r="F11" s="626">
        <v>25295.040000000001</v>
      </c>
      <c r="G11" s="626">
        <v>27100</v>
      </c>
      <c r="H11" s="626"/>
      <c r="I11" s="626"/>
      <c r="J11" s="626"/>
      <c r="K11" s="626"/>
      <c r="L11" s="626"/>
      <c r="M11" s="626"/>
      <c r="N11" s="626"/>
      <c r="O11" s="626">
        <v>15813</v>
      </c>
      <c r="P11" s="626"/>
      <c r="Q11" s="626"/>
      <c r="R11" s="626">
        <v>68208.040000000008</v>
      </c>
    </row>
    <row r="12" spans="1:18">
      <c r="A12" s="520" t="s">
        <v>327</v>
      </c>
      <c r="B12" s="626"/>
      <c r="C12" s="626"/>
      <c r="D12" s="626"/>
      <c r="E12" s="626"/>
      <c r="F12" s="626">
        <v>291881.92</v>
      </c>
      <c r="G12" s="626"/>
      <c r="H12" s="626"/>
      <c r="I12" s="626">
        <v>642140.20750000002</v>
      </c>
      <c r="J12" s="626">
        <v>116752.765</v>
      </c>
      <c r="K12" s="626">
        <v>116752.765</v>
      </c>
      <c r="L12" s="626"/>
      <c r="M12" s="626"/>
      <c r="N12" s="626"/>
      <c r="O12" s="626"/>
      <c r="P12" s="626"/>
      <c r="Q12" s="626"/>
      <c r="R12" s="626">
        <v>1167527.6574999997</v>
      </c>
    </row>
    <row r="13" spans="1:18">
      <c r="A13" s="520" t="s">
        <v>360</v>
      </c>
      <c r="B13" s="626"/>
      <c r="C13" s="626"/>
      <c r="D13" s="626"/>
      <c r="E13" s="626">
        <v>135656</v>
      </c>
      <c r="F13" s="626"/>
      <c r="G13" s="626"/>
      <c r="H13" s="626">
        <v>6715</v>
      </c>
      <c r="I13" s="626"/>
      <c r="J13" s="626"/>
      <c r="K13" s="626">
        <v>22794.36</v>
      </c>
      <c r="L13" s="626">
        <v>365.11</v>
      </c>
      <c r="M13" s="626">
        <v>147520.85</v>
      </c>
      <c r="N13" s="626"/>
      <c r="O13" s="626"/>
      <c r="P13" s="626"/>
      <c r="Q13" s="626"/>
      <c r="R13" s="626">
        <v>313051.31999999995</v>
      </c>
    </row>
    <row r="14" spans="1:18">
      <c r="A14" s="520" t="s">
        <v>383</v>
      </c>
      <c r="B14" s="626"/>
      <c r="C14" s="626"/>
      <c r="D14" s="626"/>
      <c r="E14" s="626"/>
      <c r="F14" s="626">
        <v>169238</v>
      </c>
      <c r="G14" s="626"/>
      <c r="H14" s="626"/>
      <c r="I14" s="626">
        <v>372323.60000000003</v>
      </c>
      <c r="J14" s="626">
        <v>67695.199999999997</v>
      </c>
      <c r="K14" s="626">
        <v>67695.199999999997</v>
      </c>
      <c r="L14" s="626"/>
      <c r="M14" s="626"/>
      <c r="N14" s="626"/>
      <c r="O14" s="626"/>
      <c r="P14" s="626"/>
      <c r="Q14" s="626"/>
      <c r="R14" s="626">
        <v>676952</v>
      </c>
    </row>
    <row r="15" spans="1:18">
      <c r="A15" s="520" t="s">
        <v>386</v>
      </c>
      <c r="B15" s="626"/>
      <c r="C15" s="626"/>
      <c r="D15" s="626"/>
      <c r="E15" s="626"/>
      <c r="F15" s="626">
        <v>22809.25</v>
      </c>
      <c r="G15" s="626"/>
      <c r="H15" s="626">
        <v>23400</v>
      </c>
      <c r="I15" s="626">
        <v>50180.350000000006</v>
      </c>
      <c r="J15" s="626">
        <v>9123.7000000000007</v>
      </c>
      <c r="K15" s="626">
        <v>9123.7000000000007</v>
      </c>
      <c r="L15" s="626"/>
      <c r="M15" s="626"/>
      <c r="N15" s="626"/>
      <c r="O15" s="626"/>
      <c r="P15" s="626"/>
      <c r="Q15" s="626"/>
      <c r="R15" s="626">
        <v>114637</v>
      </c>
    </row>
    <row r="16" spans="1:18">
      <c r="A16" s="520" t="s">
        <v>396</v>
      </c>
      <c r="B16" s="626"/>
      <c r="C16" s="626"/>
      <c r="D16" s="626">
        <v>11026.4</v>
      </c>
      <c r="E16" s="626"/>
      <c r="F16" s="626"/>
      <c r="G16" s="626"/>
      <c r="H16" s="626"/>
      <c r="I16" s="626"/>
      <c r="J16" s="626">
        <v>27732.67</v>
      </c>
      <c r="K16" s="626"/>
      <c r="L16" s="626"/>
      <c r="M16" s="626"/>
      <c r="N16" s="626"/>
      <c r="O16" s="626"/>
      <c r="P16" s="626"/>
      <c r="Q16" s="626"/>
      <c r="R16" s="626">
        <v>38759.07</v>
      </c>
    </row>
    <row r="17" spans="1:18">
      <c r="A17" s="520" t="s">
        <v>409</v>
      </c>
      <c r="B17" s="626"/>
      <c r="C17" s="626"/>
      <c r="D17" s="626"/>
      <c r="E17" s="626"/>
      <c r="F17" s="626"/>
      <c r="G17" s="626"/>
      <c r="H17" s="626"/>
      <c r="I17" s="626"/>
      <c r="J17" s="626">
        <v>144194.49313795625</v>
      </c>
      <c r="K17" s="626"/>
      <c r="L17" s="626"/>
      <c r="M17" s="626"/>
      <c r="N17" s="626"/>
      <c r="O17" s="626"/>
      <c r="P17" s="626"/>
      <c r="Q17" s="626"/>
      <c r="R17" s="626">
        <v>144194.49313795625</v>
      </c>
    </row>
    <row r="18" spans="1:18">
      <c r="A18" s="520" t="s">
        <v>418</v>
      </c>
      <c r="B18" s="626"/>
      <c r="C18" s="626"/>
      <c r="D18" s="626"/>
      <c r="E18" s="626">
        <v>6375.86</v>
      </c>
      <c r="F18" s="626">
        <v>5594.87</v>
      </c>
      <c r="G18" s="626">
        <v>725.13</v>
      </c>
      <c r="H18" s="626">
        <v>4534.32</v>
      </c>
      <c r="I18" s="626">
        <v>4040.3</v>
      </c>
      <c r="J18" s="626">
        <v>10015.219999999999</v>
      </c>
      <c r="K18" s="626">
        <v>5888.6900000000005</v>
      </c>
      <c r="L18" s="626">
        <v>6060.2199999999993</v>
      </c>
      <c r="M18" s="626">
        <v>20384.45</v>
      </c>
      <c r="N18" s="626"/>
      <c r="O18" s="626"/>
      <c r="P18" s="626">
        <v>3613.64</v>
      </c>
      <c r="Q18" s="626"/>
      <c r="R18" s="626">
        <v>67232.7</v>
      </c>
    </row>
    <row r="19" spans="1:18">
      <c r="A19" s="520" t="s">
        <v>422</v>
      </c>
      <c r="B19" s="626"/>
      <c r="C19" s="626"/>
      <c r="D19" s="626"/>
      <c r="E19" s="626"/>
      <c r="F19" s="626"/>
      <c r="G19" s="626"/>
      <c r="H19" s="626"/>
      <c r="I19" s="626">
        <v>190762.14</v>
      </c>
      <c r="J19" s="626"/>
      <c r="K19" s="626">
        <v>267.01</v>
      </c>
      <c r="L19" s="626">
        <v>286244.26</v>
      </c>
      <c r="M19" s="626">
        <v>282391</v>
      </c>
      <c r="N19" s="626">
        <v>14110</v>
      </c>
      <c r="O19" s="626"/>
      <c r="P19" s="626">
        <v>267135.65000000002</v>
      </c>
      <c r="Q19" s="626">
        <v>128005.64</v>
      </c>
      <c r="R19" s="626">
        <v>1168915.7</v>
      </c>
    </row>
    <row r="20" spans="1:18">
      <c r="A20" s="520" t="s">
        <v>338</v>
      </c>
      <c r="B20" s="626">
        <v>0</v>
      </c>
      <c r="C20" s="626"/>
      <c r="D20" s="626"/>
      <c r="E20" s="626"/>
      <c r="F20" s="626">
        <v>6324594</v>
      </c>
      <c r="G20" s="626"/>
      <c r="H20" s="626"/>
      <c r="I20" s="626">
        <v>41290</v>
      </c>
      <c r="J20" s="626"/>
      <c r="K20" s="626"/>
      <c r="L20" s="626">
        <v>20645</v>
      </c>
      <c r="M20" s="626"/>
      <c r="N20" s="626"/>
      <c r="O20" s="626"/>
      <c r="P20" s="626"/>
      <c r="Q20" s="626"/>
      <c r="R20" s="626">
        <v>6386529</v>
      </c>
    </row>
    <row r="21" spans="1:18">
      <c r="A21" s="520" t="s">
        <v>471</v>
      </c>
      <c r="B21" s="626">
        <v>0</v>
      </c>
      <c r="C21" s="626"/>
      <c r="D21" s="626">
        <v>11026.4</v>
      </c>
      <c r="E21" s="626">
        <v>1416560.7100000002</v>
      </c>
      <c r="F21" s="626">
        <v>6862975.5800000001</v>
      </c>
      <c r="G21" s="626">
        <v>165279.83000000002</v>
      </c>
      <c r="H21" s="626">
        <v>135236.1</v>
      </c>
      <c r="I21" s="626">
        <v>1352574.0975000001</v>
      </c>
      <c r="J21" s="626">
        <v>384939.04813795624</v>
      </c>
      <c r="K21" s="626">
        <v>231946.72500000003</v>
      </c>
      <c r="L21" s="626">
        <v>313314.59000000003</v>
      </c>
      <c r="M21" s="626">
        <v>450296.30000000005</v>
      </c>
      <c r="N21" s="626">
        <v>14110</v>
      </c>
      <c r="O21" s="626">
        <v>15813</v>
      </c>
      <c r="P21" s="626">
        <v>201879.29000000004</v>
      </c>
      <c r="Q21" s="626">
        <v>128005.64</v>
      </c>
      <c r="R21" s="626">
        <v>11683957.310637955</v>
      </c>
    </row>
    <row r="22" spans="1:18">
      <c r="B22"/>
      <c r="C22"/>
      <c r="D22"/>
      <c r="E22"/>
      <c r="F22"/>
      <c r="G22"/>
      <c r="H22"/>
      <c r="I22"/>
    </row>
    <row r="23" spans="1:18">
      <c r="B23"/>
      <c r="C23"/>
      <c r="D23"/>
      <c r="E23"/>
      <c r="F23"/>
      <c r="G23"/>
      <c r="H23"/>
      <c r="I23"/>
    </row>
    <row r="24" spans="1:18">
      <c r="B24"/>
      <c r="C24"/>
      <c r="D24"/>
      <c r="E24"/>
      <c r="F24"/>
      <c r="G24"/>
      <c r="H24"/>
      <c r="I24"/>
    </row>
    <row r="25" spans="1:18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1" t="s">
        <v>473</v>
      </c>
    </row>
    <row r="2" spans="1:4">
      <c r="A2" s="968"/>
      <c r="B2" s="968"/>
      <c r="C2" s="968"/>
      <c r="D2" s="71"/>
    </row>
    <row r="3" spans="1:4">
      <c r="A3" s="967" t="s">
        <v>474</v>
      </c>
      <c r="B3" s="967"/>
      <c r="C3" s="967"/>
      <c r="D3" s="112">
        <v>0.32</v>
      </c>
    </row>
    <row r="4" spans="1:4">
      <c r="A4" s="967" t="s">
        <v>475</v>
      </c>
      <c r="B4" s="967"/>
      <c r="C4" s="967"/>
      <c r="D4" s="112">
        <v>0.5</v>
      </c>
    </row>
    <row r="5" spans="1:4">
      <c r="A5" s="967" t="s">
        <v>476</v>
      </c>
      <c r="B5" s="967"/>
      <c r="C5" s="967"/>
      <c r="D5" s="112">
        <v>0.15</v>
      </c>
    </row>
    <row r="6" spans="1:4">
      <c r="A6" s="967" t="s">
        <v>477</v>
      </c>
      <c r="B6" s="967"/>
      <c r="C6" s="967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969" t="s">
        <v>478</v>
      </c>
      <c r="C2" s="969"/>
      <c r="D2" s="969"/>
      <c r="E2" s="969"/>
      <c r="F2" s="969"/>
      <c r="G2" s="969"/>
      <c r="H2" s="969"/>
      <c r="I2" s="969"/>
      <c r="J2" s="969"/>
      <c r="K2" s="969"/>
      <c r="L2" s="969"/>
      <c r="M2" s="969"/>
      <c r="N2" s="969"/>
    </row>
    <row r="4" spans="2:14" ht="12.95">
      <c r="B4" s="92" t="s">
        <v>479</v>
      </c>
      <c r="C4" s="86"/>
      <c r="D4" s="90" t="s">
        <v>480</v>
      </c>
      <c r="E4" s="95"/>
      <c r="F4" s="90" t="s">
        <v>481</v>
      </c>
      <c r="H4" s="90" t="s">
        <v>482</v>
      </c>
      <c r="I4" s="95"/>
      <c r="J4" s="90" t="s">
        <v>483</v>
      </c>
      <c r="L4" s="90" t="s">
        <v>482</v>
      </c>
      <c r="M4" s="90"/>
      <c r="N4" s="90" t="s">
        <v>484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485</v>
      </c>
      <c r="H7" s="99"/>
      <c r="I7" s="95"/>
      <c r="J7" s="107" t="s">
        <v>485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259</v>
      </c>
      <c r="C9" s="92"/>
      <c r="D9" s="90">
        <f>SUM(D10:D11)</f>
        <v>210000</v>
      </c>
      <c r="E9" s="95"/>
      <c r="F9" s="90">
        <f>SUM(F10:F13)</f>
        <v>0</v>
      </c>
      <c r="H9" s="106">
        <f>$D$9-F9</f>
        <v>210000</v>
      </c>
      <c r="I9" s="95"/>
      <c r="J9" s="90">
        <f>SUM(J10:J13)</f>
        <v>0</v>
      </c>
      <c r="L9" s="106">
        <f>$D$9-J9</f>
        <v>210000</v>
      </c>
      <c r="M9" s="106"/>
    </row>
    <row r="10" spans="2:14" ht="12.95">
      <c r="B10" s="108" t="s">
        <v>259</v>
      </c>
      <c r="C10" s="86"/>
      <c r="D10" s="89">
        <f>'Expenditure Breakdown'!G13</f>
        <v>210000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486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487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488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485</v>
      </c>
      <c r="H15" s="99"/>
      <c r="I15" s="95"/>
      <c r="J15" s="107" t="s">
        <v>485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489</v>
      </c>
      <c r="C17" s="92"/>
      <c r="D17" s="90">
        <f>SUM(D18:D19)</f>
        <v>180180</v>
      </c>
      <c r="E17" s="95"/>
      <c r="F17" s="90">
        <f>SUM(F18:F20)</f>
        <v>0</v>
      </c>
      <c r="H17" s="106">
        <f>$D$17- F17</f>
        <v>180180</v>
      </c>
      <c r="I17" s="95"/>
      <c r="J17" s="90">
        <f>SUM(J18:J20)</f>
        <v>0</v>
      </c>
      <c r="L17" s="106">
        <f>$D$17- J17</f>
        <v>180180</v>
      </c>
      <c r="M17" s="106"/>
    </row>
    <row r="18" spans="2:13">
      <c r="B18" s="108" t="s">
        <v>489</v>
      </c>
      <c r="C18" s="86"/>
      <c r="D18" s="89">
        <f>'Expenditure Breakdown'!G18</f>
        <v>180180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488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485</v>
      </c>
      <c r="H21" s="99"/>
      <c r="I21" s="95"/>
      <c r="J21" s="107" t="s">
        <v>485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290</v>
      </c>
      <c r="C23" s="92"/>
      <c r="D23" s="90">
        <f>SUM(D24:D25)</f>
        <v>141680</v>
      </c>
      <c r="E23" s="95"/>
      <c r="F23" s="90">
        <f>SUM(F24:F25)</f>
        <v>0</v>
      </c>
      <c r="H23" s="106">
        <f>$D$23- F23</f>
        <v>141680</v>
      </c>
      <c r="I23" s="95"/>
      <c r="J23" s="90">
        <f>SUM(J24:J25)</f>
        <v>0</v>
      </c>
      <c r="L23" s="106">
        <f>$D$23- J23</f>
        <v>141680</v>
      </c>
      <c r="M23" s="106"/>
    </row>
    <row r="24" spans="2:13">
      <c r="B24" s="108" t="s">
        <v>290</v>
      </c>
      <c r="C24" s="86"/>
      <c r="D24" s="89">
        <f>'Expenditure Breakdown'!G23</f>
        <v>141680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488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485</v>
      </c>
      <c r="H27" s="99"/>
      <c r="I27" s="95"/>
      <c r="J27" s="107" t="s">
        <v>485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490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Breakdown'!D35</f>
        <v>Smartlogger 3000</v>
      </c>
      <c r="C30" s="86"/>
      <c r="D30" s="89">
        <f>'Expenditure Breakdown'!G35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488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485</v>
      </c>
      <c r="H34" s="99"/>
      <c r="I34" s="95"/>
      <c r="J34" s="107" t="s">
        <v>485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491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492</v>
      </c>
      <c r="C37" s="86"/>
      <c r="D37" s="89">
        <f>'Expenditure Breakdown'!G66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493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494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495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496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497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498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969" t="s">
        <v>499</v>
      </c>
      <c r="C2" s="969"/>
      <c r="D2" s="969"/>
      <c r="E2" s="969"/>
      <c r="F2" s="969"/>
      <c r="G2" s="969"/>
      <c r="H2" s="969"/>
      <c r="I2" s="969"/>
      <c r="J2" s="969"/>
      <c r="K2" s="969"/>
      <c r="L2" s="969"/>
      <c r="M2" s="969"/>
      <c r="N2" s="969"/>
      <c r="O2" s="969"/>
    </row>
    <row r="4" spans="2:15" ht="12.95">
      <c r="B4" s="92" t="s">
        <v>479</v>
      </c>
      <c r="C4" s="86"/>
      <c r="D4" s="90" t="s">
        <v>480</v>
      </c>
      <c r="E4" s="95"/>
      <c r="F4" s="95"/>
      <c r="G4" s="90" t="s">
        <v>500</v>
      </c>
      <c r="H4" s="96"/>
      <c r="J4" s="90" t="s">
        <v>482</v>
      </c>
      <c r="L4" s="90" t="s">
        <v>501</v>
      </c>
      <c r="M4" s="96"/>
      <c r="O4" s="90" t="s">
        <v>482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254</v>
      </c>
      <c r="C6" s="86"/>
      <c r="D6" s="89">
        <f>'Expenditure Breakdown'!AB8</f>
        <v>1142809.6826086957</v>
      </c>
      <c r="E6" s="95">
        <f>D6/(1000*'Project Plan'!$E$3)</f>
        <v>2.8570242065217393</v>
      </c>
      <c r="F6" s="95"/>
      <c r="G6" s="89">
        <v>277892.90999999997</v>
      </c>
      <c r="H6" s="96">
        <f>G6/('Project Plan'!$E$3*1000)</f>
        <v>0.6947322749999999</v>
      </c>
      <c r="J6" s="99">
        <f>D6-G6</f>
        <v>864916.77260869578</v>
      </c>
      <c r="L6" s="89"/>
      <c r="M6" s="96">
        <f>L6/('Project Plan'!$E$3*1000)</f>
        <v>0</v>
      </c>
      <c r="O6" s="99">
        <f>D6-L6</f>
        <v>1142809.6826086957</v>
      </c>
    </row>
    <row r="7" spans="2:15" ht="12.95">
      <c r="B7" s="86" t="s">
        <v>255</v>
      </c>
      <c r="C7" s="86"/>
      <c r="D7" s="89">
        <f>'Expenditure Breakdown'!AB9</f>
        <v>202684.79999999999</v>
      </c>
      <c r="E7" s="95">
        <f>D7/(1000*'Project Plan'!$E$3)</f>
        <v>0.50671199999999994</v>
      </c>
      <c r="F7" s="95"/>
      <c r="G7" s="89">
        <v>142158.25</v>
      </c>
      <c r="H7" s="96">
        <f>G7/('Project Plan'!$E$3*1000)</f>
        <v>0.35539562499999999</v>
      </c>
      <c r="J7" s="99">
        <f t="shared" ref="J7:J12" si="0">D7-G7</f>
        <v>60526.549999999988</v>
      </c>
      <c r="L7" s="89"/>
      <c r="M7" s="96">
        <f>L7/('Project Plan'!$E$3*1000)</f>
        <v>0</v>
      </c>
      <c r="O7" s="99">
        <f t="shared" ref="O7:O12" si="1">D7-L7</f>
        <v>202684.79999999999</v>
      </c>
    </row>
    <row r="8" spans="2:15" ht="12.95">
      <c r="B8" s="86" t="s">
        <v>256</v>
      </c>
      <c r="C8" s="86"/>
      <c r="D8" s="89">
        <f>'Expenditure Breakdown'!AB10</f>
        <v>446100</v>
      </c>
      <c r="E8" s="95">
        <f>D8/(1000*'Project Plan'!$E$3)</f>
        <v>1.1152500000000001</v>
      </c>
      <c r="F8" s="95"/>
      <c r="G8" s="89">
        <v>96174</v>
      </c>
      <c r="H8" s="96">
        <f>G8/('Project Plan'!$E$3*1000)</f>
        <v>0.24043500000000001</v>
      </c>
      <c r="J8" s="99">
        <f t="shared" si="0"/>
        <v>349926</v>
      </c>
      <c r="L8" s="89"/>
      <c r="M8" s="96">
        <f>L8/('Project Plan'!$E$3*1000)</f>
        <v>0</v>
      </c>
      <c r="O8" s="99">
        <f t="shared" si="1"/>
        <v>446100</v>
      </c>
    </row>
    <row r="9" spans="2:15" ht="12.95">
      <c r="B9" s="86" t="s">
        <v>257</v>
      </c>
      <c r="C9" s="86"/>
      <c r="D9" s="89">
        <f>'Expenditure Breakdown'!AB11</f>
        <v>242059.99999999997</v>
      </c>
      <c r="E9" s="95">
        <f>D9/(1000*'Project Plan'!$E$3)</f>
        <v>0.60514999999999997</v>
      </c>
      <c r="F9" s="95"/>
      <c r="G9" s="89">
        <v>230160</v>
      </c>
      <c r="H9" s="96">
        <f>G9/('Project Plan'!$E$3*1000)</f>
        <v>0.57540000000000002</v>
      </c>
      <c r="J9" s="99">
        <f t="shared" si="0"/>
        <v>11899.999999999971</v>
      </c>
      <c r="L9" s="89"/>
      <c r="M9" s="96">
        <f>L9/('Project Plan'!$E$3*1000)</f>
        <v>0</v>
      </c>
      <c r="O9" s="99">
        <f t="shared" si="1"/>
        <v>242059.99999999997</v>
      </c>
    </row>
    <row r="10" spans="2:15">
      <c r="B10" s="86" t="s">
        <v>258</v>
      </c>
      <c r="C10" s="86"/>
      <c r="D10" s="89">
        <f>'Expenditure Breakdown'!AB12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262</v>
      </c>
      <c r="C11" s="86"/>
      <c r="D11" s="89">
        <f>'Expenditure Breakdown'!AB13</f>
        <v>40675.5</v>
      </c>
      <c r="E11" s="98"/>
      <c r="F11" s="98"/>
      <c r="G11" s="89">
        <v>29257.61</v>
      </c>
      <c r="H11" s="91"/>
      <c r="J11" s="99">
        <f t="shared" si="0"/>
        <v>11417.89</v>
      </c>
      <c r="L11" s="89"/>
      <c r="M11" s="91"/>
      <c r="O11" s="99">
        <f t="shared" si="1"/>
        <v>40675.5</v>
      </c>
    </row>
    <row r="12" spans="2:15">
      <c r="B12" s="86" t="s">
        <v>266</v>
      </c>
      <c r="C12" s="86"/>
      <c r="D12" s="89">
        <f>'Expenditure Breakdown'!AB14</f>
        <v>4933.333333333333</v>
      </c>
      <c r="E12" s="98"/>
      <c r="F12" s="98"/>
      <c r="G12" s="89"/>
      <c r="H12" s="91"/>
      <c r="J12" s="99">
        <f t="shared" si="0"/>
        <v>4933.333333333333</v>
      </c>
      <c r="L12" s="89"/>
      <c r="M12" s="91"/>
      <c r="O12" s="99">
        <f t="shared" si="1"/>
        <v>4933.333333333333</v>
      </c>
    </row>
    <row r="13" spans="2:15">
      <c r="B13" s="86" t="s">
        <v>269</v>
      </c>
      <c r="C13" s="86"/>
      <c r="D13" s="89">
        <f>'Expenditure Breakdown'!AB15</f>
        <v>0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129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497</v>
      </c>
      <c r="C15" s="92"/>
      <c r="D15" s="90">
        <f>SUM(D6:D13)</f>
        <v>2087763.315942029</v>
      </c>
      <c r="E15" s="95"/>
      <c r="F15" s="95"/>
      <c r="G15" s="90">
        <f>SUM(G6:G13)</f>
        <v>775642.7699999999</v>
      </c>
      <c r="H15" s="96"/>
      <c r="J15" s="101">
        <f>SUM(J6:J14)</f>
        <v>1312120.545942029</v>
      </c>
      <c r="L15" s="90">
        <f>SUM(L6:L13)</f>
        <v>0</v>
      </c>
      <c r="M15" s="96"/>
      <c r="O15" s="101">
        <f>SUM(O6:O14)</f>
        <v>2087763.315942029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479</v>
      </c>
      <c r="C18" s="86"/>
      <c r="D18" s="90" t="s">
        <v>480</v>
      </c>
      <c r="E18" s="95"/>
      <c r="F18" s="95"/>
      <c r="G18" s="90" t="s">
        <v>502</v>
      </c>
      <c r="H18" s="96"/>
      <c r="J18" s="90" t="s">
        <v>482</v>
      </c>
      <c r="L18" s="90" t="s">
        <v>503</v>
      </c>
      <c r="M18" s="96"/>
      <c r="O18" s="90" t="s">
        <v>482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504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1142809.6826086957</v>
      </c>
    </row>
    <row r="21" spans="2:15" ht="12.95">
      <c r="B21" s="86" t="s">
        <v>505</v>
      </c>
      <c r="C21" s="86"/>
      <c r="D21" s="89">
        <f>'Expenditure Breakdown'!C51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202684.79999999999</v>
      </c>
    </row>
    <row r="22" spans="2:15" ht="12.95">
      <c r="B22" s="86" t="s">
        <v>506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446100</v>
      </c>
    </row>
    <row r="23" spans="2:15" ht="12.95">
      <c r="B23" s="86" t="s">
        <v>507</v>
      </c>
      <c r="C23" s="86"/>
      <c r="D23" s="89">
        <f>SUM('Expenditure Breakdown'!G31:G32)</f>
        <v>20268.48</v>
      </c>
      <c r="E23" s="95">
        <f>D23/(1000*'Project Plan'!$E$3)</f>
        <v>5.06712E-2</v>
      </c>
      <c r="F23" s="95"/>
      <c r="G23" s="89"/>
      <c r="H23" s="96"/>
      <c r="J23" s="99">
        <f t="shared" si="2"/>
        <v>20268.48</v>
      </c>
      <c r="L23" s="89"/>
      <c r="M23" s="96"/>
      <c r="O23" s="99">
        <f t="shared" si="3"/>
        <v>242059.99999999997</v>
      </c>
    </row>
    <row r="24" spans="2:15">
      <c r="B24" s="86" t="s">
        <v>266</v>
      </c>
      <c r="C24" s="86"/>
      <c r="D24" s="89">
        <f>'Expenditure Breakdown'!G105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508</v>
      </c>
      <c r="C25" s="86"/>
      <c r="D25" s="89">
        <f>SUM('Expenditure Breakdown'!G87:G89)</f>
        <v>13433.333333333332</v>
      </c>
      <c r="E25" s="98"/>
      <c r="F25" s="98"/>
      <c r="G25" s="89"/>
      <c r="H25" s="91"/>
      <c r="J25" s="99">
        <f t="shared" si="2"/>
        <v>13433.333333333332</v>
      </c>
      <c r="L25" s="89"/>
      <c r="M25" s="91"/>
      <c r="O25" s="99">
        <f t="shared" si="3"/>
        <v>40675.5</v>
      </c>
    </row>
    <row r="26" spans="2:15">
      <c r="B26" s="86" t="s">
        <v>258</v>
      </c>
      <c r="C26" s="86"/>
      <c r="D26" s="89">
        <f>'Expenditure Breakdown'!G98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4933.333333333333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497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2087763.315942029</v>
      </c>
    </row>
    <row r="32" spans="2:15" ht="13.5" thickBot="1">
      <c r="B32" s="102" t="s">
        <v>509</v>
      </c>
      <c r="C32" s="103"/>
      <c r="D32" s="103"/>
    </row>
    <row r="33" spans="2:4" ht="12.95" thickTop="1"/>
    <row r="34" spans="2:4">
      <c r="B34" s="88" t="s">
        <v>480</v>
      </c>
      <c r="D34" s="99">
        <f>D15</f>
        <v>2087763.315942029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2087763.315942029</v>
      </c>
    </row>
    <row r="41" spans="2:4" ht="12.95">
      <c r="B41" s="105"/>
      <c r="C41" s="105"/>
      <c r="D41" s="106"/>
    </row>
    <row r="42" spans="2:4">
      <c r="B42" s="86" t="s">
        <v>510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971" t="str">
        <f>D15</f>
        <v>Mayo Macs</v>
      </c>
      <c r="C1" s="971"/>
      <c r="D1" s="971"/>
      <c r="E1" s="970" t="s">
        <v>511</v>
      </c>
      <c r="F1" s="970"/>
      <c r="G1" s="970"/>
      <c r="H1" s="970"/>
      <c r="I1" s="970"/>
      <c r="J1" s="970"/>
      <c r="K1" s="77"/>
      <c r="L1" s="77"/>
      <c r="M1" s="77"/>
      <c r="N1" s="77"/>
    </row>
    <row r="2" spans="2:14" ht="6.75" customHeight="1"/>
    <row r="3" spans="2:14">
      <c r="B3" s="72" t="s">
        <v>512</v>
      </c>
      <c r="C3" s="72" t="s">
        <v>513</v>
      </c>
      <c r="D3" s="72" t="s">
        <v>514</v>
      </c>
      <c r="E3" s="78" t="s">
        <v>515</v>
      </c>
      <c r="F3" s="78" t="s">
        <v>516</v>
      </c>
      <c r="G3" s="78" t="s">
        <v>121</v>
      </c>
      <c r="H3" s="78" t="s">
        <v>517</v>
      </c>
      <c r="I3" s="78" t="s">
        <v>518</v>
      </c>
      <c r="J3" s="78" t="s">
        <v>519</v>
      </c>
    </row>
    <row r="4" spans="2:14">
      <c r="B4" s="76" t="s">
        <v>520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521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522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523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524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525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526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527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528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529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Mayo Macs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F6B77C58-53DC-4C7F-BEB6-1C38C782ACE5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2026-03-06T09:09:00Z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