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77" documentId="13_ncr:1_{D81B22CD-1ABD-4A37-8DB0-37744E5D41CF}" xr6:coauthVersionLast="47" xr6:coauthVersionMax="47" xr10:uidLastSave="{FEC3064A-B63B-497A-983C-5B7849471505}"/>
  <bookViews>
    <workbookView minimized="1" xWindow="35130" yWindow="2970" windowWidth="14400" windowHeight="7275" tabRatio="702" firstSheet="1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3" i="18"/>
  <c r="N19" i="2"/>
  <c r="S33" i="18"/>
  <c r="S60" i="18"/>
  <c r="S110" i="18"/>
  <c r="S32" i="18"/>
  <c r="S59" i="18"/>
  <c r="S109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6" i="18"/>
  <c r="P115" i="18"/>
  <c r="P38" i="18" s="1"/>
  <c r="P114" i="18"/>
  <c r="P113" i="18"/>
  <c r="P112" i="18"/>
  <c r="P111" i="18"/>
  <c r="P110" i="18"/>
  <c r="P109" i="18"/>
  <c r="W28" i="18"/>
  <c r="H5" i="5" l="1"/>
  <c r="O109" i="18" l="1"/>
  <c r="U121" i="18" l="1"/>
  <c r="W124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1" i="18"/>
  <c r="W139" i="18"/>
  <c r="W137" i="18"/>
  <c r="E31" i="2" l="1"/>
  <c r="E23" i="2"/>
  <c r="E4" i="20"/>
  <c r="G31" i="2" l="1"/>
  <c r="G23" i="2"/>
  <c r="G21" i="2" s="1"/>
  <c r="E21" i="2"/>
  <c r="X121" i="18"/>
  <c r="F21" i="2" l="1"/>
  <c r="E37" i="2"/>
  <c r="T14" i="18"/>
  <c r="T13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7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9" i="18"/>
  <c r="O93" i="18"/>
  <c r="O59" i="18"/>
  <c r="O32" i="18"/>
  <c r="T7" i="18"/>
  <c r="Q13" i="18"/>
  <c r="X13" i="18" s="1"/>
  <c r="E3" i="20"/>
  <c r="G130" i="18"/>
  <c r="T9" i="2"/>
  <c r="S9" i="2"/>
  <c r="S20" i="2"/>
  <c r="S19" i="2"/>
  <c r="S18" i="2"/>
  <c r="S17" i="2"/>
  <c r="S16" i="2"/>
  <c r="S15" i="2"/>
  <c r="S14" i="2"/>
  <c r="S13" i="2"/>
  <c r="X44" i="18"/>
  <c r="AO13" i="5"/>
  <c r="G108" i="18"/>
  <c r="Z18" i="18" s="1"/>
  <c r="J105" i="18"/>
  <c r="J71" i="18"/>
  <c r="V71" i="18" s="1"/>
  <c r="X80" i="18"/>
  <c r="I127" i="18"/>
  <c r="J150" i="18"/>
  <c r="G137" i="18"/>
  <c r="Q141" i="18" s="1"/>
  <c r="G107" i="18"/>
  <c r="G106" i="18"/>
  <c r="Z17" i="18" s="1"/>
  <c r="G105" i="18"/>
  <c r="Z16" i="18" s="1"/>
  <c r="G93" i="18"/>
  <c r="G92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0" i="18"/>
  <c r="Y30" i="18"/>
  <c r="Y29" i="18"/>
  <c r="Y28" i="18"/>
  <c r="Y27" i="18"/>
  <c r="J137" i="18"/>
  <c r="J130" i="18"/>
  <c r="J121" i="18"/>
  <c r="U123" i="18" s="1"/>
  <c r="J92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127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1" i="18"/>
  <c r="Z38" i="18"/>
  <c r="Z39" i="18" s="1"/>
  <c r="X21" i="18"/>
  <c r="I137" i="18" l="1"/>
  <c r="Q140" i="18"/>
  <c r="U80" i="18"/>
  <c r="U90" i="18"/>
  <c r="U82" i="18"/>
  <c r="U89" i="18"/>
  <c r="U83" i="18"/>
  <c r="U81" i="18"/>
  <c r="U86" i="18"/>
  <c r="G42" i="2"/>
  <c r="G39" i="2" s="1"/>
  <c r="E45" i="2"/>
  <c r="E39" i="2"/>
  <c r="J21" i="2"/>
  <c r="K37" i="2"/>
  <c r="I33" i="2" s="1"/>
  <c r="I35" i="2"/>
  <c r="Q116" i="18"/>
  <c r="I6" i="18"/>
  <c r="I21" i="18"/>
  <c r="I28" i="18"/>
  <c r="F12" i="3" s="1"/>
  <c r="I130" i="18"/>
  <c r="F21" i="3" s="1"/>
  <c r="F19" i="3"/>
  <c r="J19" i="3" s="1"/>
  <c r="F10" i="3"/>
  <c r="I92" i="18"/>
  <c r="F22" i="3"/>
  <c r="Z15" i="18"/>
  <c r="Z22" i="18" s="1"/>
  <c r="Z23" i="18" s="1"/>
  <c r="Z24" i="18" s="1"/>
  <c r="J2" i="18"/>
  <c r="J4" i="18" s="1"/>
  <c r="F20" i="3"/>
  <c r="Q139" i="18"/>
  <c r="Q115" i="18"/>
  <c r="H10" i="3"/>
  <c r="I53" i="18"/>
  <c r="H20" i="3"/>
  <c r="I105" i="18"/>
  <c r="N14" i="2"/>
  <c r="J23" i="3"/>
  <c r="F18" i="5"/>
  <c r="F15" i="5"/>
  <c r="X6" i="18"/>
  <c r="F14" i="5"/>
  <c r="F17" i="5"/>
  <c r="F16" i="5"/>
  <c r="F19" i="5"/>
  <c r="C3" i="6"/>
  <c r="H15" i="3"/>
  <c r="J15" i="3" s="1"/>
  <c r="Q98" i="18"/>
  <c r="Q94" i="18"/>
  <c r="Q93" i="18"/>
  <c r="Q96" i="18"/>
  <c r="Q95" i="18"/>
  <c r="Q97" i="18"/>
  <c r="Q99" i="18"/>
  <c r="Q39" i="18"/>
  <c r="Q34" i="18"/>
  <c r="Q38" i="18"/>
  <c r="Q32" i="18"/>
  <c r="Q36" i="18"/>
  <c r="Q37" i="18"/>
  <c r="Q35" i="18"/>
  <c r="Q33" i="18"/>
  <c r="Q100" i="18"/>
  <c r="Q62" i="18"/>
  <c r="Q66" i="18"/>
  <c r="Q65" i="18"/>
  <c r="Q64" i="18"/>
  <c r="Q60" i="18"/>
  <c r="Q61" i="18"/>
  <c r="Q59" i="18"/>
  <c r="Q63" i="18"/>
  <c r="U51" i="18"/>
  <c r="Q113" i="18"/>
  <c r="Q110" i="18"/>
  <c r="Q112" i="18"/>
  <c r="Q114" i="18"/>
  <c r="Q111" i="18"/>
  <c r="X130" i="18"/>
  <c r="F13" i="3"/>
  <c r="H11" i="3"/>
  <c r="U125" i="18"/>
  <c r="U124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7" i="18"/>
  <c r="U141" i="18" s="1"/>
  <c r="F17" i="3"/>
  <c r="F14" i="3"/>
  <c r="J10" i="3"/>
  <c r="F11" i="3"/>
  <c r="J11" i="3" s="1"/>
  <c r="I2" i="18"/>
  <c r="F9" i="3"/>
  <c r="V121" i="18"/>
  <c r="F18" i="3"/>
  <c r="N15" i="2"/>
  <c r="J13" i="3"/>
  <c r="F21" i="5"/>
  <c r="F4" i="5" s="1"/>
  <c r="C9" i="6" s="1"/>
  <c r="H9" i="3"/>
  <c r="X53" i="18"/>
  <c r="U64" i="18" s="1"/>
  <c r="X92" i="18"/>
  <c r="H22" i="3"/>
  <c r="J22" i="3" s="1"/>
  <c r="U134" i="18"/>
  <c r="U130" i="18"/>
  <c r="H21" i="3"/>
  <c r="J21" i="3" s="1"/>
  <c r="U135" i="18"/>
  <c r="U131" i="18"/>
  <c r="U132" i="18"/>
  <c r="U133" i="18"/>
  <c r="X28" i="18"/>
  <c r="X105" i="18"/>
  <c r="V80" i="18"/>
  <c r="V44" i="18"/>
  <c r="V21" i="18"/>
  <c r="U147" i="18" l="1"/>
  <c r="U146" i="18"/>
  <c r="U144" i="18"/>
  <c r="U148" i="18"/>
  <c r="U145" i="18"/>
  <c r="U139" i="18"/>
  <c r="U142" i="18"/>
  <c r="U143" i="18"/>
  <c r="E46" i="2"/>
  <c r="U38" i="18"/>
  <c r="U65" i="18"/>
  <c r="U69" i="18"/>
  <c r="U140" i="18"/>
  <c r="K33" i="2"/>
  <c r="K28" i="2" s="1"/>
  <c r="I28" i="2"/>
  <c r="N25" i="2"/>
  <c r="N24" i="2"/>
  <c r="N26" i="2"/>
  <c r="F5" i="3"/>
  <c r="D5" i="5" s="1"/>
  <c r="D6" i="5" s="1"/>
  <c r="U100" i="18"/>
  <c r="J9" i="3"/>
  <c r="F47" i="5"/>
  <c r="F45" i="5" s="1"/>
  <c r="U34" i="18"/>
  <c r="U62" i="18"/>
  <c r="U97" i="18"/>
  <c r="U96" i="18"/>
  <c r="U99" i="18"/>
  <c r="U66" i="18"/>
  <c r="U95" i="18"/>
  <c r="U98" i="18"/>
  <c r="T13" i="2"/>
  <c r="H18" i="3"/>
  <c r="J18" i="3" s="1"/>
  <c r="U106" i="18"/>
  <c r="U118" i="18"/>
  <c r="U105" i="18"/>
  <c r="U108" i="18"/>
  <c r="U107" i="18"/>
  <c r="U117" i="18"/>
  <c r="U115" i="18"/>
  <c r="U116" i="18"/>
  <c r="U111" i="18"/>
  <c r="U112" i="18"/>
  <c r="V130" i="18"/>
  <c r="U113" i="18"/>
  <c r="U114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1" i="18"/>
  <c r="U102" i="18"/>
  <c r="U103" i="18"/>
  <c r="U92" i="18"/>
  <c r="U63" i="18"/>
  <c r="U37" i="18"/>
  <c r="U35" i="18"/>
  <c r="F25" i="3" l="1"/>
  <c r="V137" i="18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5" i="18"/>
  <c r="V28" i="18"/>
  <c r="V92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0" i="18"/>
  <c r="W33" i="18"/>
  <c r="W60" i="18"/>
  <c r="W109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0" i="18"/>
  <c r="T59" i="18"/>
  <c r="T109" i="18"/>
  <c r="K41" i="2"/>
  <c r="N32" i="2"/>
  <c r="N30" i="2"/>
  <c r="N31" i="2"/>
  <c r="H28" i="18"/>
  <c r="H44" i="18"/>
  <c r="H45" i="18" s="1"/>
  <c r="H15" i="5"/>
  <c r="V14" i="2"/>
  <c r="I42" i="2" l="1"/>
  <c r="H92" i="18"/>
  <c r="N23" i="2"/>
  <c r="N22" i="2"/>
  <c r="M18" i="2"/>
  <c r="N21" i="2" l="1"/>
  <c r="H107" i="18"/>
  <c r="H80" i="18"/>
  <c r="H81" i="18"/>
  <c r="K42" i="2"/>
  <c r="K39" i="2" s="1"/>
  <c r="I45" i="2"/>
  <c r="I39" i="2"/>
  <c r="H105" i="18"/>
  <c r="H106" i="18"/>
  <c r="H108" i="18"/>
  <c r="T15" i="2"/>
  <c r="W130" i="18" l="1"/>
  <c r="W121" i="18"/>
  <c r="K45" i="2"/>
  <c r="J39" i="2"/>
  <c r="J9" i="2"/>
  <c r="H93" i="18"/>
  <c r="H29" i="18"/>
  <c r="T17" i="2"/>
  <c r="U15" i="2"/>
  <c r="V15" i="2"/>
  <c r="W95" i="18"/>
  <c r="W61" i="18" l="1"/>
  <c r="T61" i="18" s="1"/>
  <c r="W111" i="18"/>
  <c r="T95" i="18"/>
  <c r="W34" i="18"/>
  <c r="I46" i="2"/>
  <c r="N37" i="2"/>
  <c r="N35" i="2" s="1"/>
  <c r="N33" i="2"/>
  <c r="N28" i="2" s="1"/>
  <c r="T111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6" i="18"/>
  <c r="V16" i="2"/>
  <c r="W62" i="18" l="1"/>
  <c r="T62" i="18" s="1"/>
  <c r="T96" i="18"/>
  <c r="W112" i="18"/>
  <c r="W35" i="18"/>
  <c r="K50" i="2"/>
  <c r="K48" i="2" s="1"/>
  <c r="I48" i="2"/>
  <c r="N40" i="2"/>
  <c r="J48" i="2" l="1"/>
  <c r="T35" i="18"/>
  <c r="T112" i="18"/>
  <c r="N41" i="2"/>
  <c r="N39" i="2" s="1"/>
  <c r="N42" i="2"/>
  <c r="H17" i="5"/>
  <c r="N45" i="2" l="1"/>
  <c r="N44" i="2" s="1"/>
  <c r="H137" i="18"/>
  <c r="H130" i="18"/>
  <c r="K2" i="2" l="1"/>
  <c r="K3" i="2" s="1"/>
  <c r="K4" i="2" s="1"/>
  <c r="T18" i="2"/>
  <c r="U18" i="2" l="1"/>
  <c r="V18" i="2"/>
  <c r="P16" i="5"/>
  <c r="W97" i="18"/>
  <c r="W113" i="18" l="1"/>
  <c r="W36" i="18"/>
  <c r="T97" i="18"/>
  <c r="W63" i="18"/>
  <c r="T63" i="18" s="1"/>
  <c r="T113" i="18" l="1"/>
  <c r="T36" i="18"/>
  <c r="N46" i="2"/>
  <c r="T19" i="2"/>
  <c r="N49" i="2" l="1"/>
  <c r="W99" i="18"/>
  <c r="W100" i="18"/>
  <c r="W98" i="18"/>
  <c r="W116" i="18" l="1"/>
  <c r="W39" i="18"/>
  <c r="W66" i="18"/>
  <c r="T66" i="18" s="1"/>
  <c r="T100" i="18"/>
  <c r="W37" i="18"/>
  <c r="T98" i="18"/>
  <c r="W114" i="18"/>
  <c r="W64" i="18"/>
  <c r="T64" i="18" s="1"/>
  <c r="W115" i="18"/>
  <c r="W38" i="18"/>
  <c r="W65" i="18"/>
  <c r="T65" i="18" s="1"/>
  <c r="T99" i="18"/>
  <c r="U19" i="2"/>
  <c r="V19" i="2"/>
  <c r="T39" i="18" l="1"/>
  <c r="T116" i="18"/>
  <c r="T115" i="18"/>
  <c r="T38" i="18"/>
  <c r="T37" i="18"/>
  <c r="T114" i="18"/>
  <c r="N51" i="2"/>
  <c r="N50" i="2"/>
  <c r="N48" i="2" s="1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1" i="18" l="1"/>
  <c r="H122" i="18" s="1"/>
  <c r="H16" i="5"/>
  <c r="H123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0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0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<sst xmlns="http://schemas.openxmlformats.org/spreadsheetml/2006/main" count="797" uniqueCount="449">
  <si>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</si>
  <si>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</si>
  <si>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</si>
  <si>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</si>
  <si>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</si>
  <si>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</si>
  <si>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</si>
  <si>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</si>
  <si>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</si>
  <si>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</si>
  <si>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</si>
  <si>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</si>
  <si>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</si>
  <si>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</si>
  <si>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</si>
  <si>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</si>
  <si>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</si>
  <si>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</si>
  <si>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</si>
  <si>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</si>
  <si>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</si>
  <si>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</si>
  <si>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</si>
  <si>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</si>
  <si>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</si>
  <si>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</si>
  <si>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</si>
  <si>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</si>
  <si>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</si>
  <si>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</si>
  <si>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</si>
  <si>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</si>
  <si>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</si>
  <si>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</si>
  <si>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</si>
  <si>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</si>
  <si>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</si>
  <si>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</si>
  <si>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</si>
  <si>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</si>
  <si>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</si>
  <si>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</si>
  <si>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</si>
  <si>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</si>
  <si>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</si>
  <si>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</si>
  <si>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</si>
  <si>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</si>
  <si>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</si>
  <si>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</si>
  <si>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</si>
  <si>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</si>
  <si>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</si>
  <si>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</si>
  <si>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</si>
  <si>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</si>
  <si>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</si>
  <si>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</si>
  <si>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</si>
  <si>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</si>
  <si>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</si>
  <si>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</si>
  <si>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</si>
  <si>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</si>
  <si>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</si>
  <si>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</si>
  <si>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</si>
  <si>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</si>
  <si>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</si>
  <si>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</si>
  <si>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</si>
  <si>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</si>
  <si>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</si>
  <si>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</si>
  <si>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</si>
  <si>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</si>
  <si>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</si>
  <si>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</si>
  <si>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</si>
  <si>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</si>
  <si>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</si>
  <si>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</si>
  <si>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</si>
  <si>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</si>
  <si>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</si>
  <si>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</si>
  <si>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</si>
  <si>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</si>
  <si>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</si>
  <si>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</si>
  <si>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</si>
  <si>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</si>
  <si>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</si>
  <si>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</si>
  <si>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</si>
  <si>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</si>
  <si>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</si>
  <si>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</si>
  <si>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</si>
  <si>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</si>
  <si>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</si>
  <si>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</si>
  <si>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</si>
  <si>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</si>
  <si>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</si>
  <si>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</si>
  <si>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</si>
  <si>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</si>
  <si>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</si>
  <si>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</si>
  <si>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</si>
  <si>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</si>
  <si>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</si>
  <si>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</si>
  <si>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</si>
  <si>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</si>
  <si>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</si>
  <si>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</si>
  <si>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</si>
  <si>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</si>
  <si>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</si>
  <si>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</si>
  <si>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</si>
  <si>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</si>
  <si>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</si>
  <si>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</si>
  <si>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</si>
  <si>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</si>
  <si>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</si>
  <si>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</si>
  <si>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</si>
  <si>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</si>
  <si>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</si>
  <si>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</si>
  <si>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</si>
  <si>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</si>
  <si>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</si>
  <si>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</si>
  <si>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</si>
  <si>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</si>
  <si>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</si>
  <si>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</si>
  <si>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</si>
  <si>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</si>
  <si>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</si>
  <si>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</si>
  <si>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</si>
  <si>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</si>
  <si>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</si>
  <si>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</si>
  <si>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</si>
  <si>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</si>
  <si>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</si>
  <si>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</si>
  <si>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</si>
  <si>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</si>
  <si>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</si>
  <si>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</si>
  <si>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</si>
  <si>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</si>
  <si>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</si>
  <si>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</si>
  <si>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</si>
  <si>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</si>
  <si>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</si>
  <si>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</si>
  <si>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</si>
  <si>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</si>
  <si>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</si>
  <si>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</si>
  <si>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</si>
  <si>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</si>
  <si>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</si>
  <si>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</si>
  <si>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</si>
  <si>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</si>
  <si>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</si>
  <si>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</si>
  <si>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</si>
  <si>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</si>
  <si>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</si>
  <si>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</si>
  <si>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</si>
  <si>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</si>
  <si>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</si>
  <si>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</si>
  <si>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</si>
  <si>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</si>
  <si>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</si>
  <si>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</si>
  <si>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</si>
  <si>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</si>
  <si>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</si>
  <si>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</si>
  <si>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</si>
  <si>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</si>
  <si>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</si>
  <si>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</si>
  <si>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</si>
  <si>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</si>
  <si>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</si>
  <si>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</si>
  <si>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</si>
  <si>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</si>
  <si>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</si>
  <si>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</si>
  <si>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</si>
  <si>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</si>
  <si>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</si>
  <si>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</si>
  <si>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</si>
  <si>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</si>
  <si>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</si>
  <si>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</si>
  <si>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</si>
  <si>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</si>
  <si>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</si>
  <si>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</si>
  <si>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</si>
  <si>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</si>
  <si>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</si>
  <si>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</si>
  <si>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</si>
  <si>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</si>
  <si>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</si>
  <si>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</si>
  <si>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</si>
  <si>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</si>
  <si>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</si>
  <si>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</si>
  <si>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</si>
  <si>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</si>
  <si>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</si>
  <si>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</si>
  <si>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</si>
  <si>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</si>
  <si>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</si>
  <si>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</si>
  <si>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</si>
  <si>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</si>
  <si>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</si>
  <si>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</si>
  <si>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</si>
  <si>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</si>
  <si>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</si>
  <si>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</si>
  <si>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</si>
  <si>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</si>
  <si>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</si>
  <si>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</si>
  <si>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</si>
  <si>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</si>
  <si>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</si>
  <si>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</si>
  <si>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</si>
  <si>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</si>
  <si>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</si>
  <si>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</si>
  <si>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</si>
  <si>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</si>
  <si>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</si>
  <si>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</si>
  <si>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</si>
  <si>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</si>
  <si>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</si>
  <si>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</si>
  <si>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</si>
  <si>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</si>
  <si>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</si>
  <si>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</si>
  <si>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</si>
  <si>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</si>
  <si>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</si>
  <si>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</si>
  <si>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</si>
  <si>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</si>
  <si>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</si>
  <si>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</si>
  <si>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</si>
  <si>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</si>
  <si>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</si>
  <si>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</si>
  <si>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</si>
  <si>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</si>
  <si>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</si>
  <si>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</si>
  <si>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</si>
  <si>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</si>
  <si>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</si>
  <si>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</si>
  <si>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</si>
  <si>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</si>
  <si>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</si>
  <si>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</si>
  <si>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</si>
  <si>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</si>
  <si>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</si>
  <si>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</si>
  <si>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</si>
  <si>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</si>
  <si>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</si>
  <si>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</si>
  <si>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</si>
  <si>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</si>
  <si>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</si>
  <si>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</si>
  <si>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</si>
  <si>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</si>
  <si>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</si>
  <si>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</si>
  <si>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</si>
  <si>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</si>
  <si>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</si>
  <si>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</si>
  <si>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</si>
  <si>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</si>
  <si>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</si>
  <si>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</si>
  <si>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</si>
  <si>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</si>
  <si>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</si>
  <si>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</si>
  <si>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</si>
  <si>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</si>
  <si>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</si>
  <si>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</si>
  <si>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</si>
  <si>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</si>
  <si>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</si>
  <si>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</si>
  <si>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</si>
  <si>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</si>
  <si>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</si>
  <si>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</si>
  <si>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</si>
  <si>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</si>
  <si>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</si>
  <si>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</si>
  <si>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</si>
  <si>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</si>
  <si>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</si>
  <si>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</si>
  <si>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</si>
  <si>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</si>
  <si>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</si>
  <si>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</si>
  <si>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</si>
  <si>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</si>
  <si>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</si>
  <si>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</si>
  <si>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</si>
  <si>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</si>
  <si>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</si>
  <si>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</si>
  <si>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</si>
  <si>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</si>
  <si>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</si>
  <si>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</si>
  <si>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</si>
  <si>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</si>
  <si>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</si>
  <si>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</si>
  <si>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</si>
  <si>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</si>
  <si>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</si>
  <si>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</si>
  <si>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</si>
  <si>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</si>
  <si>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</si>
  <si>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</si>
  <si>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</si>
  <si>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</si>
  <si>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</si>
  <si>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</si>
  <si>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</si>
  <si>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</si>
  <si>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</si>
  <si>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</si>
  <si>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</si>
  <si>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</si>
  <si>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</si>
  <si>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</si>
  <si>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</si>
  <si>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</si>
  <si>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</si>
  <si>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</si>
  <si>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</si>
  <si>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</si>
  <si>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</si>
  <si>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</si>
  <si>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</si>
  <si>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</si>
  <si>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</si>
  <si>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</si>
  <si>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</si>
  <si>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</si>
  <si>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</si>
  <si>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</si>
  <si>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</si>
  <si>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</si>
  <si>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</si>
  <si>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</si>
  <si>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</si>
  <si>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</si>
  <si>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</si>
  <si>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</si>
  <si>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</si>
  <si>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</si>
  <si>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</si>
  <si>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</si>
  <si>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</si>
  <si>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</si>
  <si>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</si>
  <si>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</si>
  <si>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</si>
  <si>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</si>
  <si>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</si>
  <si>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</si>
  <si>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</si>
  <si>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</si>
  <si>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</si>
  <si>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</si>
  <si>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</si>
  <si>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</si>
  <si>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</si>
  <si>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</si>
  <si>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</si>
  <si>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</si>
  <si>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</si>
  <si>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</si>
  <si>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</si>
  <si>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</si>
  <si>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</si>
  <si>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</si>
  <si>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</si>
  <si>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</si>
  <si>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</si>
  <si>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</si>
  <si>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</si>
  <si>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</si>
  <si>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</si>
  <si>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</si>
  <si>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</si>
  <si>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</si>
  <si>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</si>
  <si>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</si>
  <si>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delivery date TBC</t>
  </si>
  <si>
    <t>Progress</t>
  </si>
  <si>
    <t>Rubicon - INVRED-0139197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</si>
</sst>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59</c:v>
                  </c:pt>
                  <c:pt idx="3">
                    <c:v>30</c:v>
                  </c:pt>
                  <c:pt idx="4">
                    <c:v>21</c:v>
                  </c:pt>
                  <c:pt idx="5">
                    <c:v>11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46086</c:v>
                </c:pt>
                <c:pt idx="6">
                  <c:v>46090</c:v>
                </c:pt>
                <c:pt idx="7">
                  <c:v>46091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1862957.1509834835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185719.83799999999</c:v>
                </c:pt>
                <c:pt idx="16">
                  <c:v>298519.0135</c:v>
                </c:pt>
                <c:pt idx="17">
                  <c:v>359540.08899999998</c:v>
                </c:pt>
                <c:pt idx="18">
                  <c:v>443848.12888729351</c:v>
                </c:pt>
                <c:pt idx="19">
                  <c:v>1021405.2758872935</c:v>
                </c:pt>
                <c:pt idx="20">
                  <c:v>1280518.6358872936</c:v>
                </c:pt>
                <c:pt idx="21">
                  <c:v>1301016.4943872937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1397793.7403359611</c:v>
                </c:pt>
                <c:pt idx="16">
                  <c:v>1284994.564835961</c:v>
                </c:pt>
                <c:pt idx="17">
                  <c:v>1223973.4893359612</c:v>
                </c:pt>
                <c:pt idx="18">
                  <c:v>1139665.4494486675</c:v>
                </c:pt>
                <c:pt idx="19">
                  <c:v>841551.87509619002</c:v>
                </c:pt>
                <c:pt idx="20">
                  <c:v>582438.51509618992</c:v>
                </c:pt>
                <c:pt idx="21">
                  <c:v>561940.65659618983</c:v>
                </c:pt>
                <c:pt idx="22">
                  <c:v>561940.65659618983</c:v>
                </c:pt>
                <c:pt idx="23">
                  <c:v>561940.65659618983</c:v>
                </c:pt>
                <c:pt idx="24">
                  <c:v>561940.65659618983</c:v>
                </c:pt>
                <c:pt idx="25">
                  <c:v>561783.15659618983</c:v>
                </c:pt>
                <c:pt idx="26">
                  <c:v>561783.15659618983</c:v>
                </c:pt>
                <c:pt idx="27">
                  <c:v>561783.15659618983</c:v>
                </c:pt>
                <c:pt idx="28">
                  <c:v>561783.15659618983</c:v>
                </c:pt>
                <c:pt idx="29">
                  <c:v>561783.15659618983</c:v>
                </c:pt>
                <c:pt idx="30">
                  <c:v>561783.15659618983</c:v>
                </c:pt>
                <c:pt idx="31">
                  <c:v>561783.15659618983</c:v>
                </c:pt>
                <c:pt idx="32">
                  <c:v>561783.15659618983</c:v>
                </c:pt>
                <c:pt idx="33">
                  <c:v>561783.15659618983</c:v>
                </c:pt>
                <c:pt idx="34">
                  <c:v>561783.15659618983</c:v>
                </c:pt>
                <c:pt idx="35">
                  <c:v>561783.15659618983</c:v>
                </c:pt>
                <c:pt idx="36">
                  <c:v>561783.15659618983</c:v>
                </c:pt>
                <c:pt idx="37">
                  <c:v>561783.15659618983</c:v>
                </c:pt>
                <c:pt idx="38">
                  <c:v>561783.15659618983</c:v>
                </c:pt>
                <c:pt idx="39">
                  <c:v>561783.15659618983</c:v>
                </c:pt>
                <c:pt idx="40">
                  <c:v>561783.15659618983</c:v>
                </c:pt>
                <c:pt idx="41">
                  <c:v>561783.15659618983</c:v>
                </c:pt>
                <c:pt idx="42">
                  <c:v>561783.15659618983</c:v>
                </c:pt>
                <c:pt idx="43">
                  <c:v>561783.15659618983</c:v>
                </c:pt>
                <c:pt idx="44">
                  <c:v>561783.15659618983</c:v>
                </c:pt>
                <c:pt idx="45">
                  <c:v>561783.15659618983</c:v>
                </c:pt>
                <c:pt idx="46">
                  <c:v>561783.15659618983</c:v>
                </c:pt>
                <c:pt idx="47">
                  <c:v>561783.15659618983</c:v>
                </c:pt>
                <c:pt idx="48">
                  <c:v>561783.15659618983</c:v>
                </c:pt>
                <c:pt idx="49">
                  <c:v>561783.15659618983</c:v>
                </c:pt>
                <c:pt idx="50">
                  <c:v>561783.15659618983</c:v>
                </c:pt>
                <c:pt idx="51">
                  <c:v>561783.15659618983</c:v>
                </c:pt>
                <c:pt idx="52">
                  <c:v>561783.15659618983</c:v>
                </c:pt>
                <c:pt idx="53">
                  <c:v>561783.15659618983</c:v>
                </c:pt>
                <c:pt idx="54">
                  <c:v>561783.15659618983</c:v>
                </c:pt>
                <c:pt idx="55">
                  <c:v>561783.15659618983</c:v>
                </c:pt>
                <c:pt idx="56">
                  <c:v>561783.15659618983</c:v>
                </c:pt>
                <c:pt idx="57">
                  <c:v>561783.15659618983</c:v>
                </c:pt>
                <c:pt idx="58">
                  <c:v>561783.15659618983</c:v>
                </c:pt>
                <c:pt idx="59">
                  <c:v>561783.15659618983</c:v>
                </c:pt>
                <c:pt idx="60">
                  <c:v>561783.15659618983</c:v>
                </c:pt>
                <c:pt idx="61">
                  <c:v>561783.15659618983</c:v>
                </c:pt>
                <c:pt idx="62">
                  <c:v>561783.15659618983</c:v>
                </c:pt>
                <c:pt idx="63">
                  <c:v>561783.15659618983</c:v>
                </c:pt>
                <c:pt idx="64">
                  <c:v>561783.15659618983</c:v>
                </c:pt>
                <c:pt idx="65">
                  <c:v>561783.15659618983</c:v>
                </c:pt>
                <c:pt idx="66">
                  <c:v>561783.15659618983</c:v>
                </c:pt>
                <c:pt idx="67">
                  <c:v>561783.15659618983</c:v>
                </c:pt>
                <c:pt idx="68">
                  <c:v>561783.15659618983</c:v>
                </c:pt>
                <c:pt idx="69">
                  <c:v>561783.15659618983</c:v>
                </c:pt>
                <c:pt idx="70">
                  <c:v>561783.15659618983</c:v>
                </c:pt>
                <c:pt idx="71">
                  <c:v>561783.15659618983</c:v>
                </c:pt>
                <c:pt idx="72">
                  <c:v>561783.15659618983</c:v>
                </c:pt>
                <c:pt idx="73">
                  <c:v>561783.15659618983</c:v>
                </c:pt>
                <c:pt idx="74">
                  <c:v>561783.15659618983</c:v>
                </c:pt>
                <c:pt idx="75">
                  <c:v>561783.15659618983</c:v>
                </c:pt>
                <c:pt idx="76">
                  <c:v>561783.15659618983</c:v>
                </c:pt>
                <c:pt idx="77">
                  <c:v>561783.15659618983</c:v>
                </c:pt>
                <c:pt idx="78">
                  <c:v>561783.15659618983</c:v>
                </c:pt>
                <c:pt idx="79">
                  <c:v>561783.15659618983</c:v>
                </c:pt>
                <c:pt idx="80">
                  <c:v>561783.15659618983</c:v>
                </c:pt>
                <c:pt idx="81">
                  <c:v>561783.15659618983</c:v>
                </c:pt>
                <c:pt idx="82">
                  <c:v>561783.15659618983</c:v>
                </c:pt>
                <c:pt idx="83">
                  <c:v>561783.15659618983</c:v>
                </c:pt>
                <c:pt idx="84">
                  <c:v>561783.15659618983</c:v>
                </c:pt>
                <c:pt idx="85">
                  <c:v>561783.15659618983</c:v>
                </c:pt>
                <c:pt idx="86">
                  <c:v>561783.15659618983</c:v>
                </c:pt>
                <c:pt idx="87">
                  <c:v>561783.15659618983</c:v>
                </c:pt>
                <c:pt idx="88">
                  <c:v>561783.15659618983</c:v>
                </c:pt>
                <c:pt idx="89">
                  <c:v>561783.15659618983</c:v>
                </c:pt>
                <c:pt idx="90">
                  <c:v>561783.15659618983</c:v>
                </c:pt>
                <c:pt idx="91">
                  <c:v>561783.15659618983</c:v>
                </c:pt>
                <c:pt idx="92">
                  <c:v>561783.15659618983</c:v>
                </c:pt>
                <c:pt idx="93">
                  <c:v>561783.15659618983</c:v>
                </c:pt>
                <c:pt idx="94">
                  <c:v>561783.15659618983</c:v>
                </c:pt>
                <c:pt idx="95">
                  <c:v>561783.15659618983</c:v>
                </c:pt>
                <c:pt idx="96">
                  <c:v>561783.15659618983</c:v>
                </c:pt>
                <c:pt idx="97">
                  <c:v>561783.15659618983</c:v>
                </c:pt>
                <c:pt idx="98">
                  <c:v>561783.15659618983</c:v>
                </c:pt>
                <c:pt idx="99">
                  <c:v>561783.15659618983</c:v>
                </c:pt>
                <c:pt idx="100">
                  <c:v>561783.15659618983</c:v>
                </c:pt>
                <c:pt idx="101">
                  <c:v>561783.15659618983</c:v>
                </c:pt>
                <c:pt idx="102">
                  <c:v>561783.15659618983</c:v>
                </c:pt>
                <c:pt idx="103">
                  <c:v>561783.15659618983</c:v>
                </c:pt>
                <c:pt idx="104">
                  <c:v>561783.15659618983</c:v>
                </c:pt>
                <c:pt idx="105">
                  <c:v>561783.15659618983</c:v>
                </c:pt>
                <c:pt idx="106">
                  <c:v>561783.15659618983</c:v>
                </c:pt>
                <c:pt idx="107">
                  <c:v>561783.15659618983</c:v>
                </c:pt>
                <c:pt idx="108">
                  <c:v>561783.15659618983</c:v>
                </c:pt>
                <c:pt idx="109">
                  <c:v>561783.15659618983</c:v>
                </c:pt>
                <c:pt idx="110">
                  <c:v>561783.15659618983</c:v>
                </c:pt>
                <c:pt idx="111">
                  <c:v>561783.15659618983</c:v>
                </c:pt>
                <c:pt idx="112">
                  <c:v>561783.15659618983</c:v>
                </c:pt>
                <c:pt idx="113">
                  <c:v>561783.15659618983</c:v>
                </c:pt>
                <c:pt idx="114">
                  <c:v>561783.15659618983</c:v>
                </c:pt>
                <c:pt idx="115">
                  <c:v>561783.15659618983</c:v>
                </c:pt>
                <c:pt idx="116">
                  <c:v>561783.15659618983</c:v>
                </c:pt>
                <c:pt idx="117">
                  <c:v>561783.15659618983</c:v>
                </c:pt>
                <c:pt idx="118">
                  <c:v>561783.15659618983</c:v>
                </c:pt>
                <c:pt idx="119">
                  <c:v>561783.15659618983</c:v>
                </c:pt>
                <c:pt idx="120">
                  <c:v>561783.15659618983</c:v>
                </c:pt>
                <c:pt idx="121">
                  <c:v>561783.15659618983</c:v>
                </c:pt>
                <c:pt idx="122">
                  <c:v>561783.15659618983</c:v>
                </c:pt>
                <c:pt idx="123">
                  <c:v>561783.15659618983</c:v>
                </c:pt>
                <c:pt idx="124">
                  <c:v>561783.15659618983</c:v>
                </c:pt>
                <c:pt idx="125">
                  <c:v>561783.15659618983</c:v>
                </c:pt>
                <c:pt idx="126">
                  <c:v>561783.15659618983</c:v>
                </c:pt>
                <c:pt idx="127">
                  <c:v>561783.15659618983</c:v>
                </c:pt>
                <c:pt idx="128">
                  <c:v>561783.15659618983</c:v>
                </c:pt>
                <c:pt idx="129">
                  <c:v>561783.15659618983</c:v>
                </c:pt>
                <c:pt idx="130">
                  <c:v>561783.15659618983</c:v>
                </c:pt>
                <c:pt idx="131">
                  <c:v>561783.15659618983</c:v>
                </c:pt>
                <c:pt idx="132">
                  <c:v>561783.15659618983</c:v>
                </c:pt>
                <c:pt idx="133">
                  <c:v>561783.15659618983</c:v>
                </c:pt>
                <c:pt idx="134">
                  <c:v>561783.15659618983</c:v>
                </c:pt>
                <c:pt idx="135">
                  <c:v>561783.15659618983</c:v>
                </c:pt>
                <c:pt idx="136">
                  <c:v>561783.15659618983</c:v>
                </c:pt>
                <c:pt idx="137">
                  <c:v>561783.15659618983</c:v>
                </c:pt>
                <c:pt idx="138">
                  <c:v>561783.15659618983</c:v>
                </c:pt>
                <c:pt idx="139">
                  <c:v>561783.15659618983</c:v>
                </c:pt>
                <c:pt idx="140">
                  <c:v>561783.15659618983</c:v>
                </c:pt>
                <c:pt idx="141">
                  <c:v>561783.15659618983</c:v>
                </c:pt>
                <c:pt idx="142">
                  <c:v>561783.15659618983</c:v>
                </c:pt>
                <c:pt idx="143">
                  <c:v>561783.15659618983</c:v>
                </c:pt>
                <c:pt idx="144">
                  <c:v>561783.15659618983</c:v>
                </c:pt>
                <c:pt idx="145">
                  <c:v>561783.15659618983</c:v>
                </c:pt>
                <c:pt idx="146">
                  <c:v>561783.15659618983</c:v>
                </c:pt>
                <c:pt idx="147">
                  <c:v>561783.15659618983</c:v>
                </c:pt>
                <c:pt idx="148">
                  <c:v>561783.15659618983</c:v>
                </c:pt>
                <c:pt idx="149">
                  <c:v>561783.15659618983</c:v>
                </c:pt>
                <c:pt idx="150">
                  <c:v>561783.15659618983</c:v>
                </c:pt>
                <c:pt idx="151">
                  <c:v>561783.15659618983</c:v>
                </c:pt>
                <c:pt idx="152">
                  <c:v>561783.15659618983</c:v>
                </c:pt>
                <c:pt idx="153">
                  <c:v>561783.15659618983</c:v>
                </c:pt>
                <c:pt idx="154">
                  <c:v>561783.15659618983</c:v>
                </c:pt>
                <c:pt idx="155">
                  <c:v>561783.15659618983</c:v>
                </c:pt>
                <c:pt idx="156">
                  <c:v>561783.15659618983</c:v>
                </c:pt>
                <c:pt idx="157">
                  <c:v>561783.15659618983</c:v>
                </c:pt>
                <c:pt idx="158">
                  <c:v>561783.15659618983</c:v>
                </c:pt>
                <c:pt idx="159">
                  <c:v>561783.15659618983</c:v>
                </c:pt>
                <c:pt idx="160">
                  <c:v>561783.15659618983</c:v>
                </c:pt>
                <c:pt idx="161">
                  <c:v>561783.15659618983</c:v>
                </c:pt>
                <c:pt idx="162">
                  <c:v>561783.15659618983</c:v>
                </c:pt>
                <c:pt idx="163">
                  <c:v>561783.15659618983</c:v>
                </c:pt>
                <c:pt idx="164">
                  <c:v>561783.15659618983</c:v>
                </c:pt>
                <c:pt idx="165">
                  <c:v>561783.15659618983</c:v>
                </c:pt>
                <c:pt idx="166">
                  <c:v>561783.15659618983</c:v>
                </c:pt>
                <c:pt idx="167">
                  <c:v>561783.15659618983</c:v>
                </c:pt>
                <c:pt idx="168">
                  <c:v>561783.15659618983</c:v>
                </c:pt>
                <c:pt idx="169">
                  <c:v>561783.15659618983</c:v>
                </c:pt>
                <c:pt idx="170">
                  <c:v>561783.15659618983</c:v>
                </c:pt>
                <c:pt idx="171">
                  <c:v>561783.15659618983</c:v>
                </c:pt>
                <c:pt idx="172">
                  <c:v>561783.15659618983</c:v>
                </c:pt>
                <c:pt idx="173">
                  <c:v>561783.15659618983</c:v>
                </c:pt>
                <c:pt idx="174">
                  <c:v>561783.15659618983</c:v>
                </c:pt>
                <c:pt idx="175">
                  <c:v>561783.15659618983</c:v>
                </c:pt>
                <c:pt idx="176">
                  <c:v>561783.15659618983</c:v>
                </c:pt>
                <c:pt idx="177">
                  <c:v>561783.15659618983</c:v>
                </c:pt>
                <c:pt idx="178">
                  <c:v>561783.15659618983</c:v>
                </c:pt>
                <c:pt idx="179">
                  <c:v>561783.15659618983</c:v>
                </c:pt>
                <c:pt idx="180">
                  <c:v>561783.15659618983</c:v>
                </c:pt>
                <c:pt idx="181">
                  <c:v>561783.15659618983</c:v>
                </c:pt>
                <c:pt idx="182">
                  <c:v>561783.15659618983</c:v>
                </c:pt>
                <c:pt idx="183">
                  <c:v>561783.15659618983</c:v>
                </c:pt>
                <c:pt idx="184">
                  <c:v>561783.15659618983</c:v>
                </c:pt>
                <c:pt idx="185">
                  <c:v>561783.15659618983</c:v>
                </c:pt>
                <c:pt idx="186">
                  <c:v>561783.15659618983</c:v>
                </c:pt>
                <c:pt idx="187">
                  <c:v>561783.15659618983</c:v>
                </c:pt>
                <c:pt idx="188">
                  <c:v>561783.15659618983</c:v>
                </c:pt>
                <c:pt idx="189">
                  <c:v>561783.15659618983</c:v>
                </c:pt>
                <c:pt idx="190">
                  <c:v>561783.15659618983</c:v>
                </c:pt>
                <c:pt idx="191">
                  <c:v>561783.15659618983</c:v>
                </c:pt>
                <c:pt idx="192">
                  <c:v>561783.15659618983</c:v>
                </c:pt>
                <c:pt idx="193">
                  <c:v>561783.15659618983</c:v>
                </c:pt>
                <c:pt idx="194">
                  <c:v>561783.15659618983</c:v>
                </c:pt>
                <c:pt idx="195">
                  <c:v>561783.15659618983</c:v>
                </c:pt>
                <c:pt idx="196">
                  <c:v>561783.15659618983</c:v>
                </c:pt>
                <c:pt idx="197">
                  <c:v>561783.15659618983</c:v>
                </c:pt>
                <c:pt idx="198">
                  <c:v>561783.15659618983</c:v>
                </c:pt>
                <c:pt idx="199">
                  <c:v>561783.15659618983</c:v>
                </c:pt>
                <c:pt idx="200">
                  <c:v>561783.15659618983</c:v>
                </c:pt>
                <c:pt idx="201">
                  <c:v>561783.15659618983</c:v>
                </c:pt>
                <c:pt idx="202">
                  <c:v>561783.15659618983</c:v>
                </c:pt>
                <c:pt idx="203">
                  <c:v>561783.15659618983</c:v>
                </c:pt>
                <c:pt idx="204">
                  <c:v>561783.15659618983</c:v>
                </c:pt>
                <c:pt idx="205">
                  <c:v>561783.15659618983</c:v>
                </c:pt>
                <c:pt idx="206">
                  <c:v>561783.15659618983</c:v>
                </c:pt>
                <c:pt idx="207">
                  <c:v>561783.15659618983</c:v>
                </c:pt>
                <c:pt idx="208">
                  <c:v>561783.15659618983</c:v>
                </c:pt>
                <c:pt idx="209">
                  <c:v>561783.15659618983</c:v>
                </c:pt>
                <c:pt idx="210">
                  <c:v>561783.15659618983</c:v>
                </c:pt>
                <c:pt idx="211">
                  <c:v>561783.15659618983</c:v>
                </c:pt>
                <c:pt idx="212">
                  <c:v>561783.15659618983</c:v>
                </c:pt>
                <c:pt idx="213">
                  <c:v>561783.15659618983</c:v>
                </c:pt>
                <c:pt idx="214">
                  <c:v>561783.15659618983</c:v>
                </c:pt>
                <c:pt idx="215">
                  <c:v>561783.15659618983</c:v>
                </c:pt>
                <c:pt idx="216">
                  <c:v>561783.15659618983</c:v>
                </c:pt>
                <c:pt idx="217">
                  <c:v>561783.15659618983</c:v>
                </c:pt>
                <c:pt idx="218">
                  <c:v>561783.15659618983</c:v>
                </c:pt>
                <c:pt idx="219">
                  <c:v>561783.15659618983</c:v>
                </c:pt>
                <c:pt idx="220">
                  <c:v>561783.15659618983</c:v>
                </c:pt>
                <c:pt idx="221">
                  <c:v>561783.15659618983</c:v>
                </c:pt>
                <c:pt idx="222">
                  <c:v>561783.15659618983</c:v>
                </c:pt>
                <c:pt idx="223">
                  <c:v>561783.15659618983</c:v>
                </c:pt>
                <c:pt idx="224">
                  <c:v>561783.15659618983</c:v>
                </c:pt>
                <c:pt idx="225">
                  <c:v>561783.15659618983</c:v>
                </c:pt>
                <c:pt idx="226">
                  <c:v>561783.15659618983</c:v>
                </c:pt>
                <c:pt idx="227">
                  <c:v>561783.15659618983</c:v>
                </c:pt>
                <c:pt idx="228">
                  <c:v>561783.15659618983</c:v>
                </c:pt>
                <c:pt idx="229">
                  <c:v>561783.15659618983</c:v>
                </c:pt>
                <c:pt idx="230">
                  <c:v>561783.15659618983</c:v>
                </c:pt>
                <c:pt idx="231">
                  <c:v>561783.15659618983</c:v>
                </c:pt>
                <c:pt idx="232">
                  <c:v>561783.15659618983</c:v>
                </c:pt>
                <c:pt idx="233">
                  <c:v>561783.15659618983</c:v>
                </c:pt>
                <c:pt idx="234">
                  <c:v>561783.15659618983</c:v>
                </c:pt>
                <c:pt idx="235">
                  <c:v>561783.15659618983</c:v>
                </c:pt>
                <c:pt idx="236">
                  <c:v>561783.15659618983</c:v>
                </c:pt>
                <c:pt idx="237">
                  <c:v>561783.15659618983</c:v>
                </c:pt>
                <c:pt idx="238">
                  <c:v>561783.15659618983</c:v>
                </c:pt>
                <c:pt idx="239">
                  <c:v>561783.15659618983</c:v>
                </c:pt>
                <c:pt idx="240">
                  <c:v>561783.15659618983</c:v>
                </c:pt>
                <c:pt idx="241">
                  <c:v>561783.15659618983</c:v>
                </c:pt>
                <c:pt idx="242">
                  <c:v>561783.15659618983</c:v>
                </c:pt>
                <c:pt idx="243">
                  <c:v>561783.15659618983</c:v>
                </c:pt>
                <c:pt idx="244">
                  <c:v>561783.15659618983</c:v>
                </c:pt>
                <c:pt idx="245">
                  <c:v>561783.15659618983</c:v>
                </c:pt>
                <c:pt idx="246">
                  <c:v>561783.15659618983</c:v>
                </c:pt>
                <c:pt idx="247">
                  <c:v>561783.15659618983</c:v>
                </c:pt>
                <c:pt idx="248">
                  <c:v>561783.15659618983</c:v>
                </c:pt>
                <c:pt idx="249">
                  <c:v>561783.15659618983</c:v>
                </c:pt>
                <c:pt idx="250">
                  <c:v>561783.15659618983</c:v>
                </c:pt>
                <c:pt idx="251">
                  <c:v>561783.15659618983</c:v>
                </c:pt>
                <c:pt idx="252">
                  <c:v>561783.15659618983</c:v>
                </c:pt>
                <c:pt idx="253">
                  <c:v>561783.15659618983</c:v>
                </c:pt>
                <c:pt idx="254">
                  <c:v>561783.15659618983</c:v>
                </c:pt>
                <c:pt idx="255">
                  <c:v>561783.15659618983</c:v>
                </c:pt>
                <c:pt idx="256">
                  <c:v>561783.15659618983</c:v>
                </c:pt>
                <c:pt idx="257">
                  <c:v>561783.15659618983</c:v>
                </c:pt>
                <c:pt idx="258">
                  <c:v>561783.15659618983</c:v>
                </c:pt>
                <c:pt idx="259">
                  <c:v>561783.15659618983</c:v>
                </c:pt>
                <c:pt idx="260">
                  <c:v>561783.15659618983</c:v>
                </c:pt>
                <c:pt idx="261">
                  <c:v>561783.15659618983</c:v>
                </c:pt>
                <c:pt idx="262">
                  <c:v>561783.15659618983</c:v>
                </c:pt>
                <c:pt idx="263">
                  <c:v>561783.15659618983</c:v>
                </c:pt>
                <c:pt idx="264">
                  <c:v>561783.15659618983</c:v>
                </c:pt>
                <c:pt idx="265">
                  <c:v>561783.15659618983</c:v>
                </c:pt>
                <c:pt idx="266">
                  <c:v>561783.15659618983</c:v>
                </c:pt>
                <c:pt idx="267">
                  <c:v>561783.15659618983</c:v>
                </c:pt>
                <c:pt idx="268">
                  <c:v>561783.15659618983</c:v>
                </c:pt>
                <c:pt idx="269">
                  <c:v>561783.15659618983</c:v>
                </c:pt>
                <c:pt idx="270">
                  <c:v>561783.15659618983</c:v>
                </c:pt>
                <c:pt idx="271">
                  <c:v>561783.15659618983</c:v>
                </c:pt>
                <c:pt idx="272">
                  <c:v>561783.15659618983</c:v>
                </c:pt>
                <c:pt idx="273">
                  <c:v>561783.15659618983</c:v>
                </c:pt>
                <c:pt idx="274">
                  <c:v>561783.15659618983</c:v>
                </c:pt>
                <c:pt idx="275">
                  <c:v>561783.15659618983</c:v>
                </c:pt>
                <c:pt idx="276">
                  <c:v>561783.15659618983</c:v>
                </c:pt>
                <c:pt idx="277">
                  <c:v>561783.15659618983</c:v>
                </c:pt>
                <c:pt idx="278">
                  <c:v>561783.15659618983</c:v>
                </c:pt>
                <c:pt idx="279">
                  <c:v>561783.15659618983</c:v>
                </c:pt>
                <c:pt idx="280">
                  <c:v>561783.15659618983</c:v>
                </c:pt>
                <c:pt idx="281">
                  <c:v>561783.15659618983</c:v>
                </c:pt>
                <c:pt idx="282">
                  <c:v>561783.15659618983</c:v>
                </c:pt>
                <c:pt idx="283">
                  <c:v>561783.15659618983</c:v>
                </c:pt>
                <c:pt idx="284">
                  <c:v>561783.15659618983</c:v>
                </c:pt>
                <c:pt idx="285">
                  <c:v>561783.15659618983</c:v>
                </c:pt>
                <c:pt idx="286">
                  <c:v>561783.15659618983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1421789.9669978167</c:v>
                </c:pt>
                <c:pt idx="16">
                  <c:v>1421789.9669978167</c:v>
                </c:pt>
                <c:pt idx="17">
                  <c:v>1421789.9669978167</c:v>
                </c:pt>
                <c:pt idx="18">
                  <c:v>1421789.9669978167</c:v>
                </c:pt>
                <c:pt idx="19">
                  <c:v>1421789.9669978167</c:v>
                </c:pt>
                <c:pt idx="20">
                  <c:v>1949792.1282743714</c:v>
                </c:pt>
                <c:pt idx="21">
                  <c:v>1949792.1282743714</c:v>
                </c:pt>
                <c:pt idx="22">
                  <c:v>1949792.1282743714</c:v>
                </c:pt>
                <c:pt idx="23">
                  <c:v>1949792.1282743714</c:v>
                </c:pt>
                <c:pt idx="24">
                  <c:v>1973058.1214075882</c:v>
                </c:pt>
                <c:pt idx="25">
                  <c:v>1973058.1214075882</c:v>
                </c:pt>
                <c:pt idx="26">
                  <c:v>1973058.1214075882</c:v>
                </c:pt>
                <c:pt idx="27">
                  <c:v>1973058.1214075882</c:v>
                </c:pt>
                <c:pt idx="28">
                  <c:v>1973058.1214075882</c:v>
                </c:pt>
                <c:pt idx="29">
                  <c:v>1973058.1214075882</c:v>
                </c:pt>
                <c:pt idx="30">
                  <c:v>1973058.1214075882</c:v>
                </c:pt>
                <c:pt idx="31">
                  <c:v>1973058.1214075882</c:v>
                </c:pt>
                <c:pt idx="32">
                  <c:v>1973058.1214075882</c:v>
                </c:pt>
                <c:pt idx="33">
                  <c:v>1973058.1214075882</c:v>
                </c:pt>
                <c:pt idx="34">
                  <c:v>1973058.1214075882</c:v>
                </c:pt>
                <c:pt idx="35">
                  <c:v>1973058.1214075882</c:v>
                </c:pt>
                <c:pt idx="36">
                  <c:v>1973058.1214075882</c:v>
                </c:pt>
                <c:pt idx="37">
                  <c:v>1973058.1214075882</c:v>
                </c:pt>
                <c:pt idx="38">
                  <c:v>1973058.1214075882</c:v>
                </c:pt>
                <c:pt idx="39">
                  <c:v>1973058.1214075882</c:v>
                </c:pt>
                <c:pt idx="40">
                  <c:v>1973058.1214075882</c:v>
                </c:pt>
                <c:pt idx="41">
                  <c:v>1973058.1214075882</c:v>
                </c:pt>
                <c:pt idx="42">
                  <c:v>1973058.1214075882</c:v>
                </c:pt>
                <c:pt idx="43">
                  <c:v>1973058.1214075882</c:v>
                </c:pt>
                <c:pt idx="44">
                  <c:v>1973058.1214075882</c:v>
                </c:pt>
                <c:pt idx="45">
                  <c:v>1973058.1214075882</c:v>
                </c:pt>
                <c:pt idx="46">
                  <c:v>1973058.1214075882</c:v>
                </c:pt>
                <c:pt idx="47">
                  <c:v>1973058.1214075882</c:v>
                </c:pt>
                <c:pt idx="48">
                  <c:v>1973058.1214075882</c:v>
                </c:pt>
                <c:pt idx="49">
                  <c:v>1973058.1214075882</c:v>
                </c:pt>
                <c:pt idx="50">
                  <c:v>1973058.1214075882</c:v>
                </c:pt>
                <c:pt idx="51">
                  <c:v>1973058.1214075882</c:v>
                </c:pt>
                <c:pt idx="52">
                  <c:v>1973058.1214075882</c:v>
                </c:pt>
                <c:pt idx="53">
                  <c:v>1973058.1214075882</c:v>
                </c:pt>
                <c:pt idx="54">
                  <c:v>1973058.1214075882</c:v>
                </c:pt>
                <c:pt idx="55">
                  <c:v>1973058.1214075882</c:v>
                </c:pt>
                <c:pt idx="56">
                  <c:v>1973058.1214075882</c:v>
                </c:pt>
                <c:pt idx="57">
                  <c:v>1973058.1214075882</c:v>
                </c:pt>
                <c:pt idx="58">
                  <c:v>1973058.1214075882</c:v>
                </c:pt>
                <c:pt idx="59">
                  <c:v>1973058.1214075882</c:v>
                </c:pt>
                <c:pt idx="60">
                  <c:v>1973058.1214075882</c:v>
                </c:pt>
                <c:pt idx="61">
                  <c:v>1973058.1214075882</c:v>
                </c:pt>
                <c:pt idx="62">
                  <c:v>1973058.1214075882</c:v>
                </c:pt>
                <c:pt idx="63">
                  <c:v>1973058.1214075882</c:v>
                </c:pt>
                <c:pt idx="64">
                  <c:v>1973058.1214075882</c:v>
                </c:pt>
                <c:pt idx="65">
                  <c:v>1973058.1214075882</c:v>
                </c:pt>
                <c:pt idx="66">
                  <c:v>1973058.1214075882</c:v>
                </c:pt>
                <c:pt idx="67">
                  <c:v>1973058.1214075882</c:v>
                </c:pt>
                <c:pt idx="68">
                  <c:v>1973058.1214075882</c:v>
                </c:pt>
                <c:pt idx="69">
                  <c:v>1973058.1214075882</c:v>
                </c:pt>
                <c:pt idx="70">
                  <c:v>1973058.1214075882</c:v>
                </c:pt>
                <c:pt idx="71">
                  <c:v>1973058.1214075882</c:v>
                </c:pt>
                <c:pt idx="72">
                  <c:v>1973058.1214075882</c:v>
                </c:pt>
                <c:pt idx="73">
                  <c:v>1973058.1214075882</c:v>
                </c:pt>
                <c:pt idx="74">
                  <c:v>1973058.1214075882</c:v>
                </c:pt>
                <c:pt idx="75">
                  <c:v>1973058.1214075882</c:v>
                </c:pt>
                <c:pt idx="76">
                  <c:v>1973058.1214075882</c:v>
                </c:pt>
                <c:pt idx="77">
                  <c:v>1973058.1214075882</c:v>
                </c:pt>
                <c:pt idx="78">
                  <c:v>1973058.1214075882</c:v>
                </c:pt>
                <c:pt idx="79">
                  <c:v>1973058.1214075882</c:v>
                </c:pt>
                <c:pt idx="80">
                  <c:v>1973058.1214075882</c:v>
                </c:pt>
                <c:pt idx="81">
                  <c:v>1973058.1214075882</c:v>
                </c:pt>
                <c:pt idx="82">
                  <c:v>1973058.1214075882</c:v>
                </c:pt>
                <c:pt idx="83">
                  <c:v>1973058.1214075882</c:v>
                </c:pt>
                <c:pt idx="84">
                  <c:v>1973058.1214075882</c:v>
                </c:pt>
                <c:pt idx="85">
                  <c:v>1973058.1214075882</c:v>
                </c:pt>
                <c:pt idx="86">
                  <c:v>1973058.1214075882</c:v>
                </c:pt>
                <c:pt idx="87">
                  <c:v>1973058.1214075882</c:v>
                </c:pt>
                <c:pt idx="88">
                  <c:v>1973058.1214075882</c:v>
                </c:pt>
                <c:pt idx="89">
                  <c:v>1973058.1214075882</c:v>
                </c:pt>
                <c:pt idx="90">
                  <c:v>1973058.1214075882</c:v>
                </c:pt>
                <c:pt idx="91">
                  <c:v>1973058.1214075882</c:v>
                </c:pt>
                <c:pt idx="92">
                  <c:v>1973058.1214075882</c:v>
                </c:pt>
                <c:pt idx="93">
                  <c:v>1973058.1214075882</c:v>
                </c:pt>
                <c:pt idx="94">
                  <c:v>1973058.1214075882</c:v>
                </c:pt>
                <c:pt idx="95">
                  <c:v>1973058.1214075882</c:v>
                </c:pt>
                <c:pt idx="96">
                  <c:v>1973058.1214075882</c:v>
                </c:pt>
                <c:pt idx="97">
                  <c:v>1973058.1214075882</c:v>
                </c:pt>
                <c:pt idx="98">
                  <c:v>1973058.1214075882</c:v>
                </c:pt>
                <c:pt idx="99">
                  <c:v>1973058.1214075882</c:v>
                </c:pt>
                <c:pt idx="100">
                  <c:v>1973058.1214075882</c:v>
                </c:pt>
                <c:pt idx="101">
                  <c:v>1973058.1214075882</c:v>
                </c:pt>
                <c:pt idx="102">
                  <c:v>1973058.1214075882</c:v>
                </c:pt>
                <c:pt idx="103">
                  <c:v>1973058.1214075882</c:v>
                </c:pt>
                <c:pt idx="104">
                  <c:v>1973058.1214075882</c:v>
                </c:pt>
                <c:pt idx="105">
                  <c:v>1973058.1214075882</c:v>
                </c:pt>
                <c:pt idx="106">
                  <c:v>1973058.1214075882</c:v>
                </c:pt>
                <c:pt idx="107">
                  <c:v>1973058.1214075882</c:v>
                </c:pt>
                <c:pt idx="108">
                  <c:v>1973058.1214075882</c:v>
                </c:pt>
                <c:pt idx="109">
                  <c:v>1973058.1214075882</c:v>
                </c:pt>
                <c:pt idx="110">
                  <c:v>1973058.1214075882</c:v>
                </c:pt>
                <c:pt idx="111">
                  <c:v>1973058.1214075882</c:v>
                </c:pt>
                <c:pt idx="112">
                  <c:v>1973058.1214075882</c:v>
                </c:pt>
                <c:pt idx="113">
                  <c:v>1973058.1214075882</c:v>
                </c:pt>
                <c:pt idx="114">
                  <c:v>1973058.1214075882</c:v>
                </c:pt>
                <c:pt idx="115">
                  <c:v>1973058.1214075882</c:v>
                </c:pt>
                <c:pt idx="116">
                  <c:v>1973058.1214075882</c:v>
                </c:pt>
                <c:pt idx="117">
                  <c:v>1973058.1214075882</c:v>
                </c:pt>
                <c:pt idx="118">
                  <c:v>1973058.1214075882</c:v>
                </c:pt>
                <c:pt idx="119">
                  <c:v>1973058.1214075882</c:v>
                </c:pt>
                <c:pt idx="120">
                  <c:v>1973058.1214075882</c:v>
                </c:pt>
                <c:pt idx="121">
                  <c:v>1973058.1214075882</c:v>
                </c:pt>
                <c:pt idx="122">
                  <c:v>1973058.1214075882</c:v>
                </c:pt>
                <c:pt idx="123">
                  <c:v>1973058.1214075882</c:v>
                </c:pt>
                <c:pt idx="124">
                  <c:v>1973058.1214075882</c:v>
                </c:pt>
                <c:pt idx="125">
                  <c:v>1973058.1214075882</c:v>
                </c:pt>
                <c:pt idx="126">
                  <c:v>1973058.1214075882</c:v>
                </c:pt>
                <c:pt idx="127">
                  <c:v>1973058.1214075882</c:v>
                </c:pt>
                <c:pt idx="128">
                  <c:v>1973058.1214075882</c:v>
                </c:pt>
                <c:pt idx="129">
                  <c:v>1973058.1214075882</c:v>
                </c:pt>
                <c:pt idx="130">
                  <c:v>1973058.1214075882</c:v>
                </c:pt>
                <c:pt idx="131">
                  <c:v>1973058.1214075882</c:v>
                </c:pt>
                <c:pt idx="132">
                  <c:v>1973058.1214075882</c:v>
                </c:pt>
                <c:pt idx="133">
                  <c:v>1973058.1214075882</c:v>
                </c:pt>
                <c:pt idx="134">
                  <c:v>1973058.1214075882</c:v>
                </c:pt>
                <c:pt idx="135">
                  <c:v>1973058.1214075882</c:v>
                </c:pt>
                <c:pt idx="136">
                  <c:v>1973058.1214075882</c:v>
                </c:pt>
                <c:pt idx="137">
                  <c:v>1973058.1214075882</c:v>
                </c:pt>
                <c:pt idx="138">
                  <c:v>1973058.1214075882</c:v>
                </c:pt>
                <c:pt idx="139">
                  <c:v>1973058.1214075882</c:v>
                </c:pt>
                <c:pt idx="140">
                  <c:v>1973058.1214075882</c:v>
                </c:pt>
                <c:pt idx="141">
                  <c:v>1973058.1214075882</c:v>
                </c:pt>
                <c:pt idx="142">
                  <c:v>1973058.1214075882</c:v>
                </c:pt>
                <c:pt idx="143">
                  <c:v>1973058.1214075882</c:v>
                </c:pt>
                <c:pt idx="144">
                  <c:v>1973058.1214075882</c:v>
                </c:pt>
                <c:pt idx="145">
                  <c:v>1973058.1214075882</c:v>
                </c:pt>
                <c:pt idx="146">
                  <c:v>1973058.1214075882</c:v>
                </c:pt>
                <c:pt idx="147">
                  <c:v>1973058.1214075882</c:v>
                </c:pt>
                <c:pt idx="148">
                  <c:v>1973058.1214075882</c:v>
                </c:pt>
                <c:pt idx="149">
                  <c:v>1973058.1214075882</c:v>
                </c:pt>
                <c:pt idx="150">
                  <c:v>1973058.1214075882</c:v>
                </c:pt>
                <c:pt idx="151">
                  <c:v>1973058.1214075882</c:v>
                </c:pt>
                <c:pt idx="152">
                  <c:v>1973058.1214075882</c:v>
                </c:pt>
                <c:pt idx="153">
                  <c:v>1973058.1214075882</c:v>
                </c:pt>
                <c:pt idx="154">
                  <c:v>1973058.1214075882</c:v>
                </c:pt>
                <c:pt idx="155">
                  <c:v>1973058.1214075882</c:v>
                </c:pt>
                <c:pt idx="156">
                  <c:v>1973058.1214075882</c:v>
                </c:pt>
                <c:pt idx="157">
                  <c:v>1973058.1214075882</c:v>
                </c:pt>
                <c:pt idx="158">
                  <c:v>1973058.1214075882</c:v>
                </c:pt>
                <c:pt idx="159">
                  <c:v>1973058.1214075882</c:v>
                </c:pt>
                <c:pt idx="160">
                  <c:v>1973058.1214075882</c:v>
                </c:pt>
                <c:pt idx="161">
                  <c:v>1973058.1214075882</c:v>
                </c:pt>
                <c:pt idx="162">
                  <c:v>1973058.1214075882</c:v>
                </c:pt>
                <c:pt idx="163">
                  <c:v>1973058.1214075882</c:v>
                </c:pt>
                <c:pt idx="164">
                  <c:v>1973058.1214075882</c:v>
                </c:pt>
                <c:pt idx="165">
                  <c:v>1973058.1214075882</c:v>
                </c:pt>
                <c:pt idx="166">
                  <c:v>1973058.1214075882</c:v>
                </c:pt>
                <c:pt idx="167">
                  <c:v>1973058.1214075882</c:v>
                </c:pt>
                <c:pt idx="168">
                  <c:v>1973058.1214075882</c:v>
                </c:pt>
                <c:pt idx="169">
                  <c:v>1973058.1214075882</c:v>
                </c:pt>
                <c:pt idx="170">
                  <c:v>1973058.1214075882</c:v>
                </c:pt>
                <c:pt idx="171">
                  <c:v>1973058.1214075882</c:v>
                </c:pt>
                <c:pt idx="172">
                  <c:v>1973058.1214075882</c:v>
                </c:pt>
                <c:pt idx="173">
                  <c:v>1973058.1214075882</c:v>
                </c:pt>
                <c:pt idx="174">
                  <c:v>1973058.1214075882</c:v>
                </c:pt>
                <c:pt idx="175">
                  <c:v>1973058.1214075882</c:v>
                </c:pt>
                <c:pt idx="176">
                  <c:v>1973058.1214075882</c:v>
                </c:pt>
                <c:pt idx="177">
                  <c:v>1973058.1214075882</c:v>
                </c:pt>
                <c:pt idx="178">
                  <c:v>1973058.1214075882</c:v>
                </c:pt>
                <c:pt idx="179">
                  <c:v>1973058.1214075882</c:v>
                </c:pt>
                <c:pt idx="180">
                  <c:v>1973058.1214075882</c:v>
                </c:pt>
                <c:pt idx="181">
                  <c:v>1973058.1214075882</c:v>
                </c:pt>
                <c:pt idx="182">
                  <c:v>1973058.1214075882</c:v>
                </c:pt>
                <c:pt idx="183">
                  <c:v>1973058.1214075882</c:v>
                </c:pt>
                <c:pt idx="184">
                  <c:v>1973058.1214075882</c:v>
                </c:pt>
                <c:pt idx="185">
                  <c:v>1973058.1214075882</c:v>
                </c:pt>
                <c:pt idx="186">
                  <c:v>1973058.1214075882</c:v>
                </c:pt>
                <c:pt idx="187">
                  <c:v>1973058.1214075882</c:v>
                </c:pt>
                <c:pt idx="188">
                  <c:v>1973058.1214075882</c:v>
                </c:pt>
                <c:pt idx="189">
                  <c:v>1973058.1214075882</c:v>
                </c:pt>
                <c:pt idx="190">
                  <c:v>1973058.1214075882</c:v>
                </c:pt>
                <c:pt idx="191">
                  <c:v>1973058.1214075882</c:v>
                </c:pt>
                <c:pt idx="192">
                  <c:v>1973058.1214075882</c:v>
                </c:pt>
                <c:pt idx="193">
                  <c:v>1973058.1214075882</c:v>
                </c:pt>
                <c:pt idx="194">
                  <c:v>1973058.1214075882</c:v>
                </c:pt>
                <c:pt idx="195">
                  <c:v>1973058.1214075882</c:v>
                </c:pt>
                <c:pt idx="196">
                  <c:v>1973058.1214075882</c:v>
                </c:pt>
                <c:pt idx="197">
                  <c:v>1973058.1214075882</c:v>
                </c:pt>
                <c:pt idx="198">
                  <c:v>1973058.1214075882</c:v>
                </c:pt>
                <c:pt idx="199">
                  <c:v>1973058.1214075882</c:v>
                </c:pt>
                <c:pt idx="200">
                  <c:v>1973058.1214075882</c:v>
                </c:pt>
                <c:pt idx="201">
                  <c:v>1973058.1214075882</c:v>
                </c:pt>
                <c:pt idx="202">
                  <c:v>1973058.1214075882</c:v>
                </c:pt>
                <c:pt idx="203">
                  <c:v>1973058.1214075882</c:v>
                </c:pt>
                <c:pt idx="204">
                  <c:v>1973058.1214075882</c:v>
                </c:pt>
                <c:pt idx="205">
                  <c:v>1973058.1214075882</c:v>
                </c:pt>
                <c:pt idx="206">
                  <c:v>1973058.1214075882</c:v>
                </c:pt>
                <c:pt idx="207">
                  <c:v>1973058.1214075882</c:v>
                </c:pt>
                <c:pt idx="208">
                  <c:v>1973058.1214075882</c:v>
                </c:pt>
                <c:pt idx="209">
                  <c:v>1973058.1214075882</c:v>
                </c:pt>
                <c:pt idx="210">
                  <c:v>1973058.1214075882</c:v>
                </c:pt>
                <c:pt idx="211">
                  <c:v>1973058.1214075882</c:v>
                </c:pt>
                <c:pt idx="212">
                  <c:v>1973058.1214075882</c:v>
                </c:pt>
                <c:pt idx="213">
                  <c:v>1973058.1214075882</c:v>
                </c:pt>
                <c:pt idx="214">
                  <c:v>1973058.1214075882</c:v>
                </c:pt>
                <c:pt idx="215">
                  <c:v>1973058.1214075882</c:v>
                </c:pt>
                <c:pt idx="216">
                  <c:v>1973058.1214075882</c:v>
                </c:pt>
                <c:pt idx="217">
                  <c:v>1973058.1214075882</c:v>
                </c:pt>
                <c:pt idx="218">
                  <c:v>1973058.1214075882</c:v>
                </c:pt>
                <c:pt idx="219">
                  <c:v>1973058.1214075882</c:v>
                </c:pt>
                <c:pt idx="220">
                  <c:v>1973058.1214075882</c:v>
                </c:pt>
                <c:pt idx="221">
                  <c:v>1973058.1214075882</c:v>
                </c:pt>
                <c:pt idx="222">
                  <c:v>1973058.1214075882</c:v>
                </c:pt>
                <c:pt idx="223">
                  <c:v>1973058.1214075882</c:v>
                </c:pt>
                <c:pt idx="224">
                  <c:v>1973058.1214075882</c:v>
                </c:pt>
                <c:pt idx="225">
                  <c:v>1973058.1214075882</c:v>
                </c:pt>
                <c:pt idx="226">
                  <c:v>1973058.1214075882</c:v>
                </c:pt>
                <c:pt idx="227">
                  <c:v>1973058.1214075882</c:v>
                </c:pt>
                <c:pt idx="228">
                  <c:v>1973058.1214075882</c:v>
                </c:pt>
                <c:pt idx="229">
                  <c:v>1973058.1214075882</c:v>
                </c:pt>
                <c:pt idx="230">
                  <c:v>1973058.1214075882</c:v>
                </c:pt>
                <c:pt idx="231">
                  <c:v>1973058.1214075882</c:v>
                </c:pt>
                <c:pt idx="232">
                  <c:v>1973058.1214075882</c:v>
                </c:pt>
                <c:pt idx="233">
                  <c:v>1973058.1214075882</c:v>
                </c:pt>
                <c:pt idx="234">
                  <c:v>1973058.1214075882</c:v>
                </c:pt>
                <c:pt idx="235">
                  <c:v>1973058.1214075882</c:v>
                </c:pt>
                <c:pt idx="236">
                  <c:v>1973058.1214075882</c:v>
                </c:pt>
                <c:pt idx="237">
                  <c:v>1973058.1214075882</c:v>
                </c:pt>
                <c:pt idx="238">
                  <c:v>1973058.1214075882</c:v>
                </c:pt>
                <c:pt idx="239">
                  <c:v>1973058.1214075882</c:v>
                </c:pt>
                <c:pt idx="240">
                  <c:v>1973058.1214075882</c:v>
                </c:pt>
                <c:pt idx="241">
                  <c:v>1973058.1214075882</c:v>
                </c:pt>
                <c:pt idx="242">
                  <c:v>1973058.1214075882</c:v>
                </c:pt>
                <c:pt idx="243">
                  <c:v>1973058.1214075882</c:v>
                </c:pt>
                <c:pt idx="244">
                  <c:v>1973058.1214075882</c:v>
                </c:pt>
                <c:pt idx="245">
                  <c:v>1973058.1214075882</c:v>
                </c:pt>
                <c:pt idx="246">
                  <c:v>1973058.1214075882</c:v>
                </c:pt>
                <c:pt idx="247">
                  <c:v>1973058.1214075882</c:v>
                </c:pt>
                <c:pt idx="248">
                  <c:v>1973058.1214075882</c:v>
                </c:pt>
                <c:pt idx="249">
                  <c:v>1973058.1214075882</c:v>
                </c:pt>
                <c:pt idx="250">
                  <c:v>1973058.1214075882</c:v>
                </c:pt>
                <c:pt idx="251">
                  <c:v>1973058.1214075882</c:v>
                </c:pt>
                <c:pt idx="252">
                  <c:v>1973058.1214075882</c:v>
                </c:pt>
                <c:pt idx="253">
                  <c:v>1973058.1214075882</c:v>
                </c:pt>
                <c:pt idx="254">
                  <c:v>1973058.1214075882</c:v>
                </c:pt>
                <c:pt idx="255">
                  <c:v>1973058.1214075882</c:v>
                </c:pt>
                <c:pt idx="256">
                  <c:v>1973058.1214075882</c:v>
                </c:pt>
                <c:pt idx="257">
                  <c:v>1973058.1214075882</c:v>
                </c:pt>
                <c:pt idx="258">
                  <c:v>1973058.1214075882</c:v>
                </c:pt>
                <c:pt idx="259">
                  <c:v>1973058.1214075882</c:v>
                </c:pt>
                <c:pt idx="260">
                  <c:v>1973058.1214075882</c:v>
                </c:pt>
                <c:pt idx="261">
                  <c:v>1973058.1214075882</c:v>
                </c:pt>
                <c:pt idx="262">
                  <c:v>1973058.1214075882</c:v>
                </c:pt>
                <c:pt idx="263">
                  <c:v>1973058.1214075882</c:v>
                </c:pt>
                <c:pt idx="264">
                  <c:v>1973058.1214075882</c:v>
                </c:pt>
                <c:pt idx="265">
                  <c:v>1973058.1214075882</c:v>
                </c:pt>
                <c:pt idx="266">
                  <c:v>1973058.1214075882</c:v>
                </c:pt>
                <c:pt idx="267">
                  <c:v>1973058.1214075882</c:v>
                </c:pt>
                <c:pt idx="268">
                  <c:v>1973058.1214075882</c:v>
                </c:pt>
                <c:pt idx="269">
                  <c:v>1973058.1214075882</c:v>
                </c:pt>
                <c:pt idx="270">
                  <c:v>1973058.1214075882</c:v>
                </c:pt>
                <c:pt idx="271">
                  <c:v>1973058.1214075882</c:v>
                </c:pt>
                <c:pt idx="272">
                  <c:v>1973058.1214075882</c:v>
                </c:pt>
                <c:pt idx="273">
                  <c:v>1973058.1214075882</c:v>
                </c:pt>
                <c:pt idx="274">
                  <c:v>1973058.1214075882</c:v>
                </c:pt>
                <c:pt idx="275">
                  <c:v>1973058.1214075882</c:v>
                </c:pt>
                <c:pt idx="276">
                  <c:v>1973058.1214075882</c:v>
                </c:pt>
                <c:pt idx="277">
                  <c:v>1973058.1214075882</c:v>
                </c:pt>
                <c:pt idx="278">
                  <c:v>1973058.1214075882</c:v>
                </c:pt>
                <c:pt idx="279">
                  <c:v>1973058.1214075882</c:v>
                </c:pt>
                <c:pt idx="280">
                  <c:v>1973058.1214075882</c:v>
                </c:pt>
                <c:pt idx="281">
                  <c:v>1973058.1214075882</c:v>
                </c:pt>
                <c:pt idx="282">
                  <c:v>1973058.1214075882</c:v>
                </c:pt>
                <c:pt idx="283">
                  <c:v>1973058.1214075882</c:v>
                </c:pt>
                <c:pt idx="284">
                  <c:v>1973058.1214075882</c:v>
                </c:pt>
                <c:pt idx="285">
                  <c:v>1973058.1214075882</c:v>
                </c:pt>
                <c:pt idx="286">
                  <c:v>1973058.1214075882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55" t="s">
        <v>0</v>
      </c>
      <c r="C2" s="655"/>
      <c r="D2" s="655"/>
      <c r="E2" s="655"/>
      <c r="H2" s="656" t="s">
        <v>1</v>
      </c>
      <c r="I2" s="657"/>
      <c r="J2" s="657"/>
      <c r="K2" s="657"/>
      <c r="L2" s="657"/>
      <c r="M2" s="657"/>
      <c r="N2" s="657"/>
      <c r="O2" s="658"/>
    </row>
    <row r="3" spans="2:15">
      <c r="B3" s="614"/>
      <c r="H3" s="659"/>
      <c r="I3" s="660"/>
      <c r="J3" s="660"/>
      <c r="K3" s="660"/>
      <c r="L3" s="660"/>
      <c r="M3" s="660"/>
      <c r="N3" s="660"/>
      <c r="O3" s="661"/>
    </row>
    <row r="4" spans="2:15">
      <c r="B4" s="615" t="s">
        <v>2</v>
      </c>
      <c r="C4" s="616" t="str">
        <f>'Project Plan'!E2</f>
        <v>Riverside Mall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5" t="s">
        <v>3</v>
      </c>
      <c r="C5" s="616" t="s">
        <v>4</v>
      </c>
      <c r="H5" s="659"/>
      <c r="I5" s="660"/>
      <c r="J5" s="660"/>
      <c r="K5" s="660"/>
      <c r="L5" s="660"/>
      <c r="M5" s="660"/>
      <c r="N5" s="660"/>
      <c r="O5" s="661"/>
    </row>
    <row r="6" spans="2:15">
      <c r="B6" s="615" t="s">
        <v>5</v>
      </c>
      <c r="C6" s="616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5" t="s">
        <v>7</v>
      </c>
      <c r="C7" s="616" t="s">
        <v>8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4"/>
      <c r="H8" s="659"/>
      <c r="I8" s="660"/>
      <c r="J8" s="660"/>
      <c r="K8" s="660"/>
      <c r="L8" s="660"/>
      <c r="M8" s="660"/>
      <c r="N8" s="660"/>
      <c r="O8" s="661"/>
    </row>
    <row r="9" spans="2:15">
      <c r="B9" s="665" t="s">
        <v>9</v>
      </c>
      <c r="C9" s="665"/>
      <c r="D9" s="665"/>
      <c r="E9" s="665"/>
      <c r="H9" s="659"/>
      <c r="I9" s="660"/>
      <c r="J9" s="660"/>
      <c r="K9" s="660"/>
      <c r="L9" s="660"/>
      <c r="M9" s="660"/>
      <c r="N9" s="660"/>
      <c r="O9" s="661"/>
    </row>
    <row r="10" spans="2:15" ht="15" thickBot="1">
      <c r="B10" s="665" t="s">
        <v>10</v>
      </c>
      <c r="C10" s="665"/>
      <c r="D10" s="665"/>
      <c r="E10" s="665"/>
      <c r="H10" s="662"/>
      <c r="I10" s="663"/>
      <c r="J10" s="663"/>
      <c r="K10" s="663"/>
      <c r="L10" s="663"/>
      <c r="M10" s="663"/>
      <c r="N10" s="663"/>
      <c r="O10" s="664"/>
    </row>
    <row r="11" spans="2:15">
      <c r="B11" s="617" t="s">
        <v>11</v>
      </c>
      <c r="C11" s="653"/>
      <c r="D11" s="653"/>
      <c r="E11" s="653"/>
    </row>
    <row r="12" spans="2:15">
      <c r="B12" s="617" t="s">
        <v>12</v>
      </c>
      <c r="C12" s="653"/>
      <c r="D12" s="653"/>
      <c r="E12" s="653"/>
    </row>
    <row r="13" spans="2:15">
      <c r="B13" s="617" t="s">
        <v>13</v>
      </c>
      <c r="C13" s="653"/>
      <c r="D13" s="653"/>
      <c r="E13" s="653"/>
    </row>
    <row r="14" spans="2:15">
      <c r="B14" s="617" t="s">
        <v>14</v>
      </c>
      <c r="C14" s="653"/>
      <c r="D14" s="653"/>
      <c r="E14" s="653"/>
    </row>
    <row r="15" spans="2:15">
      <c r="B15" s="617" t="s">
        <v>15</v>
      </c>
      <c r="C15" s="653"/>
      <c r="D15" s="653"/>
      <c r="E15" s="653"/>
    </row>
    <row r="16" spans="2:15" ht="15" customHeight="1">
      <c r="B16" s="617" t="s">
        <v>16</v>
      </c>
      <c r="C16" s="653"/>
      <c r="D16" s="653"/>
      <c r="E16" s="653"/>
    </row>
    <row r="17" spans="2:5">
      <c r="B17" s="614"/>
    </row>
    <row r="18" spans="2:5">
      <c r="B18" s="654" t="s">
        <v>17</v>
      </c>
      <c r="C18" s="654"/>
      <c r="D18" s="654"/>
      <c r="E18" s="65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3632812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55" t="s">
        <v>22</v>
      </c>
      <c r="C2" s="655"/>
      <c r="D2" s="655"/>
      <c r="E2" s="655"/>
      <c r="H2" s="656" t="s">
        <v>23</v>
      </c>
      <c r="I2" s="657"/>
      <c r="J2" s="657"/>
      <c r="K2" s="657"/>
      <c r="L2" s="657"/>
      <c r="M2" s="657"/>
      <c r="N2" s="657"/>
      <c r="O2" s="658"/>
    </row>
    <row r="3" spans="2:15">
      <c r="B3" s="614"/>
      <c r="H3" s="659"/>
      <c r="I3" s="660"/>
      <c r="J3" s="660"/>
      <c r="K3" s="660"/>
      <c r="L3" s="660"/>
      <c r="M3" s="660"/>
      <c r="N3" s="660"/>
      <c r="O3" s="661"/>
    </row>
    <row r="4" spans="2:15">
      <c r="B4" s="615" t="s">
        <v>2</v>
      </c>
      <c r="C4" s="616" t="str">
        <f>'Project Plan'!E2</f>
        <v>Riverside Mall</v>
      </c>
      <c r="H4" s="659"/>
      <c r="I4" s="660"/>
      <c r="J4" s="660"/>
      <c r="K4" s="660"/>
      <c r="L4" s="660"/>
      <c r="M4" s="660"/>
      <c r="N4" s="660"/>
      <c r="O4" s="661"/>
    </row>
    <row r="5" spans="2:15">
      <c r="B5" s="615" t="s">
        <v>24</v>
      </c>
      <c r="C5" s="616"/>
      <c r="H5" s="659"/>
      <c r="I5" s="660"/>
      <c r="J5" s="660"/>
      <c r="K5" s="660"/>
      <c r="L5" s="660"/>
      <c r="M5" s="660"/>
      <c r="N5" s="660"/>
      <c r="O5" s="661"/>
    </row>
    <row r="6" spans="2:15">
      <c r="B6" s="615" t="s">
        <v>5</v>
      </c>
      <c r="C6" s="616" t="s">
        <v>6</v>
      </c>
      <c r="H6" s="659"/>
      <c r="I6" s="660"/>
      <c r="J6" s="660"/>
      <c r="K6" s="660"/>
      <c r="L6" s="660"/>
      <c r="M6" s="660"/>
      <c r="N6" s="660"/>
      <c r="O6" s="661"/>
    </row>
    <row r="7" spans="2:15">
      <c r="B7" s="615" t="s">
        <v>25</v>
      </c>
      <c r="C7" s="616" t="str">
        <f>'Project Plan'!E5</f>
        <v>Justin Franke</v>
      </c>
      <c r="H7" s="659"/>
      <c r="I7" s="660"/>
      <c r="J7" s="660"/>
      <c r="K7" s="660"/>
      <c r="L7" s="660"/>
      <c r="M7" s="660"/>
      <c r="N7" s="660"/>
      <c r="O7" s="661"/>
    </row>
    <row r="8" spans="2:15">
      <c r="B8" s="615" t="s">
        <v>26</v>
      </c>
      <c r="C8" s="616"/>
      <c r="H8" s="659"/>
      <c r="I8" s="660"/>
      <c r="J8" s="660"/>
      <c r="K8" s="660"/>
      <c r="L8" s="660"/>
      <c r="M8" s="660"/>
      <c r="N8" s="660"/>
      <c r="O8" s="661"/>
    </row>
    <row r="9" spans="2:15">
      <c r="B9" s="614"/>
      <c r="H9" s="659"/>
      <c r="I9" s="660"/>
      <c r="J9" s="660"/>
      <c r="K9" s="660"/>
      <c r="L9" s="660"/>
      <c r="M9" s="660"/>
      <c r="N9" s="660"/>
      <c r="O9" s="661"/>
    </row>
    <row r="10" spans="2:15">
      <c r="B10" s="665" t="s">
        <v>9</v>
      </c>
      <c r="C10" s="665"/>
      <c r="D10" s="665"/>
      <c r="E10" s="665"/>
      <c r="H10" s="659"/>
      <c r="I10" s="660"/>
      <c r="J10" s="660"/>
      <c r="K10" s="660"/>
      <c r="L10" s="660"/>
      <c r="M10" s="660"/>
      <c r="N10" s="660"/>
      <c r="O10" s="661"/>
    </row>
    <row r="11" spans="2:15" ht="15" thickBot="1">
      <c r="B11" s="665" t="s">
        <v>10</v>
      </c>
      <c r="C11" s="665"/>
      <c r="D11" s="665"/>
      <c r="E11" s="665"/>
      <c r="H11" s="662"/>
      <c r="I11" s="663"/>
      <c r="J11" s="663"/>
      <c r="K11" s="663"/>
      <c r="L11" s="663"/>
      <c r="M11" s="663"/>
      <c r="N11" s="663"/>
      <c r="O11" s="664"/>
    </row>
    <row r="12" spans="2:15" ht="25">
      <c r="B12" s="617" t="s">
        <v>27</v>
      </c>
      <c r="C12" s="653"/>
      <c r="D12" s="653"/>
      <c r="E12" s="653"/>
    </row>
    <row r="13" spans="2:15">
      <c r="B13" s="617" t="s">
        <v>28</v>
      </c>
      <c r="C13" s="653"/>
      <c r="D13" s="653"/>
      <c r="E13" s="653"/>
    </row>
    <row r="14" spans="2:15">
      <c r="B14" s="617" t="s">
        <v>29</v>
      </c>
      <c r="C14" s="653"/>
      <c r="D14" s="653"/>
      <c r="E14" s="653"/>
    </row>
    <row r="15" spans="2:15">
      <c r="B15" s="617" t="s">
        <v>30</v>
      </c>
      <c r="C15" s="653"/>
      <c r="D15" s="653"/>
      <c r="E15" s="653"/>
    </row>
    <row r="16" spans="2:15" ht="25">
      <c r="B16" s="617" t="s">
        <v>31</v>
      </c>
      <c r="C16" s="653"/>
      <c r="D16" s="653"/>
      <c r="E16" s="653"/>
    </row>
    <row r="17" spans="2:5">
      <c r="B17" s="617" t="s">
        <v>32</v>
      </c>
      <c r="C17" s="653"/>
      <c r="D17" s="653"/>
      <c r="E17" s="653"/>
    </row>
    <row r="18" spans="2:5">
      <c r="B18" s="617" t="s">
        <v>33</v>
      </c>
      <c r="C18" s="653"/>
      <c r="D18" s="653"/>
      <c r="E18" s="653"/>
    </row>
    <row r="19" spans="2:5">
      <c r="B19" s="617" t="s">
        <v>34</v>
      </c>
      <c r="C19" s="653"/>
      <c r="D19" s="653"/>
      <c r="E19" s="653"/>
    </row>
    <row r="20" spans="2:5">
      <c r="B20" s="617" t="s">
        <v>35</v>
      </c>
      <c r="C20" s="653"/>
      <c r="D20" s="653"/>
      <c r="E20" s="653"/>
    </row>
    <row r="21" spans="2:5">
      <c r="B21" s="617" t="s">
        <v>36</v>
      </c>
      <c r="C21" s="653"/>
      <c r="D21" s="653"/>
      <c r="E21" s="653"/>
    </row>
    <row r="22" spans="2:5" ht="15" customHeight="1">
      <c r="B22" s="617" t="s">
        <v>16</v>
      </c>
      <c r="C22" s="653"/>
      <c r="D22" s="653"/>
      <c r="E22" s="653"/>
    </row>
    <row r="23" spans="2:5">
      <c r="B23" s="614"/>
    </row>
    <row r="24" spans="2:5">
      <c r="B24" s="654" t="s">
        <v>17</v>
      </c>
      <c r="C24" s="654"/>
      <c r="D24" s="654"/>
      <c r="E24" s="65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17.3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36328125" bestFit="1" customWidth="1"/>
    <col min="10" max="10" width="14.36328125" customWidth="1"/>
    <col min="11" max="11" width="77.6328125" customWidth="1"/>
  </cols>
  <sheetData>
    <row r="1" spans="2:15">
      <c r="B1" s="668"/>
      <c r="C1" s="669"/>
      <c r="D1" s="669"/>
      <c r="E1" s="669"/>
      <c r="F1" s="666" t="s">
        <v>37</v>
      </c>
      <c r="G1" s="666"/>
      <c r="H1" s="666"/>
      <c r="I1" s="666"/>
      <c r="J1" s="666"/>
      <c r="K1" s="667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6328125" defaultRowHeight="14"/>
  <cols>
    <col min="1" max="1" width="1.36328125" style="4" customWidth="1"/>
    <col min="2" max="2" width="30.6328125" style="4" bestFit="1" customWidth="1"/>
    <col min="3" max="3" width="24.6328125" style="4" customWidth="1"/>
    <col min="4" max="4" width="41.36328125" style="4" customWidth="1"/>
    <col min="5" max="5" width="9.6328125" style="4" customWidth="1"/>
    <col min="6" max="6" width="63.36328125" style="4" customWidth="1"/>
    <col min="7" max="16384" width="8.3632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6328125" defaultRowHeight="14.5"/>
  <cols>
    <col min="1" max="1" width="7.36328125" customWidth="1"/>
    <col min="2" max="2" width="37.6328125" customWidth="1"/>
    <col min="3" max="3" width="9.36328125" bestFit="1" customWidth="1"/>
    <col min="4" max="4" width="12.36328125" bestFit="1" customWidth="1"/>
    <col min="5" max="5" width="10.36328125" customWidth="1"/>
    <col min="6" max="6" width="33.6328125" customWidth="1"/>
  </cols>
  <sheetData>
    <row r="1" spans="2:10" ht="15" thickBot="1"/>
    <row r="2" spans="2:10" ht="15.5" thickTop="1" thickBot="1">
      <c r="B2" s="670" t="s">
        <v>117</v>
      </c>
      <c r="C2" s="671"/>
      <c r="D2" s="671"/>
      <c r="E2" s="671"/>
      <c r="F2" s="672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0" t="s">
        <v>127</v>
      </c>
      <c r="C16" s="671"/>
      <c r="D16" s="671"/>
      <c r="E16" s="671"/>
      <c r="F16" s="672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6" zoomScale="115" zoomScaleNormal="115" workbookViewId="0">
      <selection activeCell="M45" sqref="M45"/>
    </sheetView>
  </sheetViews>
  <sheetFormatPr defaultColWidth="8.36328125" defaultRowHeight="14"/>
  <cols>
    <col min="1" max="1" width="1.36328125" style="26" customWidth="1"/>
    <col min="2" max="2" width="6.36328125" style="83" bestFit="1" customWidth="1"/>
    <col min="3" max="3" width="44.6328125" style="4" customWidth="1"/>
    <col min="4" max="4" width="3.36328125" style="26" customWidth="1"/>
    <col min="5" max="5" width="14.6328125" style="4" customWidth="1"/>
    <col min="6" max="6" width="10.36328125" style="80" customWidth="1"/>
    <col min="7" max="7" width="13.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3" width="12.36328125" style="26" customWidth="1"/>
    <col min="14" max="14" width="11.36328125" style="26" bestFit="1" customWidth="1"/>
    <col min="15" max="15" width="39.36328125" style="26" bestFit="1" customWidth="1"/>
    <col min="16" max="16" width="1.36328125" style="26" customWidth="1"/>
    <col min="17" max="17" width="5.36328125" style="1" customWidth="1"/>
    <col min="18" max="18" width="8.36328125" style="26"/>
    <col min="19" max="19" width="21.6328125" style="26" customWidth="1"/>
    <col min="20" max="22" width="12.36328125" style="26" customWidth="1"/>
    <col min="23" max="23" width="9.54296875" style="26" bestFit="1" customWidth="1"/>
    <col min="24" max="25" width="10.6328125" style="26" bestFit="1" customWidth="1"/>
    <col min="26" max="16384" width="8.3632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73" t="s">
        <v>132</v>
      </c>
      <c r="J2" s="674"/>
      <c r="K2" s="587">
        <f>NETWORKDAYS(I18,K39,Data!C3:C60)</f>
        <v>30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184</v>
      </c>
      <c r="F3" s="93"/>
      <c r="G3" s="94"/>
      <c r="H3" s="94"/>
      <c r="I3" s="673" t="s">
        <v>134</v>
      </c>
      <c r="J3" s="674"/>
      <c r="K3" s="587">
        <f>K2/5</f>
        <v>6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73" t="s">
        <v>137</v>
      </c>
      <c r="J4" s="674"/>
      <c r="K4" s="588">
        <f>E3/K3</f>
        <v>30.666666666666668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77" t="s">
        <v>145</v>
      </c>
      <c r="C8" s="678" t="s">
        <v>146</v>
      </c>
      <c r="D8" s="126"/>
      <c r="E8" s="679" t="s">
        <v>147</v>
      </c>
      <c r="F8" s="148" t="s">
        <v>148</v>
      </c>
      <c r="G8" s="679" t="s">
        <v>149</v>
      </c>
      <c r="H8" s="149"/>
      <c r="I8" s="679" t="s">
        <v>150</v>
      </c>
      <c r="J8" s="148" t="s">
        <v>148</v>
      </c>
      <c r="K8" s="679" t="s">
        <v>151</v>
      </c>
      <c r="M8" s="584" t="s">
        <v>44</v>
      </c>
      <c r="N8" s="585" t="s">
        <v>152</v>
      </c>
      <c r="O8" s="675" t="s">
        <v>153</v>
      </c>
      <c r="Z8" s="26"/>
      <c r="AA8" s="26"/>
      <c r="AB8" s="26"/>
    </row>
    <row r="9" spans="2:28">
      <c r="B9" s="677"/>
      <c r="C9" s="678"/>
      <c r="D9" s="126"/>
      <c r="E9" s="679"/>
      <c r="F9" s="40">
        <f>G39-E19</f>
        <v>35</v>
      </c>
      <c r="G9" s="679"/>
      <c r="H9" s="149"/>
      <c r="I9" s="679"/>
      <c r="J9" s="41">
        <f>K39-I19</f>
        <v>41</v>
      </c>
      <c r="K9" s="679"/>
      <c r="M9" s="265">
        <f>AVERAGE(M11,M18,M21,M28,M35,M39,M48,M44)</f>
        <v>0.43176720383275263</v>
      </c>
      <c r="N9" s="265">
        <f ca="1">AVERAGE(N11,N18,N21,N28,N35,N39,N48,N44)</f>
        <v>0.46739438153310103</v>
      </c>
      <c r="O9" s="676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447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59</v>
      </c>
      <c r="V15" s="538">
        <f>K21</f>
        <v>46079</v>
      </c>
      <c r="W15" s="652">
        <f>M21</f>
        <v>0.74878048780487816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30</v>
      </c>
      <c r="V16" s="538">
        <f>K28</f>
        <v>46086</v>
      </c>
      <c r="W16" s="652">
        <f>M28</f>
        <v>0.5625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21</v>
      </c>
      <c r="V17" s="538">
        <f>K35</f>
        <v>46077</v>
      </c>
      <c r="W17" s="652">
        <f>M35</f>
        <v>0.14285714285714285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46086</v>
      </c>
      <c r="U18" s="539">
        <f>J39</f>
        <v>11</v>
      </c>
      <c r="V18" s="538">
        <f>K39</f>
        <v>46097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46090</v>
      </c>
      <c r="U19" s="539">
        <f>J44</f>
        <v>3</v>
      </c>
      <c r="V19" s="538">
        <f>K44</f>
        <v>46093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46091</v>
      </c>
      <c r="U20" s="539">
        <f>J48</f>
        <v>16</v>
      </c>
      <c r="V20" s="538">
        <f>K48</f>
        <v>46107</v>
      </c>
      <c r="W20" s="652">
        <f>M48</f>
        <v>0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59</v>
      </c>
      <c r="K21" s="571">
        <f>MAX(K22:K27)</f>
        <v>46079</v>
      </c>
      <c r="L21" s="574"/>
      <c r="M21" s="575">
        <f>(J22*M22+J23*M23+J24*M24+J25*M25+J26*M26)/SUM(J22:J26)</f>
        <v>0.74878048780487816</v>
      </c>
      <c r="N21" s="575">
        <f ca="1">(J22*N22+J23*N23+J24*N24+J25*N25+J26*N26)/SUM(J22:J26)</f>
        <v>0.81951219512195128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29</v>
      </c>
      <c r="K24" s="576">
        <f>WORKDAY.INTL(I24,J24,1,Data!$C$3:$C$60)</f>
        <v>46071</v>
      </c>
      <c r="L24" s="77"/>
      <c r="M24" s="579">
        <v>0.9</v>
      </c>
      <c r="N24" s="579">
        <f t="shared" ca="1" si="1"/>
        <v>1</v>
      </c>
      <c r="O24" s="36" t="s">
        <v>446</v>
      </c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46069</v>
      </c>
      <c r="J25" s="577">
        <v>8</v>
      </c>
      <c r="K25" s="576">
        <f>WORKDAY.INTL(I25,J25,1,Data!$C$3:$C$60)</f>
        <v>46079</v>
      </c>
      <c r="L25" s="77"/>
      <c r="M25" s="579">
        <v>0.2</v>
      </c>
      <c r="N25" s="579">
        <f t="shared" ca="1" si="1"/>
        <v>0.2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46077</v>
      </c>
      <c r="J26" s="577">
        <v>1</v>
      </c>
      <c r="K26" s="576">
        <f>WORKDAY.INTL(I26,J26,1,Data!$C$3:$C$60)</f>
        <v>46078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30</v>
      </c>
      <c r="K28" s="571">
        <f>MAX(K30:K34)</f>
        <v>46086</v>
      </c>
      <c r="L28" s="574"/>
      <c r="M28" s="575">
        <f>(J30*M30+J31*M31+J33*M33+J32*M32)/SUM(J30:J33)</f>
        <v>0.5625</v>
      </c>
      <c r="N28" s="575">
        <f ca="1">(J30*N30+J31*N31+J33*N33+J32*N32)/SUM(J30:J33)</f>
        <v>0.5625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46077</v>
      </c>
      <c r="J33" s="577">
        <v>7</v>
      </c>
      <c r="K33" s="582">
        <f>WORKDAY.INTL(I33,J33,1,Data!$C$3:$C$60)</f>
        <v>46086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21</v>
      </c>
      <c r="K35" s="571">
        <f>MAX(K36:K38)</f>
        <v>46077</v>
      </c>
      <c r="L35" s="574"/>
      <c r="M35" s="575">
        <f>(J36*M36+J37*M37)/SUM(J36:J37)</f>
        <v>0.14285714285714285</v>
      </c>
      <c r="N35" s="575">
        <f ca="1">(J36*N36+J37*N37)/SUM(J36:J37)</f>
        <v>0.35714285714285715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6</v>
      </c>
      <c r="K37" s="576">
        <f>WORKDAY.INTL(I37,J37,1,Data!$C$3:$C$60)</f>
        <v>46077</v>
      </c>
      <c r="L37" s="77"/>
      <c r="M37" s="579">
        <v>0</v>
      </c>
      <c r="N37" s="579">
        <f t="shared" ca="1" si="3"/>
        <v>0.25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46086</v>
      </c>
      <c r="J39" s="572">
        <f>K39-I39</f>
        <v>11</v>
      </c>
      <c r="K39" s="571">
        <f>MAX(K40:K43)</f>
        <v>46097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46086</v>
      </c>
      <c r="J40" s="577">
        <v>1</v>
      </c>
      <c r="K40" s="582">
        <f>WORKDAY.INTL(I40,J40,1,Data!$C$3:$C$60)</f>
        <v>46087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46087</v>
      </c>
      <c r="J41" s="577">
        <v>1</v>
      </c>
      <c r="K41" s="582">
        <f>WORKDAY.INTL(I41,J41,1,Data!$C$3:$C$60)</f>
        <v>46090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46090</v>
      </c>
      <c r="J42" s="577">
        <v>5</v>
      </c>
      <c r="K42" s="582">
        <f>WORKDAY.INTL(I42,J42,1,Data!$C$3:$C$60)</f>
        <v>46097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46090</v>
      </c>
      <c r="J44" s="572">
        <f>K44-I44</f>
        <v>3</v>
      </c>
      <c r="K44" s="571">
        <f>MAX(K45:K47)</f>
        <v>46093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46090</v>
      </c>
      <c r="J45" s="577">
        <v>1</v>
      </c>
      <c r="K45" s="582">
        <f>WORKDAY.INTL(I45,J45,1,Data!$C$3:$C$60)</f>
        <v>46091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46091</v>
      </c>
      <c r="J46" s="577">
        <v>2</v>
      </c>
      <c r="K46" s="582">
        <f>WORKDAY.INTL(I46,J46,1,Data!$C$3:$C$60)</f>
        <v>46093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46091</v>
      </c>
      <c r="J48" s="572">
        <f>K48-I48</f>
        <v>16</v>
      </c>
      <c r="K48" s="571">
        <f>MAX(K49:K51)</f>
        <v>46107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46091</v>
      </c>
      <c r="J49" s="577">
        <v>7</v>
      </c>
      <c r="K49" s="582">
        <f>WORKDAY.INTL(I49,J49,1,Data!$C$3:$C$60)</f>
        <v>46100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46100</v>
      </c>
      <c r="J50" s="577">
        <v>1</v>
      </c>
      <c r="K50" s="582">
        <f>WORKDAY.INTL(I50,J50,1,Data!$C$3:$C$60)</f>
        <v>46101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46100</v>
      </c>
      <c r="J51" s="577">
        <v>5</v>
      </c>
      <c r="K51" s="582">
        <f>WORKDAY.INTL(I51,J51,1,Data!$C$3:$C$60)</f>
        <v>46107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6328125" defaultRowHeight="14.5"/>
  <cols>
    <col min="1" max="1" width="5.36328125" style="24" customWidth="1"/>
    <col min="2" max="2" width="5.36328125" style="45" customWidth="1"/>
    <col min="3" max="4" width="23.36328125" style="43" customWidth="1"/>
    <col min="5" max="5" width="6.6328125" style="43" customWidth="1"/>
    <col min="6" max="6" width="16.36328125" style="43" customWidth="1"/>
    <col min="7" max="7" width="13" style="43" customWidth="1"/>
    <col min="8" max="8" width="17.36328125" style="43" customWidth="1"/>
    <col min="9" max="9" width="1.6328125" style="43" customWidth="1"/>
    <col min="10" max="10" width="3.36328125" style="24" customWidth="1"/>
    <col min="11" max="11" width="1.6328125" style="87" customWidth="1"/>
    <col min="12" max="12" width="29.36328125" style="24" customWidth="1"/>
    <col min="13" max="13" width="1.6328125" style="43" customWidth="1"/>
    <col min="14" max="14" width="29.36328125" style="43" customWidth="1"/>
    <col min="15" max="15" width="1.6328125" style="43" customWidth="1"/>
    <col min="16" max="16" width="16.6328125" style="43" customWidth="1"/>
    <col min="17" max="17" width="5.36328125" style="43" customWidth="1"/>
    <col min="18" max="18" width="112.36328125" style="43" bestFit="1" customWidth="1"/>
    <col min="19" max="19" width="4.36328125" style="43" customWidth="1"/>
    <col min="20" max="20" width="14.36328125" style="43" customWidth="1"/>
    <col min="21" max="21" width="10.36328125" style="24" bestFit="1" customWidth="1"/>
    <col min="22" max="23" width="8.36328125" style="24"/>
    <col min="24" max="24" width="18.6328125" style="24" bestFit="1" customWidth="1"/>
    <col min="25" max="25" width="15.6328125" style="24" bestFit="1" customWidth="1"/>
    <col min="26" max="26" width="17.6328125" style="24" bestFit="1" customWidth="1"/>
    <col min="27" max="27" width="14.6328125" style="24" bestFit="1" customWidth="1"/>
    <col min="28" max="28" width="8.36328125" style="43"/>
    <col min="29" max="29" width="12.36328125" style="43" bestFit="1" customWidth="1"/>
    <col min="30" max="40" width="8.36328125" style="43"/>
    <col min="41" max="41" width="9.36328125" style="43" bestFit="1" customWidth="1"/>
    <col min="42" max="16384" width="8.3632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1404767.0849515225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921330.228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">
      <c r="B13" s="589">
        <v>1</v>
      </c>
      <c r="C13" s="682" t="s">
        <v>239</v>
      </c>
      <c r="D13" s="683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82" t="s">
        <v>241</v>
      </c>
      <c r="D14" s="683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5">
      <c r="B15" s="589">
        <v>3</v>
      </c>
      <c r="C15" s="682" t="s">
        <v>243</v>
      </c>
      <c r="D15" s="683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5">
      <c r="B16" s="589">
        <v>4</v>
      </c>
      <c r="C16" s="680" t="s">
        <v>199</v>
      </c>
      <c r="D16" s="681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46104</v>
      </c>
      <c r="R16" s="280"/>
      <c r="S16" s="53"/>
    </row>
    <row r="17" spans="2:19" s="24" customFormat="1" ht="12.5">
      <c r="B17" s="589">
        <v>5</v>
      </c>
      <c r="C17" s="680" t="s">
        <v>244</v>
      </c>
      <c r="D17" s="681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46107</v>
      </c>
      <c r="R17" s="280"/>
      <c r="S17" s="53"/>
    </row>
    <row r="18" spans="2:19" s="24" customFormat="1" ht="12.5">
      <c r="B18" s="589">
        <v>6</v>
      </c>
      <c r="C18" s="680" t="s">
        <v>245</v>
      </c>
      <c r="D18" s="68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5">
      <c r="B19" s="589">
        <v>7</v>
      </c>
      <c r="C19" s="682" t="s">
        <v>245</v>
      </c>
      <c r="D19" s="68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2.5">
      <c r="C24" s="59" t="s">
        <v>248</v>
      </c>
      <c r="D24" s="60"/>
      <c r="F24" s="61"/>
    </row>
    <row r="25" spans="2:19" s="24" customFormat="1" ht="12.5">
      <c r="C25" s="59" t="s">
        <v>249</v>
      </c>
      <c r="D25" s="60"/>
    </row>
    <row r="26" spans="2:19" s="24" customFormat="1" ht="12.5">
      <c r="C26" s="62" t="s">
        <v>250</v>
      </c>
      <c r="D26" s="63"/>
    </row>
    <row r="27" spans="2:19" s="24" customFormat="1" ht="12.5">
      <c r="C27" s="64" t="s">
        <v>251</v>
      </c>
      <c r="D27" s="60"/>
    </row>
    <row r="28" spans="2:19" s="24" customFormat="1" ht="12.5">
      <c r="B28" s="31"/>
      <c r="C28" s="64" t="s">
        <v>252</v>
      </c>
      <c r="D28" s="60"/>
    </row>
    <row r="29" spans="2:19" s="24" customFormat="1" ht="12.5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6328125" defaultRowHeight="14"/>
  <cols>
    <col min="1" max="1" width="1.36328125" style="4" customWidth="1"/>
    <col min="2" max="2" width="8.36328125" style="5"/>
    <col min="3" max="3" width="2.36328125" style="5" customWidth="1"/>
    <col min="4" max="4" width="21.36328125" style="4" customWidth="1"/>
    <col min="5" max="5" width="1.36328125" style="4" customWidth="1"/>
    <col min="6" max="6" width="19.6328125" style="4" customWidth="1"/>
    <col min="7" max="7" width="1.36328125" style="4" customWidth="1"/>
    <col min="8" max="8" width="18.36328125" style="4" customWidth="1"/>
    <col min="9" max="9" width="3.36328125" style="4" customWidth="1"/>
    <col min="10" max="10" width="24.36328125" style="4" customWidth="1"/>
    <col min="11" max="11" width="2" style="4" customWidth="1"/>
    <col min="12" max="12" width="53.36328125" style="4" customWidth="1"/>
    <col min="13" max="16384" width="8.3632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4"/>
      <c r="C4" s="684"/>
      <c r="D4" s="684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5" thickBot="1">
      <c r="A5" s="126"/>
      <c r="B5" s="685" t="s">
        <v>260</v>
      </c>
      <c r="C5" s="685"/>
      <c r="D5" s="685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147225</v>
      </c>
      <c r="G17" s="21"/>
      <c r="H17" s="142">
        <f>'Expenditure Breakdown'!X92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34366.266666666663</v>
      </c>
      <c r="G18" s="21"/>
      <c r="H18" s="142">
        <f>'Expenditure Breakdown'!X105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89000</v>
      </c>
      <c r="G19" s="21"/>
      <c r="H19" s="142">
        <f>'Expenditure Breakdown'!X121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16449.739175724637</v>
      </c>
      <c r="G21" s="21"/>
      <c r="H21" s="142">
        <f>'Expenditure Breakdown'!X130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630</v>
      </c>
      <c r="G22" s="21"/>
      <c r="H22" s="142">
        <f>'Expenditure Breakdown'!X137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opLeftCell="J1" zoomScale="80" zoomScaleNormal="80" workbookViewId="0">
      <pane ySplit="4" topLeftCell="A131" activePane="bottomLeft" state="frozen"/>
      <selection activeCell="X33" sqref="X33"/>
      <selection pane="bottomLeft" activeCell="W81" sqref="W81"/>
    </sheetView>
  </sheetViews>
  <sheetFormatPr defaultColWidth="9.08984375" defaultRowHeight="14"/>
  <cols>
    <col min="1" max="1" width="2.36328125" style="26" hidden="1" customWidth="1"/>
    <col min="2" max="2" width="6.36328125" style="4" hidden="1" customWidth="1"/>
    <col min="3" max="3" width="20.36328125" style="4" hidden="1" customWidth="1"/>
    <col min="4" max="4" width="51.6328125" style="4" hidden="1" customWidth="1"/>
    <col min="5" max="5" width="13" style="6" hidden="1" customWidth="1"/>
    <col min="6" max="6" width="16.6328125" style="372" hidden="1" customWidth="1"/>
    <col min="7" max="8" width="17.36328125" style="4" hidden="1" customWidth="1"/>
    <col min="9" max="10" width="22.36328125" style="254" customWidth="1"/>
    <col min="11" max="12" width="5.36328125" style="26" customWidth="1"/>
    <col min="13" max="13" width="25.6328125" style="26" customWidth="1"/>
    <col min="14" max="14" width="48.36328125" style="26" customWidth="1"/>
    <col min="15" max="15" width="15.6328125" style="26" customWidth="1"/>
    <col min="16" max="17" width="17.36328125" style="26" customWidth="1"/>
    <col min="18" max="18" width="33.6328125" style="26" customWidth="1"/>
    <col min="19" max="19" width="31.36328125" style="26" bestFit="1" customWidth="1"/>
    <col min="20" max="21" width="17.36328125" style="431" customWidth="1"/>
    <col min="22" max="22" width="17.36328125" style="26" customWidth="1"/>
    <col min="23" max="23" width="17.36328125" style="431" customWidth="1"/>
    <col min="24" max="24" width="21.36328125" style="26" customWidth="1"/>
    <col min="25" max="25" width="29.36328125" style="26" bestFit="1" customWidth="1"/>
    <col min="26" max="26" width="24.36328125" style="26" customWidth="1"/>
    <col min="27" max="76" width="17.36328125" style="26" customWidth="1"/>
    <col min="77" max="16384" width="9.08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6" t="s">
        <v>266</v>
      </c>
      <c r="C2" s="687"/>
      <c r="D2" s="687"/>
      <c r="E2" s="687"/>
      <c r="F2" s="687"/>
      <c r="G2" s="687"/>
      <c r="H2" s="395"/>
      <c r="I2" s="162">
        <f>SUM(I6:I162)</f>
        <v>1520558.8732336955</v>
      </c>
      <c r="J2" s="162">
        <f>SUM(J6:J162)</f>
        <v>1862957.1509834835</v>
      </c>
      <c r="L2" s="688" t="s">
        <v>267</v>
      </c>
      <c r="M2" s="689"/>
      <c r="N2" s="689"/>
      <c r="O2" s="689"/>
      <c r="P2" s="689"/>
      <c r="Q2" s="689"/>
      <c r="R2" s="696" t="s">
        <v>268</v>
      </c>
      <c r="S2" s="697"/>
      <c r="T2" s="697"/>
      <c r="U2" s="697"/>
      <c r="V2" s="697"/>
      <c r="W2" s="698"/>
      <c r="X2" s="162">
        <f>SUM(X6:X162)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D163</f>
        <v>408885.35</v>
      </c>
      <c r="H6" s="550">
        <f>'Project Plan'!E36+60</f>
        <v>46111</v>
      </c>
      <c r="I6" s="690">
        <f>SUM(G6:G11)</f>
        <v>408885.35</v>
      </c>
      <c r="J6" s="693">
        <f>F163</f>
        <v>511106.6875</v>
      </c>
      <c r="K6" s="289"/>
      <c r="L6" s="185">
        <v>1</v>
      </c>
      <c r="M6" s="316" t="s">
        <v>285</v>
      </c>
      <c r="N6" s="186" t="s">
        <v>286</v>
      </c>
      <c r="O6" s="520">
        <v>302</v>
      </c>
      <c r="P6" s="336">
        <v>1220</v>
      </c>
      <c r="Q6" s="292">
        <f>O6*P6</f>
        <v>368440</v>
      </c>
      <c r="R6" s="469"/>
      <c r="S6" s="500" t="s">
        <v>287</v>
      </c>
      <c r="T6" s="541">
        <v>46053</v>
      </c>
      <c r="U6" s="626">
        <v>511106.6875</v>
      </c>
      <c r="V6" s="705">
        <f>J6-SUM(U6:U11)</f>
        <v>0</v>
      </c>
      <c r="W6" s="453">
        <v>46109</v>
      </c>
      <c r="X6" s="690">
        <f>SUM(Q6:Q11)</f>
        <v>368440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706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626">
        <v>0</v>
      </c>
      <c r="V8" s="706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706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706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07"/>
      <c r="W11" s="456"/>
      <c r="X11" s="692"/>
      <c r="Y11" s="606" t="s">
        <v>289</v>
      </c>
      <c r="Z11" s="487" t="s">
        <v>290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D164</f>
        <v>113600</v>
      </c>
      <c r="H13" s="554">
        <f>'Project Plan'!E22+60</f>
        <v>46111</v>
      </c>
      <c r="I13" s="699">
        <f>SUM(G13:G19)</f>
        <v>113600</v>
      </c>
      <c r="J13" s="702">
        <f>F164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643">
        <v>88048.509138168272</v>
      </c>
      <c r="V13" s="708">
        <f>J13-SUM(U13:U19)</f>
        <v>0</v>
      </c>
      <c r="W13" s="458">
        <f>W6</f>
        <v>46109</v>
      </c>
      <c r="X13" s="699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643">
        <v>55748.959216262105</v>
      </c>
      <c r="V14" s="709"/>
      <c r="W14" s="459">
        <f>W13</f>
        <v>46109</v>
      </c>
      <c r="X14" s="700"/>
      <c r="Y14" s="607" t="s">
        <v>297</v>
      </c>
      <c r="Z14" s="488">
        <f>G92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09"/>
      <c r="W15" s="459"/>
      <c r="X15" s="700"/>
      <c r="Y15" s="607" t="s">
        <v>298</v>
      </c>
      <c r="Z15" s="488">
        <f>G93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09"/>
      <c r="W16" s="459"/>
      <c r="X16" s="700"/>
      <c r="Y16" s="607" t="s">
        <v>299</v>
      </c>
      <c r="Z16" s="488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09"/>
      <c r="W17" s="459"/>
      <c r="X17" s="700"/>
      <c r="Y17" s="607" t="s">
        <v>300</v>
      </c>
      <c r="Z17" s="488">
        <f>G106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09"/>
      <c r="W18" s="459"/>
      <c r="X18" s="700"/>
      <c r="Y18" s="607" t="s">
        <v>301</v>
      </c>
      <c r="Z18" s="488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10"/>
      <c r="W19" s="460"/>
      <c r="X19" s="701"/>
      <c r="Y19" s="607" t="s">
        <v>302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D165</f>
        <v>84258</v>
      </c>
      <c r="H21" s="542">
        <f>'Project Plan'!E30+30</f>
        <v>46081</v>
      </c>
      <c r="I21" s="690">
        <f>SUM(G21:G26)</f>
        <v>84258</v>
      </c>
      <c r="J21" s="693">
        <f>F165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626">
        <v>105322.5</v>
      </c>
      <c r="V21" s="705">
        <f>J21-SUM(U21:U26)</f>
        <v>0</v>
      </c>
      <c r="W21" s="461">
        <f>T21+30</f>
        <v>46083</v>
      </c>
      <c r="X21" s="690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706"/>
      <c r="W22" s="454"/>
      <c r="X22" s="691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706"/>
      <c r="W23" s="454"/>
      <c r="X23" s="691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91"/>
      <c r="J24" s="694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706"/>
      <c r="W24" s="455"/>
      <c r="X24" s="691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91"/>
      <c r="J25" s="694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706"/>
      <c r="W25" s="455"/>
      <c r="X25" s="69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92"/>
      <c r="J26" s="695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07"/>
      <c r="W26" s="456"/>
      <c r="X26" s="692"/>
      <c r="Y26" s="609" t="s">
        <v>216</v>
      </c>
      <c r="Z26" s="492" t="s">
        <v>312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99">
        <f>SUM(G28:G42)</f>
        <v>155045.70000000001</v>
      </c>
      <c r="J28" s="702">
        <f>F166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287</v>
      </c>
      <c r="T28" s="554">
        <v>46053</v>
      </c>
      <c r="U28" s="643">
        <v>69733.17127227415</v>
      </c>
      <c r="V28" s="708">
        <f>J28-SUM(U28:U42)</f>
        <v>0</v>
      </c>
      <c r="W28" s="458">
        <f>W6</f>
        <v>46109</v>
      </c>
      <c r="X28" s="699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D166-G28</f>
        <v>100795.70000000001</v>
      </c>
      <c r="H29" s="545">
        <f>'Project Plan'!G28</f>
        <v>46077</v>
      </c>
      <c r="I29" s="700"/>
      <c r="J29" s="703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09"/>
      <c r="W29" s="459"/>
      <c r="X29" s="700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9"/>
      <c r="W30" s="459"/>
      <c r="X30" s="700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9"/>
      <c r="W31" s="459"/>
      <c r="X31" s="700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3">P93</f>
        <v>0.2</v>
      </c>
      <c r="Q32" s="204">
        <f>$O$32*P32</f>
        <v>19913.560000000001</v>
      </c>
      <c r="R32" s="714"/>
      <c r="S32" s="506" t="str">
        <f>S93</f>
        <v>Leading Edge Power INV-0182</v>
      </c>
      <c r="T32" s="545">
        <v>46053</v>
      </c>
      <c r="U32" s="643">
        <v>24814.790745545168</v>
      </c>
      <c r="V32" s="709"/>
      <c r="W32" s="638">
        <f>W93</f>
        <v>46051</v>
      </c>
      <c r="X32" s="700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5"/>
      <c r="S33" s="506" t="str">
        <f>S94</f>
        <v>Leading Edge Power INV-0183</v>
      </c>
      <c r="T33" s="545">
        <v>46053</v>
      </c>
      <c r="U33" s="643">
        <v>24814.790745545168</v>
      </c>
      <c r="V33" s="709"/>
      <c r="W33" s="638">
        <f t="shared" ref="W33:W39" si="5">W94</f>
        <v>46058</v>
      </c>
      <c r="X33" s="700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3"/>
        <v>0.15</v>
      </c>
      <c r="Q34" s="204">
        <f t="shared" si="4"/>
        <v>14935.17</v>
      </c>
      <c r="R34" s="715"/>
      <c r="S34" s="506"/>
      <c r="T34" s="416">
        <f t="shared" ref="T34:T39" si="6">T95</f>
        <v>46112</v>
      </c>
      <c r="U34" s="401">
        <f t="shared" si="2"/>
        <v>18611.093059158877</v>
      </c>
      <c r="V34" s="709"/>
      <c r="W34" s="459">
        <f t="shared" si="5"/>
        <v>46086</v>
      </c>
      <c r="X34" s="700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3"/>
        <v>0.15</v>
      </c>
      <c r="Q35" s="204">
        <f t="shared" si="4"/>
        <v>14935.17</v>
      </c>
      <c r="R35" s="715"/>
      <c r="S35" s="506"/>
      <c r="T35" s="416">
        <f t="shared" si="6"/>
        <v>46112</v>
      </c>
      <c r="U35" s="401">
        <f t="shared" si="2"/>
        <v>18611.093059158877</v>
      </c>
      <c r="V35" s="709"/>
      <c r="W35" s="459">
        <f t="shared" si="5"/>
        <v>46093</v>
      </c>
      <c r="X35" s="700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3"/>
        <v>0.1</v>
      </c>
      <c r="Q36" s="204">
        <f t="shared" si="4"/>
        <v>9956.7800000000007</v>
      </c>
      <c r="R36" s="715"/>
      <c r="S36" s="506"/>
      <c r="T36" s="416">
        <f t="shared" si="6"/>
        <v>46112</v>
      </c>
      <c r="U36" s="401">
        <f t="shared" si="2"/>
        <v>12407.395372772584</v>
      </c>
      <c r="V36" s="709"/>
      <c r="W36" s="459">
        <f t="shared" si="5"/>
        <v>46104</v>
      </c>
      <c r="X36" s="700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3"/>
        <v>0.1</v>
      </c>
      <c r="Q37" s="204">
        <f t="shared" si="4"/>
        <v>9956.7800000000007</v>
      </c>
      <c r="R37" s="715"/>
      <c r="S37" s="506"/>
      <c r="T37" s="416">
        <f t="shared" si="6"/>
        <v>46112</v>
      </c>
      <c r="U37" s="401">
        <f t="shared" si="2"/>
        <v>12407.395372772584</v>
      </c>
      <c r="V37" s="709"/>
      <c r="W37" s="459">
        <f t="shared" si="5"/>
        <v>46100</v>
      </c>
      <c r="X37" s="700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314</v>
      </c>
      <c r="N38" s="309" t="s">
        <v>326</v>
      </c>
      <c r="O38" s="438"/>
      <c r="P38" s="448">
        <f>P115</f>
        <v>0.05</v>
      </c>
      <c r="Q38" s="204">
        <f t="shared" si="4"/>
        <v>4978.3900000000003</v>
      </c>
      <c r="R38" s="715"/>
      <c r="S38" s="506"/>
      <c r="T38" s="416">
        <f t="shared" si="6"/>
        <v>46112</v>
      </c>
      <c r="U38" s="401">
        <f t="shared" si="2"/>
        <v>6203.6976863862919</v>
      </c>
      <c r="V38" s="709"/>
      <c r="W38" s="459">
        <f t="shared" si="5"/>
        <v>46100</v>
      </c>
      <c r="X38" s="700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314</v>
      </c>
      <c r="N39" s="309" t="s">
        <v>327</v>
      </c>
      <c r="O39" s="438"/>
      <c r="P39" s="448">
        <f>P100</f>
        <v>0.05</v>
      </c>
      <c r="Q39" s="204">
        <f t="shared" si="4"/>
        <v>4978.3900000000003</v>
      </c>
      <c r="R39" s="716"/>
      <c r="S39" s="506"/>
      <c r="T39" s="416">
        <f t="shared" si="6"/>
        <v>46142</v>
      </c>
      <c r="U39" s="401">
        <f t="shared" si="2"/>
        <v>6203.6976863862919</v>
      </c>
      <c r="V39" s="709"/>
      <c r="W39" s="459">
        <f t="shared" si="5"/>
        <v>46123</v>
      </c>
      <c r="X39" s="700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9"/>
      <c r="W40" s="459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9"/>
      <c r="W41" s="459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10"/>
      <c r="W42" s="460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D168-G45</f>
        <v>19000</v>
      </c>
      <c r="H44" s="542">
        <f>H13</f>
        <v>46111</v>
      </c>
      <c r="I44" s="690">
        <f>SUM(G44:G51)</f>
        <v>34000</v>
      </c>
      <c r="J44" s="693">
        <f>F168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646">
        <v>9671.8364739124972</v>
      </c>
      <c r="V44" s="705">
        <f>J44-SUM(U44:U51)</f>
        <v>0</v>
      </c>
      <c r="W44" s="461">
        <v>46111</v>
      </c>
      <c r="X44" s="690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91"/>
      <c r="J45" s="694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646">
        <v>13967.253388046003</v>
      </c>
      <c r="V45" s="706"/>
      <c r="W45" s="454">
        <v>46080</v>
      </c>
      <c r="X45" s="691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91"/>
      <c r="J46" s="694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646">
        <v>1988.1710850746003</v>
      </c>
      <c r="V46" s="706"/>
      <c r="W46" s="631">
        <v>46053</v>
      </c>
      <c r="X46" s="691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91"/>
      <c r="J47" s="694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706"/>
      <c r="W47" s="454">
        <f>T47+30</f>
        <v>46111</v>
      </c>
      <c r="X47" s="691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91"/>
      <c r="J48" s="694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706"/>
      <c r="W48" s="454"/>
      <c r="X48" s="69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91"/>
      <c r="J49" s="694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706"/>
      <c r="W49" s="455"/>
      <c r="X49" s="691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91"/>
      <c r="J50" s="694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706"/>
      <c r="W50" s="455"/>
      <c r="X50" s="691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92"/>
      <c r="J51" s="695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07"/>
      <c r="W51" s="456"/>
      <c r="X51" s="692"/>
    </row>
    <row r="52" spans="1:24" ht="14.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D167</f>
        <v>249598.81739130436</v>
      </c>
      <c r="H53" s="554">
        <f>'Project Plan'!G24+30</f>
        <v>46095</v>
      </c>
      <c r="I53" s="699">
        <f>SUM(G53:G69)</f>
        <v>249598.81739130436</v>
      </c>
      <c r="J53" s="702">
        <f>F167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08">
        <f>J53-SUM(U53:U69)</f>
        <v>-2802.5686156457523</v>
      </c>
      <c r="W53" s="458"/>
      <c r="X53" s="699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88515.02</v>
      </c>
      <c r="R54" s="475"/>
      <c r="S54" s="506" t="s">
        <v>341</v>
      </c>
      <c r="T54" s="651">
        <v>46081</v>
      </c>
      <c r="U54" s="401">
        <f t="shared" si="8"/>
        <v>175523.5467431336</v>
      </c>
      <c r="V54" s="709"/>
      <c r="W54" s="459">
        <f>T54+30</f>
        <v>46111</v>
      </c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09"/>
      <c r="W55" s="459"/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09"/>
      <c r="W56" s="459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09"/>
      <c r="W57" s="459"/>
      <c r="X57" s="700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0"/>
      <c r="J58" s="703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09"/>
      <c r="W58" s="459"/>
      <c r="X58" s="700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9">P93</f>
        <v>0.2</v>
      </c>
      <c r="Q59" s="204">
        <f>$O$59*P59</f>
        <v>13764.632000000001</v>
      </c>
      <c r="R59" s="714"/>
      <c r="S59" s="506" t="str">
        <f>S93</f>
        <v>Leading Edge Power INV-0182</v>
      </c>
      <c r="T59" s="560">
        <f>T93</f>
        <v>46053</v>
      </c>
      <c r="U59" s="643">
        <v>28696.279307022203</v>
      </c>
      <c r="V59" s="709"/>
      <c r="W59" s="638">
        <f>W93</f>
        <v>46051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5"/>
      <c r="S60" s="506" t="str">
        <f>S94</f>
        <v>Leading Edge Power INV-0183</v>
      </c>
      <c r="T60" s="560">
        <v>46053</v>
      </c>
      <c r="U60" s="643">
        <v>28696.279307022203</v>
      </c>
      <c r="V60" s="709"/>
      <c r="W60" s="638">
        <f t="shared" ref="W60:W66" si="11">W94</f>
        <v>46058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9"/>
        <v>0.15</v>
      </c>
      <c r="Q61" s="204">
        <f t="shared" si="10"/>
        <v>10323.474</v>
      </c>
      <c r="R61" s="715"/>
      <c r="S61" s="506"/>
      <c r="T61" s="419">
        <f t="shared" si="0"/>
        <v>46112</v>
      </c>
      <c r="U61" s="401">
        <f t="shared" si="8"/>
        <v>20471.24624939953</v>
      </c>
      <c r="V61" s="709"/>
      <c r="W61" s="459">
        <f t="shared" si="11"/>
        <v>46086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9"/>
        <v>0.15</v>
      </c>
      <c r="Q62" s="204">
        <f t="shared" si="10"/>
        <v>10323.474</v>
      </c>
      <c r="R62" s="715"/>
      <c r="S62" s="506"/>
      <c r="T62" s="419">
        <f t="shared" si="0"/>
        <v>46112</v>
      </c>
      <c r="U62" s="401">
        <f t="shared" si="8"/>
        <v>20471.24624939953</v>
      </c>
      <c r="V62" s="709"/>
      <c r="W62" s="459">
        <f t="shared" si="11"/>
        <v>46093</v>
      </c>
      <c r="X62" s="700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0"/>
      <c r="J63" s="703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9"/>
        <v>0.1</v>
      </c>
      <c r="Q63" s="204">
        <f t="shared" si="10"/>
        <v>6882.3160000000007</v>
      </c>
      <c r="R63" s="715"/>
      <c r="S63" s="506"/>
      <c r="T63" s="419">
        <f t="shared" si="0"/>
        <v>46112</v>
      </c>
      <c r="U63" s="401">
        <f t="shared" si="8"/>
        <v>13647.497499599689</v>
      </c>
      <c r="V63" s="709"/>
      <c r="W63" s="459">
        <f t="shared" si="11"/>
        <v>46104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9"/>
        <v>0.1</v>
      </c>
      <c r="Q64" s="204">
        <f t="shared" si="10"/>
        <v>6882.3160000000007</v>
      </c>
      <c r="R64" s="715"/>
      <c r="S64" s="510"/>
      <c r="T64" s="419">
        <f t="shared" si="0"/>
        <v>46112</v>
      </c>
      <c r="U64" s="406">
        <f t="shared" si="8"/>
        <v>13647.497499599689</v>
      </c>
      <c r="V64" s="709"/>
      <c r="W64" s="459">
        <f t="shared" si="11"/>
        <v>46100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340</v>
      </c>
      <c r="N65" s="309" t="s">
        <v>326</v>
      </c>
      <c r="O65" s="438"/>
      <c r="P65" s="448">
        <f>P100</f>
        <v>0.05</v>
      </c>
      <c r="Q65" s="204">
        <f t="shared" si="10"/>
        <v>3441.1580000000004</v>
      </c>
      <c r="R65" s="715"/>
      <c r="S65" s="510"/>
      <c r="T65" s="419">
        <f t="shared" si="0"/>
        <v>46112</v>
      </c>
      <c r="U65" s="406">
        <f t="shared" si="8"/>
        <v>6823.7487497998445</v>
      </c>
      <c r="V65" s="709"/>
      <c r="W65" s="459">
        <f t="shared" si="11"/>
        <v>46100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340</v>
      </c>
      <c r="N66" s="309" t="s">
        <v>327</v>
      </c>
      <c r="O66" s="438"/>
      <c r="P66" s="448">
        <f>P100</f>
        <v>0.05</v>
      </c>
      <c r="Q66" s="204">
        <f t="shared" si="10"/>
        <v>3441.1580000000004</v>
      </c>
      <c r="R66" s="716"/>
      <c r="S66" s="510"/>
      <c r="T66" s="419">
        <f t="shared" si="0"/>
        <v>46142</v>
      </c>
      <c r="U66" s="406">
        <f t="shared" si="8"/>
        <v>6823.7487497998445</v>
      </c>
      <c r="V66" s="709"/>
      <c r="W66" s="459">
        <f t="shared" si="11"/>
        <v>46123</v>
      </c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09"/>
      <c r="W67" s="462"/>
      <c r="X67" s="700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0"/>
      <c r="J68" s="703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09"/>
      <c r="W68" s="462"/>
      <c r="X68" s="700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01"/>
      <c r="J69" s="704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10"/>
      <c r="W69" s="460"/>
      <c r="X69" s="701"/>
    </row>
    <row r="70" spans="1:24" ht="14.5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342</v>
      </c>
      <c r="D71" s="282"/>
      <c r="E71" s="360"/>
      <c r="F71" s="366"/>
      <c r="G71" s="283"/>
      <c r="H71" s="558"/>
      <c r="I71" s="690">
        <f>SUM(G71:G78)</f>
        <v>0</v>
      </c>
      <c r="J71" s="693">
        <f>F172</f>
        <v>0</v>
      </c>
      <c r="K71" s="189"/>
      <c r="L71" s="281">
        <v>7</v>
      </c>
      <c r="M71" s="213" t="s">
        <v>343</v>
      </c>
      <c r="N71" s="282"/>
      <c r="O71" s="360"/>
      <c r="P71" s="366"/>
      <c r="Q71" s="283"/>
      <c r="R71" s="481"/>
      <c r="S71" s="512"/>
      <c r="T71" s="421" t="str">
        <f t="shared" ref="T71:T136" si="12">IF(W71&gt;1,EOMONTH(W71,0),"")</f>
        <v/>
      </c>
      <c r="U71" s="524"/>
      <c r="V71" s="711">
        <f>J71-SUM(U71:U78)</f>
        <v>0</v>
      </c>
      <c r="W71" s="464"/>
      <c r="X71" s="690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91"/>
      <c r="J72" s="694"/>
      <c r="K72" s="192"/>
      <c r="L72" s="284">
        <v>7</v>
      </c>
      <c r="M72" s="285" t="s">
        <v>343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12"/>
      <c r="W72" s="455"/>
      <c r="X72" s="69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91"/>
      <c r="J73" s="694"/>
      <c r="K73" s="192"/>
      <c r="L73" s="284">
        <v>7</v>
      </c>
      <c r="M73" s="285" t="s">
        <v>343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12"/>
      <c r="W73" s="455"/>
      <c r="X73" s="69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1"/>
      <c r="J74" s="694"/>
      <c r="K74" s="192"/>
      <c r="L74" s="284">
        <v>7</v>
      </c>
      <c r="M74" s="285" t="s">
        <v>343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12"/>
      <c r="W74" s="455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343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2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343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12"/>
      <c r="W76" s="455"/>
      <c r="X76" s="69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343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12"/>
      <c r="W77" s="455"/>
      <c r="X77" s="691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92"/>
      <c r="J78" s="695"/>
      <c r="K78" s="193"/>
      <c r="L78" s="220">
        <v>7</v>
      </c>
      <c r="M78" s="241" t="s">
        <v>343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13"/>
      <c r="W78" s="456"/>
      <c r="X78" s="692"/>
    </row>
    <row r="79" spans="1:24" ht="14.5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344</v>
      </c>
      <c r="D80" s="237" t="s">
        <v>345</v>
      </c>
      <c r="E80" s="361"/>
      <c r="F80" s="315"/>
      <c r="G80" s="238">
        <v>100000</v>
      </c>
      <c r="H80" s="554">
        <f>H92</f>
        <v>46079</v>
      </c>
      <c r="I80" s="699">
        <f>SUM(G80:G90)</f>
        <v>187500</v>
      </c>
      <c r="J80" s="702">
        <f>F171</f>
        <v>234375</v>
      </c>
      <c r="K80" s="201"/>
      <c r="L80" s="236">
        <v>8</v>
      </c>
      <c r="M80" s="324" t="s">
        <v>346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9">
        <f>J80-SUM(U80:U90)</f>
        <v>-107298.3999504504</v>
      </c>
      <c r="W80" s="458"/>
      <c r="X80" s="699">
        <f>SUM(Q80:Q90)</f>
        <v>79978.17</v>
      </c>
    </row>
    <row r="81" spans="1:24" ht="14.25" customHeight="1">
      <c r="B81" s="226">
        <v>8</v>
      </c>
      <c r="C81" s="227"/>
      <c r="D81" s="239" t="s">
        <v>347</v>
      </c>
      <c r="E81" s="314"/>
      <c r="F81" s="359"/>
      <c r="G81" s="228">
        <v>87500</v>
      </c>
      <c r="H81" s="545">
        <f>H92</f>
        <v>46079</v>
      </c>
      <c r="I81" s="700"/>
      <c r="J81" s="703"/>
      <c r="K81" s="205"/>
      <c r="L81" s="226">
        <v>8</v>
      </c>
      <c r="M81" s="332" t="s">
        <v>346</v>
      </c>
      <c r="N81" s="239" t="s">
        <v>345</v>
      </c>
      <c r="O81" s="314"/>
      <c r="P81" s="359"/>
      <c r="Q81" s="228">
        <v>80000</v>
      </c>
      <c r="R81" s="475"/>
      <c r="S81" s="506"/>
      <c r="T81" s="416">
        <v>46112</v>
      </c>
      <c r="U81" s="401">
        <f t="shared" ref="U81:U90" si="13">(Q81/$X$80*$J$80)</f>
        <v>234438.97253463036</v>
      </c>
      <c r="V81" s="730"/>
      <c r="W81" s="459">
        <f>T81</f>
        <v>46112</v>
      </c>
      <c r="X81" s="70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346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30"/>
      <c r="W82" s="459"/>
      <c r="X82" s="70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0"/>
      <c r="J83" s="703"/>
      <c r="K83" s="205"/>
      <c r="L83" s="226">
        <v>8</v>
      </c>
      <c r="M83" s="332" t="s">
        <v>346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30"/>
      <c r="W83" s="459"/>
      <c r="X83" s="70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346</v>
      </c>
      <c r="N84" s="239" t="s">
        <v>348</v>
      </c>
      <c r="O84" s="634">
        <v>67474.559999999998</v>
      </c>
      <c r="P84" s="533">
        <v>0.5</v>
      </c>
      <c r="Q84" s="228">
        <v>-33737.279999999999</v>
      </c>
      <c r="R84" s="649" t="s">
        <v>349</v>
      </c>
      <c r="S84" s="506" t="s">
        <v>350</v>
      </c>
      <c r="T84" s="545">
        <v>46053</v>
      </c>
      <c r="U84" s="643">
        <v>53617.213707910028</v>
      </c>
      <c r="V84" s="730"/>
      <c r="W84" s="638">
        <v>46051</v>
      </c>
      <c r="X84" s="70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0"/>
      <c r="J85" s="703"/>
      <c r="K85" s="205"/>
      <c r="L85" s="226">
        <v>8</v>
      </c>
      <c r="M85" s="332" t="s">
        <v>346</v>
      </c>
      <c r="N85" s="239" t="s">
        <v>351</v>
      </c>
      <c r="O85" s="314"/>
      <c r="P85" s="533"/>
      <c r="Q85" s="228">
        <v>33715.449999999997</v>
      </c>
      <c r="R85" s="650"/>
      <c r="S85" s="506" t="s">
        <v>352</v>
      </c>
      <c r="T85" s="545">
        <v>46081</v>
      </c>
      <c r="U85" s="643">
        <v>53617.213707910028</v>
      </c>
      <c r="V85" s="730"/>
      <c r="W85" s="638">
        <v>46066</v>
      </c>
      <c r="X85" s="70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346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30"/>
      <c r="W86" s="459"/>
      <c r="X86" s="700"/>
    </row>
    <row r="87" spans="1:24" ht="14.25" customHeight="1">
      <c r="B87" s="226"/>
      <c r="C87" s="227"/>
      <c r="D87" s="239"/>
      <c r="E87" s="314"/>
      <c r="F87" s="359"/>
      <c r="G87" s="228"/>
      <c r="H87" s="560"/>
      <c r="I87" s="700"/>
      <c r="J87" s="703"/>
      <c r="K87" s="205"/>
      <c r="L87" s="226">
        <v>8</v>
      </c>
      <c r="M87" s="332" t="s">
        <v>346</v>
      </c>
      <c r="N87" s="239"/>
      <c r="O87" s="441"/>
      <c r="P87" s="359"/>
      <c r="Q87" s="228"/>
      <c r="R87" s="479"/>
      <c r="S87" s="510"/>
      <c r="T87" s="560"/>
      <c r="U87" s="406"/>
      <c r="V87" s="730"/>
      <c r="W87" s="462"/>
      <c r="X87" s="700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00"/>
      <c r="J88" s="703"/>
      <c r="K88" s="205"/>
      <c r="L88" s="226">
        <v>8</v>
      </c>
      <c r="M88" s="332" t="s">
        <v>346</v>
      </c>
      <c r="N88" s="239"/>
      <c r="O88" s="441"/>
      <c r="P88" s="359"/>
      <c r="Q88" s="228"/>
      <c r="R88" s="479"/>
      <c r="S88" s="510"/>
      <c r="T88" s="560"/>
      <c r="U88" s="406"/>
      <c r="V88" s="730"/>
      <c r="W88" s="462"/>
      <c r="X88" s="70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00"/>
      <c r="J89" s="703"/>
      <c r="K89" s="205"/>
      <c r="L89" s="226">
        <v>8</v>
      </c>
      <c r="M89" s="332" t="s">
        <v>346</v>
      </c>
      <c r="N89" s="239"/>
      <c r="O89" s="441"/>
      <c r="P89" s="359"/>
      <c r="Q89" s="228"/>
      <c r="R89" s="479"/>
      <c r="S89" s="510"/>
      <c r="T89" s="560"/>
      <c r="U89" s="406">
        <f t="shared" si="13"/>
        <v>0</v>
      </c>
      <c r="V89" s="730"/>
      <c r="W89" s="462"/>
      <c r="X89" s="700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01"/>
      <c r="J90" s="704"/>
      <c r="K90" s="210"/>
      <c r="L90" s="206">
        <v>8</v>
      </c>
      <c r="M90" s="331" t="s">
        <v>346</v>
      </c>
      <c r="N90" s="208"/>
      <c r="O90" s="442"/>
      <c r="P90" s="353"/>
      <c r="Q90" s="209"/>
      <c r="R90" s="476"/>
      <c r="S90" s="507"/>
      <c r="T90" s="417" t="str">
        <f t="shared" si="12"/>
        <v/>
      </c>
      <c r="U90" s="402">
        <f t="shared" si="13"/>
        <v>0</v>
      </c>
      <c r="V90" s="731"/>
      <c r="W90" s="460"/>
      <c r="X90" s="701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353</v>
      </c>
      <c r="L91" s="240"/>
      <c r="M91" s="76"/>
      <c r="N91" s="76"/>
      <c r="O91" s="443"/>
      <c r="P91" s="367"/>
      <c r="Q91" s="76"/>
      <c r="R91" s="482"/>
      <c r="S91" s="240"/>
      <c r="T91" s="422" t="str">
        <f t="shared" si="12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354</v>
      </c>
      <c r="D92" s="231" t="s">
        <v>355</v>
      </c>
      <c r="E92" s="218"/>
      <c r="F92" s="336"/>
      <c r="G92" s="496">
        <f>D176</f>
        <v>46810</v>
      </c>
      <c r="H92" s="542">
        <f>'Project Plan'!G21+7</f>
        <v>46079</v>
      </c>
      <c r="I92" s="723">
        <f>SUM(G92:G103)</f>
        <v>147225</v>
      </c>
      <c r="J92" s="693">
        <f>F176+F177</f>
        <v>163583.33333333334</v>
      </c>
      <c r="K92" s="192"/>
      <c r="L92" s="215">
        <v>9</v>
      </c>
      <c r="M92" s="322" t="s">
        <v>356</v>
      </c>
      <c r="N92" s="231"/>
      <c r="O92" s="433"/>
      <c r="P92" s="336"/>
      <c r="Q92" s="219"/>
      <c r="R92" s="477"/>
      <c r="S92" s="508"/>
      <c r="T92" s="418" t="str">
        <f t="shared" si="12"/>
        <v/>
      </c>
      <c r="U92" s="404">
        <f t="shared" ref="U92:U103" si="14">(Q92/$X$92*$J$92)</f>
        <v>0</v>
      </c>
      <c r="V92" s="705">
        <f>J92-SUM(U92:U103)</f>
        <v>0</v>
      </c>
      <c r="W92" s="461"/>
      <c r="X92" s="690">
        <f>SUM(Q92:Q103)</f>
        <v>194250.00999999998</v>
      </c>
    </row>
    <row r="93" spans="1:24" ht="15" customHeight="1">
      <c r="B93" s="215">
        <v>9</v>
      </c>
      <c r="C93" s="341"/>
      <c r="D93" s="232" t="s">
        <v>357</v>
      </c>
      <c r="E93" s="218"/>
      <c r="F93" s="357"/>
      <c r="G93" s="496">
        <f>D177</f>
        <v>100415.00000000001</v>
      </c>
      <c r="H93" s="541">
        <f>'Project Plan'!G28+7</f>
        <v>46084</v>
      </c>
      <c r="I93" s="724"/>
      <c r="J93" s="694"/>
      <c r="K93" s="192"/>
      <c r="L93" s="215">
        <v>9</v>
      </c>
      <c r="M93" s="322" t="s">
        <v>356</v>
      </c>
      <c r="N93" s="232" t="s">
        <v>317</v>
      </c>
      <c r="O93" s="450">
        <f>Z30+Z29</f>
        <v>194250.01</v>
      </c>
      <c r="P93" s="451">
        <v>0.2</v>
      </c>
      <c r="Q93" s="219">
        <f>$O$93*P93</f>
        <v>38850.002</v>
      </c>
      <c r="R93" s="735"/>
      <c r="S93" s="501" t="s">
        <v>358</v>
      </c>
      <c r="T93" s="551">
        <v>46053</v>
      </c>
      <c r="U93" s="626">
        <v>32716.666666666672</v>
      </c>
      <c r="V93" s="706"/>
      <c r="W93" s="640">
        <v>46051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4"/>
      <c r="J94" s="694"/>
      <c r="K94" s="192"/>
      <c r="L94" s="284">
        <v>9</v>
      </c>
      <c r="M94" s="394" t="s">
        <v>356</v>
      </c>
      <c r="N94" s="286" t="s">
        <v>168</v>
      </c>
      <c r="O94" s="434"/>
      <c r="P94" s="449">
        <v>0.2</v>
      </c>
      <c r="Q94" s="219">
        <f t="shared" ref="Q94:Q100" si="15">$O$93*P94</f>
        <v>38850.002</v>
      </c>
      <c r="R94" s="736"/>
      <c r="S94" s="501" t="s">
        <v>359</v>
      </c>
      <c r="T94" s="551">
        <v>46053</v>
      </c>
      <c r="U94" s="626">
        <v>32716.666666666672</v>
      </c>
      <c r="V94" s="706"/>
      <c r="W94" s="641">
        <v>46058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4"/>
      <c r="J95" s="694"/>
      <c r="K95" s="192"/>
      <c r="L95" s="284">
        <v>9</v>
      </c>
      <c r="M95" s="394" t="s">
        <v>356</v>
      </c>
      <c r="N95" s="286" t="s">
        <v>320</v>
      </c>
      <c r="O95" s="434"/>
      <c r="P95" s="449">
        <v>0.15</v>
      </c>
      <c r="Q95" s="219">
        <f t="shared" si="15"/>
        <v>29137.501500000002</v>
      </c>
      <c r="R95" s="736"/>
      <c r="S95" s="502"/>
      <c r="T95" s="412">
        <f t="shared" si="12"/>
        <v>46112</v>
      </c>
      <c r="U95" s="397">
        <f t="shared" si="14"/>
        <v>24537.500000000004</v>
      </c>
      <c r="V95" s="706"/>
      <c r="W95" s="455">
        <f>'Project Plan'!K21+7</f>
        <v>46086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4"/>
      <c r="J96" s="694"/>
      <c r="K96" s="192"/>
      <c r="L96" s="284">
        <v>9</v>
      </c>
      <c r="M96" s="394" t="s">
        <v>356</v>
      </c>
      <c r="N96" s="286" t="s">
        <v>322</v>
      </c>
      <c r="O96" s="434"/>
      <c r="P96" s="449">
        <v>0.15</v>
      </c>
      <c r="Q96" s="219">
        <f t="shared" si="15"/>
        <v>29137.501500000002</v>
      </c>
      <c r="R96" s="736"/>
      <c r="S96" s="502"/>
      <c r="T96" s="412">
        <f t="shared" si="12"/>
        <v>46112</v>
      </c>
      <c r="U96" s="397">
        <f t="shared" si="14"/>
        <v>24537.500000000004</v>
      </c>
      <c r="V96" s="706"/>
      <c r="W96" s="455">
        <f>'Project Plan'!K28+7</f>
        <v>46093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4"/>
      <c r="J97" s="694"/>
      <c r="K97" s="192"/>
      <c r="L97" s="284">
        <v>9</v>
      </c>
      <c r="M97" s="394" t="s">
        <v>356</v>
      </c>
      <c r="N97" s="286" t="s">
        <v>324</v>
      </c>
      <c r="O97" s="434"/>
      <c r="P97" s="449">
        <v>0.1</v>
      </c>
      <c r="Q97" s="219">
        <f t="shared" si="15"/>
        <v>19425.001</v>
      </c>
      <c r="R97" s="736"/>
      <c r="S97" s="502"/>
      <c r="T97" s="412">
        <f t="shared" si="12"/>
        <v>46112</v>
      </c>
      <c r="U97" s="397">
        <f t="shared" si="14"/>
        <v>16358.333333333336</v>
      </c>
      <c r="V97" s="706"/>
      <c r="W97" s="455">
        <f>'Project Plan'!K39+7</f>
        <v>46104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4"/>
      <c r="J98" s="694"/>
      <c r="K98" s="192"/>
      <c r="L98" s="284">
        <v>9</v>
      </c>
      <c r="M98" s="394" t="s">
        <v>356</v>
      </c>
      <c r="N98" s="286" t="s">
        <v>325</v>
      </c>
      <c r="O98" s="434"/>
      <c r="P98" s="449">
        <v>0.1</v>
      </c>
      <c r="Q98" s="219">
        <f t="shared" si="15"/>
        <v>19425.001</v>
      </c>
      <c r="R98" s="736"/>
      <c r="S98" s="502"/>
      <c r="T98" s="412">
        <f t="shared" si="12"/>
        <v>46112</v>
      </c>
      <c r="U98" s="397">
        <f t="shared" si="14"/>
        <v>16358.333333333336</v>
      </c>
      <c r="V98" s="706"/>
      <c r="W98" s="455">
        <f>'Project Plan'!K46+7</f>
        <v>46100</v>
      </c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4"/>
      <c r="J99" s="694"/>
      <c r="K99" s="192"/>
      <c r="L99" s="284">
        <v>9</v>
      </c>
      <c r="M99" s="394" t="s">
        <v>356</v>
      </c>
      <c r="N99" s="286" t="s">
        <v>326</v>
      </c>
      <c r="O99" s="434"/>
      <c r="P99" s="449">
        <v>0.05</v>
      </c>
      <c r="Q99" s="219">
        <f t="shared" si="15"/>
        <v>9712.5005000000001</v>
      </c>
      <c r="R99" s="736"/>
      <c r="S99" s="502"/>
      <c r="T99" s="412">
        <f t="shared" si="12"/>
        <v>46112</v>
      </c>
      <c r="U99" s="397">
        <f t="shared" si="14"/>
        <v>8179.1666666666679</v>
      </c>
      <c r="V99" s="706"/>
      <c r="W99" s="455">
        <f>'Project Plan'!K46+7</f>
        <v>46100</v>
      </c>
      <c r="X99" s="69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4"/>
      <c r="J100" s="694"/>
      <c r="K100" s="192"/>
      <c r="L100" s="284">
        <v>9</v>
      </c>
      <c r="M100" s="394" t="s">
        <v>356</v>
      </c>
      <c r="N100" s="286" t="s">
        <v>327</v>
      </c>
      <c r="O100" s="434"/>
      <c r="P100" s="449">
        <v>0.05</v>
      </c>
      <c r="Q100" s="219">
        <f t="shared" si="15"/>
        <v>9712.5005000000001</v>
      </c>
      <c r="R100" s="737"/>
      <c r="S100" s="502"/>
      <c r="T100" s="412">
        <f t="shared" si="12"/>
        <v>46142</v>
      </c>
      <c r="U100" s="397">
        <f t="shared" si="14"/>
        <v>8179.1666666666679</v>
      </c>
      <c r="V100" s="706"/>
      <c r="W100" s="455">
        <f>'Project Plan'!K46+30</f>
        <v>46123</v>
      </c>
      <c r="X100" s="69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4"/>
      <c r="J101" s="694"/>
      <c r="K101" s="192"/>
      <c r="L101" s="284">
        <v>9</v>
      </c>
      <c r="M101" s="394" t="s">
        <v>356</v>
      </c>
      <c r="N101" s="286"/>
      <c r="O101" s="434"/>
      <c r="P101" s="343"/>
      <c r="Q101" s="287"/>
      <c r="R101" s="471"/>
      <c r="S101" s="502"/>
      <c r="T101" s="412" t="str">
        <f t="shared" si="12"/>
        <v/>
      </c>
      <c r="U101" s="397">
        <f t="shared" si="14"/>
        <v>0</v>
      </c>
      <c r="V101" s="706"/>
      <c r="W101" s="455"/>
      <c r="X101" s="69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4"/>
      <c r="J102" s="694"/>
      <c r="K102" s="192"/>
      <c r="L102" s="284">
        <v>9</v>
      </c>
      <c r="M102" s="394" t="s">
        <v>356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706"/>
      <c r="W102" s="455"/>
      <c r="X102" s="691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5"/>
      <c r="J103" s="695"/>
      <c r="K103" s="267"/>
      <c r="L103" s="220">
        <v>9</v>
      </c>
      <c r="M103" s="340" t="s">
        <v>356</v>
      </c>
      <c r="N103" s="233"/>
      <c r="O103" s="435"/>
      <c r="P103" s="358"/>
      <c r="Q103" s="234"/>
      <c r="R103" s="472"/>
      <c r="S103" s="503"/>
      <c r="T103" s="413" t="str">
        <f t="shared" si="12"/>
        <v/>
      </c>
      <c r="U103" s="398">
        <f t="shared" si="14"/>
        <v>0</v>
      </c>
      <c r="V103" s="707"/>
      <c r="W103" s="456"/>
      <c r="X103" s="692"/>
    </row>
    <row r="104" spans="1:24" ht="14.5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3"/>
      <c r="S104" s="504"/>
      <c r="T104" s="414" t="str">
        <f t="shared" si="12"/>
        <v/>
      </c>
      <c r="U104" s="403"/>
      <c r="V104" s="385"/>
      <c r="W104" s="457"/>
      <c r="X104" s="547"/>
    </row>
    <row r="105" spans="1:24" ht="14.25" customHeight="1">
      <c r="B105" s="173">
        <v>10</v>
      </c>
      <c r="C105" s="174" t="s">
        <v>360</v>
      </c>
      <c r="D105" s="174" t="s">
        <v>299</v>
      </c>
      <c r="E105" s="175"/>
      <c r="F105" s="368"/>
      <c r="G105" s="242">
        <f>D180</f>
        <v>8500</v>
      </c>
      <c r="H105" s="561">
        <f>H92</f>
        <v>46079</v>
      </c>
      <c r="I105" s="717">
        <f>SUM(G105:G119)</f>
        <v>34366.266666666663</v>
      </c>
      <c r="J105" s="720">
        <f>F180+F183+F184+F182+F181</f>
        <v>38184.740740740745</v>
      </c>
      <c r="K105" s="243"/>
      <c r="L105" s="173">
        <v>10</v>
      </c>
      <c r="M105" s="333" t="s">
        <v>361</v>
      </c>
      <c r="N105" s="174"/>
      <c r="O105" s="444"/>
      <c r="P105" s="368"/>
      <c r="Q105" s="242"/>
      <c r="R105" s="483"/>
      <c r="S105" s="513"/>
      <c r="T105" s="423" t="str">
        <f t="shared" si="12"/>
        <v/>
      </c>
      <c r="U105" s="408">
        <f t="shared" ref="U105:U118" si="16">(Q105/$X$105*$J$105)</f>
        <v>0</v>
      </c>
      <c r="V105" s="726">
        <f>J105-SUM(U105:U119)</f>
        <v>0</v>
      </c>
      <c r="W105" s="465"/>
      <c r="X105" s="717">
        <f>SUM(Q105:Q119)</f>
        <v>44166.2</v>
      </c>
    </row>
    <row r="106" spans="1:24" ht="14.25" customHeight="1">
      <c r="B106" s="244">
        <v>10</v>
      </c>
      <c r="C106" s="245"/>
      <c r="D106" s="245" t="s">
        <v>300</v>
      </c>
      <c r="E106" s="246"/>
      <c r="F106" s="369"/>
      <c r="G106" s="247">
        <f>D184</f>
        <v>11466.266666666666</v>
      </c>
      <c r="H106" s="562">
        <f>H92</f>
        <v>46079</v>
      </c>
      <c r="I106" s="718"/>
      <c r="J106" s="721"/>
      <c r="K106" s="176"/>
      <c r="L106" s="244">
        <v>10</v>
      </c>
      <c r="M106" s="334" t="s">
        <v>361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523">
        <f t="shared" si="16"/>
        <v>0</v>
      </c>
      <c r="V106" s="727"/>
      <c r="W106" s="466"/>
      <c r="X106" s="718"/>
    </row>
    <row r="107" spans="1:24" ht="14.25" customHeight="1">
      <c r="B107" s="244">
        <v>10</v>
      </c>
      <c r="C107" s="245"/>
      <c r="D107" s="245" t="s">
        <v>362</v>
      </c>
      <c r="E107" s="246"/>
      <c r="F107" s="369"/>
      <c r="G107" s="247">
        <f>D183</f>
        <v>14400</v>
      </c>
      <c r="H107" s="562">
        <f>H92</f>
        <v>46079</v>
      </c>
      <c r="I107" s="718"/>
      <c r="J107" s="721"/>
      <c r="K107" s="176"/>
      <c r="L107" s="244">
        <v>10</v>
      </c>
      <c r="M107" s="334" t="s">
        <v>361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409">
        <f t="shared" si="16"/>
        <v>0</v>
      </c>
      <c r="V107" s="727"/>
      <c r="W107" s="466"/>
      <c r="X107" s="718"/>
    </row>
    <row r="108" spans="1:24" ht="14.25" customHeight="1">
      <c r="B108" s="244">
        <v>10</v>
      </c>
      <c r="C108" s="245"/>
      <c r="D108" s="245" t="s">
        <v>301</v>
      </c>
      <c r="E108" s="246"/>
      <c r="F108" s="369"/>
      <c r="G108" s="247">
        <f>D182</f>
        <v>0</v>
      </c>
      <c r="H108" s="562">
        <f>H92</f>
        <v>46079</v>
      </c>
      <c r="I108" s="718"/>
      <c r="J108" s="721"/>
      <c r="K108" s="176"/>
      <c r="L108" s="244">
        <v>10</v>
      </c>
      <c r="M108" s="334" t="s">
        <v>361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27"/>
      <c r="W108" s="466"/>
      <c r="X108" s="71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18"/>
      <c r="J109" s="721"/>
      <c r="K109" s="176"/>
      <c r="L109" s="244">
        <v>10</v>
      </c>
      <c r="M109" s="334" t="s">
        <v>361</v>
      </c>
      <c r="N109" s="245" t="s">
        <v>317</v>
      </c>
      <c r="O109" s="495">
        <f>SUM(Z31:Z36)</f>
        <v>44166.2</v>
      </c>
      <c r="P109" s="452">
        <f t="shared" ref="P109:P116" si="17">P93</f>
        <v>0.2</v>
      </c>
      <c r="Q109" s="247">
        <f>$O$109*P109</f>
        <v>8833.24</v>
      </c>
      <c r="R109" s="732"/>
      <c r="S109" s="515" t="str">
        <f>S93</f>
        <v>Leading Edge Power INV-0182</v>
      </c>
      <c r="T109" s="563">
        <f>T93</f>
        <v>46053</v>
      </c>
      <c r="U109" s="647">
        <v>7636.9481481481489</v>
      </c>
      <c r="V109" s="727"/>
      <c r="W109" s="639">
        <f>W93</f>
        <v>46051</v>
      </c>
      <c r="X109" s="71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18"/>
      <c r="J110" s="721"/>
      <c r="K110" s="176"/>
      <c r="L110" s="244">
        <v>10</v>
      </c>
      <c r="M110" s="334" t="s">
        <v>361</v>
      </c>
      <c r="N110" s="245" t="s">
        <v>168</v>
      </c>
      <c r="O110" s="445"/>
      <c r="P110" s="452">
        <f t="shared" si="17"/>
        <v>0.2</v>
      </c>
      <c r="Q110" s="247">
        <f t="shared" ref="Q110:Q116" si="18">$O$109*P110</f>
        <v>8833.24</v>
      </c>
      <c r="R110" s="733"/>
      <c r="S110" s="515" t="str">
        <f>S94</f>
        <v>Leading Edge Power INV-0183</v>
      </c>
      <c r="T110" s="563">
        <f t="shared" ref="T110:T116" si="19">T94</f>
        <v>46053</v>
      </c>
      <c r="U110" s="647">
        <v>7636.9481481481489</v>
      </c>
      <c r="V110" s="727"/>
      <c r="W110" s="639">
        <f t="shared" ref="W110:W116" si="20">W94</f>
        <v>46058</v>
      </c>
      <c r="X110" s="71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18"/>
      <c r="J111" s="721"/>
      <c r="K111" s="176"/>
      <c r="L111" s="244">
        <v>10</v>
      </c>
      <c r="M111" s="334" t="s">
        <v>361</v>
      </c>
      <c r="N111" s="245" t="s">
        <v>320</v>
      </c>
      <c r="O111" s="445"/>
      <c r="P111" s="452">
        <f t="shared" si="17"/>
        <v>0.15</v>
      </c>
      <c r="Q111" s="247">
        <f t="shared" si="18"/>
        <v>6624.9299999999994</v>
      </c>
      <c r="R111" s="733"/>
      <c r="S111" s="515"/>
      <c r="T111" s="425">
        <f t="shared" si="19"/>
        <v>46112</v>
      </c>
      <c r="U111" s="409">
        <f t="shared" si="16"/>
        <v>5727.7111111111117</v>
      </c>
      <c r="V111" s="727"/>
      <c r="W111" s="467">
        <f t="shared" si="20"/>
        <v>46086</v>
      </c>
      <c r="X111" s="71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18"/>
      <c r="J112" s="721"/>
      <c r="K112" s="176"/>
      <c r="L112" s="244">
        <v>10</v>
      </c>
      <c r="M112" s="334" t="s">
        <v>361</v>
      </c>
      <c r="N112" s="245" t="s">
        <v>322</v>
      </c>
      <c r="O112" s="445"/>
      <c r="P112" s="452">
        <f t="shared" si="17"/>
        <v>0.15</v>
      </c>
      <c r="Q112" s="247">
        <f t="shared" si="18"/>
        <v>6624.9299999999994</v>
      </c>
      <c r="R112" s="733"/>
      <c r="S112" s="515"/>
      <c r="T112" s="425">
        <f t="shared" si="19"/>
        <v>46112</v>
      </c>
      <c r="U112" s="409">
        <f t="shared" si="16"/>
        <v>5727.7111111111117</v>
      </c>
      <c r="V112" s="727"/>
      <c r="W112" s="467">
        <f t="shared" si="20"/>
        <v>46093</v>
      </c>
      <c r="X112" s="71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18"/>
      <c r="J113" s="721"/>
      <c r="K113" s="176"/>
      <c r="L113" s="244">
        <v>10</v>
      </c>
      <c r="M113" s="334" t="s">
        <v>361</v>
      </c>
      <c r="N113" s="245" t="s">
        <v>324</v>
      </c>
      <c r="O113" s="445"/>
      <c r="P113" s="452">
        <f t="shared" si="17"/>
        <v>0.1</v>
      </c>
      <c r="Q113" s="247">
        <f t="shared" si="18"/>
        <v>4416.62</v>
      </c>
      <c r="R113" s="733"/>
      <c r="S113" s="515"/>
      <c r="T113" s="425">
        <f t="shared" si="19"/>
        <v>46112</v>
      </c>
      <c r="U113" s="409">
        <f t="shared" si="16"/>
        <v>3818.4740740740745</v>
      </c>
      <c r="V113" s="727"/>
      <c r="W113" s="467">
        <f t="shared" si="20"/>
        <v>46104</v>
      </c>
      <c r="X113" s="71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18"/>
      <c r="J114" s="721"/>
      <c r="K114" s="176"/>
      <c r="L114" s="244">
        <v>10</v>
      </c>
      <c r="M114" s="334" t="s">
        <v>361</v>
      </c>
      <c r="N114" s="245" t="s">
        <v>325</v>
      </c>
      <c r="O114" s="445"/>
      <c r="P114" s="452">
        <f t="shared" si="17"/>
        <v>0.1</v>
      </c>
      <c r="Q114" s="247">
        <f t="shared" si="18"/>
        <v>4416.62</v>
      </c>
      <c r="R114" s="733"/>
      <c r="S114" s="515"/>
      <c r="T114" s="425">
        <f t="shared" si="19"/>
        <v>46112</v>
      </c>
      <c r="U114" s="409">
        <f t="shared" si="16"/>
        <v>3818.4740740740745</v>
      </c>
      <c r="V114" s="727"/>
      <c r="W114" s="467">
        <f t="shared" si="20"/>
        <v>46100</v>
      </c>
      <c r="X114" s="71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18"/>
      <c r="J115" s="721"/>
      <c r="K115" s="176"/>
      <c r="L115" s="244">
        <v>10</v>
      </c>
      <c r="M115" s="334" t="s">
        <v>361</v>
      </c>
      <c r="N115" s="245" t="s">
        <v>326</v>
      </c>
      <c r="O115" s="445"/>
      <c r="P115" s="452">
        <f t="shared" si="17"/>
        <v>0.05</v>
      </c>
      <c r="Q115" s="247">
        <f t="shared" si="18"/>
        <v>2208.31</v>
      </c>
      <c r="R115" s="733"/>
      <c r="S115" s="515"/>
      <c r="T115" s="425">
        <f t="shared" si="19"/>
        <v>46112</v>
      </c>
      <c r="U115" s="409">
        <f t="shared" si="16"/>
        <v>1909.2370370370372</v>
      </c>
      <c r="V115" s="727"/>
      <c r="W115" s="467">
        <f t="shared" si="20"/>
        <v>46100</v>
      </c>
      <c r="X115" s="718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18"/>
      <c r="J116" s="721"/>
      <c r="K116" s="176"/>
      <c r="L116" s="244">
        <v>10</v>
      </c>
      <c r="M116" s="334" t="s">
        <v>361</v>
      </c>
      <c r="N116" s="245" t="s">
        <v>327</v>
      </c>
      <c r="O116" s="445"/>
      <c r="P116" s="452">
        <f t="shared" si="17"/>
        <v>0.05</v>
      </c>
      <c r="Q116" s="247">
        <f t="shared" si="18"/>
        <v>2208.31</v>
      </c>
      <c r="R116" s="734"/>
      <c r="S116" s="515"/>
      <c r="T116" s="425">
        <f t="shared" si="19"/>
        <v>46142</v>
      </c>
      <c r="U116" s="409">
        <f t="shared" si="16"/>
        <v>1909.2370370370372</v>
      </c>
      <c r="V116" s="727"/>
      <c r="W116" s="467">
        <f t="shared" si="20"/>
        <v>46123</v>
      </c>
      <c r="X116" s="718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18"/>
      <c r="J117" s="721"/>
      <c r="K117" s="176"/>
      <c r="L117" s="244">
        <v>10</v>
      </c>
      <c r="M117" s="334" t="s">
        <v>361</v>
      </c>
      <c r="N117" s="245"/>
      <c r="O117" s="445"/>
      <c r="P117" s="369"/>
      <c r="Q117" s="247"/>
      <c r="R117" s="485"/>
      <c r="S117" s="515"/>
      <c r="T117" s="425" t="str">
        <f t="shared" si="12"/>
        <v/>
      </c>
      <c r="U117" s="409">
        <f t="shared" si="16"/>
        <v>0</v>
      </c>
      <c r="V117" s="727"/>
      <c r="W117" s="467"/>
      <c r="X117" s="718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18"/>
      <c r="J118" s="721"/>
      <c r="K118" s="176"/>
      <c r="L118" s="244">
        <v>10</v>
      </c>
      <c r="M118" s="334" t="s">
        <v>361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27"/>
      <c r="W118" s="467"/>
      <c r="X118" s="718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719"/>
      <c r="J119" s="722"/>
      <c r="K119" s="179"/>
      <c r="L119" s="177">
        <v>10</v>
      </c>
      <c r="M119" s="335" t="s">
        <v>361</v>
      </c>
      <c r="N119" s="248"/>
      <c r="O119" s="446"/>
      <c r="P119" s="370"/>
      <c r="Q119" s="178"/>
      <c r="R119" s="486"/>
      <c r="S119" s="516"/>
      <c r="T119" s="426" t="str">
        <f t="shared" si="12"/>
        <v/>
      </c>
      <c r="U119" s="410"/>
      <c r="V119" s="728"/>
      <c r="W119" s="468"/>
      <c r="X119" s="719"/>
    </row>
    <row r="120" spans="1:24" ht="14.5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8"/>
      <c r="S120" s="509"/>
      <c r="T120" s="414" t="str">
        <f t="shared" si="12"/>
        <v/>
      </c>
      <c r="U120" s="399"/>
      <c r="V120" s="386"/>
      <c r="W120" s="457"/>
      <c r="X120" s="547"/>
    </row>
    <row r="121" spans="1:24" ht="14.25" customHeight="1">
      <c r="B121" s="185">
        <v>11</v>
      </c>
      <c r="C121" s="186" t="s">
        <v>363</v>
      </c>
      <c r="D121" s="255" t="s">
        <v>364</v>
      </c>
      <c r="E121" s="187"/>
      <c r="F121" s="336"/>
      <c r="G121" s="188">
        <v>11000</v>
      </c>
      <c r="H121" s="542">
        <f>'Project Plan'!G39</f>
        <v>46086</v>
      </c>
      <c r="I121" s="690">
        <f>SUM(G121:G125)</f>
        <v>89000</v>
      </c>
      <c r="J121" s="693">
        <f>F179</f>
        <v>98888.888888888891</v>
      </c>
      <c r="K121" s="189"/>
      <c r="L121" s="185">
        <v>11</v>
      </c>
      <c r="M121" s="255" t="s">
        <v>365</v>
      </c>
      <c r="N121" s="255" t="s">
        <v>364</v>
      </c>
      <c r="O121" s="187"/>
      <c r="P121" s="336"/>
      <c r="Q121" s="188">
        <v>11000</v>
      </c>
      <c r="R121" s="535"/>
      <c r="S121" s="508"/>
      <c r="T121" s="418">
        <v>46112</v>
      </c>
      <c r="U121" s="397">
        <f>10023.6483490496+2570.98</f>
        <v>12594.628349049599</v>
      </c>
      <c r="V121" s="705">
        <f>J121-SUM(U121:U125)</f>
        <v>-1.8580082105472684E-3</v>
      </c>
      <c r="W121" s="461">
        <f>'Project Plan'!K39+14</f>
        <v>46111</v>
      </c>
      <c r="X121" s="690">
        <f>SUM(Q121:Q125)</f>
        <v>75572.5</v>
      </c>
    </row>
    <row r="122" spans="1:24" ht="15" customHeight="1">
      <c r="B122" s="215">
        <v>11</v>
      </c>
      <c r="C122" s="217"/>
      <c r="D122" s="217" t="s">
        <v>366</v>
      </c>
      <c r="E122" s="218"/>
      <c r="F122" s="357"/>
      <c r="G122" s="219">
        <v>18000</v>
      </c>
      <c r="H122" s="542">
        <f>H121</f>
        <v>46086</v>
      </c>
      <c r="I122" s="691"/>
      <c r="J122" s="694"/>
      <c r="K122" s="192"/>
      <c r="L122" s="215">
        <v>11</v>
      </c>
      <c r="M122" s="290" t="s">
        <v>365</v>
      </c>
      <c r="N122" s="217" t="s">
        <v>367</v>
      </c>
      <c r="O122" s="218"/>
      <c r="P122" s="357"/>
      <c r="Q122" s="219">
        <v>8572.5</v>
      </c>
      <c r="R122" s="518"/>
      <c r="S122" s="501" t="s">
        <v>368</v>
      </c>
      <c r="T122" s="630">
        <v>45991</v>
      </c>
      <c r="U122" s="626">
        <v>10023.648349049632</v>
      </c>
      <c r="V122" s="706"/>
      <c r="W122" s="631">
        <v>45974</v>
      </c>
      <c r="X122" s="691"/>
    </row>
    <row r="123" spans="1:24" ht="15" customHeight="1">
      <c r="B123" s="215">
        <v>11</v>
      </c>
      <c r="C123" s="217"/>
      <c r="D123" s="217" t="s">
        <v>369</v>
      </c>
      <c r="E123" s="218"/>
      <c r="F123" s="357"/>
      <c r="G123" s="219">
        <v>60000</v>
      </c>
      <c r="H123" s="542">
        <f>H121</f>
        <v>46086</v>
      </c>
      <c r="I123" s="691"/>
      <c r="J123" s="694"/>
      <c r="K123" s="192"/>
      <c r="L123" s="215">
        <v>11</v>
      </c>
      <c r="M123" s="290" t="s">
        <v>365</v>
      </c>
      <c r="N123" s="217" t="s">
        <v>369</v>
      </c>
      <c r="O123" s="218"/>
      <c r="P123" s="357"/>
      <c r="Q123" s="219">
        <v>50000</v>
      </c>
      <c r="R123" s="470" t="s">
        <v>370</v>
      </c>
      <c r="S123" s="501" t="s">
        <v>448</v>
      </c>
      <c r="T123" s="541">
        <v>46081</v>
      </c>
      <c r="U123" s="397">
        <f>(Q123/$X$121*$J$121)+2992.93</f>
        <v>68419.433614998095</v>
      </c>
      <c r="V123" s="706"/>
      <c r="W123" s="454">
        <f>T123+30</f>
        <v>46111</v>
      </c>
      <c r="X123" s="691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1"/>
      <c r="J124" s="694"/>
      <c r="K124" s="192"/>
      <c r="L124" s="215">
        <v>11</v>
      </c>
      <c r="M124" s="290" t="s">
        <v>365</v>
      </c>
      <c r="N124" s="288" t="s">
        <v>371</v>
      </c>
      <c r="O124" s="434"/>
      <c r="P124" s="343"/>
      <c r="Q124" s="287">
        <v>6000</v>
      </c>
      <c r="R124" s="471"/>
      <c r="S124" s="502"/>
      <c r="T124" s="411">
        <v>46112</v>
      </c>
      <c r="U124" s="397">
        <f>(Q124/$X$121*$J$121)</f>
        <v>7851.1804337997728</v>
      </c>
      <c r="V124" s="706"/>
      <c r="W124" s="454">
        <f>T124</f>
        <v>46112</v>
      </c>
      <c r="X124" s="691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2"/>
      <c r="J125" s="695"/>
      <c r="K125" s="193"/>
      <c r="L125" s="220">
        <v>11</v>
      </c>
      <c r="M125" s="318" t="s">
        <v>365</v>
      </c>
      <c r="N125" s="221"/>
      <c r="O125" s="222"/>
      <c r="P125" s="358"/>
      <c r="Q125" s="234"/>
      <c r="R125" s="472"/>
      <c r="S125" s="503"/>
      <c r="T125" s="413" t="str">
        <f t="shared" si="12"/>
        <v/>
      </c>
      <c r="U125" s="398">
        <f>(Q125/$X$121*$J$121)</f>
        <v>0</v>
      </c>
      <c r="V125" s="707"/>
      <c r="W125" s="456"/>
      <c r="X125" s="692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7"/>
    </row>
    <row r="127" spans="1:24">
      <c r="B127" s="173">
        <v>12</v>
      </c>
      <c r="C127" s="174" t="s">
        <v>372</v>
      </c>
      <c r="D127" s="174" t="s">
        <v>373</v>
      </c>
      <c r="E127" s="175"/>
      <c r="F127" s="368"/>
      <c r="G127" s="242">
        <v>0</v>
      </c>
      <c r="H127" s="561"/>
      <c r="I127" s="717">
        <f>SUM(G127:G128)</f>
        <v>0</v>
      </c>
      <c r="J127" s="720">
        <v>0</v>
      </c>
      <c r="K127" s="738"/>
      <c r="L127" s="173">
        <v>12</v>
      </c>
      <c r="M127" s="174" t="s">
        <v>374</v>
      </c>
      <c r="N127" s="174" t="s">
        <v>373</v>
      </c>
      <c r="O127" s="444"/>
      <c r="P127" s="368"/>
      <c r="Q127" s="242">
        <f>G127</f>
        <v>0</v>
      </c>
      <c r="R127" s="483"/>
      <c r="S127" s="513"/>
      <c r="T127" s="423" t="str">
        <f t="shared" si="12"/>
        <v/>
      </c>
      <c r="U127" s="408"/>
      <c r="V127" s="384"/>
      <c r="W127" s="465"/>
      <c r="X127" s="717">
        <f>SUM(Q127:Q128)</f>
        <v>0</v>
      </c>
    </row>
    <row r="128" spans="1:24" ht="15" customHeight="1" thickBot="1">
      <c r="B128" s="177">
        <v>12</v>
      </c>
      <c r="C128" s="248" t="s">
        <v>372</v>
      </c>
      <c r="D128" s="248"/>
      <c r="E128" s="249"/>
      <c r="F128" s="370"/>
      <c r="G128" s="178"/>
      <c r="H128" s="564"/>
      <c r="I128" s="719"/>
      <c r="J128" s="722"/>
      <c r="K128" s="739"/>
      <c r="L128" s="177">
        <v>12</v>
      </c>
      <c r="M128" s="248" t="s">
        <v>374</v>
      </c>
      <c r="N128" s="248"/>
      <c r="O128" s="446"/>
      <c r="P128" s="370"/>
      <c r="Q128" s="178"/>
      <c r="R128" s="486"/>
      <c r="S128" s="516"/>
      <c r="T128" s="426" t="str">
        <f t="shared" si="12"/>
        <v/>
      </c>
      <c r="U128" s="410"/>
      <c r="V128" s="383"/>
      <c r="W128" s="468"/>
      <c r="X128" s="719"/>
    </row>
    <row r="129" spans="1:24" ht="14.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3"/>
      <c r="S129" s="504"/>
      <c r="T129" s="414" t="str">
        <f t="shared" si="12"/>
        <v/>
      </c>
      <c r="U129" s="403"/>
      <c r="V129" s="385"/>
      <c r="W129" s="457"/>
      <c r="X129" s="548"/>
    </row>
    <row r="130" spans="1:24" ht="15.75" customHeight="1">
      <c r="B130" s="185">
        <v>13</v>
      </c>
      <c r="C130" s="186" t="s">
        <v>375</v>
      </c>
      <c r="D130" s="255" t="s">
        <v>376</v>
      </c>
      <c r="E130" s="187"/>
      <c r="F130" s="336"/>
      <c r="G130" s="188">
        <f>D178</f>
        <v>16449.739175724637</v>
      </c>
      <c r="H130" s="542">
        <f>'Project Plan'!G48</f>
        <v>46100</v>
      </c>
      <c r="I130" s="690">
        <f>SUM(G130:G134)</f>
        <v>16449.739175724637</v>
      </c>
      <c r="J130" s="693">
        <f>F178</f>
        <v>18692.885426959816</v>
      </c>
      <c r="K130" s="189"/>
      <c r="L130" s="185">
        <v>13</v>
      </c>
      <c r="M130" s="255" t="s">
        <v>377</v>
      </c>
      <c r="N130" s="255" t="s">
        <v>378</v>
      </c>
      <c r="O130" s="432"/>
      <c r="P130" s="336"/>
      <c r="Q130" s="188">
        <f>'Project Plan'!$E$6*1.25%</f>
        <v>23286.964387293548</v>
      </c>
      <c r="R130" s="477"/>
      <c r="S130" s="508"/>
      <c r="T130" s="418">
        <f t="shared" si="12"/>
        <v>46112</v>
      </c>
      <c r="U130" s="404">
        <f t="shared" ref="U130:U135" si="21">(Q130/$X$130*$J$130)</f>
        <v>18692.885426959816</v>
      </c>
      <c r="V130" s="705">
        <f>J130-SUM(U130:U135)</f>
        <v>0</v>
      </c>
      <c r="W130" s="461">
        <f>'Project Plan'!K39</f>
        <v>46097</v>
      </c>
      <c r="X130" s="690">
        <f>SUM(Q130:Q135)</f>
        <v>23286.964387293548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1"/>
      <c r="J131" s="694"/>
      <c r="K131" s="192"/>
      <c r="L131" s="215">
        <v>13</v>
      </c>
      <c r="M131" s="290" t="s">
        <v>377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706"/>
      <c r="W131" s="454"/>
      <c r="X131" s="691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1"/>
      <c r="J132" s="694"/>
      <c r="K132" s="192"/>
      <c r="L132" s="215">
        <v>13</v>
      </c>
      <c r="M132" s="290" t="s">
        <v>377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706"/>
      <c r="W132" s="454"/>
      <c r="X132" s="691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1"/>
      <c r="J133" s="694"/>
      <c r="K133" s="192"/>
      <c r="L133" s="215">
        <v>13</v>
      </c>
      <c r="M133" s="290" t="s">
        <v>377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706"/>
      <c r="W133" s="454"/>
      <c r="X133" s="691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1"/>
      <c r="J134" s="694"/>
      <c r="K134" s="192"/>
      <c r="L134" s="215">
        <v>13</v>
      </c>
      <c r="M134" s="290" t="s">
        <v>377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706"/>
      <c r="W134" s="454"/>
      <c r="X134" s="691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2"/>
      <c r="J135" s="695"/>
      <c r="K135" s="267"/>
      <c r="L135" s="220">
        <v>13</v>
      </c>
      <c r="M135" s="318" t="s">
        <v>377</v>
      </c>
      <c r="N135" s="221"/>
      <c r="O135" s="435"/>
      <c r="P135" s="358"/>
      <c r="Q135" s="234"/>
      <c r="R135" s="472"/>
      <c r="S135" s="503"/>
      <c r="T135" s="413" t="str">
        <f t="shared" si="12"/>
        <v/>
      </c>
      <c r="U135" s="398">
        <f t="shared" si="21"/>
        <v>0</v>
      </c>
      <c r="V135" s="707"/>
      <c r="W135" s="456"/>
      <c r="X135" s="692"/>
    </row>
    <row r="136" spans="1:24" ht="14.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3"/>
      <c r="S136" s="504"/>
      <c r="T136" s="414" t="str">
        <f t="shared" si="12"/>
        <v/>
      </c>
      <c r="U136" s="403"/>
      <c r="V136" s="385"/>
      <c r="W136" s="457"/>
      <c r="X136" s="548"/>
    </row>
    <row r="137" spans="1:24" ht="14.25" customHeight="1">
      <c r="B137" s="173">
        <v>14</v>
      </c>
      <c r="C137" s="174" t="s">
        <v>379</v>
      </c>
      <c r="D137" s="174" t="s">
        <v>380</v>
      </c>
      <c r="E137" s="175"/>
      <c r="F137" s="368"/>
      <c r="G137" s="242">
        <f>D189</f>
        <v>630</v>
      </c>
      <c r="H137" s="561">
        <f>'Project Plan'!G48</f>
        <v>46100</v>
      </c>
      <c r="I137" s="717">
        <f>SUM(G137:G148)</f>
        <v>630</v>
      </c>
      <c r="J137" s="720">
        <f>F189</f>
        <v>700</v>
      </c>
      <c r="K137" s="243"/>
      <c r="L137" s="173">
        <v>14</v>
      </c>
      <c r="M137" s="333" t="s">
        <v>381</v>
      </c>
      <c r="N137" s="174" t="s">
        <v>382</v>
      </c>
      <c r="O137" s="444"/>
      <c r="P137" s="527"/>
      <c r="Q137" s="532">
        <v>0</v>
      </c>
      <c r="R137" s="529"/>
      <c r="S137" s="519" t="s">
        <v>383</v>
      </c>
      <c r="T137" s="632">
        <v>46022</v>
      </c>
      <c r="U137" s="648">
        <v>0</v>
      </c>
      <c r="V137" s="726">
        <f>J137-SUM(U137:U148)</f>
        <v>0</v>
      </c>
      <c r="W137" s="633">
        <f>T137+7</f>
        <v>46029</v>
      </c>
      <c r="X137" s="717">
        <f>SUM(Q137:Q148)</f>
        <v>734.3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18"/>
      <c r="J138" s="721"/>
      <c r="K138" s="176"/>
      <c r="L138" s="244">
        <v>14</v>
      </c>
      <c r="M138" s="334" t="s">
        <v>381</v>
      </c>
      <c r="N138" s="245" t="s">
        <v>382</v>
      </c>
      <c r="O138" s="445"/>
      <c r="P138" s="528"/>
      <c r="Q138" s="531">
        <v>261.8</v>
      </c>
      <c r="R138" s="530"/>
      <c r="S138" s="519" t="s">
        <v>383</v>
      </c>
      <c r="T138" s="642">
        <v>46053</v>
      </c>
      <c r="U138" s="647">
        <v>249.57102001906583</v>
      </c>
      <c r="V138" s="727"/>
      <c r="W138" s="633">
        <v>46058</v>
      </c>
      <c r="X138" s="71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18"/>
      <c r="J139" s="721"/>
      <c r="K139" s="176"/>
      <c r="L139" s="244">
        <v>14</v>
      </c>
      <c r="M139" s="334" t="s">
        <v>381</v>
      </c>
      <c r="N139" s="245" t="s">
        <v>382</v>
      </c>
      <c r="O139" s="445"/>
      <c r="P139" s="369"/>
      <c r="Q139" s="247">
        <f>$G$137/4</f>
        <v>157.5</v>
      </c>
      <c r="R139" s="485"/>
      <c r="S139" s="519"/>
      <c r="T139" s="425">
        <v>46081</v>
      </c>
      <c r="U139" s="409">
        <f t="shared" ref="U139:U148" si="22">(Q139/$X$137*$J$137)</f>
        <v>150.14299332697809</v>
      </c>
      <c r="V139" s="727"/>
      <c r="W139" s="467">
        <f t="shared" ref="W139:W141" si="23">T139+7</f>
        <v>46088</v>
      </c>
      <c r="X139" s="71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18"/>
      <c r="J140" s="721"/>
      <c r="K140" s="176"/>
      <c r="L140" s="244">
        <v>14</v>
      </c>
      <c r="M140" s="334" t="s">
        <v>381</v>
      </c>
      <c r="N140" s="245" t="s">
        <v>382</v>
      </c>
      <c r="O140" s="445"/>
      <c r="P140" s="369"/>
      <c r="Q140" s="247">
        <f>$G$137/4</f>
        <v>157.5</v>
      </c>
      <c r="R140" s="485"/>
      <c r="S140" s="513"/>
      <c r="T140" s="425">
        <v>46112</v>
      </c>
      <c r="U140" s="409">
        <f t="shared" si="22"/>
        <v>150.14299332697809</v>
      </c>
      <c r="V140" s="727"/>
      <c r="W140" s="467">
        <f t="shared" si="23"/>
        <v>46119</v>
      </c>
      <c r="X140" s="71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18"/>
      <c r="J141" s="721"/>
      <c r="K141" s="176"/>
      <c r="L141" s="244">
        <v>14</v>
      </c>
      <c r="M141" s="334" t="s">
        <v>381</v>
      </c>
      <c r="N141" s="245" t="s">
        <v>382</v>
      </c>
      <c r="O141" s="445"/>
      <c r="P141" s="369"/>
      <c r="Q141" s="247">
        <f>$G$137/4</f>
        <v>157.5</v>
      </c>
      <c r="R141" s="485"/>
      <c r="S141" s="513"/>
      <c r="T141" s="425">
        <v>46142</v>
      </c>
      <c r="U141" s="409">
        <f t="shared" si="22"/>
        <v>150.14299332697809</v>
      </c>
      <c r="V141" s="727"/>
      <c r="W141" s="467">
        <f t="shared" si="23"/>
        <v>46149</v>
      </c>
      <c r="X141" s="71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18"/>
      <c r="J142" s="721"/>
      <c r="K142" s="176"/>
      <c r="L142" s="244">
        <v>14</v>
      </c>
      <c r="M142" s="334" t="s">
        <v>381</v>
      </c>
      <c r="N142" s="245" t="s">
        <v>382</v>
      </c>
      <c r="O142" s="445"/>
      <c r="P142" s="369"/>
      <c r="Q142" s="247"/>
      <c r="R142" s="485"/>
      <c r="S142" s="513"/>
      <c r="T142" s="425" t="str">
        <f t="shared" ref="T142:T161" si="24">IF(W142&gt;1,EOMONTH(W142,0),"")</f>
        <v/>
      </c>
      <c r="U142" s="409">
        <f t="shared" si="22"/>
        <v>0</v>
      </c>
      <c r="V142" s="727"/>
      <c r="W142" s="467"/>
      <c r="X142" s="71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18"/>
      <c r="J143" s="721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27"/>
      <c r="W143" s="467"/>
      <c r="X143" s="71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18"/>
      <c r="J144" s="721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27"/>
      <c r="W144" s="467"/>
      <c r="X144" s="718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18"/>
      <c r="J145" s="721"/>
      <c r="K145" s="176"/>
      <c r="L145" s="244">
        <v>14</v>
      </c>
      <c r="M145" s="334" t="s">
        <v>381</v>
      </c>
      <c r="N145" s="245" t="s">
        <v>382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27"/>
      <c r="W145" s="467"/>
      <c r="X145" s="718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18"/>
      <c r="J146" s="721"/>
      <c r="K146" s="176"/>
      <c r="L146" s="244">
        <v>14</v>
      </c>
      <c r="M146" s="334" t="s">
        <v>381</v>
      </c>
      <c r="N146" s="245" t="s">
        <v>382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27"/>
      <c r="W146" s="467"/>
      <c r="X146" s="718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18"/>
      <c r="J147" s="721"/>
      <c r="K147" s="176"/>
      <c r="L147" s="244">
        <v>14</v>
      </c>
      <c r="M147" s="334" t="s">
        <v>381</v>
      </c>
      <c r="N147" s="245"/>
      <c r="O147" s="445"/>
      <c r="P147" s="369"/>
      <c r="Q147" s="247"/>
      <c r="R147" s="485"/>
      <c r="S147" s="515"/>
      <c r="T147" s="425" t="str">
        <f t="shared" si="24"/>
        <v/>
      </c>
      <c r="U147" s="409">
        <f t="shared" si="22"/>
        <v>0</v>
      </c>
      <c r="V147" s="727"/>
      <c r="W147" s="467"/>
      <c r="X147" s="718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719"/>
      <c r="J148" s="722"/>
      <c r="K148" s="179"/>
      <c r="L148" s="177">
        <v>14</v>
      </c>
      <c r="M148" s="335" t="s">
        <v>381</v>
      </c>
      <c r="N148" s="248"/>
      <c r="O148" s="446"/>
      <c r="P148" s="370"/>
      <c r="Q148" s="178"/>
      <c r="R148" s="486"/>
      <c r="S148" s="516"/>
      <c r="T148" s="426" t="str">
        <f t="shared" si="24"/>
        <v/>
      </c>
      <c r="U148" s="410">
        <f t="shared" si="22"/>
        <v>0</v>
      </c>
      <c r="V148" s="728"/>
      <c r="W148" s="468"/>
      <c r="X148" s="719"/>
    </row>
    <row r="149" spans="1:24" ht="14.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3"/>
      <c r="S149" s="504"/>
      <c r="T149" s="414" t="str">
        <f t="shared" si="24"/>
        <v/>
      </c>
      <c r="U149" s="403"/>
      <c r="V149" s="385"/>
      <c r="W149" s="457"/>
      <c r="X149" s="549"/>
    </row>
    <row r="150" spans="1:24">
      <c r="B150" s="185">
        <v>15</v>
      </c>
      <c r="C150" s="186" t="s">
        <v>384</v>
      </c>
      <c r="D150" s="186"/>
      <c r="E150" s="187"/>
      <c r="F150" s="336"/>
      <c r="G150" s="188"/>
      <c r="H150" s="542"/>
      <c r="I150" s="690">
        <f>SUM(G150:G161)</f>
        <v>0</v>
      </c>
      <c r="J150" s="693">
        <f>F186</f>
        <v>0</v>
      </c>
      <c r="K150" s="189"/>
      <c r="L150" s="185">
        <v>15</v>
      </c>
      <c r="M150" s="255" t="s">
        <v>385</v>
      </c>
      <c r="N150" s="186"/>
      <c r="O150" s="187"/>
      <c r="P150" s="336"/>
      <c r="Q150" s="188"/>
      <c r="R150" s="477"/>
      <c r="S150" s="508"/>
      <c r="T150" s="418" t="str">
        <f t="shared" si="24"/>
        <v/>
      </c>
      <c r="U150" s="404"/>
      <c r="V150" s="705">
        <v>0</v>
      </c>
      <c r="W150" s="461"/>
      <c r="X150" s="690">
        <f>SUM(Q150:Q161)</f>
        <v>0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1"/>
      <c r="J151" s="694"/>
      <c r="K151" s="192"/>
      <c r="L151" s="215">
        <v>15</v>
      </c>
      <c r="M151" s="290" t="s">
        <v>385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706"/>
      <c r="W151" s="454"/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1"/>
      <c r="J152" s="694"/>
      <c r="K152" s="192"/>
      <c r="L152" s="215">
        <v>15</v>
      </c>
      <c r="M152" s="290" t="s">
        <v>385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706"/>
      <c r="W152" s="454"/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385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706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385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6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6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385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6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6"/>
      <c r="W157" s="454"/>
      <c r="X157" s="69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6"/>
      <c r="W158" s="454"/>
      <c r="X158" s="69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385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06"/>
      <c r="W159" s="454"/>
      <c r="X159" s="69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385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06"/>
      <c r="W160" s="454"/>
      <c r="X160" s="691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2"/>
      <c r="J161" s="695"/>
      <c r="K161" s="193"/>
      <c r="L161" s="220">
        <v>15</v>
      </c>
      <c r="M161" s="318" t="s">
        <v>385</v>
      </c>
      <c r="N161" s="221"/>
      <c r="O161" s="435"/>
      <c r="P161" s="358"/>
      <c r="Q161" s="234"/>
      <c r="R161" s="472"/>
      <c r="S161" s="503"/>
      <c r="T161" s="413" t="str">
        <f t="shared" si="24"/>
        <v/>
      </c>
      <c r="U161" s="398"/>
      <c r="V161" s="707"/>
      <c r="W161" s="456"/>
      <c r="X161" s="692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386</v>
      </c>
      <c r="D163" s="4">
        <v>408885.35</v>
      </c>
      <c r="E163" s="77"/>
      <c r="F163" s="431">
        <v>511106.6875</v>
      </c>
      <c r="G163" s="26"/>
      <c r="H163" s="26"/>
      <c r="I163" s="160"/>
      <c r="J163" s="160"/>
    </row>
    <row r="164" spans="2:24">
      <c r="B164" s="26"/>
      <c r="C164" s="431" t="s">
        <v>387</v>
      </c>
      <c r="D164" s="4">
        <v>113600</v>
      </c>
      <c r="E164" s="77"/>
      <c r="F164" s="431">
        <v>143797.46835443037</v>
      </c>
      <c r="G164" s="26"/>
      <c r="H164" s="26"/>
      <c r="I164" s="160"/>
      <c r="J164" s="160"/>
    </row>
    <row r="165" spans="2:24">
      <c r="B165" s="26"/>
      <c r="C165" s="431" t="s">
        <v>388</v>
      </c>
      <c r="D165" s="4">
        <v>84258</v>
      </c>
      <c r="E165" s="77"/>
      <c r="F165" s="431">
        <v>105322.5</v>
      </c>
      <c r="G165" s="26"/>
      <c r="H165" s="26"/>
      <c r="I165" s="253"/>
      <c r="J165" s="253"/>
    </row>
    <row r="166" spans="2:24">
      <c r="B166" s="26"/>
      <c r="C166" s="431" t="s">
        <v>316</v>
      </c>
      <c r="D166" s="4">
        <v>155045.70000000001</v>
      </c>
      <c r="E166" s="77"/>
      <c r="F166" s="431">
        <v>193807.125</v>
      </c>
      <c r="G166" s="26"/>
      <c r="H166" s="26"/>
      <c r="I166" s="160"/>
      <c r="J166" s="160"/>
    </row>
    <row r="167" spans="2:24">
      <c r="B167" s="26"/>
      <c r="C167" s="431" t="s">
        <v>339</v>
      </c>
      <c r="D167" s="4">
        <v>249598.81739130436</v>
      </c>
      <c r="E167" s="77"/>
      <c r="F167" s="431">
        <v>311998.52173913043</v>
      </c>
      <c r="G167" s="26"/>
      <c r="H167" s="26"/>
      <c r="I167" s="253"/>
      <c r="J167" s="253"/>
    </row>
    <row r="168" spans="2:24">
      <c r="B168" s="26"/>
      <c r="C168" s="431" t="s">
        <v>329</v>
      </c>
      <c r="D168" s="4">
        <v>34000</v>
      </c>
      <c r="E168" s="77"/>
      <c r="F168" s="431">
        <v>42500</v>
      </c>
      <c r="G168" s="26"/>
      <c r="H168" s="26"/>
      <c r="I168" s="160"/>
      <c r="J168" s="160"/>
    </row>
    <row r="169" spans="2:24">
      <c r="B169" s="26"/>
      <c r="C169" s="431" t="s">
        <v>389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390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391</v>
      </c>
      <c r="D171" s="4">
        <v>187500</v>
      </c>
      <c r="E171" s="77"/>
      <c r="F171" s="431">
        <v>234375</v>
      </c>
      <c r="G171" s="26"/>
      <c r="H171" s="26"/>
      <c r="I171" s="160"/>
      <c r="J171" s="160"/>
    </row>
    <row r="172" spans="2:24">
      <c r="B172" s="26"/>
      <c r="C172" s="431" t="s">
        <v>392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394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395</v>
      </c>
      <c r="D176" s="26">
        <v>46810</v>
      </c>
      <c r="E176" s="77"/>
      <c r="F176" s="431">
        <v>52011.111111111109</v>
      </c>
      <c r="I176" s="160"/>
      <c r="J176" s="160"/>
      <c r="T176" s="431"/>
      <c r="U176" s="431"/>
      <c r="W176" s="431"/>
    </row>
    <row r="177" spans="3:23" s="26" customFormat="1">
      <c r="C177" s="431" t="s">
        <v>396</v>
      </c>
      <c r="D177" s="26">
        <v>100415.00000000001</v>
      </c>
      <c r="E177" s="77"/>
      <c r="F177" s="431">
        <v>111572.22222222223</v>
      </c>
      <c r="I177" s="160"/>
      <c r="J177" s="160"/>
      <c r="T177" s="431"/>
      <c r="U177" s="431"/>
      <c r="W177" s="431"/>
    </row>
    <row r="178" spans="3:23" s="26" customFormat="1">
      <c r="C178" s="431" t="s">
        <v>397</v>
      </c>
      <c r="D178" s="26">
        <v>16449.739175724637</v>
      </c>
      <c r="E178" s="77"/>
      <c r="F178" s="431">
        <v>18692.885426959816</v>
      </c>
      <c r="I178" s="160"/>
      <c r="J178" s="160"/>
      <c r="T178" s="431"/>
      <c r="U178" s="431"/>
      <c r="W178" s="431"/>
    </row>
    <row r="179" spans="3:23" s="26" customFormat="1">
      <c r="C179" s="431" t="s">
        <v>398</v>
      </c>
      <c r="D179" s="26">
        <v>89000</v>
      </c>
      <c r="E179" s="77"/>
      <c r="F179" s="431">
        <v>98888.888888888891</v>
      </c>
      <c r="I179" s="160"/>
      <c r="J179" s="160"/>
      <c r="T179" s="431"/>
      <c r="U179" s="431"/>
      <c r="W179" s="431"/>
    </row>
    <row r="180" spans="3:23" s="26" customFormat="1">
      <c r="C180" s="431" t="s">
        <v>399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400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401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402</v>
      </c>
      <c r="D183" s="26">
        <v>14400</v>
      </c>
      <c r="E183" s="77"/>
      <c r="F183" s="431">
        <v>16000</v>
      </c>
      <c r="I183" s="160"/>
      <c r="J183" s="160"/>
      <c r="T183" s="431"/>
      <c r="U183" s="431"/>
      <c r="W183" s="431"/>
    </row>
    <row r="184" spans="3:23" s="26" customFormat="1">
      <c r="C184" s="431" t="s">
        <v>403</v>
      </c>
      <c r="D184" s="26">
        <v>11466.266666666666</v>
      </c>
      <c r="E184" s="77"/>
      <c r="F184" s="431">
        <v>12740.296296296296</v>
      </c>
      <c r="I184" s="160"/>
      <c r="J184" s="160"/>
      <c r="T184" s="431"/>
      <c r="U184" s="431"/>
      <c r="W184" s="431"/>
    </row>
    <row r="185" spans="3:23" s="26" customFormat="1">
      <c r="C185" s="431" t="s">
        <v>404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391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405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406</v>
      </c>
      <c r="D189" s="26">
        <v>630</v>
      </c>
      <c r="E189" s="77"/>
      <c r="F189" s="431">
        <v>700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2:R39"/>
    <mergeCell ref="X71:X78"/>
    <mergeCell ref="I21:I26"/>
    <mergeCell ref="J21:J26"/>
    <mergeCell ref="I105:I119"/>
    <mergeCell ref="J105:J119"/>
    <mergeCell ref="X105:X119"/>
    <mergeCell ref="I80:I90"/>
    <mergeCell ref="J80:J90"/>
    <mergeCell ref="X80:X90"/>
    <mergeCell ref="I92:I103"/>
    <mergeCell ref="J92:J103"/>
    <mergeCell ref="X92:X103"/>
    <mergeCell ref="V105:V119"/>
    <mergeCell ref="V80:V90"/>
    <mergeCell ref="V92:V103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292" width="15.36328125" bestFit="1" customWidth="1"/>
    <col min="293" max="293" width="9.36328125" style="102"/>
  </cols>
  <sheetData>
    <row r="1" spans="1:770">
      <c r="D1" s="98" t="s">
        <v>407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0" t="s">
        <v>408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1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1"/>
      <c r="B4" s="106" t="s">
        <v>409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1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0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0</v>
      </c>
      <c r="R5" s="112">
        <f>SUMIFS('Expenditure Breakdown'!$G$6:$G$169, 'Expenditure Breakdown'!$H$6:$H$169, "&gt;="&amp;R1,'Expenditure Breakdown'!$H$6:$H$169, "&lt;"&amp;S1)</f>
        <v>0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0</v>
      </c>
      <c r="U5" s="112">
        <f>SUMIFS('Expenditure Breakdown'!$G$6:$G$169, 'Expenditure Breakdown'!$H$6:$H$169, "&gt;="&amp;U1,'Expenditure Breakdown'!$H$6:$H$169, "&lt;"&amp;V1)</f>
        <v>453729.96666666667</v>
      </c>
      <c r="V5" s="112">
        <f>SUMIFS('Expenditure Breakdown'!$G$6:$G$169, 'Expenditure Breakdown'!$H$6:$H$169, "&gt;="&amp;V1,'Expenditure Breakdown'!$H$6:$H$169, "&lt;"&amp;W1)</f>
        <v>189415</v>
      </c>
      <c r="W5" s="112">
        <f>SUMIFS('Expenditure Breakdown'!$G$6:$G$169, 'Expenditure Breakdown'!$H$6:$H$169, "&gt;="&amp;W1,'Expenditure Breakdown'!$H$6:$H$169, "&lt;"&amp;X1)</f>
        <v>249598.81739130436</v>
      </c>
      <c r="X5" s="112">
        <f>SUMIFS('Expenditure Breakdown'!$G$6:$G$169, 'Expenditure Breakdown'!$H$6:$H$169, "&gt;="&amp;X1,'Expenditure Breakdown'!$H$6:$H$169, "&lt;"&amp;Y1)</f>
        <v>17079.739175724637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610735.35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1"/>
      <c r="B6" s="110" t="s">
        <v>410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1"/>
      <c r="B7" s="115" t="s">
        <v>411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0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1"/>
      <c r="B9" s="120" t="s">
        <v>412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279443.57264752255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1"/>
      <c r="B10" s="120" t="s">
        <v>413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1862957.1509834835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1"/>
      <c r="B11" s="123" t="s">
        <v>414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Breakdown'!$Q$6:$Q$169, 'Expenditure Breakdown'!$W$6:$W$169, "&gt;="&amp;F1,'Expenditure Breakdown'!$W$6:$W$169, "&lt;"&amp;G1)</f>
        <v>8572.5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0</v>
      </c>
      <c r="J11" s="125">
        <f>SUMIFS('Expenditure Breakdown'!$Q$6:$Q$169, 'Expenditure Breakdown'!$W$6:$W$169, "&gt;="&amp;J1,'Expenditure Breakdown'!$W$6:$W$169, "&lt;"&amp;K1)</f>
        <v>0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0</v>
      </c>
      <c r="N11" s="125">
        <f>SUMIFS('Expenditure Breakdown'!$Q$6:$Q$169, 'Expenditure Breakdown'!$W$6:$W$169, "&gt;="&amp;N1,'Expenditure Breakdown'!$W$6:$W$169, "&lt;"&amp;O1)</f>
        <v>0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49391.654000000002</v>
      </c>
      <c r="R11" s="125">
        <f>SUMIFS('Expenditure Breakdown'!$Q$6:$Q$169, 'Expenditure Breakdown'!$W$6:$W$169, "&gt;="&amp;R1,'Expenditure Breakdown'!$W$6:$W$169, "&lt;"&amp;S1)</f>
        <v>81623.234000000011</v>
      </c>
      <c r="S11" s="125">
        <f>SUMIFS('Expenditure Breakdown'!$Q$6:$Q$169, 'Expenditure Breakdown'!$W$6:$W$169, "&gt;="&amp;S1,'Expenditure Breakdown'!$W$6:$W$169, "&lt;"&amp;T1)</f>
        <v>33715.449999999997</v>
      </c>
      <c r="T11" s="125">
        <f>SUMIFS('Expenditure Breakdown'!$Q$6:$Q$169, 'Expenditure Breakdown'!$W$6:$W$169, "&gt;="&amp;T1,'Expenditure Breakdown'!$W$6:$W$169, "&lt;"&amp;U1)</f>
        <v>0</v>
      </c>
      <c r="U11" s="125">
        <f>SUMIFS('Expenditure Breakdown'!$Q$6:$Q$169, 'Expenditure Breakdown'!$W$6:$W$169, "&gt;="&amp;U1,'Expenditure Breakdown'!$W$6:$W$169, "&lt;"&amp;V1)</f>
        <v>12417</v>
      </c>
      <c r="V11" s="125">
        <f>SUMIFS('Expenditure Breakdown'!$Q$6:$Q$169, 'Expenditure Breakdown'!$W$6:$W$169, "&gt;="&amp;V1,'Expenditure Breakdown'!$W$6:$W$169, "&lt;"&amp;W1)</f>
        <v>112799.1755</v>
      </c>
      <c r="W11" s="125">
        <f>SUMIFS('Expenditure Breakdown'!$Q$6:$Q$169, 'Expenditure Breakdown'!$W$6:$W$169, "&gt;="&amp;W1,'Expenditure Breakdown'!$W$6:$W$169, "&lt;"&amp;X1)</f>
        <v>61021.075499999999</v>
      </c>
      <c r="X11" s="125">
        <f>SUMIFS('Expenditure Breakdown'!$Q$6:$Q$169, 'Expenditure Breakdown'!$W$6:$W$169, "&gt;="&amp;X1,'Expenditure Breakdown'!$W$6:$W$169, "&lt;"&amp;Y1)</f>
        <v>84308.039887293562</v>
      </c>
      <c r="Y11" s="125">
        <f>SUMIFS('Expenditure Breakdown'!$Q$6:$Q$169, 'Expenditure Breakdown'!$W$6:$W$169, "&gt;="&amp;Y1,'Expenditure Breakdown'!$W$6:$W$169, "&lt;"&amp;Z1)</f>
        <v>577557.147</v>
      </c>
      <c r="Z11" s="125">
        <f>SUMIFS('Expenditure Breakdown'!$Q$6:$Q$169, 'Expenditure Breakdown'!$W$6:$W$169, "&gt;="&amp;Z1,'Expenditure Breakdown'!$W$6:$W$169, "&lt;"&amp;AA1)</f>
        <v>259113.36</v>
      </c>
      <c r="AA11" s="125">
        <f>SUMIFS('Expenditure Breakdown'!$Q$6:$Q$169, 'Expenditure Breakdown'!$W$6:$W$169, "&gt;="&amp;AA1,'Expenditure Breakdown'!$W$6:$W$169, "&lt;"&amp;AB1)</f>
        <v>20497.858500000002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157.5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1"/>
      <c r="B12" s="123" t="s">
        <v>415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185719.83799999999</v>
      </c>
      <c r="V12" s="125">
        <f t="shared" si="26"/>
        <v>298519.0135</v>
      </c>
      <c r="W12" s="125">
        <f t="shared" si="26"/>
        <v>359540.08899999998</v>
      </c>
      <c r="X12" s="125">
        <f t="shared" si="26"/>
        <v>443848.12888729351</v>
      </c>
      <c r="Y12" s="125">
        <f t="shared" si="26"/>
        <v>1021405.2758872935</v>
      </c>
      <c r="Z12" s="125">
        <f t="shared" si="26"/>
        <v>1280518.6358872936</v>
      </c>
      <c r="AA12" s="125">
        <f t="shared" si="26"/>
        <v>1301016.4943872937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1"/>
      <c r="B14" s="115" t="s">
        <v>416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1397793.7403359611</v>
      </c>
      <c r="V14" s="118">
        <f t="shared" si="32"/>
        <v>1284994.564835961</v>
      </c>
      <c r="W14" s="118">
        <f t="shared" si="32"/>
        <v>1223973.4893359612</v>
      </c>
      <c r="X14" s="118">
        <f t="shared" si="32"/>
        <v>1139665.4494486675</v>
      </c>
      <c r="Y14" s="118">
        <f t="shared" si="32"/>
        <v>841551.87509619002</v>
      </c>
      <c r="Z14" s="118">
        <f t="shared" si="32"/>
        <v>582438.51509618992</v>
      </c>
      <c r="AA14" s="118">
        <f t="shared" si="32"/>
        <v>561940.65659618983</v>
      </c>
      <c r="AB14" s="118">
        <f t="shared" si="32"/>
        <v>561940.65659618983</v>
      </c>
      <c r="AC14" s="118">
        <f t="shared" si="32"/>
        <v>561940.65659618983</v>
      </c>
      <c r="AD14" s="118">
        <f t="shared" si="32"/>
        <v>561940.65659618983</v>
      </c>
      <c r="AE14" s="118">
        <f t="shared" si="32"/>
        <v>561783.15659618983</v>
      </c>
      <c r="AF14" s="118">
        <f t="shared" si="32"/>
        <v>561783.15659618983</v>
      </c>
      <c r="AG14" s="118">
        <f t="shared" si="32"/>
        <v>561783.15659618983</v>
      </c>
      <c r="AH14" s="118">
        <f t="shared" si="32"/>
        <v>561783.15659618983</v>
      </c>
      <c r="AI14" s="118">
        <f t="shared" si="32"/>
        <v>561783.15659618983</v>
      </c>
      <c r="AJ14" s="118">
        <f t="shared" si="32"/>
        <v>561783.15659618983</v>
      </c>
      <c r="AK14" s="118">
        <f t="shared" si="32"/>
        <v>561783.15659618983</v>
      </c>
      <c r="AL14" s="118">
        <f t="shared" si="32"/>
        <v>561783.15659618983</v>
      </c>
      <c r="AM14" s="118">
        <f t="shared" si="32"/>
        <v>561783.15659618983</v>
      </c>
      <c r="AN14" s="118">
        <f t="shared" si="32"/>
        <v>561783.15659618983</v>
      </c>
      <c r="AO14" s="118">
        <f t="shared" si="32"/>
        <v>561783.15659618983</v>
      </c>
      <c r="AP14" s="118">
        <f t="shared" si="32"/>
        <v>561783.15659618983</v>
      </c>
      <c r="AQ14" s="118">
        <f t="shared" si="32"/>
        <v>561783.15659618983</v>
      </c>
      <c r="AR14" s="118">
        <f t="shared" si="32"/>
        <v>561783.15659618983</v>
      </c>
      <c r="AS14" s="118">
        <f t="shared" si="32"/>
        <v>561783.15659618983</v>
      </c>
      <c r="AT14" s="118">
        <f t="shared" si="32"/>
        <v>561783.15659618983</v>
      </c>
      <c r="AU14" s="118">
        <f t="shared" si="32"/>
        <v>561783.15659618983</v>
      </c>
      <c r="AV14" s="118">
        <f t="shared" si="32"/>
        <v>561783.15659618983</v>
      </c>
      <c r="AW14" s="118">
        <f t="shared" si="32"/>
        <v>561783.15659618983</v>
      </c>
      <c r="AX14" s="118">
        <f t="shared" si="32"/>
        <v>561783.15659618983</v>
      </c>
      <c r="AY14" s="118">
        <f t="shared" si="32"/>
        <v>561783.15659618983</v>
      </c>
      <c r="AZ14" s="118">
        <f t="shared" si="32"/>
        <v>561783.15659618983</v>
      </c>
      <c r="BA14" s="118">
        <f t="shared" si="32"/>
        <v>561783.15659618983</v>
      </c>
      <c r="BB14" s="118">
        <f t="shared" si="32"/>
        <v>561783.15659618983</v>
      </c>
      <c r="BC14" s="118">
        <f t="shared" si="32"/>
        <v>561783.15659618983</v>
      </c>
      <c r="BD14" s="118">
        <f t="shared" si="32"/>
        <v>561783.15659618983</v>
      </c>
      <c r="BE14" s="118">
        <f t="shared" si="32"/>
        <v>561783.15659618983</v>
      </c>
      <c r="BF14" s="118">
        <f t="shared" si="32"/>
        <v>561783.15659618983</v>
      </c>
      <c r="BG14" s="118">
        <f t="shared" si="32"/>
        <v>561783.15659618983</v>
      </c>
      <c r="BH14" s="118">
        <f t="shared" si="32"/>
        <v>561783.15659618983</v>
      </c>
      <c r="BI14" s="118">
        <f t="shared" si="32"/>
        <v>561783.15659618983</v>
      </c>
      <c r="BJ14" s="118">
        <f t="shared" si="32"/>
        <v>561783.15659618983</v>
      </c>
      <c r="BK14" s="118">
        <f t="shared" si="32"/>
        <v>561783.15659618983</v>
      </c>
      <c r="BL14" s="118">
        <f t="shared" si="32"/>
        <v>561783.15659618983</v>
      </c>
      <c r="BM14" s="118">
        <f t="shared" si="32"/>
        <v>561783.15659618983</v>
      </c>
      <c r="BN14" s="118">
        <f t="shared" si="32"/>
        <v>561783.15659618983</v>
      </c>
      <c r="BO14" s="118">
        <f t="shared" si="32"/>
        <v>561783.15659618983</v>
      </c>
      <c r="BP14" s="118">
        <f t="shared" si="32"/>
        <v>561783.15659618983</v>
      </c>
      <c r="BQ14" s="118">
        <f t="shared" si="32"/>
        <v>561783.15659618983</v>
      </c>
      <c r="BR14" s="118">
        <f t="shared" si="32"/>
        <v>561783.15659618983</v>
      </c>
      <c r="BS14" s="118">
        <f t="shared" si="32"/>
        <v>561783.15659618983</v>
      </c>
      <c r="BT14" s="118">
        <f t="shared" si="32"/>
        <v>561783.15659618983</v>
      </c>
      <c r="BU14" s="118">
        <f t="shared" ref="BU14:EF14" si="33">BU10-BU12</f>
        <v>561783.15659618983</v>
      </c>
      <c r="BV14" s="118">
        <f t="shared" si="33"/>
        <v>561783.15659618983</v>
      </c>
      <c r="BW14" s="118">
        <f t="shared" si="33"/>
        <v>561783.15659618983</v>
      </c>
      <c r="BX14" s="118">
        <f t="shared" si="33"/>
        <v>561783.15659618983</v>
      </c>
      <c r="BY14" s="118">
        <f t="shared" si="33"/>
        <v>561783.15659618983</v>
      </c>
      <c r="BZ14" s="118">
        <f t="shared" si="33"/>
        <v>561783.15659618983</v>
      </c>
      <c r="CA14" s="118">
        <f t="shared" si="33"/>
        <v>561783.15659618983</v>
      </c>
      <c r="CB14" s="118">
        <f t="shared" si="33"/>
        <v>561783.15659618983</v>
      </c>
      <c r="CC14" s="118">
        <f t="shared" si="33"/>
        <v>561783.15659618983</v>
      </c>
      <c r="CD14" s="118">
        <f t="shared" si="33"/>
        <v>561783.15659618983</v>
      </c>
      <c r="CE14" s="118">
        <f t="shared" si="33"/>
        <v>561783.15659618983</v>
      </c>
      <c r="CF14" s="118">
        <f t="shared" si="33"/>
        <v>561783.15659618983</v>
      </c>
      <c r="CG14" s="118">
        <f t="shared" si="33"/>
        <v>561783.15659618983</v>
      </c>
      <c r="CH14" s="118">
        <f t="shared" si="33"/>
        <v>561783.15659618983</v>
      </c>
      <c r="CI14" s="118">
        <f t="shared" si="33"/>
        <v>561783.15659618983</v>
      </c>
      <c r="CJ14" s="118">
        <f t="shared" si="33"/>
        <v>561783.15659618983</v>
      </c>
      <c r="CK14" s="118">
        <f t="shared" si="33"/>
        <v>561783.15659618983</v>
      </c>
      <c r="CL14" s="118">
        <f t="shared" si="33"/>
        <v>561783.15659618983</v>
      </c>
      <c r="CM14" s="118">
        <f t="shared" si="33"/>
        <v>561783.15659618983</v>
      </c>
      <c r="CN14" s="118">
        <f t="shared" si="33"/>
        <v>561783.15659618983</v>
      </c>
      <c r="CO14" s="118">
        <f t="shared" si="33"/>
        <v>561783.15659618983</v>
      </c>
      <c r="CP14" s="118">
        <f t="shared" si="33"/>
        <v>561783.15659618983</v>
      </c>
      <c r="CQ14" s="118">
        <f t="shared" si="33"/>
        <v>561783.15659618983</v>
      </c>
      <c r="CR14" s="118">
        <f t="shared" si="33"/>
        <v>561783.15659618983</v>
      </c>
      <c r="CS14" s="118">
        <f t="shared" si="33"/>
        <v>561783.15659618983</v>
      </c>
      <c r="CT14" s="118">
        <f t="shared" si="33"/>
        <v>561783.15659618983</v>
      </c>
      <c r="CU14" s="118">
        <f t="shared" si="33"/>
        <v>561783.15659618983</v>
      </c>
      <c r="CV14" s="118">
        <f t="shared" si="33"/>
        <v>561783.15659618983</v>
      </c>
      <c r="CW14" s="118">
        <f t="shared" si="33"/>
        <v>561783.15659618983</v>
      </c>
      <c r="CX14" s="118">
        <f t="shared" si="33"/>
        <v>561783.15659618983</v>
      </c>
      <c r="CY14" s="118">
        <f t="shared" si="33"/>
        <v>561783.15659618983</v>
      </c>
      <c r="CZ14" s="118">
        <f t="shared" si="33"/>
        <v>561783.15659618983</v>
      </c>
      <c r="DA14" s="118">
        <f t="shared" si="33"/>
        <v>561783.15659618983</v>
      </c>
      <c r="DB14" s="118">
        <f t="shared" si="33"/>
        <v>561783.15659618983</v>
      </c>
      <c r="DC14" s="118">
        <f t="shared" si="33"/>
        <v>561783.15659618983</v>
      </c>
      <c r="DD14" s="118">
        <f t="shared" si="33"/>
        <v>561783.15659618983</v>
      </c>
      <c r="DE14" s="118">
        <f t="shared" si="33"/>
        <v>561783.15659618983</v>
      </c>
      <c r="DF14" s="118">
        <f t="shared" si="33"/>
        <v>561783.15659618983</v>
      </c>
      <c r="DG14" s="118">
        <f t="shared" si="33"/>
        <v>561783.15659618983</v>
      </c>
      <c r="DH14" s="118">
        <f t="shared" si="33"/>
        <v>561783.15659618983</v>
      </c>
      <c r="DI14" s="118">
        <f t="shared" si="33"/>
        <v>561783.15659618983</v>
      </c>
      <c r="DJ14" s="118">
        <f t="shared" si="33"/>
        <v>561783.15659618983</v>
      </c>
      <c r="DK14" s="118">
        <f t="shared" si="33"/>
        <v>561783.15659618983</v>
      </c>
      <c r="DL14" s="118">
        <f t="shared" si="33"/>
        <v>561783.15659618983</v>
      </c>
      <c r="DM14" s="118">
        <f t="shared" si="33"/>
        <v>561783.15659618983</v>
      </c>
      <c r="DN14" s="118">
        <f t="shared" si="33"/>
        <v>561783.15659618983</v>
      </c>
      <c r="DO14" s="118">
        <f t="shared" si="33"/>
        <v>561783.15659618983</v>
      </c>
      <c r="DP14" s="118">
        <f t="shared" si="33"/>
        <v>561783.15659618983</v>
      </c>
      <c r="DQ14" s="118">
        <f t="shared" si="33"/>
        <v>561783.15659618983</v>
      </c>
      <c r="DR14" s="118">
        <f t="shared" si="33"/>
        <v>561783.15659618983</v>
      </c>
      <c r="DS14" s="118">
        <f t="shared" si="33"/>
        <v>561783.15659618983</v>
      </c>
      <c r="DT14" s="118">
        <f t="shared" si="33"/>
        <v>561783.15659618983</v>
      </c>
      <c r="DU14" s="118">
        <f t="shared" si="33"/>
        <v>561783.15659618983</v>
      </c>
      <c r="DV14" s="118">
        <f t="shared" si="33"/>
        <v>561783.15659618983</v>
      </c>
      <c r="DW14" s="118">
        <f t="shared" si="33"/>
        <v>561783.15659618983</v>
      </c>
      <c r="DX14" s="118">
        <f t="shared" si="33"/>
        <v>561783.15659618983</v>
      </c>
      <c r="DY14" s="118">
        <f t="shared" si="33"/>
        <v>561783.15659618983</v>
      </c>
      <c r="DZ14" s="118">
        <f t="shared" si="33"/>
        <v>561783.15659618983</v>
      </c>
      <c r="EA14" s="118">
        <f t="shared" si="33"/>
        <v>561783.15659618983</v>
      </c>
      <c r="EB14" s="118">
        <f t="shared" si="33"/>
        <v>561783.15659618983</v>
      </c>
      <c r="EC14" s="118">
        <f t="shared" si="33"/>
        <v>561783.15659618983</v>
      </c>
      <c r="ED14" s="118">
        <f t="shared" si="33"/>
        <v>561783.15659618983</v>
      </c>
      <c r="EE14" s="118">
        <f t="shared" si="33"/>
        <v>561783.15659618983</v>
      </c>
      <c r="EF14" s="118">
        <f t="shared" si="33"/>
        <v>561783.15659618983</v>
      </c>
      <c r="EG14" s="118">
        <f t="shared" ref="EG14:GR14" si="34">EG10-EG12</f>
        <v>561783.15659618983</v>
      </c>
      <c r="EH14" s="118">
        <f t="shared" si="34"/>
        <v>561783.15659618983</v>
      </c>
      <c r="EI14" s="118">
        <f t="shared" si="34"/>
        <v>561783.15659618983</v>
      </c>
      <c r="EJ14" s="118">
        <f t="shared" si="34"/>
        <v>561783.15659618983</v>
      </c>
      <c r="EK14" s="118">
        <f t="shared" si="34"/>
        <v>561783.15659618983</v>
      </c>
      <c r="EL14" s="118">
        <f t="shared" si="34"/>
        <v>561783.15659618983</v>
      </c>
      <c r="EM14" s="118">
        <f t="shared" si="34"/>
        <v>561783.15659618983</v>
      </c>
      <c r="EN14" s="118">
        <f t="shared" si="34"/>
        <v>561783.15659618983</v>
      </c>
      <c r="EO14" s="118">
        <f t="shared" si="34"/>
        <v>561783.15659618983</v>
      </c>
      <c r="EP14" s="118">
        <f t="shared" si="34"/>
        <v>561783.15659618983</v>
      </c>
      <c r="EQ14" s="118">
        <f t="shared" si="34"/>
        <v>561783.15659618983</v>
      </c>
      <c r="ER14" s="118">
        <f t="shared" si="34"/>
        <v>561783.15659618983</v>
      </c>
      <c r="ES14" s="118">
        <f t="shared" si="34"/>
        <v>561783.15659618983</v>
      </c>
      <c r="ET14" s="118">
        <f t="shared" si="34"/>
        <v>561783.15659618983</v>
      </c>
      <c r="EU14" s="118">
        <f t="shared" si="34"/>
        <v>561783.15659618983</v>
      </c>
      <c r="EV14" s="118">
        <f t="shared" si="34"/>
        <v>561783.15659618983</v>
      </c>
      <c r="EW14" s="118">
        <f t="shared" si="34"/>
        <v>561783.15659618983</v>
      </c>
      <c r="EX14" s="118">
        <f t="shared" si="34"/>
        <v>561783.15659618983</v>
      </c>
      <c r="EY14" s="118">
        <f t="shared" si="34"/>
        <v>561783.15659618983</v>
      </c>
      <c r="EZ14" s="118">
        <f t="shared" si="34"/>
        <v>561783.15659618983</v>
      </c>
      <c r="FA14" s="118">
        <f t="shared" si="34"/>
        <v>561783.15659618983</v>
      </c>
      <c r="FB14" s="118">
        <f t="shared" si="34"/>
        <v>561783.15659618983</v>
      </c>
      <c r="FC14" s="118">
        <f t="shared" si="34"/>
        <v>561783.15659618983</v>
      </c>
      <c r="FD14" s="118">
        <f t="shared" si="34"/>
        <v>561783.15659618983</v>
      </c>
      <c r="FE14" s="118">
        <f t="shared" si="34"/>
        <v>561783.15659618983</v>
      </c>
      <c r="FF14" s="118">
        <f t="shared" si="34"/>
        <v>561783.15659618983</v>
      </c>
      <c r="FG14" s="118">
        <f t="shared" si="34"/>
        <v>561783.15659618983</v>
      </c>
      <c r="FH14" s="118">
        <f t="shared" si="34"/>
        <v>561783.15659618983</v>
      </c>
      <c r="FI14" s="118">
        <f t="shared" si="34"/>
        <v>561783.15659618983</v>
      </c>
      <c r="FJ14" s="118">
        <f t="shared" si="34"/>
        <v>561783.15659618983</v>
      </c>
      <c r="FK14" s="118">
        <f t="shared" si="34"/>
        <v>561783.15659618983</v>
      </c>
      <c r="FL14" s="118">
        <f t="shared" si="34"/>
        <v>561783.15659618983</v>
      </c>
      <c r="FM14" s="118">
        <f t="shared" si="34"/>
        <v>561783.15659618983</v>
      </c>
      <c r="FN14" s="118">
        <f t="shared" si="34"/>
        <v>561783.15659618983</v>
      </c>
      <c r="FO14" s="118">
        <f t="shared" si="34"/>
        <v>561783.15659618983</v>
      </c>
      <c r="FP14" s="118">
        <f t="shared" si="34"/>
        <v>561783.15659618983</v>
      </c>
      <c r="FQ14" s="118">
        <f t="shared" si="34"/>
        <v>561783.15659618983</v>
      </c>
      <c r="FR14" s="118">
        <f t="shared" si="34"/>
        <v>561783.15659618983</v>
      </c>
      <c r="FS14" s="118">
        <f t="shared" si="34"/>
        <v>561783.15659618983</v>
      </c>
      <c r="FT14" s="118">
        <f t="shared" si="34"/>
        <v>561783.15659618983</v>
      </c>
      <c r="FU14" s="118">
        <f t="shared" si="34"/>
        <v>561783.15659618983</v>
      </c>
      <c r="FV14" s="118">
        <f t="shared" si="34"/>
        <v>561783.15659618983</v>
      </c>
      <c r="FW14" s="118">
        <f t="shared" si="34"/>
        <v>561783.15659618983</v>
      </c>
      <c r="FX14" s="118">
        <f t="shared" si="34"/>
        <v>561783.15659618983</v>
      </c>
      <c r="FY14" s="118">
        <f t="shared" si="34"/>
        <v>561783.15659618983</v>
      </c>
      <c r="FZ14" s="118">
        <f t="shared" si="34"/>
        <v>561783.15659618983</v>
      </c>
      <c r="GA14" s="118">
        <f t="shared" si="34"/>
        <v>561783.15659618983</v>
      </c>
      <c r="GB14" s="118">
        <f t="shared" si="34"/>
        <v>561783.15659618983</v>
      </c>
      <c r="GC14" s="118">
        <f t="shared" si="34"/>
        <v>561783.15659618983</v>
      </c>
      <c r="GD14" s="118">
        <f t="shared" si="34"/>
        <v>561783.15659618983</v>
      </c>
      <c r="GE14" s="118">
        <f t="shared" si="34"/>
        <v>561783.15659618983</v>
      </c>
      <c r="GF14" s="118">
        <f t="shared" si="34"/>
        <v>561783.15659618983</v>
      </c>
      <c r="GG14" s="118">
        <f t="shared" si="34"/>
        <v>561783.15659618983</v>
      </c>
      <c r="GH14" s="118">
        <f t="shared" si="34"/>
        <v>561783.15659618983</v>
      </c>
      <c r="GI14" s="118">
        <f t="shared" si="34"/>
        <v>561783.15659618983</v>
      </c>
      <c r="GJ14" s="118">
        <f t="shared" si="34"/>
        <v>561783.15659618983</v>
      </c>
      <c r="GK14" s="118">
        <f t="shared" si="34"/>
        <v>561783.15659618983</v>
      </c>
      <c r="GL14" s="118">
        <f t="shared" si="34"/>
        <v>561783.15659618983</v>
      </c>
      <c r="GM14" s="118">
        <f t="shared" si="34"/>
        <v>561783.15659618983</v>
      </c>
      <c r="GN14" s="118">
        <f t="shared" si="34"/>
        <v>561783.15659618983</v>
      </c>
      <c r="GO14" s="118">
        <f t="shared" si="34"/>
        <v>561783.15659618983</v>
      </c>
      <c r="GP14" s="118">
        <f t="shared" si="34"/>
        <v>561783.15659618983</v>
      </c>
      <c r="GQ14" s="118">
        <f t="shared" si="34"/>
        <v>561783.15659618983</v>
      </c>
      <c r="GR14" s="118">
        <f t="shared" si="34"/>
        <v>561783.15659618983</v>
      </c>
      <c r="GS14" s="118">
        <f t="shared" ref="GS14:JD14" si="35">GS10-GS12</f>
        <v>561783.15659618983</v>
      </c>
      <c r="GT14" s="118">
        <f t="shared" si="35"/>
        <v>561783.15659618983</v>
      </c>
      <c r="GU14" s="118">
        <f t="shared" si="35"/>
        <v>561783.15659618983</v>
      </c>
      <c r="GV14" s="118">
        <f t="shared" si="35"/>
        <v>561783.15659618983</v>
      </c>
      <c r="GW14" s="118">
        <f t="shared" si="35"/>
        <v>561783.15659618983</v>
      </c>
      <c r="GX14" s="118">
        <f t="shared" si="35"/>
        <v>561783.15659618983</v>
      </c>
      <c r="GY14" s="118">
        <f t="shared" si="35"/>
        <v>561783.15659618983</v>
      </c>
      <c r="GZ14" s="118">
        <f t="shared" si="35"/>
        <v>561783.15659618983</v>
      </c>
      <c r="HA14" s="118">
        <f t="shared" si="35"/>
        <v>561783.15659618983</v>
      </c>
      <c r="HB14" s="118">
        <f t="shared" si="35"/>
        <v>561783.15659618983</v>
      </c>
      <c r="HC14" s="118">
        <f t="shared" si="35"/>
        <v>561783.15659618983</v>
      </c>
      <c r="HD14" s="118">
        <f t="shared" si="35"/>
        <v>561783.15659618983</v>
      </c>
      <c r="HE14" s="118">
        <f t="shared" si="35"/>
        <v>561783.15659618983</v>
      </c>
      <c r="HF14" s="118">
        <f t="shared" si="35"/>
        <v>561783.15659618983</v>
      </c>
      <c r="HG14" s="118">
        <f t="shared" si="35"/>
        <v>561783.15659618983</v>
      </c>
      <c r="HH14" s="118">
        <f t="shared" si="35"/>
        <v>561783.15659618983</v>
      </c>
      <c r="HI14" s="118">
        <f t="shared" si="35"/>
        <v>561783.15659618983</v>
      </c>
      <c r="HJ14" s="118">
        <f t="shared" si="35"/>
        <v>561783.15659618983</v>
      </c>
      <c r="HK14" s="118">
        <f t="shared" si="35"/>
        <v>561783.15659618983</v>
      </c>
      <c r="HL14" s="118">
        <f t="shared" si="35"/>
        <v>561783.15659618983</v>
      </c>
      <c r="HM14" s="118">
        <f t="shared" si="35"/>
        <v>561783.15659618983</v>
      </c>
      <c r="HN14" s="118">
        <f t="shared" si="35"/>
        <v>561783.15659618983</v>
      </c>
      <c r="HO14" s="118">
        <f t="shared" si="35"/>
        <v>561783.15659618983</v>
      </c>
      <c r="HP14" s="118">
        <f t="shared" si="35"/>
        <v>561783.15659618983</v>
      </c>
      <c r="HQ14" s="118">
        <f t="shared" si="35"/>
        <v>561783.15659618983</v>
      </c>
      <c r="HR14" s="118">
        <f t="shared" si="35"/>
        <v>561783.15659618983</v>
      </c>
      <c r="HS14" s="118">
        <f t="shared" si="35"/>
        <v>561783.15659618983</v>
      </c>
      <c r="HT14" s="118">
        <f t="shared" si="35"/>
        <v>561783.15659618983</v>
      </c>
      <c r="HU14" s="118">
        <f t="shared" si="35"/>
        <v>561783.15659618983</v>
      </c>
      <c r="HV14" s="118">
        <f t="shared" si="35"/>
        <v>561783.15659618983</v>
      </c>
      <c r="HW14" s="118">
        <f t="shared" si="35"/>
        <v>561783.15659618983</v>
      </c>
      <c r="HX14" s="118">
        <f t="shared" si="35"/>
        <v>561783.15659618983</v>
      </c>
      <c r="HY14" s="118">
        <f t="shared" si="35"/>
        <v>561783.15659618983</v>
      </c>
      <c r="HZ14" s="118">
        <f t="shared" si="35"/>
        <v>561783.15659618983</v>
      </c>
      <c r="IA14" s="118">
        <f t="shared" si="35"/>
        <v>561783.15659618983</v>
      </c>
      <c r="IB14" s="118">
        <f t="shared" si="35"/>
        <v>561783.15659618983</v>
      </c>
      <c r="IC14" s="118">
        <f t="shared" si="35"/>
        <v>561783.15659618983</v>
      </c>
      <c r="ID14" s="118">
        <f t="shared" si="35"/>
        <v>561783.15659618983</v>
      </c>
      <c r="IE14" s="118">
        <f t="shared" si="35"/>
        <v>561783.15659618983</v>
      </c>
      <c r="IF14" s="118">
        <f t="shared" si="35"/>
        <v>561783.15659618983</v>
      </c>
      <c r="IG14" s="118">
        <f t="shared" si="35"/>
        <v>561783.15659618983</v>
      </c>
      <c r="IH14" s="118">
        <f t="shared" si="35"/>
        <v>561783.15659618983</v>
      </c>
      <c r="II14" s="118">
        <f t="shared" si="35"/>
        <v>561783.15659618983</v>
      </c>
      <c r="IJ14" s="118">
        <f t="shared" si="35"/>
        <v>561783.15659618983</v>
      </c>
      <c r="IK14" s="118">
        <f t="shared" si="35"/>
        <v>561783.15659618983</v>
      </c>
      <c r="IL14" s="118">
        <f t="shared" si="35"/>
        <v>561783.15659618983</v>
      </c>
      <c r="IM14" s="118">
        <f t="shared" si="35"/>
        <v>561783.15659618983</v>
      </c>
      <c r="IN14" s="118">
        <f t="shared" si="35"/>
        <v>561783.15659618983</v>
      </c>
      <c r="IO14" s="118">
        <f t="shared" si="35"/>
        <v>561783.15659618983</v>
      </c>
      <c r="IP14" s="118">
        <f t="shared" si="35"/>
        <v>561783.15659618983</v>
      </c>
      <c r="IQ14" s="118">
        <f t="shared" si="35"/>
        <v>561783.15659618983</v>
      </c>
      <c r="IR14" s="118">
        <f t="shared" si="35"/>
        <v>561783.15659618983</v>
      </c>
      <c r="IS14" s="118">
        <f t="shared" si="35"/>
        <v>561783.15659618983</v>
      </c>
      <c r="IT14" s="118">
        <f t="shared" si="35"/>
        <v>561783.15659618983</v>
      </c>
      <c r="IU14" s="118">
        <f t="shared" si="35"/>
        <v>561783.15659618983</v>
      </c>
      <c r="IV14" s="118">
        <f t="shared" si="35"/>
        <v>561783.15659618983</v>
      </c>
      <c r="IW14" s="118">
        <f t="shared" si="35"/>
        <v>561783.15659618983</v>
      </c>
      <c r="IX14" s="118">
        <f t="shared" si="35"/>
        <v>561783.15659618983</v>
      </c>
      <c r="IY14" s="118">
        <f t="shared" si="35"/>
        <v>561783.15659618983</v>
      </c>
      <c r="IZ14" s="118">
        <f t="shared" si="35"/>
        <v>561783.15659618983</v>
      </c>
      <c r="JA14" s="118">
        <f t="shared" si="35"/>
        <v>561783.15659618983</v>
      </c>
      <c r="JB14" s="118">
        <f t="shared" si="35"/>
        <v>561783.15659618983</v>
      </c>
      <c r="JC14" s="118">
        <f t="shared" si="35"/>
        <v>561783.15659618983</v>
      </c>
      <c r="JD14" s="118">
        <f t="shared" si="35"/>
        <v>561783.15659618983</v>
      </c>
      <c r="JE14" s="118">
        <f t="shared" ref="JE14:KF14" si="36">JE10-JE12</f>
        <v>561783.15659618983</v>
      </c>
      <c r="JF14" s="118">
        <f t="shared" si="36"/>
        <v>561783.15659618983</v>
      </c>
      <c r="JG14" s="118">
        <f t="shared" si="36"/>
        <v>561783.15659618983</v>
      </c>
      <c r="JH14" s="118">
        <f t="shared" si="36"/>
        <v>561783.15659618983</v>
      </c>
      <c r="JI14" s="118">
        <f t="shared" si="36"/>
        <v>561783.15659618983</v>
      </c>
      <c r="JJ14" s="118">
        <f t="shared" si="36"/>
        <v>561783.15659618983</v>
      </c>
      <c r="JK14" s="118">
        <f t="shared" si="36"/>
        <v>561783.15659618983</v>
      </c>
      <c r="JL14" s="118">
        <f t="shared" si="36"/>
        <v>561783.15659618983</v>
      </c>
      <c r="JM14" s="118">
        <f t="shared" si="36"/>
        <v>561783.15659618983</v>
      </c>
      <c r="JN14" s="118">
        <f t="shared" si="36"/>
        <v>561783.15659618983</v>
      </c>
      <c r="JO14" s="118">
        <f t="shared" si="36"/>
        <v>561783.15659618983</v>
      </c>
      <c r="JP14" s="118">
        <f t="shared" si="36"/>
        <v>561783.15659618983</v>
      </c>
      <c r="JQ14" s="118">
        <f t="shared" si="36"/>
        <v>561783.15659618983</v>
      </c>
      <c r="JR14" s="118">
        <f t="shared" si="36"/>
        <v>561783.15659618983</v>
      </c>
      <c r="JS14" s="118">
        <f t="shared" si="36"/>
        <v>561783.15659618983</v>
      </c>
      <c r="JT14" s="118">
        <f t="shared" si="36"/>
        <v>561783.15659618983</v>
      </c>
      <c r="JU14" s="118">
        <f t="shared" si="36"/>
        <v>561783.15659618983</v>
      </c>
      <c r="JV14" s="118">
        <f t="shared" si="36"/>
        <v>561783.15659618983</v>
      </c>
      <c r="JW14" s="118">
        <f t="shared" si="36"/>
        <v>561783.15659618983</v>
      </c>
      <c r="JX14" s="118">
        <f t="shared" si="36"/>
        <v>561783.15659618983</v>
      </c>
      <c r="JY14" s="118">
        <f t="shared" si="36"/>
        <v>561783.15659618983</v>
      </c>
      <c r="JZ14" s="118">
        <f t="shared" si="36"/>
        <v>561783.15659618983</v>
      </c>
      <c r="KA14" s="118">
        <f t="shared" si="36"/>
        <v>561783.15659618983</v>
      </c>
      <c r="KB14" s="118">
        <f t="shared" si="36"/>
        <v>561783.15659618983</v>
      </c>
      <c r="KC14" s="118">
        <f t="shared" si="36"/>
        <v>561783.15659618983</v>
      </c>
      <c r="KD14" s="118">
        <f t="shared" si="36"/>
        <v>561783.15659618983</v>
      </c>
      <c r="KE14" s="118">
        <f t="shared" si="36"/>
        <v>561783.15659618983</v>
      </c>
      <c r="KF14" s="118">
        <f t="shared" si="36"/>
        <v>561783.15659618983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42"/>
      <c r="B17" s="106" t="s">
        <v>417</v>
      </c>
      <c r="C17" s="275">
        <f>C3-D17</f>
        <v>-110100.97042410448</v>
      </c>
      <c r="D17" s="107">
        <f>SUM(F17:KF17)</f>
        <v>1973058.1214075882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10023.648349049632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0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1097183.2425364312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314583.07611233566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528002.16127655469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23265.99313321682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2"/>
      <c r="B18" s="106" t="s">
        <v>418</v>
      </c>
      <c r="C18" s="275">
        <f>D17-D18</f>
        <v>0</v>
      </c>
      <c r="D18" s="107">
        <f>MAX(F18:KF18)</f>
        <v>1973058.1214075882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1421789.9669978167</v>
      </c>
      <c r="V18" s="125">
        <f t="shared" si="37"/>
        <v>1421789.9669978167</v>
      </c>
      <c r="W18" s="125">
        <f t="shared" si="37"/>
        <v>1421789.9669978167</v>
      </c>
      <c r="X18" s="125">
        <f t="shared" si="37"/>
        <v>1421789.9669978167</v>
      </c>
      <c r="Y18" s="125">
        <f t="shared" si="37"/>
        <v>1421789.9669978167</v>
      </c>
      <c r="Z18" s="125">
        <f t="shared" si="37"/>
        <v>1949792.1282743714</v>
      </c>
      <c r="AA18" s="125">
        <f t="shared" si="37"/>
        <v>1949792.1282743714</v>
      </c>
      <c r="AB18" s="125">
        <f t="shared" si="37"/>
        <v>1949792.1282743714</v>
      </c>
      <c r="AC18" s="125">
        <f t="shared" si="37"/>
        <v>1949792.1282743714</v>
      </c>
      <c r="AD18" s="125">
        <f>AC18+AD17</f>
        <v>1973058.1214075882</v>
      </c>
      <c r="AE18" s="125">
        <f t="shared" si="37"/>
        <v>1973058.1214075882</v>
      </c>
      <c r="AF18" s="125">
        <f t="shared" si="37"/>
        <v>1973058.1214075882</v>
      </c>
      <c r="AG18" s="125">
        <f t="shared" si="37"/>
        <v>1973058.1214075882</v>
      </c>
      <c r="AH18" s="125">
        <f t="shared" si="37"/>
        <v>1973058.1214075882</v>
      </c>
      <c r="AI18" s="125">
        <f t="shared" si="37"/>
        <v>1973058.1214075882</v>
      </c>
      <c r="AJ18" s="125">
        <f t="shared" si="37"/>
        <v>1973058.1214075882</v>
      </c>
      <c r="AK18" s="125">
        <f t="shared" si="37"/>
        <v>1973058.1214075882</v>
      </c>
      <c r="AL18" s="125">
        <f t="shared" si="37"/>
        <v>1973058.1214075882</v>
      </c>
      <c r="AM18" s="125">
        <f t="shared" si="37"/>
        <v>1973058.1214075882</v>
      </c>
      <c r="AN18" s="125">
        <f t="shared" si="37"/>
        <v>1973058.1214075882</v>
      </c>
      <c r="AO18" s="125">
        <f t="shared" si="37"/>
        <v>1973058.1214075882</v>
      </c>
      <c r="AP18" s="125">
        <f t="shared" si="37"/>
        <v>1973058.1214075882</v>
      </c>
      <c r="AQ18" s="125">
        <f t="shared" si="37"/>
        <v>1973058.1214075882</v>
      </c>
      <c r="AR18" s="125">
        <f t="shared" si="37"/>
        <v>1973058.1214075882</v>
      </c>
      <c r="AS18" s="125">
        <f t="shared" si="37"/>
        <v>1973058.1214075882</v>
      </c>
      <c r="AT18" s="125">
        <f t="shared" si="37"/>
        <v>1973058.1214075882</v>
      </c>
      <c r="AU18" s="125">
        <f t="shared" si="37"/>
        <v>1973058.1214075882</v>
      </c>
      <c r="AV18" s="125">
        <f t="shared" si="37"/>
        <v>1973058.1214075882</v>
      </c>
      <c r="AW18" s="125">
        <f t="shared" si="37"/>
        <v>1973058.1214075882</v>
      </c>
      <c r="AX18" s="125">
        <f t="shared" si="37"/>
        <v>1973058.1214075882</v>
      </c>
      <c r="AY18" s="125">
        <f t="shared" si="37"/>
        <v>1973058.1214075882</v>
      </c>
      <c r="AZ18" s="125">
        <f t="shared" si="37"/>
        <v>1973058.1214075882</v>
      </c>
      <c r="BA18" s="125">
        <f t="shared" si="37"/>
        <v>1973058.1214075882</v>
      </c>
      <c r="BB18" s="125">
        <f t="shared" si="37"/>
        <v>1973058.1214075882</v>
      </c>
      <c r="BC18" s="125">
        <f t="shared" si="37"/>
        <v>1973058.1214075882</v>
      </c>
      <c r="BD18" s="125">
        <f t="shared" si="37"/>
        <v>1973058.1214075882</v>
      </c>
      <c r="BE18" s="125">
        <f t="shared" si="37"/>
        <v>1973058.1214075882</v>
      </c>
      <c r="BF18" s="125">
        <f t="shared" si="37"/>
        <v>1973058.1214075882</v>
      </c>
      <c r="BG18" s="125">
        <f t="shared" si="37"/>
        <v>1973058.1214075882</v>
      </c>
      <c r="BH18" s="125">
        <f t="shared" si="37"/>
        <v>1973058.1214075882</v>
      </c>
      <c r="BI18" s="125">
        <f t="shared" si="37"/>
        <v>1973058.1214075882</v>
      </c>
      <c r="BJ18" s="125">
        <f t="shared" si="37"/>
        <v>1973058.1214075882</v>
      </c>
      <c r="BK18" s="125">
        <f t="shared" si="37"/>
        <v>1973058.1214075882</v>
      </c>
      <c r="BL18" s="125">
        <f t="shared" si="37"/>
        <v>1973058.1214075882</v>
      </c>
      <c r="BM18" s="125">
        <f t="shared" si="37"/>
        <v>1973058.1214075882</v>
      </c>
      <c r="BN18" s="125">
        <f t="shared" si="37"/>
        <v>1973058.1214075882</v>
      </c>
      <c r="BO18" s="125">
        <f t="shared" si="37"/>
        <v>1973058.1214075882</v>
      </c>
      <c r="BP18" s="125">
        <f t="shared" si="37"/>
        <v>1973058.1214075882</v>
      </c>
      <c r="BQ18" s="125">
        <f t="shared" si="37"/>
        <v>1973058.1214075882</v>
      </c>
      <c r="BR18" s="125">
        <f t="shared" si="37"/>
        <v>1973058.1214075882</v>
      </c>
      <c r="BS18" s="125">
        <f t="shared" si="37"/>
        <v>1973058.1214075882</v>
      </c>
      <c r="BT18" s="125">
        <f t="shared" si="37"/>
        <v>1973058.1214075882</v>
      </c>
      <c r="BU18" s="125">
        <f t="shared" ref="BU18:EF18" si="38">BT18+BU17</f>
        <v>1973058.1214075882</v>
      </c>
      <c r="BV18" s="125">
        <f t="shared" si="38"/>
        <v>1973058.1214075882</v>
      </c>
      <c r="BW18" s="125">
        <f t="shared" si="38"/>
        <v>1973058.1214075882</v>
      </c>
      <c r="BX18" s="125">
        <f t="shared" si="38"/>
        <v>1973058.1214075882</v>
      </c>
      <c r="BY18" s="125">
        <f t="shared" si="38"/>
        <v>1973058.1214075882</v>
      </c>
      <c r="BZ18" s="125">
        <f t="shared" si="38"/>
        <v>1973058.1214075882</v>
      </c>
      <c r="CA18" s="125">
        <f t="shared" si="38"/>
        <v>1973058.1214075882</v>
      </c>
      <c r="CB18" s="125">
        <f t="shared" si="38"/>
        <v>1973058.1214075882</v>
      </c>
      <c r="CC18" s="125">
        <f t="shared" si="38"/>
        <v>1973058.1214075882</v>
      </c>
      <c r="CD18" s="125">
        <f t="shared" si="38"/>
        <v>1973058.1214075882</v>
      </c>
      <c r="CE18" s="125">
        <f t="shared" si="38"/>
        <v>1973058.1214075882</v>
      </c>
      <c r="CF18" s="125">
        <f t="shared" si="38"/>
        <v>1973058.1214075882</v>
      </c>
      <c r="CG18" s="125">
        <f t="shared" si="38"/>
        <v>1973058.1214075882</v>
      </c>
      <c r="CH18" s="125">
        <f t="shared" si="38"/>
        <v>1973058.1214075882</v>
      </c>
      <c r="CI18" s="125">
        <f t="shared" si="38"/>
        <v>1973058.1214075882</v>
      </c>
      <c r="CJ18" s="125">
        <f t="shared" si="38"/>
        <v>1973058.1214075882</v>
      </c>
      <c r="CK18" s="125">
        <f t="shared" si="38"/>
        <v>1973058.1214075882</v>
      </c>
      <c r="CL18" s="125">
        <f t="shared" si="38"/>
        <v>1973058.1214075882</v>
      </c>
      <c r="CM18" s="125">
        <f t="shared" si="38"/>
        <v>1973058.1214075882</v>
      </c>
      <c r="CN18" s="125">
        <f t="shared" si="38"/>
        <v>1973058.1214075882</v>
      </c>
      <c r="CO18" s="125">
        <f t="shared" si="38"/>
        <v>1973058.1214075882</v>
      </c>
      <c r="CP18" s="125">
        <f t="shared" si="38"/>
        <v>1973058.1214075882</v>
      </c>
      <c r="CQ18" s="125">
        <f t="shared" si="38"/>
        <v>1973058.1214075882</v>
      </c>
      <c r="CR18" s="125">
        <f t="shared" si="38"/>
        <v>1973058.1214075882</v>
      </c>
      <c r="CS18" s="125">
        <f t="shared" si="38"/>
        <v>1973058.1214075882</v>
      </c>
      <c r="CT18" s="125">
        <f t="shared" si="38"/>
        <v>1973058.1214075882</v>
      </c>
      <c r="CU18" s="125">
        <f t="shared" si="38"/>
        <v>1973058.1214075882</v>
      </c>
      <c r="CV18" s="125">
        <f t="shared" si="38"/>
        <v>1973058.1214075882</v>
      </c>
      <c r="CW18" s="125">
        <f t="shared" si="38"/>
        <v>1973058.1214075882</v>
      </c>
      <c r="CX18" s="125">
        <f t="shared" si="38"/>
        <v>1973058.1214075882</v>
      </c>
      <c r="CY18" s="125">
        <f t="shared" si="38"/>
        <v>1973058.1214075882</v>
      </c>
      <c r="CZ18" s="125">
        <f t="shared" si="38"/>
        <v>1973058.1214075882</v>
      </c>
      <c r="DA18" s="125">
        <f t="shared" si="38"/>
        <v>1973058.1214075882</v>
      </c>
      <c r="DB18" s="125">
        <f t="shared" si="38"/>
        <v>1973058.1214075882</v>
      </c>
      <c r="DC18" s="125">
        <f t="shared" si="38"/>
        <v>1973058.1214075882</v>
      </c>
      <c r="DD18" s="125">
        <f t="shared" si="38"/>
        <v>1973058.1214075882</v>
      </c>
      <c r="DE18" s="125">
        <f t="shared" si="38"/>
        <v>1973058.1214075882</v>
      </c>
      <c r="DF18" s="125">
        <f t="shared" si="38"/>
        <v>1973058.1214075882</v>
      </c>
      <c r="DG18" s="125">
        <f t="shared" si="38"/>
        <v>1973058.1214075882</v>
      </c>
      <c r="DH18" s="125">
        <f t="shared" si="38"/>
        <v>1973058.1214075882</v>
      </c>
      <c r="DI18" s="125">
        <f t="shared" si="38"/>
        <v>1973058.1214075882</v>
      </c>
      <c r="DJ18" s="125">
        <f t="shared" si="38"/>
        <v>1973058.1214075882</v>
      </c>
      <c r="DK18" s="125">
        <f t="shared" si="38"/>
        <v>1973058.1214075882</v>
      </c>
      <c r="DL18" s="125">
        <f t="shared" si="38"/>
        <v>1973058.1214075882</v>
      </c>
      <c r="DM18" s="125">
        <f t="shared" si="38"/>
        <v>1973058.1214075882</v>
      </c>
      <c r="DN18" s="125">
        <f t="shared" si="38"/>
        <v>1973058.1214075882</v>
      </c>
      <c r="DO18" s="125">
        <f t="shared" si="38"/>
        <v>1973058.1214075882</v>
      </c>
      <c r="DP18" s="125">
        <f t="shared" si="38"/>
        <v>1973058.1214075882</v>
      </c>
      <c r="DQ18" s="125">
        <f t="shared" si="38"/>
        <v>1973058.1214075882</v>
      </c>
      <c r="DR18" s="125">
        <f t="shared" si="38"/>
        <v>1973058.1214075882</v>
      </c>
      <c r="DS18" s="125">
        <f t="shared" si="38"/>
        <v>1973058.1214075882</v>
      </c>
      <c r="DT18" s="125">
        <f t="shared" si="38"/>
        <v>1973058.1214075882</v>
      </c>
      <c r="DU18" s="125">
        <f t="shared" si="38"/>
        <v>1973058.1214075882</v>
      </c>
      <c r="DV18" s="125">
        <f t="shared" si="38"/>
        <v>1973058.1214075882</v>
      </c>
      <c r="DW18" s="125">
        <f t="shared" si="38"/>
        <v>1973058.1214075882</v>
      </c>
      <c r="DX18" s="125">
        <f t="shared" si="38"/>
        <v>1973058.1214075882</v>
      </c>
      <c r="DY18" s="125">
        <f t="shared" si="38"/>
        <v>1973058.1214075882</v>
      </c>
      <c r="DZ18" s="125">
        <f t="shared" si="38"/>
        <v>1973058.1214075882</v>
      </c>
      <c r="EA18" s="125">
        <f t="shared" si="38"/>
        <v>1973058.1214075882</v>
      </c>
      <c r="EB18" s="125">
        <f t="shared" si="38"/>
        <v>1973058.1214075882</v>
      </c>
      <c r="EC18" s="125">
        <f t="shared" si="38"/>
        <v>1973058.1214075882</v>
      </c>
      <c r="ED18" s="125">
        <f t="shared" si="38"/>
        <v>1973058.1214075882</v>
      </c>
      <c r="EE18" s="125">
        <f t="shared" si="38"/>
        <v>1973058.1214075882</v>
      </c>
      <c r="EF18" s="125">
        <f t="shared" si="38"/>
        <v>1973058.1214075882</v>
      </c>
      <c r="EG18" s="125">
        <f t="shared" ref="EG18:GR18" si="39">EF18+EG17</f>
        <v>1973058.1214075882</v>
      </c>
      <c r="EH18" s="125">
        <f t="shared" si="39"/>
        <v>1973058.1214075882</v>
      </c>
      <c r="EI18" s="125">
        <f t="shared" si="39"/>
        <v>1973058.1214075882</v>
      </c>
      <c r="EJ18" s="125">
        <f t="shared" si="39"/>
        <v>1973058.1214075882</v>
      </c>
      <c r="EK18" s="125">
        <f t="shared" si="39"/>
        <v>1973058.1214075882</v>
      </c>
      <c r="EL18" s="125">
        <f t="shared" si="39"/>
        <v>1973058.1214075882</v>
      </c>
      <c r="EM18" s="125">
        <f t="shared" si="39"/>
        <v>1973058.1214075882</v>
      </c>
      <c r="EN18" s="125">
        <f t="shared" si="39"/>
        <v>1973058.1214075882</v>
      </c>
      <c r="EO18" s="125">
        <f t="shared" si="39"/>
        <v>1973058.1214075882</v>
      </c>
      <c r="EP18" s="125">
        <f t="shared" si="39"/>
        <v>1973058.1214075882</v>
      </c>
      <c r="EQ18" s="125">
        <f t="shared" si="39"/>
        <v>1973058.1214075882</v>
      </c>
      <c r="ER18" s="125">
        <f t="shared" si="39"/>
        <v>1973058.1214075882</v>
      </c>
      <c r="ES18" s="125">
        <f t="shared" si="39"/>
        <v>1973058.1214075882</v>
      </c>
      <c r="ET18" s="125">
        <f t="shared" si="39"/>
        <v>1973058.1214075882</v>
      </c>
      <c r="EU18" s="125">
        <f t="shared" si="39"/>
        <v>1973058.1214075882</v>
      </c>
      <c r="EV18" s="125">
        <f t="shared" si="39"/>
        <v>1973058.1214075882</v>
      </c>
      <c r="EW18" s="125">
        <f t="shared" si="39"/>
        <v>1973058.1214075882</v>
      </c>
      <c r="EX18" s="125">
        <f t="shared" si="39"/>
        <v>1973058.1214075882</v>
      </c>
      <c r="EY18" s="125">
        <f t="shared" si="39"/>
        <v>1973058.1214075882</v>
      </c>
      <c r="EZ18" s="125">
        <f t="shared" si="39"/>
        <v>1973058.1214075882</v>
      </c>
      <c r="FA18" s="125">
        <f t="shared" si="39"/>
        <v>1973058.1214075882</v>
      </c>
      <c r="FB18" s="125">
        <f t="shared" si="39"/>
        <v>1973058.1214075882</v>
      </c>
      <c r="FC18" s="125">
        <f t="shared" si="39"/>
        <v>1973058.1214075882</v>
      </c>
      <c r="FD18" s="125">
        <f t="shared" si="39"/>
        <v>1973058.1214075882</v>
      </c>
      <c r="FE18" s="125">
        <f t="shared" si="39"/>
        <v>1973058.1214075882</v>
      </c>
      <c r="FF18" s="125">
        <f t="shared" si="39"/>
        <v>1973058.1214075882</v>
      </c>
      <c r="FG18" s="125">
        <f t="shared" si="39"/>
        <v>1973058.1214075882</v>
      </c>
      <c r="FH18" s="125">
        <f t="shared" si="39"/>
        <v>1973058.1214075882</v>
      </c>
      <c r="FI18" s="125">
        <f t="shared" si="39"/>
        <v>1973058.1214075882</v>
      </c>
      <c r="FJ18" s="125">
        <f t="shared" si="39"/>
        <v>1973058.1214075882</v>
      </c>
      <c r="FK18" s="125">
        <f t="shared" si="39"/>
        <v>1973058.1214075882</v>
      </c>
      <c r="FL18" s="125">
        <f t="shared" si="39"/>
        <v>1973058.1214075882</v>
      </c>
      <c r="FM18" s="125">
        <f t="shared" si="39"/>
        <v>1973058.1214075882</v>
      </c>
      <c r="FN18" s="125">
        <f t="shared" si="39"/>
        <v>1973058.1214075882</v>
      </c>
      <c r="FO18" s="125">
        <f t="shared" si="39"/>
        <v>1973058.1214075882</v>
      </c>
      <c r="FP18" s="125">
        <f t="shared" si="39"/>
        <v>1973058.1214075882</v>
      </c>
      <c r="FQ18" s="125">
        <f t="shared" si="39"/>
        <v>1973058.1214075882</v>
      </c>
      <c r="FR18" s="125">
        <f t="shared" si="39"/>
        <v>1973058.1214075882</v>
      </c>
      <c r="FS18" s="125">
        <f t="shared" si="39"/>
        <v>1973058.1214075882</v>
      </c>
      <c r="FT18" s="125">
        <f t="shared" si="39"/>
        <v>1973058.1214075882</v>
      </c>
      <c r="FU18" s="125">
        <f t="shared" si="39"/>
        <v>1973058.1214075882</v>
      </c>
      <c r="FV18" s="125">
        <f t="shared" si="39"/>
        <v>1973058.1214075882</v>
      </c>
      <c r="FW18" s="125">
        <f t="shared" si="39"/>
        <v>1973058.1214075882</v>
      </c>
      <c r="FX18" s="125">
        <f t="shared" si="39"/>
        <v>1973058.1214075882</v>
      </c>
      <c r="FY18" s="125">
        <f t="shared" si="39"/>
        <v>1973058.1214075882</v>
      </c>
      <c r="FZ18" s="125">
        <f t="shared" si="39"/>
        <v>1973058.1214075882</v>
      </c>
      <c r="GA18" s="125">
        <f t="shared" si="39"/>
        <v>1973058.1214075882</v>
      </c>
      <c r="GB18" s="125">
        <f t="shared" si="39"/>
        <v>1973058.1214075882</v>
      </c>
      <c r="GC18" s="125">
        <f t="shared" si="39"/>
        <v>1973058.1214075882</v>
      </c>
      <c r="GD18" s="125">
        <f t="shared" si="39"/>
        <v>1973058.1214075882</v>
      </c>
      <c r="GE18" s="125">
        <f t="shared" si="39"/>
        <v>1973058.1214075882</v>
      </c>
      <c r="GF18" s="125">
        <f t="shared" si="39"/>
        <v>1973058.1214075882</v>
      </c>
      <c r="GG18" s="125">
        <f t="shared" si="39"/>
        <v>1973058.1214075882</v>
      </c>
      <c r="GH18" s="125">
        <f t="shared" si="39"/>
        <v>1973058.1214075882</v>
      </c>
      <c r="GI18" s="125">
        <f t="shared" si="39"/>
        <v>1973058.1214075882</v>
      </c>
      <c r="GJ18" s="125">
        <f t="shared" si="39"/>
        <v>1973058.1214075882</v>
      </c>
      <c r="GK18" s="125">
        <f t="shared" si="39"/>
        <v>1973058.1214075882</v>
      </c>
      <c r="GL18" s="125">
        <f t="shared" si="39"/>
        <v>1973058.1214075882</v>
      </c>
      <c r="GM18" s="125">
        <f t="shared" si="39"/>
        <v>1973058.1214075882</v>
      </c>
      <c r="GN18" s="125">
        <f t="shared" si="39"/>
        <v>1973058.1214075882</v>
      </c>
      <c r="GO18" s="125">
        <f t="shared" si="39"/>
        <v>1973058.1214075882</v>
      </c>
      <c r="GP18" s="125">
        <f t="shared" si="39"/>
        <v>1973058.1214075882</v>
      </c>
      <c r="GQ18" s="125">
        <f t="shared" si="39"/>
        <v>1973058.1214075882</v>
      </c>
      <c r="GR18" s="125">
        <f t="shared" si="39"/>
        <v>1973058.1214075882</v>
      </c>
      <c r="GS18" s="125">
        <f t="shared" ref="GS18:JD18" si="40">GR18+GS17</f>
        <v>1973058.1214075882</v>
      </c>
      <c r="GT18" s="125">
        <f t="shared" si="40"/>
        <v>1973058.1214075882</v>
      </c>
      <c r="GU18" s="125">
        <f t="shared" si="40"/>
        <v>1973058.1214075882</v>
      </c>
      <c r="GV18" s="125">
        <f t="shared" si="40"/>
        <v>1973058.1214075882</v>
      </c>
      <c r="GW18" s="125">
        <f t="shared" si="40"/>
        <v>1973058.1214075882</v>
      </c>
      <c r="GX18" s="125">
        <f t="shared" si="40"/>
        <v>1973058.1214075882</v>
      </c>
      <c r="GY18" s="125">
        <f t="shared" si="40"/>
        <v>1973058.1214075882</v>
      </c>
      <c r="GZ18" s="125">
        <f t="shared" si="40"/>
        <v>1973058.1214075882</v>
      </c>
      <c r="HA18" s="125">
        <f t="shared" si="40"/>
        <v>1973058.1214075882</v>
      </c>
      <c r="HB18" s="125">
        <f t="shared" si="40"/>
        <v>1973058.1214075882</v>
      </c>
      <c r="HC18" s="125">
        <f t="shared" si="40"/>
        <v>1973058.1214075882</v>
      </c>
      <c r="HD18" s="125">
        <f t="shared" si="40"/>
        <v>1973058.1214075882</v>
      </c>
      <c r="HE18" s="125">
        <f t="shared" si="40"/>
        <v>1973058.1214075882</v>
      </c>
      <c r="HF18" s="125">
        <f t="shared" si="40"/>
        <v>1973058.1214075882</v>
      </c>
      <c r="HG18" s="125">
        <f t="shared" si="40"/>
        <v>1973058.1214075882</v>
      </c>
      <c r="HH18" s="125">
        <f t="shared" si="40"/>
        <v>1973058.1214075882</v>
      </c>
      <c r="HI18" s="125">
        <f t="shared" si="40"/>
        <v>1973058.1214075882</v>
      </c>
      <c r="HJ18" s="125">
        <f t="shared" si="40"/>
        <v>1973058.1214075882</v>
      </c>
      <c r="HK18" s="125">
        <f t="shared" si="40"/>
        <v>1973058.1214075882</v>
      </c>
      <c r="HL18" s="125">
        <f t="shared" si="40"/>
        <v>1973058.1214075882</v>
      </c>
      <c r="HM18" s="125">
        <f t="shared" si="40"/>
        <v>1973058.1214075882</v>
      </c>
      <c r="HN18" s="125">
        <f t="shared" si="40"/>
        <v>1973058.1214075882</v>
      </c>
      <c r="HO18" s="125">
        <f t="shared" si="40"/>
        <v>1973058.1214075882</v>
      </c>
      <c r="HP18" s="125">
        <f t="shared" si="40"/>
        <v>1973058.1214075882</v>
      </c>
      <c r="HQ18" s="125">
        <f t="shared" si="40"/>
        <v>1973058.1214075882</v>
      </c>
      <c r="HR18" s="125">
        <f t="shared" si="40"/>
        <v>1973058.1214075882</v>
      </c>
      <c r="HS18" s="125">
        <f t="shared" si="40"/>
        <v>1973058.1214075882</v>
      </c>
      <c r="HT18" s="125">
        <f t="shared" si="40"/>
        <v>1973058.1214075882</v>
      </c>
      <c r="HU18" s="125">
        <f t="shared" si="40"/>
        <v>1973058.1214075882</v>
      </c>
      <c r="HV18" s="125">
        <f t="shared" si="40"/>
        <v>1973058.1214075882</v>
      </c>
      <c r="HW18" s="125">
        <f t="shared" si="40"/>
        <v>1973058.1214075882</v>
      </c>
      <c r="HX18" s="125">
        <f t="shared" si="40"/>
        <v>1973058.1214075882</v>
      </c>
      <c r="HY18" s="125">
        <f t="shared" si="40"/>
        <v>1973058.1214075882</v>
      </c>
      <c r="HZ18" s="125">
        <f t="shared" si="40"/>
        <v>1973058.1214075882</v>
      </c>
      <c r="IA18" s="125">
        <f t="shared" si="40"/>
        <v>1973058.1214075882</v>
      </c>
      <c r="IB18" s="125">
        <f t="shared" si="40"/>
        <v>1973058.1214075882</v>
      </c>
      <c r="IC18" s="125">
        <f t="shared" si="40"/>
        <v>1973058.1214075882</v>
      </c>
      <c r="ID18" s="125">
        <f t="shared" si="40"/>
        <v>1973058.1214075882</v>
      </c>
      <c r="IE18" s="125">
        <f t="shared" si="40"/>
        <v>1973058.1214075882</v>
      </c>
      <c r="IF18" s="125">
        <f t="shared" si="40"/>
        <v>1973058.1214075882</v>
      </c>
      <c r="IG18" s="125">
        <f t="shared" si="40"/>
        <v>1973058.1214075882</v>
      </c>
      <c r="IH18" s="125">
        <f t="shared" si="40"/>
        <v>1973058.1214075882</v>
      </c>
      <c r="II18" s="125">
        <f t="shared" si="40"/>
        <v>1973058.1214075882</v>
      </c>
      <c r="IJ18" s="125">
        <f t="shared" si="40"/>
        <v>1973058.1214075882</v>
      </c>
      <c r="IK18" s="125">
        <f t="shared" si="40"/>
        <v>1973058.1214075882</v>
      </c>
      <c r="IL18" s="125">
        <f t="shared" si="40"/>
        <v>1973058.1214075882</v>
      </c>
      <c r="IM18" s="125">
        <f t="shared" si="40"/>
        <v>1973058.1214075882</v>
      </c>
      <c r="IN18" s="125">
        <f t="shared" si="40"/>
        <v>1973058.1214075882</v>
      </c>
      <c r="IO18" s="125">
        <f t="shared" si="40"/>
        <v>1973058.1214075882</v>
      </c>
      <c r="IP18" s="125">
        <f t="shared" si="40"/>
        <v>1973058.1214075882</v>
      </c>
      <c r="IQ18" s="125">
        <f t="shared" si="40"/>
        <v>1973058.1214075882</v>
      </c>
      <c r="IR18" s="125">
        <f t="shared" si="40"/>
        <v>1973058.1214075882</v>
      </c>
      <c r="IS18" s="125">
        <f t="shared" si="40"/>
        <v>1973058.1214075882</v>
      </c>
      <c r="IT18" s="125">
        <f t="shared" si="40"/>
        <v>1973058.1214075882</v>
      </c>
      <c r="IU18" s="125">
        <f t="shared" si="40"/>
        <v>1973058.1214075882</v>
      </c>
      <c r="IV18" s="125">
        <f t="shared" si="40"/>
        <v>1973058.1214075882</v>
      </c>
      <c r="IW18" s="125">
        <f t="shared" si="40"/>
        <v>1973058.1214075882</v>
      </c>
      <c r="IX18" s="125">
        <f t="shared" si="40"/>
        <v>1973058.1214075882</v>
      </c>
      <c r="IY18" s="125">
        <f t="shared" si="40"/>
        <v>1973058.1214075882</v>
      </c>
      <c r="IZ18" s="125">
        <f t="shared" si="40"/>
        <v>1973058.1214075882</v>
      </c>
      <c r="JA18" s="125">
        <f t="shared" si="40"/>
        <v>1973058.1214075882</v>
      </c>
      <c r="JB18" s="125">
        <f t="shared" si="40"/>
        <v>1973058.1214075882</v>
      </c>
      <c r="JC18" s="125">
        <f t="shared" si="40"/>
        <v>1973058.1214075882</v>
      </c>
      <c r="JD18" s="125">
        <f t="shared" si="40"/>
        <v>1973058.1214075882</v>
      </c>
      <c r="JE18" s="125">
        <f t="shared" ref="JE18:KF18" si="41">JD18+JE17</f>
        <v>1973058.1214075882</v>
      </c>
      <c r="JF18" s="125">
        <f t="shared" si="41"/>
        <v>1973058.1214075882</v>
      </c>
      <c r="JG18" s="125">
        <f t="shared" si="41"/>
        <v>1973058.1214075882</v>
      </c>
      <c r="JH18" s="125">
        <f t="shared" si="41"/>
        <v>1973058.1214075882</v>
      </c>
      <c r="JI18" s="125">
        <f t="shared" si="41"/>
        <v>1973058.1214075882</v>
      </c>
      <c r="JJ18" s="125">
        <f t="shared" si="41"/>
        <v>1973058.1214075882</v>
      </c>
      <c r="JK18" s="125">
        <f t="shared" si="41"/>
        <v>1973058.1214075882</v>
      </c>
      <c r="JL18" s="125">
        <f t="shared" si="41"/>
        <v>1973058.1214075882</v>
      </c>
      <c r="JM18" s="125">
        <f t="shared" si="41"/>
        <v>1973058.1214075882</v>
      </c>
      <c r="JN18" s="125">
        <f t="shared" si="41"/>
        <v>1973058.1214075882</v>
      </c>
      <c r="JO18" s="125">
        <f t="shared" si="41"/>
        <v>1973058.1214075882</v>
      </c>
      <c r="JP18" s="125">
        <f t="shared" si="41"/>
        <v>1973058.1214075882</v>
      </c>
      <c r="JQ18" s="125">
        <f t="shared" si="41"/>
        <v>1973058.1214075882</v>
      </c>
      <c r="JR18" s="125">
        <f t="shared" si="41"/>
        <v>1973058.1214075882</v>
      </c>
      <c r="JS18" s="125">
        <f t="shared" si="41"/>
        <v>1973058.1214075882</v>
      </c>
      <c r="JT18" s="125">
        <f t="shared" si="41"/>
        <v>1973058.1214075882</v>
      </c>
      <c r="JU18" s="125">
        <f t="shared" si="41"/>
        <v>1973058.1214075882</v>
      </c>
      <c r="JV18" s="125">
        <f t="shared" si="41"/>
        <v>1973058.1214075882</v>
      </c>
      <c r="JW18" s="125">
        <f t="shared" si="41"/>
        <v>1973058.1214075882</v>
      </c>
      <c r="JX18" s="125">
        <f t="shared" si="41"/>
        <v>1973058.1214075882</v>
      </c>
      <c r="JY18" s="125">
        <f t="shared" si="41"/>
        <v>1973058.1214075882</v>
      </c>
      <c r="JZ18" s="125">
        <f t="shared" si="41"/>
        <v>1973058.1214075882</v>
      </c>
      <c r="KA18" s="125">
        <f t="shared" si="41"/>
        <v>1973058.1214075882</v>
      </c>
      <c r="KB18" s="125">
        <f t="shared" si="41"/>
        <v>1973058.1214075882</v>
      </c>
      <c r="KC18" s="125">
        <f t="shared" si="41"/>
        <v>1973058.1214075882</v>
      </c>
      <c r="KD18" s="125">
        <f t="shared" si="41"/>
        <v>1973058.1214075882</v>
      </c>
      <c r="KE18" s="125">
        <f t="shared" si="41"/>
        <v>1973058.1214075882</v>
      </c>
      <c r="KF18" s="125">
        <f t="shared" si="41"/>
        <v>1973058.1214075882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6328125" defaultRowHeight="14.5"/>
  <cols>
    <col min="1" max="1" width="37.36328125" style="269" bestFit="1" customWidth="1"/>
    <col min="2" max="2" width="15.54296875" style="270" bestFit="1" customWidth="1"/>
    <col min="3" max="3" width="11.54296875" style="269" bestFit="1" customWidth="1"/>
    <col min="4" max="4" width="10.90625" style="269" bestFit="1" customWidth="1"/>
    <col min="5" max="5" width="6.08984375" style="269" bestFit="1" customWidth="1"/>
    <col min="6" max="6" width="14.36328125" style="269" bestFit="1" customWidth="1"/>
    <col min="7" max="8" width="12.6328125" style="269" bestFit="1" customWidth="1"/>
    <col min="9" max="9" width="11.54296875" style="269" bestFit="1" customWidth="1"/>
    <col min="10" max="10" width="12.6328125" style="269" bestFit="1" customWidth="1"/>
    <col min="11" max="11" width="14.36328125" style="269" bestFit="1" customWidth="1"/>
    <col min="12" max="12" width="6.3632812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.36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419</v>
      </c>
      <c r="B3" s="540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  <c r="L4"/>
      <c r="M4"/>
      <c r="N4"/>
      <c r="O4"/>
      <c r="P4"/>
      <c r="Q4"/>
      <c r="R4"/>
      <c r="S4"/>
      <c r="T4"/>
    </row>
    <row r="5" spans="1:20">
      <c r="A5" s="345" t="s">
        <v>422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346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356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365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343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423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6328125" defaultRowHeight="14.5"/>
  <cols>
    <col min="1" max="1" width="20.6328125" bestFit="1" customWidth="1"/>
    <col min="2" max="2" width="16.453125" style="308" bestFit="1" customWidth="1"/>
    <col min="3" max="4" width="11.08984375" style="308" bestFit="1" customWidth="1"/>
    <col min="5" max="5" width="6.08984375" style="308" bestFit="1" customWidth="1"/>
    <col min="6" max="8" width="12.6328125" style="308" bestFit="1" customWidth="1"/>
    <col min="9" max="9" width="11.6328125" style="308" bestFit="1" customWidth="1"/>
    <col min="10" max="10" width="11.6328125" bestFit="1" customWidth="1"/>
    <col min="11" max="11" width="14.453125" bestFit="1" customWidth="1"/>
    <col min="12" max="12" width="10.36328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11">
      <c r="A3" s="540" t="s">
        <v>424</v>
      </c>
      <c r="B3" s="540" t="s">
        <v>420</v>
      </c>
      <c r="C3"/>
      <c r="D3"/>
      <c r="E3"/>
      <c r="F3"/>
      <c r="G3"/>
      <c r="H3"/>
      <c r="I3"/>
    </row>
    <row r="4" spans="1:11">
      <c r="A4" s="540" t="s">
        <v>421</v>
      </c>
      <c r="B4" t="s">
        <v>422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423</v>
      </c>
    </row>
    <row r="5" spans="1:11">
      <c r="A5" s="345" t="s">
        <v>422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285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305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314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330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340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346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356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361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365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377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381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385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374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343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423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.36328125" style="9" bestFit="1" customWidth="1"/>
    <col min="7" max="7" width="1.36328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425</v>
      </c>
      <c r="F2" s="19" t="s">
        <v>426</v>
      </c>
    </row>
    <row r="3" spans="3:8">
      <c r="C3" s="15">
        <v>45658</v>
      </c>
      <c r="D3" s="9" t="s">
        <v>427</v>
      </c>
      <c r="F3" s="17" t="s">
        <v>428</v>
      </c>
    </row>
    <row r="4" spans="3:8">
      <c r="C4" s="15">
        <v>45737</v>
      </c>
      <c r="D4" s="9" t="s">
        <v>429</v>
      </c>
      <c r="F4" s="17" t="s">
        <v>120</v>
      </c>
    </row>
    <row r="5" spans="3:8">
      <c r="C5" s="15">
        <v>45765</v>
      </c>
      <c r="D5" s="9" t="s">
        <v>430</v>
      </c>
      <c r="F5" s="17" t="s">
        <v>431</v>
      </c>
    </row>
    <row r="6" spans="3:8" ht="13" thickBot="1">
      <c r="C6" s="15">
        <v>45768</v>
      </c>
      <c r="D6" s="9" t="s">
        <v>432</v>
      </c>
      <c r="F6" s="18" t="s">
        <v>433</v>
      </c>
    </row>
    <row r="7" spans="3:8">
      <c r="C7" s="15">
        <v>45774</v>
      </c>
      <c r="D7" s="9" t="s">
        <v>434</v>
      </c>
    </row>
    <row r="8" spans="3:8">
      <c r="C8" s="15">
        <v>45765</v>
      </c>
      <c r="D8" s="9" t="s">
        <v>435</v>
      </c>
    </row>
    <row r="9" spans="3:8">
      <c r="C9" s="15">
        <v>45778</v>
      </c>
      <c r="D9" s="9" t="s">
        <v>436</v>
      </c>
    </row>
    <row r="10" spans="3:8">
      <c r="C10" s="15">
        <v>45824</v>
      </c>
      <c r="D10" s="9" t="s">
        <v>437</v>
      </c>
    </row>
    <row r="11" spans="3:8">
      <c r="C11" s="15">
        <v>45878</v>
      </c>
      <c r="D11" s="9" t="s">
        <v>438</v>
      </c>
    </row>
    <row r="12" spans="3:8">
      <c r="C12" s="15">
        <v>45924</v>
      </c>
      <c r="D12" s="9" t="s">
        <v>439</v>
      </c>
    </row>
    <row r="13" spans="3:8">
      <c r="C13" s="15">
        <v>46007</v>
      </c>
      <c r="D13" s="9" t="s">
        <v>440</v>
      </c>
      <c r="F13" s="20"/>
      <c r="H13" s="9" t="s">
        <v>441</v>
      </c>
    </row>
    <row r="14" spans="3:8">
      <c r="C14" s="15">
        <v>46016</v>
      </c>
      <c r="D14" s="9" t="s">
        <v>442</v>
      </c>
    </row>
    <row r="15" spans="3:8">
      <c r="C15" s="15">
        <v>46017</v>
      </c>
      <c r="D15" s="9" t="s">
        <v>443</v>
      </c>
    </row>
    <row r="16" spans="3:8">
      <c r="C16" s="15">
        <v>46006</v>
      </c>
      <c r="D16" s="9" t="s">
        <v>444</v>
      </c>
    </row>
    <row r="17" spans="3:4">
      <c r="C17" s="15">
        <v>46007</v>
      </c>
      <c r="D17" s="9" t="s">
        <v>444</v>
      </c>
    </row>
    <row r="18" spans="3:4">
      <c r="C18" s="15">
        <v>46008</v>
      </c>
      <c r="D18" s="9" t="s">
        <v>444</v>
      </c>
    </row>
    <row r="19" spans="3:4">
      <c r="C19" s="15">
        <v>46009</v>
      </c>
      <c r="D19" s="9" t="s">
        <v>444</v>
      </c>
    </row>
    <row r="20" spans="3:4">
      <c r="C20" s="15">
        <v>46010</v>
      </c>
      <c r="D20" s="9" t="s">
        <v>444</v>
      </c>
    </row>
    <row r="21" spans="3:4">
      <c r="C21" s="15">
        <v>46011</v>
      </c>
      <c r="D21" s="9" t="s">
        <v>444</v>
      </c>
    </row>
    <row r="22" spans="3:4">
      <c r="C22" s="15">
        <v>46012</v>
      </c>
      <c r="D22" s="9" t="s">
        <v>444</v>
      </c>
    </row>
    <row r="23" spans="3:4">
      <c r="C23" s="15">
        <v>46013</v>
      </c>
      <c r="D23" s="9" t="s">
        <v>444</v>
      </c>
    </row>
    <row r="24" spans="3:4">
      <c r="C24" s="15">
        <v>46014</v>
      </c>
      <c r="D24" s="9" t="s">
        <v>444</v>
      </c>
    </row>
    <row r="25" spans="3:4">
      <c r="C25" s="15">
        <v>46015</v>
      </c>
      <c r="D25" s="9" t="s">
        <v>444</v>
      </c>
    </row>
    <row r="26" spans="3:4">
      <c r="C26" s="15">
        <v>46016</v>
      </c>
      <c r="D26" s="9" t="s">
        <v>444</v>
      </c>
    </row>
    <row r="27" spans="3:4">
      <c r="C27" s="15">
        <v>46017</v>
      </c>
      <c r="D27" s="9" t="s">
        <v>444</v>
      </c>
    </row>
    <row r="28" spans="3:4">
      <c r="C28" s="15">
        <v>46018</v>
      </c>
      <c r="D28" s="9" t="s">
        <v>444</v>
      </c>
    </row>
    <row r="29" spans="3:4">
      <c r="C29" s="15">
        <v>46019</v>
      </c>
      <c r="D29" s="9" t="s">
        <v>444</v>
      </c>
    </row>
    <row r="30" spans="3:4">
      <c r="C30" s="15">
        <v>46020</v>
      </c>
      <c r="D30" s="9" t="s">
        <v>444</v>
      </c>
    </row>
    <row r="31" spans="3:4">
      <c r="C31" s="15">
        <v>46021</v>
      </c>
      <c r="D31" s="9" t="s">
        <v>444</v>
      </c>
    </row>
    <row r="32" spans="3:4">
      <c r="C32" s="15">
        <v>46022</v>
      </c>
      <c r="D32" s="9" t="s">
        <v>444</v>
      </c>
    </row>
    <row r="33" spans="3:4">
      <c r="C33" s="15">
        <v>46023</v>
      </c>
      <c r="D33" s="9" t="s">
        <v>444</v>
      </c>
    </row>
    <row r="34" spans="3:4">
      <c r="C34" s="15">
        <v>46024</v>
      </c>
      <c r="D34" s="9" t="s">
        <v>444</v>
      </c>
    </row>
    <row r="35" spans="3:4">
      <c r="C35" s="15">
        <v>46025</v>
      </c>
      <c r="D35" s="9" t="s">
        <v>444</v>
      </c>
    </row>
    <row r="36" spans="3:4">
      <c r="C36" s="15">
        <v>46026</v>
      </c>
      <c r="D36" s="9" t="s">
        <v>444</v>
      </c>
    </row>
    <row r="37" spans="3:4">
      <c r="C37" s="15">
        <v>46027</v>
      </c>
      <c r="D37" s="9" t="s">
        <v>444</v>
      </c>
    </row>
    <row r="38" spans="3:4">
      <c r="C38" s="15">
        <v>46028</v>
      </c>
      <c r="D38" s="9" t="s">
        <v>444</v>
      </c>
    </row>
    <row r="39" spans="3:4">
      <c r="C39" s="15">
        <v>46029</v>
      </c>
      <c r="D39" s="9" t="s">
        <v>444</v>
      </c>
    </row>
    <row r="40" spans="3:4">
      <c r="C40" s="15">
        <v>46030</v>
      </c>
      <c r="D40" s="9" t="s">
        <v>444</v>
      </c>
    </row>
    <row r="41" spans="3:4">
      <c r="C41" s="15"/>
      <c r="D41" s="9" t="s">
        <v>444</v>
      </c>
    </row>
    <row r="42" spans="3:4">
      <c r="C42" s="15"/>
      <c r="D42" s="9" t="s">
        <v>444</v>
      </c>
    </row>
    <row r="43" spans="3:4">
      <c r="C43" s="15"/>
      <c r="D43" s="9" t="s">
        <v>444</v>
      </c>
    </row>
    <row r="44" spans="3:4">
      <c r="C44" s="15"/>
      <c r="D44" s="9" t="s">
        <v>444</v>
      </c>
    </row>
    <row r="45" spans="3:4">
      <c r="C45" s="15"/>
      <c r="D45" s="9" t="s">
        <v>444</v>
      </c>
    </row>
    <row r="46" spans="3:4">
      <c r="C46" s="15"/>
      <c r="D46" s="9" t="s">
        <v>444</v>
      </c>
    </row>
    <row r="47" spans="3:4">
      <c r="C47" s="15"/>
      <c r="D47" s="9" t="s">
        <v>444</v>
      </c>
    </row>
    <row r="48" spans="3:4">
      <c r="C48" s="15"/>
      <c r="D48" s="9" t="s">
        <v>444</v>
      </c>
    </row>
    <row r="49" spans="3:4">
      <c r="C49" s="15">
        <v>46102</v>
      </c>
      <c r="D49" s="9" t="s">
        <v>429</v>
      </c>
    </row>
    <row r="50" spans="3:4">
      <c r="C50" s="15">
        <v>46115</v>
      </c>
      <c r="D50" s="9" t="s">
        <v>430</v>
      </c>
    </row>
    <row r="51" spans="3:4">
      <c r="C51" s="15">
        <v>46118</v>
      </c>
      <c r="D51" s="9" t="s">
        <v>432</v>
      </c>
    </row>
    <row r="52" spans="3:4">
      <c r="C52" s="15">
        <v>46139</v>
      </c>
      <c r="D52" s="9" t="s">
        <v>434</v>
      </c>
    </row>
    <row r="53" spans="3:4">
      <c r="C53" s="15">
        <v>46143</v>
      </c>
      <c r="D53" s="9" t="s">
        <v>436</v>
      </c>
    </row>
    <row r="54" spans="3:4">
      <c r="C54" s="15">
        <v>46189</v>
      </c>
      <c r="D54" s="9" t="s">
        <v>437</v>
      </c>
    </row>
    <row r="55" spans="3:4">
      <c r="C55" s="15">
        <v>46243</v>
      </c>
      <c r="D55" s="9" t="s">
        <v>438</v>
      </c>
    </row>
    <row r="56" spans="3:4">
      <c r="C56" s="15">
        <v>46244</v>
      </c>
      <c r="D56" s="9" t="s">
        <v>445</v>
      </c>
    </row>
    <row r="57" spans="3:4">
      <c r="C57" s="15">
        <v>46289</v>
      </c>
      <c r="D57" s="9" t="s">
        <v>439</v>
      </c>
    </row>
    <row r="58" spans="3:4">
      <c r="C58" s="15">
        <v>46372</v>
      </c>
      <c r="D58" s="9" t="s">
        <v>440</v>
      </c>
    </row>
    <row r="59" spans="3:4">
      <c r="C59" s="15">
        <v>46381</v>
      </c>
      <c r="D59" s="9" t="s">
        <v>442</v>
      </c>
    </row>
    <row r="60" spans="3:4" ht="13" thickBot="1">
      <c r="C60" s="16">
        <v>46382</v>
      </c>
      <c r="D60" s="9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2026-02-18T12:05:54Z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