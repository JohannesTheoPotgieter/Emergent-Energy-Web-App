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8" documentId="13_ncr:1_{8DFAE76A-997B-4D69-8F5D-2B7AE148B28B}" xr6:coauthVersionLast="47" xr6:coauthVersionMax="47" xr10:uidLastSave="{2261F251-615C-43A0-A700-482293068C56}"/>
  <bookViews>
    <workbookView xWindow="-28920" yWindow="855" windowWidth="29040" windowHeight="15720" tabRatio="731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/>
  <c r="FI11" i="6"/>
  <c r="EW11" i="6"/>
  <c r="F11" i="6"/>
  <c r="F12" i="6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H12" i="6"/>
  <c r="G14" i="6"/>
  <c r="I12" i="6"/>
  <c r="H14" i="6"/>
  <c r="I14" i="6"/>
  <c r="J12" i="6"/>
  <c r="K12" i="6"/>
  <c r="J14" i="6"/>
  <c r="K14" i="6"/>
  <c r="L12" i="6"/>
  <c r="L14" i="6"/>
  <c r="M12" i="6"/>
  <c r="M14" i="6"/>
  <c r="N12" i="6"/>
  <c r="N14" i="6"/>
  <c r="O12" i="6"/>
  <c r="O14" i="6"/>
  <c r="P12" i="6"/>
  <c r="Q12" i="6"/>
  <c r="P14" i="6"/>
  <c r="Q14" i="6"/>
  <c r="R12" i="6"/>
  <c r="S12" i="6"/>
  <c r="R14" i="6"/>
  <c r="S14" i="6"/>
  <c r="T12" i="6"/>
  <c r="T14" i="6"/>
  <c r="U12" i="6"/>
  <c r="V12" i="6"/>
  <c r="U14" i="6"/>
  <c r="V14" i="6"/>
  <c r="W12" i="6"/>
  <c r="W14" i="6"/>
  <c r="X12" i="6"/>
  <c r="X14" i="6"/>
  <c r="Y12" i="6"/>
  <c r="Z12" i="6"/>
  <c r="Y14" i="6"/>
  <c r="AA12" i="6"/>
  <c r="Z14" i="6"/>
  <c r="AA14" i="6"/>
  <c r="AB12" i="6"/>
  <c r="AC12" i="6"/>
  <c r="AB14" i="6"/>
  <c r="AD12" i="6"/>
  <c r="AC14" i="6"/>
  <c r="AE12" i="6"/>
  <c r="AD14" i="6"/>
  <c r="AF12" i="6"/>
  <c r="AE14" i="6"/>
  <c r="AF14" i="6"/>
  <c r="AG12" i="6"/>
  <c r="AG14" i="6"/>
  <c r="AH12" i="6"/>
  <c r="AI12" i="6"/>
  <c r="AH14" i="6"/>
  <c r="AI14" i="6"/>
  <c r="AJ12" i="6"/>
  <c r="AJ14" i="6"/>
  <c r="AK12" i="6"/>
  <c r="AK14" i="6"/>
  <c r="AL12" i="6"/>
  <c r="AL14" i="6"/>
  <c r="AM12" i="6"/>
  <c r="AM14" i="6"/>
  <c r="AN12" i="6"/>
  <c r="AN14" i="6"/>
  <c r="AO12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U14" i="6"/>
  <c r="AV12" i="6"/>
  <c r="AV14" i="6"/>
  <c r="AW12" i="6"/>
  <c r="AW14" i="6"/>
  <c r="AX12" i="6"/>
  <c r="AY12" i="6"/>
  <c r="AX14" i="6"/>
  <c r="AZ12" i="6"/>
  <c r="AY14" i="6"/>
  <c r="AZ14" i="6"/>
  <c r="BA12" i="6"/>
  <c r="BA14" i="6"/>
  <c r="BB12" i="6"/>
  <c r="BB14" i="6"/>
  <c r="BC12" i="6"/>
  <c r="BC14" i="6"/>
  <c r="BD12" i="6"/>
  <c r="BD14" i="6"/>
  <c r="BE12" i="6"/>
  <c r="BE14" i="6"/>
  <c r="BF12" i="6"/>
  <c r="BG12" i="6"/>
  <c r="BF14" i="6"/>
  <c r="BG14" i="6"/>
  <c r="BH12" i="6"/>
  <c r="BI12" i="6"/>
  <c r="BH14" i="6"/>
  <c r="BI14" i="6"/>
  <c r="BJ12" i="6"/>
  <c r="BK12" i="6"/>
  <c r="BJ14" i="6"/>
  <c r="BK14" i="6"/>
  <c r="BL12" i="6"/>
  <c r="BL14" i="6"/>
  <c r="BM12" i="6"/>
  <c r="BN12" i="6"/>
  <c r="BM14" i="6"/>
  <c r="BN14" i="6"/>
  <c r="BO12" i="6"/>
  <c r="BP12" i="6"/>
  <c r="BO14" i="6"/>
  <c r="BQ12" i="6"/>
  <c r="BP14" i="6"/>
  <c r="BR12" i="6"/>
  <c r="BQ14" i="6"/>
  <c r="BS12" i="6"/>
  <c r="BR14" i="6"/>
  <c r="BS14" i="6"/>
  <c r="BT12" i="6"/>
  <c r="BU12" i="6"/>
  <c r="BT14" i="6"/>
  <c r="BU14" i="6"/>
  <c r="BV12" i="6"/>
  <c r="BW12" i="6"/>
  <c r="BV14" i="6"/>
  <c r="BW14" i="6"/>
  <c r="BX12" i="6"/>
  <c r="BX14" i="6"/>
  <c r="BY12" i="6"/>
  <c r="BY14" i="6"/>
  <c r="BZ12" i="6"/>
  <c r="CA12" i="6"/>
  <c r="BZ14" i="6"/>
  <c r="CA14" i="6"/>
  <c r="CB12" i="6"/>
  <c r="CB14" i="6"/>
  <c r="CC12" i="6"/>
  <c r="CC14" i="6"/>
  <c r="CD12" i="6"/>
  <c r="CE12" i="6"/>
  <c r="CD14" i="6"/>
  <c r="CF12" i="6"/>
  <c r="CE14" i="6"/>
  <c r="CG12" i="6"/>
  <c r="CF14" i="6"/>
  <c r="CG14" i="6"/>
  <c r="CH12" i="6"/>
  <c r="CH14" i="6"/>
  <c r="CI12" i="6"/>
  <c r="CI14" i="6"/>
  <c r="CJ12" i="6"/>
  <c r="CJ14" i="6"/>
  <c r="CK12" i="6"/>
  <c r="CL12" i="6"/>
  <c r="CK14" i="6"/>
  <c r="CM12" i="6"/>
  <c r="CL14" i="6"/>
  <c r="CN12" i="6"/>
  <c r="CM14" i="6"/>
  <c r="CN14" i="6"/>
  <c r="CO12" i="6"/>
  <c r="CO14" i="6"/>
  <c r="CP12" i="6"/>
  <c r="CQ12" i="6"/>
  <c r="CP14" i="6"/>
  <c r="CQ14" i="6"/>
  <c r="CR12" i="6"/>
  <c r="CS12" i="6"/>
  <c r="CR14" i="6"/>
  <c r="CS14" i="6"/>
  <c r="CT12" i="6"/>
  <c r="CU12" i="6"/>
  <c r="CT14" i="6"/>
  <c r="CU14" i="6"/>
  <c r="CV12" i="6"/>
  <c r="CV14" i="6"/>
  <c r="CW12" i="6"/>
  <c r="CW14" i="6"/>
  <c r="CX12" i="6"/>
  <c r="CY12" i="6"/>
  <c r="CX14" i="6"/>
  <c r="CY14" i="6"/>
  <c r="CZ12" i="6"/>
  <c r="DA12" i="6"/>
  <c r="CZ14" i="6"/>
  <c r="DB12" i="6"/>
  <c r="DA14" i="6"/>
  <c r="DC12" i="6"/>
  <c r="DB14" i="6"/>
  <c r="DD12" i="6"/>
  <c r="DC14" i="6"/>
  <c r="DE12" i="6"/>
  <c r="DD14" i="6"/>
  <c r="DE14" i="6"/>
  <c r="DF12" i="6"/>
  <c r="DF14" i="6"/>
  <c r="DG12" i="6"/>
  <c r="DH12" i="6"/>
  <c r="DG14" i="6"/>
  <c r="DI12" i="6"/>
  <c r="DH14" i="6"/>
  <c r="DJ12" i="6"/>
  <c r="DI14" i="6"/>
  <c r="DK12" i="6"/>
  <c r="DJ14" i="6"/>
  <c r="DK14" i="6"/>
  <c r="DL12" i="6"/>
  <c r="DM12" i="6"/>
  <c r="DL14" i="6"/>
  <c r="DN12" i="6"/>
  <c r="DM14" i="6"/>
  <c r="DN14" i="6"/>
  <c r="DO12" i="6"/>
  <c r="DP12" i="6"/>
  <c r="DO14" i="6"/>
  <c r="DP14" i="6"/>
  <c r="DQ12" i="6"/>
  <c r="DQ14" i="6"/>
  <c r="DR12" i="6"/>
  <c r="DS12" i="6"/>
  <c r="DR14" i="6"/>
  <c r="DS14" i="6"/>
  <c r="DT12" i="6"/>
  <c r="DU12" i="6"/>
  <c r="DT14" i="6"/>
  <c r="DV12" i="6"/>
  <c r="DU14" i="6"/>
  <c r="DW12" i="6"/>
  <c r="DV14" i="6"/>
  <c r="DX12" i="6"/>
  <c r="DW14" i="6"/>
  <c r="DY12" i="6"/>
  <c r="DX14" i="6"/>
  <c r="DY14" i="6"/>
  <c r="DZ12" i="6"/>
  <c r="DZ14" i="6"/>
  <c r="EA12" i="6"/>
  <c r="EA14" i="6"/>
  <c r="EB12" i="6"/>
  <c r="EC12" i="6"/>
  <c r="EB14" i="6"/>
  <c r="ED12" i="6"/>
  <c r="EC14" i="6"/>
  <c r="ED14" i="6"/>
  <c r="EE12" i="6"/>
  <c r="EE14" i="6"/>
  <c r="EF12" i="6"/>
  <c r="EF14" i="6"/>
  <c r="EG12" i="6"/>
  <c r="EG14" i="6"/>
  <c r="EH12" i="6"/>
  <c r="EH14" i="6"/>
  <c r="N39" i="2" l="1"/>
  <c r="N11" i="2"/>
  <c r="M21" i="2"/>
  <c r="N46" i="2"/>
  <c r="N21" i="2"/>
  <c r="N35" i="2"/>
  <c r="M9" i="2"/>
  <c r="W11" i="2"/>
  <c r="N9" i="2"/>
  <c r="EI11" i="6"/>
  <c r="D11" i="6" l="1"/>
  <c r="EI12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<sst xmlns="http://schemas.openxmlformats.org/spreadsheetml/2006/main" count="826" uniqueCount="484">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</sst>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0" borderId="0" xfId="3" applyFont="1" applyProtection="1">
      <protection locked="0"/>
    </xf>
    <xf numFmtId="167" fontId="6" fillId="7" borderId="0" xfId="3" applyFont="1" applyFill="1" applyProtection="1">
      <protection locked="0"/>
    </xf>
    <xf numFmtId="167" fontId="13" fillId="7" borderId="0" xfId="3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5" fontId="7" fillId="6" borderId="0" xfId="0" applyNumberFormat="1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7" fontId="6" fillId="0" borderId="0" xfId="0" applyNumberFormat="1" applyFont="1" applyAlignment="1">
      <alignment horizontal="center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46080</c:v>
                </c:pt>
                <c:pt idx="1">
                  <c:v>46080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714478.45000000007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312657.54999999993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5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85" t="s">
        <v>58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5" t="s">
        <v>69</v>
      </c>
      <c r="C16" s="786"/>
      <c r="D16" s="786"/>
      <c r="E16" s="786"/>
      <c r="F16" s="78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2.8164062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26953125" style="112" customWidth="1"/>
    <col min="14" max="14" width="12.26953125" style="667" customWidth="1"/>
    <col min="15" max="15" width="39.453125" style="112" bestFit="1" customWidth="1"/>
    <col min="16" max="16" width="1.453125" style="112" customWidth="1"/>
    <col min="17" max="17" width="5.1796875" style="3" customWidth="1"/>
    <col min="18" max="18" width="8.453125" style="112"/>
    <col min="19" max="19" width="18.1796875" style="112" bestFit="1" customWidth="1"/>
    <col min="20" max="20" width="11.453125" style="112" bestFit="1" customWidth="1"/>
    <col min="21" max="21" width="14.1796875" style="112" bestFit="1" customWidth="1"/>
    <col min="22" max="22" width="11.453125" style="112" bestFit="1" customWidth="1"/>
    <col min="23" max="23" width="21.81640625" style="112" bestFit="1" customWidth="1"/>
    <col min="24" max="25" width="11" style="112" bestFit="1" customWidth="1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46080</v>
      </c>
      <c r="O1" s="404">
        <f ca="1">TODAY()</f>
        <v>46080</v>
      </c>
      <c r="Q1" s="3"/>
    </row>
    <row r="2" spans="2:28">
      <c r="B2" s="177"/>
      <c r="C2" s="178" t="s">
        <v>0</v>
      </c>
      <c r="D2" s="179"/>
      <c r="E2" s="788" t="s">
        <v>73</v>
      </c>
      <c r="F2" s="789"/>
      <c r="G2" s="789"/>
      <c r="H2" s="790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91" t="s">
        <v>76</v>
      </c>
      <c r="F4" s="792"/>
      <c r="G4" s="792"/>
      <c r="H4" s="793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91" t="s">
        <v>78</v>
      </c>
      <c r="F5" s="792"/>
      <c r="G5" s="792"/>
      <c r="H5" s="793"/>
      <c r="J5" s="113"/>
      <c r="M5" s="682"/>
      <c r="N5" s="666"/>
      <c r="Q5" s="3"/>
    </row>
    <row r="6" spans="2:28">
      <c r="B6" s="185"/>
      <c r="C6" s="186" t="s">
        <v>79</v>
      </c>
      <c r="D6" s="179"/>
      <c r="E6" s="794">
        <v>1027136</v>
      </c>
      <c r="F6" s="795"/>
      <c r="G6" s="795"/>
      <c r="H6" s="796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800" t="s">
        <v>82</v>
      </c>
      <c r="C8" s="801" t="s">
        <v>83</v>
      </c>
      <c r="D8" s="216"/>
      <c r="E8" s="799" t="s">
        <v>84</v>
      </c>
      <c r="F8" s="238" t="s">
        <v>85</v>
      </c>
      <c r="G8" s="799" t="s">
        <v>86</v>
      </c>
      <c r="H8" s="239"/>
      <c r="I8" s="799" t="s">
        <v>87</v>
      </c>
      <c r="J8" s="238" t="s">
        <v>85</v>
      </c>
      <c r="K8" s="799" t="s">
        <v>88</v>
      </c>
      <c r="M8" s="411" t="s">
        <v>60</v>
      </c>
      <c r="N8" s="683" t="s">
        <v>89</v>
      </c>
      <c r="O8" s="797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800"/>
      <c r="C9" s="801"/>
      <c r="D9" s="216"/>
      <c r="E9" s="799"/>
      <c r="F9" s="126">
        <f>G41-E19</f>
        <v>26</v>
      </c>
      <c r="G9" s="799"/>
      <c r="H9" s="239"/>
      <c r="I9" s="799"/>
      <c r="J9" s="127">
        <f>K41-I19</f>
        <v>34</v>
      </c>
      <c r="K9" s="799"/>
      <c r="M9" s="363">
        <f ca="1">AVERAGE(M11,M18,M21,M28,M35,M39,M46,M43)</f>
        <v>1</v>
      </c>
      <c r="N9" s="363">
        <f ca="1">AVERAGE(N11,N18,N21,N28,N35,N39,N46,N43)</f>
        <v>1</v>
      </c>
      <c r="O9" s="798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46080</v>
      </c>
      <c r="Y10" s="664">
        <f ca="1">X10</f>
        <v>46080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0" zoomScaleNormal="80" workbookViewId="0">
      <selection activeCell="N36" sqref="N36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7265625" style="129" customWidth="1"/>
    <col min="10" max="10" width="3.453125" style="93" customWidth="1"/>
    <col min="11" max="11" width="1.7265625" style="176" customWidth="1"/>
    <col min="12" max="12" width="29.453125" style="93" customWidth="1"/>
    <col min="13" max="13" width="1.7265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1796875" style="129" customWidth="1"/>
    <col min="18" max="18" width="112.1796875" style="129" bestFit="1" customWidth="1"/>
    <col min="19" max="19" width="4.453125" style="129" customWidth="1"/>
    <col min="20" max="20" width="20.54296875" style="129" bestFit="1" customWidth="1"/>
    <col min="21" max="21" width="16.81640625" style="93" bestFit="1" customWidth="1"/>
    <col min="22" max="22" width="21.453125" style="93" bestFit="1" customWidth="1"/>
    <col min="23" max="23" width="17.7265625" style="93" bestFit="1" customWidth="1"/>
    <col min="24" max="24" width="20.54296875" style="93" bestFit="1" customWidth="1"/>
    <col min="25" max="25" width="16.816406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2695312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3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">
      <c r="B13" s="353">
        <v>1</v>
      </c>
      <c r="C13" s="804" t="s">
        <v>170</v>
      </c>
      <c r="D13" s="805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5">
      <c r="B14" s="155">
        <v>2</v>
      </c>
      <c r="C14" s="804" t="s">
        <v>172</v>
      </c>
      <c r="D14" s="805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5">
      <c r="B15" s="353">
        <v>3</v>
      </c>
      <c r="C15" s="804" t="s">
        <v>174</v>
      </c>
      <c r="D15" s="805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5">
      <c r="B16" s="353">
        <v>4</v>
      </c>
      <c r="C16" s="802" t="s">
        <v>135</v>
      </c>
      <c r="D16" s="803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5">
      <c r="B17" s="353">
        <v>5</v>
      </c>
      <c r="C17" s="802" t="s">
        <v>54</v>
      </c>
      <c r="D17" s="803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5">
      <c r="B18" s="353">
        <v>6</v>
      </c>
      <c r="C18" s="802" t="s">
        <v>177</v>
      </c>
      <c r="D18" s="803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804" t="s">
        <v>177</v>
      </c>
      <c r="D19" s="805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5">
      <c r="C24" s="148" t="s">
        <v>180</v>
      </c>
      <c r="D24" s="149"/>
      <c r="F24" s="150"/>
    </row>
    <row r="25" spans="2:19" s="93" customFormat="1" ht="12.5">
      <c r="C25" s="148" t="s">
        <v>181</v>
      </c>
      <c r="D25" s="149"/>
    </row>
    <row r="26" spans="2:19" s="93" customFormat="1" ht="12.5">
      <c r="C26" s="151" t="s">
        <v>182</v>
      </c>
      <c r="D26" s="152"/>
    </row>
    <row r="27" spans="2:19" s="93" customFormat="1" ht="12.5">
      <c r="C27" s="153" t="s">
        <v>183</v>
      </c>
      <c r="D27" s="149"/>
    </row>
    <row r="28" spans="2:19" s="93" customFormat="1" ht="12.5">
      <c r="B28" s="117"/>
      <c r="C28" s="153" t="s">
        <v>184</v>
      </c>
      <c r="D28" s="149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269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806"/>
      <c r="C4" s="806"/>
      <c r="D4" s="806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5" thickBot="1">
      <c r="A5" s="216"/>
      <c r="B5" s="807" t="s">
        <v>212</v>
      </c>
      <c r="C5" s="807"/>
      <c r="D5" s="807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K1" zoomScale="82" zoomScaleNormal="80" workbookViewId="0">
      <pane ySplit="4" topLeftCell="A74" activePane="bottomLeft" state="frozen"/>
      <selection activeCell="X33" sqref="X33"/>
      <selection pane="bottomLeft" activeCell="P172" sqref="P17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2" hidden="1" customWidth="1"/>
    <col min="9" max="9" width="22.453125" style="351" hidden="1" customWidth="1"/>
    <col min="10" max="10" width="22.453125" style="351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8.81640625" style="166" bestFit="1" customWidth="1"/>
    <col min="19" max="19" width="25.453125" style="112" customWidth="1"/>
    <col min="20" max="21" width="17.453125" style="542" customWidth="1"/>
    <col min="22" max="22" width="17.453125" style="112" customWidth="1"/>
    <col min="23" max="23" width="17.453125" style="542" customWidth="1"/>
    <col min="24" max="24" width="21.1796875" style="112" customWidth="1"/>
    <col min="25" max="25" width="34.453125" style="112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74" t="s">
        <v>219</v>
      </c>
      <c r="C2" s="775"/>
      <c r="D2" s="775"/>
      <c r="E2" s="775"/>
      <c r="F2" s="775"/>
      <c r="G2" s="775"/>
      <c r="H2" s="681"/>
      <c r="I2" s="259">
        <f>SUM(I6:I160)</f>
        <v>817052.62</v>
      </c>
      <c r="J2" s="259">
        <f>SUM(J6:J160)</f>
        <v>1027135</v>
      </c>
      <c r="L2" s="776" t="s">
        <v>220</v>
      </c>
      <c r="M2" s="777"/>
      <c r="N2" s="777"/>
      <c r="O2" s="777"/>
      <c r="P2" s="777"/>
      <c r="Q2" s="777"/>
      <c r="R2" s="778" t="s">
        <v>221</v>
      </c>
      <c r="S2" s="779"/>
      <c r="T2" s="779"/>
      <c r="U2" s="779"/>
      <c r="V2" s="779"/>
      <c r="W2" s="780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5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24">
        <f>SUM(G6:G11)</f>
        <v>160883.16</v>
      </c>
      <c r="J6" s="724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36">
        <f>J6-SUM(U6:U11)</f>
        <v>0</v>
      </c>
      <c r="W6" s="697">
        <v>45954</v>
      </c>
      <c r="X6" s="727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25"/>
      <c r="J7" s="725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37"/>
      <c r="W7" s="533">
        <v>45954</v>
      </c>
      <c r="X7" s="728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25"/>
      <c r="J8" s="725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37"/>
      <c r="W8" s="565"/>
      <c r="X8" s="728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25"/>
      <c r="J9" s="725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37"/>
      <c r="W9" s="566"/>
      <c r="X9" s="728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25"/>
      <c r="J10" s="725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37"/>
      <c r="W10" s="566"/>
      <c r="X10" s="728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26"/>
      <c r="J11" s="726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38"/>
      <c r="W11" s="567"/>
      <c r="X11" s="729"/>
      <c r="Y11" s="581" t="s">
        <v>243</v>
      </c>
      <c r="Z11" s="582" t="s">
        <v>244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44">
        <f>SUM(G13:G19)</f>
        <v>74130</v>
      </c>
      <c r="J13" s="744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65">
        <f>J13-SUM(U13:U19)</f>
        <v>0</v>
      </c>
      <c r="W13" s="698">
        <f>W6</f>
        <v>45954</v>
      </c>
      <c r="X13" s="747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45"/>
      <c r="J14" s="745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66"/>
      <c r="W14" s="628"/>
      <c r="X14" s="748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45"/>
      <c r="J15" s="745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66"/>
      <c r="W15" s="570"/>
      <c r="X15" s="748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45"/>
      <c r="J16" s="745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66"/>
      <c r="W16" s="570"/>
      <c r="X16" s="748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45"/>
      <c r="J17" s="745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66"/>
      <c r="W17" s="570"/>
      <c r="X17" s="748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45"/>
      <c r="J18" s="745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66"/>
      <c r="W18" s="570"/>
      <c r="X18" s="748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46"/>
      <c r="J19" s="746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67"/>
      <c r="W19" s="571"/>
      <c r="X19" s="749"/>
      <c r="Y19" s="583" t="s">
        <v>257</v>
      </c>
      <c r="Z19" s="584">
        <v>0</v>
      </c>
    </row>
    <row r="20" spans="1:27" ht="14.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24">
        <f>SUM(G21:G26)</f>
        <v>97648.8</v>
      </c>
      <c r="J21" s="724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36">
        <f>J21-SUM(U21:U26)</f>
        <v>0</v>
      </c>
      <c r="W21" s="701">
        <f>T21+30</f>
        <v>45960</v>
      </c>
      <c r="X21" s="727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25"/>
      <c r="J22" s="725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37"/>
      <c r="W22" s="533">
        <v>45911</v>
      </c>
      <c r="X22" s="728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25"/>
      <c r="J23" s="725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37"/>
      <c r="W23" s="565"/>
      <c r="X23" s="728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25"/>
      <c r="J24" s="725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37"/>
      <c r="W24" s="566"/>
      <c r="X24" s="728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25"/>
      <c r="J25" s="725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37"/>
      <c r="W25" s="566"/>
      <c r="X25" s="728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26"/>
      <c r="J26" s="726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38"/>
      <c r="W26" s="567"/>
      <c r="X26" s="729"/>
      <c r="Y26" s="589" t="s">
        <v>270</v>
      </c>
      <c r="Z26" s="590" t="s">
        <v>271</v>
      </c>
    </row>
    <row r="27" spans="1:27" ht="14.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44">
        <f>SUM(G28:G42)</f>
        <v>61800.6</v>
      </c>
      <c r="J28" s="744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65">
        <f>J28-SUM(U28:U42)</f>
        <v>0</v>
      </c>
      <c r="W28" s="687">
        <v>45930</v>
      </c>
      <c r="X28" s="747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45"/>
      <c r="J29" s="745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66"/>
      <c r="W29" s="570"/>
      <c r="X29" s="748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45"/>
      <c r="J30" s="745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66"/>
      <c r="W30" s="570"/>
      <c r="X30" s="748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45"/>
      <c r="J31" s="745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66"/>
      <c r="W31" s="570"/>
      <c r="X31" s="748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45"/>
      <c r="J32" s="745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68" t="s">
        <v>279</v>
      </c>
      <c r="S32" s="606" t="s">
        <v>280</v>
      </c>
      <c r="T32" s="658">
        <v>45900</v>
      </c>
      <c r="U32" s="675">
        <v>3660.3167814122171</v>
      </c>
      <c r="V32" s="766"/>
      <c r="W32" s="535">
        <f>W91</f>
        <v>45904</v>
      </c>
      <c r="X32" s="748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45"/>
      <c r="J33" s="745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69"/>
      <c r="S33" s="606" t="s">
        <v>282</v>
      </c>
      <c r="T33" s="658">
        <v>45900</v>
      </c>
      <c r="U33" s="675">
        <v>5490.4751721183256</v>
      </c>
      <c r="V33" s="766"/>
      <c r="W33" s="535">
        <f t="shared" ref="W33:W37" si="5">W92</f>
        <v>45911</v>
      </c>
      <c r="X33" s="748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45"/>
      <c r="J34" s="745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69"/>
      <c r="S34" s="606" t="s">
        <v>285</v>
      </c>
      <c r="T34" s="658">
        <v>45900</v>
      </c>
      <c r="U34" s="675">
        <v>7320.6335628244342</v>
      </c>
      <c r="V34" s="766"/>
      <c r="W34" s="535">
        <f t="shared" si="5"/>
        <v>45946</v>
      </c>
      <c r="X34" s="748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45"/>
      <c r="J35" s="745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69"/>
      <c r="S35" s="606" t="s">
        <v>288</v>
      </c>
      <c r="T35" s="658">
        <v>45900</v>
      </c>
      <c r="U35" s="675">
        <v>9150.7919535305427</v>
      </c>
      <c r="V35" s="766"/>
      <c r="W35" s="535">
        <f t="shared" si="5"/>
        <v>45946</v>
      </c>
      <c r="X35" s="748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45"/>
      <c r="J36" s="745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69"/>
      <c r="S36" s="606" t="s">
        <v>290</v>
      </c>
      <c r="T36" s="658">
        <v>45900</v>
      </c>
      <c r="U36" s="675">
        <v>3660.3167814122171</v>
      </c>
      <c r="V36" s="766"/>
      <c r="W36" s="708">
        <f t="shared" si="5"/>
        <v>46079</v>
      </c>
      <c r="X36" s="748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45"/>
      <c r="J37" s="745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69"/>
      <c r="S37" s="606" t="s">
        <v>292</v>
      </c>
      <c r="T37" s="658">
        <v>45900</v>
      </c>
      <c r="U37" s="675">
        <v>3660.3167814122171</v>
      </c>
      <c r="V37" s="766"/>
      <c r="W37" s="708">
        <f t="shared" si="5"/>
        <v>46079</v>
      </c>
      <c r="X37" s="748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45"/>
      <c r="J38" s="745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69"/>
      <c r="S38" s="606" t="s">
        <v>294</v>
      </c>
      <c r="T38" s="658">
        <v>45900</v>
      </c>
      <c r="U38" s="675">
        <v>1830.1583907061085</v>
      </c>
      <c r="V38" s="766"/>
      <c r="W38" s="708">
        <v>46037</v>
      </c>
      <c r="X38" s="748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45"/>
      <c r="J39" s="745"/>
      <c r="K39" s="302"/>
      <c r="L39" s="299">
        <v>4</v>
      </c>
      <c r="M39" s="426" t="s">
        <v>273</v>
      </c>
      <c r="N39" s="408" t="s">
        <v>295</v>
      </c>
      <c r="O39" s="723">
        <f>Q39+Q66+Q98+Q114</f>
        <v>12224.46</v>
      </c>
      <c r="P39" s="559">
        <v>0.05</v>
      </c>
      <c r="Q39" s="301">
        <f t="shared" si="4"/>
        <v>2318.35</v>
      </c>
      <c r="R39" s="770"/>
      <c r="S39" s="606" t="s">
        <v>296</v>
      </c>
      <c r="T39" s="658">
        <v>45900</v>
      </c>
      <c r="U39" s="675">
        <v>1830.1583907061085</v>
      </c>
      <c r="V39" s="766"/>
      <c r="W39" s="708">
        <v>46037</v>
      </c>
      <c r="X39" s="748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45"/>
      <c r="J40" s="745"/>
      <c r="K40" s="302"/>
      <c r="L40" s="299">
        <v>4</v>
      </c>
      <c r="M40" s="426" t="s">
        <v>273</v>
      </c>
      <c r="N40" s="408"/>
      <c r="O40" s="723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66"/>
      <c r="W40" s="570"/>
      <c r="X40" s="748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45"/>
      <c r="J41" s="745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66"/>
      <c r="W41" s="570"/>
      <c r="X41" s="748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46"/>
      <c r="J42" s="746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67"/>
      <c r="W42" s="571"/>
      <c r="X42" s="749"/>
      <c r="Y42" s="482"/>
    </row>
    <row r="43" spans="1:26" ht="14.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24">
        <f>SUM(G44:G51)</f>
        <v>166000</v>
      </c>
      <c r="J44" s="724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36">
        <f>J44-SUM(U44:U51)</f>
        <v>12.165099481266225</v>
      </c>
      <c r="W44" s="699">
        <f>W13</f>
        <v>45954</v>
      </c>
      <c r="X44" s="727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25"/>
      <c r="J45" s="725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37"/>
      <c r="W45" s="700">
        <f>T45+30</f>
        <v>45930</v>
      </c>
      <c r="X45" s="728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25"/>
      <c r="J46" s="725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37"/>
      <c r="W46" s="533">
        <v>45900</v>
      </c>
      <c r="X46" s="728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25"/>
      <c r="J47" s="725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37"/>
      <c r="W47" s="700">
        <v>45961</v>
      </c>
      <c r="X47" s="728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25"/>
      <c r="J48" s="725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37"/>
      <c r="W48" s="702">
        <v>45991</v>
      </c>
      <c r="X48" s="728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25"/>
      <c r="J49" s="725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37"/>
      <c r="W49" s="702">
        <v>45939</v>
      </c>
      <c r="X49" s="728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25"/>
      <c r="J50" s="725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37"/>
      <c r="W50" s="702">
        <f>T50</f>
        <v>45961</v>
      </c>
      <c r="X50" s="728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26"/>
      <c r="J51" s="726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38"/>
      <c r="W51" s="712">
        <v>46029</v>
      </c>
      <c r="X51" s="729"/>
      <c r="Y51" s="482"/>
    </row>
    <row r="52" spans="1:25" ht="14.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44">
        <f>SUM(G53:G69)</f>
        <v>135950.84</v>
      </c>
      <c r="J53" s="744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65">
        <f>J53-SUM(U53:U69)</f>
        <v>0</v>
      </c>
      <c r="W53" s="569"/>
      <c r="X53" s="747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45"/>
      <c r="J54" s="745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66"/>
      <c r="W54" s="570"/>
      <c r="X54" s="748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45"/>
      <c r="J55" s="745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66"/>
      <c r="W55" s="570"/>
      <c r="X55" s="748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45"/>
      <c r="J56" s="745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66"/>
      <c r="W56" s="570"/>
      <c r="X56" s="748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45"/>
      <c r="J57" s="745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66"/>
      <c r="W57" s="570"/>
      <c r="X57" s="748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45"/>
      <c r="J58" s="745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66"/>
      <c r="W58" s="570"/>
      <c r="X58" s="748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45"/>
      <c r="J59" s="745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68" t="s">
        <v>279</v>
      </c>
      <c r="S59" s="606" t="s">
        <v>280</v>
      </c>
      <c r="T59" s="658">
        <v>45900</v>
      </c>
      <c r="U59" s="675">
        <v>17429.597251114483</v>
      </c>
      <c r="V59" s="766"/>
      <c r="W59" s="535">
        <f>W91</f>
        <v>45904</v>
      </c>
      <c r="X59" s="748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45"/>
      <c r="J60" s="745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69"/>
      <c r="S60" s="606" t="s">
        <v>282</v>
      </c>
      <c r="T60" s="658">
        <v>45900</v>
      </c>
      <c r="U60" s="675">
        <v>26144.402748885517</v>
      </c>
      <c r="V60" s="766"/>
      <c r="W60" s="535">
        <f t="shared" ref="W60:W64" si="8">W92</f>
        <v>45911</v>
      </c>
      <c r="X60" s="748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45"/>
      <c r="J61" s="745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69"/>
      <c r="S61" s="606" t="s">
        <v>285</v>
      </c>
      <c r="T61" s="658">
        <v>45900</v>
      </c>
      <c r="U61" s="675">
        <v>34859.194502228966</v>
      </c>
      <c r="V61" s="766"/>
      <c r="W61" s="535">
        <f t="shared" si="8"/>
        <v>45946</v>
      </c>
      <c r="X61" s="748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45"/>
      <c r="J62" s="745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69"/>
      <c r="S62" s="606" t="s">
        <v>288</v>
      </c>
      <c r="T62" s="658">
        <v>45900</v>
      </c>
      <c r="U62" s="675">
        <v>43574</v>
      </c>
      <c r="V62" s="766"/>
      <c r="W62" s="535">
        <f t="shared" si="8"/>
        <v>45946</v>
      </c>
      <c r="X62" s="748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45"/>
      <c r="J63" s="745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69"/>
      <c r="S63" s="606" t="s">
        <v>290</v>
      </c>
      <c r="T63" s="658">
        <v>45900</v>
      </c>
      <c r="U63" s="675">
        <v>17429.597251114483</v>
      </c>
      <c r="V63" s="766"/>
      <c r="W63" s="708">
        <f t="shared" si="8"/>
        <v>46079</v>
      </c>
      <c r="X63" s="748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45"/>
      <c r="J64" s="745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69"/>
      <c r="S64" s="610" t="s">
        <v>292</v>
      </c>
      <c r="T64" s="658">
        <v>45900</v>
      </c>
      <c r="U64" s="677">
        <v>17429.597251114483</v>
      </c>
      <c r="V64" s="766"/>
      <c r="W64" s="708">
        <f t="shared" si="8"/>
        <v>46079</v>
      </c>
      <c r="X64" s="748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45"/>
      <c r="J65" s="745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69"/>
      <c r="S65" s="610" t="s">
        <v>294</v>
      </c>
      <c r="T65" s="658">
        <v>45900</v>
      </c>
      <c r="U65" s="677">
        <v>8714.8054977710326</v>
      </c>
      <c r="V65" s="766"/>
      <c r="W65" s="708">
        <v>46037</v>
      </c>
      <c r="X65" s="748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45"/>
      <c r="J66" s="745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70"/>
      <c r="S66" s="610" t="s">
        <v>296</v>
      </c>
      <c r="T66" s="658">
        <v>45900</v>
      </c>
      <c r="U66" s="677">
        <v>8714.8054977710326</v>
      </c>
      <c r="V66" s="766"/>
      <c r="W66" s="708">
        <v>46037</v>
      </c>
      <c r="X66" s="748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45"/>
      <c r="J67" s="745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66"/>
      <c r="W67" s="719"/>
      <c r="X67" s="748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45"/>
      <c r="J68" s="745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66"/>
      <c r="W68" s="573"/>
      <c r="X68" s="748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46"/>
      <c r="J69" s="746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67"/>
      <c r="W69" s="571"/>
      <c r="X69" s="749"/>
      <c r="Y69" s="482"/>
    </row>
    <row r="70" spans="1:25" ht="14.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24">
        <f>SUM(G71:G78)</f>
        <v>0</v>
      </c>
      <c r="J71" s="724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71">
        <f>J71-SUM(U71:U78)</f>
        <v>0</v>
      </c>
      <c r="W71" s="575"/>
      <c r="X71" s="727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25"/>
      <c r="J72" s="725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72"/>
      <c r="W72" s="566"/>
      <c r="X72" s="728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25"/>
      <c r="J73" s="725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72"/>
      <c r="W73" s="566"/>
      <c r="X73" s="728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25"/>
      <c r="J74" s="725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72"/>
      <c r="W74" s="566"/>
      <c r="X74" s="728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25"/>
      <c r="J75" s="725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72"/>
      <c r="W75" s="566"/>
      <c r="X75" s="728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25"/>
      <c r="J76" s="725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72"/>
      <c r="W76" s="566"/>
      <c r="X76" s="728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25"/>
      <c r="J77" s="725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72"/>
      <c r="W77" s="566"/>
      <c r="X77" s="728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26"/>
      <c r="J78" s="726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73"/>
      <c r="W78" s="567"/>
      <c r="X78" s="729"/>
      <c r="Y78" s="482"/>
    </row>
    <row r="79" spans="1:25" ht="14.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44">
        <f>SUM(G80:G88)</f>
        <v>0</v>
      </c>
      <c r="J80" s="744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56">
        <f>J80-SUM(U80:U88)</f>
        <v>0</v>
      </c>
      <c r="W80" s="569"/>
      <c r="X80" s="747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45"/>
      <c r="J81" s="745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57"/>
      <c r="W81" s="570"/>
      <c r="X81" s="748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45"/>
      <c r="J82" s="745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57"/>
      <c r="W82" s="570"/>
      <c r="X82" s="748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45"/>
      <c r="J83" s="745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57"/>
      <c r="W83" s="570"/>
      <c r="X83" s="748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45"/>
      <c r="J84" s="745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57"/>
      <c r="W84" s="570"/>
      <c r="X84" s="748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45"/>
      <c r="J85" s="745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57"/>
      <c r="W85" s="570"/>
      <c r="X85" s="748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45"/>
      <c r="J86" s="745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57"/>
      <c r="W86" s="570"/>
      <c r="X86" s="748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45"/>
      <c r="J87" s="745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57"/>
      <c r="W87" s="573"/>
      <c r="X87" s="748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46"/>
      <c r="J88" s="746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58"/>
      <c r="W88" s="571"/>
      <c r="X88" s="749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50">
        <f>SUM(G90:G101)</f>
        <v>54230</v>
      </c>
      <c r="J90" s="724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36">
        <f>J90-SUM(U90:U101)</f>
        <v>0</v>
      </c>
      <c r="W90" s="572"/>
      <c r="X90" s="753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51"/>
      <c r="J91" s="725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62" t="s">
        <v>279</v>
      </c>
      <c r="S91" s="601" t="s">
        <v>280</v>
      </c>
      <c r="T91" s="660">
        <v>45900</v>
      </c>
      <c r="U91" s="674">
        <v>6025.6</v>
      </c>
      <c r="V91" s="737"/>
      <c r="W91" s="533">
        <v>45904</v>
      </c>
      <c r="X91" s="754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51"/>
      <c r="J92" s="725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63"/>
      <c r="S92" s="602" t="s">
        <v>282</v>
      </c>
      <c r="T92" s="660">
        <v>45900</v>
      </c>
      <c r="U92" s="674">
        <v>9038.4</v>
      </c>
      <c r="V92" s="737"/>
      <c r="W92" s="534">
        <v>45911</v>
      </c>
      <c r="X92" s="754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51"/>
      <c r="J93" s="725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63"/>
      <c r="S93" s="602" t="s">
        <v>329</v>
      </c>
      <c r="T93" s="680">
        <v>45961</v>
      </c>
      <c r="U93" s="686">
        <v>12051.2</v>
      </c>
      <c r="V93" s="737"/>
      <c r="W93" s="534">
        <v>45946</v>
      </c>
      <c r="X93" s="754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51"/>
      <c r="J94" s="725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63"/>
      <c r="S94" s="602" t="s">
        <v>329</v>
      </c>
      <c r="T94" s="680">
        <v>45961</v>
      </c>
      <c r="U94" s="686">
        <v>15064</v>
      </c>
      <c r="V94" s="737"/>
      <c r="W94" s="534">
        <v>45946</v>
      </c>
      <c r="X94" s="75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51"/>
      <c r="J95" s="725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63"/>
      <c r="S95" s="602" t="s">
        <v>329</v>
      </c>
      <c r="T95" s="680">
        <v>45961</v>
      </c>
      <c r="U95" s="686">
        <v>6025.6</v>
      </c>
      <c r="V95" s="737"/>
      <c r="W95" s="566">
        <v>46079</v>
      </c>
      <c r="X95" s="75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51"/>
      <c r="J96" s="725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63"/>
      <c r="S96" s="602" t="s">
        <v>329</v>
      </c>
      <c r="T96" s="680">
        <v>45961</v>
      </c>
      <c r="U96" s="686">
        <v>6025.6</v>
      </c>
      <c r="V96" s="737"/>
      <c r="W96" s="566">
        <v>46079</v>
      </c>
      <c r="X96" s="75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51"/>
      <c r="J97" s="725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63"/>
      <c r="S97" s="602" t="s">
        <v>329</v>
      </c>
      <c r="T97" s="680">
        <v>45961</v>
      </c>
      <c r="U97" s="686">
        <v>3012.8</v>
      </c>
      <c r="V97" s="737"/>
      <c r="W97" s="566">
        <v>46079</v>
      </c>
      <c r="X97" s="75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51"/>
      <c r="J98" s="725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64"/>
      <c r="S98" s="602" t="s">
        <v>329</v>
      </c>
      <c r="T98" s="680">
        <v>45961</v>
      </c>
      <c r="U98" s="686">
        <v>3012.8</v>
      </c>
      <c r="V98" s="737"/>
      <c r="W98" s="566">
        <v>46079</v>
      </c>
      <c r="X98" s="75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51"/>
      <c r="J99" s="725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37"/>
      <c r="W99" s="566"/>
      <c r="X99" s="75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51"/>
      <c r="J100" s="725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37"/>
      <c r="W100" s="566"/>
      <c r="X100" s="754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52"/>
      <c r="J101" s="726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38"/>
      <c r="W101" s="567"/>
      <c r="X101" s="755"/>
      <c r="Y101" s="482"/>
    </row>
    <row r="102" spans="1:25" ht="14.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30">
        <f>SUM(G103:G117)</f>
        <v>26112.27</v>
      </c>
      <c r="J103" s="730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39">
        <f>J103-SUM(U103:U117)</f>
        <v>0</v>
      </c>
      <c r="W103" s="576"/>
      <c r="X103" s="733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31"/>
      <c r="J104" s="731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40"/>
      <c r="W104" s="537">
        <v>45898</v>
      </c>
      <c r="X104" s="734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31"/>
      <c r="J105" s="731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40"/>
      <c r="W105" s="577"/>
      <c r="X105" s="734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31"/>
      <c r="J106" s="731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40"/>
      <c r="W106" s="577"/>
      <c r="X106" s="734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31"/>
      <c r="J107" s="731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59" t="s">
        <v>279</v>
      </c>
      <c r="S107" s="615" t="s">
        <v>280</v>
      </c>
      <c r="T107" s="659">
        <v>45900</v>
      </c>
      <c r="U107" s="679">
        <v>1000.6783168544493</v>
      </c>
      <c r="V107" s="740"/>
      <c r="W107" s="538">
        <f>W91</f>
        <v>45904</v>
      </c>
      <c r="X107" s="734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31"/>
      <c r="J108" s="731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60"/>
      <c r="S108" s="619" t="s">
        <v>282</v>
      </c>
      <c r="T108" s="659">
        <v>45900</v>
      </c>
      <c r="U108" s="679">
        <v>1501.017475281674</v>
      </c>
      <c r="V108" s="740"/>
      <c r="W108" s="538">
        <f t="shared" ref="W108:W114" si="13">W92</f>
        <v>45911</v>
      </c>
      <c r="X108" s="734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31"/>
      <c r="J109" s="731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60"/>
      <c r="S109" s="615" t="s">
        <v>285</v>
      </c>
      <c r="T109" s="659">
        <v>45900</v>
      </c>
      <c r="U109" s="679">
        <v>2001.3566337088987</v>
      </c>
      <c r="V109" s="740"/>
      <c r="W109" s="538">
        <f t="shared" si="13"/>
        <v>45946</v>
      </c>
      <c r="X109" s="734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31"/>
      <c r="J110" s="731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60"/>
      <c r="S110" s="615" t="s">
        <v>288</v>
      </c>
      <c r="T110" s="659">
        <v>45900</v>
      </c>
      <c r="U110" s="679">
        <v>2501.6957921361231</v>
      </c>
      <c r="V110" s="740"/>
      <c r="W110" s="538">
        <f t="shared" si="13"/>
        <v>45946</v>
      </c>
      <c r="X110" s="734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31"/>
      <c r="J111" s="731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60"/>
      <c r="S111" s="615" t="s">
        <v>290</v>
      </c>
      <c r="T111" s="659">
        <v>45900</v>
      </c>
      <c r="U111" s="679">
        <v>1000.6783168544493</v>
      </c>
      <c r="V111" s="740"/>
      <c r="W111" s="685">
        <f t="shared" si="13"/>
        <v>46079</v>
      </c>
      <c r="X111" s="734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31"/>
      <c r="J112" s="731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60"/>
      <c r="S112" s="615" t="s">
        <v>292</v>
      </c>
      <c r="T112" s="659">
        <v>45900</v>
      </c>
      <c r="U112" s="679">
        <v>1000.6783168544493</v>
      </c>
      <c r="V112" s="740"/>
      <c r="W112" s="685">
        <f t="shared" si="13"/>
        <v>46079</v>
      </c>
      <c r="X112" s="734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31"/>
      <c r="J113" s="731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60"/>
      <c r="S113" s="615" t="s">
        <v>294</v>
      </c>
      <c r="T113" s="659">
        <v>45900</v>
      </c>
      <c r="U113" s="679">
        <v>500.33915842722467</v>
      </c>
      <c r="V113" s="740"/>
      <c r="W113" s="685">
        <f t="shared" si="13"/>
        <v>46079</v>
      </c>
      <c r="X113" s="734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31"/>
      <c r="J114" s="731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61"/>
      <c r="S114" s="615" t="s">
        <v>296</v>
      </c>
      <c r="T114" s="659">
        <v>45900</v>
      </c>
      <c r="U114" s="679">
        <v>500.33915842722467</v>
      </c>
      <c r="V114" s="740"/>
      <c r="W114" s="685">
        <f t="shared" si="13"/>
        <v>46079</v>
      </c>
      <c r="X114" s="734"/>
      <c r="Y114" s="482"/>
    </row>
    <row r="115" spans="1:25" ht="14.15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31"/>
      <c r="J115" s="731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40"/>
      <c r="W115" s="685"/>
      <c r="X115" s="734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31"/>
      <c r="J116" s="731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40"/>
      <c r="W116" s="578"/>
      <c r="X116" s="734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32"/>
      <c r="J117" s="732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41"/>
      <c r="W117" s="579"/>
      <c r="X117" s="735"/>
      <c r="Y117" s="482"/>
    </row>
    <row r="118" spans="1:25" ht="14.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24">
        <f>SUM(G119:G123)</f>
        <v>29000</v>
      </c>
      <c r="J119" s="724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36">
        <f>J119-SUM(U119:U123)</f>
        <v>-2.5142424055957235E-4</v>
      </c>
      <c r="W119" s="699">
        <v>46051</v>
      </c>
      <c r="X119" s="727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25"/>
      <c r="J120" s="725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37"/>
      <c r="W120" s="565"/>
      <c r="X120" s="728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25"/>
      <c r="J121" s="725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37"/>
      <c r="W121" s="565"/>
      <c r="X121" s="728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25"/>
      <c r="J122" s="725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37"/>
      <c r="W122" s="702">
        <f>T122+30</f>
        <v>45991</v>
      </c>
      <c r="X122" s="728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26"/>
      <c r="J123" s="726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38"/>
      <c r="W123" s="567"/>
      <c r="X123" s="729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30">
        <f>SUM(G125:G126)</f>
        <v>0</v>
      </c>
      <c r="J125" s="730">
        <v>0</v>
      </c>
      <c r="K125" s="742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33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32"/>
      <c r="J126" s="732"/>
      <c r="K126" s="743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35"/>
      <c r="Y126" s="482"/>
    </row>
    <row r="127" spans="1:25" ht="14.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24">
        <f>SUM(G128:G132)</f>
        <v>10071.950000000001</v>
      </c>
      <c r="J128" s="724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36">
        <f>J128-SUM(U128:U133)</f>
        <v>0</v>
      </c>
      <c r="W128" s="709">
        <f>T128+30</f>
        <v>45991</v>
      </c>
      <c r="X128" s="727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25"/>
      <c r="J129" s="725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37"/>
      <c r="W129" s="565"/>
      <c r="X129" s="728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25"/>
      <c r="J130" s="725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37"/>
      <c r="W130" s="565"/>
      <c r="X130" s="728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25"/>
      <c r="J131" s="725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37"/>
      <c r="W131" s="565"/>
      <c r="X131" s="728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25"/>
      <c r="J132" s="725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37"/>
      <c r="W132" s="565"/>
      <c r="X132" s="728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26"/>
      <c r="J133" s="726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38"/>
      <c r="W133" s="567"/>
      <c r="X133" s="729"/>
      <c r="Y133" s="482"/>
    </row>
    <row r="134" spans="1:25" ht="14.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30">
        <f>SUM(G135:G146)</f>
        <v>1225</v>
      </c>
      <c r="J135" s="730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39">
        <f>J135-SUM(U135:U146)</f>
        <v>0</v>
      </c>
      <c r="W135" s="538">
        <v>45900</v>
      </c>
      <c r="X135" s="733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31"/>
      <c r="J136" s="731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40"/>
      <c r="W136" s="685">
        <v>45930</v>
      </c>
      <c r="X136" s="734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31"/>
      <c r="J137" s="731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40"/>
      <c r="W137" s="685">
        <v>45961</v>
      </c>
      <c r="X137" s="734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31"/>
      <c r="J138" s="731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40"/>
      <c r="W138" s="685">
        <v>45996</v>
      </c>
      <c r="X138" s="734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31"/>
      <c r="J139" s="731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40"/>
      <c r="W139" s="578"/>
      <c r="X139" s="734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31"/>
      <c r="J140" s="731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40"/>
      <c r="W140" s="578"/>
      <c r="X140" s="734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31"/>
      <c r="J141" s="731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40"/>
      <c r="W141" s="578"/>
      <c r="X141" s="734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31"/>
      <c r="J142" s="731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40"/>
      <c r="W142" s="578"/>
      <c r="X142" s="734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31"/>
      <c r="J143" s="731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40"/>
      <c r="W143" s="578"/>
      <c r="X143" s="734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31"/>
      <c r="J144" s="731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40"/>
      <c r="W144" s="578"/>
      <c r="X144" s="734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31"/>
      <c r="J145" s="731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40"/>
      <c r="W145" s="578"/>
      <c r="X145" s="734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32"/>
      <c r="J146" s="732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41"/>
      <c r="W146" s="579"/>
      <c r="X146" s="735"/>
      <c r="Y146" s="482"/>
    </row>
    <row r="147" spans="1:25" ht="14.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24">
        <f>SUM(G148:G159)</f>
        <v>0</v>
      </c>
      <c r="J148" s="724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36">
        <v>0</v>
      </c>
      <c r="W148" s="699">
        <v>46022</v>
      </c>
      <c r="X148" s="727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25"/>
      <c r="J149" s="725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37"/>
      <c r="W149" s="565"/>
      <c r="X149" s="728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25"/>
      <c r="J150" s="725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37"/>
      <c r="W150" s="565"/>
      <c r="X150" s="728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25"/>
      <c r="J151" s="725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37"/>
      <c r="W151" s="565"/>
      <c r="X151" s="728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25"/>
      <c r="J152" s="725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37"/>
      <c r="W152" s="565"/>
      <c r="X152" s="728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25"/>
      <c r="J153" s="725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37"/>
      <c r="W153" s="565"/>
      <c r="X153" s="728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25"/>
      <c r="J154" s="725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37"/>
      <c r="W154" s="565"/>
      <c r="X154" s="728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25"/>
      <c r="J155" s="725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37"/>
      <c r="W155" s="565"/>
      <c r="X155" s="728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25"/>
      <c r="J156" s="725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37"/>
      <c r="W156" s="565"/>
      <c r="X156" s="728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25"/>
      <c r="J157" s="725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37"/>
      <c r="W157" s="565"/>
      <c r="X157" s="728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25"/>
      <c r="J158" s="725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37"/>
      <c r="W158" s="565"/>
      <c r="X158" s="728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26"/>
      <c r="J159" s="726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38"/>
      <c r="W159" s="567"/>
      <c r="X159" s="729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28:I42"/>
    <mergeCell ref="J28:J42"/>
    <mergeCell ref="X28:X42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53:X69"/>
    <mergeCell ref="I71:I78"/>
    <mergeCell ref="J71:J78"/>
    <mergeCell ref="V71:V78"/>
    <mergeCell ref="X71:X78"/>
    <mergeCell ref="I103:I117"/>
    <mergeCell ref="J103:J117"/>
    <mergeCell ref="I44:I51"/>
    <mergeCell ref="J44:J51"/>
    <mergeCell ref="J53:J69"/>
    <mergeCell ref="R91:R98"/>
    <mergeCell ref="V44:V51"/>
    <mergeCell ref="V53:V69"/>
    <mergeCell ref="R59:R66"/>
    <mergeCell ref="R32:R39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I125:I126"/>
    <mergeCell ref="J125:J126"/>
    <mergeCell ref="K125:K126"/>
    <mergeCell ref="X125:X126"/>
    <mergeCell ref="V119:V123"/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9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9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9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9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8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9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9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0</v>
      </c>
      <c r="BK11" s="215">
        <f>SUMIFS('Expenditure Breakdown'!$Q$6:$Q$167, 'Expenditure Breakdown'!$W$6:$W$167, "&gt;="&amp;BK1,'Expenditure Breakdown'!$W$6:$W$167, "&lt;"&amp;BL1)</f>
        <v>56028.82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9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714478.45000000007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312657.54999999993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0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0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26953125" defaultRowHeight="14.5"/>
  <cols>
    <col min="1" max="1" width="39.453125" style="367" bestFit="1" customWidth="1"/>
    <col min="2" max="2" width="17.26953125" style="368" bestFit="1" customWidth="1"/>
    <col min="3" max="5" width="13.26953125" style="367" bestFit="1" customWidth="1"/>
    <col min="6" max="6" width="11.7265625" style="367" bestFit="1" customWidth="1"/>
    <col min="7" max="7" width="4.81640625" style="367" bestFit="1" customWidth="1"/>
    <col min="8" max="8" width="12" style="367" bestFit="1" customWidth="1"/>
    <col min="9" max="9" width="14.81640625" style="367" bestFit="1" customWidth="1"/>
    <col min="10" max="12" width="10.7265625" style="367" bestFit="1" customWidth="1"/>
    <col min="13" max="13" width="14.816406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269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53125" defaultRowHeight="14.5"/>
  <cols>
    <col min="1" max="1" width="21.54296875" bestFit="1" customWidth="1"/>
    <col min="2" max="2" width="17.26953125" style="407" bestFit="1" customWidth="1"/>
    <col min="3" max="5" width="13.26953125" style="407" bestFit="1" customWidth="1"/>
    <col min="6" max="6" width="11.7265625" style="407" bestFit="1" customWidth="1"/>
    <col min="7" max="7" width="10.453125" style="407" bestFit="1" customWidth="1"/>
    <col min="8" max="8" width="12" style="407" bestFit="1" customWidth="1"/>
    <col min="9" max="9" width="13.26953125" style="407" bestFit="1" customWidth="1"/>
    <col min="10" max="12" width="10.7265625" bestFit="1" customWidth="1"/>
    <col min="13" max="13" width="13.179687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12" t="s">
        <v>402</v>
      </c>
      <c r="C2" s="812"/>
      <c r="D2" s="812"/>
      <c r="E2" s="812"/>
      <c r="H2" s="813" t="s">
        <v>403</v>
      </c>
      <c r="I2" s="814"/>
      <c r="J2" s="814"/>
      <c r="K2" s="814"/>
      <c r="L2" s="814"/>
      <c r="M2" s="814"/>
      <c r="N2" s="814"/>
      <c r="O2" s="815"/>
    </row>
    <row r="3" spans="2:15">
      <c r="B3" s="691"/>
      <c r="H3" s="816"/>
      <c r="I3" s="817"/>
      <c r="J3" s="817"/>
      <c r="K3" s="817"/>
      <c r="L3" s="817"/>
      <c r="M3" s="817"/>
      <c r="N3" s="817"/>
      <c r="O3" s="818"/>
    </row>
    <row r="4" spans="2:15">
      <c r="B4" s="692" t="s">
        <v>404</v>
      </c>
      <c r="C4" s="693" t="str">
        <f>'Project Plan'!E2</f>
        <v>IconSA_KZN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92" t="s">
        <v>405</v>
      </c>
      <c r="C5" s="693" t="s">
        <v>406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92" t="s">
        <v>407</v>
      </c>
      <c r="C6" s="693" t="s">
        <v>408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92" t="s">
        <v>409</v>
      </c>
      <c r="C7" s="693" t="s">
        <v>410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91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411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412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94" t="s">
        <v>413</v>
      </c>
      <c r="C11" s="811" t="s">
        <v>414</v>
      </c>
      <c r="D11" s="811"/>
      <c r="E11" s="811"/>
    </row>
    <row r="12" spans="2:15">
      <c r="B12" s="694" t="s">
        <v>415</v>
      </c>
      <c r="C12" s="811" t="s">
        <v>414</v>
      </c>
      <c r="D12" s="811"/>
      <c r="E12" s="811"/>
    </row>
    <row r="13" spans="2:15">
      <c r="B13" s="694" t="s">
        <v>416</v>
      </c>
      <c r="C13" s="811" t="s">
        <v>414</v>
      </c>
      <c r="D13" s="811"/>
      <c r="E13" s="811"/>
    </row>
    <row r="14" spans="2:15">
      <c r="B14" s="694" t="s">
        <v>417</v>
      </c>
      <c r="C14" s="811" t="s">
        <v>418</v>
      </c>
      <c r="D14" s="811"/>
      <c r="E14" s="811"/>
    </row>
    <row r="15" spans="2:15">
      <c r="B15" s="694" t="s">
        <v>419</v>
      </c>
      <c r="C15" s="811" t="s">
        <v>420</v>
      </c>
      <c r="D15" s="811"/>
      <c r="E15" s="811"/>
    </row>
    <row r="16" spans="2:15" ht="15" customHeight="1">
      <c r="B16" s="694" t="s">
        <v>421</v>
      </c>
      <c r="C16" s="811" t="s">
        <v>422</v>
      </c>
      <c r="D16" s="811"/>
      <c r="E16" s="811"/>
    </row>
    <row r="17" spans="2:5">
      <c r="B17" s="691"/>
    </row>
    <row r="18" spans="2:5">
      <c r="B18" s="823" t="s">
        <v>423</v>
      </c>
      <c r="C18" s="823"/>
      <c r="D18" s="823"/>
      <c r="E18" s="823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430</v>
      </c>
    </row>
    <row r="2" spans="1:4">
      <c r="A2" s="825"/>
      <c r="B2" s="825"/>
      <c r="C2" s="825"/>
      <c r="D2" s="71"/>
    </row>
    <row r="3" spans="1:4">
      <c r="A3" s="824" t="s">
        <v>431</v>
      </c>
      <c r="B3" s="824"/>
      <c r="C3" s="824"/>
      <c r="D3" s="111">
        <v>0.32</v>
      </c>
    </row>
    <row r="4" spans="1:4">
      <c r="A4" s="824" t="s">
        <v>371</v>
      </c>
      <c r="B4" s="824"/>
      <c r="C4" s="824"/>
      <c r="D4" s="111">
        <v>0.5</v>
      </c>
    </row>
    <row r="5" spans="1:4">
      <c r="A5" s="824" t="s">
        <v>382</v>
      </c>
      <c r="B5" s="824"/>
      <c r="C5" s="824"/>
      <c r="D5" s="111">
        <v>0.15</v>
      </c>
    </row>
    <row r="6" spans="1:4">
      <c r="A6" s="824" t="s">
        <v>432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433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26" t="s">
        <v>455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3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2695312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IconSA_KZN</v>
      </c>
      <c r="C1" s="828"/>
      <c r="D1" s="828"/>
      <c r="E1" s="827" t="s">
        <v>468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2026-02-27T07:27:30Z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