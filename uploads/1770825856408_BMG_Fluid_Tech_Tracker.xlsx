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7" documentId="13_ncr:1_{D90313E0-832C-438B-B7A8-A564F1854BE1}" xr6:coauthVersionLast="47" xr6:coauthVersionMax="47" xr10:uidLastSave="{92BB11B4-6F6B-48A0-852F-2A7D41DF34A3}"/>
  <bookViews>
    <workbookView xWindow="6705" yWindow="-16320" windowWidth="29040" windowHeight="15720" tabRatio="742" firstSheet="6" activeTab="12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32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2" l="1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AL54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<sst xmlns="http://schemas.openxmlformats.org/spreadsheetml/2006/main" count="1048" uniqueCount="582">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</sst>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3183158.379999999</c:v>
                </c:pt>
                <c:pt idx="46">
                  <c:v>3276382.0255980077</c:v>
                </c:pt>
                <c:pt idx="47">
                  <c:v>3276882.0255980077</c:v>
                </c:pt>
                <c:pt idx="48">
                  <c:v>3276882.0255980077</c:v>
                </c:pt>
                <c:pt idx="49">
                  <c:v>3276882.0255980077</c:v>
                </c:pt>
                <c:pt idx="50">
                  <c:v>3276882.0255980077</c:v>
                </c:pt>
                <c:pt idx="51">
                  <c:v>3276882.0255980077</c:v>
                </c:pt>
                <c:pt idx="52">
                  <c:v>3276882.0255980077</c:v>
                </c:pt>
                <c:pt idx="53">
                  <c:v>3276882.0255980077</c:v>
                </c:pt>
                <c:pt idx="54">
                  <c:v>3276882.0255980077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601707.40544866631</c:v>
                </c:pt>
                <c:pt idx="46">
                  <c:v>508483.75985065755</c:v>
                </c:pt>
                <c:pt idx="47">
                  <c:v>707187.22224269249</c:v>
                </c:pt>
                <c:pt idx="48">
                  <c:v>707187.22224269249</c:v>
                </c:pt>
                <c:pt idx="49">
                  <c:v>707187.22224269249</c:v>
                </c:pt>
                <c:pt idx="50">
                  <c:v>707187.22224269249</c:v>
                </c:pt>
                <c:pt idx="51">
                  <c:v>707187.22224269249</c:v>
                </c:pt>
                <c:pt idx="52">
                  <c:v>707187.22224269249</c:v>
                </c:pt>
                <c:pt idx="53">
                  <c:v>707187.22224269249</c:v>
                </c:pt>
                <c:pt idx="54">
                  <c:v>707187.22224269249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3986003.9559812299</c:v>
                </c:pt>
                <c:pt idx="47">
                  <c:v>3986003.9559812299</c:v>
                </c:pt>
                <c:pt idx="48">
                  <c:v>3986003.9559812299</c:v>
                </c:pt>
                <c:pt idx="49">
                  <c:v>3986003.9559812299</c:v>
                </c:pt>
                <c:pt idx="50">
                  <c:v>3986003.9559812299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3.9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2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4.65" thickBot="1"/>
    <row r="2" spans="2:15" ht="18">
      <c r="B2" s="738" t="s">
        <v>58</v>
      </c>
      <c r="C2" s="738"/>
      <c r="D2" s="738"/>
      <c r="E2" s="738"/>
      <c r="H2" s="739" t="s">
        <v>59</v>
      </c>
      <c r="I2" s="740"/>
      <c r="J2" s="740"/>
      <c r="K2" s="740"/>
      <c r="L2" s="740"/>
      <c r="M2" s="740"/>
      <c r="N2" s="740"/>
      <c r="O2" s="741"/>
    </row>
    <row r="3" spans="2:15">
      <c r="B3" s="697"/>
      <c r="H3" s="742"/>
      <c r="I3" s="743"/>
      <c r="J3" s="743"/>
      <c r="K3" s="743"/>
      <c r="L3" s="743"/>
      <c r="M3" s="743"/>
      <c r="N3" s="743"/>
      <c r="O3" s="744"/>
    </row>
    <row r="4" spans="2:15">
      <c r="B4" s="698" t="s">
        <v>60</v>
      </c>
      <c r="C4" s="699" t="str">
        <f>'Project Plan'!E2</f>
        <v>BMG Fluid Tech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98" t="s">
        <v>61</v>
      </c>
      <c r="C5" s="699" t="s">
        <v>62</v>
      </c>
      <c r="H5" s="742"/>
      <c r="I5" s="743"/>
      <c r="J5" s="743"/>
      <c r="K5" s="743"/>
      <c r="L5" s="743"/>
      <c r="M5" s="743"/>
      <c r="N5" s="743"/>
      <c r="O5" s="744"/>
    </row>
    <row r="6" spans="2:15">
      <c r="B6" s="698" t="s">
        <v>63</v>
      </c>
      <c r="C6" s="699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98" t="s">
        <v>65</v>
      </c>
      <c r="C7" s="699" t="s">
        <v>66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97"/>
      <c r="H8" s="742"/>
      <c r="I8" s="743"/>
      <c r="J8" s="743"/>
      <c r="K8" s="743"/>
      <c r="L8" s="743"/>
      <c r="M8" s="743"/>
      <c r="N8" s="743"/>
      <c r="O8" s="744"/>
    </row>
    <row r="9" spans="2:15">
      <c r="B9" s="748" t="s">
        <v>67</v>
      </c>
      <c r="C9" s="748"/>
      <c r="D9" s="748"/>
      <c r="E9" s="748"/>
      <c r="H9" s="742"/>
      <c r="I9" s="743"/>
      <c r="J9" s="743"/>
      <c r="K9" s="743"/>
      <c r="L9" s="743"/>
      <c r="M9" s="743"/>
      <c r="N9" s="743"/>
      <c r="O9" s="744"/>
    </row>
    <row r="10" spans="2:15" ht="14.65" thickBot="1">
      <c r="B10" s="748" t="s">
        <v>68</v>
      </c>
      <c r="C10" s="748"/>
      <c r="D10" s="748"/>
      <c r="E10" s="748"/>
      <c r="H10" s="745"/>
      <c r="I10" s="746"/>
      <c r="J10" s="746"/>
      <c r="K10" s="746"/>
      <c r="L10" s="746"/>
      <c r="M10" s="746"/>
      <c r="N10" s="746"/>
      <c r="O10" s="747"/>
    </row>
    <row r="11" spans="2:15">
      <c r="B11" s="700" t="s">
        <v>69</v>
      </c>
      <c r="C11" s="736" t="s">
        <v>70</v>
      </c>
      <c r="D11" s="736"/>
      <c r="E11" s="736"/>
    </row>
    <row r="12" spans="2:15">
      <c r="B12" s="700" t="s">
        <v>71</v>
      </c>
      <c r="C12" s="736" t="s">
        <v>70</v>
      </c>
      <c r="D12" s="736"/>
      <c r="E12" s="736"/>
    </row>
    <row r="13" spans="2:15">
      <c r="B13" s="700" t="s">
        <v>72</v>
      </c>
      <c r="C13" s="736" t="s">
        <v>70</v>
      </c>
      <c r="D13" s="736"/>
      <c r="E13" s="736"/>
    </row>
    <row r="14" spans="2:15">
      <c r="B14" s="700" t="s">
        <v>73</v>
      </c>
      <c r="C14" s="736" t="s">
        <v>74</v>
      </c>
      <c r="D14" s="736"/>
      <c r="E14" s="736"/>
    </row>
    <row r="15" spans="2:15">
      <c r="B15" s="700" t="s">
        <v>75</v>
      </c>
      <c r="C15" s="736" t="s">
        <v>76</v>
      </c>
      <c r="D15" s="736"/>
      <c r="E15" s="736"/>
    </row>
    <row r="16" spans="2:15" ht="15" customHeight="1">
      <c r="B16" s="700" t="s">
        <v>77</v>
      </c>
      <c r="C16" s="736" t="s">
        <v>78</v>
      </c>
      <c r="D16" s="736"/>
      <c r="E16" s="736"/>
    </row>
    <row r="17" spans="2:5">
      <c r="B17" s="697"/>
    </row>
    <row r="18" spans="2:5">
      <c r="B18" s="737" t="s">
        <v>79</v>
      </c>
      <c r="C18" s="737"/>
      <c r="D18" s="737"/>
      <c r="E18" s="737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2578125" defaultRowHeight="14.25"/>
  <cols>
    <col min="1" max="1" width="0.7109375" customWidth="1"/>
    <col min="2" max="2" width="8.42578125" bestFit="1" customWidth="1"/>
    <col min="3" max="5" width="33.285156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2.28515625" customWidth="1"/>
    <col min="11" max="11" width="33.28515625" customWidth="1"/>
  </cols>
  <sheetData>
    <row r="1" spans="2:15">
      <c r="B1" s="749"/>
      <c r="C1" s="750"/>
      <c r="D1" s="750"/>
      <c r="E1" s="750"/>
      <c r="F1" s="751" t="s">
        <v>87</v>
      </c>
      <c r="G1" s="751"/>
      <c r="H1" s="751"/>
      <c r="I1" s="751"/>
      <c r="J1" s="751"/>
      <c r="K1" s="752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pane="bottomLeft" activeCell="B16" sqref="B16:F16"/>
      <selection activeCell="B16" sqref="B16:F16"/>
    </sheetView>
  </sheetViews>
  <sheetFormatPr defaultColWidth="8.42578125" defaultRowHeight="13.5"/>
  <cols>
    <col min="1" max="1" width="1.42578125" style="24" customWidth="1"/>
    <col min="2" max="2" width="30.5703125" style="24" bestFit="1" customWidth="1"/>
    <col min="3" max="3" width="19.5703125" style="24" customWidth="1"/>
    <col min="4" max="4" width="32.71093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2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 ht="13.9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2578125" defaultRowHeight="14.2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4.65" thickBot="1"/>
    <row r="2" spans="2:10" ht="15" thickTop="1" thickBot="1">
      <c r="B2" s="753" t="s">
        <v>137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3" t="s">
        <v>144</v>
      </c>
      <c r="C16" s="754"/>
      <c r="D16" s="754"/>
      <c r="E16" s="754"/>
      <c r="F16" s="755"/>
    </row>
    <row r="17" spans="2:6" ht="14.6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P16" sqref="P16"/>
    </sheetView>
  </sheetViews>
  <sheetFormatPr defaultColWidth="8.42578125" defaultRowHeight="14.25"/>
  <cols>
    <col min="1" max="1" width="5.28515625" style="93" customWidth="1"/>
    <col min="2" max="2" width="5.28515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7.42578125" style="129" customWidth="1"/>
    <col min="8" max="8" width="15.42578125" style="129" customWidth="1"/>
    <col min="9" max="9" width="1.7109375" style="129" customWidth="1"/>
    <col min="10" max="10" width="3.28515625" style="93" customWidth="1"/>
    <col min="11" max="11" width="1.7109375" style="175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9.7109375" style="129" bestFit="1" customWidth="1"/>
    <col min="17" max="17" width="18.5703125" style="129" bestFit="1" customWidth="1"/>
    <col min="18" max="18" width="23.5703125" style="129" customWidth="1"/>
    <col min="19" max="19" width="19.28515625" style="93" bestFit="1" customWidth="1"/>
    <col min="20" max="20" width="22.7109375" style="129" bestFit="1" customWidth="1"/>
    <col min="21" max="21" width="18.5703125" style="93" customWidth="1"/>
    <col min="22" max="23" width="8.42578125" style="93"/>
    <col min="24" max="24" width="5.28515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15">
      <c r="B13" s="352">
        <v>1</v>
      </c>
      <c r="C13" s="760" t="s">
        <v>177</v>
      </c>
      <c r="D13" s="761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75">
      <c r="B14" s="154">
        <v>2</v>
      </c>
      <c r="C14" s="760" t="s">
        <v>179</v>
      </c>
      <c r="D14" s="761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75">
      <c r="B15" s="352">
        <v>3</v>
      </c>
      <c r="C15" s="760" t="s">
        <v>181</v>
      </c>
      <c r="D15" s="761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75">
      <c r="B16" s="352">
        <v>4</v>
      </c>
      <c r="C16" s="758" t="s">
        <v>183</v>
      </c>
      <c r="D16" s="759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9">
        <v>46066</v>
      </c>
      <c r="R16" s="756" t="s">
        <v>185</v>
      </c>
      <c r="S16" s="757"/>
    </row>
    <row r="17" spans="2:19" s="93" customFormat="1" ht="12.75">
      <c r="B17" s="352">
        <v>5</v>
      </c>
      <c r="C17" s="758" t="s">
        <v>54</v>
      </c>
      <c r="D17" s="759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46083</v>
      </c>
      <c r="R17" s="380"/>
    </row>
    <row r="18" spans="2:19" s="93" customFormat="1" ht="12.75">
      <c r="B18" s="352">
        <v>6</v>
      </c>
      <c r="C18" s="758" t="s">
        <v>186</v>
      </c>
      <c r="D18" s="759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75">
      <c r="B19" s="352">
        <v>7</v>
      </c>
      <c r="C19" s="760" t="s">
        <v>186</v>
      </c>
      <c r="D19" s="76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75">
      <c r="C24" s="147" t="s">
        <v>189</v>
      </c>
      <c r="D24" s="148"/>
      <c r="F24" s="149"/>
    </row>
    <row r="25" spans="2:19" s="93" customFormat="1" ht="12.75">
      <c r="C25" s="147" t="s">
        <v>190</v>
      </c>
      <c r="D25" s="148"/>
    </row>
    <row r="26" spans="2:19" s="93" customFormat="1" ht="12.75">
      <c r="C26" s="150" t="s">
        <v>191</v>
      </c>
      <c r="D26" s="151"/>
    </row>
    <row r="27" spans="2:19" s="93" customFormat="1" ht="12.75">
      <c r="C27" s="152" t="s">
        <v>192</v>
      </c>
      <c r="D27" s="148"/>
    </row>
    <row r="28" spans="2:19" s="93" customFormat="1" ht="12.75">
      <c r="B28" s="117"/>
      <c r="C28" s="152" t="s">
        <v>193</v>
      </c>
      <c r="D28" s="148"/>
    </row>
    <row r="29" spans="2:19" s="93" customFormat="1" ht="12.7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O69" sqref="O69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7.5703125" style="112" customWidth="1"/>
    <col min="9" max="9" width="11.710937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4.5703125" style="112" bestFit="1" customWidth="1"/>
    <col min="14" max="14" width="16.28515625" style="112" bestFit="1" customWidth="1"/>
    <col min="15" max="15" width="83.7109375" style="112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 ht="13.9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 ht="13.9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 ht="13.9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 ht="13.9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 ht="13.9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 ht="13.9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75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 ht="13.9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0.88547554347826085</v>
      </c>
      <c r="N9" s="362">
        <f ca="1">AVERAGE(N11,N18,N21,N30,N40,N44,N51,N48)</f>
        <v>0.90146398267190375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 ht="13.9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 ht="13.9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ht="13.9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ht="13.9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 ht="13.9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34</v>
      </c>
      <c r="K51" s="246">
        <f>MAX(K52:K57)</f>
        <v>46076</v>
      </c>
      <c r="L51" s="114"/>
      <c r="M51" s="361">
        <f>(J52*M52+J53*M53+J54*M54+J55*M55+J56*M56+J57*M57)/SUM(J52:J57)</f>
        <v>0.4425</v>
      </c>
      <c r="N51" s="361">
        <f ca="1">(K52*N52+K53*N53+K54*N54+K55*N55+K56*N56+K57*N57)/SUM(K52:K57)</f>
        <v>0.57040751354914276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0.76923076923076927</v>
      </c>
      <c r="O52" s="122"/>
      <c r="Y52" s="24"/>
    </row>
    <row r="53" spans="2:28" ht="13.9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18</v>
      </c>
      <c r="K53" s="253">
        <f>WORKDAY.INTL(I53,J53,1,Data!$C$3:$C$14)</f>
        <v>46066</v>
      </c>
      <c r="M53" s="254">
        <v>0.5</v>
      </c>
      <c r="N53" s="254">
        <f t="shared" ca="1" si="7"/>
        <v>0.91666666666666663</v>
      </c>
      <c r="O53" s="122" t="s">
        <v>282</v>
      </c>
      <c r="Y53" s="24"/>
    </row>
    <row r="54" spans="2:28" ht="13.9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 ht="13.9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0.73684210526315785</v>
      </c>
      <c r="O55" s="122"/>
      <c r="Y55" s="24"/>
    </row>
    <row r="56" spans="2:28" ht="13.9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46069</v>
      </c>
      <c r="J56" s="251">
        <v>1</v>
      </c>
      <c r="K56" s="253">
        <f>WORKDAY.INTL(I56,J56,1,Data!$C$3:$C$14)</f>
        <v>46070</v>
      </c>
      <c r="M56" s="254">
        <v>0</v>
      </c>
      <c r="N56" s="254">
        <f t="shared" ca="1" si="7"/>
        <v>0</v>
      </c>
      <c r="O56" s="122"/>
      <c r="Y56" s="24"/>
    </row>
    <row r="57" spans="2:28" ht="13.9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.15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.15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62.42578125" style="24" bestFit="1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2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 ht="13.9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 ht="13.9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 ht="13.9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 ht="13.9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 ht="13.9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 ht="13.9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 ht="13.9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 ht="13.9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 ht="13.9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 ht="13.9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 ht="13.9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 ht="13.9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M1" zoomScale="85" zoomScaleNormal="85" workbookViewId="0">
      <pane ySplit="4" topLeftCell="N178" activePane="bottomLeft" state="frozen"/>
      <selection pane="bottomLeft" activeCell="U172" sqref="U172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bestFit="1" customWidth="1"/>
    <col min="11" max="12" width="5.28515625" style="112" customWidth="1"/>
    <col min="13" max="13" width="25.5703125" style="112" customWidth="1"/>
    <col min="14" max="14" width="62.7109375" style="112" bestFit="1" customWidth="1"/>
    <col min="15" max="15" width="15.5703125" style="112" customWidth="1"/>
    <col min="16" max="17" width="17.42578125" style="112" customWidth="1"/>
    <col min="18" max="18" width="41.42578125" style="112" bestFit="1" customWidth="1"/>
    <col min="19" max="19" width="35.28515625" style="112" bestFit="1" customWidth="1"/>
    <col min="20" max="23" width="17.42578125" style="112" customWidth="1"/>
    <col min="24" max="24" width="21.28515625" style="112" customWidth="1"/>
    <col min="25" max="25" width="29" style="112" bestFit="1" customWidth="1"/>
    <col min="26" max="26" width="24.7109375" style="112" bestFit="1" customWidth="1"/>
    <col min="27" max="27" width="4.42578125" style="112" customWidth="1"/>
    <col min="28" max="28" width="17.42578125" style="112" customWidth="1"/>
    <col min="29" max="29" width="24.7109375" style="112" customWidth="1"/>
    <col min="30" max="30" width="4.28515625" style="112" customWidth="1"/>
    <col min="31" max="31" width="23.5703125" style="112" customWidth="1"/>
    <col min="32" max="32" width="23.28515625" style="112" customWidth="1"/>
    <col min="33" max="33" width="31.7109375" style="112" customWidth="1"/>
    <col min="34" max="35" width="27.5703125" style="112" customWidth="1"/>
    <col min="36" max="36" width="7" style="112" customWidth="1"/>
    <col min="37" max="37" width="17.42578125" style="112" customWidth="1"/>
    <col min="38" max="38" width="20.5703125" style="112" customWidth="1"/>
    <col min="39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20" t="s">
        <v>316</v>
      </c>
      <c r="C2" s="821"/>
      <c r="D2" s="821"/>
      <c r="E2" s="821"/>
      <c r="F2" s="821"/>
      <c r="G2" s="821"/>
      <c r="H2" s="503"/>
      <c r="I2" s="258">
        <f>SUM(I6:I187)</f>
        <v>3079187.0450237757</v>
      </c>
      <c r="J2" s="258">
        <f>SUM(J6:J187)</f>
        <v>3984069.2478407025</v>
      </c>
      <c r="L2" s="822" t="s">
        <v>317</v>
      </c>
      <c r="M2" s="823"/>
      <c r="N2" s="823"/>
      <c r="O2" s="823"/>
      <c r="P2" s="823"/>
      <c r="Q2" s="823"/>
      <c r="R2" s="824" t="s">
        <v>318</v>
      </c>
      <c r="S2" s="825"/>
      <c r="T2" s="825"/>
      <c r="U2" s="825"/>
      <c r="V2" s="825"/>
      <c r="W2" s="826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79">
        <f>SUM(G6:G11)</f>
        <v>370402.23900000006</v>
      </c>
      <c r="J6" s="779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91">
        <f>J6-SUM(U6:U11)</f>
        <v>0</v>
      </c>
      <c r="W6" s="536">
        <v>45954</v>
      </c>
      <c r="X6" s="782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80"/>
      <c r="J7" s="780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92"/>
      <c r="W7" s="537">
        <v>45954</v>
      </c>
      <c r="X7" s="78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80"/>
      <c r="J8" s="780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92"/>
      <c r="W8" s="537">
        <v>46058</v>
      </c>
      <c r="X8" s="78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80"/>
      <c r="J9" s="780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92"/>
      <c r="W9" s="538">
        <v>46058</v>
      </c>
      <c r="X9" s="78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80"/>
      <c r="J10" s="780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92"/>
      <c r="W10" s="581"/>
      <c r="X10" s="78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81"/>
      <c r="J11" s="781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93"/>
      <c r="W11" s="582"/>
      <c r="X11" s="784"/>
      <c r="Y11" s="612" t="s">
        <v>342</v>
      </c>
      <c r="Z11" s="613" t="s">
        <v>343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97">
        <f>SUM(G13:G19)</f>
        <v>140000</v>
      </c>
      <c r="J13" s="797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833">
        <f>J13-SUM(U13:U19)</f>
        <v>0</v>
      </c>
      <c r="W13" s="541">
        <v>45876</v>
      </c>
      <c r="X13" s="800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98"/>
      <c r="J14" s="798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834"/>
      <c r="W14" s="585"/>
      <c r="X14" s="801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98"/>
      <c r="J15" s="798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834"/>
      <c r="W15" s="585"/>
      <c r="X15" s="801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98"/>
      <c r="J16" s="798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834"/>
      <c r="W16" s="585"/>
      <c r="X16" s="801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98"/>
      <c r="J17" s="798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834"/>
      <c r="W17" s="585"/>
      <c r="X17" s="801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98"/>
      <c r="J18" s="798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834"/>
      <c r="W18" s="585"/>
      <c r="X18" s="801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9"/>
      <c r="J19" s="799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835"/>
      <c r="W19" s="586"/>
      <c r="X19" s="802"/>
      <c r="Y19" s="614" t="s">
        <v>355</v>
      </c>
      <c r="Z19" s="615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79">
        <f>SUM(G21:G40)</f>
        <v>518256</v>
      </c>
      <c r="J21" s="779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36" t="s">
        <v>360</v>
      </c>
      <c r="S21" s="639" t="s">
        <v>361</v>
      </c>
      <c r="T21" s="652">
        <v>45869</v>
      </c>
      <c r="U21" s="673">
        <v>192541.23160660922</v>
      </c>
      <c r="V21" s="791">
        <f>J21-SUM(U21:U40)</f>
        <v>4.2397808283567429E-3</v>
      </c>
      <c r="W21" s="544">
        <v>45855</v>
      </c>
      <c r="X21" s="782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80"/>
      <c r="J22" s="780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37"/>
      <c r="S22" s="632" t="s">
        <v>364</v>
      </c>
      <c r="T22" s="663">
        <v>45900</v>
      </c>
      <c r="U22" s="675">
        <v>192541.23160660922</v>
      </c>
      <c r="V22" s="792"/>
      <c r="W22" s="537">
        <v>45930</v>
      </c>
      <c r="X22" s="783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80"/>
      <c r="J23" s="780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92"/>
      <c r="W23" s="537">
        <v>45930</v>
      </c>
      <c r="X23" s="783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80"/>
      <c r="J24" s="780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92"/>
      <c r="W24" s="537">
        <v>45930</v>
      </c>
      <c r="X24" s="783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80"/>
      <c r="J25" s="780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92"/>
      <c r="W25" s="537">
        <v>45930</v>
      </c>
      <c r="X25" s="783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80"/>
      <c r="J26" s="780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92"/>
      <c r="W26" s="720">
        <v>46021</v>
      </c>
      <c r="X26" s="783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80"/>
      <c r="J27" s="780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92"/>
      <c r="W27" s="538">
        <v>46051</v>
      </c>
      <c r="X27" s="783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80"/>
      <c r="J28" s="780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92"/>
      <c r="W28" s="715"/>
      <c r="X28" s="783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80"/>
      <c r="J29" s="780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92"/>
      <c r="W29" s="538">
        <f>T29+30</f>
        <v>45930</v>
      </c>
      <c r="X29" s="783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80"/>
      <c r="J30" s="780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92"/>
      <c r="W30" s="538">
        <f>T30+30</f>
        <v>45960</v>
      </c>
      <c r="X30" s="783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80"/>
      <c r="J31" s="780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92"/>
      <c r="W31" s="715">
        <v>46051</v>
      </c>
      <c r="X31" s="783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80"/>
      <c r="J32" s="780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92"/>
      <c r="W32" s="715"/>
      <c r="X32" s="783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80"/>
      <c r="J33" s="780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38" t="s">
        <v>378</v>
      </c>
      <c r="S33" s="633" t="s">
        <v>379</v>
      </c>
      <c r="T33" s="669">
        <v>45900</v>
      </c>
      <c r="U33" s="676">
        <v>170725.25435647758</v>
      </c>
      <c r="V33" s="792"/>
      <c r="W33" s="538">
        <v>45883</v>
      </c>
      <c r="X33" s="783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80"/>
      <c r="J34" s="780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39"/>
      <c r="S34" s="633" t="s">
        <v>380</v>
      </c>
      <c r="T34" s="669">
        <v>45900</v>
      </c>
      <c r="U34" s="676">
        <v>56908.418118825866</v>
      </c>
      <c r="V34" s="792"/>
      <c r="W34" s="715">
        <v>45961</v>
      </c>
      <c r="X34" s="783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80"/>
      <c r="J35" s="780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39"/>
      <c r="S35" s="633" t="s">
        <v>380</v>
      </c>
      <c r="T35" s="669">
        <v>45900</v>
      </c>
      <c r="U35" s="676">
        <v>42681.313589119396</v>
      </c>
      <c r="V35" s="792"/>
      <c r="W35" s="538">
        <v>45974</v>
      </c>
      <c r="X35" s="783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80"/>
      <c r="J36" s="780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37"/>
      <c r="S36" s="633" t="s">
        <v>380</v>
      </c>
      <c r="T36" s="669">
        <v>45900</v>
      </c>
      <c r="U36" s="676">
        <v>14227.104529706467</v>
      </c>
      <c r="V36" s="792"/>
      <c r="W36" s="581">
        <v>46072</v>
      </c>
      <c r="X36" s="783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80"/>
      <c r="J37" s="780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92"/>
      <c r="W37" s="581"/>
      <c r="X37" s="783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80"/>
      <c r="J38" s="780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92"/>
      <c r="W38" s="581"/>
      <c r="X38" s="783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80"/>
      <c r="J39" s="780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92"/>
      <c r="W39" s="581"/>
      <c r="X39" s="783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81"/>
      <c r="J40" s="781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93"/>
      <c r="W40" s="582"/>
      <c r="X40" s="784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2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97">
        <f>SUM(G42:G56)</f>
        <v>140380.1</v>
      </c>
      <c r="J42" s="797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833">
        <f>J42-SUM(U42:U56)</f>
        <v>0</v>
      </c>
      <c r="W42" s="541">
        <v>45900</v>
      </c>
      <c r="X42" s="800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98"/>
      <c r="J43" s="798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834"/>
      <c r="W43" s="542">
        <v>45901</v>
      </c>
      <c r="X43" s="801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98"/>
      <c r="J44" s="798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834"/>
      <c r="W44" s="585"/>
      <c r="X44" s="801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98"/>
      <c r="J45" s="798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834"/>
      <c r="W45" s="585"/>
      <c r="X45" s="801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98"/>
      <c r="J46" s="798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827" t="s">
        <v>405</v>
      </c>
      <c r="S46" s="637" t="s">
        <v>406</v>
      </c>
      <c r="T46" s="662">
        <v>45869</v>
      </c>
      <c r="U46" s="671">
        <v>7315.928141424075</v>
      </c>
      <c r="V46" s="834"/>
      <c r="W46" s="542">
        <f>W118</f>
        <v>45869</v>
      </c>
      <c r="X46" s="801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98"/>
      <c r="J47" s="798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828"/>
      <c r="S47" s="637" t="s">
        <v>407</v>
      </c>
      <c r="T47" s="655">
        <v>45869</v>
      </c>
      <c r="U47" s="671">
        <v>10973.892212136114</v>
      </c>
      <c r="V47" s="834"/>
      <c r="W47" s="542">
        <f t="shared" ref="W47:W53" si="3">W119</f>
        <v>45932</v>
      </c>
      <c r="X47" s="801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98"/>
      <c r="J48" s="798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828"/>
      <c r="S48" s="637" t="s">
        <v>407</v>
      </c>
      <c r="T48" s="655">
        <v>45869</v>
      </c>
      <c r="U48" s="671">
        <v>14631.85628284815</v>
      </c>
      <c r="V48" s="834"/>
      <c r="W48" s="542">
        <f t="shared" si="3"/>
        <v>46003</v>
      </c>
      <c r="X48" s="801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98"/>
      <c r="J49" s="798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828"/>
      <c r="S49" s="637" t="s">
        <v>407</v>
      </c>
      <c r="T49" s="655">
        <v>45869</v>
      </c>
      <c r="U49" s="671">
        <v>18289.82035356019</v>
      </c>
      <c r="V49" s="834"/>
      <c r="W49" s="723">
        <v>46009</v>
      </c>
      <c r="X49" s="801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98"/>
      <c r="J50" s="798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828"/>
      <c r="S50" s="637" t="s">
        <v>407</v>
      </c>
      <c r="T50" s="655">
        <v>45869</v>
      </c>
      <c r="U50" s="671">
        <v>7315.928141424075</v>
      </c>
      <c r="V50" s="834"/>
      <c r="W50" s="542">
        <v>46051</v>
      </c>
      <c r="X50" s="801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98"/>
      <c r="J51" s="798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828"/>
      <c r="S51" s="637" t="s">
        <v>407</v>
      </c>
      <c r="T51" s="665">
        <v>45869</v>
      </c>
      <c r="U51" s="671">
        <v>7315.928141424075</v>
      </c>
      <c r="V51" s="834"/>
      <c r="W51" s="542">
        <v>46051</v>
      </c>
      <c r="X51" s="801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98"/>
      <c r="J52" s="798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828"/>
      <c r="S52" s="637" t="s">
        <v>407</v>
      </c>
      <c r="T52" s="665">
        <v>45869</v>
      </c>
      <c r="U52" s="671">
        <v>3657.9640707120375</v>
      </c>
      <c r="V52" s="834"/>
      <c r="W52" s="542">
        <v>46051</v>
      </c>
      <c r="X52" s="801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98"/>
      <c r="J53" s="798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829"/>
      <c r="S53" s="637" t="s">
        <v>407</v>
      </c>
      <c r="T53" s="665">
        <v>45869</v>
      </c>
      <c r="U53" s="671">
        <v>3657.9640707120375</v>
      </c>
      <c r="V53" s="834"/>
      <c r="W53" s="585">
        <f t="shared" si="3"/>
        <v>46081</v>
      </c>
      <c r="X53" s="801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98"/>
      <c r="J54" s="798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834"/>
      <c r="W54" s="585"/>
      <c r="X54" s="801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 t="s">
        <v>417</v>
      </c>
      <c r="AL54" s="624">
        <f>AL52/600000</f>
        <v>0.84901000000000004</v>
      </c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98"/>
      <c r="J55" s="798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834"/>
      <c r="W55" s="585"/>
      <c r="X55" s="801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9"/>
      <c r="J56" s="799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835"/>
      <c r="W56" s="586"/>
      <c r="X56" s="802"/>
      <c r="Y56" s="483"/>
    </row>
    <row r="57" spans="1:39" ht="14.2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79">
        <f>SUM(G58:G65)</f>
        <v>174000</v>
      </c>
      <c r="J58" s="779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91">
        <f>J58-SUM(U58:U65)</f>
        <v>0</v>
      </c>
      <c r="W58" s="587"/>
      <c r="X58" s="782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80"/>
      <c r="J59" s="780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92"/>
      <c r="W59" s="537">
        <f>T59+30</f>
        <v>45930</v>
      </c>
      <c r="X59" s="783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80"/>
      <c r="J60" s="780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92"/>
      <c r="W60" s="537">
        <v>45900</v>
      </c>
      <c r="X60" s="783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80"/>
      <c r="J61" s="780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92"/>
      <c r="W61" s="720">
        <v>45991</v>
      </c>
      <c r="X61" s="783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80"/>
      <c r="J62" s="780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92"/>
      <c r="W62" s="720">
        <v>46029</v>
      </c>
      <c r="X62" s="783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80"/>
      <c r="J63" s="780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92"/>
      <c r="W63" s="720">
        <v>46029</v>
      </c>
      <c r="X63" s="783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80"/>
      <c r="J64" s="780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92"/>
      <c r="W64" s="720">
        <v>46029</v>
      </c>
      <c r="X64" s="783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81"/>
      <c r="J65" s="781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93"/>
      <c r="W65" s="582"/>
      <c r="X65" s="784"/>
      <c r="Y65" s="483"/>
    </row>
    <row r="66" spans="1:25" ht="14.2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97">
        <f>SUM(G67:G84)</f>
        <v>236614.81739130436</v>
      </c>
      <c r="J67" s="797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833">
        <f>J67-SUM(U67:U84)</f>
        <v>0</v>
      </c>
      <c r="W67" s="584"/>
      <c r="X67" s="800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98"/>
      <c r="J68" s="798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834"/>
      <c r="W68" s="585"/>
      <c r="X68" s="801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98"/>
      <c r="J69" s="798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834"/>
      <c r="W69" s="585"/>
      <c r="X69" s="801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98"/>
      <c r="J70" s="798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834"/>
      <c r="W70" s="585"/>
      <c r="X70" s="801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98"/>
      <c r="J71" s="798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834"/>
      <c r="W71" s="585"/>
      <c r="X71" s="801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98"/>
      <c r="J72" s="798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834"/>
      <c r="W72" s="585"/>
      <c r="X72" s="801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98"/>
      <c r="J73" s="798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827" t="s">
        <v>405</v>
      </c>
      <c r="S73" s="637" t="s">
        <v>406</v>
      </c>
      <c r="T73" s="662">
        <v>45869</v>
      </c>
      <c r="U73" s="671">
        <v>32863.169082125612</v>
      </c>
      <c r="V73" s="834"/>
      <c r="W73" s="542">
        <f>W118</f>
        <v>45869</v>
      </c>
      <c r="X73" s="801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98"/>
      <c r="J74" s="798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828"/>
      <c r="S74" s="637" t="s">
        <v>407</v>
      </c>
      <c r="T74" s="655">
        <v>45869</v>
      </c>
      <c r="U74" s="671">
        <v>49294.753623188408</v>
      </c>
      <c r="V74" s="834"/>
      <c r="W74" s="542">
        <f t="shared" ref="W74:W80" si="7">W119</f>
        <v>45932</v>
      </c>
      <c r="X74" s="801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98"/>
      <c r="J75" s="798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828"/>
      <c r="S75" s="637" t="s">
        <v>407</v>
      </c>
      <c r="T75" s="655">
        <v>45869</v>
      </c>
      <c r="U75" s="671">
        <v>65726.338164251225</v>
      </c>
      <c r="V75" s="834"/>
      <c r="W75" s="542">
        <f t="shared" si="7"/>
        <v>46003</v>
      </c>
      <c r="X75" s="801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98"/>
      <c r="J76" s="798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828"/>
      <c r="S76" s="637" t="s">
        <v>407</v>
      </c>
      <c r="T76" s="655">
        <v>45869</v>
      </c>
      <c r="U76" s="671">
        <v>82157.92270531402</v>
      </c>
      <c r="V76" s="834"/>
      <c r="W76" s="723">
        <v>46009</v>
      </c>
      <c r="X76" s="801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98"/>
      <c r="J77" s="798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828"/>
      <c r="S77" s="637" t="s">
        <v>407</v>
      </c>
      <c r="T77" s="655">
        <v>45869</v>
      </c>
      <c r="U77" s="671">
        <v>32863.169082125612</v>
      </c>
      <c r="V77" s="834"/>
      <c r="W77" s="542">
        <f>W50</f>
        <v>46051</v>
      </c>
      <c r="X77" s="801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98"/>
      <c r="J78" s="798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828"/>
      <c r="S78" s="641" t="s">
        <v>407</v>
      </c>
      <c r="T78" s="665">
        <v>45869</v>
      </c>
      <c r="U78" s="674">
        <v>32863.169082125612</v>
      </c>
      <c r="V78" s="834"/>
      <c r="W78" s="542">
        <v>46051</v>
      </c>
      <c r="X78" s="801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98"/>
      <c r="J79" s="798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828"/>
      <c r="S79" s="641" t="s">
        <v>407</v>
      </c>
      <c r="T79" s="665">
        <v>45869</v>
      </c>
      <c r="U79" s="674">
        <v>16431.584541062806</v>
      </c>
      <c r="V79" s="834"/>
      <c r="W79" s="542">
        <v>46051</v>
      </c>
      <c r="X79" s="801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98"/>
      <c r="J80" s="798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829"/>
      <c r="S80" s="641" t="s">
        <v>407</v>
      </c>
      <c r="T80" s="665">
        <v>45869</v>
      </c>
      <c r="U80" s="674">
        <v>16431.584541062806</v>
      </c>
      <c r="V80" s="834"/>
      <c r="W80" s="585">
        <f t="shared" si="7"/>
        <v>46081</v>
      </c>
      <c r="X80" s="801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98"/>
      <c r="J81" s="798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834"/>
      <c r="W81" s="588"/>
      <c r="X81" s="801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98"/>
      <c r="J82" s="798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834"/>
      <c r="W82" s="716">
        <v>45967</v>
      </c>
      <c r="X82" s="801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98"/>
      <c r="J83" s="798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834"/>
      <c r="W83" s="716">
        <v>45967</v>
      </c>
      <c r="X83" s="801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9"/>
      <c r="J84" s="799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835"/>
      <c r="W84" s="724">
        <v>45995</v>
      </c>
      <c r="X84" s="802"/>
      <c r="Y84" s="483"/>
    </row>
    <row r="85" spans="1:25" ht="13.9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79">
        <f>SUM(G86:G93)</f>
        <v>710967.82608695654</v>
      </c>
      <c r="J86" s="779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30">
        <f>J86-SUM(U86:U93)</f>
        <v>0</v>
      </c>
      <c r="W86" s="590"/>
      <c r="X86" s="782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80"/>
      <c r="J87" s="780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31"/>
      <c r="W87" s="581"/>
      <c r="X87" s="783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80"/>
      <c r="J88" s="780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31"/>
      <c r="W88" s="581"/>
      <c r="X88" s="783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80"/>
      <c r="J89" s="780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31"/>
      <c r="W89" s="581"/>
      <c r="X89" s="783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80"/>
      <c r="J90" s="780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31"/>
      <c r="W90" s="581"/>
      <c r="X90" s="783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80"/>
      <c r="J91" s="780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31"/>
      <c r="W91" s="581"/>
      <c r="X91" s="783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80"/>
      <c r="J92" s="780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31"/>
      <c r="W92" s="581"/>
      <c r="X92" s="783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81"/>
      <c r="J93" s="781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32"/>
      <c r="W93" s="582"/>
      <c r="X93" s="784"/>
      <c r="Y93" s="483"/>
    </row>
    <row r="94" spans="1:25" ht="13.9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97">
        <f>SUM(G95:G115)</f>
        <v>536231.13</v>
      </c>
      <c r="J95" s="797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09">
        <f>J95-SUM(U95:U115)</f>
        <v>4.0846819756552577E-3</v>
      </c>
      <c r="W95" s="584"/>
      <c r="X95" s="800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98"/>
      <c r="J96" s="798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10"/>
      <c r="W96" s="585"/>
      <c r="X96" s="801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98"/>
      <c r="J97" s="798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10"/>
      <c r="W97" s="585"/>
      <c r="X97" s="801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98"/>
      <c r="J98" s="798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10"/>
      <c r="W98" s="585"/>
      <c r="X98" s="801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98"/>
      <c r="J99" s="798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10"/>
      <c r="W99" s="585"/>
      <c r="X99" s="801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98"/>
      <c r="J100" s="798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10"/>
      <c r="W100" s="542">
        <v>45862</v>
      </c>
      <c r="X100" s="801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98"/>
      <c r="J101" s="798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10"/>
      <c r="W101" s="542">
        <v>45867</v>
      </c>
      <c r="X101" s="801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98"/>
      <c r="J102" s="798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10"/>
      <c r="W102" s="585"/>
      <c r="X102" s="801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98"/>
      <c r="J103" s="798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10"/>
      <c r="W103" s="542">
        <v>45890</v>
      </c>
      <c r="X103" s="801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98"/>
      <c r="J104" s="798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10"/>
      <c r="W104" s="585"/>
      <c r="X104" s="801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98"/>
      <c r="J105" s="798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10"/>
      <c r="W105" s="585"/>
      <c r="X105" s="801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98"/>
      <c r="J106" s="798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10"/>
      <c r="W106" s="707">
        <v>45918</v>
      </c>
      <c r="X106" s="801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98"/>
      <c r="J107" s="798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10"/>
      <c r="W107" s="585"/>
      <c r="X107" s="801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98"/>
      <c r="J108" s="798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10"/>
      <c r="W108" s="542">
        <v>45989</v>
      </c>
      <c r="X108" s="801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98"/>
      <c r="J109" s="798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10"/>
      <c r="W109" s="723">
        <v>46009</v>
      </c>
      <c r="X109" s="801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98"/>
      <c r="J110" s="798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10"/>
      <c r="W110" s="585"/>
      <c r="X110" s="801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98"/>
      <c r="J111" s="798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10"/>
      <c r="W111" s="585"/>
      <c r="X111" s="801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98"/>
      <c r="J112" s="798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10"/>
      <c r="W112" s="585"/>
      <c r="X112" s="801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98"/>
      <c r="J113" s="798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10"/>
      <c r="W113" s="585"/>
      <c r="X113" s="801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98"/>
      <c r="J114" s="798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10"/>
      <c r="W114" s="588"/>
      <c r="X114" s="801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9"/>
      <c r="J115" s="799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11"/>
      <c r="W115" s="586"/>
      <c r="X115" s="802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03">
        <f>SUM(G117:G128)</f>
        <v>141305</v>
      </c>
      <c r="J117" s="779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91">
        <f>J117-SUM(U117:U128)</f>
        <v>0</v>
      </c>
      <c r="W117" s="587"/>
      <c r="X117" s="806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04"/>
      <c r="J118" s="780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12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92"/>
      <c r="W118" s="537">
        <v>45869</v>
      </c>
      <c r="X118" s="807"/>
      <c r="Y118" s="483"/>
    </row>
    <row r="119" spans="1:25" ht="15" customHeight="1">
      <c r="B119" s="384">
        <v>9</v>
      </c>
      <c r="C119" s="501"/>
      <c r="D119" s="386"/>
      <c r="E119" s="407"/>
      <c r="F119" s="445"/>
      <c r="G119" s="387"/>
      <c r="H119" s="538"/>
      <c r="I119" s="804"/>
      <c r="J119" s="780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13"/>
      <c r="S119" s="633" t="s">
        <v>407</v>
      </c>
      <c r="T119" s="666">
        <v>45869</v>
      </c>
      <c r="U119" s="676">
        <v>23550.833333333332</v>
      </c>
      <c r="V119" s="792"/>
      <c r="W119" s="538">
        <v>45932</v>
      </c>
      <c r="X119" s="807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04"/>
      <c r="J120" s="780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13"/>
      <c r="S120" s="633" t="s">
        <v>475</v>
      </c>
      <c r="T120" s="669">
        <v>45991</v>
      </c>
      <c r="U120" s="722">
        <v>31401.111111111113</v>
      </c>
      <c r="V120" s="792"/>
      <c r="W120" s="538">
        <v>46003</v>
      </c>
      <c r="X120" s="807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04"/>
      <c r="J121" s="780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13"/>
      <c r="S121" s="633" t="s">
        <v>476</v>
      </c>
      <c r="T121" s="666">
        <v>46022</v>
      </c>
      <c r="U121" s="722">
        <v>39251.388888888891</v>
      </c>
      <c r="V121" s="792"/>
      <c r="W121" s="715">
        <v>46009</v>
      </c>
      <c r="X121" s="807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04"/>
      <c r="J122" s="780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13"/>
      <c r="S122" s="633" t="s">
        <v>477</v>
      </c>
      <c r="T122" s="669">
        <v>46022</v>
      </c>
      <c r="U122" s="722">
        <v>15700.555555555557</v>
      </c>
      <c r="V122" s="792"/>
      <c r="W122" s="715">
        <v>46037</v>
      </c>
      <c r="X122" s="807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04"/>
      <c r="J123" s="780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13"/>
      <c r="S123" s="633" t="s">
        <v>478</v>
      </c>
      <c r="T123" s="669">
        <v>46053</v>
      </c>
      <c r="U123" s="722">
        <v>15700.555555555557</v>
      </c>
      <c r="V123" s="792"/>
      <c r="W123" s="538">
        <v>46051</v>
      </c>
      <c r="X123" s="807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04"/>
      <c r="J124" s="780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13"/>
      <c r="S124" s="633" t="s">
        <v>479</v>
      </c>
      <c r="T124" s="669">
        <v>46053</v>
      </c>
      <c r="U124" s="722">
        <v>7850.2777777777783</v>
      </c>
      <c r="V124" s="792"/>
      <c r="W124" s="538">
        <v>46051</v>
      </c>
      <c r="X124" s="807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04"/>
      <c r="J125" s="780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14"/>
      <c r="S125" s="633"/>
      <c r="T125" s="521">
        <f t="shared" si="8"/>
        <v>46081</v>
      </c>
      <c r="U125" s="505">
        <f t="shared" ref="U123:U128" si="12">(Q125/$X$117*$J$117)</f>
        <v>7850.2777777777783</v>
      </c>
      <c r="V125" s="792"/>
      <c r="W125" s="581">
        <f>W124+30</f>
        <v>46081</v>
      </c>
      <c r="X125" s="807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04"/>
      <c r="J126" s="780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92"/>
      <c r="W126" s="581"/>
      <c r="X126" s="807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04"/>
      <c r="J127" s="780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92"/>
      <c r="W127" s="581"/>
      <c r="X127" s="807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05"/>
      <c r="J128" s="781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93"/>
      <c r="W128" s="582"/>
      <c r="X128" s="808"/>
      <c r="Y128" s="483"/>
    </row>
    <row r="129" spans="1:25" ht="13.9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785">
        <f>SUM(G130:G144)</f>
        <v>25300</v>
      </c>
      <c r="J130" s="785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794">
        <f>J130-SUM(U130:U144)</f>
        <v>0</v>
      </c>
      <c r="W130" s="591"/>
      <c r="X130" s="78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786"/>
      <c r="J131" s="786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795"/>
      <c r="W131" s="592"/>
      <c r="X131" s="789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786"/>
      <c r="J132" s="786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795"/>
      <c r="W132" s="592"/>
      <c r="X132" s="789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786"/>
      <c r="J133" s="786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795"/>
      <c r="W133" s="592"/>
      <c r="X133" s="789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786"/>
      <c r="J134" s="786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15" t="s">
        <v>405</v>
      </c>
      <c r="S134" s="646" t="s">
        <v>406</v>
      </c>
      <c r="T134" s="731">
        <v>45869</v>
      </c>
      <c r="U134" s="651">
        <v>2811.1111111111113</v>
      </c>
      <c r="V134" s="795"/>
      <c r="W134" s="553">
        <f>W118</f>
        <v>45869</v>
      </c>
      <c r="X134" s="789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786"/>
      <c r="J135" s="786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16"/>
      <c r="S135" s="646" t="s">
        <v>407</v>
      </c>
      <c r="T135" s="731">
        <v>45869</v>
      </c>
      <c r="U135" s="651">
        <v>4216.666666666667</v>
      </c>
      <c r="V135" s="795"/>
      <c r="W135" s="553">
        <f>W119</f>
        <v>45932</v>
      </c>
      <c r="X135" s="789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786"/>
      <c r="J136" s="786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16"/>
      <c r="S136" s="646" t="s">
        <v>407</v>
      </c>
      <c r="T136" s="731">
        <v>45869</v>
      </c>
      <c r="U136" s="651">
        <v>5622.2222222222226</v>
      </c>
      <c r="V136" s="795"/>
      <c r="W136" s="553">
        <f t="shared" ref="W136:W141" si="14">W120</f>
        <v>46003</v>
      </c>
      <c r="X136" s="789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786"/>
      <c r="J137" s="786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16"/>
      <c r="S137" s="646" t="s">
        <v>407</v>
      </c>
      <c r="T137" s="731">
        <v>45869</v>
      </c>
      <c r="U137" s="651">
        <v>7027.7777777777783</v>
      </c>
      <c r="V137" s="795"/>
      <c r="W137" s="691">
        <v>46009</v>
      </c>
      <c r="X137" s="789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786"/>
      <c r="J138" s="786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16"/>
      <c r="S138" s="646" t="s">
        <v>407</v>
      </c>
      <c r="T138" s="731">
        <v>45869</v>
      </c>
      <c r="U138" s="651">
        <v>2811.1111111111113</v>
      </c>
      <c r="V138" s="795"/>
      <c r="W138" s="553">
        <v>46051</v>
      </c>
      <c r="X138" s="789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786"/>
      <c r="J139" s="786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16"/>
      <c r="S139" s="646" t="s">
        <v>407</v>
      </c>
      <c r="T139" s="731">
        <v>45869</v>
      </c>
      <c r="U139" s="651">
        <v>2811.1111111111113</v>
      </c>
      <c r="V139" s="795"/>
      <c r="W139" s="553">
        <f t="shared" si="14"/>
        <v>46051</v>
      </c>
      <c r="X139" s="789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786"/>
      <c r="J140" s="786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16"/>
      <c r="S140" s="646" t="s">
        <v>407</v>
      </c>
      <c r="T140" s="731">
        <v>45869</v>
      </c>
      <c r="U140" s="651">
        <v>1405.5555555555557</v>
      </c>
      <c r="V140" s="795"/>
      <c r="W140" s="553">
        <f t="shared" si="14"/>
        <v>46051</v>
      </c>
      <c r="X140" s="789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786"/>
      <c r="J141" s="786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17"/>
      <c r="S141" s="646" t="s">
        <v>407</v>
      </c>
      <c r="T141" s="731">
        <v>45869</v>
      </c>
      <c r="U141" s="651">
        <v>1405.5555555555557</v>
      </c>
      <c r="V141" s="795"/>
      <c r="W141" s="593">
        <f t="shared" si="14"/>
        <v>46081</v>
      </c>
      <c r="X141" s="789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786"/>
      <c r="J142" s="786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795"/>
      <c r="W142" s="593"/>
      <c r="X142" s="789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786"/>
      <c r="J143" s="786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795"/>
      <c r="W143" s="593"/>
      <c r="X143" s="789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787"/>
      <c r="J144" s="787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796"/>
      <c r="W144" s="594"/>
      <c r="X144" s="790"/>
      <c r="Y144" s="483"/>
    </row>
    <row r="145" spans="1:25" ht="13.9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79">
        <f>SUM(G146:G150)</f>
        <v>29000</v>
      </c>
      <c r="J146" s="779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91">
        <f>J146-SUM(U146:U150)</f>
        <v>0</v>
      </c>
      <c r="W146" s="729">
        <v>46045</v>
      </c>
      <c r="X146" s="782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80"/>
      <c r="J147" s="780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92"/>
      <c r="W147" s="580"/>
      <c r="X147" s="783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80"/>
      <c r="J148" s="780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92"/>
      <c r="W148" s="580"/>
      <c r="X148" s="783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80"/>
      <c r="J149" s="780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92"/>
      <c r="W149" s="581">
        <v>46079</v>
      </c>
      <c r="X149" s="783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81"/>
      <c r="J150" s="781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93"/>
      <c r="W150" s="582"/>
      <c r="X150" s="784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785">
        <f>SUM(G152:G153)</f>
        <v>23202.107764536588</v>
      </c>
      <c r="J152" s="785">
        <v>0</v>
      </c>
      <c r="K152" s="818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78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787"/>
      <c r="J153" s="787"/>
      <c r="K153" s="819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790"/>
      <c r="Y153" s="483"/>
    </row>
    <row r="154" spans="1:25" ht="14.2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79">
        <f>SUM(G155:G159)</f>
        <v>31077.824780978262</v>
      </c>
      <c r="J155" s="779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91">
        <f>J155-SUM(U155:U160)</f>
        <v>0</v>
      </c>
      <c r="W155" s="587">
        <v>46079</v>
      </c>
      <c r="X155" s="782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80"/>
      <c r="J156" s="780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92"/>
      <c r="W156" s="580"/>
      <c r="X156" s="783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80"/>
      <c r="J157" s="780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92"/>
      <c r="W157" s="580"/>
      <c r="X157" s="783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80"/>
      <c r="J158" s="780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92"/>
      <c r="W158" s="580"/>
      <c r="X158" s="783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80"/>
      <c r="J159" s="780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92"/>
      <c r="W159" s="580"/>
      <c r="X159" s="783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81"/>
      <c r="J160" s="781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93"/>
      <c r="W160" s="582"/>
      <c r="X160" s="784"/>
      <c r="Y160" s="483"/>
    </row>
    <row r="161" spans="1:25" ht="14.2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785">
        <f>SUM(G162:G173)</f>
        <v>2450</v>
      </c>
      <c r="J162" s="785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794">
        <v>0</v>
      </c>
      <c r="W162" s="591"/>
      <c r="X162" s="78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786"/>
      <c r="J163" s="786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795"/>
      <c r="W163" s="553">
        <v>45777</v>
      </c>
      <c r="X163" s="789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786"/>
      <c r="J164" s="786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795"/>
      <c r="W164" s="553">
        <v>45808</v>
      </c>
      <c r="X164" s="789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786"/>
      <c r="J165" s="786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795"/>
      <c r="W165" s="553">
        <v>45842</v>
      </c>
      <c r="X165" s="789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786"/>
      <c r="J166" s="786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795"/>
      <c r="W166" s="553">
        <v>45876</v>
      </c>
      <c r="X166" s="789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786"/>
      <c r="J167" s="786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795"/>
      <c r="W167" s="553">
        <v>45905</v>
      </c>
      <c r="X167" s="789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786"/>
      <c r="J168" s="786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795"/>
      <c r="W168" s="691">
        <v>45940</v>
      </c>
      <c r="X168" s="789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786"/>
      <c r="J169" s="786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795"/>
      <c r="W169" s="691">
        <v>45967</v>
      </c>
      <c r="X169" s="789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786"/>
      <c r="J170" s="786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795"/>
      <c r="W170" s="691">
        <v>45996</v>
      </c>
      <c r="X170" s="789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786"/>
      <c r="J171" s="786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795"/>
      <c r="W171" s="691">
        <v>46022</v>
      </c>
      <c r="X171" s="789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786"/>
      <c r="J172" s="786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795"/>
      <c r="W172" s="691">
        <v>46058</v>
      </c>
      <c r="X172" s="789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787"/>
      <c r="J173" s="787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2:U173" si="17">(Q173/$X$162*$J$162)</f>
        <v>181.79878095383958</v>
      </c>
      <c r="V173" s="796"/>
      <c r="W173" s="594">
        <f>T173+7</f>
        <v>46088</v>
      </c>
      <c r="X173" s="790"/>
      <c r="Y173" s="483"/>
    </row>
    <row r="174" spans="1:25" ht="14.2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79">
        <f>SUM(G175:G186)</f>
        <v>0</v>
      </c>
      <c r="J175" s="779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91">
        <v>0</v>
      </c>
      <c r="W175" s="587"/>
      <c r="X175" s="782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80"/>
      <c r="J176" s="780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92"/>
      <c r="W176" s="580"/>
      <c r="X176" s="783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80"/>
      <c r="J177" s="780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92"/>
      <c r="W177" s="580"/>
      <c r="X177" s="783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80"/>
      <c r="J178" s="780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92"/>
      <c r="W178" s="580"/>
      <c r="X178" s="783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80"/>
      <c r="J179" s="780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92"/>
      <c r="W179" s="580"/>
      <c r="X179" s="783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80"/>
      <c r="J180" s="780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92"/>
      <c r="W180" s="580"/>
      <c r="X180" s="783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80"/>
      <c r="J181" s="780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92"/>
      <c r="W181" s="580"/>
      <c r="X181" s="783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80"/>
      <c r="J182" s="780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92"/>
      <c r="W182" s="580"/>
      <c r="X182" s="783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80"/>
      <c r="J183" s="780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92"/>
      <c r="W183" s="580"/>
      <c r="X183" s="783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80"/>
      <c r="J184" s="780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92"/>
      <c r="W184" s="580"/>
      <c r="X184" s="783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80"/>
      <c r="J185" s="780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92"/>
      <c r="W185" s="580"/>
      <c r="X185" s="783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81"/>
      <c r="J186" s="781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93"/>
      <c r="W186" s="582"/>
      <c r="X186" s="784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40"/>
    <mergeCell ref="V42:V56"/>
    <mergeCell ref="X21:X40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B2:G2"/>
    <mergeCell ref="L2:Q2"/>
    <mergeCell ref="I6:I11"/>
    <mergeCell ref="J6:J11"/>
    <mergeCell ref="R2:W2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199203.46239203503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3183158.379999999</v>
      </c>
      <c r="AZ12" s="214">
        <f t="shared" si="111"/>
        <v>3276382.0255980077</v>
      </c>
      <c r="BA12" s="214">
        <f t="shared" si="111"/>
        <v>3276882.0255980077</v>
      </c>
      <c r="BB12" s="214">
        <f t="shared" si="111"/>
        <v>3276882.0255980077</v>
      </c>
      <c r="BC12" s="214">
        <f t="shared" si="111"/>
        <v>3276882.0255980077</v>
      </c>
      <c r="BD12" s="214">
        <f t="shared" si="111"/>
        <v>3276882.0255980077</v>
      </c>
      <c r="BE12" s="214">
        <f t="shared" si="111"/>
        <v>3276882.0255980077</v>
      </c>
      <c r="BF12" s="214">
        <f t="shared" si="111"/>
        <v>3276882.0255980077</v>
      </c>
      <c r="BG12" s="214">
        <f t="shared" si="111"/>
        <v>3276882.0255980077</v>
      </c>
      <c r="BH12" s="214">
        <f t="shared" si="111"/>
        <v>3276882.0255980077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601707.40544866631</v>
      </c>
      <c r="AZ14" s="207">
        <f t="shared" si="134"/>
        <v>508483.75985065755</v>
      </c>
      <c r="BA14" s="207">
        <f t="shared" si="134"/>
        <v>707187.22224269249</v>
      </c>
      <c r="BB14" s="207">
        <f t="shared" si="134"/>
        <v>707187.22224269249</v>
      </c>
      <c r="BC14" s="207">
        <f t="shared" si="134"/>
        <v>707187.22224269249</v>
      </c>
      <c r="BD14" s="207">
        <f t="shared" si="134"/>
        <v>707187.22224269249</v>
      </c>
      <c r="BE14" s="207">
        <f t="shared" si="134"/>
        <v>707187.22224269249</v>
      </c>
      <c r="BF14" s="207">
        <f t="shared" si="134"/>
        <v>707187.22224269249</v>
      </c>
      <c r="BG14" s="207">
        <f t="shared" si="134"/>
        <v>707187.22224269249</v>
      </c>
      <c r="BH14" s="207">
        <f t="shared" si="134"/>
        <v>707187.22224269249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43347.786537116022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3986003.9559812299</v>
      </c>
      <c r="BA18" s="214">
        <f t="shared" si="156"/>
        <v>3986003.9559812299</v>
      </c>
      <c r="BB18" s="214">
        <f t="shared" si="156"/>
        <v>3986003.9559812299</v>
      </c>
      <c r="BC18" s="214">
        <f t="shared" si="156"/>
        <v>3986003.9559812299</v>
      </c>
      <c r="BD18" s="214">
        <f t="shared" si="156"/>
        <v>3986003.9559812299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Normal="100" workbookViewId="0">
      <selection activeCell="I11" sqref="I11"/>
    </sheetView>
  </sheetViews>
  <sheetFormatPr defaultColWidth="12.28515625" defaultRowHeight="14.25"/>
  <cols>
    <col min="1" max="1" width="39.42578125" style="366" bestFit="1" customWidth="1"/>
    <col min="2" max="2" width="17.28515625" style="367" bestFit="1" customWidth="1"/>
    <col min="3" max="5" width="10.5703125" style="366" bestFit="1" customWidth="1"/>
    <col min="6" max="7" width="14.85546875" style="366" bestFit="1" customWidth="1"/>
    <col min="8" max="11" width="12" style="366" bestFit="1" customWidth="1"/>
    <col min="12" max="12" width="4.85546875" style="366" bestFit="1" customWidth="1"/>
    <col min="13" max="14" width="12" style="366" bestFit="1" customWidth="1"/>
    <col min="15" max="15" width="14.85546875" style="366" bestFit="1" customWidth="1"/>
    <col min="16" max="16" width="14.7109375" style="366" bestFit="1" customWidth="1"/>
    <col min="17" max="18" width="11.42578125" style="366" bestFit="1" customWidth="1"/>
    <col min="19" max="19" width="13.5703125" style="366" bestFit="1" customWidth="1"/>
    <col min="20" max="16384" width="12.2851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42578125" defaultRowHeight="14.25"/>
  <cols>
    <col min="1" max="1" width="21.7109375" bestFit="1" customWidth="1"/>
    <col min="2" max="2" width="17.28515625" style="408" bestFit="1" customWidth="1"/>
    <col min="3" max="5" width="10.5703125" style="408" bestFit="1" customWidth="1"/>
    <col min="6" max="7" width="14.85546875" style="408" bestFit="1" customWidth="1"/>
    <col min="8" max="8" width="12.140625" style="408" bestFit="1" customWidth="1"/>
    <col min="9" max="9" width="12" style="408" bestFit="1" customWidth="1"/>
    <col min="10" max="10" width="12" bestFit="1" customWidth="1"/>
    <col min="11" max="11" width="13.28515625" bestFit="1" customWidth="1"/>
    <col min="12" max="12" width="4.85546875" bestFit="1" customWidth="1"/>
    <col min="13" max="14" width="12" bestFit="1" customWidth="1"/>
    <col min="15" max="15" width="14.85546875" bestFit="1" customWidth="1"/>
    <col min="16" max="16" width="14.71093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.15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.1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3.15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BA7149D6-04BB-48B0-AC2D-53EC2B709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