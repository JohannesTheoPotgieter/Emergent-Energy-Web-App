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1" documentId="13_ncr:1_{24534C5D-F6FC-4E30-9D4B-2140EB874733}" xr6:coauthVersionLast="47" xr6:coauthVersionMax="47" xr10:uidLastSave="{3C2C89FE-5F90-4F04-9D7B-A7A33E5EF114}"/>
  <bookViews>
    <workbookView xWindow="-108" yWindow="-108" windowWidth="23256" windowHeight="12456" tabRatio="878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N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<sst xmlns="http://schemas.openxmlformats.org/spreadsheetml/2006/main" count="890" uniqueCount="511">
  <si>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</si>
  <si>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</si>
  <si>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</si>
  <si>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</si>
  <si>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</si>
  <si>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</si>
  <si>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</si>
  <si>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</si>
  <si>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</si>
  <si>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</si>
  <si>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</si>
  <si>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</si>
  <si>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</si>
  <si>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</si>
  <si>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</si>
  <si>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</si>
  <si>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</si>
  <si>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</si>
  <si>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</si>
  <si>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</si>
  <si>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</si>
  <si>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</si>
  <si>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</si>
  <si>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</si>
  <si>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</si>
  <si>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</si>
  <si>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</si>
  <si>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</si>
  <si>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</si>
  <si>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</si>
  <si>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</si>
  <si>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</si>
  <si>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</si>
  <si>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</si>
  <si>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</si>
  <si>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</si>
  <si>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</si>
  <si>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</si>
  <si>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</si>
  <si>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</si>
  <si>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</si>
  <si>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</si>
  <si>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</si>
  <si>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</si>
  <si>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</si>
  <si>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</si>
  <si>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</si>
  <si>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</si>
  <si>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</si>
  <si>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</si>
  <si>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</si>
  <si>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</si>
  <si>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</si>
  <si>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</si>
  <si>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</si>
  <si>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</si>
  <si>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</si>
  <si>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</si>
  <si>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</si>
  <si>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</si>
  <si>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</si>
  <si>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</si>
  <si>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</si>
  <si>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</si>
  <si>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</si>
  <si>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</si>
  <si>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</si>
  <si>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</si>
  <si>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</si>
  <si>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</si>
  <si>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</si>
  <si>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</si>
  <si>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</si>
  <si>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</si>
  <si>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</si>
  <si>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</si>
  <si>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</si>
  <si>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</si>
  <si>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</si>
  <si>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</si>
  <si>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</si>
  <si>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</si>
  <si>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</si>
  <si>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</si>
  <si>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</si>
  <si>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</si>
  <si>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</si>
  <si>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</si>
  <si>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</si>
  <si>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</si>
  <si>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</si>
  <si>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</si>
  <si>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</si>
  <si>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</si>
  <si>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</si>
  <si>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</si>
  <si>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</si>
  <si>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</si>
  <si>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</si>
  <si>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</si>
  <si>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</si>
  <si>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</si>
  <si>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</si>
  <si>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</si>
  <si>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</si>
  <si>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</si>
  <si>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</si>
  <si>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</si>
  <si>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</si>
  <si>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</si>
  <si>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</si>
  <si>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</si>
  <si>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</si>
  <si>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</si>
  <si>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</si>
  <si>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</si>
  <si>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</si>
  <si>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</si>
  <si>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</si>
  <si>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</si>
  <si>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</si>
  <si>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</si>
  <si>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</si>
  <si>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</si>
  <si>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</si>
  <si>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</si>
  <si>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</si>
  <si>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</si>
  <si>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</si>
  <si>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</si>
  <si>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</si>
  <si>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</si>
  <si>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</si>
  <si>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</si>
  <si>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</si>
  <si>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</si>
  <si>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</si>
  <si>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</si>
  <si>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</si>
  <si>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</si>
  <si>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</si>
  <si>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</si>
  <si>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</si>
  <si>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</si>
  <si>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</si>
  <si>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</si>
  <si>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</si>
  <si>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</si>
  <si>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</si>
  <si>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</si>
  <si>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</si>
  <si>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</si>
  <si>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</si>
  <si>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</si>
  <si>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</si>
  <si>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</si>
  <si>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</si>
  <si>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</si>
  <si>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</si>
  <si>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</si>
  <si>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</si>
  <si>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</si>
  <si>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</si>
  <si>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</si>
  <si>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</si>
  <si>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</si>
  <si>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</si>
  <si>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</si>
  <si>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</si>
  <si>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</si>
  <si>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</si>
  <si>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</si>
  <si>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</si>
  <si>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</si>
  <si>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</si>
  <si>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</si>
  <si>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</si>
  <si>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</si>
  <si>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</si>
  <si>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</si>
  <si>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</si>
  <si>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</si>
  <si>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</si>
  <si>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</si>
  <si>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</si>
  <si>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</si>
  <si>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</si>
  <si>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</si>
  <si>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</si>
  <si>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</si>
  <si>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</si>
  <si>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</si>
  <si>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</si>
  <si>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</si>
  <si>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</si>
  <si>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</si>
  <si>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</si>
  <si>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</si>
  <si>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</si>
  <si>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</si>
  <si>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</si>
  <si>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</si>
  <si>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</si>
  <si>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</si>
  <si>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</si>
  <si>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</si>
  <si>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</si>
  <si>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</si>
  <si>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</si>
  <si>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</si>
  <si>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</si>
  <si>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</si>
  <si>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</si>
  <si>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</si>
  <si>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</si>
  <si>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</si>
  <si>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</si>
  <si>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</si>
  <si>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</si>
  <si>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</si>
  <si>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</si>
  <si>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</si>
  <si>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</si>
  <si>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</si>
  <si>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</si>
  <si>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</si>
  <si>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</si>
  <si>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</si>
  <si>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</si>
  <si>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</si>
  <si>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</si>
  <si>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</si>
  <si>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</si>
  <si>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</si>
  <si>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</si>
  <si>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</si>
  <si>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</si>
  <si>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</si>
  <si>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</si>
  <si>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</si>
  <si>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</si>
  <si>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</si>
  <si>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</si>
  <si>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</si>
  <si>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</si>
  <si>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</si>
  <si>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</si>
  <si>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</si>
  <si>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</si>
  <si>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</si>
  <si>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</si>
  <si>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</si>
  <si>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</si>
  <si>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</si>
  <si>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</si>
  <si>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</si>
  <si>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</si>
  <si>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</si>
  <si>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</si>
  <si>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</si>
  <si>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</si>
  <si>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</si>
  <si>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</si>
  <si>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</si>
  <si>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</si>
  <si>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</si>
  <si>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</si>
  <si>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</si>
  <si>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</si>
  <si>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</si>
  <si>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</si>
  <si>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</si>
  <si>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</si>
  <si>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</si>
  <si>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</si>
  <si>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</si>
  <si>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</si>
  <si>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</si>
  <si>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</si>
  <si>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</si>
  <si>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</si>
  <si>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</si>
  <si>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</si>
  <si>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</si>
  <si>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</si>
  <si>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</si>
  <si>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</si>
  <si>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</si>
  <si>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</si>
  <si>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</si>
  <si>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</si>
  <si>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</si>
  <si>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</si>
  <si>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</si>
  <si>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</si>
  <si>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</si>
  <si>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</si>
  <si>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</si>
  <si>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</si>
  <si>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</si>
  <si>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</si>
  <si>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</si>
  <si>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</si>
  <si>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</si>
  <si>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</si>
  <si>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</si>
  <si>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</si>
  <si>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</si>
  <si>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</si>
  <si>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</si>
  <si>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</si>
  <si>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</si>
  <si>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</si>
  <si>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</si>
  <si>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</si>
  <si>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</si>
  <si>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</si>
  <si>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</si>
  <si>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</si>
  <si>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</si>
  <si>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</si>
  <si>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</si>
  <si>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</si>
  <si>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</si>
  <si>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</si>
  <si>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</si>
  <si>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</si>
  <si>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</si>
  <si>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</si>
  <si>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</si>
  <si>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</si>
  <si>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</si>
  <si>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</si>
  <si>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>Inverter Cage</t>
  </si>
  <si>
    <t>PO3979-GILL-20250603 - RV Approved</t>
  </si>
  <si>
    <t>The Engineering Hub INV/2025/06/0578</t>
  </si>
  <si>
    <t>Krannich - INV 15-10013984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</si>
  <si>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</si>
  <si>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</si>
  <si>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</si>
  <si>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</si>
  <si>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</si>
  <si>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</si>
  <si>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</si>
  <si>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</si>
  <si>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</si>
  <si>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</si>
  <si>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</si>
  <si>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</si>
  <si>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</si>
  <si>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</si>
  <si>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</si>
  <si>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</si>
  <si>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</si>
  <si>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</si>
  <si>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</si>
  <si>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</si>
  <si>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</si>
  <si>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</si>
  <si>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</si>
  <si>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</si>
  <si>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</si>
  <si>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</si>
  <si>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</si>
  <si>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</si>
  <si>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</si>
  <si>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</si>
  <si>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</si>
  <si>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</si>
  <si>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</si>
  <si>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</si>
  <si>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</si>
  <si>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</si>
  <si>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</si>
  <si>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</si>
  <si>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</si>
  <si>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</si>
  <si>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</si>
  <si>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</si>
  <si>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</si>
  <si>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</si>
  <si>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</si>
  <si>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</si>
  <si>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</si>
  <si>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</si>
  <si>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</si>
  <si>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</si>
  <si>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</si>
  <si>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</si>
  <si>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</si>
  <si>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</si>
  <si>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</si>
  <si>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</si>
  <si>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</si>
  <si>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</si>
  <si>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</si>
  <si>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</si>
  <si>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</si>
  <si>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</si>
  <si>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</si>
  <si>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</si>
  <si>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</si>
  <si>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</si>
  <si>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</si>
  <si>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</si>
  <si>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</si>
  <si>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</si>
  <si>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</si>
  <si>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</si>
  <si>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</si>
  <si>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</si>
  <si>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</si>
  <si>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</si>
  <si>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</si>
  <si>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</si>
  <si>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</si>
  <si>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</si>
  <si>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</si>
  <si>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</si>
  <si>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</si>
  <si>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</si>
  <si>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</si>
  <si>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</si>
  <si>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</si>
  <si>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</si>
  <si>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</si>
  <si>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</si>
  <si>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</si>
  <si>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</si>
  <si>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</si>
  <si>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</si>
  <si>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</si>
  <si>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</si>
  <si>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</si>
  <si>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</si>
  <si>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</si>
  <si>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</si>
  <si>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</si>
  <si>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</si>
  <si>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</si>
  <si>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</si>
  <si>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</si>
  <si>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</si>
  <si>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</si>
  <si>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</si>
  <si>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</si>
  <si>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</si>
  <si>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</si>
  <si>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</si>
  <si>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</si>
  <si>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</si>
  <si>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</si>
  <si>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</si>
  <si>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</si>
  <si>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</si>
  <si>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</si>
  <si>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</si>
  <si>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</si>
  <si>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</si>
  <si>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</si>
  <si>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</si>
  <si>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</si>
  <si>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</si>
  <si>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</si>
  <si>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</si>
  <si>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</si>
  <si>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</si>
  <si>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</si>
  <si>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</si>
  <si>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</si>
  <si>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</si>
  <si>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</si>
  <si>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</si>
  <si>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</si>
  <si>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</si>
  <si>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</si>
  <si>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</si>
  <si>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</si>
  <si>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</si>
  <si>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</si>
  <si>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</si>
  <si>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</si>
  <si>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</si>
  <si>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</si>
  <si>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</si>
  <si>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</si>
  <si>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</si>
  <si>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</si>
  <si>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</si>
  <si>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</si>
  <si>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</si>
  <si>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</si>
  <si>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</si>
  <si>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</si>
  <si>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</si>
  <si>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</si>
  <si>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</si>
  <si>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</si>
  <si>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</si>
  <si>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</si>
  <si>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</si>
  <si>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</si>
  <si>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Cosmic Sun - Establishment and Re-establishment - VO</t>
  </si>
  <si>
    <t>Longi 610w panels (replacement - damaged by installer) - VO</t>
  </si>
  <si>
    <t>CS payment for broken panels - VO</t>
  </si>
  <si>
    <t>Additional DC Cable - Rubicon - VO</t>
  </si>
  <si>
    <t>VO PM Limit</t>
  </si>
  <si>
    <t>Current VO Total</t>
  </si>
  <si>
    <t xml:space="preserve">Inverter Cage Modification </t>
  </si>
  <si>
    <t>The Engineering Hub INV/2026/01/0250</t>
  </si>
  <si>
    <t>PO4575-DIP2GILL-20260126 -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</si>
</sst>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649797.31503231265</c:v>
                </c:pt>
                <c:pt idx="47">
                  <c:v>649797.31503231265</c:v>
                </c:pt>
                <c:pt idx="48">
                  <c:v>649797.31503231265</c:v>
                </c:pt>
                <c:pt idx="49">
                  <c:v>649797.31503231265</c:v>
                </c:pt>
                <c:pt idx="50">
                  <c:v>649797.31503231265</c:v>
                </c:pt>
                <c:pt idx="51">
                  <c:v>649797.31503231265</c:v>
                </c:pt>
                <c:pt idx="52">
                  <c:v>649797.31503231265</c:v>
                </c:pt>
                <c:pt idx="53">
                  <c:v>649797.31503231265</c:v>
                </c:pt>
                <c:pt idx="54">
                  <c:v>649797.31503231265</c:v>
                </c:pt>
                <c:pt idx="55">
                  <c:v>649797.31503231265</c:v>
                </c:pt>
                <c:pt idx="56">
                  <c:v>649797.31503231265</c:v>
                </c:pt>
                <c:pt idx="57">
                  <c:v>649797.31503231265</c:v>
                </c:pt>
                <c:pt idx="58">
                  <c:v>649797.31503231265</c:v>
                </c:pt>
                <c:pt idx="59">
                  <c:v>649797.31503231265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7712531.4215723816</c:v>
                </c:pt>
                <c:pt idx="58">
                  <c:v>7712531.4215723816</c:v>
                </c:pt>
                <c:pt idx="59">
                  <c:v>7712531.4215723816</c:v>
                </c:pt>
                <c:pt idx="60">
                  <c:v>7712531.4215723816</c:v>
                </c:pt>
                <c:pt idx="61">
                  <c:v>7712531.4215723816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1854157.5042180084</c:v>
                </c:pt>
                <c:pt idx="58">
                  <c:v>1854157.5042180084</c:v>
                </c:pt>
                <c:pt idx="59">
                  <c:v>1854157.5042180084</c:v>
                </c:pt>
                <c:pt idx="60">
                  <c:v>1854157.5042180084</c:v>
                </c:pt>
                <c:pt idx="61">
                  <c:v>1854157.5042180084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29795717589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1-23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55265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"/>
    <m/>
    <m/>
    <n v="97632.57"/>
    <m/>
    <s v="Krannich - INV 15-10013984"/>
    <x v="7"/>
    <n v="0"/>
    <m/>
    <d v="2025-11-28T00:00:00"/>
    <m/>
  </r>
  <r>
    <n v="8"/>
    <x v="8"/>
    <s v="CS payment for broken panels"/>
    <m/>
    <m/>
    <n v="-60000"/>
    <m/>
    <s v="Emergent Invoice: 004910"/>
    <x v="8"/>
    <m/>
    <m/>
    <d v="2026-01-22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1-22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4.4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44140625" defaultRowHeight="14.4"/>
  <cols>
    <col min="1" max="1" width="7.21875" customWidth="1"/>
    <col min="2" max="2" width="37.5546875" customWidth="1"/>
    <col min="3" max="3" width="9.4414062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719" t="s">
        <v>58</v>
      </c>
      <c r="C2" s="720"/>
      <c r="D2" s="720"/>
      <c r="E2" s="720"/>
      <c r="F2" s="72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9" t="s">
        <v>69</v>
      </c>
      <c r="C16" s="720"/>
      <c r="D16" s="720"/>
      <c r="E16" s="720"/>
      <c r="F16" s="72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Normal="100" workbookViewId="0">
      <selection activeCell="T48" sqref="T48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21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46050</v>
      </c>
      <c r="P1" s="408">
        <f ca="1">TODAY()</f>
        <v>46050</v>
      </c>
      <c r="R1" s="3"/>
    </row>
    <row r="2" spans="2:29">
      <c r="B2" s="176"/>
      <c r="C2" s="177" t="s">
        <v>0</v>
      </c>
      <c r="D2" s="178"/>
      <c r="E2" s="725" t="s">
        <v>73</v>
      </c>
      <c r="F2" s="726"/>
      <c r="G2" s="726"/>
      <c r="H2" s="727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8" t="s">
        <v>76</v>
      </c>
      <c r="F4" s="729"/>
      <c r="G4" s="729"/>
      <c r="H4" s="730"/>
      <c r="J4" s="113"/>
      <c r="R4" s="3"/>
    </row>
    <row r="5" spans="2:29" s="112" customFormat="1">
      <c r="B5" s="179"/>
      <c r="C5" s="180" t="s">
        <v>77</v>
      </c>
      <c r="D5" s="178"/>
      <c r="E5" s="728" t="s">
        <v>78</v>
      </c>
      <c r="F5" s="729"/>
      <c r="G5" s="729"/>
      <c r="H5" s="730"/>
      <c r="J5" s="113"/>
      <c r="R5" s="3"/>
    </row>
    <row r="6" spans="2:29">
      <c r="B6" s="184"/>
      <c r="C6" s="185" t="s">
        <v>79</v>
      </c>
      <c r="D6" s="178"/>
      <c r="E6" s="731">
        <v>9566688.92579039</v>
      </c>
      <c r="F6" s="732"/>
      <c r="G6" s="732"/>
      <c r="H6" s="733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22" t="s">
        <v>81</v>
      </c>
      <c r="C8" s="723" t="s">
        <v>82</v>
      </c>
      <c r="D8" s="214"/>
      <c r="E8" s="724" t="s">
        <v>83</v>
      </c>
      <c r="F8" s="236" t="s">
        <v>84</v>
      </c>
      <c r="G8" s="724" t="s">
        <v>85</v>
      </c>
      <c r="H8" s="237"/>
      <c r="I8" s="724" t="s">
        <v>86</v>
      </c>
      <c r="J8" s="236" t="s">
        <v>84</v>
      </c>
      <c r="K8" s="724" t="s">
        <v>87</v>
      </c>
      <c r="M8" s="415" t="s">
        <v>60</v>
      </c>
      <c r="N8" s="689" t="s">
        <v>88</v>
      </c>
      <c r="P8" s="734" t="s">
        <v>89</v>
      </c>
      <c r="AA8" s="112"/>
      <c r="AB8" s="112"/>
      <c r="AC8" s="112"/>
    </row>
    <row r="9" spans="2:29">
      <c r="B9" s="722"/>
      <c r="C9" s="723"/>
      <c r="D9" s="214"/>
      <c r="E9" s="724"/>
      <c r="F9" s="126">
        <f>G41-E19</f>
        <v>78</v>
      </c>
      <c r="G9" s="724"/>
      <c r="H9" s="237"/>
      <c r="I9" s="724"/>
      <c r="J9" s="127">
        <f>K41-I19</f>
        <v>138</v>
      </c>
      <c r="K9" s="724"/>
      <c r="M9" s="361">
        <f>AVERAGE(M11,M18,M21,M28,M35,M39,M46,M43)</f>
        <v>0.97983870967741937</v>
      </c>
      <c r="N9" s="361">
        <f ca="1">AVERAGE(N11,N18,N21,N28,N35,N39,N46,N43)</f>
        <v>1</v>
      </c>
      <c r="O9" s="374"/>
      <c r="P9" s="735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0.83870967741935487</v>
      </c>
      <c r="N46" s="360">
        <f ca="1">AVERAGE(N47:N52)</f>
        <v>1</v>
      </c>
      <c r="O46" s="377">
        <f>J46*M46</f>
        <v>40.258064516129032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4"/>
        <v>1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.8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.8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21875" style="129" customWidth="1"/>
    <col min="5" max="5" width="6.5546875" style="129" customWidth="1"/>
    <col min="6" max="6" width="16.21875" style="129" customWidth="1"/>
    <col min="7" max="7" width="11.7773437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18.5546875" style="129" bestFit="1" customWidth="1"/>
    <col min="18" max="18" width="22.21875" style="129" customWidth="1"/>
    <col min="19" max="19" width="16.77734375" style="93" bestFit="1" customWidth="1"/>
    <col min="20" max="20" width="20.44140625" style="129" bestFit="1" customWidth="1"/>
    <col min="21" max="21" width="15.77734375" style="93" bestFit="1" customWidth="1"/>
    <col min="22" max="23" width="8.44140625" style="93"/>
    <col min="24" max="24" width="5.5546875" style="93" bestFit="1" customWidth="1"/>
    <col min="25" max="25" width="14.21875" style="93" bestFit="1" customWidth="1"/>
    <col min="26" max="26" width="8.44140625" style="93"/>
    <col min="27" max="27" width="14.2187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.2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506</v>
      </c>
      <c r="H5" s="93" t="s">
        <v>507</v>
      </c>
      <c r="J5" s="141"/>
      <c r="L5" s="379"/>
      <c r="N5" s="414"/>
    </row>
    <row r="6" spans="1:21" s="93" customFormat="1" ht="15" customHeight="1">
      <c r="B6" s="351">
        <v>3</v>
      </c>
      <c r="C6" s="352" t="s">
        <v>179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180</v>
      </c>
    </row>
    <row r="7" spans="1:21" s="93" customFormat="1" ht="15" customHeight="1" thickBot="1">
      <c r="B7" s="351">
        <v>4</v>
      </c>
      <c r="C7" s="352" t="s">
        <v>181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182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81</v>
      </c>
      <c r="C12" s="132" t="s">
        <v>183</v>
      </c>
      <c r="D12" s="133"/>
      <c r="E12" s="131" t="s">
        <v>184</v>
      </c>
      <c r="F12" s="131" t="s">
        <v>185</v>
      </c>
      <c r="H12" s="356" t="s">
        <v>186</v>
      </c>
      <c r="J12" s="141"/>
      <c r="L12" s="166" t="s">
        <v>187</v>
      </c>
      <c r="M12" s="134"/>
      <c r="N12" s="166" t="s">
        <v>188</v>
      </c>
      <c r="O12" s="129"/>
      <c r="P12" s="166" t="s">
        <v>189</v>
      </c>
      <c r="R12" s="382" t="s">
        <v>190</v>
      </c>
    </row>
    <row r="13" spans="1:21" s="93" customFormat="1" ht="13.2">
      <c r="B13" s="351">
        <v>1</v>
      </c>
      <c r="C13" s="738" t="s">
        <v>191</v>
      </c>
      <c r="D13" s="739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192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8" t="s">
        <v>193</v>
      </c>
      <c r="D14" s="739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192</v>
      </c>
      <c r="N14" s="138">
        <v>45778</v>
      </c>
      <c r="O14" s="129"/>
      <c r="P14" s="138">
        <v>45828</v>
      </c>
      <c r="R14" s="383"/>
    </row>
    <row r="15" spans="1:21" s="93" customFormat="1" ht="13.2">
      <c r="B15" s="351">
        <v>3</v>
      </c>
      <c r="C15" s="738" t="s">
        <v>194</v>
      </c>
      <c r="D15" s="739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192</v>
      </c>
      <c r="N15" s="138">
        <v>45778</v>
      </c>
      <c r="O15" s="129"/>
      <c r="P15" s="138">
        <v>45814</v>
      </c>
      <c r="R15" s="383"/>
    </row>
    <row r="16" spans="1:21" s="93" customFormat="1" ht="13.2">
      <c r="B16" s="351">
        <v>4</v>
      </c>
      <c r="C16" s="736" t="s">
        <v>195</v>
      </c>
      <c r="D16" s="737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192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3.2">
      <c r="B17" s="351">
        <v>5</v>
      </c>
      <c r="C17" s="736" t="s">
        <v>196</v>
      </c>
      <c r="D17" s="737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192</v>
      </c>
      <c r="N17" s="138">
        <v>45778</v>
      </c>
      <c r="O17" s="129"/>
      <c r="P17" s="138">
        <v>45947</v>
      </c>
      <c r="R17" s="383"/>
    </row>
    <row r="18" spans="2:18" s="93" customFormat="1" ht="13.2">
      <c r="B18" s="351">
        <v>6</v>
      </c>
      <c r="C18" s="736" t="s">
        <v>54</v>
      </c>
      <c r="D18" s="737"/>
      <c r="E18" s="135">
        <v>0.05</v>
      </c>
      <c r="F18" s="136">
        <f t="shared" si="0"/>
        <v>478334.44628951955</v>
      </c>
      <c r="G18" s="354"/>
      <c r="H18" s="138">
        <f>'Project Plan'!K51+7</f>
        <v>45999</v>
      </c>
      <c r="J18" s="141"/>
      <c r="L18" s="367" t="s">
        <v>192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3.2">
      <c r="B19" s="351">
        <v>7</v>
      </c>
      <c r="C19" s="738" t="s">
        <v>197</v>
      </c>
      <c r="D19" s="739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.2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198</v>
      </c>
      <c r="C23" s="145" t="s">
        <v>199</v>
      </c>
      <c r="D23" s="145"/>
      <c r="F23" s="146"/>
    </row>
    <row r="24" spans="2:18" s="93" customFormat="1" ht="13.2">
      <c r="C24" s="147" t="s">
        <v>200</v>
      </c>
      <c r="D24" s="148"/>
      <c r="F24" s="149"/>
    </row>
    <row r="25" spans="2:18" s="93" customFormat="1" ht="13.2">
      <c r="C25" s="147" t="s">
        <v>201</v>
      </c>
      <c r="D25" s="148"/>
    </row>
    <row r="26" spans="2:18" s="93" customFormat="1" ht="13.2">
      <c r="C26" s="150" t="s">
        <v>202</v>
      </c>
      <c r="D26" s="151"/>
    </row>
    <row r="27" spans="2:18" s="93" customFormat="1" ht="13.2">
      <c r="C27" s="152" t="s">
        <v>203</v>
      </c>
      <c r="D27" s="148"/>
    </row>
    <row r="28" spans="2:18" s="93" customFormat="1" ht="13.2">
      <c r="B28" s="117"/>
      <c r="C28" s="152" t="s">
        <v>204</v>
      </c>
      <c r="D28" s="148"/>
    </row>
    <row r="29" spans="2:18" s="93" customFormat="1" ht="13.2">
      <c r="B29" s="117"/>
      <c r="C29" s="93" t="s">
        <v>205</v>
      </c>
    </row>
    <row r="30" spans="2:18" s="93" customFormat="1" ht="27.75" customHeight="1">
      <c r="B30" s="117"/>
      <c r="C30" s="153" t="s">
        <v>206</v>
      </c>
      <c r="D30" s="153"/>
      <c r="F30" s="149"/>
    </row>
    <row r="31" spans="2:18" s="93" customFormat="1" ht="13.2">
      <c r="B31" s="117"/>
      <c r="F31" s="146"/>
      <c r="L31" s="11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183</v>
      </c>
      <c r="D40" s="133"/>
      <c r="E40" s="131" t="s">
        <v>184</v>
      </c>
      <c r="F40" s="131" t="s">
        <v>185</v>
      </c>
    </row>
    <row r="41" spans="2:6" s="93" customFormat="1" ht="12.75" hidden="1" customHeight="1">
      <c r="B41" s="154">
        <v>1</v>
      </c>
      <c r="C41" s="155" t="s">
        <v>207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193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194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208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209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210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740"/>
      <c r="C4" s="740"/>
      <c r="D4" s="740"/>
      <c r="E4" s="417"/>
      <c r="F4" s="219" t="s">
        <v>166</v>
      </c>
      <c r="G4" s="214"/>
      <c r="H4" s="219" t="s">
        <v>167</v>
      </c>
      <c r="I4" s="214"/>
      <c r="J4" s="220" t="s">
        <v>211</v>
      </c>
      <c r="K4" s="112"/>
      <c r="L4" s="112"/>
    </row>
    <row r="5" spans="1:12" ht="14.4" thickBot="1">
      <c r="A5" s="214"/>
      <c r="B5" s="741" t="s">
        <v>212</v>
      </c>
      <c r="C5" s="741"/>
      <c r="D5" s="741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213</v>
      </c>
      <c r="E7" s="225"/>
      <c r="F7" s="226" t="s">
        <v>214</v>
      </c>
      <c r="G7" s="227"/>
      <c r="H7" s="226" t="s">
        <v>215</v>
      </c>
      <c r="I7" s="227"/>
      <c r="J7" s="226" t="s">
        <v>216</v>
      </c>
      <c r="K7" s="172"/>
      <c r="L7" s="115" t="s">
        <v>217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218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O1" zoomScale="85" zoomScaleNormal="85" workbookViewId="0">
      <pane ySplit="4" topLeftCell="A104" activePane="bottomLeft" state="frozen"/>
      <selection activeCell="X33" sqref="X33"/>
      <selection pane="bottomLeft" activeCell="W121" sqref="W121"/>
    </sheetView>
  </sheetViews>
  <sheetFormatPr defaultColWidth="9.44140625" defaultRowHeight="13.8"/>
  <cols>
    <col min="1" max="1" width="2.44140625" style="112" customWidth="1"/>
    <col min="2" max="2" width="6.44140625" style="24" customWidth="1"/>
    <col min="3" max="3" width="20.44140625" style="24" customWidth="1"/>
    <col min="4" max="4" width="51.5546875" style="24" customWidth="1"/>
    <col min="5" max="5" width="8.44140625" style="70" customWidth="1"/>
    <col min="6" max="6" width="16.5546875" style="478" customWidth="1"/>
    <col min="7" max="7" width="17.44140625" style="24" customWidth="1"/>
    <col min="8" max="8" width="17.44140625" style="112" customWidth="1"/>
    <col min="9" max="10" width="22.44140625" style="349" customWidth="1"/>
    <col min="11" max="12" width="5.5546875" style="112" customWidth="1"/>
    <col min="13" max="13" width="25.5546875" style="112" customWidth="1"/>
    <col min="14" max="14" width="52.21875" style="112" bestFit="1" customWidth="1"/>
    <col min="15" max="15" width="15.77734375" style="112" customWidth="1"/>
    <col min="16" max="17" width="17.44140625" style="112" customWidth="1"/>
    <col min="18" max="18" width="46.5546875" style="112" bestFit="1" customWidth="1"/>
    <col min="19" max="19" width="36.44140625" style="112" bestFit="1" customWidth="1"/>
    <col min="20" max="23" width="17.44140625" style="112" customWidth="1"/>
    <col min="24" max="24" width="21.21875" style="112" customWidth="1"/>
    <col min="25" max="25" width="29.44140625" style="112" bestFit="1" customWidth="1"/>
    <col min="26" max="26" width="24.44140625" style="112" bestFit="1" customWidth="1"/>
    <col min="27" max="27" width="4.5546875" style="112" customWidth="1"/>
    <col min="28" max="28" width="27.44140625" style="112" customWidth="1"/>
    <col min="29" max="29" width="24.44140625" style="112" customWidth="1"/>
    <col min="30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42" t="s">
        <v>219</v>
      </c>
      <c r="C2" s="743"/>
      <c r="D2" s="743"/>
      <c r="E2" s="743"/>
      <c r="F2" s="743"/>
      <c r="G2" s="743"/>
      <c r="H2" s="688"/>
      <c r="I2" s="257">
        <f>SUM(I6:I159)</f>
        <v>8916891.6107580774</v>
      </c>
      <c r="J2" s="257">
        <f>SUM(J6:J159)</f>
        <v>9566688.9257903844</v>
      </c>
      <c r="L2" s="744" t="s">
        <v>220</v>
      </c>
      <c r="M2" s="745"/>
      <c r="N2" s="745"/>
      <c r="O2" s="745"/>
      <c r="P2" s="745"/>
      <c r="Q2" s="745"/>
      <c r="R2" s="749" t="s">
        <v>221</v>
      </c>
      <c r="S2" s="750"/>
      <c r="T2" s="750"/>
      <c r="U2" s="750"/>
      <c r="V2" s="750"/>
      <c r="W2" s="751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" thickBot="1">
      <c r="A4" s="165"/>
      <c r="B4" s="258" t="s">
        <v>222</v>
      </c>
      <c r="C4" s="259" t="s">
        <v>223</v>
      </c>
      <c r="D4" s="259" t="s">
        <v>224</v>
      </c>
      <c r="E4" s="259" t="s">
        <v>225</v>
      </c>
      <c r="F4" s="469" t="s">
        <v>226</v>
      </c>
      <c r="G4" s="260" t="s">
        <v>227</v>
      </c>
      <c r="H4" s="370" t="s">
        <v>228</v>
      </c>
      <c r="I4" s="261" t="s">
        <v>229</v>
      </c>
      <c r="J4" s="261" t="str">
        <f>IF(J2-'Revenue Tracking'!D4&gt;=0, "Total Revenue", "ERROR on REV" )</f>
        <v>ERROR on REV</v>
      </c>
      <c r="K4" s="165"/>
      <c r="L4" s="258" t="s">
        <v>222</v>
      </c>
      <c r="M4" s="259" t="s">
        <v>230</v>
      </c>
      <c r="N4" s="259" t="s">
        <v>224</v>
      </c>
      <c r="O4" s="259" t="s">
        <v>225</v>
      </c>
      <c r="P4" s="469" t="s">
        <v>226</v>
      </c>
      <c r="Q4" s="372" t="s">
        <v>231</v>
      </c>
      <c r="R4" s="625" t="s">
        <v>232</v>
      </c>
      <c r="S4" s="626" t="s">
        <v>187</v>
      </c>
      <c r="T4" s="370" t="s">
        <v>188</v>
      </c>
      <c r="U4" s="371" t="s">
        <v>233</v>
      </c>
      <c r="V4" s="372" t="s">
        <v>234</v>
      </c>
      <c r="W4" s="370" t="s">
        <v>228</v>
      </c>
      <c r="X4" s="487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235</v>
      </c>
      <c r="D6" s="281" t="s">
        <v>236</v>
      </c>
      <c r="E6" s="282"/>
      <c r="F6" s="441"/>
      <c r="G6" s="395">
        <f>D160</f>
        <v>2190166.44</v>
      </c>
      <c r="H6" s="680">
        <v>45867</v>
      </c>
      <c r="I6" s="746">
        <f>SUM(G6:G11)</f>
        <v>2190166.44</v>
      </c>
      <c r="J6" s="746">
        <f>F160</f>
        <v>2406776.3076923075</v>
      </c>
      <c r="K6" s="392"/>
      <c r="L6" s="280">
        <v>1</v>
      </c>
      <c r="M6" s="421" t="s">
        <v>237</v>
      </c>
      <c r="N6" s="281" t="s">
        <v>238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55" t="s">
        <v>239</v>
      </c>
      <c r="S6" s="628" t="s">
        <v>240</v>
      </c>
      <c r="T6" s="663">
        <v>45808</v>
      </c>
      <c r="U6" s="664">
        <v>2277667.0782100316</v>
      </c>
      <c r="V6" s="752">
        <f>J6-SUM(U6:U11)</f>
        <v>3.8953833281993866E-3</v>
      </c>
      <c r="W6" s="680">
        <v>45867</v>
      </c>
      <c r="X6" s="767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241</v>
      </c>
      <c r="E7" s="394"/>
      <c r="F7" s="463"/>
      <c r="G7" s="314"/>
      <c r="H7" s="681">
        <f>H6</f>
        <v>45867</v>
      </c>
      <c r="I7" s="747"/>
      <c r="J7" s="747"/>
      <c r="K7" s="287"/>
      <c r="L7" s="310">
        <v>1</v>
      </c>
      <c r="M7" s="312" t="s">
        <v>237</v>
      </c>
      <c r="N7" s="393" t="s">
        <v>242</v>
      </c>
      <c r="O7" s="555"/>
      <c r="P7" s="448"/>
      <c r="Q7" s="624">
        <v>34393.800000000003</v>
      </c>
      <c r="R7" s="756"/>
      <c r="S7" s="628" t="s">
        <v>240</v>
      </c>
      <c r="T7" s="649">
        <f>T6</f>
        <v>45808</v>
      </c>
      <c r="U7" s="665">
        <v>38640.486817480407</v>
      </c>
      <c r="V7" s="753"/>
      <c r="W7" s="681">
        <f>W6</f>
        <v>45867</v>
      </c>
      <c r="X7" s="768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47"/>
      <c r="J8" s="747"/>
      <c r="K8" s="287"/>
      <c r="L8" s="310">
        <v>1</v>
      </c>
      <c r="M8" s="312" t="s">
        <v>237</v>
      </c>
      <c r="N8" s="492" t="s">
        <v>243</v>
      </c>
      <c r="O8" s="556"/>
      <c r="P8" s="448"/>
      <c r="Q8" s="314">
        <v>5526</v>
      </c>
      <c r="R8" s="757"/>
      <c r="S8" s="628" t="s">
        <v>240</v>
      </c>
      <c r="T8" s="649">
        <f>T7</f>
        <v>45808</v>
      </c>
      <c r="U8" s="665">
        <v>6208.308769411834</v>
      </c>
      <c r="V8" s="753"/>
      <c r="W8" s="681">
        <f>W7</f>
        <v>45867</v>
      </c>
      <c r="X8" s="768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47"/>
      <c r="J9" s="747"/>
      <c r="K9" s="287"/>
      <c r="L9" s="310">
        <v>1</v>
      </c>
      <c r="M9" s="312" t="s">
        <v>237</v>
      </c>
      <c r="N9" s="492" t="s">
        <v>244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53"/>
      <c r="W9" s="578"/>
      <c r="X9" s="768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47"/>
      <c r="J10" s="747"/>
      <c r="K10" s="287"/>
      <c r="L10" s="310">
        <v>1</v>
      </c>
      <c r="M10" s="312" t="s">
        <v>237</v>
      </c>
      <c r="N10" s="492"/>
      <c r="O10" s="556"/>
      <c r="P10" s="448"/>
      <c r="Q10" s="390"/>
      <c r="R10" s="593"/>
      <c r="S10" s="630"/>
      <c r="T10" s="662"/>
      <c r="U10" s="692"/>
      <c r="V10" s="753"/>
      <c r="W10" s="578"/>
      <c r="X10" s="768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48"/>
      <c r="J11" s="748"/>
      <c r="K11" s="288"/>
      <c r="L11" s="315">
        <v>1</v>
      </c>
      <c r="M11" s="423" t="s">
        <v>237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54"/>
      <c r="W11" s="579"/>
      <c r="X11" s="769"/>
      <c r="Y11" s="609" t="s">
        <v>245</v>
      </c>
      <c r="Z11" s="610" t="s">
        <v>246</v>
      </c>
    </row>
    <row r="12" spans="1:76" ht="14.4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247</v>
      </c>
      <c r="Z12" s="612">
        <f>G53</f>
        <v>1197554.3999999999</v>
      </c>
    </row>
    <row r="13" spans="1:76" ht="14.25" customHeight="1">
      <c r="B13" s="292">
        <v>2</v>
      </c>
      <c r="C13" s="318" t="s">
        <v>248</v>
      </c>
      <c r="D13" s="318" t="s">
        <v>249</v>
      </c>
      <c r="E13" s="363"/>
      <c r="F13" s="461"/>
      <c r="G13" s="295">
        <f>D161</f>
        <v>560000</v>
      </c>
      <c r="H13" s="543">
        <v>45862</v>
      </c>
      <c r="I13" s="758">
        <f>SUM(G13:G19)</f>
        <v>560000</v>
      </c>
      <c r="J13" s="758">
        <f>F161</f>
        <v>615384.61538461538</v>
      </c>
      <c r="K13" s="296"/>
      <c r="L13" s="292">
        <v>2</v>
      </c>
      <c r="M13" s="424" t="s">
        <v>250</v>
      </c>
      <c r="N13" s="318" t="s">
        <v>251</v>
      </c>
      <c r="O13" s="559">
        <v>8</v>
      </c>
      <c r="P13" s="461">
        <v>68870</v>
      </c>
      <c r="Q13" s="295">
        <f>O13*P13</f>
        <v>550960</v>
      </c>
      <c r="R13" s="596" t="s">
        <v>239</v>
      </c>
      <c r="S13" s="633" t="s">
        <v>252</v>
      </c>
      <c r="T13" s="660">
        <f>IF(W13&gt;1,EOMONTH(W13,-2),"")</f>
        <v>45808</v>
      </c>
      <c r="U13" s="666">
        <v>614505.01752447942</v>
      </c>
      <c r="V13" s="764">
        <f>J13-SUM(U13:U19)</f>
        <v>0</v>
      </c>
      <c r="W13" s="543">
        <v>45862</v>
      </c>
      <c r="X13" s="761">
        <f>SUM(Q13:Q19)</f>
        <v>551748.64</v>
      </c>
      <c r="Y13" s="611" t="s">
        <v>253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59"/>
      <c r="J14" s="759"/>
      <c r="K14" s="300"/>
      <c r="L14" s="297">
        <v>2</v>
      </c>
      <c r="M14" s="430" t="s">
        <v>250</v>
      </c>
      <c r="N14" s="412" t="s">
        <v>254</v>
      </c>
      <c r="O14" s="560"/>
      <c r="P14" s="457"/>
      <c r="Q14" s="484">
        <v>788.64</v>
      </c>
      <c r="R14" s="597"/>
      <c r="S14" s="634" t="s">
        <v>252</v>
      </c>
      <c r="T14" s="658">
        <v>45808</v>
      </c>
      <c r="U14" s="667">
        <v>879.59786013595442</v>
      </c>
      <c r="V14" s="765"/>
      <c r="W14" s="544">
        <v>45862</v>
      </c>
      <c r="X14" s="762"/>
      <c r="Y14" s="611" t="s">
        <v>255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59"/>
      <c r="J15" s="759"/>
      <c r="K15" s="300"/>
      <c r="L15" s="297">
        <v>2</v>
      </c>
      <c r="M15" s="430" t="s">
        <v>250</v>
      </c>
      <c r="N15" s="412"/>
      <c r="O15" s="560"/>
      <c r="P15" s="457"/>
      <c r="Q15" s="484"/>
      <c r="R15" s="597"/>
      <c r="S15" s="634"/>
      <c r="T15" s="530" t="str">
        <f t="shared" si="0"/>
        <v/>
      </c>
      <c r="U15" s="667">
        <v>0</v>
      </c>
      <c r="V15" s="765"/>
      <c r="W15" s="582"/>
      <c r="X15" s="762"/>
      <c r="Y15" s="611" t="s">
        <v>256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59"/>
      <c r="J16" s="759"/>
      <c r="K16" s="300"/>
      <c r="L16" s="297">
        <v>2</v>
      </c>
      <c r="M16" s="430" t="s">
        <v>250</v>
      </c>
      <c r="N16" s="412"/>
      <c r="O16" s="560"/>
      <c r="P16" s="457"/>
      <c r="Q16" s="484"/>
      <c r="R16" s="597"/>
      <c r="S16" s="634"/>
      <c r="T16" s="530" t="str">
        <f t="shared" si="0"/>
        <v/>
      </c>
      <c r="U16" s="667">
        <v>0</v>
      </c>
      <c r="V16" s="765"/>
      <c r="W16" s="582"/>
      <c r="X16" s="762"/>
      <c r="Y16" s="611" t="s">
        <v>257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59"/>
      <c r="J17" s="759"/>
      <c r="K17" s="300"/>
      <c r="L17" s="297">
        <v>2</v>
      </c>
      <c r="M17" s="430" t="s">
        <v>250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65"/>
      <c r="W17" s="582"/>
      <c r="X17" s="762"/>
      <c r="Y17" s="611" t="s">
        <v>258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59"/>
      <c r="J18" s="759"/>
      <c r="K18" s="300"/>
      <c r="L18" s="297">
        <v>2</v>
      </c>
      <c r="M18" s="430" t="s">
        <v>250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65"/>
      <c r="W18" s="582"/>
      <c r="X18" s="762"/>
      <c r="Y18" s="611" t="s">
        <v>259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60"/>
      <c r="J19" s="760"/>
      <c r="K19" s="305"/>
      <c r="L19" s="399">
        <v>2</v>
      </c>
      <c r="M19" s="425" t="s">
        <v>250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66"/>
      <c r="W19" s="583"/>
      <c r="X19" s="763"/>
      <c r="Y19" s="611" t="s">
        <v>260</v>
      </c>
      <c r="Z19" s="612">
        <v>0</v>
      </c>
    </row>
    <row r="20" spans="1:29" ht="14.4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261</v>
      </c>
      <c r="D21" s="326" t="s">
        <v>262</v>
      </c>
      <c r="E21" s="282"/>
      <c r="F21" s="441"/>
      <c r="G21" s="283">
        <f>D162</f>
        <v>847503.72</v>
      </c>
      <c r="H21" s="545">
        <v>45835</v>
      </c>
      <c r="I21" s="746">
        <f>SUM(G21:G26)</f>
        <v>847503.72</v>
      </c>
      <c r="J21" s="746">
        <f>F162</f>
        <v>931322.76923076925</v>
      </c>
      <c r="K21" s="284"/>
      <c r="L21" s="280">
        <v>3</v>
      </c>
      <c r="M21" s="426" t="s">
        <v>263</v>
      </c>
      <c r="N21" s="326" t="s">
        <v>264</v>
      </c>
      <c r="O21" s="554"/>
      <c r="P21" s="441">
        <f>Q21/1040000</f>
        <v>0.19018519230769232</v>
      </c>
      <c r="Q21" s="283">
        <v>197792.6</v>
      </c>
      <c r="R21" s="599" t="s">
        <v>265</v>
      </c>
      <c r="S21" s="636" t="s">
        <v>266</v>
      </c>
      <c r="T21" s="661">
        <f>IF(W21&gt;1,EOMONTH(W21,-1),"")</f>
        <v>45808</v>
      </c>
      <c r="U21" s="669">
        <v>775603.64934643498</v>
      </c>
      <c r="V21" s="752">
        <f>J21-SUM(U21:U26)</f>
        <v>4.5349643332883716E-3</v>
      </c>
      <c r="W21" s="545">
        <v>45835</v>
      </c>
      <c r="X21" s="767">
        <f>SUM(Q21:Q26)</f>
        <v>205256.6</v>
      </c>
      <c r="Y21" s="611" t="s">
        <v>267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47"/>
      <c r="J22" s="747"/>
      <c r="K22" s="287"/>
      <c r="L22" s="310">
        <v>3</v>
      </c>
      <c r="M22" s="427" t="s">
        <v>263</v>
      </c>
      <c r="N22" s="327" t="s">
        <v>268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269</v>
      </c>
      <c r="T22" s="649">
        <v>45808</v>
      </c>
      <c r="U22" s="665">
        <v>29268.565349369946</v>
      </c>
      <c r="V22" s="753"/>
      <c r="W22" s="541">
        <f>T22</f>
        <v>45808</v>
      </c>
      <c r="X22" s="768"/>
      <c r="Y22" s="611" t="s">
        <v>209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47"/>
      <c r="J23" s="747"/>
      <c r="K23" s="287"/>
      <c r="L23" s="310">
        <v>3</v>
      </c>
      <c r="M23" s="427" t="s">
        <v>263</v>
      </c>
      <c r="N23" s="327" t="s">
        <v>270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53"/>
      <c r="W23" s="577"/>
      <c r="X23" s="768"/>
      <c r="Y23" s="611" t="s">
        <v>271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47"/>
      <c r="J24" s="747"/>
      <c r="K24" s="287"/>
      <c r="L24" s="310">
        <v>3</v>
      </c>
      <c r="M24" s="427" t="s">
        <v>263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53"/>
      <c r="W24" s="578"/>
      <c r="X24" s="768"/>
      <c r="Y24" s="616" t="s">
        <v>272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47"/>
      <c r="J25" s="747"/>
      <c r="K25" s="287"/>
      <c r="L25" s="310">
        <v>3</v>
      </c>
      <c r="M25" s="427" t="s">
        <v>263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53"/>
      <c r="W25" s="578"/>
      <c r="X25" s="768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48"/>
      <c r="J26" s="748"/>
      <c r="K26" s="288"/>
      <c r="L26" s="315">
        <v>3</v>
      </c>
      <c r="M26" s="428" t="s">
        <v>263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54"/>
      <c r="W26" s="579"/>
      <c r="X26" s="769"/>
      <c r="Y26" s="617" t="s">
        <v>273</v>
      </c>
      <c r="Z26" s="618" t="s">
        <v>274</v>
      </c>
      <c r="AB26" s="617" t="s">
        <v>275</v>
      </c>
      <c r="AC26" s="618" t="s">
        <v>274</v>
      </c>
    </row>
    <row r="27" spans="1:29" ht="14.4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247</v>
      </c>
      <c r="AC27" s="620">
        <f>563220-AC28</f>
        <v>252255</v>
      </c>
    </row>
    <row r="28" spans="1:29" ht="14.25" customHeight="1">
      <c r="B28" s="292">
        <v>4</v>
      </c>
      <c r="C28" s="293" t="s">
        <v>253</v>
      </c>
      <c r="D28" s="293" t="s">
        <v>276</v>
      </c>
      <c r="E28" s="363">
        <f>G28/14*1.15</f>
        <v>27829.999999999996</v>
      </c>
      <c r="F28" s="461"/>
      <c r="G28" s="295">
        <v>338800</v>
      </c>
      <c r="H28" s="678">
        <v>45855</v>
      </c>
      <c r="I28" s="758">
        <f>SUM(G28:G42)</f>
        <v>805143.2</v>
      </c>
      <c r="J28" s="758">
        <f>F163</f>
        <v>884772.74725274718</v>
      </c>
      <c r="K28" s="296"/>
      <c r="L28" s="292">
        <v>4</v>
      </c>
      <c r="M28" s="429" t="s">
        <v>277</v>
      </c>
      <c r="N28" s="293" t="s">
        <v>278</v>
      </c>
      <c r="O28" s="551">
        <v>28000</v>
      </c>
      <c r="P28" s="461">
        <v>13.89</v>
      </c>
      <c r="Q28" s="295">
        <f>O28*P28</f>
        <v>388920</v>
      </c>
      <c r="R28" s="596" t="s">
        <v>239</v>
      </c>
      <c r="S28" s="633" t="s">
        <v>279</v>
      </c>
      <c r="T28" s="660">
        <f>T13</f>
        <v>45808</v>
      </c>
      <c r="U28" s="666">
        <v>443450.47461226245</v>
      </c>
      <c r="V28" s="764">
        <f>J28-SUM(U28:U42)</f>
        <v>9.3273259699344635E-4</v>
      </c>
      <c r="W28" s="678">
        <v>45855</v>
      </c>
      <c r="X28" s="761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253</v>
      </c>
      <c r="AC28" s="620">
        <v>310965</v>
      </c>
    </row>
    <row r="29" spans="1:29" ht="14.25" customHeight="1">
      <c r="B29" s="319">
        <v>4</v>
      </c>
      <c r="C29" s="412"/>
      <c r="D29" s="412" t="s">
        <v>280</v>
      </c>
      <c r="E29" s="398"/>
      <c r="F29" s="457"/>
      <c r="G29" s="645">
        <f>D163-G28</f>
        <v>466343.19999999995</v>
      </c>
      <c r="H29" s="679">
        <v>45855</v>
      </c>
      <c r="I29" s="759"/>
      <c r="J29" s="759"/>
      <c r="K29" s="300"/>
      <c r="L29" s="297">
        <v>4</v>
      </c>
      <c r="M29" s="430" t="s">
        <v>277</v>
      </c>
      <c r="N29" s="412" t="s">
        <v>244</v>
      </c>
      <c r="O29" s="552"/>
      <c r="P29" s="457"/>
      <c r="Q29" s="299">
        <v>75000</v>
      </c>
      <c r="R29" s="597"/>
      <c r="S29" s="634" t="s">
        <v>279</v>
      </c>
      <c r="T29" s="658">
        <v>45808</v>
      </c>
      <c r="U29" s="667">
        <v>85515.75027234311</v>
      </c>
      <c r="V29" s="765"/>
      <c r="W29" s="679">
        <v>45855</v>
      </c>
      <c r="X29" s="762"/>
      <c r="Y29" s="619" t="str">
        <f t="shared" si="1"/>
        <v>AC Labour</v>
      </c>
      <c r="Z29" s="620">
        <v>344190</v>
      </c>
      <c r="AB29" s="619" t="s">
        <v>255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59"/>
      <c r="J30" s="759"/>
      <c r="K30" s="300"/>
      <c r="L30" s="297">
        <v>4</v>
      </c>
      <c r="M30" s="430" t="s">
        <v>277</v>
      </c>
      <c r="N30" s="412" t="s">
        <v>505</v>
      </c>
      <c r="O30" s="552">
        <v>40000</v>
      </c>
      <c r="P30" s="457">
        <v>13.8</v>
      </c>
      <c r="Q30" s="299">
        <f>O30*P30</f>
        <v>552000</v>
      </c>
      <c r="R30" s="597" t="s">
        <v>281</v>
      </c>
      <c r="S30" s="634" t="s">
        <v>282</v>
      </c>
      <c r="T30" s="658">
        <v>45838</v>
      </c>
      <c r="U30" s="675">
        <v>110923.82417402638</v>
      </c>
      <c r="V30" s="765"/>
      <c r="W30" s="679">
        <v>45867</v>
      </c>
      <c r="X30" s="762"/>
      <c r="Y30" s="619" t="str">
        <f t="shared" si="1"/>
        <v>DC Labour</v>
      </c>
      <c r="Z30" s="620">
        <v>750960</v>
      </c>
      <c r="AB30" s="619" t="s">
        <v>256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59"/>
      <c r="J31" s="759"/>
      <c r="K31" s="300"/>
      <c r="L31" s="297">
        <v>4</v>
      </c>
      <c r="M31" s="430" t="s">
        <v>277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65"/>
      <c r="W31" s="582"/>
      <c r="X31" s="762"/>
      <c r="Y31" s="619" t="str">
        <f t="shared" si="1"/>
        <v>Offloading</v>
      </c>
      <c r="Z31" s="620">
        <v>13200</v>
      </c>
      <c r="AB31" s="619" t="s">
        <v>257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59"/>
      <c r="J32" s="759"/>
      <c r="K32" s="300"/>
      <c r="L32" s="297">
        <v>4</v>
      </c>
      <c r="M32" s="430" t="s">
        <v>277</v>
      </c>
      <c r="N32" s="412" t="s">
        <v>283</v>
      </c>
      <c r="O32" s="571">
        <f>Z28</f>
        <v>312053.5</v>
      </c>
      <c r="P32" s="572">
        <v>0.1</v>
      </c>
      <c r="Q32" s="299">
        <f>$O$32*P32</f>
        <v>31205.350000000002</v>
      </c>
      <c r="R32" s="770" t="s">
        <v>284</v>
      </c>
      <c r="S32" s="634" t="s">
        <v>285</v>
      </c>
      <c r="T32" s="658">
        <f t="shared" si="0"/>
        <v>45808</v>
      </c>
      <c r="U32" s="667">
        <v>35580.652236814167</v>
      </c>
      <c r="V32" s="765"/>
      <c r="W32" s="544">
        <f>W90</f>
        <v>45792</v>
      </c>
      <c r="X32" s="762"/>
      <c r="Y32" s="619" t="str">
        <f t="shared" si="1"/>
        <v>Scaffolding</v>
      </c>
      <c r="Z32" s="620">
        <v>0</v>
      </c>
      <c r="AB32" s="619" t="s">
        <v>258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59"/>
      <c r="J33" s="759"/>
      <c r="K33" s="300"/>
      <c r="L33" s="297">
        <v>4</v>
      </c>
      <c r="M33" s="430" t="s">
        <v>277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71"/>
      <c r="S33" s="634" t="s">
        <v>286</v>
      </c>
      <c r="T33" s="658">
        <f t="shared" si="0"/>
        <v>45808</v>
      </c>
      <c r="U33" s="667">
        <v>53370.978355221247</v>
      </c>
      <c r="V33" s="765"/>
      <c r="W33" s="544">
        <f t="shared" ref="W33:W39" si="4">W91</f>
        <v>45806</v>
      </c>
      <c r="X33" s="762"/>
      <c r="Y33" s="619" t="str">
        <f t="shared" si="1"/>
        <v>Storage</v>
      </c>
      <c r="Z33" s="620">
        <v>0</v>
      </c>
      <c r="AB33" s="619" t="s">
        <v>259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59"/>
      <c r="J34" s="759"/>
      <c r="K34" s="300"/>
      <c r="L34" s="297">
        <v>4</v>
      </c>
      <c r="M34" s="430" t="s">
        <v>277</v>
      </c>
      <c r="N34" s="412" t="s">
        <v>287</v>
      </c>
      <c r="O34" s="560"/>
      <c r="P34" s="572">
        <v>0.2</v>
      </c>
      <c r="Q34" s="299">
        <f t="shared" si="3"/>
        <v>62410.700000000004</v>
      </c>
      <c r="R34" s="771"/>
      <c r="S34" s="634" t="s">
        <v>288</v>
      </c>
      <c r="T34" s="658">
        <f>T108</f>
        <v>45838</v>
      </c>
      <c r="U34" s="675">
        <v>41581.617778492589</v>
      </c>
      <c r="V34" s="765"/>
      <c r="W34" s="544">
        <f t="shared" si="4"/>
        <v>45876</v>
      </c>
      <c r="X34" s="762"/>
      <c r="Y34" s="619" t="str">
        <f t="shared" si="1"/>
        <v>Telehandler</v>
      </c>
      <c r="Z34" s="620">
        <f>Z19*0.75</f>
        <v>0</v>
      </c>
      <c r="AB34" s="619" t="s">
        <v>260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59"/>
      <c r="J35" s="759"/>
      <c r="K35" s="300"/>
      <c r="L35" s="297">
        <v>4</v>
      </c>
      <c r="M35" s="430" t="s">
        <v>277</v>
      </c>
      <c r="N35" s="412" t="s">
        <v>289</v>
      </c>
      <c r="O35" s="560"/>
      <c r="P35" s="572">
        <v>0.25</v>
      </c>
      <c r="Q35" s="299">
        <f t="shared" si="3"/>
        <v>78013.375</v>
      </c>
      <c r="R35" s="771"/>
      <c r="S35" s="634" t="s">
        <v>290</v>
      </c>
      <c r="T35" s="658">
        <f>T109</f>
        <v>45838</v>
      </c>
      <c r="U35" s="675">
        <v>51977.022223115731</v>
      </c>
      <c r="V35" s="765"/>
      <c r="W35" s="544">
        <f>W93</f>
        <v>45939</v>
      </c>
      <c r="X35" s="762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59"/>
      <c r="J36" s="759"/>
      <c r="K36" s="300"/>
      <c r="L36" s="297">
        <v>4</v>
      </c>
      <c r="M36" s="430" t="s">
        <v>277</v>
      </c>
      <c r="N36" s="412" t="s">
        <v>195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71"/>
      <c r="S36" s="634" t="s">
        <v>291</v>
      </c>
      <c r="T36" s="658">
        <v>45900</v>
      </c>
      <c r="U36" s="667">
        <v>20790.808889246295</v>
      </c>
      <c r="V36" s="765"/>
      <c r="W36" s="544">
        <f t="shared" si="4"/>
        <v>45946</v>
      </c>
      <c r="X36" s="762"/>
      <c r="Y36" s="619" t="s">
        <v>267</v>
      </c>
      <c r="Z36" s="620">
        <v>0</v>
      </c>
      <c r="AB36" s="619" t="s">
        <v>267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59"/>
      <c r="J37" s="759"/>
      <c r="K37" s="300"/>
      <c r="L37" s="297">
        <v>4</v>
      </c>
      <c r="M37" s="430" t="s">
        <v>277</v>
      </c>
      <c r="N37" s="412" t="s">
        <v>292</v>
      </c>
      <c r="O37" s="560"/>
      <c r="P37" s="572">
        <v>0.1</v>
      </c>
      <c r="Q37" s="299">
        <f t="shared" si="3"/>
        <v>31205.350000000002</v>
      </c>
      <c r="R37" s="771"/>
      <c r="S37" s="634" t="s">
        <v>293</v>
      </c>
      <c r="T37" s="658">
        <v>45900</v>
      </c>
      <c r="U37" s="667">
        <v>20790.808889246295</v>
      </c>
      <c r="V37" s="765"/>
      <c r="W37" s="544">
        <f t="shared" si="4"/>
        <v>45954</v>
      </c>
      <c r="X37" s="762"/>
      <c r="Y37" s="619" t="s">
        <v>267</v>
      </c>
      <c r="Z37" s="621">
        <v>0</v>
      </c>
      <c r="AB37" s="619" t="s">
        <v>267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59"/>
      <c r="J38" s="759"/>
      <c r="K38" s="300"/>
      <c r="L38" s="297">
        <v>4</v>
      </c>
      <c r="M38" s="430" t="s">
        <v>277</v>
      </c>
      <c r="N38" s="412" t="s">
        <v>294</v>
      </c>
      <c r="O38" s="560"/>
      <c r="P38" s="572">
        <v>0.05</v>
      </c>
      <c r="Q38" s="299">
        <f t="shared" si="3"/>
        <v>15602.675000000001</v>
      </c>
      <c r="R38" s="771"/>
      <c r="S38" s="634" t="s">
        <v>295</v>
      </c>
      <c r="T38" s="658">
        <v>45900</v>
      </c>
      <c r="U38" s="667">
        <v>10395.404444623147</v>
      </c>
      <c r="V38" s="765"/>
      <c r="W38" s="544">
        <f t="shared" si="4"/>
        <v>45954</v>
      </c>
      <c r="X38" s="762"/>
      <c r="Y38" s="619" t="s">
        <v>209</v>
      </c>
      <c r="Z38" s="620">
        <f>SUM(Z27:Z37)</f>
        <v>1586969.5</v>
      </c>
      <c r="AB38" s="619" t="s">
        <v>209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59"/>
      <c r="J39" s="759"/>
      <c r="K39" s="300"/>
      <c r="L39" s="297">
        <v>4</v>
      </c>
      <c r="M39" s="430" t="s">
        <v>277</v>
      </c>
      <c r="N39" s="412" t="s">
        <v>296</v>
      </c>
      <c r="O39" s="560"/>
      <c r="P39" s="572">
        <v>0.05</v>
      </c>
      <c r="Q39" s="299">
        <f t="shared" si="3"/>
        <v>15602.675000000001</v>
      </c>
      <c r="R39" s="772"/>
      <c r="S39" s="634" t="s">
        <v>297</v>
      </c>
      <c r="T39" s="658">
        <v>45900</v>
      </c>
      <c r="U39" s="667">
        <v>10395.404444623147</v>
      </c>
      <c r="V39" s="765"/>
      <c r="W39" s="707">
        <f t="shared" si="4"/>
        <v>46009</v>
      </c>
      <c r="X39" s="762"/>
      <c r="Y39" s="622" t="s">
        <v>272</v>
      </c>
      <c r="Z39" s="621">
        <f>Z38/'Project Plan'!$E$3/1000</f>
        <v>1.5215431447746885</v>
      </c>
      <c r="AB39" s="622" t="s">
        <v>272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59"/>
      <c r="J40" s="759"/>
      <c r="K40" s="300"/>
      <c r="L40" s="297">
        <v>4</v>
      </c>
      <c r="M40" s="430" t="s">
        <v>277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65"/>
      <c r="W40" s="582"/>
      <c r="X40" s="762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59"/>
      <c r="J41" s="759"/>
      <c r="K41" s="300"/>
      <c r="L41" s="297">
        <v>4</v>
      </c>
      <c r="M41" s="430" t="s">
        <v>277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65"/>
      <c r="W41" s="582"/>
      <c r="X41" s="762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60"/>
      <c r="J42" s="760"/>
      <c r="K42" s="305"/>
      <c r="L42" s="301">
        <v>4</v>
      </c>
      <c r="M42" s="431" t="s">
        <v>277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66"/>
      <c r="W42" s="583"/>
      <c r="X42" s="763"/>
      <c r="Y42" s="489"/>
    </row>
    <row r="43" spans="1:29" ht="14.4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298</v>
      </c>
      <c r="D44" s="326" t="s">
        <v>299</v>
      </c>
      <c r="E44" s="282"/>
      <c r="F44" s="441"/>
      <c r="G44" s="283">
        <f>D165-G45</f>
        <v>34000</v>
      </c>
      <c r="H44" s="545">
        <v>45862</v>
      </c>
      <c r="I44" s="746">
        <f>SUM(G44:G51)</f>
        <v>49000</v>
      </c>
      <c r="J44" s="746">
        <f>F165</f>
        <v>53846.153846153844</v>
      </c>
      <c r="K44" s="284"/>
      <c r="L44" s="280">
        <v>5</v>
      </c>
      <c r="M44" s="426" t="s">
        <v>300</v>
      </c>
      <c r="N44" s="326" t="s">
        <v>301</v>
      </c>
      <c r="O44" s="554"/>
      <c r="P44" s="441"/>
      <c r="Q44" s="283">
        <v>8333.33</v>
      </c>
      <c r="R44" s="599" t="s">
        <v>239</v>
      </c>
      <c r="S44" s="636" t="s">
        <v>252</v>
      </c>
      <c r="T44" s="661">
        <f>T13</f>
        <v>45808</v>
      </c>
      <c r="U44" s="669">
        <v>10483.100340471803</v>
      </c>
      <c r="V44" s="752">
        <f>J44-SUM(U44:U51)</f>
        <v>4.625596702680923E-3</v>
      </c>
      <c r="W44" s="545">
        <v>45862</v>
      </c>
      <c r="X44" s="767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302</v>
      </c>
      <c r="E45" s="455"/>
      <c r="F45" s="456"/>
      <c r="G45" s="314">
        <v>15000</v>
      </c>
      <c r="H45" s="541">
        <v>45806</v>
      </c>
      <c r="I45" s="747"/>
      <c r="J45" s="747"/>
      <c r="K45" s="287"/>
      <c r="L45" s="285">
        <v>5</v>
      </c>
      <c r="M45" s="432" t="s">
        <v>300</v>
      </c>
      <c r="N45" s="286" t="s">
        <v>303</v>
      </c>
      <c r="O45" s="562"/>
      <c r="P45" s="456"/>
      <c r="Q45" s="314">
        <v>28665</v>
      </c>
      <c r="R45" s="647" t="s">
        <v>304</v>
      </c>
      <c r="S45" s="629" t="s">
        <v>305</v>
      </c>
      <c r="T45" s="648">
        <v>45777</v>
      </c>
      <c r="U45" s="657">
        <v>10654.747523556414</v>
      </c>
      <c r="V45" s="753"/>
      <c r="W45" s="541">
        <v>45806</v>
      </c>
      <c r="X45" s="768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47"/>
      <c r="J46" s="747"/>
      <c r="K46" s="287"/>
      <c r="L46" s="285">
        <v>5</v>
      </c>
      <c r="M46" s="432" t="s">
        <v>300</v>
      </c>
      <c r="N46" s="286"/>
      <c r="O46" s="562"/>
      <c r="P46" s="456"/>
      <c r="Q46" s="314">
        <v>214.29</v>
      </c>
      <c r="R46" s="647"/>
      <c r="S46" s="629" t="s">
        <v>306</v>
      </c>
      <c r="T46" s="648">
        <v>45838</v>
      </c>
      <c r="U46" s="676">
        <v>164.14656540041324</v>
      </c>
      <c r="V46" s="753"/>
      <c r="W46" s="541">
        <v>45867</v>
      </c>
      <c r="X46" s="768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47"/>
      <c r="J47" s="747"/>
      <c r="K47" s="287"/>
      <c r="L47" s="285">
        <v>5</v>
      </c>
      <c r="M47" s="432" t="s">
        <v>300</v>
      </c>
      <c r="N47" s="312" t="s">
        <v>307</v>
      </c>
      <c r="O47" s="555"/>
      <c r="P47" s="463"/>
      <c r="Q47" s="314">
        <v>14934</v>
      </c>
      <c r="R47" s="592"/>
      <c r="S47" s="629" t="s">
        <v>308</v>
      </c>
      <c r="T47" s="649">
        <v>45838</v>
      </c>
      <c r="U47" s="676">
        <v>8172.3780283250326</v>
      </c>
      <c r="V47" s="753"/>
      <c r="W47" s="541">
        <v>45838</v>
      </c>
      <c r="X47" s="768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47"/>
      <c r="J48" s="747"/>
      <c r="K48" s="287"/>
      <c r="L48" s="310">
        <v>5</v>
      </c>
      <c r="M48" s="432" t="s">
        <v>300</v>
      </c>
      <c r="N48" s="312" t="s">
        <v>309</v>
      </c>
      <c r="O48" s="555"/>
      <c r="P48" s="463"/>
      <c r="Q48" s="314">
        <v>4000</v>
      </c>
      <c r="R48" s="592" t="s">
        <v>310</v>
      </c>
      <c r="S48" s="629" t="s">
        <v>311</v>
      </c>
      <c r="T48" s="650">
        <v>45838</v>
      </c>
      <c r="U48" s="676">
        <v>2188.9321088322035</v>
      </c>
      <c r="V48" s="753"/>
      <c r="W48" s="681">
        <v>45867</v>
      </c>
      <c r="X48" s="768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47"/>
      <c r="J49" s="747"/>
      <c r="K49" s="287"/>
      <c r="L49" s="310">
        <v>5</v>
      </c>
      <c r="M49" s="432" t="s">
        <v>300</v>
      </c>
      <c r="N49" s="391" t="s">
        <v>312</v>
      </c>
      <c r="O49" s="556"/>
      <c r="P49" s="448"/>
      <c r="Q49" s="390">
        <v>2250.5</v>
      </c>
      <c r="R49" s="593" t="s">
        <v>313</v>
      </c>
      <c r="S49" s="630" t="s">
        <v>314</v>
      </c>
      <c r="T49" s="648">
        <v>45808</v>
      </c>
      <c r="U49" s="670">
        <v>1285.7535656492416</v>
      </c>
      <c r="V49" s="753"/>
      <c r="W49" s="541">
        <v>45799</v>
      </c>
      <c r="X49" s="768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47"/>
      <c r="J50" s="747"/>
      <c r="K50" s="287"/>
      <c r="L50" s="310">
        <v>5</v>
      </c>
      <c r="M50" s="432" t="s">
        <v>300</v>
      </c>
      <c r="N50" s="391" t="s">
        <v>315</v>
      </c>
      <c r="O50" s="556"/>
      <c r="P50" s="448"/>
      <c r="Q50" s="390">
        <v>40000</v>
      </c>
      <c r="R50" s="593" t="s">
        <v>316</v>
      </c>
      <c r="S50" s="630" t="s">
        <v>317</v>
      </c>
      <c r="T50" s="672">
        <v>45838</v>
      </c>
      <c r="U50" s="674">
        <v>20897.091088322039</v>
      </c>
      <c r="V50" s="753"/>
      <c r="W50" s="683">
        <v>45867</v>
      </c>
      <c r="X50" s="768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48"/>
      <c r="J51" s="748"/>
      <c r="K51" s="288"/>
      <c r="L51" s="315">
        <v>5</v>
      </c>
      <c r="M51" s="428" t="s">
        <v>300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54"/>
      <c r="W51" s="682"/>
      <c r="X51" s="769"/>
      <c r="Y51" s="489"/>
    </row>
    <row r="52" spans="1:25" ht="14.4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247</v>
      </c>
      <c r="D53" s="294" t="s">
        <v>318</v>
      </c>
      <c r="E53" s="482"/>
      <c r="F53" s="461"/>
      <c r="G53" s="295">
        <f>D164</f>
        <v>1197554.3999999999</v>
      </c>
      <c r="H53" s="544">
        <v>45898</v>
      </c>
      <c r="I53" s="758">
        <f>SUM(G53:G69)</f>
        <v>1197554.3999999999</v>
      </c>
      <c r="J53" s="758">
        <f>F164</f>
        <v>1315993.846153846</v>
      </c>
      <c r="K53" s="296"/>
      <c r="L53" s="292">
        <v>6</v>
      </c>
      <c r="M53" s="435" t="s">
        <v>319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64">
        <f>J53-SUM(U53:U69)</f>
        <v>-2.9361243359744549E-3</v>
      </c>
      <c r="W53" s="581"/>
      <c r="X53" s="761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59"/>
      <c r="J54" s="759"/>
      <c r="K54" s="300"/>
      <c r="L54" s="297">
        <v>6</v>
      </c>
      <c r="M54" s="433" t="s">
        <v>319</v>
      </c>
      <c r="N54" s="447" t="s">
        <v>320</v>
      </c>
      <c r="O54" s="560"/>
      <c r="P54" s="457"/>
      <c r="Q54" s="320">
        <v>249808.58</v>
      </c>
      <c r="R54" s="597" t="s">
        <v>321</v>
      </c>
      <c r="S54" s="634" t="s">
        <v>322</v>
      </c>
      <c r="T54" s="658">
        <v>45838</v>
      </c>
      <c r="U54" s="675">
        <v>798171.50647274894</v>
      </c>
      <c r="V54" s="765"/>
      <c r="W54" s="544">
        <v>45899</v>
      </c>
      <c r="X54" s="762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59"/>
      <c r="J55" s="759"/>
      <c r="K55" s="300"/>
      <c r="L55" s="297">
        <v>6</v>
      </c>
      <c r="M55" s="433" t="s">
        <v>319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65"/>
      <c r="W55" s="582"/>
      <c r="X55" s="762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59"/>
      <c r="J56" s="759"/>
      <c r="K56" s="300"/>
      <c r="L56" s="297">
        <v>6</v>
      </c>
      <c r="M56" s="433" t="s">
        <v>319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65"/>
      <c r="W56" s="582"/>
      <c r="X56" s="762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59"/>
      <c r="J57" s="759"/>
      <c r="K57" s="300"/>
      <c r="L57" s="297">
        <v>6</v>
      </c>
      <c r="M57" s="433" t="s">
        <v>319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65"/>
      <c r="W57" s="582"/>
      <c r="X57" s="762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59"/>
      <c r="J58" s="759"/>
      <c r="K58" s="300"/>
      <c r="L58" s="297">
        <v>6</v>
      </c>
      <c r="M58" s="433" t="s">
        <v>319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65"/>
      <c r="W58" s="582"/>
      <c r="X58" s="762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59"/>
      <c r="J59" s="759"/>
      <c r="K59" s="300"/>
      <c r="L59" s="297">
        <v>6</v>
      </c>
      <c r="M59" s="433" t="s">
        <v>319</v>
      </c>
      <c r="N59" s="412" t="s">
        <v>283</v>
      </c>
      <c r="O59" s="571">
        <f>Z27</f>
        <v>162066</v>
      </c>
      <c r="P59" s="572">
        <v>0.1</v>
      </c>
      <c r="Q59" s="299">
        <f>$O$59*P59</f>
        <v>16206.6</v>
      </c>
      <c r="R59" s="770" t="s">
        <v>284</v>
      </c>
      <c r="S59" s="634" t="s">
        <v>285</v>
      </c>
      <c r="T59" s="658">
        <f t="shared" si="0"/>
        <v>45808</v>
      </c>
      <c r="U59" s="667">
        <v>52579.491142559338</v>
      </c>
      <c r="V59" s="765"/>
      <c r="W59" s="544">
        <f>W90</f>
        <v>45792</v>
      </c>
      <c r="X59" s="762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59"/>
      <c r="J60" s="759"/>
      <c r="K60" s="300"/>
      <c r="L60" s="297">
        <v>6</v>
      </c>
      <c r="M60" s="434" t="s">
        <v>319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71"/>
      <c r="S60" s="634" t="s">
        <v>286</v>
      </c>
      <c r="T60" s="658">
        <f t="shared" si="0"/>
        <v>45808</v>
      </c>
      <c r="U60" s="667">
        <v>78869.236713838996</v>
      </c>
      <c r="V60" s="765"/>
      <c r="W60" s="544">
        <f t="shared" ref="W60:W66" si="8">W91</f>
        <v>45806</v>
      </c>
      <c r="X60" s="762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59"/>
      <c r="J61" s="759"/>
      <c r="K61" s="300"/>
      <c r="L61" s="297">
        <v>6</v>
      </c>
      <c r="M61" s="434" t="s">
        <v>319</v>
      </c>
      <c r="N61" s="412" t="s">
        <v>287</v>
      </c>
      <c r="O61" s="560"/>
      <c r="P61" s="572">
        <v>0.2</v>
      </c>
      <c r="Q61" s="299">
        <f t="shared" si="7"/>
        <v>32413.200000000001</v>
      </c>
      <c r="R61" s="771"/>
      <c r="S61" s="634" t="s">
        <v>288</v>
      </c>
      <c r="T61" s="658">
        <f>T92</f>
        <v>45838</v>
      </c>
      <c r="U61" s="675">
        <v>101571.32793621944</v>
      </c>
      <c r="V61" s="765"/>
      <c r="W61" s="544">
        <f t="shared" si="8"/>
        <v>45876</v>
      </c>
      <c r="X61" s="762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59"/>
      <c r="J62" s="759"/>
      <c r="K62" s="300"/>
      <c r="L62" s="297">
        <v>6</v>
      </c>
      <c r="M62" s="434" t="s">
        <v>319</v>
      </c>
      <c r="N62" s="412" t="s">
        <v>289</v>
      </c>
      <c r="O62" s="560"/>
      <c r="P62" s="572">
        <v>0.25</v>
      </c>
      <c r="Q62" s="299">
        <f t="shared" si="7"/>
        <v>40516.5</v>
      </c>
      <c r="R62" s="771"/>
      <c r="S62" s="634" t="s">
        <v>290</v>
      </c>
      <c r="T62" s="658">
        <f>T93</f>
        <v>45838</v>
      </c>
      <c r="U62" s="675">
        <v>129455.5849202743</v>
      </c>
      <c r="V62" s="765"/>
      <c r="W62" s="544">
        <f t="shared" si="8"/>
        <v>45939</v>
      </c>
      <c r="X62" s="762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59"/>
      <c r="J63" s="759"/>
      <c r="K63" s="300"/>
      <c r="L63" s="297">
        <v>6</v>
      </c>
      <c r="M63" s="434" t="s">
        <v>319</v>
      </c>
      <c r="N63" s="412" t="s">
        <v>195</v>
      </c>
      <c r="O63" s="560"/>
      <c r="P63" s="572">
        <v>0.1</v>
      </c>
      <c r="Q63" s="299">
        <f t="shared" si="7"/>
        <v>16206.6</v>
      </c>
      <c r="R63" s="771"/>
      <c r="S63" s="634" t="s">
        <v>291</v>
      </c>
      <c r="T63" s="658">
        <v>45900</v>
      </c>
      <c r="U63" s="667">
        <v>51782.233968109722</v>
      </c>
      <c r="V63" s="765"/>
      <c r="W63" s="544">
        <f t="shared" si="8"/>
        <v>45946</v>
      </c>
      <c r="X63" s="762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59"/>
      <c r="J64" s="759"/>
      <c r="K64" s="300"/>
      <c r="L64" s="297">
        <v>6</v>
      </c>
      <c r="M64" s="434" t="s">
        <v>319</v>
      </c>
      <c r="N64" s="412" t="s">
        <v>292</v>
      </c>
      <c r="O64" s="560"/>
      <c r="P64" s="572">
        <v>0.1</v>
      </c>
      <c r="Q64" s="299">
        <f t="shared" si="7"/>
        <v>16206.6</v>
      </c>
      <c r="R64" s="771"/>
      <c r="S64" s="638" t="s">
        <v>293</v>
      </c>
      <c r="T64" s="684">
        <v>45900</v>
      </c>
      <c r="U64" s="686">
        <v>51782.233968109722</v>
      </c>
      <c r="V64" s="765"/>
      <c r="W64" s="544">
        <f t="shared" si="8"/>
        <v>45954</v>
      </c>
      <c r="X64" s="762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59"/>
      <c r="J65" s="759"/>
      <c r="K65" s="300"/>
      <c r="L65" s="297">
        <v>6</v>
      </c>
      <c r="M65" s="434" t="s">
        <v>319</v>
      </c>
      <c r="N65" s="412" t="s">
        <v>294</v>
      </c>
      <c r="O65" s="560"/>
      <c r="P65" s="572">
        <v>0.05</v>
      </c>
      <c r="Q65" s="299">
        <f t="shared" si="7"/>
        <v>8103.3</v>
      </c>
      <c r="R65" s="771"/>
      <c r="S65" s="638" t="s">
        <v>295</v>
      </c>
      <c r="T65" s="684">
        <v>45900</v>
      </c>
      <c r="U65" s="686">
        <v>25891.116984054861</v>
      </c>
      <c r="V65" s="765"/>
      <c r="W65" s="544">
        <f t="shared" si="8"/>
        <v>45954</v>
      </c>
      <c r="X65" s="762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59"/>
      <c r="J66" s="759"/>
      <c r="K66" s="300"/>
      <c r="L66" s="297">
        <v>6</v>
      </c>
      <c r="M66" s="434" t="s">
        <v>319</v>
      </c>
      <c r="N66" s="412" t="s">
        <v>296</v>
      </c>
      <c r="O66" s="560"/>
      <c r="P66" s="572">
        <v>0.05</v>
      </c>
      <c r="Q66" s="299">
        <f t="shared" si="7"/>
        <v>8103.3</v>
      </c>
      <c r="R66" s="772"/>
      <c r="S66" s="638" t="s">
        <v>297</v>
      </c>
      <c r="T66" s="684">
        <v>45900</v>
      </c>
      <c r="U66" s="686">
        <v>25891.116984054861</v>
      </c>
      <c r="V66" s="765"/>
      <c r="W66" s="707">
        <f t="shared" si="8"/>
        <v>46009</v>
      </c>
      <c r="X66" s="762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59"/>
      <c r="J67" s="759"/>
      <c r="K67" s="300"/>
      <c r="L67" s="297">
        <v>6</v>
      </c>
      <c r="M67" s="434" t="s">
        <v>319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65"/>
      <c r="W67" s="585"/>
      <c r="X67" s="762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59"/>
      <c r="J68" s="759"/>
      <c r="K68" s="300"/>
      <c r="L68" s="297">
        <v>6</v>
      </c>
      <c r="M68" s="434" t="s">
        <v>319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65"/>
      <c r="W68" s="585"/>
      <c r="X68" s="762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60"/>
      <c r="J69" s="760"/>
      <c r="K69" s="305"/>
      <c r="L69" s="301">
        <v>6</v>
      </c>
      <c r="M69" s="436" t="s">
        <v>319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66"/>
      <c r="W69" s="583"/>
      <c r="X69" s="763"/>
      <c r="Y69" s="489"/>
    </row>
    <row r="70" spans="1:25" ht="14.4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323</v>
      </c>
      <c r="D71" s="385"/>
      <c r="E71" s="466"/>
      <c r="F71" s="472"/>
      <c r="G71" s="386"/>
      <c r="H71" s="587"/>
      <c r="I71" s="746">
        <f>SUM(G71:G78)</f>
        <v>0</v>
      </c>
      <c r="J71" s="746">
        <v>0</v>
      </c>
      <c r="K71" s="284"/>
      <c r="L71" s="384">
        <v>7</v>
      </c>
      <c r="M71" s="308" t="s">
        <v>324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73">
        <f>J71-SUM(U71:U78)</f>
        <v>0</v>
      </c>
      <c r="W71" s="587"/>
      <c r="X71" s="767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47"/>
      <c r="J72" s="747"/>
      <c r="K72" s="287"/>
      <c r="L72" s="387">
        <v>7</v>
      </c>
      <c r="M72" s="388" t="s">
        <v>324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74"/>
      <c r="W72" s="578"/>
      <c r="X72" s="768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47"/>
      <c r="J73" s="747"/>
      <c r="K73" s="287"/>
      <c r="L73" s="387">
        <v>7</v>
      </c>
      <c r="M73" s="388" t="s">
        <v>324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74"/>
      <c r="W73" s="578"/>
      <c r="X73" s="768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47"/>
      <c r="J74" s="747"/>
      <c r="K74" s="287"/>
      <c r="L74" s="387">
        <v>7</v>
      </c>
      <c r="M74" s="388" t="s">
        <v>324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74"/>
      <c r="W74" s="578"/>
      <c r="X74" s="768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47"/>
      <c r="J75" s="747"/>
      <c r="K75" s="287"/>
      <c r="L75" s="387">
        <v>7</v>
      </c>
      <c r="M75" s="388" t="s">
        <v>324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74"/>
      <c r="W75" s="578"/>
      <c r="X75" s="768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47"/>
      <c r="J76" s="747"/>
      <c r="K76" s="287"/>
      <c r="L76" s="387">
        <v>7</v>
      </c>
      <c r="M76" s="388" t="s">
        <v>324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74"/>
      <c r="W76" s="578"/>
      <c r="X76" s="768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47"/>
      <c r="J77" s="747"/>
      <c r="K77" s="287"/>
      <c r="L77" s="387">
        <v>7</v>
      </c>
      <c r="M77" s="388" t="s">
        <v>324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74"/>
      <c r="W77" s="578"/>
      <c r="X77" s="768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48"/>
      <c r="J78" s="748"/>
      <c r="K78" s="288"/>
      <c r="L78" s="315">
        <v>7</v>
      </c>
      <c r="M78" s="336" t="s">
        <v>324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75"/>
      <c r="W78" s="579"/>
      <c r="X78" s="769"/>
      <c r="Y78" s="489"/>
    </row>
    <row r="79" spans="1:25" ht="14.4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325</v>
      </c>
      <c r="D80" s="332"/>
      <c r="E80" s="467"/>
      <c r="F80" s="420"/>
      <c r="G80" s="333"/>
      <c r="H80" s="581"/>
      <c r="I80" s="758">
        <f>D167</f>
        <v>0</v>
      </c>
      <c r="J80" s="758">
        <f>F167</f>
        <v>0</v>
      </c>
      <c r="K80" s="296"/>
      <c r="L80" s="331">
        <v>8</v>
      </c>
      <c r="M80" s="429" t="s">
        <v>326</v>
      </c>
      <c r="N80" s="332" t="s">
        <v>327</v>
      </c>
      <c r="O80" s="566"/>
      <c r="P80" s="420"/>
      <c r="Q80" s="333">
        <v>12500</v>
      </c>
      <c r="R80" s="596" t="s">
        <v>328</v>
      </c>
      <c r="S80" s="633" t="s">
        <v>329</v>
      </c>
      <c r="T80" s="705">
        <v>45991</v>
      </c>
      <c r="U80" s="513"/>
      <c r="V80" s="782">
        <f>J80-SUM(U80:U87)</f>
        <v>0</v>
      </c>
      <c r="W80" s="543">
        <v>45988</v>
      </c>
      <c r="X80" s="761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59"/>
      <c r="J81" s="759"/>
      <c r="K81" s="300"/>
      <c r="L81" s="321">
        <v>8</v>
      </c>
      <c r="M81" s="437" t="s">
        <v>326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83"/>
      <c r="W81" s="582"/>
      <c r="X81" s="762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59"/>
      <c r="J82" s="759"/>
      <c r="K82" s="300"/>
      <c r="L82" s="321">
        <v>8</v>
      </c>
      <c r="M82" s="437" t="s">
        <v>326</v>
      </c>
      <c r="N82" s="334" t="s">
        <v>330</v>
      </c>
      <c r="O82" s="419"/>
      <c r="P82" s="465"/>
      <c r="Q82" s="323">
        <v>12930</v>
      </c>
      <c r="R82" s="597" t="s">
        <v>331</v>
      </c>
      <c r="S82" s="634" t="s">
        <v>332</v>
      </c>
      <c r="T82" s="691">
        <v>45930</v>
      </c>
      <c r="U82" s="514"/>
      <c r="V82" s="783"/>
      <c r="W82" s="544">
        <f>T82</f>
        <v>45930</v>
      </c>
      <c r="X82" s="762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59"/>
      <c r="J83" s="759"/>
      <c r="K83" s="300"/>
      <c r="L83" s="321">
        <v>8</v>
      </c>
      <c r="M83" s="437" t="s">
        <v>326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83"/>
      <c r="W83" s="582"/>
      <c r="X83" s="762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59"/>
      <c r="J84" s="759"/>
      <c r="K84" s="300"/>
      <c r="L84" s="321">
        <v>8</v>
      </c>
      <c r="M84" s="437" t="s">
        <v>326</v>
      </c>
      <c r="N84" s="334" t="s">
        <v>508</v>
      </c>
      <c r="O84" s="563"/>
      <c r="P84" s="465"/>
      <c r="Q84" s="323">
        <v>36463</v>
      </c>
      <c r="R84" s="597" t="s">
        <v>510</v>
      </c>
      <c r="S84" s="634" t="s">
        <v>509</v>
      </c>
      <c r="T84" s="658">
        <v>46053</v>
      </c>
      <c r="U84" s="514"/>
      <c r="V84" s="783"/>
      <c r="W84" s="582">
        <v>46081</v>
      </c>
      <c r="X84" s="762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59"/>
      <c r="J85" s="759"/>
      <c r="K85" s="300"/>
      <c r="L85" s="321">
        <v>8</v>
      </c>
      <c r="M85" s="437" t="s">
        <v>326</v>
      </c>
      <c r="N85" s="334" t="s">
        <v>333</v>
      </c>
      <c r="O85" s="563"/>
      <c r="P85" s="465"/>
      <c r="Q85" s="323">
        <v>92203</v>
      </c>
      <c r="R85" s="597" t="s">
        <v>334</v>
      </c>
      <c r="S85" s="634" t="s">
        <v>335</v>
      </c>
      <c r="T85" s="658">
        <v>45838</v>
      </c>
      <c r="U85" s="514"/>
      <c r="V85" s="783"/>
      <c r="W85" s="544">
        <v>45869</v>
      </c>
      <c r="X85" s="762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59"/>
      <c r="J86" s="759"/>
      <c r="K86" s="300"/>
      <c r="L86" s="321">
        <v>8</v>
      </c>
      <c r="M86" s="437" t="s">
        <v>326</v>
      </c>
      <c r="N86" s="334" t="s">
        <v>503</v>
      </c>
      <c r="O86" s="563"/>
      <c r="P86" s="465"/>
      <c r="Q86" s="323">
        <v>97632.57</v>
      </c>
      <c r="R86" s="597"/>
      <c r="S86" s="634" t="s">
        <v>336</v>
      </c>
      <c r="T86" s="658">
        <v>45930</v>
      </c>
      <c r="U86" s="693">
        <v>0</v>
      </c>
      <c r="V86" s="783"/>
      <c r="W86" s="544">
        <v>45989</v>
      </c>
      <c r="X86" s="762"/>
      <c r="Y86" s="489"/>
    </row>
    <row r="87" spans="1:25" ht="15" customHeight="1" thickBot="1">
      <c r="B87" s="321">
        <v>8</v>
      </c>
      <c r="C87" s="302"/>
      <c r="D87" s="303"/>
      <c r="E87" s="462"/>
      <c r="F87" s="459"/>
      <c r="G87" s="304"/>
      <c r="H87" s="583"/>
      <c r="I87" s="760"/>
      <c r="J87" s="760"/>
      <c r="K87" s="305"/>
      <c r="L87" s="301">
        <v>8</v>
      </c>
      <c r="M87" s="436" t="s">
        <v>326</v>
      </c>
      <c r="N87" s="303" t="s">
        <v>504</v>
      </c>
      <c r="O87" s="564"/>
      <c r="P87" s="459"/>
      <c r="Q87" s="304">
        <v>-60000</v>
      </c>
      <c r="R87" s="598"/>
      <c r="S87" s="635" t="s">
        <v>337</v>
      </c>
      <c r="T87" s="708">
        <v>46053</v>
      </c>
      <c r="U87" s="515"/>
      <c r="V87" s="784"/>
      <c r="W87" s="583">
        <v>46051</v>
      </c>
      <c r="X87" s="763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338</v>
      </c>
      <c r="D89" s="326" t="s">
        <v>339</v>
      </c>
      <c r="E89" s="313"/>
      <c r="F89" s="441"/>
      <c r="G89" s="624">
        <f>D173</f>
        <v>260610</v>
      </c>
      <c r="H89" s="541">
        <v>45791</v>
      </c>
      <c r="I89" s="776">
        <f>SUM(G89:G100)</f>
        <v>812490</v>
      </c>
      <c r="J89" s="746">
        <f>F173+F174</f>
        <v>955870.5882352941</v>
      </c>
      <c r="K89" s="287"/>
      <c r="L89" s="310">
        <v>9</v>
      </c>
      <c r="M89" s="427" t="s">
        <v>340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52">
        <f>J89-SUM(U89:U100)</f>
        <v>0</v>
      </c>
      <c r="W89" s="584"/>
      <c r="X89" s="779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341</v>
      </c>
      <c r="E90" s="313"/>
      <c r="F90" s="463"/>
      <c r="G90" s="624">
        <f>D174</f>
        <v>551880</v>
      </c>
      <c r="H90" s="541">
        <v>45792</v>
      </c>
      <c r="I90" s="777"/>
      <c r="J90" s="747"/>
      <c r="K90" s="287"/>
      <c r="L90" s="310">
        <v>9</v>
      </c>
      <c r="M90" s="427" t="s">
        <v>340</v>
      </c>
      <c r="N90" s="327" t="s">
        <v>283</v>
      </c>
      <c r="O90" s="574">
        <f>SUM(Z29:Z30)</f>
        <v>1095150</v>
      </c>
      <c r="P90" s="575">
        <v>0.1</v>
      </c>
      <c r="Q90" s="314">
        <f>$O$90*P90</f>
        <v>109515</v>
      </c>
      <c r="R90" s="785" t="s">
        <v>284</v>
      </c>
      <c r="S90" s="629" t="s">
        <v>285</v>
      </c>
      <c r="T90" s="649">
        <f t="shared" si="9"/>
        <v>45808</v>
      </c>
      <c r="U90" s="665">
        <v>95587.058823529413</v>
      </c>
      <c r="V90" s="753"/>
      <c r="W90" s="541">
        <v>45792</v>
      </c>
      <c r="X90" s="780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77"/>
      <c r="J91" s="747"/>
      <c r="K91" s="287"/>
      <c r="L91" s="387">
        <v>9</v>
      </c>
      <c r="M91" s="508" t="s">
        <v>340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56"/>
      <c r="S91" s="630" t="s">
        <v>286</v>
      </c>
      <c r="T91" s="662">
        <f t="shared" si="9"/>
        <v>45808</v>
      </c>
      <c r="U91" s="670">
        <v>143380.5882352941</v>
      </c>
      <c r="V91" s="753"/>
      <c r="W91" s="542">
        <f>'Project Plan'!I19+7</f>
        <v>45806</v>
      </c>
      <c r="X91" s="780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77"/>
      <c r="J92" s="747"/>
      <c r="K92" s="287"/>
      <c r="L92" s="387">
        <v>9</v>
      </c>
      <c r="M92" s="508" t="s">
        <v>340</v>
      </c>
      <c r="N92" s="389" t="s">
        <v>287</v>
      </c>
      <c r="O92" s="556"/>
      <c r="P92" s="573">
        <v>0.2</v>
      </c>
      <c r="Q92" s="314">
        <f t="shared" si="10"/>
        <v>219030</v>
      </c>
      <c r="R92" s="756"/>
      <c r="S92" s="630" t="s">
        <v>288</v>
      </c>
      <c r="T92" s="662">
        <v>45838</v>
      </c>
      <c r="U92" s="674">
        <v>191174.11764705883</v>
      </c>
      <c r="V92" s="753"/>
      <c r="W92" s="542">
        <v>45876</v>
      </c>
      <c r="X92" s="780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77"/>
      <c r="J93" s="747"/>
      <c r="K93" s="287"/>
      <c r="L93" s="387">
        <v>9</v>
      </c>
      <c r="M93" s="508" t="s">
        <v>340</v>
      </c>
      <c r="N93" s="389" t="s">
        <v>289</v>
      </c>
      <c r="O93" s="556"/>
      <c r="P93" s="573">
        <v>0.25</v>
      </c>
      <c r="Q93" s="314">
        <f t="shared" si="10"/>
        <v>273787.5</v>
      </c>
      <c r="R93" s="756"/>
      <c r="S93" s="630" t="s">
        <v>290</v>
      </c>
      <c r="T93" s="662">
        <v>45838</v>
      </c>
      <c r="U93" s="674">
        <v>238967.64705882352</v>
      </c>
      <c r="V93" s="753"/>
      <c r="W93" s="542">
        <v>45939</v>
      </c>
      <c r="X93" s="780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77"/>
      <c r="J94" s="747"/>
      <c r="K94" s="287"/>
      <c r="L94" s="387">
        <v>9</v>
      </c>
      <c r="M94" s="508" t="s">
        <v>340</v>
      </c>
      <c r="N94" s="389" t="s">
        <v>195</v>
      </c>
      <c r="O94" s="556"/>
      <c r="P94" s="573">
        <v>0.1</v>
      </c>
      <c r="Q94" s="314">
        <f t="shared" si="10"/>
        <v>109515</v>
      </c>
      <c r="R94" s="756"/>
      <c r="S94" s="630" t="s">
        <v>291</v>
      </c>
      <c r="T94" s="662">
        <v>45900</v>
      </c>
      <c r="U94" s="670">
        <v>95587.058823529413</v>
      </c>
      <c r="V94" s="753"/>
      <c r="W94" s="542">
        <v>45946</v>
      </c>
      <c r="X94" s="780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77"/>
      <c r="J95" s="747"/>
      <c r="K95" s="287"/>
      <c r="L95" s="387">
        <v>9</v>
      </c>
      <c r="M95" s="508" t="s">
        <v>340</v>
      </c>
      <c r="N95" s="389" t="s">
        <v>292</v>
      </c>
      <c r="O95" s="556"/>
      <c r="P95" s="573">
        <v>0.1</v>
      </c>
      <c r="Q95" s="314">
        <f t="shared" si="10"/>
        <v>109515</v>
      </c>
      <c r="R95" s="756"/>
      <c r="S95" s="630" t="s">
        <v>293</v>
      </c>
      <c r="T95" s="662">
        <v>45900</v>
      </c>
      <c r="U95" s="670">
        <v>95587.058823529413</v>
      </c>
      <c r="V95" s="753"/>
      <c r="W95" s="542">
        <v>45954</v>
      </c>
      <c r="X95" s="780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77"/>
      <c r="J96" s="747"/>
      <c r="K96" s="287"/>
      <c r="L96" s="387">
        <v>9</v>
      </c>
      <c r="M96" s="508" t="s">
        <v>340</v>
      </c>
      <c r="N96" s="389" t="s">
        <v>294</v>
      </c>
      <c r="O96" s="556"/>
      <c r="P96" s="573">
        <v>0.05</v>
      </c>
      <c r="Q96" s="314">
        <f t="shared" si="10"/>
        <v>54757.5</v>
      </c>
      <c r="R96" s="756"/>
      <c r="S96" s="630" t="s">
        <v>295</v>
      </c>
      <c r="T96" s="662">
        <v>45900</v>
      </c>
      <c r="U96" s="670">
        <v>47793.529411764706</v>
      </c>
      <c r="V96" s="753"/>
      <c r="W96" s="542">
        <v>45954</v>
      </c>
      <c r="X96" s="780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77"/>
      <c r="J97" s="747"/>
      <c r="K97" s="287"/>
      <c r="L97" s="387">
        <v>9</v>
      </c>
      <c r="M97" s="508" t="s">
        <v>340</v>
      </c>
      <c r="N97" s="389" t="s">
        <v>296</v>
      </c>
      <c r="O97" s="556"/>
      <c r="P97" s="573">
        <v>0.05</v>
      </c>
      <c r="Q97" s="314">
        <f t="shared" si="10"/>
        <v>54757.5</v>
      </c>
      <c r="R97" s="757"/>
      <c r="S97" s="630" t="s">
        <v>297</v>
      </c>
      <c r="T97" s="662">
        <v>45900</v>
      </c>
      <c r="U97" s="670">
        <v>47793.529411764706</v>
      </c>
      <c r="V97" s="753"/>
      <c r="W97" s="706">
        <v>46009</v>
      </c>
      <c r="X97" s="780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77"/>
      <c r="J98" s="747"/>
      <c r="K98" s="287"/>
      <c r="L98" s="387">
        <v>9</v>
      </c>
      <c r="M98" s="508" t="s">
        <v>340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53"/>
      <c r="W98" s="578"/>
      <c r="X98" s="780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77"/>
      <c r="J99" s="747"/>
      <c r="K99" s="287"/>
      <c r="L99" s="387">
        <v>9</v>
      </c>
      <c r="M99" s="508" t="s">
        <v>340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53"/>
      <c r="W99" s="578"/>
      <c r="X99" s="780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78"/>
      <c r="J100" s="748"/>
      <c r="K100" s="288"/>
      <c r="L100" s="315">
        <v>9</v>
      </c>
      <c r="M100" s="445" t="s">
        <v>340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54"/>
      <c r="W100" s="579"/>
      <c r="X100" s="781"/>
      <c r="Y100" s="489"/>
    </row>
    <row r="101" spans="1:25" ht="14.4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342</v>
      </c>
      <c r="D102" s="269" t="s">
        <v>257</v>
      </c>
      <c r="E102" s="270"/>
      <c r="F102" s="474"/>
      <c r="G102" s="337">
        <f>D177</f>
        <v>8500</v>
      </c>
      <c r="H102" s="588">
        <v>45792</v>
      </c>
      <c r="I102" s="786">
        <f>SUM(G102:G116)</f>
        <v>214921.53333333335</v>
      </c>
      <c r="J102" s="786">
        <f>F177+F180+F181+F179</f>
        <v>252848.86274509804</v>
      </c>
      <c r="K102" s="338"/>
      <c r="L102" s="268">
        <v>10</v>
      </c>
      <c r="M102" s="438" t="s">
        <v>343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92">
        <f>J102-SUM(U102:U116)</f>
        <v>3.1062951311469078E-3</v>
      </c>
      <c r="W102" s="588"/>
      <c r="X102" s="788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258</v>
      </c>
      <c r="E103" s="341"/>
      <c r="F103" s="475"/>
      <c r="G103" s="342">
        <f>D181</f>
        <v>55968.2</v>
      </c>
      <c r="H103" s="589">
        <v>45792</v>
      </c>
      <c r="I103" s="790"/>
      <c r="J103" s="790"/>
      <c r="K103" s="271"/>
      <c r="L103" s="339">
        <v>10</v>
      </c>
      <c r="M103" s="439" t="s">
        <v>343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93"/>
      <c r="W103" s="589"/>
      <c r="X103" s="791"/>
      <c r="Y103" s="489"/>
    </row>
    <row r="104" spans="1:25" ht="14.25" customHeight="1">
      <c r="B104" s="339">
        <v>10</v>
      </c>
      <c r="C104" s="340"/>
      <c r="D104" s="340" t="s">
        <v>344</v>
      </c>
      <c r="E104" s="341"/>
      <c r="F104" s="475"/>
      <c r="G104" s="342">
        <f>D180</f>
        <v>124800</v>
      </c>
      <c r="H104" s="589">
        <v>45792</v>
      </c>
      <c r="I104" s="790"/>
      <c r="J104" s="790"/>
      <c r="K104" s="271"/>
      <c r="L104" s="339">
        <v>10</v>
      </c>
      <c r="M104" s="439" t="s">
        <v>343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93"/>
      <c r="W104" s="589"/>
      <c r="X104" s="791"/>
      <c r="Y104" s="489"/>
    </row>
    <row r="105" spans="1:25" ht="14.25" customHeight="1">
      <c r="B105" s="339">
        <v>10</v>
      </c>
      <c r="C105" s="340"/>
      <c r="D105" s="340" t="s">
        <v>259</v>
      </c>
      <c r="E105" s="341"/>
      <c r="F105" s="475"/>
      <c r="G105" s="342">
        <f>D179</f>
        <v>25653.333333333332</v>
      </c>
      <c r="H105" s="589">
        <v>45792</v>
      </c>
      <c r="I105" s="790"/>
      <c r="J105" s="790"/>
      <c r="K105" s="271"/>
      <c r="L105" s="339">
        <v>10</v>
      </c>
      <c r="M105" s="439" t="s">
        <v>343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93"/>
      <c r="W105" s="589"/>
      <c r="X105" s="791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90"/>
      <c r="J106" s="790"/>
      <c r="K106" s="271"/>
      <c r="L106" s="339">
        <v>10</v>
      </c>
      <c r="M106" s="439" t="s">
        <v>343</v>
      </c>
      <c r="N106" s="340" t="s">
        <v>283</v>
      </c>
      <c r="O106" s="623">
        <f>SUM(Z31:Z35)</f>
        <v>17700</v>
      </c>
      <c r="P106" s="576">
        <v>0.1</v>
      </c>
      <c r="Q106" s="342">
        <f>$O$106*P106</f>
        <v>1770</v>
      </c>
      <c r="R106" s="795" t="s">
        <v>284</v>
      </c>
      <c r="S106" s="643" t="s">
        <v>285</v>
      </c>
      <c r="T106" s="659">
        <f t="shared" si="9"/>
        <v>45808</v>
      </c>
      <c r="U106" s="671">
        <v>3140.6490319917439</v>
      </c>
      <c r="V106" s="793"/>
      <c r="W106" s="547">
        <f>W90</f>
        <v>45792</v>
      </c>
      <c r="X106" s="791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90"/>
      <c r="J107" s="790"/>
      <c r="K107" s="271"/>
      <c r="L107" s="339">
        <v>10</v>
      </c>
      <c r="M107" s="439" t="s">
        <v>343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96"/>
      <c r="S107" s="643" t="s">
        <v>286</v>
      </c>
      <c r="T107" s="659">
        <f t="shared" si="9"/>
        <v>45808</v>
      </c>
      <c r="U107" s="671">
        <v>4710.9735479876163</v>
      </c>
      <c r="V107" s="793"/>
      <c r="W107" s="547">
        <f t="shared" ref="W107:W113" si="13">W91</f>
        <v>45806</v>
      </c>
      <c r="X107" s="791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90"/>
      <c r="J108" s="790"/>
      <c r="K108" s="271"/>
      <c r="L108" s="339">
        <v>10</v>
      </c>
      <c r="M108" s="439" t="s">
        <v>343</v>
      </c>
      <c r="N108" s="340" t="s">
        <v>287</v>
      </c>
      <c r="O108" s="569"/>
      <c r="P108" s="576">
        <v>0.2</v>
      </c>
      <c r="Q108" s="342">
        <f t="shared" si="12"/>
        <v>3540</v>
      </c>
      <c r="R108" s="796"/>
      <c r="S108" s="643" t="s">
        <v>288</v>
      </c>
      <c r="T108" s="659">
        <f t="shared" ref="T108:T109" si="14">T92</f>
        <v>45838</v>
      </c>
      <c r="U108" s="677">
        <v>50569.77254901961</v>
      </c>
      <c r="V108" s="793"/>
      <c r="W108" s="547">
        <f t="shared" si="13"/>
        <v>45876</v>
      </c>
      <c r="X108" s="791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90"/>
      <c r="J109" s="790"/>
      <c r="K109" s="271"/>
      <c r="L109" s="339">
        <v>10</v>
      </c>
      <c r="M109" s="439" t="s">
        <v>343</v>
      </c>
      <c r="N109" s="340" t="s">
        <v>289</v>
      </c>
      <c r="O109" s="569"/>
      <c r="P109" s="576">
        <v>0.25</v>
      </c>
      <c r="Q109" s="342">
        <f t="shared" si="12"/>
        <v>4425</v>
      </c>
      <c r="R109" s="796"/>
      <c r="S109" s="643" t="s">
        <v>290</v>
      </c>
      <c r="T109" s="659">
        <f t="shared" si="14"/>
        <v>45838</v>
      </c>
      <c r="U109" s="677">
        <f>63212.2156862745+55360.59</f>
        <v>118572.8056862745</v>
      </c>
      <c r="V109" s="793"/>
      <c r="W109" s="547">
        <f t="shared" si="13"/>
        <v>45939</v>
      </c>
      <c r="X109" s="791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90"/>
      <c r="J110" s="790"/>
      <c r="K110" s="271"/>
      <c r="L110" s="339">
        <v>10</v>
      </c>
      <c r="M110" s="439" t="s">
        <v>343</v>
      </c>
      <c r="N110" s="340" t="s">
        <v>195</v>
      </c>
      <c r="O110" s="569"/>
      <c r="P110" s="576">
        <v>0.1</v>
      </c>
      <c r="Q110" s="342">
        <f t="shared" si="12"/>
        <v>1770</v>
      </c>
      <c r="R110" s="796"/>
      <c r="S110" s="643" t="s">
        <v>291</v>
      </c>
      <c r="T110" s="659">
        <v>45900</v>
      </c>
      <c r="U110" s="671">
        <v>25284.886274509805</v>
      </c>
      <c r="V110" s="793"/>
      <c r="W110" s="547">
        <f t="shared" si="13"/>
        <v>45946</v>
      </c>
      <c r="X110" s="791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90"/>
      <c r="J111" s="790"/>
      <c r="K111" s="271"/>
      <c r="L111" s="339">
        <v>10</v>
      </c>
      <c r="M111" s="439" t="s">
        <v>343</v>
      </c>
      <c r="N111" s="340" t="s">
        <v>292</v>
      </c>
      <c r="O111" s="569"/>
      <c r="P111" s="576">
        <v>0.1</v>
      </c>
      <c r="Q111" s="342">
        <f t="shared" si="12"/>
        <v>1770</v>
      </c>
      <c r="R111" s="796"/>
      <c r="S111" s="643" t="s">
        <v>293</v>
      </c>
      <c r="T111" s="659">
        <v>45900</v>
      </c>
      <c r="U111" s="671">
        <v>25284.886274509805</v>
      </c>
      <c r="V111" s="793"/>
      <c r="W111" s="547">
        <f t="shared" si="13"/>
        <v>45954</v>
      </c>
      <c r="X111" s="791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90"/>
      <c r="J112" s="790"/>
      <c r="K112" s="271"/>
      <c r="L112" s="339">
        <v>10</v>
      </c>
      <c r="M112" s="439" t="s">
        <v>343</v>
      </c>
      <c r="N112" s="340" t="s">
        <v>294</v>
      </c>
      <c r="O112" s="569"/>
      <c r="P112" s="576">
        <v>0.05</v>
      </c>
      <c r="Q112" s="342">
        <f t="shared" si="12"/>
        <v>885</v>
      </c>
      <c r="R112" s="796"/>
      <c r="S112" s="643" t="s">
        <v>295</v>
      </c>
      <c r="T112" s="659">
        <v>45900</v>
      </c>
      <c r="U112" s="671">
        <v>12642.443137254902</v>
      </c>
      <c r="V112" s="793"/>
      <c r="W112" s="547">
        <f t="shared" si="13"/>
        <v>45954</v>
      </c>
      <c r="X112" s="791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90"/>
      <c r="J113" s="790"/>
      <c r="K113" s="271"/>
      <c r="L113" s="339">
        <v>10</v>
      </c>
      <c r="M113" s="439" t="s">
        <v>343</v>
      </c>
      <c r="N113" s="340" t="s">
        <v>296</v>
      </c>
      <c r="O113" s="569"/>
      <c r="P113" s="576">
        <v>0.05</v>
      </c>
      <c r="Q113" s="342">
        <f t="shared" si="12"/>
        <v>885</v>
      </c>
      <c r="R113" s="797"/>
      <c r="S113" s="643" t="s">
        <v>297</v>
      </c>
      <c r="T113" s="659">
        <v>45900</v>
      </c>
      <c r="U113" s="671">
        <v>12642.443137254902</v>
      </c>
      <c r="V113" s="793"/>
      <c r="W113" s="656">
        <f t="shared" si="13"/>
        <v>46009</v>
      </c>
      <c r="X113" s="791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90"/>
      <c r="J114" s="790"/>
      <c r="K114" s="271"/>
      <c r="L114" s="339">
        <v>10</v>
      </c>
      <c r="M114" s="439" t="s">
        <v>343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93"/>
      <c r="W114" s="590"/>
      <c r="X114" s="791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90"/>
      <c r="J115" s="790"/>
      <c r="K115" s="271"/>
      <c r="L115" s="339">
        <v>10</v>
      </c>
      <c r="M115" s="439" t="s">
        <v>343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93"/>
      <c r="W115" s="590"/>
      <c r="X115" s="791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87"/>
      <c r="J116" s="787"/>
      <c r="K116" s="274"/>
      <c r="L116" s="272">
        <v>10</v>
      </c>
      <c r="M116" s="440" t="s">
        <v>343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94"/>
      <c r="W116" s="591"/>
      <c r="X116" s="789"/>
      <c r="Y116" s="489"/>
    </row>
    <row r="117" spans="1:25" ht="14.4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345</v>
      </c>
      <c r="D118" s="350" t="s">
        <v>346</v>
      </c>
      <c r="E118" s="282"/>
      <c r="F118" s="441"/>
      <c r="G118" s="283">
        <v>26061.000000000004</v>
      </c>
      <c r="H118" s="584">
        <v>45900</v>
      </c>
      <c r="I118" s="746">
        <f>SUM(G118:G122)</f>
        <v>158183</v>
      </c>
      <c r="J118" s="746">
        <f>F176</f>
        <v>186097.64705882352</v>
      </c>
      <c r="K118" s="284"/>
      <c r="L118" s="280">
        <v>11</v>
      </c>
      <c r="M118" s="350" t="s">
        <v>347</v>
      </c>
      <c r="N118" s="350" t="s">
        <v>346</v>
      </c>
      <c r="O118" s="282"/>
      <c r="P118" s="441"/>
      <c r="Q118" s="283">
        <v>28642.46</v>
      </c>
      <c r="R118" s="599"/>
      <c r="S118" s="636" t="s">
        <v>348</v>
      </c>
      <c r="T118" s="661">
        <v>45869</v>
      </c>
      <c r="U118" s="669">
        <v>42577.503365863282</v>
      </c>
      <c r="V118" s="752">
        <f>J118-SUM(U118:U122)</f>
        <v>2.9164322186261415E-3</v>
      </c>
      <c r="W118" s="545">
        <v>45989</v>
      </c>
      <c r="X118" s="767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349</v>
      </c>
      <c r="E119" s="313"/>
      <c r="F119" s="463"/>
      <c r="G119" s="314">
        <v>52122.000000000007</v>
      </c>
      <c r="H119" s="651">
        <v>45900</v>
      </c>
      <c r="I119" s="747"/>
      <c r="J119" s="747"/>
      <c r="K119" s="287"/>
      <c r="L119" s="310">
        <v>11</v>
      </c>
      <c r="M119" s="393" t="s">
        <v>347</v>
      </c>
      <c r="N119" s="312" t="s">
        <v>349</v>
      </c>
      <c r="O119" s="313"/>
      <c r="P119" s="463"/>
      <c r="Q119" s="314">
        <v>9700</v>
      </c>
      <c r="R119" s="647" t="s">
        <v>350</v>
      </c>
      <c r="S119" s="629" t="s">
        <v>351</v>
      </c>
      <c r="T119" s="650">
        <v>45777</v>
      </c>
      <c r="U119" s="657">
        <v>16876.685674877648</v>
      </c>
      <c r="V119" s="753"/>
      <c r="W119" s="651">
        <v>45757</v>
      </c>
      <c r="X119" s="768"/>
      <c r="Y119" s="489"/>
    </row>
    <row r="120" spans="1:25" ht="15" customHeight="1">
      <c r="B120" s="310">
        <v>11</v>
      </c>
      <c r="C120" s="312"/>
      <c r="D120" s="312" t="s">
        <v>352</v>
      </c>
      <c r="E120" s="313"/>
      <c r="F120" s="463"/>
      <c r="G120" s="314">
        <v>80000</v>
      </c>
      <c r="H120" s="577">
        <v>45900</v>
      </c>
      <c r="I120" s="747"/>
      <c r="J120" s="747"/>
      <c r="K120" s="287"/>
      <c r="L120" s="310">
        <v>11</v>
      </c>
      <c r="M120" s="393" t="s">
        <v>347</v>
      </c>
      <c r="N120" s="312" t="s">
        <v>352</v>
      </c>
      <c r="O120" s="313"/>
      <c r="P120" s="463"/>
      <c r="Q120" s="314">
        <v>63200</v>
      </c>
      <c r="R120" s="647" t="s">
        <v>353</v>
      </c>
      <c r="S120" s="629" t="s">
        <v>354</v>
      </c>
      <c r="T120" s="649">
        <v>45777</v>
      </c>
      <c r="U120" s="657">
        <v>109959.43656208942</v>
      </c>
      <c r="V120" s="753"/>
      <c r="W120" s="577">
        <v>46081</v>
      </c>
      <c r="X120" s="768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47"/>
      <c r="J121" s="747"/>
      <c r="K121" s="287"/>
      <c r="L121" s="310">
        <v>11</v>
      </c>
      <c r="M121" s="393" t="s">
        <v>347</v>
      </c>
      <c r="N121" s="391" t="s">
        <v>355</v>
      </c>
      <c r="O121" s="410"/>
      <c r="P121" s="448"/>
      <c r="Q121" s="390">
        <v>10000</v>
      </c>
      <c r="R121" s="593"/>
      <c r="S121" s="630" t="s">
        <v>356</v>
      </c>
      <c r="T121" s="662">
        <v>45900</v>
      </c>
      <c r="U121" s="670">
        <v>16684.018539560948</v>
      </c>
      <c r="V121" s="753"/>
      <c r="W121" s="542">
        <v>45900</v>
      </c>
      <c r="X121" s="768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48"/>
      <c r="J122" s="748"/>
      <c r="K122" s="288"/>
      <c r="L122" s="315">
        <v>11</v>
      </c>
      <c r="M122" s="423" t="s">
        <v>347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54"/>
      <c r="W122" s="579"/>
      <c r="X122" s="769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357</v>
      </c>
      <c r="D124" s="269" t="s">
        <v>358</v>
      </c>
      <c r="E124" s="270"/>
      <c r="F124" s="474"/>
      <c r="G124" s="337">
        <v>121836.996568558</v>
      </c>
      <c r="H124" s="588">
        <v>45900</v>
      </c>
      <c r="I124" s="786">
        <f>SUM(G124:G125)</f>
        <v>162449.32875807735</v>
      </c>
      <c r="J124" s="786">
        <v>0</v>
      </c>
      <c r="K124" s="479"/>
      <c r="L124" s="268">
        <v>12</v>
      </c>
      <c r="M124" s="269" t="s">
        <v>359</v>
      </c>
      <c r="N124" s="269" t="s">
        <v>358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88">
        <f>SUM(Q124:Q125)</f>
        <v>0</v>
      </c>
      <c r="Y124" s="489"/>
    </row>
    <row r="125" spans="1:25" ht="15" customHeight="1" thickBot="1">
      <c r="B125" s="272">
        <v>12</v>
      </c>
      <c r="C125" s="343" t="s">
        <v>357</v>
      </c>
      <c r="D125" s="343" t="s">
        <v>360</v>
      </c>
      <c r="E125" s="344"/>
      <c r="F125" s="476"/>
      <c r="G125" s="273">
        <v>40612.332189519337</v>
      </c>
      <c r="H125" s="591">
        <v>45900</v>
      </c>
      <c r="I125" s="787"/>
      <c r="J125" s="787"/>
      <c r="K125" s="480"/>
      <c r="L125" s="272">
        <v>12</v>
      </c>
      <c r="M125" s="343" t="s">
        <v>359</v>
      </c>
      <c r="N125" s="343" t="s">
        <v>360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89"/>
      <c r="Y125" s="489"/>
    </row>
    <row r="126" spans="1:25" ht="14.4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361</v>
      </c>
      <c r="D127" s="350" t="s">
        <v>362</v>
      </c>
      <c r="E127" s="282"/>
      <c r="F127" s="441"/>
      <c r="G127" s="283">
        <v>85437.028666666665</v>
      </c>
      <c r="H127" s="545">
        <v>45900</v>
      </c>
      <c r="I127" s="746">
        <f>SUM(G127:G131)</f>
        <v>301279.98866666667</v>
      </c>
      <c r="J127" s="746">
        <f>F175</f>
        <v>342363.62348484847</v>
      </c>
      <c r="K127" s="284"/>
      <c r="L127" s="280">
        <v>13</v>
      </c>
      <c r="M127" s="350" t="s">
        <v>363</v>
      </c>
      <c r="N127" s="350" t="s">
        <v>364</v>
      </c>
      <c r="O127" s="554"/>
      <c r="P127" s="441"/>
      <c r="Q127" s="283">
        <f>'Project Plan'!$E$6*1.25%</f>
        <v>119583.61157237989</v>
      </c>
      <c r="R127" s="599"/>
      <c r="S127" s="636" t="s">
        <v>356</v>
      </c>
      <c r="T127" s="661">
        <v>45900</v>
      </c>
      <c r="U127" s="669">
        <v>342363.62348484847</v>
      </c>
      <c r="V127" s="752">
        <f>J127-SUM(U127:U132)</f>
        <v>0</v>
      </c>
      <c r="W127" s="545">
        <v>45900</v>
      </c>
      <c r="X127" s="767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365</v>
      </c>
      <c r="E128" s="313"/>
      <c r="F128" s="463"/>
      <c r="G128" s="314">
        <v>40000</v>
      </c>
      <c r="H128" s="577">
        <v>45900</v>
      </c>
      <c r="I128" s="747"/>
      <c r="J128" s="747"/>
      <c r="K128" s="287"/>
      <c r="L128" s="310">
        <v>13</v>
      </c>
      <c r="M128" s="393" t="s">
        <v>363</v>
      </c>
      <c r="N128" s="312" t="s">
        <v>365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53"/>
      <c r="W128" s="577"/>
      <c r="X128" s="768"/>
      <c r="Y128" s="489"/>
    </row>
    <row r="129" spans="1:25" ht="15.75" customHeight="1">
      <c r="B129" s="310">
        <v>13</v>
      </c>
      <c r="C129" s="312"/>
      <c r="D129" s="312" t="s">
        <v>366</v>
      </c>
      <c r="E129" s="313"/>
      <c r="F129" s="463"/>
      <c r="G129" s="314">
        <v>81600</v>
      </c>
      <c r="H129" s="577">
        <v>45900</v>
      </c>
      <c r="I129" s="747"/>
      <c r="J129" s="747"/>
      <c r="K129" s="287"/>
      <c r="L129" s="310">
        <v>13</v>
      </c>
      <c r="M129" s="393" t="s">
        <v>363</v>
      </c>
      <c r="N129" s="312" t="s">
        <v>366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53"/>
      <c r="W129" s="577"/>
      <c r="X129" s="768"/>
      <c r="Y129" s="489"/>
    </row>
    <row r="130" spans="1:25" ht="15.75" customHeight="1">
      <c r="B130" s="310">
        <v>13</v>
      </c>
      <c r="C130" s="312"/>
      <c r="D130" s="312" t="s">
        <v>367</v>
      </c>
      <c r="E130" s="313"/>
      <c r="F130" s="463"/>
      <c r="G130" s="314">
        <v>52000</v>
      </c>
      <c r="H130" s="577">
        <v>45900</v>
      </c>
      <c r="I130" s="747"/>
      <c r="J130" s="747"/>
      <c r="K130" s="287"/>
      <c r="L130" s="310">
        <v>13</v>
      </c>
      <c r="M130" s="393" t="s">
        <v>363</v>
      </c>
      <c r="N130" s="312" t="s">
        <v>367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53"/>
      <c r="W130" s="577"/>
      <c r="X130" s="768"/>
      <c r="Y130" s="489"/>
    </row>
    <row r="131" spans="1:25" ht="15.75" customHeight="1">
      <c r="B131" s="310">
        <v>13</v>
      </c>
      <c r="C131" s="312"/>
      <c r="D131" s="312" t="s">
        <v>368</v>
      </c>
      <c r="E131" s="313"/>
      <c r="F131" s="463"/>
      <c r="G131" s="314">
        <v>42242.96</v>
      </c>
      <c r="H131" s="577">
        <v>45900</v>
      </c>
      <c r="I131" s="747"/>
      <c r="J131" s="747"/>
      <c r="K131" s="287"/>
      <c r="L131" s="310">
        <v>13</v>
      </c>
      <c r="M131" s="393" t="s">
        <v>363</v>
      </c>
      <c r="N131" s="312" t="s">
        <v>368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53"/>
      <c r="W131" s="577"/>
      <c r="X131" s="768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48"/>
      <c r="J132" s="748"/>
      <c r="K132" s="481"/>
      <c r="L132" s="315">
        <v>13</v>
      </c>
      <c r="M132" s="423" t="s">
        <v>363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54"/>
      <c r="W132" s="579"/>
      <c r="X132" s="769"/>
      <c r="Y132" s="489"/>
    </row>
    <row r="133" spans="1:25" ht="14.4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369</v>
      </c>
      <c r="D134" s="269" t="s">
        <v>370</v>
      </c>
      <c r="E134" s="270"/>
      <c r="F134" s="474"/>
      <c r="G134" s="337">
        <v>18200</v>
      </c>
      <c r="H134" s="655">
        <v>45747</v>
      </c>
      <c r="I134" s="786">
        <f>SUM(G134:G145)</f>
        <v>18200</v>
      </c>
      <c r="J134" s="786">
        <f>F186</f>
        <v>21411.764705882353</v>
      </c>
      <c r="K134" s="338"/>
      <c r="L134" s="268">
        <v>14</v>
      </c>
      <c r="M134" s="438" t="s">
        <v>371</v>
      </c>
      <c r="N134" s="269" t="s">
        <v>372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92">
        <f>J134-SUM(U134:U145)</f>
        <v>1.695305691100657E-4</v>
      </c>
      <c r="W134" s="655">
        <v>45747</v>
      </c>
      <c r="X134" s="788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90"/>
      <c r="J135" s="790"/>
      <c r="K135" s="271"/>
      <c r="L135" s="339">
        <v>14</v>
      </c>
      <c r="M135" s="439" t="s">
        <v>371</v>
      </c>
      <c r="N135" s="340" t="s">
        <v>372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93"/>
      <c r="W135" s="656">
        <v>45777</v>
      </c>
      <c r="X135" s="791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90"/>
      <c r="J136" s="790"/>
      <c r="K136" s="271"/>
      <c r="L136" s="339">
        <v>14</v>
      </c>
      <c r="M136" s="439" t="s">
        <v>371</v>
      </c>
      <c r="N136" s="340" t="s">
        <v>372</v>
      </c>
      <c r="O136" s="569"/>
      <c r="P136" s="475"/>
      <c r="Q136" s="342">
        <v>3116.87</v>
      </c>
      <c r="R136" s="607"/>
      <c r="S136" s="643" t="s">
        <v>373</v>
      </c>
      <c r="T136" s="659">
        <v>45808</v>
      </c>
      <c r="U136" s="671">
        <v>7781.1237734538981</v>
      </c>
      <c r="V136" s="793"/>
      <c r="W136" s="547">
        <v>45817</v>
      </c>
      <c r="X136" s="791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90"/>
      <c r="J137" s="790"/>
      <c r="K137" s="271"/>
      <c r="L137" s="339">
        <v>14</v>
      </c>
      <c r="M137" s="439" t="s">
        <v>371</v>
      </c>
      <c r="N137" s="340" t="s">
        <v>372</v>
      </c>
      <c r="O137" s="569"/>
      <c r="P137" s="475"/>
      <c r="Q137" s="342">
        <v>7517.79</v>
      </c>
      <c r="R137" s="607"/>
      <c r="S137" s="643" t="s">
        <v>373</v>
      </c>
      <c r="T137" s="659">
        <v>45838</v>
      </c>
      <c r="U137" s="677">
        <v>8170.6963482167221</v>
      </c>
      <c r="V137" s="793"/>
      <c r="W137" s="547">
        <v>45842</v>
      </c>
      <c r="X137" s="791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90"/>
      <c r="J138" s="790"/>
      <c r="K138" s="271"/>
      <c r="L138" s="339">
        <v>14</v>
      </c>
      <c r="M138" s="439" t="s">
        <v>371</v>
      </c>
      <c r="N138" s="340" t="s">
        <v>372</v>
      </c>
      <c r="O138" s="569"/>
      <c r="P138" s="475"/>
      <c r="Q138" s="342">
        <v>0</v>
      </c>
      <c r="R138" s="607"/>
      <c r="S138" s="643" t="s">
        <v>373</v>
      </c>
      <c r="T138" s="659">
        <v>45869</v>
      </c>
      <c r="U138" s="671">
        <v>0</v>
      </c>
      <c r="V138" s="793"/>
      <c r="W138" s="547">
        <v>45869</v>
      </c>
      <c r="X138" s="791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90"/>
      <c r="J139" s="790"/>
      <c r="K139" s="271"/>
      <c r="L139" s="339">
        <v>14</v>
      </c>
      <c r="M139" s="439" t="s">
        <v>371</v>
      </c>
      <c r="N139" s="340" t="s">
        <v>372</v>
      </c>
      <c r="O139" s="569"/>
      <c r="P139" s="475"/>
      <c r="Q139" s="342">
        <v>5923.1900000000005</v>
      </c>
      <c r="R139" s="607"/>
      <c r="S139" s="643" t="s">
        <v>373</v>
      </c>
      <c r="T139" s="659">
        <v>45900</v>
      </c>
      <c r="U139" s="671">
        <v>1216.1400000000001</v>
      </c>
      <c r="V139" s="793"/>
      <c r="W139" s="547">
        <v>45905</v>
      </c>
      <c r="X139" s="791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90"/>
      <c r="J140" s="790"/>
      <c r="K140" s="271"/>
      <c r="L140" s="339">
        <v>14</v>
      </c>
      <c r="M140" s="439" t="s">
        <v>371</v>
      </c>
      <c r="N140" s="340" t="s">
        <v>372</v>
      </c>
      <c r="O140" s="569"/>
      <c r="P140" s="475"/>
      <c r="Q140" s="342">
        <v>5002.96</v>
      </c>
      <c r="R140" s="607"/>
      <c r="S140" s="643" t="s">
        <v>373</v>
      </c>
      <c r="T140" s="690">
        <v>45930</v>
      </c>
      <c r="U140" s="654">
        <v>1151.0944146811621</v>
      </c>
      <c r="V140" s="793"/>
      <c r="W140" s="656">
        <v>45940</v>
      </c>
      <c r="X140" s="791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90"/>
      <c r="J141" s="790"/>
      <c r="K141" s="271"/>
      <c r="L141" s="339">
        <v>14</v>
      </c>
      <c r="M141" s="439" t="s">
        <v>371</v>
      </c>
      <c r="N141" s="340" t="s">
        <v>372</v>
      </c>
      <c r="O141" s="569"/>
      <c r="P141" s="475"/>
      <c r="Q141" s="342">
        <v>0</v>
      </c>
      <c r="R141" s="607"/>
      <c r="S141" s="643" t="s">
        <v>373</v>
      </c>
      <c r="T141" s="690">
        <f t="shared" ref="T141:T144" si="15">IF(W141&gt;1,EOMONTH(W141,0),"")</f>
        <v>45961</v>
      </c>
      <c r="U141" s="654">
        <v>0</v>
      </c>
      <c r="V141" s="793"/>
      <c r="W141" s="656">
        <v>45961</v>
      </c>
      <c r="X141" s="791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90"/>
      <c r="J142" s="790"/>
      <c r="K142" s="271"/>
      <c r="L142" s="339">
        <v>14</v>
      </c>
      <c r="M142" s="439" t="s">
        <v>371</v>
      </c>
      <c r="N142" s="340" t="s">
        <v>372</v>
      </c>
      <c r="O142" s="569"/>
      <c r="P142" s="475"/>
      <c r="Q142" s="342">
        <v>0</v>
      </c>
      <c r="R142" s="607"/>
      <c r="S142" s="643" t="s">
        <v>373</v>
      </c>
      <c r="T142" s="690">
        <v>45991</v>
      </c>
      <c r="U142" s="654">
        <v>3092.71</v>
      </c>
      <c r="V142" s="793"/>
      <c r="W142" s="656">
        <v>45991</v>
      </c>
      <c r="X142" s="791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90"/>
      <c r="J143" s="790"/>
      <c r="K143" s="271"/>
      <c r="L143" s="339">
        <v>14</v>
      </c>
      <c r="M143" s="439" t="s">
        <v>371</v>
      </c>
      <c r="N143" s="340" t="s">
        <v>372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93"/>
      <c r="W143" s="590"/>
      <c r="X143" s="791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90"/>
      <c r="J144" s="790"/>
      <c r="K144" s="271"/>
      <c r="L144" s="339">
        <v>14</v>
      </c>
      <c r="M144" s="439" t="s">
        <v>371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93"/>
      <c r="W144" s="590"/>
      <c r="X144" s="791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87"/>
      <c r="J145" s="787"/>
      <c r="K145" s="274"/>
      <c r="L145" s="272">
        <v>14</v>
      </c>
      <c r="M145" s="440" t="s">
        <v>371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94"/>
      <c r="W145" s="591"/>
      <c r="X145" s="789"/>
      <c r="Y145" s="489"/>
    </row>
    <row r="146" spans="1:25" ht="14.4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374</v>
      </c>
      <c r="D147" s="281" t="s">
        <v>375</v>
      </c>
      <c r="E147" s="282"/>
      <c r="F147" s="441"/>
      <c r="G147" s="283">
        <f>D183</f>
        <v>1600000</v>
      </c>
      <c r="H147" s="545">
        <v>45834</v>
      </c>
      <c r="I147" s="746">
        <f>SUM(G147:G158)</f>
        <v>1600000</v>
      </c>
      <c r="J147" s="746">
        <f>F183</f>
        <v>1600000</v>
      </c>
      <c r="K147" s="284"/>
      <c r="L147" s="280">
        <v>15</v>
      </c>
      <c r="M147" s="350" t="s">
        <v>376</v>
      </c>
      <c r="N147" s="281" t="s">
        <v>377</v>
      </c>
      <c r="O147" s="282"/>
      <c r="P147" s="441"/>
      <c r="Q147" s="283">
        <f>1435000/2</f>
        <v>717500</v>
      </c>
      <c r="R147" s="599"/>
      <c r="S147" s="636" t="s">
        <v>378</v>
      </c>
      <c r="T147" s="661">
        <v>45838</v>
      </c>
      <c r="U147" s="669">
        <v>767500</v>
      </c>
      <c r="V147" s="752">
        <f>J147-SUM(U147:U158)</f>
        <v>0</v>
      </c>
      <c r="W147" s="545">
        <v>45834</v>
      </c>
      <c r="X147" s="767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47"/>
      <c r="J148" s="747"/>
      <c r="K148" s="287"/>
      <c r="L148" s="310">
        <v>15</v>
      </c>
      <c r="M148" s="393" t="s">
        <v>376</v>
      </c>
      <c r="N148" s="312" t="s">
        <v>379</v>
      </c>
      <c r="O148" s="555"/>
      <c r="P148" s="463"/>
      <c r="Q148" s="314">
        <v>717500</v>
      </c>
      <c r="R148" s="592"/>
      <c r="S148" s="629" t="s">
        <v>378</v>
      </c>
      <c r="T148" s="649">
        <v>45838</v>
      </c>
      <c r="U148" s="669">
        <v>767500</v>
      </c>
      <c r="V148" s="753"/>
      <c r="W148" s="681">
        <v>45960</v>
      </c>
      <c r="X148" s="768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47"/>
      <c r="J149" s="747"/>
      <c r="K149" s="287"/>
      <c r="L149" s="310">
        <v>15</v>
      </c>
      <c r="M149" s="393" t="s">
        <v>376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53"/>
      <c r="W149" s="577"/>
      <c r="X149" s="768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47"/>
      <c r="J150" s="747"/>
      <c r="K150" s="287"/>
      <c r="L150" s="310">
        <v>15</v>
      </c>
      <c r="M150" s="393" t="s">
        <v>376</v>
      </c>
      <c r="N150" s="312" t="s">
        <v>380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53"/>
      <c r="W150" s="577"/>
      <c r="X150" s="768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47"/>
      <c r="J151" s="747"/>
      <c r="K151" s="287"/>
      <c r="L151" s="310">
        <v>15</v>
      </c>
      <c r="M151" s="393" t="s">
        <v>376</v>
      </c>
      <c r="N151" s="312" t="s">
        <v>502</v>
      </c>
      <c r="O151" s="555"/>
      <c r="P151" s="463"/>
      <c r="Q151" s="314">
        <v>57750</v>
      </c>
      <c r="R151" s="592"/>
      <c r="S151" s="629" t="s">
        <v>381</v>
      </c>
      <c r="T151" s="650">
        <v>45930</v>
      </c>
      <c r="U151" s="509">
        <v>0</v>
      </c>
      <c r="V151" s="753"/>
      <c r="W151" s="651">
        <v>45932</v>
      </c>
      <c r="X151" s="768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47"/>
      <c r="J152" s="747"/>
      <c r="K152" s="287"/>
      <c r="L152" s="310">
        <v>15</v>
      </c>
      <c r="M152" s="393" t="s">
        <v>376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53"/>
      <c r="W152" s="577"/>
      <c r="X152" s="768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47"/>
      <c r="J153" s="747"/>
      <c r="K153" s="287"/>
      <c r="L153" s="310">
        <v>15</v>
      </c>
      <c r="M153" s="393" t="s">
        <v>376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53"/>
      <c r="W153" s="577"/>
      <c r="X153" s="768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47"/>
      <c r="J154" s="747"/>
      <c r="K154" s="287"/>
      <c r="L154" s="310">
        <v>15</v>
      </c>
      <c r="M154" s="393" t="s">
        <v>376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53"/>
      <c r="W154" s="577"/>
      <c r="X154" s="768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47"/>
      <c r="J155" s="747"/>
      <c r="K155" s="287"/>
      <c r="L155" s="310">
        <v>15</v>
      </c>
      <c r="M155" s="393" t="s">
        <v>376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53"/>
      <c r="W155" s="577"/>
      <c r="X155" s="768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47"/>
      <c r="J156" s="747"/>
      <c r="K156" s="287"/>
      <c r="L156" s="310">
        <v>15</v>
      </c>
      <c r="M156" s="393" t="s">
        <v>376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53"/>
      <c r="W156" s="577"/>
      <c r="X156" s="768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47"/>
      <c r="J157" s="747"/>
      <c r="K157" s="287"/>
      <c r="L157" s="310">
        <v>15</v>
      </c>
      <c r="M157" s="393" t="s">
        <v>376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53"/>
      <c r="W157" s="577"/>
      <c r="X157" s="768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48"/>
      <c r="J158" s="748"/>
      <c r="K158" s="288"/>
      <c r="L158" s="315">
        <v>15</v>
      </c>
      <c r="M158" s="423" t="s">
        <v>376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54"/>
      <c r="W158" s="579"/>
      <c r="X158" s="769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382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383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384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280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318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299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385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386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387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388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389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390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391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392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393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394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395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396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397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398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399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400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387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401</v>
      </c>
      <c r="D185" s="646"/>
      <c r="E185" s="549"/>
      <c r="F185" s="646"/>
      <c r="I185" s="255"/>
      <c r="J185" s="255"/>
    </row>
    <row r="186" spans="3:10" s="112" customFormat="1">
      <c r="C186" s="646" t="s">
        <v>402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403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8" t="s">
        <v>404</v>
      </c>
      <c r="B2" s="191"/>
      <c r="C2" s="192" t="s">
        <v>234</v>
      </c>
      <c r="D2" s="192" t="s">
        <v>234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478334.44628951955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9"/>
      <c r="B4" s="194" t="s">
        <v>405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9566688.92579039</v>
      </c>
      <c r="BA4" s="197">
        <f t="shared" si="5"/>
        <v>9566688.92579039</v>
      </c>
      <c r="BB4" s="197">
        <f t="shared" si="5"/>
        <v>9566688.92579039</v>
      </c>
      <c r="BC4" s="197">
        <f t="shared" si="5"/>
        <v>9566688.92579039</v>
      </c>
      <c r="BD4" s="197">
        <f t="shared" si="5"/>
        <v>9566688.92579039</v>
      </c>
      <c r="BE4" s="197">
        <f t="shared" si="5"/>
        <v>9566688.92579039</v>
      </c>
      <c r="BF4" s="197">
        <f t="shared" si="5"/>
        <v>9566688.92579039</v>
      </c>
      <c r="BG4" s="197">
        <f t="shared" si="5"/>
        <v>9566688.92579039</v>
      </c>
      <c r="BH4" s="197">
        <f t="shared" si="5"/>
        <v>9566688.92579039</v>
      </c>
      <c r="BI4" s="197">
        <f t="shared" si="5"/>
        <v>9566688.92579039</v>
      </c>
      <c r="BJ4" s="197">
        <f t="shared" si="5"/>
        <v>9566688.92579039</v>
      </c>
      <c r="BK4" s="197">
        <f t="shared" si="5"/>
        <v>9566688.92579039</v>
      </c>
      <c r="BL4" s="197">
        <f t="shared" si="5"/>
        <v>9566688.92579039</v>
      </c>
      <c r="BM4" s="197">
        <f t="shared" si="5"/>
        <v>9566688.92579039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799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799"/>
      <c r="B6" s="198" t="s">
        <v>406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799"/>
      <c r="B7" s="203" t="s">
        <v>407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649797.31503231265</v>
      </c>
      <c r="BA7" s="206">
        <f t="shared" si="16"/>
        <v>649797.31503231265</v>
      </c>
      <c r="BB7" s="206">
        <f t="shared" si="16"/>
        <v>649797.31503231265</v>
      </c>
      <c r="BC7" s="206">
        <f t="shared" si="16"/>
        <v>649797.31503231265</v>
      </c>
      <c r="BD7" s="206">
        <f t="shared" si="16"/>
        <v>649797.31503231265</v>
      </c>
      <c r="BE7" s="206">
        <f t="shared" si="16"/>
        <v>649797.31503231265</v>
      </c>
      <c r="BF7" s="206">
        <f t="shared" si="16"/>
        <v>649797.31503231265</v>
      </c>
      <c r="BG7" s="206">
        <f t="shared" si="16"/>
        <v>649797.31503231265</v>
      </c>
      <c r="BH7" s="206">
        <f t="shared" si="16"/>
        <v>649797.31503231265</v>
      </c>
      <c r="BI7" s="206">
        <f t="shared" si="16"/>
        <v>649797.31503231265</v>
      </c>
      <c r="BJ7" s="206">
        <f t="shared" si="16"/>
        <v>649797.31503231265</v>
      </c>
      <c r="BK7" s="206">
        <f t="shared" si="16"/>
        <v>649797.31503231265</v>
      </c>
      <c r="BL7" s="206">
        <f t="shared" si="16"/>
        <v>649797.31503231265</v>
      </c>
      <c r="BM7" s="206">
        <f t="shared" si="16"/>
        <v>649797.31503231265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798" t="s">
        <v>167</v>
      </c>
      <c r="B8" s="191"/>
      <c r="C8" s="192" t="s">
        <v>234</v>
      </c>
      <c r="D8" s="192" t="s">
        <v>234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8" t="s">
        <v>408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9"/>
      <c r="B10" s="208" t="s">
        <v>409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799"/>
      <c r="B11" s="211" t="s">
        <v>410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99663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799"/>
      <c r="B12" s="211" t="s">
        <v>411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7712531.4215723816</v>
      </c>
      <c r="BL12" s="213">
        <f t="shared" si="26"/>
        <v>7712531.4215723816</v>
      </c>
      <c r="BM12" s="213">
        <f t="shared" si="26"/>
        <v>7712531.4215723816</v>
      </c>
      <c r="BN12" s="213">
        <f t="shared" si="26"/>
        <v>7712531.4215723816</v>
      </c>
      <c r="BO12" s="213">
        <f t="shared" si="26"/>
        <v>7712531.4215723816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79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3" t="s">
        <v>412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1854157.5042180084</v>
      </c>
      <c r="BL14" s="206">
        <f t="shared" si="32"/>
        <v>1854157.5042180084</v>
      </c>
      <c r="BM14" s="206">
        <f t="shared" si="32"/>
        <v>1854157.5042180084</v>
      </c>
      <c r="BN14" s="206">
        <f t="shared" si="32"/>
        <v>1854157.5042180084</v>
      </c>
      <c r="BO14" s="206">
        <f t="shared" si="32"/>
        <v>1854157.5042180084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234</v>
      </c>
      <c r="D16" s="192" t="s">
        <v>234</v>
      </c>
    </row>
    <row r="17" spans="1:316">
      <c r="A17" s="800"/>
      <c r="B17" s="194" t="s">
        <v>413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0"/>
      <c r="B18" s="194" t="s">
        <v>414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L11" sqref="L11"/>
    </sheetView>
  </sheetViews>
  <sheetFormatPr defaultColWidth="12.5546875" defaultRowHeight="14.4"/>
  <cols>
    <col min="1" max="1" width="39.44140625" style="364" bestFit="1" customWidth="1"/>
    <col min="2" max="2" width="17.21875" style="365" bestFit="1" customWidth="1"/>
    <col min="3" max="3" width="13.21875" style="364" bestFit="1" customWidth="1"/>
    <col min="4" max="5" width="14.77734375" style="364" bestFit="1" customWidth="1"/>
    <col min="6" max="6" width="12" style="364" bestFit="1" customWidth="1"/>
    <col min="7" max="7" width="14.77734375" style="364" bestFit="1" customWidth="1"/>
    <col min="8" max="8" width="10.77734375" style="364" bestFit="1" customWidth="1"/>
    <col min="9" max="10" width="11.77734375" style="364" bestFit="1" customWidth="1"/>
    <col min="11" max="11" width="4.77734375" style="364" bestFit="1" customWidth="1"/>
    <col min="12" max="12" width="10.5546875" style="364" bestFit="1" customWidth="1"/>
    <col min="13" max="13" width="14.77734375" style="364" bestFit="1" customWidth="1"/>
    <col min="14" max="14" width="14.5546875" style="364" bestFit="1" customWidth="1"/>
    <col min="15" max="15" width="14.21875" style="364" bestFit="1" customWidth="1"/>
    <col min="16" max="18" width="11.44140625" style="364" bestFit="1" customWidth="1"/>
    <col min="19" max="19" width="13.5546875" style="364" bestFit="1" customWidth="1"/>
    <col min="20" max="16384" width="12.554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415</v>
      </c>
      <c r="B3" s="450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417</v>
      </c>
      <c r="B4" t="s">
        <v>418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419</v>
      </c>
      <c r="N4"/>
      <c r="O4"/>
      <c r="P4"/>
      <c r="Q4"/>
      <c r="R4"/>
      <c r="S4"/>
      <c r="T4"/>
    </row>
    <row r="5" spans="1:20">
      <c r="A5" s="451" t="s">
        <v>418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237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250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263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277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300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319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326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340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343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347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363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371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376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359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324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419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9" sqref="K9"/>
    </sheetView>
  </sheetViews>
  <sheetFormatPr defaultColWidth="8.44140625" defaultRowHeight="14.4"/>
  <cols>
    <col min="1" max="1" width="21.77734375" bestFit="1" customWidth="1"/>
    <col min="2" max="2" width="17.21875" style="411" bestFit="1" customWidth="1"/>
    <col min="3" max="3" width="13.21875" style="411" bestFit="1" customWidth="1"/>
    <col min="4" max="5" width="14.77734375" style="411" bestFit="1" customWidth="1"/>
    <col min="6" max="6" width="12" style="411" bestFit="1" customWidth="1"/>
    <col min="7" max="8" width="13.21875" style="411" bestFit="1" customWidth="1"/>
    <col min="9" max="9" width="11.77734375" style="411" bestFit="1" customWidth="1"/>
    <col min="10" max="10" width="12" bestFit="1" customWidth="1"/>
    <col min="11" max="11" width="11.77734375" bestFit="1" customWidth="1"/>
    <col min="12" max="12" width="12.21875" bestFit="1" customWidth="1"/>
    <col min="13" max="13" width="14.77734375" bestFit="1" customWidth="1"/>
    <col min="14" max="14" width="13.77734375" bestFit="1" customWidth="1"/>
    <col min="15" max="15" width="17.4414062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15">
      <c r="A3" s="450" t="s">
        <v>420</v>
      </c>
      <c r="B3" s="450" t="s">
        <v>416</v>
      </c>
      <c r="C3"/>
      <c r="D3"/>
      <c r="E3"/>
      <c r="F3"/>
      <c r="G3"/>
      <c r="H3"/>
      <c r="I3"/>
    </row>
    <row r="4" spans="1:15">
      <c r="A4" s="450" t="s">
        <v>417</v>
      </c>
      <c r="B4" t="s">
        <v>418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419</v>
      </c>
    </row>
    <row r="5" spans="1:15">
      <c r="A5" s="451" t="s">
        <v>418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237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250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263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277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300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319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326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-60000</v>
      </c>
      <c r="M12" s="453">
        <v>155265.57</v>
      </c>
      <c r="O12" s="453"/>
    </row>
    <row r="13" spans="1:15">
      <c r="A13" s="451" t="s">
        <v>340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343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347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363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371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376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359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324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419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-60000</v>
      </c>
      <c r="M21" s="453">
        <v>7676068.4215723798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21875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803" t="s">
        <v>421</v>
      </c>
      <c r="C2" s="803"/>
      <c r="D2" s="803"/>
      <c r="E2" s="803"/>
      <c r="H2" s="804" t="s">
        <v>422</v>
      </c>
      <c r="I2" s="805"/>
      <c r="J2" s="805"/>
      <c r="K2" s="805"/>
      <c r="L2" s="805"/>
      <c r="M2" s="805"/>
      <c r="N2" s="805"/>
      <c r="O2" s="806"/>
    </row>
    <row r="3" spans="2:15">
      <c r="B3" s="697"/>
      <c r="H3" s="807"/>
      <c r="I3" s="808"/>
      <c r="J3" s="808"/>
      <c r="K3" s="808"/>
      <c r="L3" s="808"/>
      <c r="M3" s="808"/>
      <c r="N3" s="808"/>
      <c r="O3" s="809"/>
    </row>
    <row r="4" spans="2:15">
      <c r="B4" s="698" t="s">
        <v>423</v>
      </c>
      <c r="C4" s="699" t="str">
        <f>'Project Plan'!E2</f>
        <v>Gillwell Mall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8" t="s">
        <v>424</v>
      </c>
      <c r="C5" s="699" t="s">
        <v>425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8" t="s">
        <v>426</v>
      </c>
      <c r="C6" s="699" t="s">
        <v>427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8" t="s">
        <v>428</v>
      </c>
      <c r="C7" s="699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97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429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430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700" t="s">
        <v>431</v>
      </c>
      <c r="C11" s="801" t="s">
        <v>432</v>
      </c>
      <c r="D11" s="801"/>
      <c r="E11" s="801"/>
    </row>
    <row r="12" spans="2:15">
      <c r="B12" s="700" t="s">
        <v>433</v>
      </c>
      <c r="C12" s="801" t="s">
        <v>432</v>
      </c>
      <c r="D12" s="801"/>
      <c r="E12" s="801"/>
    </row>
    <row r="13" spans="2:15">
      <c r="B13" s="700" t="s">
        <v>434</v>
      </c>
      <c r="C13" s="801" t="s">
        <v>432</v>
      </c>
      <c r="D13" s="801"/>
      <c r="E13" s="801"/>
    </row>
    <row r="14" spans="2:15">
      <c r="B14" s="700" t="s">
        <v>435</v>
      </c>
      <c r="C14" s="801" t="s">
        <v>436</v>
      </c>
      <c r="D14" s="801"/>
      <c r="E14" s="801"/>
    </row>
    <row r="15" spans="2:15">
      <c r="B15" s="700" t="s">
        <v>437</v>
      </c>
      <c r="C15" s="801" t="s">
        <v>438</v>
      </c>
      <c r="D15" s="801"/>
      <c r="E15" s="801"/>
    </row>
    <row r="16" spans="2:15" ht="15" customHeight="1">
      <c r="B16" s="700" t="s">
        <v>439</v>
      </c>
      <c r="C16" s="801" t="s">
        <v>440</v>
      </c>
      <c r="D16" s="801"/>
      <c r="E16" s="801"/>
    </row>
    <row r="17" spans="2:5">
      <c r="B17" s="697"/>
    </row>
    <row r="18" spans="2:5">
      <c r="B18" s="802" t="s">
        <v>441</v>
      </c>
      <c r="C18" s="802"/>
      <c r="D18" s="802"/>
      <c r="E18" s="802"/>
    </row>
    <row r="19" spans="2:5">
      <c r="B19" s="700" t="s">
        <v>442</v>
      </c>
      <c r="C19" s="700" t="s">
        <v>443</v>
      </c>
      <c r="D19" s="700" t="s">
        <v>444</v>
      </c>
      <c r="E19" s="700" t="s">
        <v>62</v>
      </c>
    </row>
    <row r="20" spans="2:5" ht="15" customHeight="1">
      <c r="B20" s="700" t="s">
        <v>445</v>
      </c>
      <c r="C20" s="700" t="s">
        <v>446</v>
      </c>
      <c r="D20" s="701" t="s">
        <v>447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448</v>
      </c>
    </row>
    <row r="2" spans="1:4">
      <c r="A2" s="815"/>
      <c r="B2" s="815"/>
      <c r="C2" s="815"/>
      <c r="D2" s="71"/>
    </row>
    <row r="3" spans="1:4">
      <c r="A3" s="814" t="s">
        <v>449</v>
      </c>
      <c r="B3" s="814"/>
      <c r="C3" s="814"/>
      <c r="D3" s="111">
        <v>0.32</v>
      </c>
    </row>
    <row r="4" spans="1:4">
      <c r="A4" s="814" t="s">
        <v>390</v>
      </c>
      <c r="B4" s="814"/>
      <c r="C4" s="814"/>
      <c r="D4" s="111">
        <v>0.5</v>
      </c>
    </row>
    <row r="5" spans="1:4">
      <c r="A5" s="814" t="s">
        <v>401</v>
      </c>
      <c r="B5" s="814"/>
      <c r="C5" s="814"/>
      <c r="D5" s="111">
        <v>0.15</v>
      </c>
    </row>
    <row r="6" spans="1:4">
      <c r="A6" s="814" t="s">
        <v>450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2187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6" t="s">
        <v>451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463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471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452</v>
      </c>
      <c r="C4" s="86"/>
      <c r="D4" s="90" t="s">
        <v>453</v>
      </c>
      <c r="E4" s="95"/>
      <c r="F4" s="95"/>
      <c r="G4" s="90" t="s">
        <v>474</v>
      </c>
      <c r="H4" s="96"/>
      <c r="J4" s="90" t="s">
        <v>455</v>
      </c>
      <c r="L4" s="90" t="s">
        <v>475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255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471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452</v>
      </c>
      <c r="C18" s="86"/>
      <c r="D18" s="90" t="s">
        <v>453</v>
      </c>
      <c r="E18" s="95"/>
      <c r="F18" s="95"/>
      <c r="G18" s="90" t="s">
        <v>477</v>
      </c>
      <c r="H18" s="96"/>
      <c r="J18" s="90" t="s">
        <v>455</v>
      </c>
      <c r="L18" s="90" t="s">
        <v>478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481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471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484</v>
      </c>
      <c r="C32" s="103"/>
      <c r="D32" s="103"/>
    </row>
    <row r="33" spans="2:4" ht="13.8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18" t="str">
        <f>D15</f>
        <v>Gillwell Mall</v>
      </c>
      <c r="C1" s="818"/>
      <c r="D1" s="818"/>
      <c r="E1" s="817" t="s">
        <v>486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487</v>
      </c>
      <c r="C3" s="72" t="s">
        <v>488</v>
      </c>
      <c r="D3" s="72" t="s">
        <v>489</v>
      </c>
      <c r="E3" s="78" t="s">
        <v>490</v>
      </c>
      <c r="F3" s="78" t="s">
        <v>491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2026-01-28T19:39:49Z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