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793" documentId="13_ncr:1_{5088FDBF-8B60-4138-AFBB-5A720563F8CF}" xr6:coauthVersionLast="47" xr6:coauthVersionMax="47" xr10:uidLastSave="{CFEFFCD1-92FE-492B-BE81-1B6BBB8F415F}"/>
  <bookViews>
    <workbookView xWindow="-98" yWindow="-98" windowWidth="21795" windowHeight="12975" tabRatio="677" firstSheet="1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64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6" i="18" l="1"/>
  <c r="W375" i="18"/>
  <c r="Q335" i="18"/>
  <c r="Q302" i="18"/>
  <c r="H6" i="5"/>
  <c r="Q323" i="18"/>
  <c r="Q321" i="18"/>
  <c r="W178" i="18"/>
  <c r="K121" i="2"/>
  <c r="O168" i="18" l="1"/>
  <c r="F26" i="5" l="1"/>
  <c r="P98" i="18"/>
  <c r="F18" i="5" l="1"/>
  <c r="F17" i="5"/>
  <c r="F19" i="5"/>
  <c r="W190" i="18" l="1"/>
  <c r="W370" i="18"/>
  <c r="W369" i="18"/>
  <c r="W368" i="18"/>
  <c r="Q233" i="18"/>
  <c r="W17" i="18"/>
  <c r="W19" i="18"/>
  <c r="Q16" i="18"/>
  <c r="O219" i="18" l="1"/>
  <c r="AE20" i="18"/>
  <c r="K114" i="2" l="1"/>
  <c r="K107" i="2"/>
  <c r="K106" i="2"/>
  <c r="N106" i="2" s="1"/>
  <c r="K105" i="2"/>
  <c r="N105" i="2" s="1"/>
  <c r="N114" i="2" l="1"/>
  <c r="Q221" i="18"/>
  <c r="Q222" i="18"/>
  <c r="K100" i="2"/>
  <c r="I101" i="2" s="1"/>
  <c r="K101" i="2" s="1"/>
  <c r="X74" i="18"/>
  <c r="H13" i="3" s="1"/>
  <c r="J74" i="18"/>
  <c r="W18" i="18"/>
  <c r="Q18" i="18"/>
  <c r="P136" i="18"/>
  <c r="P139" i="18"/>
  <c r="Q140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369" i="18"/>
  <c r="Q368" i="18"/>
  <c r="K52" i="2"/>
  <c r="N52" i="2" s="1"/>
  <c r="Q273" i="18"/>
  <c r="Q9" i="18"/>
  <c r="Q8" i="18"/>
  <c r="C4" i="19"/>
  <c r="W140" i="18"/>
  <c r="W137" i="18"/>
  <c r="W132" i="18"/>
  <c r="W134" i="18" s="1"/>
  <c r="T134" i="18" s="1"/>
  <c r="I123" i="18"/>
  <c r="F15" i="3" s="1"/>
  <c r="H300" i="18"/>
  <c r="H233" i="18"/>
  <c r="H228" i="18"/>
  <c r="H184" i="18"/>
  <c r="H179" i="18"/>
  <c r="H178" i="18"/>
  <c r="H177" i="18"/>
  <c r="H146" i="18"/>
  <c r="H147" i="18" s="1"/>
  <c r="H145" i="18"/>
  <c r="H97" i="18"/>
  <c r="H74" i="18"/>
  <c r="H49" i="18"/>
  <c r="AF21" i="2"/>
  <c r="AE21" i="2"/>
  <c r="Q230" i="18"/>
  <c r="Q229" i="18"/>
  <c r="W53" i="18"/>
  <c r="R6" i="5"/>
  <c r="Q166" i="18"/>
  <c r="Q51" i="18"/>
  <c r="K63" i="2"/>
  <c r="K61" i="2"/>
  <c r="I50" i="2"/>
  <c r="K50" i="2" s="1"/>
  <c r="K43" i="2"/>
  <c r="W243" i="18"/>
  <c r="K24" i="2"/>
  <c r="K65" i="2"/>
  <c r="N65" i="2" s="1"/>
  <c r="H16" i="5"/>
  <c r="Q19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3" i="18"/>
  <c r="Q163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8" i="18"/>
  <c r="Q167" i="18"/>
  <c r="Q176" i="18"/>
  <c r="Q175" i="18"/>
  <c r="Q327" i="18"/>
  <c r="X326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9" i="18"/>
  <c r="Q220" i="18"/>
  <c r="Q223" i="18"/>
  <c r="Q218" i="18"/>
  <c r="T113" i="18"/>
  <c r="T118" i="18" s="1"/>
  <c r="T63" i="18"/>
  <c r="T64" i="18"/>
  <c r="W67" i="18"/>
  <c r="W111" i="18" s="1"/>
  <c r="W116" i="18" s="1"/>
  <c r="O242" i="18"/>
  <c r="Q242" i="18" s="1"/>
  <c r="O236" i="18"/>
  <c r="Q237" i="18" s="1"/>
  <c r="O195" i="18"/>
  <c r="O185" i="18"/>
  <c r="O186" i="18" s="1"/>
  <c r="O207" i="18"/>
  <c r="Q207" i="18" s="1"/>
  <c r="O116" i="18"/>
  <c r="Q117" i="18" s="1"/>
  <c r="O111" i="18"/>
  <c r="Q113" i="18" s="1"/>
  <c r="O67" i="18"/>
  <c r="Q68" i="18" s="1"/>
  <c r="O62" i="18"/>
  <c r="Q63" i="18" s="1"/>
  <c r="AE27" i="18"/>
  <c r="W133" i="18"/>
  <c r="W129" i="18"/>
  <c r="T125" i="18"/>
  <c r="T130" i="18"/>
  <c r="T135" i="18"/>
  <c r="T138" i="18"/>
  <c r="T141" i="18"/>
  <c r="T144" i="18"/>
  <c r="P142" i="18"/>
  <c r="P131" i="18"/>
  <c r="Q131" i="18" s="1"/>
  <c r="P126" i="18"/>
  <c r="Q126" i="18" s="1"/>
  <c r="P133" i="18"/>
  <c r="P128" i="18"/>
  <c r="Q129" i="18" s="1"/>
  <c r="P123" i="18"/>
  <c r="Q123" i="18" s="1"/>
  <c r="P21" i="18"/>
  <c r="Q21" i="18" s="1"/>
  <c r="Q17" i="18"/>
  <c r="Q6" i="18"/>
  <c r="W47" i="18"/>
  <c r="Q47" i="18"/>
  <c r="Q46" i="18"/>
  <c r="O11" i="18"/>
  <c r="T148" i="18"/>
  <c r="T152" i="18"/>
  <c r="T153" i="18"/>
  <c r="T154" i="18"/>
  <c r="P196" i="18"/>
  <c r="P197" i="18"/>
  <c r="P198" i="18"/>
  <c r="P203" i="18"/>
  <c r="P204" i="18"/>
  <c r="P195" i="18"/>
  <c r="W195" i="18"/>
  <c r="W207" i="18" s="1"/>
  <c r="Z38" i="18"/>
  <c r="Z37" i="18"/>
  <c r="T93" i="18"/>
  <c r="T92" i="18"/>
  <c r="T91" i="18"/>
  <c r="T90" i="18"/>
  <c r="T40" i="18"/>
  <c r="O34" i="18"/>
  <c r="Q34" i="18" s="1"/>
  <c r="Q29" i="18"/>
  <c r="Q30" i="18"/>
  <c r="T114" i="18"/>
  <c r="T376" i="18"/>
  <c r="T339" i="18"/>
  <c r="T338" i="18"/>
  <c r="T337" i="18"/>
  <c r="T336" i="18"/>
  <c r="T325" i="18"/>
  <c r="T324" i="18"/>
  <c r="T301" i="18"/>
  <c r="T300" i="18"/>
  <c r="T299" i="18"/>
  <c r="T298" i="18"/>
  <c r="T283" i="18"/>
  <c r="T282" i="18"/>
  <c r="T228" i="18"/>
  <c r="T227" i="18"/>
  <c r="T226" i="18"/>
  <c r="T225" i="18"/>
  <c r="T183" i="18"/>
  <c r="T181" i="18"/>
  <c r="T179" i="18"/>
  <c r="T177" i="18"/>
  <c r="T162" i="18"/>
  <c r="T161" i="18"/>
  <c r="T160" i="18"/>
  <c r="T159" i="18"/>
  <c r="T158" i="18"/>
  <c r="T157" i="18"/>
  <c r="T145" i="18"/>
  <c r="T122" i="18"/>
  <c r="T121" i="18"/>
  <c r="T120" i="18"/>
  <c r="T119" i="18"/>
  <c r="T110" i="18"/>
  <c r="T109" i="18"/>
  <c r="T108" i="18"/>
  <c r="T96" i="18"/>
  <c r="T95" i="18"/>
  <c r="T94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5" i="18"/>
  <c r="T240" i="18"/>
  <c r="J123" i="18"/>
  <c r="J162" i="18"/>
  <c r="I162" i="18"/>
  <c r="F16" i="3" s="1"/>
  <c r="I299" i="18"/>
  <c r="F20" i="3" s="1"/>
  <c r="G15" i="2"/>
  <c r="E14" i="2"/>
  <c r="G14" i="2" s="1"/>
  <c r="E13" i="2"/>
  <c r="G233" i="18"/>
  <c r="Z26" i="18" s="1"/>
  <c r="G230" i="18"/>
  <c r="G229" i="18"/>
  <c r="G228" i="18"/>
  <c r="Z24" i="18" s="1"/>
  <c r="G185" i="18"/>
  <c r="Z23" i="18" s="1"/>
  <c r="AA23" i="18" s="1"/>
  <c r="G184" i="18"/>
  <c r="F184" i="18" s="1"/>
  <c r="G97" i="18"/>
  <c r="I97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8" i="18"/>
  <c r="Y42" i="18"/>
  <c r="Y41" i="18"/>
  <c r="Y40" i="18"/>
  <c r="Y39" i="18"/>
  <c r="Y38" i="18"/>
  <c r="Y37" i="18"/>
  <c r="Y36" i="18"/>
  <c r="Y35" i="18"/>
  <c r="J326" i="18"/>
  <c r="J302" i="18"/>
  <c r="J284" i="18"/>
  <c r="J184" i="18"/>
  <c r="J97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26" i="18"/>
  <c r="F22" i="3" s="1"/>
  <c r="X299" i="18"/>
  <c r="H20" i="3" s="1"/>
  <c r="I284" i="18"/>
  <c r="F19" i="3" s="1"/>
  <c r="I302" i="18"/>
  <c r="F21" i="3" s="1"/>
  <c r="I74" i="18"/>
  <c r="F13" i="3" s="1"/>
  <c r="X302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6" i="18"/>
  <c r="W208" i="18" s="1"/>
  <c r="T70" i="18"/>
  <c r="T65" i="18"/>
  <c r="T71" i="18"/>
  <c r="L1" i="6"/>
  <c r="W112" i="18"/>
  <c r="W117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K92" i="2"/>
  <c r="I93" i="2" s="1"/>
  <c r="I118" i="2"/>
  <c r="K118" i="2" s="1"/>
  <c r="P384" i="18"/>
  <c r="P385" i="18" s="1"/>
  <c r="K99" i="2"/>
  <c r="E24" i="13"/>
  <c r="F24" i="13"/>
  <c r="D24" i="13"/>
  <c r="D25" i="14"/>
  <c r="I72" i="2" l="1"/>
  <c r="N70" i="2"/>
  <c r="V302" i="18"/>
  <c r="H21" i="3"/>
  <c r="J21" i="3" s="1"/>
  <c r="Z21" i="18"/>
  <c r="E60" i="2"/>
  <c r="G60" i="2" s="1"/>
  <c r="E62" i="2" s="1"/>
  <c r="N90" i="2"/>
  <c r="I89" i="2"/>
  <c r="K89" i="2" s="1"/>
  <c r="N89" i="2" s="1"/>
  <c r="X284" i="18"/>
  <c r="U294" i="18" s="1"/>
  <c r="Q214" i="18"/>
  <c r="O35" i="18"/>
  <c r="Q35" i="18" s="1"/>
  <c r="C3" i="6"/>
  <c r="F15" i="5"/>
  <c r="Q132" i="18"/>
  <c r="Z20" i="18"/>
  <c r="Q10" i="18"/>
  <c r="X6" i="18" s="1"/>
  <c r="H9" i="3" s="1"/>
  <c r="J9" i="3" s="1"/>
  <c r="Q190" i="18"/>
  <c r="Q185" i="18"/>
  <c r="Q186" i="18"/>
  <c r="Q187" i="18"/>
  <c r="Q188" i="18"/>
  <c r="Q192" i="18"/>
  <c r="Q189" i="18"/>
  <c r="Q191" i="18"/>
  <c r="Q236" i="18"/>
  <c r="U92" i="18"/>
  <c r="Q64" i="18"/>
  <c r="Q116" i="18"/>
  <c r="Q62" i="18"/>
  <c r="T132" i="18"/>
  <c r="U85" i="18"/>
  <c r="Q244" i="18"/>
  <c r="Q243" i="18"/>
  <c r="Q127" i="18"/>
  <c r="F185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9" i="18"/>
  <c r="Q212" i="18"/>
  <c r="U95" i="18"/>
  <c r="Q67" i="18"/>
  <c r="Q69" i="18"/>
  <c r="U324" i="18"/>
  <c r="Q197" i="18"/>
  <c r="X339" i="18"/>
  <c r="H23" i="3" s="1"/>
  <c r="J23" i="3" s="1"/>
  <c r="O196" i="18"/>
  <c r="J13" i="3"/>
  <c r="GR5" i="6"/>
  <c r="Q196" i="18"/>
  <c r="Q210" i="18"/>
  <c r="Q238" i="18"/>
  <c r="EP5" i="6"/>
  <c r="Q208" i="18"/>
  <c r="Q198" i="18"/>
  <c r="O208" i="18"/>
  <c r="AY5" i="6"/>
  <c r="Q199" i="18"/>
  <c r="EU5" i="6"/>
  <c r="X162" i="18"/>
  <c r="Q215" i="18"/>
  <c r="U74" i="18"/>
  <c r="Q201" i="18"/>
  <c r="Q195" i="18"/>
  <c r="U94" i="18"/>
  <c r="W62" i="18"/>
  <c r="Z22" i="18"/>
  <c r="AA22" i="18" s="1"/>
  <c r="Q204" i="18"/>
  <c r="U91" i="18"/>
  <c r="Q203" i="18"/>
  <c r="U93" i="18"/>
  <c r="Q118" i="18"/>
  <c r="Q211" i="18"/>
  <c r="U90" i="18"/>
  <c r="I184" i="18"/>
  <c r="F17" i="3" s="1"/>
  <c r="Q139" i="18"/>
  <c r="Q213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3" i="18"/>
  <c r="Q134" i="18"/>
  <c r="U328" i="18"/>
  <c r="U332" i="18"/>
  <c r="U326" i="18"/>
  <c r="U335" i="18"/>
  <c r="U331" i="18"/>
  <c r="U329" i="18"/>
  <c r="U336" i="18"/>
  <c r="U330" i="18"/>
  <c r="H22" i="3"/>
  <c r="J22" i="3" s="1"/>
  <c r="U327" i="18"/>
  <c r="U333" i="18"/>
  <c r="U334" i="18"/>
  <c r="U337" i="18"/>
  <c r="JE5" i="6"/>
  <c r="I228" i="18"/>
  <c r="F18" i="3" s="1"/>
  <c r="Z25" i="18"/>
  <c r="X21" i="18"/>
  <c r="Q136" i="18"/>
  <c r="Q137" i="18"/>
  <c r="J2" i="18"/>
  <c r="J4" i="18" s="1"/>
  <c r="V6" i="18"/>
  <c r="DY5" i="6"/>
  <c r="Z5" i="6"/>
  <c r="BS5" i="6"/>
  <c r="IB5" i="6"/>
  <c r="M5" i="6"/>
  <c r="IV5" i="6"/>
  <c r="IE5" i="6"/>
  <c r="P5" i="6"/>
  <c r="Q112" i="18"/>
  <c r="CT5" i="6"/>
  <c r="GT5" i="6"/>
  <c r="Q42" i="18"/>
  <c r="Q128" i="18"/>
  <c r="Z4" i="5" s="1"/>
  <c r="Q111" i="18"/>
  <c r="Q202" i="18"/>
  <c r="Q200" i="18"/>
  <c r="U296" i="18" l="1"/>
  <c r="W4" i="5"/>
  <c r="X4" i="5"/>
  <c r="N72" i="2"/>
  <c r="N67" i="2" s="1"/>
  <c r="AB4" i="5"/>
  <c r="U285" i="18"/>
  <c r="U295" i="18"/>
  <c r="H19" i="3"/>
  <c r="J19" i="3" s="1"/>
  <c r="U284" i="18"/>
  <c r="U297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8" i="18"/>
  <c r="Z30" i="18"/>
  <c r="Z31" i="18" s="1"/>
  <c r="Z32" i="18" s="1"/>
  <c r="F5" i="3"/>
  <c r="D5" i="5" s="1"/>
  <c r="C5" i="6" s="1"/>
  <c r="X49" i="18"/>
  <c r="U49" i="18" s="1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4" i="18"/>
  <c r="I2" i="18"/>
  <c r="H16" i="3"/>
  <c r="J16" i="3" s="1"/>
  <c r="U181" i="18"/>
  <c r="U162" i="18"/>
  <c r="U177" i="18"/>
  <c r="X123" i="18"/>
  <c r="U27" i="18"/>
  <c r="U23" i="18"/>
  <c r="H10" i="3"/>
  <c r="J10" i="3" s="1"/>
  <c r="F6" i="6"/>
  <c r="D5" i="6"/>
  <c r="X97" i="18"/>
  <c r="V326" i="18"/>
  <c r="Y4" i="5" l="1"/>
  <c r="T4" i="5"/>
  <c r="V284" i="18"/>
  <c r="U65" i="18"/>
  <c r="U54" i="18"/>
  <c r="D6" i="5"/>
  <c r="J42" i="2"/>
  <c r="U20" i="2" s="1"/>
  <c r="G81" i="2"/>
  <c r="E81" i="2"/>
  <c r="V162" i="18"/>
  <c r="F25" i="3"/>
  <c r="AA4" i="5"/>
  <c r="U240" i="18"/>
  <c r="H18" i="3"/>
  <c r="J18" i="3" s="1"/>
  <c r="U241" i="18"/>
  <c r="U228" i="18"/>
  <c r="U282" i="18"/>
  <c r="U281" i="18"/>
  <c r="U245" i="18"/>
  <c r="U239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4" i="18"/>
  <c r="U158" i="18"/>
  <c r="U150" i="18"/>
  <c r="U159" i="18"/>
  <c r="U157" i="18"/>
  <c r="U156" i="18"/>
  <c r="U138" i="18"/>
  <c r="U135" i="18"/>
  <c r="U151" i="18"/>
  <c r="U148" i="18"/>
  <c r="U153" i="18"/>
  <c r="U130" i="18"/>
  <c r="U146" i="18"/>
  <c r="U147" i="18"/>
  <c r="U125" i="18"/>
  <c r="U144" i="18"/>
  <c r="U149" i="18"/>
  <c r="U145" i="18"/>
  <c r="U160" i="18"/>
  <c r="U152" i="18"/>
  <c r="H15" i="3"/>
  <c r="J15" i="3" s="1"/>
  <c r="U141" i="18"/>
  <c r="U155" i="18"/>
  <c r="V21" i="18"/>
  <c r="G6" i="6"/>
  <c r="U109" i="18"/>
  <c r="U115" i="18"/>
  <c r="U120" i="18"/>
  <c r="U108" i="18"/>
  <c r="U121" i="18"/>
  <c r="U114" i="18"/>
  <c r="U119" i="18"/>
  <c r="U110" i="18"/>
  <c r="H14" i="3"/>
  <c r="J14" i="3" s="1"/>
  <c r="U97" i="18"/>
  <c r="H17" i="3"/>
  <c r="U224" i="18"/>
  <c r="U193" i="18"/>
  <c r="U217" i="18"/>
  <c r="U225" i="18"/>
  <c r="U194" i="18"/>
  <c r="U216" i="18"/>
  <c r="U184" i="18"/>
  <c r="U226" i="18"/>
  <c r="X2" i="18"/>
  <c r="I104" i="2" l="1"/>
  <c r="N103" i="2"/>
  <c r="D7" i="5"/>
  <c r="G6" i="5"/>
  <c r="V228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4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3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V97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W191" i="18" s="1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03" i="18" l="1"/>
  <c r="W204" i="18" s="1"/>
  <c r="W64" i="18" s="1"/>
  <c r="W214" i="18"/>
  <c r="W215" i="18" s="1"/>
  <c r="W192" i="18"/>
  <c r="G110" i="2"/>
  <c r="E120" i="2"/>
  <c r="F9" i="2"/>
  <c r="G98" i="2"/>
  <c r="H20" i="5"/>
  <c r="G123" i="2"/>
  <c r="K122" i="2"/>
  <c r="Q6" i="6"/>
  <c r="W69" i="18" l="1"/>
  <c r="W113" i="18"/>
  <c r="W118" i="18" s="1"/>
  <c r="W238" i="18"/>
  <c r="W244" i="18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182" i="18" l="1"/>
  <c r="BI9" i="6"/>
  <c r="AW11" i="6"/>
  <c r="BQ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FT11" i="6" l="1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G12" i="6"/>
  <c r="H12" i="6" s="1"/>
  <c r="I12" i="6" s="1"/>
  <c r="J12" i="6" s="1"/>
  <c r="D11" i="6"/>
  <c r="K12" i="6"/>
  <c r="L12" i="6" s="1"/>
  <c r="M12" i="6" s="1"/>
  <c r="N12" i="6" s="1"/>
  <c r="O12" i="6" s="1"/>
  <c r="P12" i="6" s="1"/>
  <c r="Q12" i="6" s="1"/>
  <c r="R12" i="6" s="1"/>
  <c r="S12" i="6" s="1"/>
  <c r="T12" i="6" s="1"/>
  <c r="F14" i="6"/>
  <c r="G10" i="6"/>
  <c r="H10" i="6" s="1"/>
  <c r="H4" i="6"/>
  <c r="G7" i="6"/>
  <c r="U6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8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3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8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8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9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1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7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3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2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3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8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284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<sst xmlns="http://schemas.openxmlformats.org/spreadsheetml/2006/main" count="1567" uniqueCount="846">
  <si>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</si>
  <si>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</si>
  <si>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</si>
  <si>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</si>
  <si>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</si>
  <si>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</si>
  <si>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</si>
  <si>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</si>
  <si>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</si>
  <si>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</si>
  <si>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</si>
  <si>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</si>
  <si>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</si>
  <si>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</si>
  <si>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</si>
  <si>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</si>
  <si>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</si>
  <si>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</si>
  <si>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</si>
  <si>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</si>
  <si>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</si>
  <si>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</si>
  <si>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</si>
  <si>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</si>
  <si>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</si>
  <si>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</si>
  <si>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</si>
  <si>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</si>
  <si>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</si>
  <si>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</si>
  <si>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</si>
  <si>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</si>
  <si>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</si>
  <si>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</si>
  <si>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</si>
  <si>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</si>
  <si>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</si>
  <si>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</si>
  <si>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</si>
  <si>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</si>
  <si>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</si>
  <si>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</si>
  <si>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</si>
  <si>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</si>
  <si>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</si>
  <si>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</si>
  <si>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</si>
  <si>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</si>
  <si>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</si>
  <si>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</si>
  <si>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</si>
  <si>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</si>
  <si>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</si>
  <si>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</si>
  <si>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</si>
  <si>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</si>
  <si>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</si>
  <si>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</si>
  <si>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</si>
  <si>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</si>
  <si>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</si>
  <si>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</si>
  <si>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</si>
  <si>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</si>
  <si>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</si>
  <si>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</si>
  <si>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</si>
  <si>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</si>
  <si>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</si>
  <si>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</si>
  <si>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</si>
  <si>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</si>
  <si>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</si>
  <si>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</si>
  <si>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</si>
  <si>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</si>
  <si>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</si>
  <si>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</si>
  <si>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</si>
  <si>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</si>
  <si>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</si>
  <si>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</si>
  <si>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</si>
  <si>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</si>
  <si>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</si>
  <si>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</si>
  <si>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</si>
  <si>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</si>
  <si>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</si>
  <si>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</si>
  <si>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</si>
  <si>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</si>
  <si>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</si>
  <si>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</si>
  <si>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</si>
  <si>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</si>
  <si>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</si>
  <si>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</si>
  <si>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</si>
  <si>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</si>
  <si>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</si>
  <si>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</si>
  <si>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</si>
  <si>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</si>
  <si>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</si>
  <si>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</si>
  <si>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</si>
  <si>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</si>
  <si>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</si>
  <si>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</si>
  <si>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</si>
  <si>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</si>
  <si>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</si>
  <si>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</si>
  <si>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</si>
  <si>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</si>
  <si>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</si>
  <si>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</si>
  <si>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</si>
  <si>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</si>
  <si>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</si>
  <si>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</si>
  <si>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</si>
  <si>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</si>
  <si>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</si>
  <si>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</si>
  <si>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</si>
  <si>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</si>
  <si>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</si>
  <si>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</si>
  <si>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</si>
  <si>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</si>
  <si>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</si>
  <si>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</si>
  <si>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</si>
  <si>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</si>
  <si>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</si>
  <si>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</si>
  <si>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</si>
  <si>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</si>
  <si>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</si>
  <si>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</si>
  <si>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</si>
  <si>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</si>
  <si>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</si>
  <si>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</si>
  <si>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</si>
  <si>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</si>
  <si>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</si>
  <si>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</si>
  <si>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</si>
  <si>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</si>
  <si>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</si>
  <si>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</si>
  <si>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</si>
  <si>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</si>
  <si>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</si>
  <si>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</si>
  <si>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</si>
  <si>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</si>
  <si>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</si>
  <si>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</si>
  <si>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</si>
  <si>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</si>
  <si>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</si>
  <si>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</si>
  <si>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</si>
  <si>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</si>
  <si>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</si>
  <si>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</si>
  <si>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</si>
  <si>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</si>
  <si>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</si>
  <si>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</si>
  <si>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</si>
  <si>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</si>
  <si>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</si>
  <si>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</si>
  <si>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</si>
  <si>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</si>
  <si>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</si>
  <si>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</si>
  <si>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</si>
  <si>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</si>
  <si>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</si>
  <si>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</si>
  <si>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</si>
  <si>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</si>
  <si>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</si>
  <si>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</si>
  <si>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</si>
  <si>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</si>
  <si>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</si>
  <si>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</si>
  <si>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</si>
  <si>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</si>
  <si>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</si>
  <si>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</si>
  <si>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</si>
  <si>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</si>
  <si>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</si>
  <si>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</si>
  <si>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</si>
  <si>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</si>
  <si>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</si>
  <si>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</si>
  <si>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</si>
  <si>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</si>
  <si>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</si>
  <si>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</si>
  <si>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</si>
  <si>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</si>
  <si>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</si>
  <si>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</si>
  <si>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</si>
  <si>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</si>
  <si>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</si>
  <si>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</si>
  <si>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</si>
  <si>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</si>
  <si>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</si>
  <si>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</si>
  <si>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</si>
  <si>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</si>
  <si>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</si>
  <si>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</si>
  <si>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</si>
  <si>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</si>
  <si>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</si>
  <si>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</si>
  <si>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</si>
  <si>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</si>
  <si>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</si>
  <si>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</si>
  <si>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</si>
  <si>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</si>
  <si>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</si>
  <si>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</si>
  <si>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</si>
  <si>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</si>
  <si>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</si>
  <si>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</si>
  <si>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</si>
  <si>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</si>
  <si>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</si>
  <si>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</si>
  <si>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</si>
  <si>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</si>
  <si>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</si>
  <si>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</si>
  <si>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</si>
  <si>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</si>
  <si>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</si>
  <si>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</si>
  <si>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</si>
  <si>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</si>
  <si>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</si>
  <si>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</si>
  <si>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</si>
  <si>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</si>
  <si>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</si>
  <si>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</si>
  <si>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</si>
  <si>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</si>
  <si>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</si>
  <si>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</si>
  <si>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</si>
  <si>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</si>
  <si>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</si>
  <si>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</si>
  <si>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</si>
  <si>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</si>
  <si>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</si>
  <si>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Confirmed</t>
  </si>
  <si>
    <t>Handover to Matriarch</t>
  </si>
  <si>
    <t>not scheduled yet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</si>
  <si>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</si>
  <si>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</si>
  <si>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</si>
  <si>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</si>
  <si>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</si>
  <si>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</si>
  <si>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</si>
  <si>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</si>
  <si>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</si>
  <si>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</si>
  <si>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</si>
  <si>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</si>
  <si>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</si>
  <si>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</si>
  <si>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</si>
  <si>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</si>
  <si>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</si>
  <si>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</si>
  <si>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</si>
  <si>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</si>
  <si>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</si>
  <si>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</si>
  <si>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</si>
  <si>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</si>
  <si>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</si>
  <si>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</si>
  <si>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</si>
  <si>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</si>
  <si>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</si>
  <si>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</si>
  <si>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</si>
  <si>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</si>
  <si>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</si>
  <si>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</si>
  <si>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</si>
  <si>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</si>
  <si>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</si>
  <si>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</si>
  <si>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</si>
  <si>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</si>
  <si>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</si>
  <si>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</si>
  <si>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</si>
  <si>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</si>
  <si>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</si>
  <si>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</si>
  <si>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</si>
  <si>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</si>
  <si>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</si>
  <si>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</si>
  <si>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</si>
  <si>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</si>
  <si>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</si>
  <si>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</si>
  <si>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</si>
  <si>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</si>
  <si>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</si>
  <si>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</si>
  <si>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</si>
  <si>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</si>
  <si>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</si>
  <si>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</si>
  <si>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</si>
  <si>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</si>
  <si>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</si>
  <si>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</si>
  <si>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</si>
  <si>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</si>
  <si>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</si>
  <si>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</si>
  <si>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</si>
  <si>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</si>
  <si>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</si>
  <si>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</si>
  <si>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</si>
  <si>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</si>
  <si>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</si>
  <si>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</si>
  <si>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</si>
  <si>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</si>
  <si>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</si>
  <si>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</si>
  <si>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</si>
  <si>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</si>
  <si>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</si>
  <si>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</si>
  <si>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</si>
  <si>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</si>
  <si>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</si>
  <si>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</si>
  <si>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</si>
  <si>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</si>
  <si>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</si>
  <si>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</si>
  <si>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</si>
  <si>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</si>
  <si>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</si>
  <si>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</si>
  <si>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</si>
  <si>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</si>
  <si>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</si>
  <si>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</si>
  <si>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</si>
  <si>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</si>
  <si>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</si>
  <si>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</si>
  <si>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</si>
  <si>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</si>
  <si>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</si>
  <si>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</si>
  <si>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</si>
  <si>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</si>
  <si>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</si>
  <si>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</si>
  <si>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</si>
  <si>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</si>
  <si>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</si>
  <si>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</si>
  <si>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</si>
  <si>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</si>
  <si>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</si>
  <si>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</si>
  <si>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</si>
  <si>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</si>
  <si>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</si>
  <si>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</si>
  <si>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</si>
  <si>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</si>
  <si>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</si>
  <si>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</si>
  <si>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</si>
  <si>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</si>
  <si>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</si>
  <si>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</si>
  <si>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</si>
  <si>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</si>
  <si>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</si>
  <si>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</si>
  <si>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</si>
  <si>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</si>
  <si>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</si>
  <si>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</si>
  <si>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</si>
  <si>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</si>
  <si>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</si>
  <si>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</si>
  <si>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</si>
  <si>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</si>
  <si>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</si>
  <si>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</si>
  <si>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</si>
  <si>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</si>
  <si>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</si>
  <si>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</si>
  <si>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</si>
  <si>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</si>
  <si>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</si>
  <si>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</si>
  <si>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</si>
  <si>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</si>
  <si>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</si>
  <si>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</si>
  <si>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</si>
  <si>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</si>
  <si>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</si>
  <si>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</si>
  <si>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</si>
  <si>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</si>
  <si>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</si>
  <si>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</si>
  <si>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</si>
  <si>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</si>
  <si>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</si>
  <si>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</si>
  <si>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</si>
  <si>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</si>
  <si>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</si>
  <si>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</si>
  <si>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</si>
  <si>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</si>
  <si>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</si>
  <si>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</si>
  <si>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</si>
  <si>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</si>
  <si>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</si>
  <si>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</si>
  <si>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</si>
  <si>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</si>
  <si>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</si>
  <si>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</si>
  <si>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</si>
  <si>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</si>
  <si>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</si>
  <si>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</si>
  <si>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</si>
  <si>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</si>
  <si>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</si>
  <si>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</si>
  <si>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</si>
  <si>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</si>
  <si>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</si>
  <si>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</si>
  <si>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</si>
  <si>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</si>
  <si>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</si>
  <si>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</si>
  <si>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</si>
  <si>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</si>
  <si>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</si>
  <si>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</si>
  <si>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</si>
  <si>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</si>
  <si>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</si>
  <si>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</si>
  <si>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</si>
  <si>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</si>
  <si>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</si>
  <si>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</si>
  <si>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</si>
  <si>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</si>
  <si>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</si>
  <si>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</si>
  <si>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</si>
  <si>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</si>
  <si>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</si>
  <si>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</si>
  <si>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</si>
  <si>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</si>
  <si>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</si>
  <si>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</si>
  <si>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</si>
  <si>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-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</si>
  <si>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</si>
  <si>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</si>
  <si>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</si>
  <si>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</si>
  <si>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</si>
  <si>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</si>
  <si>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</si>
  <si>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</si>
  <si>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</si>
  <si>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</si>
  <si>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</si>
  <si>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</si>
  <si>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</si>
  <si>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</si>
  <si>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</si>
  <si>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</si>
  <si>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</si>
  <si>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</si>
  <si>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</si>
  <si>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</si>
  <si>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</si>
  <si>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</si>
  <si>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</si>
  <si>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</si>
  <si>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</si>
  <si>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</si>
  <si>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</si>
  <si>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</si>
  <si>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</si>
  <si>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</si>
  <si>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</si>
  <si>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</si>
  <si>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</si>
  <si>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</si>
  <si>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</si>
  <si>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</si>
  <si>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</si>
  <si>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</si>
  <si>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</si>
  <si>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</si>
  <si>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</si>
  <si>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</si>
  <si>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</si>
  <si>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</si>
  <si>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</si>
  <si>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</si>
  <si>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</si>
  <si>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</si>
  <si>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</si>
  <si>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</si>
  <si>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</si>
  <si>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</si>
  <si>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</si>
  <si>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</si>
  <si>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</si>
  <si>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</si>
  <si>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</si>
  <si>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</si>
  <si>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</si>
  <si>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</si>
  <si>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</si>
  <si>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</si>
  <si>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</si>
  <si>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</si>
  <si>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</si>
  <si>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</si>
  <si>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</si>
  <si>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</si>
  <si>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</si>
  <si>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</si>
  <si>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</si>
  <si>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</si>
  <si>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</si>
  <si>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</si>
  <si>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</si>
  <si>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</si>
  <si>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</si>
  <si>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</si>
  <si>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</si>
  <si>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</si>
  <si>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</si>
  <si>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</si>
  <si>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</si>
  <si>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</si>
  <si>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</si>
  <si>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</si>
  <si>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</si>
  <si>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</si>
  <si>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</si>
  <si>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</si>
  <si>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</si>
  <si>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</si>
  <si>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</si>
  <si>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</si>
  <si>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</si>
  <si>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</si>
  <si>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</si>
  <si>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</si>
  <si>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</si>
  <si>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</si>
  <si>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</si>
  <si>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</si>
  <si>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</si>
  <si>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</si>
  <si>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</si>
  <si>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</si>
  <si>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</si>
  <si>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</si>
  <si>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</si>
  <si>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</si>
  <si>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</si>
  <si>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</si>
  <si>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</si>
  <si>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</si>
  <si>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</si>
  <si>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</si>
  <si>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</si>
  <si>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</si>
  <si>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</si>
  <si>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</si>
  <si>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</si>
  <si>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</si>
  <si>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</si>
  <si>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</si>
  <si>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</si>
  <si>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</si>
  <si>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</si>
  <si>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</si>
  <si>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</si>
  <si>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</si>
  <si>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</si>
  <si>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</si>
  <si>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</si>
  <si>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</si>
  <si>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</si>
  <si>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</si>
  <si>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</si>
  <si>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</si>
  <si>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</si>
  <si>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</si>
  <si>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</si>
  <si>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</si>
  <si>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</si>
  <si>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</si>
  <si>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</si>
  <si>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</si>
  <si>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</si>
  <si>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</si>
  <si>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</si>
  <si>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</si>
  <si>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</si>
  <si>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</si>
  <si>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</si>
  <si>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</si>
  <si>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</si>
  <si>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</si>
  <si>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</si>
  <si>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</si>
  <si>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</si>
  <si>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</si>
  <si>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</si>
  <si>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</si>
  <si>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</si>
  <si>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</si>
  <si>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</si>
  <si>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</si>
  <si>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</si>
  <si>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</si>
  <si>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</si>
  <si>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</si>
  <si>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</si>
  <si>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</si>
  <si>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</si>
  <si>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</si>
  <si>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</si>
  <si>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</si>
  <si>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</si>
  <si>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</si>
  <si>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</si>
  <si>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</si>
  <si>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</si>
  <si>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</si>
  <si>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</si>
  <si>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</si>
  <si>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</si>
  <si>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</si>
  <si>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</si>
  <si>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</si>
  <si>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courier of Utility Meter</t>
  </si>
  <si>
    <t>DSV Inv: 180157893</t>
  </si>
  <si>
    <t>RS485 protection</t>
  </si>
  <si>
    <t>Luken Solar INV-0708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</si>
  <si>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</si>
  <si>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</si>
  <si>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</si>
  <si>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</si>
  <si>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</si>
  <si>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</si>
  <si>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</si>
  <si>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</si>
  <si>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</si>
  <si>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</si>
  <si>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</si>
  <si>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</si>
  <si>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</si>
  <si>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</si>
  <si>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</si>
  <si>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</si>
  <si>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</si>
  <si>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Transport - Leftover stock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</si>
  <si>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</si>
  <si>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</si>
  <si>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</si>
  <si>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</si>
  <si>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</si>
  <si>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</si>
  <si>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</si>
  <si>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</si>
  <si>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</si>
  <si>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</si>
  <si>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</si>
  <si>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</si>
  <si>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</si>
  <si>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</si>
  <si>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</si>
  <si>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</si>
  <si>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</si>
  <si>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</si>
  <si>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</si>
  <si>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</si>
  <si>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</si>
  <si>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</si>
  <si>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</si>
  <si>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</si>
  <si>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</si>
  <si>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</si>
  <si>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</si>
  <si>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</si>
  <si>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</si>
  <si>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</si>
  <si>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</si>
  <si>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</si>
  <si>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</si>
  <si>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</si>
  <si>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</si>
  <si>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</si>
  <si>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</si>
  <si>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</si>
  <si>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</si>
  <si>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</si>
  <si>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</si>
  <si>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</si>
  <si>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Details for Sum of Actual Total  - Product/ Service: 13. Engineering, INVOICE RAISED DATE: 1/31/2026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</si>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</sst>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m/d/yyyy"/>
    </dxf>
    <dxf>
      <numFmt numFmtId="19" formatCode="m/d/yyyy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44358492.836446092</c:v>
                </c:pt>
                <c:pt idx="58">
                  <c:v>44731917.216446094</c:v>
                </c:pt>
                <c:pt idx="59">
                  <c:v>44731917.216446094</c:v>
                </c:pt>
                <c:pt idx="60">
                  <c:v>44731917.216446094</c:v>
                </c:pt>
                <c:pt idx="61">
                  <c:v>44734760.216446094</c:v>
                </c:pt>
                <c:pt idx="62">
                  <c:v>45365956.883112758</c:v>
                </c:pt>
                <c:pt idx="63">
                  <c:v>45421758.16311276</c:v>
                </c:pt>
                <c:pt idx="64">
                  <c:v>45421758.16311276</c:v>
                </c:pt>
                <c:pt idx="65">
                  <c:v>45421758.16311276</c:v>
                </c:pt>
                <c:pt idx="66">
                  <c:v>46122457.829779424</c:v>
                </c:pt>
                <c:pt idx="67">
                  <c:v>46122457.829779424</c:v>
                </c:pt>
                <c:pt idx="68">
                  <c:v>46722457.829779424</c:v>
                </c:pt>
                <c:pt idx="69">
                  <c:v>46722457.829779424</c:v>
                </c:pt>
                <c:pt idx="70">
                  <c:v>46804598.496446088</c:v>
                </c:pt>
                <c:pt idx="71">
                  <c:v>46804598.496446088</c:v>
                </c:pt>
                <c:pt idx="72">
                  <c:v>46804598.496446088</c:v>
                </c:pt>
                <c:pt idx="73">
                  <c:v>46804598.496446088</c:v>
                </c:pt>
                <c:pt idx="74">
                  <c:v>46804598.496446088</c:v>
                </c:pt>
                <c:pt idx="75">
                  <c:v>46886739.163112752</c:v>
                </c:pt>
                <c:pt idx="76">
                  <c:v>46886739.163112752</c:v>
                </c:pt>
                <c:pt idx="77">
                  <c:v>46886739.163112752</c:v>
                </c:pt>
                <c:pt idx="78">
                  <c:v>46886739.163112752</c:v>
                </c:pt>
                <c:pt idx="79">
                  <c:v>46968879.829779416</c:v>
                </c:pt>
                <c:pt idx="80">
                  <c:v>46968879.829779416</c:v>
                </c:pt>
                <c:pt idx="81">
                  <c:v>46968879.829779416</c:v>
                </c:pt>
                <c:pt idx="82">
                  <c:v>46968879.829779416</c:v>
                </c:pt>
                <c:pt idx="83">
                  <c:v>46968879.829779416</c:v>
                </c:pt>
                <c:pt idx="84">
                  <c:v>47051020.496446081</c:v>
                </c:pt>
                <c:pt idx="85">
                  <c:v>47051020.496446081</c:v>
                </c:pt>
                <c:pt idx="86">
                  <c:v>47051020.496446081</c:v>
                </c:pt>
                <c:pt idx="87">
                  <c:v>47051020.496446081</c:v>
                </c:pt>
                <c:pt idx="88">
                  <c:v>47133161.163112745</c:v>
                </c:pt>
                <c:pt idx="89">
                  <c:v>47133161.163112745</c:v>
                </c:pt>
                <c:pt idx="90">
                  <c:v>47133161.163112745</c:v>
                </c:pt>
                <c:pt idx="91">
                  <c:v>47133161.163112745</c:v>
                </c:pt>
                <c:pt idx="92">
                  <c:v>47215301.829779409</c:v>
                </c:pt>
                <c:pt idx="93">
                  <c:v>47215301.829779409</c:v>
                </c:pt>
                <c:pt idx="94">
                  <c:v>47215301.829779409</c:v>
                </c:pt>
                <c:pt idx="95">
                  <c:v>47215301.829779409</c:v>
                </c:pt>
                <c:pt idx="96">
                  <c:v>47215301.829779409</c:v>
                </c:pt>
                <c:pt idx="97">
                  <c:v>47597442.496446073</c:v>
                </c:pt>
                <c:pt idx="98">
                  <c:v>47597442.496446073</c:v>
                </c:pt>
                <c:pt idx="99">
                  <c:v>47597442.496446073</c:v>
                </c:pt>
                <c:pt idx="100">
                  <c:v>47597442.496446073</c:v>
                </c:pt>
                <c:pt idx="101">
                  <c:v>47679583.163112737</c:v>
                </c:pt>
                <c:pt idx="102">
                  <c:v>47679583.163112737</c:v>
                </c:pt>
                <c:pt idx="103">
                  <c:v>47679583.163112737</c:v>
                </c:pt>
                <c:pt idx="104">
                  <c:v>47679583.163112737</c:v>
                </c:pt>
                <c:pt idx="105">
                  <c:v>47761723.829779401</c:v>
                </c:pt>
                <c:pt idx="106">
                  <c:v>47761723.829779401</c:v>
                </c:pt>
                <c:pt idx="107">
                  <c:v>47761723.829779401</c:v>
                </c:pt>
                <c:pt idx="108">
                  <c:v>47761723.829779401</c:v>
                </c:pt>
                <c:pt idx="109">
                  <c:v>47843864.496446066</c:v>
                </c:pt>
                <c:pt idx="110">
                  <c:v>47843864.496446066</c:v>
                </c:pt>
                <c:pt idx="111">
                  <c:v>47843864.496446066</c:v>
                </c:pt>
                <c:pt idx="112">
                  <c:v>47843864.496446066</c:v>
                </c:pt>
                <c:pt idx="113">
                  <c:v>47843864.496446066</c:v>
                </c:pt>
                <c:pt idx="114">
                  <c:v>47843864.496446066</c:v>
                </c:pt>
                <c:pt idx="115">
                  <c:v>47843864.496446066</c:v>
                </c:pt>
                <c:pt idx="116">
                  <c:v>47843864.496446066</c:v>
                </c:pt>
                <c:pt idx="117">
                  <c:v>47843864.496446066</c:v>
                </c:pt>
                <c:pt idx="118">
                  <c:v>47843864.496446066</c:v>
                </c:pt>
                <c:pt idx="119">
                  <c:v>47843864.496446066</c:v>
                </c:pt>
                <c:pt idx="120">
                  <c:v>47843864.496446066</c:v>
                </c:pt>
                <c:pt idx="121">
                  <c:v>47843864.496446066</c:v>
                </c:pt>
                <c:pt idx="122">
                  <c:v>47843864.496446066</c:v>
                </c:pt>
                <c:pt idx="123">
                  <c:v>47843864.496446066</c:v>
                </c:pt>
                <c:pt idx="124">
                  <c:v>47843864.496446066</c:v>
                </c:pt>
                <c:pt idx="125">
                  <c:v>47843864.496446066</c:v>
                </c:pt>
                <c:pt idx="126">
                  <c:v>47843864.496446066</c:v>
                </c:pt>
                <c:pt idx="127">
                  <c:v>47843864.496446066</c:v>
                </c:pt>
                <c:pt idx="128">
                  <c:v>47843864.496446066</c:v>
                </c:pt>
                <c:pt idx="129">
                  <c:v>47843864.496446066</c:v>
                </c:pt>
                <c:pt idx="130">
                  <c:v>47843864.496446066</c:v>
                </c:pt>
                <c:pt idx="131">
                  <c:v>47843864.496446066</c:v>
                </c:pt>
                <c:pt idx="132">
                  <c:v>47843864.496446066</c:v>
                </c:pt>
                <c:pt idx="133">
                  <c:v>47843864.496446066</c:v>
                </c:pt>
                <c:pt idx="134">
                  <c:v>47843864.496446066</c:v>
                </c:pt>
                <c:pt idx="135">
                  <c:v>47843864.496446066</c:v>
                </c:pt>
                <c:pt idx="136">
                  <c:v>47843864.496446066</c:v>
                </c:pt>
                <c:pt idx="137">
                  <c:v>47843864.496446066</c:v>
                </c:pt>
                <c:pt idx="138">
                  <c:v>47843864.496446066</c:v>
                </c:pt>
                <c:pt idx="139">
                  <c:v>47843864.496446066</c:v>
                </c:pt>
                <c:pt idx="140">
                  <c:v>47843864.496446066</c:v>
                </c:pt>
                <c:pt idx="141">
                  <c:v>47843864.496446066</c:v>
                </c:pt>
                <c:pt idx="142">
                  <c:v>47843864.496446066</c:v>
                </c:pt>
                <c:pt idx="143">
                  <c:v>47843864.496446066</c:v>
                </c:pt>
                <c:pt idx="144">
                  <c:v>47843864.496446066</c:v>
                </c:pt>
                <c:pt idx="145">
                  <c:v>47843864.496446066</c:v>
                </c:pt>
                <c:pt idx="146">
                  <c:v>47843864.496446066</c:v>
                </c:pt>
                <c:pt idx="147">
                  <c:v>47843864.496446066</c:v>
                </c:pt>
                <c:pt idx="148">
                  <c:v>47843864.496446066</c:v>
                </c:pt>
                <c:pt idx="149">
                  <c:v>47843864.496446066</c:v>
                </c:pt>
                <c:pt idx="150">
                  <c:v>47843864.496446066</c:v>
                </c:pt>
                <c:pt idx="151">
                  <c:v>47843864.496446066</c:v>
                </c:pt>
                <c:pt idx="152">
                  <c:v>47843864.496446066</c:v>
                </c:pt>
                <c:pt idx="153">
                  <c:v>47843864.496446066</c:v>
                </c:pt>
                <c:pt idx="154">
                  <c:v>47843864.496446066</c:v>
                </c:pt>
                <c:pt idx="155">
                  <c:v>47843864.496446066</c:v>
                </c:pt>
                <c:pt idx="156">
                  <c:v>47843864.496446066</c:v>
                </c:pt>
                <c:pt idx="157">
                  <c:v>47843864.496446066</c:v>
                </c:pt>
                <c:pt idx="158">
                  <c:v>47843864.496446066</c:v>
                </c:pt>
                <c:pt idx="159">
                  <c:v>47843864.496446066</c:v>
                </c:pt>
                <c:pt idx="160">
                  <c:v>47843864.496446066</c:v>
                </c:pt>
                <c:pt idx="161">
                  <c:v>47843864.496446066</c:v>
                </c:pt>
                <c:pt idx="162">
                  <c:v>47843864.496446066</c:v>
                </c:pt>
                <c:pt idx="163">
                  <c:v>47843864.496446066</c:v>
                </c:pt>
                <c:pt idx="164">
                  <c:v>47843864.496446066</c:v>
                </c:pt>
                <c:pt idx="165">
                  <c:v>47843864.496446066</c:v>
                </c:pt>
                <c:pt idx="166">
                  <c:v>47843864.496446066</c:v>
                </c:pt>
                <c:pt idx="167">
                  <c:v>47843864.496446066</c:v>
                </c:pt>
                <c:pt idx="168">
                  <c:v>47843864.496446066</c:v>
                </c:pt>
                <c:pt idx="169">
                  <c:v>47843864.496446066</c:v>
                </c:pt>
                <c:pt idx="170">
                  <c:v>47843864.496446066</c:v>
                </c:pt>
                <c:pt idx="171">
                  <c:v>47843864.496446066</c:v>
                </c:pt>
                <c:pt idx="172">
                  <c:v>47843864.496446066</c:v>
                </c:pt>
                <c:pt idx="173">
                  <c:v>47843864.496446066</c:v>
                </c:pt>
                <c:pt idx="174">
                  <c:v>47843864.496446066</c:v>
                </c:pt>
                <c:pt idx="175">
                  <c:v>47843864.496446066</c:v>
                </c:pt>
                <c:pt idx="176">
                  <c:v>47843864.496446066</c:v>
                </c:pt>
                <c:pt idx="177">
                  <c:v>47843864.496446066</c:v>
                </c:pt>
                <c:pt idx="178">
                  <c:v>47843864.496446066</c:v>
                </c:pt>
                <c:pt idx="179">
                  <c:v>47843864.496446066</c:v>
                </c:pt>
                <c:pt idx="180">
                  <c:v>47843864.496446066</c:v>
                </c:pt>
                <c:pt idx="181">
                  <c:v>47843864.496446066</c:v>
                </c:pt>
                <c:pt idx="182">
                  <c:v>47843864.496446066</c:v>
                </c:pt>
                <c:pt idx="183">
                  <c:v>47843864.496446066</c:v>
                </c:pt>
                <c:pt idx="184">
                  <c:v>47843864.496446066</c:v>
                </c:pt>
                <c:pt idx="185">
                  <c:v>47843864.496446066</c:v>
                </c:pt>
                <c:pt idx="186">
                  <c:v>47843864.496446066</c:v>
                </c:pt>
                <c:pt idx="187">
                  <c:v>47843864.496446066</c:v>
                </c:pt>
                <c:pt idx="188">
                  <c:v>47843864.496446066</c:v>
                </c:pt>
                <c:pt idx="189">
                  <c:v>47843864.496446066</c:v>
                </c:pt>
                <c:pt idx="190">
                  <c:v>47843864.496446066</c:v>
                </c:pt>
                <c:pt idx="191">
                  <c:v>47843864.496446066</c:v>
                </c:pt>
                <c:pt idx="192">
                  <c:v>47843864.496446066</c:v>
                </c:pt>
                <c:pt idx="193">
                  <c:v>47843864.496446066</c:v>
                </c:pt>
                <c:pt idx="194">
                  <c:v>47843864.496446066</c:v>
                </c:pt>
                <c:pt idx="195">
                  <c:v>47843864.496446066</c:v>
                </c:pt>
                <c:pt idx="196">
                  <c:v>47843864.496446066</c:v>
                </c:pt>
                <c:pt idx="197">
                  <c:v>47843864.496446066</c:v>
                </c:pt>
                <c:pt idx="198">
                  <c:v>47843864.496446066</c:v>
                </c:pt>
                <c:pt idx="199">
                  <c:v>47843864.496446066</c:v>
                </c:pt>
                <c:pt idx="200">
                  <c:v>47843864.496446066</c:v>
                </c:pt>
                <c:pt idx="201">
                  <c:v>47843864.496446066</c:v>
                </c:pt>
                <c:pt idx="202">
                  <c:v>47843864.496446066</c:v>
                </c:pt>
                <c:pt idx="203">
                  <c:v>47843864.496446066</c:v>
                </c:pt>
                <c:pt idx="204">
                  <c:v>47843864.496446066</c:v>
                </c:pt>
                <c:pt idx="205">
                  <c:v>47843864.496446066</c:v>
                </c:pt>
                <c:pt idx="206">
                  <c:v>47843864.496446066</c:v>
                </c:pt>
                <c:pt idx="207">
                  <c:v>47843864.496446066</c:v>
                </c:pt>
                <c:pt idx="208">
                  <c:v>47843864.496446066</c:v>
                </c:pt>
                <c:pt idx="209">
                  <c:v>47843864.496446066</c:v>
                </c:pt>
                <c:pt idx="210">
                  <c:v>47843864.496446066</c:v>
                </c:pt>
                <c:pt idx="211">
                  <c:v>47843864.496446066</c:v>
                </c:pt>
                <c:pt idx="212">
                  <c:v>47843864.496446066</c:v>
                </c:pt>
                <c:pt idx="213">
                  <c:v>47843864.496446066</c:v>
                </c:pt>
                <c:pt idx="214">
                  <c:v>47843864.496446066</c:v>
                </c:pt>
                <c:pt idx="215">
                  <c:v>47843864.496446066</c:v>
                </c:pt>
                <c:pt idx="216">
                  <c:v>47843864.496446066</c:v>
                </c:pt>
                <c:pt idx="217">
                  <c:v>47843864.496446066</c:v>
                </c:pt>
                <c:pt idx="218">
                  <c:v>47843864.496446066</c:v>
                </c:pt>
                <c:pt idx="219">
                  <c:v>47843864.496446066</c:v>
                </c:pt>
                <c:pt idx="220">
                  <c:v>47843864.496446066</c:v>
                </c:pt>
                <c:pt idx="221">
                  <c:v>47843864.496446066</c:v>
                </c:pt>
                <c:pt idx="222">
                  <c:v>47843864.496446066</c:v>
                </c:pt>
                <c:pt idx="223">
                  <c:v>47843864.496446066</c:v>
                </c:pt>
                <c:pt idx="224">
                  <c:v>47843864.496446066</c:v>
                </c:pt>
                <c:pt idx="225">
                  <c:v>47843864.496446066</c:v>
                </c:pt>
                <c:pt idx="226">
                  <c:v>47843864.496446066</c:v>
                </c:pt>
                <c:pt idx="227">
                  <c:v>47843864.496446066</c:v>
                </c:pt>
                <c:pt idx="228">
                  <c:v>47843864.496446066</c:v>
                </c:pt>
                <c:pt idx="229">
                  <c:v>47843864.496446066</c:v>
                </c:pt>
                <c:pt idx="230">
                  <c:v>47843864.496446066</c:v>
                </c:pt>
                <c:pt idx="231">
                  <c:v>47843864.496446066</c:v>
                </c:pt>
                <c:pt idx="232">
                  <c:v>47843864.496446066</c:v>
                </c:pt>
                <c:pt idx="233">
                  <c:v>47843864.496446066</c:v>
                </c:pt>
                <c:pt idx="234">
                  <c:v>47843864.496446066</c:v>
                </c:pt>
                <c:pt idx="235">
                  <c:v>47843864.496446066</c:v>
                </c:pt>
                <c:pt idx="236">
                  <c:v>47843864.496446066</c:v>
                </c:pt>
                <c:pt idx="237">
                  <c:v>47843864.496446066</c:v>
                </c:pt>
                <c:pt idx="238">
                  <c:v>47843864.496446066</c:v>
                </c:pt>
                <c:pt idx="239">
                  <c:v>47843864.496446066</c:v>
                </c:pt>
                <c:pt idx="240">
                  <c:v>47843864.496446066</c:v>
                </c:pt>
                <c:pt idx="241">
                  <c:v>47843864.496446066</c:v>
                </c:pt>
                <c:pt idx="242">
                  <c:v>47843864.496446066</c:v>
                </c:pt>
                <c:pt idx="243">
                  <c:v>47843864.496446066</c:v>
                </c:pt>
                <c:pt idx="244">
                  <c:v>47843864.496446066</c:v>
                </c:pt>
                <c:pt idx="245">
                  <c:v>47843864.496446066</c:v>
                </c:pt>
                <c:pt idx="246">
                  <c:v>47843864.496446066</c:v>
                </c:pt>
                <c:pt idx="247">
                  <c:v>47843864.496446066</c:v>
                </c:pt>
                <c:pt idx="248">
                  <c:v>47843864.496446066</c:v>
                </c:pt>
                <c:pt idx="249">
                  <c:v>47843864.496446066</c:v>
                </c:pt>
                <c:pt idx="250">
                  <c:v>47843864.496446066</c:v>
                </c:pt>
                <c:pt idx="251">
                  <c:v>47843864.496446066</c:v>
                </c:pt>
                <c:pt idx="252">
                  <c:v>47843864.496446066</c:v>
                </c:pt>
                <c:pt idx="253">
                  <c:v>47843864.496446066</c:v>
                </c:pt>
                <c:pt idx="254">
                  <c:v>47843864.496446066</c:v>
                </c:pt>
                <c:pt idx="255">
                  <c:v>47843864.496446066</c:v>
                </c:pt>
                <c:pt idx="256">
                  <c:v>47843864.496446066</c:v>
                </c:pt>
                <c:pt idx="257">
                  <c:v>47843864.496446066</c:v>
                </c:pt>
                <c:pt idx="258">
                  <c:v>47843864.496446066</c:v>
                </c:pt>
                <c:pt idx="259">
                  <c:v>47843864.496446066</c:v>
                </c:pt>
                <c:pt idx="260">
                  <c:v>47843864.496446066</c:v>
                </c:pt>
                <c:pt idx="261">
                  <c:v>47843864.496446066</c:v>
                </c:pt>
                <c:pt idx="262">
                  <c:v>47843864.496446066</c:v>
                </c:pt>
                <c:pt idx="263">
                  <c:v>47843864.496446066</c:v>
                </c:pt>
                <c:pt idx="264">
                  <c:v>47843864.496446066</c:v>
                </c:pt>
                <c:pt idx="265">
                  <c:v>47843864.496446066</c:v>
                </c:pt>
                <c:pt idx="266">
                  <c:v>47843864.496446066</c:v>
                </c:pt>
                <c:pt idx="267">
                  <c:v>47843864.496446066</c:v>
                </c:pt>
                <c:pt idx="268">
                  <c:v>47843864.496446066</c:v>
                </c:pt>
                <c:pt idx="269">
                  <c:v>47843864.496446066</c:v>
                </c:pt>
                <c:pt idx="270">
                  <c:v>47843864.496446066</c:v>
                </c:pt>
                <c:pt idx="271">
                  <c:v>47843864.496446066</c:v>
                </c:pt>
                <c:pt idx="272">
                  <c:v>47843864.496446066</c:v>
                </c:pt>
                <c:pt idx="273">
                  <c:v>47843864.496446066</c:v>
                </c:pt>
                <c:pt idx="274">
                  <c:v>47843864.496446066</c:v>
                </c:pt>
                <c:pt idx="275">
                  <c:v>47843864.496446066</c:v>
                </c:pt>
                <c:pt idx="276">
                  <c:v>47843864.496446066</c:v>
                </c:pt>
                <c:pt idx="277">
                  <c:v>47843864.496446066</c:v>
                </c:pt>
                <c:pt idx="278">
                  <c:v>47843864.496446066</c:v>
                </c:pt>
                <c:pt idx="279">
                  <c:v>47843864.496446066</c:v>
                </c:pt>
                <c:pt idx="280">
                  <c:v>47843864.496446066</c:v>
                </c:pt>
                <c:pt idx="281">
                  <c:v>47843864.496446066</c:v>
                </c:pt>
                <c:pt idx="282">
                  <c:v>47843864.496446066</c:v>
                </c:pt>
                <c:pt idx="283">
                  <c:v>47843864.496446066</c:v>
                </c:pt>
                <c:pt idx="284">
                  <c:v>47843864.496446066</c:v>
                </c:pt>
                <c:pt idx="285">
                  <c:v>47843864.496446066</c:v>
                </c:pt>
                <c:pt idx="286">
                  <c:v>47843864.496446066</c:v>
                </c:pt>
                <c:pt idx="287">
                  <c:v>47843864.496446066</c:v>
                </c:pt>
                <c:pt idx="288">
                  <c:v>47843864.496446066</c:v>
                </c:pt>
                <c:pt idx="289">
                  <c:v>47843864.496446066</c:v>
                </c:pt>
                <c:pt idx="290">
                  <c:v>47843864.496446066</c:v>
                </c:pt>
                <c:pt idx="291">
                  <c:v>47843864.496446066</c:v>
                </c:pt>
                <c:pt idx="292">
                  <c:v>47843864.496446066</c:v>
                </c:pt>
                <c:pt idx="293">
                  <c:v>47843864.496446066</c:v>
                </c:pt>
                <c:pt idx="294">
                  <c:v>47843864.496446066</c:v>
                </c:pt>
                <c:pt idx="295">
                  <c:v>47843864.496446066</c:v>
                </c:pt>
                <c:pt idx="296">
                  <c:v>47843864.496446066</c:v>
                </c:pt>
                <c:pt idx="297">
                  <c:v>47843864.496446066</c:v>
                </c:pt>
                <c:pt idx="298">
                  <c:v>47843864.496446066</c:v>
                </c:pt>
                <c:pt idx="299">
                  <c:v>47843864.496446066</c:v>
                </c:pt>
                <c:pt idx="300">
                  <c:v>47843864.496446066</c:v>
                </c:pt>
                <c:pt idx="301">
                  <c:v>47843864.496446066</c:v>
                </c:pt>
                <c:pt idx="302">
                  <c:v>47843864.496446066</c:v>
                </c:pt>
                <c:pt idx="303">
                  <c:v>47843864.496446066</c:v>
                </c:pt>
                <c:pt idx="304">
                  <c:v>47843864.496446066</c:v>
                </c:pt>
                <c:pt idx="305">
                  <c:v>47843864.496446066</c:v>
                </c:pt>
                <c:pt idx="306">
                  <c:v>47843864.496446066</c:v>
                </c:pt>
                <c:pt idx="307">
                  <c:v>47843864.496446066</c:v>
                </c:pt>
                <c:pt idx="308">
                  <c:v>47843864.496446066</c:v>
                </c:pt>
                <c:pt idx="309">
                  <c:v>47843864.496446066</c:v>
                </c:pt>
                <c:pt idx="310">
                  <c:v>47843864.496446066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12636757.163553908</c:v>
                </c:pt>
                <c:pt idx="58">
                  <c:v>12263332.783553906</c:v>
                </c:pt>
                <c:pt idx="59">
                  <c:v>12263332.783553906</c:v>
                </c:pt>
                <c:pt idx="60">
                  <c:v>12263332.783553906</c:v>
                </c:pt>
                <c:pt idx="61">
                  <c:v>12260489.783553906</c:v>
                </c:pt>
                <c:pt idx="62">
                  <c:v>11629293.116887242</c:v>
                </c:pt>
                <c:pt idx="63">
                  <c:v>11573491.83688724</c:v>
                </c:pt>
                <c:pt idx="64">
                  <c:v>11573491.83688724</c:v>
                </c:pt>
                <c:pt idx="65">
                  <c:v>11573491.83688724</c:v>
                </c:pt>
                <c:pt idx="66">
                  <c:v>10872792.170220576</c:v>
                </c:pt>
                <c:pt idx="67">
                  <c:v>13872542.170220576</c:v>
                </c:pt>
                <c:pt idx="68">
                  <c:v>13272542.170220576</c:v>
                </c:pt>
                <c:pt idx="69">
                  <c:v>13272542.170220576</c:v>
                </c:pt>
                <c:pt idx="70">
                  <c:v>13190401.503553912</c:v>
                </c:pt>
                <c:pt idx="71">
                  <c:v>13190401.503553912</c:v>
                </c:pt>
                <c:pt idx="72">
                  <c:v>13190401.503553912</c:v>
                </c:pt>
                <c:pt idx="73">
                  <c:v>13190401.503553912</c:v>
                </c:pt>
                <c:pt idx="74">
                  <c:v>13190401.503553912</c:v>
                </c:pt>
                <c:pt idx="75">
                  <c:v>13108260.836887248</c:v>
                </c:pt>
                <c:pt idx="76">
                  <c:v>13108260.836887248</c:v>
                </c:pt>
                <c:pt idx="77">
                  <c:v>13108260.836887248</c:v>
                </c:pt>
                <c:pt idx="78">
                  <c:v>13108260.836887248</c:v>
                </c:pt>
                <c:pt idx="79">
                  <c:v>13026120.170220584</c:v>
                </c:pt>
                <c:pt idx="80">
                  <c:v>13026120.170220584</c:v>
                </c:pt>
                <c:pt idx="81">
                  <c:v>13026120.170220584</c:v>
                </c:pt>
                <c:pt idx="82">
                  <c:v>13026120.170220584</c:v>
                </c:pt>
                <c:pt idx="83">
                  <c:v>13026120.170220584</c:v>
                </c:pt>
                <c:pt idx="84">
                  <c:v>12943979.503553919</c:v>
                </c:pt>
                <c:pt idx="85">
                  <c:v>12943979.503553919</c:v>
                </c:pt>
                <c:pt idx="86">
                  <c:v>12943979.503553919</c:v>
                </c:pt>
                <c:pt idx="87">
                  <c:v>12943979.503553919</c:v>
                </c:pt>
                <c:pt idx="88">
                  <c:v>12861838.836887255</c:v>
                </c:pt>
                <c:pt idx="89">
                  <c:v>12861838.836887255</c:v>
                </c:pt>
                <c:pt idx="90">
                  <c:v>12861838.836887255</c:v>
                </c:pt>
                <c:pt idx="91">
                  <c:v>12861838.836887255</c:v>
                </c:pt>
                <c:pt idx="92">
                  <c:v>12779698.170220591</c:v>
                </c:pt>
                <c:pt idx="93">
                  <c:v>12779698.170220591</c:v>
                </c:pt>
                <c:pt idx="94">
                  <c:v>12779698.170220591</c:v>
                </c:pt>
                <c:pt idx="95">
                  <c:v>12779698.170220591</c:v>
                </c:pt>
                <c:pt idx="96">
                  <c:v>12779698.170220591</c:v>
                </c:pt>
                <c:pt idx="97">
                  <c:v>12397557.503553927</c:v>
                </c:pt>
                <c:pt idx="98">
                  <c:v>12397557.503553927</c:v>
                </c:pt>
                <c:pt idx="99">
                  <c:v>12397557.503553927</c:v>
                </c:pt>
                <c:pt idx="100">
                  <c:v>12397557.503553927</c:v>
                </c:pt>
                <c:pt idx="101">
                  <c:v>12315416.836887263</c:v>
                </c:pt>
                <c:pt idx="102">
                  <c:v>12315416.836887263</c:v>
                </c:pt>
                <c:pt idx="103">
                  <c:v>12315416.836887263</c:v>
                </c:pt>
                <c:pt idx="104">
                  <c:v>12315416.836887263</c:v>
                </c:pt>
                <c:pt idx="105">
                  <c:v>12233276.170220599</c:v>
                </c:pt>
                <c:pt idx="106">
                  <c:v>12233276.170220599</c:v>
                </c:pt>
                <c:pt idx="107">
                  <c:v>12233276.170220599</c:v>
                </c:pt>
                <c:pt idx="108">
                  <c:v>12233276.170220599</c:v>
                </c:pt>
                <c:pt idx="109">
                  <c:v>12151135.503553934</c:v>
                </c:pt>
                <c:pt idx="110">
                  <c:v>12151135.503553934</c:v>
                </c:pt>
                <c:pt idx="111">
                  <c:v>12151135.503553934</c:v>
                </c:pt>
                <c:pt idx="112">
                  <c:v>12151135.503553934</c:v>
                </c:pt>
                <c:pt idx="113">
                  <c:v>12151135.503553934</c:v>
                </c:pt>
                <c:pt idx="114">
                  <c:v>12151135.503553934</c:v>
                </c:pt>
                <c:pt idx="115">
                  <c:v>12151135.503553934</c:v>
                </c:pt>
                <c:pt idx="116">
                  <c:v>12151135.503553934</c:v>
                </c:pt>
                <c:pt idx="117">
                  <c:v>12151135.503553934</c:v>
                </c:pt>
                <c:pt idx="118">
                  <c:v>12151135.503553934</c:v>
                </c:pt>
                <c:pt idx="119">
                  <c:v>12151135.503553934</c:v>
                </c:pt>
                <c:pt idx="120">
                  <c:v>12151135.503553934</c:v>
                </c:pt>
                <c:pt idx="121">
                  <c:v>12151135.503553934</c:v>
                </c:pt>
                <c:pt idx="122">
                  <c:v>12151135.503553934</c:v>
                </c:pt>
                <c:pt idx="123">
                  <c:v>12151135.503553934</c:v>
                </c:pt>
                <c:pt idx="124">
                  <c:v>12151135.503553934</c:v>
                </c:pt>
                <c:pt idx="125">
                  <c:v>12151135.503553934</c:v>
                </c:pt>
                <c:pt idx="126">
                  <c:v>12151135.503553934</c:v>
                </c:pt>
                <c:pt idx="127">
                  <c:v>12151135.503553934</c:v>
                </c:pt>
                <c:pt idx="128">
                  <c:v>12151135.503553934</c:v>
                </c:pt>
                <c:pt idx="129">
                  <c:v>12151135.503553934</c:v>
                </c:pt>
                <c:pt idx="130">
                  <c:v>12151135.503553934</c:v>
                </c:pt>
                <c:pt idx="131">
                  <c:v>12151135.503553934</c:v>
                </c:pt>
                <c:pt idx="132">
                  <c:v>12151135.503553934</c:v>
                </c:pt>
                <c:pt idx="133">
                  <c:v>12151135.503553934</c:v>
                </c:pt>
                <c:pt idx="134">
                  <c:v>12151135.503553934</c:v>
                </c:pt>
                <c:pt idx="135">
                  <c:v>12151135.503553934</c:v>
                </c:pt>
                <c:pt idx="136">
                  <c:v>12151135.503553934</c:v>
                </c:pt>
                <c:pt idx="137">
                  <c:v>12151135.503553934</c:v>
                </c:pt>
                <c:pt idx="138">
                  <c:v>12151135.503553934</c:v>
                </c:pt>
                <c:pt idx="139">
                  <c:v>12151135.503553934</c:v>
                </c:pt>
                <c:pt idx="140">
                  <c:v>12151135.503553934</c:v>
                </c:pt>
                <c:pt idx="141">
                  <c:v>12151135.503553934</c:v>
                </c:pt>
                <c:pt idx="142">
                  <c:v>12151135.503553934</c:v>
                </c:pt>
                <c:pt idx="143">
                  <c:v>12151135.503553934</c:v>
                </c:pt>
                <c:pt idx="144">
                  <c:v>12151135.503553934</c:v>
                </c:pt>
                <c:pt idx="145">
                  <c:v>12151135.503553934</c:v>
                </c:pt>
                <c:pt idx="146">
                  <c:v>12151135.503553934</c:v>
                </c:pt>
                <c:pt idx="147">
                  <c:v>12151135.503553934</c:v>
                </c:pt>
                <c:pt idx="148">
                  <c:v>12151135.503553934</c:v>
                </c:pt>
                <c:pt idx="149">
                  <c:v>12151135.503553934</c:v>
                </c:pt>
                <c:pt idx="150">
                  <c:v>12151135.503553934</c:v>
                </c:pt>
                <c:pt idx="151">
                  <c:v>12151135.503553934</c:v>
                </c:pt>
                <c:pt idx="152">
                  <c:v>12151135.503553934</c:v>
                </c:pt>
                <c:pt idx="153">
                  <c:v>12151135.503553934</c:v>
                </c:pt>
                <c:pt idx="154">
                  <c:v>12151135.503553934</c:v>
                </c:pt>
                <c:pt idx="155">
                  <c:v>12151135.503553934</c:v>
                </c:pt>
                <c:pt idx="156">
                  <c:v>12151135.503553934</c:v>
                </c:pt>
                <c:pt idx="157">
                  <c:v>12151135.503553934</c:v>
                </c:pt>
                <c:pt idx="158">
                  <c:v>12151135.503553934</c:v>
                </c:pt>
                <c:pt idx="159">
                  <c:v>12151135.503553934</c:v>
                </c:pt>
                <c:pt idx="160">
                  <c:v>12151135.503553934</c:v>
                </c:pt>
                <c:pt idx="161">
                  <c:v>12151135.503553934</c:v>
                </c:pt>
                <c:pt idx="162">
                  <c:v>12151135.503553934</c:v>
                </c:pt>
                <c:pt idx="163">
                  <c:v>12151135.503553934</c:v>
                </c:pt>
                <c:pt idx="164">
                  <c:v>12151135.503553934</c:v>
                </c:pt>
                <c:pt idx="165">
                  <c:v>12151135.503553934</c:v>
                </c:pt>
                <c:pt idx="166">
                  <c:v>12151135.503553934</c:v>
                </c:pt>
                <c:pt idx="167">
                  <c:v>12151135.503553934</c:v>
                </c:pt>
                <c:pt idx="168">
                  <c:v>12151135.503553934</c:v>
                </c:pt>
                <c:pt idx="169">
                  <c:v>12151135.503553934</c:v>
                </c:pt>
                <c:pt idx="170">
                  <c:v>12151135.503553934</c:v>
                </c:pt>
                <c:pt idx="171">
                  <c:v>12151135.503553934</c:v>
                </c:pt>
                <c:pt idx="172">
                  <c:v>12151135.503553934</c:v>
                </c:pt>
                <c:pt idx="173">
                  <c:v>12151135.503553934</c:v>
                </c:pt>
                <c:pt idx="174">
                  <c:v>12151135.503553934</c:v>
                </c:pt>
                <c:pt idx="175">
                  <c:v>12151135.503553934</c:v>
                </c:pt>
                <c:pt idx="176">
                  <c:v>12151135.503553934</c:v>
                </c:pt>
                <c:pt idx="177">
                  <c:v>12151135.503553934</c:v>
                </c:pt>
                <c:pt idx="178">
                  <c:v>12151135.503553934</c:v>
                </c:pt>
                <c:pt idx="179">
                  <c:v>12151135.503553934</c:v>
                </c:pt>
                <c:pt idx="180">
                  <c:v>12151135.503553934</c:v>
                </c:pt>
                <c:pt idx="181">
                  <c:v>12151135.503553934</c:v>
                </c:pt>
                <c:pt idx="182">
                  <c:v>12151135.503553934</c:v>
                </c:pt>
                <c:pt idx="183">
                  <c:v>12151135.503553934</c:v>
                </c:pt>
                <c:pt idx="184">
                  <c:v>12151135.503553934</c:v>
                </c:pt>
                <c:pt idx="185">
                  <c:v>12151135.503553934</c:v>
                </c:pt>
                <c:pt idx="186">
                  <c:v>12151135.503553934</c:v>
                </c:pt>
                <c:pt idx="187">
                  <c:v>12151135.503553934</c:v>
                </c:pt>
                <c:pt idx="188">
                  <c:v>12151135.503553934</c:v>
                </c:pt>
                <c:pt idx="189">
                  <c:v>12151135.503553934</c:v>
                </c:pt>
                <c:pt idx="190">
                  <c:v>12151135.503553934</c:v>
                </c:pt>
                <c:pt idx="191">
                  <c:v>12151135.503553934</c:v>
                </c:pt>
                <c:pt idx="192">
                  <c:v>12151135.503553934</c:v>
                </c:pt>
                <c:pt idx="193">
                  <c:v>12151135.503553934</c:v>
                </c:pt>
                <c:pt idx="194">
                  <c:v>12151135.503553934</c:v>
                </c:pt>
                <c:pt idx="195">
                  <c:v>12151135.503553934</c:v>
                </c:pt>
                <c:pt idx="196">
                  <c:v>12151135.503553934</c:v>
                </c:pt>
                <c:pt idx="197">
                  <c:v>12151135.503553934</c:v>
                </c:pt>
                <c:pt idx="198">
                  <c:v>12151135.503553934</c:v>
                </c:pt>
                <c:pt idx="199">
                  <c:v>12151135.503553934</c:v>
                </c:pt>
                <c:pt idx="200">
                  <c:v>12151135.503553934</c:v>
                </c:pt>
                <c:pt idx="201">
                  <c:v>12151135.503553934</c:v>
                </c:pt>
                <c:pt idx="202">
                  <c:v>12151135.503553934</c:v>
                </c:pt>
                <c:pt idx="203">
                  <c:v>12151135.503553934</c:v>
                </c:pt>
                <c:pt idx="204">
                  <c:v>12151135.503553934</c:v>
                </c:pt>
                <c:pt idx="205">
                  <c:v>12151135.503553934</c:v>
                </c:pt>
                <c:pt idx="206">
                  <c:v>12151135.503553934</c:v>
                </c:pt>
                <c:pt idx="207">
                  <c:v>12151135.503553934</c:v>
                </c:pt>
                <c:pt idx="208">
                  <c:v>12151135.503553934</c:v>
                </c:pt>
                <c:pt idx="209">
                  <c:v>12151135.503553934</c:v>
                </c:pt>
                <c:pt idx="210">
                  <c:v>12151135.503553934</c:v>
                </c:pt>
                <c:pt idx="211">
                  <c:v>12151135.503553934</c:v>
                </c:pt>
                <c:pt idx="212">
                  <c:v>12151135.503553934</c:v>
                </c:pt>
                <c:pt idx="213">
                  <c:v>12151135.503553934</c:v>
                </c:pt>
                <c:pt idx="214">
                  <c:v>12151135.503553934</c:v>
                </c:pt>
                <c:pt idx="215">
                  <c:v>12151135.503553934</c:v>
                </c:pt>
                <c:pt idx="216">
                  <c:v>12151135.503553934</c:v>
                </c:pt>
                <c:pt idx="217">
                  <c:v>12151135.503553934</c:v>
                </c:pt>
                <c:pt idx="218">
                  <c:v>12151135.503553934</c:v>
                </c:pt>
                <c:pt idx="219">
                  <c:v>12151135.503553934</c:v>
                </c:pt>
                <c:pt idx="220">
                  <c:v>12151135.503553934</c:v>
                </c:pt>
                <c:pt idx="221">
                  <c:v>12151135.503553934</c:v>
                </c:pt>
                <c:pt idx="222">
                  <c:v>12151135.503553934</c:v>
                </c:pt>
                <c:pt idx="223">
                  <c:v>12151135.503553934</c:v>
                </c:pt>
                <c:pt idx="224">
                  <c:v>12151135.503553934</c:v>
                </c:pt>
                <c:pt idx="225">
                  <c:v>12151135.503553934</c:v>
                </c:pt>
                <c:pt idx="226">
                  <c:v>12151135.503553934</c:v>
                </c:pt>
                <c:pt idx="227">
                  <c:v>12151135.503553934</c:v>
                </c:pt>
                <c:pt idx="228">
                  <c:v>12151135.503553934</c:v>
                </c:pt>
                <c:pt idx="229">
                  <c:v>12151135.503553934</c:v>
                </c:pt>
                <c:pt idx="230">
                  <c:v>12151135.503553934</c:v>
                </c:pt>
                <c:pt idx="231">
                  <c:v>12151135.503553934</c:v>
                </c:pt>
                <c:pt idx="232">
                  <c:v>12151135.503553934</c:v>
                </c:pt>
                <c:pt idx="233">
                  <c:v>12151135.503553934</c:v>
                </c:pt>
                <c:pt idx="234">
                  <c:v>12151135.503553934</c:v>
                </c:pt>
                <c:pt idx="235">
                  <c:v>12151135.503553934</c:v>
                </c:pt>
                <c:pt idx="236">
                  <c:v>12151135.503553934</c:v>
                </c:pt>
                <c:pt idx="237">
                  <c:v>12151135.503553934</c:v>
                </c:pt>
                <c:pt idx="238">
                  <c:v>12151135.503553934</c:v>
                </c:pt>
                <c:pt idx="239">
                  <c:v>12151135.503553934</c:v>
                </c:pt>
                <c:pt idx="240">
                  <c:v>12151135.503553934</c:v>
                </c:pt>
                <c:pt idx="241">
                  <c:v>12151135.503553934</c:v>
                </c:pt>
                <c:pt idx="242">
                  <c:v>12151135.503553934</c:v>
                </c:pt>
                <c:pt idx="243">
                  <c:v>12151135.503553934</c:v>
                </c:pt>
                <c:pt idx="244">
                  <c:v>12151135.503553934</c:v>
                </c:pt>
                <c:pt idx="245">
                  <c:v>12151135.503553934</c:v>
                </c:pt>
                <c:pt idx="246">
                  <c:v>12151135.503553934</c:v>
                </c:pt>
                <c:pt idx="247">
                  <c:v>12151135.503553934</c:v>
                </c:pt>
                <c:pt idx="248">
                  <c:v>12151135.503553934</c:v>
                </c:pt>
                <c:pt idx="249">
                  <c:v>12151135.503553934</c:v>
                </c:pt>
                <c:pt idx="250">
                  <c:v>12151135.503553934</c:v>
                </c:pt>
                <c:pt idx="251">
                  <c:v>12151135.503553934</c:v>
                </c:pt>
                <c:pt idx="252">
                  <c:v>12151135.503553934</c:v>
                </c:pt>
                <c:pt idx="253">
                  <c:v>12151135.503553934</c:v>
                </c:pt>
                <c:pt idx="254">
                  <c:v>12151135.503553934</c:v>
                </c:pt>
                <c:pt idx="255">
                  <c:v>12151135.503553934</c:v>
                </c:pt>
                <c:pt idx="256">
                  <c:v>12151135.503553934</c:v>
                </c:pt>
                <c:pt idx="257">
                  <c:v>12151135.503553934</c:v>
                </c:pt>
                <c:pt idx="258">
                  <c:v>12151135.503553934</c:v>
                </c:pt>
                <c:pt idx="259">
                  <c:v>12151135.503553934</c:v>
                </c:pt>
                <c:pt idx="260">
                  <c:v>12151135.503553934</c:v>
                </c:pt>
                <c:pt idx="261">
                  <c:v>12151135.503553934</c:v>
                </c:pt>
                <c:pt idx="262">
                  <c:v>12151135.503553934</c:v>
                </c:pt>
                <c:pt idx="263">
                  <c:v>12151135.503553934</c:v>
                </c:pt>
                <c:pt idx="264">
                  <c:v>12151135.503553934</c:v>
                </c:pt>
                <c:pt idx="265">
                  <c:v>12151135.503553934</c:v>
                </c:pt>
                <c:pt idx="266">
                  <c:v>12151135.503553934</c:v>
                </c:pt>
                <c:pt idx="267">
                  <c:v>12151135.503553934</c:v>
                </c:pt>
                <c:pt idx="268">
                  <c:v>12151135.503553934</c:v>
                </c:pt>
                <c:pt idx="269">
                  <c:v>12151135.503553934</c:v>
                </c:pt>
                <c:pt idx="270">
                  <c:v>12151135.503553934</c:v>
                </c:pt>
                <c:pt idx="271">
                  <c:v>12151135.503553934</c:v>
                </c:pt>
                <c:pt idx="272">
                  <c:v>12151135.503553934</c:v>
                </c:pt>
                <c:pt idx="273">
                  <c:v>12151135.503553934</c:v>
                </c:pt>
                <c:pt idx="274">
                  <c:v>12151135.503553934</c:v>
                </c:pt>
                <c:pt idx="275">
                  <c:v>12151135.503553934</c:v>
                </c:pt>
                <c:pt idx="276">
                  <c:v>12151135.503553934</c:v>
                </c:pt>
                <c:pt idx="277">
                  <c:v>12151135.503553934</c:v>
                </c:pt>
                <c:pt idx="278">
                  <c:v>12151135.503553934</c:v>
                </c:pt>
                <c:pt idx="279">
                  <c:v>12151135.503553934</c:v>
                </c:pt>
                <c:pt idx="280">
                  <c:v>12151135.503553934</c:v>
                </c:pt>
                <c:pt idx="281">
                  <c:v>12151135.503553934</c:v>
                </c:pt>
                <c:pt idx="282">
                  <c:v>12151135.503553934</c:v>
                </c:pt>
                <c:pt idx="283">
                  <c:v>12151135.503553934</c:v>
                </c:pt>
                <c:pt idx="284">
                  <c:v>12151135.503553934</c:v>
                </c:pt>
                <c:pt idx="285">
                  <c:v>12151135.503553934</c:v>
                </c:pt>
                <c:pt idx="286">
                  <c:v>12151135.503553934</c:v>
                </c:pt>
                <c:pt idx="287">
                  <c:v>12151135.503553934</c:v>
                </c:pt>
                <c:pt idx="288">
                  <c:v>12151135.503553934</c:v>
                </c:pt>
                <c:pt idx="289">
                  <c:v>12151135.503553934</c:v>
                </c:pt>
                <c:pt idx="290">
                  <c:v>12151135.503553934</c:v>
                </c:pt>
                <c:pt idx="291">
                  <c:v>12151135.503553934</c:v>
                </c:pt>
                <c:pt idx="292">
                  <c:v>12151135.503553934</c:v>
                </c:pt>
                <c:pt idx="293">
                  <c:v>12151135.503553934</c:v>
                </c:pt>
                <c:pt idx="294">
                  <c:v>12151135.503553934</c:v>
                </c:pt>
                <c:pt idx="295">
                  <c:v>12151135.503553934</c:v>
                </c:pt>
                <c:pt idx="296">
                  <c:v>12151135.503553934</c:v>
                </c:pt>
                <c:pt idx="297">
                  <c:v>12151135.503553934</c:v>
                </c:pt>
                <c:pt idx="298">
                  <c:v>12151135.503553934</c:v>
                </c:pt>
                <c:pt idx="299">
                  <c:v>12151135.503553934</c:v>
                </c:pt>
                <c:pt idx="300">
                  <c:v>12151135.503553934</c:v>
                </c:pt>
                <c:pt idx="301">
                  <c:v>12151135.503553934</c:v>
                </c:pt>
                <c:pt idx="302">
                  <c:v>12151135.503553934</c:v>
                </c:pt>
                <c:pt idx="303">
                  <c:v>12151135.503553934</c:v>
                </c:pt>
                <c:pt idx="304">
                  <c:v>12151135.503553934</c:v>
                </c:pt>
                <c:pt idx="305">
                  <c:v>12151135.503553934</c:v>
                </c:pt>
                <c:pt idx="306">
                  <c:v>12151135.503553934</c:v>
                </c:pt>
                <c:pt idx="307">
                  <c:v>12151135.503553934</c:v>
                </c:pt>
                <c:pt idx="308">
                  <c:v>12151135.503553934</c:v>
                </c:pt>
                <c:pt idx="309">
                  <c:v>12151135.503553934</c:v>
                </c:pt>
                <c:pt idx="310">
                  <c:v>12151135.503553934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59800831.272943787</c:v>
                </c:pt>
                <c:pt idx="58">
                  <c:v>59800831.272943787</c:v>
                </c:pt>
                <c:pt idx="59">
                  <c:v>59800831.272943787</c:v>
                </c:pt>
                <c:pt idx="60">
                  <c:v>59800831.272943787</c:v>
                </c:pt>
                <c:pt idx="61">
                  <c:v>59800831.272943787</c:v>
                </c:pt>
                <c:pt idx="62">
                  <c:v>59800831.272943787</c:v>
                </c:pt>
                <c:pt idx="63">
                  <c:v>59800831.272943787</c:v>
                </c:pt>
                <c:pt idx="64">
                  <c:v>59800831.272943787</c:v>
                </c:pt>
                <c:pt idx="65">
                  <c:v>59800831.272943787</c:v>
                </c:pt>
                <c:pt idx="66">
                  <c:v>59800831.272943787</c:v>
                </c:pt>
                <c:pt idx="67">
                  <c:v>59800831.272943787</c:v>
                </c:pt>
                <c:pt idx="68">
                  <c:v>59800831.272943787</c:v>
                </c:pt>
                <c:pt idx="69">
                  <c:v>59800831.272943787</c:v>
                </c:pt>
                <c:pt idx="70">
                  <c:v>59800831.272943787</c:v>
                </c:pt>
                <c:pt idx="71">
                  <c:v>59800831.272943787</c:v>
                </c:pt>
                <c:pt idx="72">
                  <c:v>59800831.272943787</c:v>
                </c:pt>
                <c:pt idx="73">
                  <c:v>59800831.272943787</c:v>
                </c:pt>
                <c:pt idx="74">
                  <c:v>59800831.272943787</c:v>
                </c:pt>
                <c:pt idx="75">
                  <c:v>59800831.272943787</c:v>
                </c:pt>
                <c:pt idx="76">
                  <c:v>59800831.272943787</c:v>
                </c:pt>
                <c:pt idx="77">
                  <c:v>59800831.272943787</c:v>
                </c:pt>
                <c:pt idx="78">
                  <c:v>59800831.272943787</c:v>
                </c:pt>
                <c:pt idx="79">
                  <c:v>59800831.272943787</c:v>
                </c:pt>
                <c:pt idx="80">
                  <c:v>59800831.272943787</c:v>
                </c:pt>
                <c:pt idx="81">
                  <c:v>59800831.272943787</c:v>
                </c:pt>
                <c:pt idx="82">
                  <c:v>59800831.272943787</c:v>
                </c:pt>
                <c:pt idx="83">
                  <c:v>59800831.272943787</c:v>
                </c:pt>
                <c:pt idx="84">
                  <c:v>59800831.272943787</c:v>
                </c:pt>
                <c:pt idx="85">
                  <c:v>59800831.272943787</c:v>
                </c:pt>
                <c:pt idx="86">
                  <c:v>59800831.272943787</c:v>
                </c:pt>
                <c:pt idx="87">
                  <c:v>59800831.272943787</c:v>
                </c:pt>
                <c:pt idx="88">
                  <c:v>59800831.272943787</c:v>
                </c:pt>
                <c:pt idx="89">
                  <c:v>59800831.272943787</c:v>
                </c:pt>
                <c:pt idx="90">
                  <c:v>59800831.272943787</c:v>
                </c:pt>
                <c:pt idx="91">
                  <c:v>59800831.272943787</c:v>
                </c:pt>
                <c:pt idx="92">
                  <c:v>59800831.272943787</c:v>
                </c:pt>
                <c:pt idx="93">
                  <c:v>59800831.272943787</c:v>
                </c:pt>
                <c:pt idx="94">
                  <c:v>59800831.272943787</c:v>
                </c:pt>
                <c:pt idx="95">
                  <c:v>59800831.272943787</c:v>
                </c:pt>
                <c:pt idx="96">
                  <c:v>59800831.272943787</c:v>
                </c:pt>
                <c:pt idx="97">
                  <c:v>59800831.272943787</c:v>
                </c:pt>
                <c:pt idx="98">
                  <c:v>59800831.272943787</c:v>
                </c:pt>
                <c:pt idx="99">
                  <c:v>59800831.272943787</c:v>
                </c:pt>
                <c:pt idx="100">
                  <c:v>59800831.272943787</c:v>
                </c:pt>
                <c:pt idx="101">
                  <c:v>59800831.272943787</c:v>
                </c:pt>
                <c:pt idx="102">
                  <c:v>59800831.272943787</c:v>
                </c:pt>
                <c:pt idx="103">
                  <c:v>59800831.272943787</c:v>
                </c:pt>
                <c:pt idx="104">
                  <c:v>59800831.272943787</c:v>
                </c:pt>
                <c:pt idx="105">
                  <c:v>59800831.272943787</c:v>
                </c:pt>
                <c:pt idx="106">
                  <c:v>59800831.272943787</c:v>
                </c:pt>
                <c:pt idx="107">
                  <c:v>59800831.272943787</c:v>
                </c:pt>
                <c:pt idx="108">
                  <c:v>59800831.272943787</c:v>
                </c:pt>
                <c:pt idx="109">
                  <c:v>59800831.272943787</c:v>
                </c:pt>
                <c:pt idx="110">
                  <c:v>59800831.272943787</c:v>
                </c:pt>
                <c:pt idx="111">
                  <c:v>59800831.272943787</c:v>
                </c:pt>
                <c:pt idx="112">
                  <c:v>59800831.272943787</c:v>
                </c:pt>
                <c:pt idx="113">
                  <c:v>59800831.272943787</c:v>
                </c:pt>
                <c:pt idx="114">
                  <c:v>59800831.272943787</c:v>
                </c:pt>
                <c:pt idx="115">
                  <c:v>59800831.272943787</c:v>
                </c:pt>
                <c:pt idx="116">
                  <c:v>59800831.272943787</c:v>
                </c:pt>
                <c:pt idx="117">
                  <c:v>59800831.272943787</c:v>
                </c:pt>
                <c:pt idx="118">
                  <c:v>59800831.272943787</c:v>
                </c:pt>
                <c:pt idx="119">
                  <c:v>59800831.272943787</c:v>
                </c:pt>
                <c:pt idx="120">
                  <c:v>59800831.272943787</c:v>
                </c:pt>
                <c:pt idx="121">
                  <c:v>59800831.272943787</c:v>
                </c:pt>
                <c:pt idx="122">
                  <c:v>59800831.272943787</c:v>
                </c:pt>
                <c:pt idx="123">
                  <c:v>59800831.272943787</c:v>
                </c:pt>
                <c:pt idx="124">
                  <c:v>59800831.272943787</c:v>
                </c:pt>
                <c:pt idx="125">
                  <c:v>59800831.272943787</c:v>
                </c:pt>
                <c:pt idx="126">
                  <c:v>59800831.272943787</c:v>
                </c:pt>
                <c:pt idx="127">
                  <c:v>59800831.272943787</c:v>
                </c:pt>
                <c:pt idx="128">
                  <c:v>59800831.272943787</c:v>
                </c:pt>
                <c:pt idx="129">
                  <c:v>59800831.272943787</c:v>
                </c:pt>
                <c:pt idx="130">
                  <c:v>59800831.272943787</c:v>
                </c:pt>
                <c:pt idx="131">
                  <c:v>59800831.272943787</c:v>
                </c:pt>
                <c:pt idx="132">
                  <c:v>59800831.272943787</c:v>
                </c:pt>
                <c:pt idx="133">
                  <c:v>59800831.272943787</c:v>
                </c:pt>
                <c:pt idx="134">
                  <c:v>59800831.272943787</c:v>
                </c:pt>
                <c:pt idx="135">
                  <c:v>59800831.272943787</c:v>
                </c:pt>
                <c:pt idx="136">
                  <c:v>59800831.272943787</c:v>
                </c:pt>
                <c:pt idx="137">
                  <c:v>59800831.272943787</c:v>
                </c:pt>
                <c:pt idx="138">
                  <c:v>59800831.272943787</c:v>
                </c:pt>
                <c:pt idx="139">
                  <c:v>59800831.272943787</c:v>
                </c:pt>
                <c:pt idx="140">
                  <c:v>59800831.272943787</c:v>
                </c:pt>
                <c:pt idx="141">
                  <c:v>59800831.272943787</c:v>
                </c:pt>
                <c:pt idx="142">
                  <c:v>59800831.272943787</c:v>
                </c:pt>
                <c:pt idx="143">
                  <c:v>59800831.272943787</c:v>
                </c:pt>
                <c:pt idx="144">
                  <c:v>59800831.272943787</c:v>
                </c:pt>
                <c:pt idx="145">
                  <c:v>59800831.272943787</c:v>
                </c:pt>
                <c:pt idx="146">
                  <c:v>59800831.272943787</c:v>
                </c:pt>
                <c:pt idx="147">
                  <c:v>59800831.272943787</c:v>
                </c:pt>
                <c:pt idx="148">
                  <c:v>59800831.272943787</c:v>
                </c:pt>
                <c:pt idx="149">
                  <c:v>59800831.272943787</c:v>
                </c:pt>
                <c:pt idx="150">
                  <c:v>59800831.272943787</c:v>
                </c:pt>
                <c:pt idx="151">
                  <c:v>59800831.272943787</c:v>
                </c:pt>
                <c:pt idx="152">
                  <c:v>59800831.272943787</c:v>
                </c:pt>
                <c:pt idx="153">
                  <c:v>59800831.272943787</c:v>
                </c:pt>
                <c:pt idx="154">
                  <c:v>59800831.272943787</c:v>
                </c:pt>
                <c:pt idx="155">
                  <c:v>59800831.272943787</c:v>
                </c:pt>
                <c:pt idx="156">
                  <c:v>59800831.272943787</c:v>
                </c:pt>
                <c:pt idx="157">
                  <c:v>59800831.272943787</c:v>
                </c:pt>
                <c:pt idx="158">
                  <c:v>59800831.272943787</c:v>
                </c:pt>
                <c:pt idx="159">
                  <c:v>59800831.272943787</c:v>
                </c:pt>
                <c:pt idx="160">
                  <c:v>59800831.272943787</c:v>
                </c:pt>
                <c:pt idx="161">
                  <c:v>59800831.272943787</c:v>
                </c:pt>
                <c:pt idx="162">
                  <c:v>59800831.272943787</c:v>
                </c:pt>
                <c:pt idx="163">
                  <c:v>59800831.272943787</c:v>
                </c:pt>
                <c:pt idx="164">
                  <c:v>59800831.272943787</c:v>
                </c:pt>
                <c:pt idx="165">
                  <c:v>59800831.272943787</c:v>
                </c:pt>
                <c:pt idx="166">
                  <c:v>59800831.272943787</c:v>
                </c:pt>
                <c:pt idx="167">
                  <c:v>59800831.272943787</c:v>
                </c:pt>
                <c:pt idx="168">
                  <c:v>59800831.272943787</c:v>
                </c:pt>
                <c:pt idx="169">
                  <c:v>59800831.272943787</c:v>
                </c:pt>
                <c:pt idx="170">
                  <c:v>59800831.272943787</c:v>
                </c:pt>
                <c:pt idx="171">
                  <c:v>59800831.272943787</c:v>
                </c:pt>
                <c:pt idx="172">
                  <c:v>59800831.272943787</c:v>
                </c:pt>
                <c:pt idx="173">
                  <c:v>59800831.272943787</c:v>
                </c:pt>
                <c:pt idx="174">
                  <c:v>59800831.272943787</c:v>
                </c:pt>
                <c:pt idx="175">
                  <c:v>59800831.272943787</c:v>
                </c:pt>
                <c:pt idx="176">
                  <c:v>59800831.272943787</c:v>
                </c:pt>
                <c:pt idx="177">
                  <c:v>59800831.272943787</c:v>
                </c:pt>
                <c:pt idx="178">
                  <c:v>59800831.272943787</c:v>
                </c:pt>
                <c:pt idx="179">
                  <c:v>59800831.272943787</c:v>
                </c:pt>
                <c:pt idx="180">
                  <c:v>59800831.272943787</c:v>
                </c:pt>
                <c:pt idx="181">
                  <c:v>59800831.272943787</c:v>
                </c:pt>
                <c:pt idx="182">
                  <c:v>59800831.272943787</c:v>
                </c:pt>
                <c:pt idx="183">
                  <c:v>59800831.272943787</c:v>
                </c:pt>
                <c:pt idx="184">
                  <c:v>59800831.272943787</c:v>
                </c:pt>
                <c:pt idx="185">
                  <c:v>59800831.272943787</c:v>
                </c:pt>
                <c:pt idx="186">
                  <c:v>59800831.272943787</c:v>
                </c:pt>
                <c:pt idx="187">
                  <c:v>59800831.272943787</c:v>
                </c:pt>
                <c:pt idx="188">
                  <c:v>59800831.272943787</c:v>
                </c:pt>
                <c:pt idx="189">
                  <c:v>59800831.272943787</c:v>
                </c:pt>
                <c:pt idx="190">
                  <c:v>59800831.272943787</c:v>
                </c:pt>
                <c:pt idx="191">
                  <c:v>59800831.272943787</c:v>
                </c:pt>
                <c:pt idx="192">
                  <c:v>59800831.272943787</c:v>
                </c:pt>
                <c:pt idx="193">
                  <c:v>59800831.272943787</c:v>
                </c:pt>
                <c:pt idx="194">
                  <c:v>59800831.272943787</c:v>
                </c:pt>
                <c:pt idx="195">
                  <c:v>59800831.272943787</c:v>
                </c:pt>
                <c:pt idx="196">
                  <c:v>59800831.272943787</c:v>
                </c:pt>
                <c:pt idx="197">
                  <c:v>59800831.272943787</c:v>
                </c:pt>
                <c:pt idx="198">
                  <c:v>59800831.272943787</c:v>
                </c:pt>
                <c:pt idx="199">
                  <c:v>59800831.272943787</c:v>
                </c:pt>
                <c:pt idx="200">
                  <c:v>59800831.272943787</c:v>
                </c:pt>
                <c:pt idx="201">
                  <c:v>59800831.272943787</c:v>
                </c:pt>
                <c:pt idx="202">
                  <c:v>59800831.272943787</c:v>
                </c:pt>
                <c:pt idx="203">
                  <c:v>59800831.272943787</c:v>
                </c:pt>
                <c:pt idx="204">
                  <c:v>59800831.272943787</c:v>
                </c:pt>
                <c:pt idx="205">
                  <c:v>59800831.272943787</c:v>
                </c:pt>
                <c:pt idx="206">
                  <c:v>59800831.272943787</c:v>
                </c:pt>
                <c:pt idx="207">
                  <c:v>59800831.272943787</c:v>
                </c:pt>
                <c:pt idx="208">
                  <c:v>59800831.272943787</c:v>
                </c:pt>
                <c:pt idx="209">
                  <c:v>59800831.272943787</c:v>
                </c:pt>
                <c:pt idx="210">
                  <c:v>59800831.272943787</c:v>
                </c:pt>
                <c:pt idx="211">
                  <c:v>59800831.272943787</c:v>
                </c:pt>
                <c:pt idx="212">
                  <c:v>59800831.272943787</c:v>
                </c:pt>
                <c:pt idx="213">
                  <c:v>59800831.272943787</c:v>
                </c:pt>
                <c:pt idx="214">
                  <c:v>59800831.272943787</c:v>
                </c:pt>
                <c:pt idx="215">
                  <c:v>59800831.272943787</c:v>
                </c:pt>
                <c:pt idx="216">
                  <c:v>59800831.272943787</c:v>
                </c:pt>
                <c:pt idx="217">
                  <c:v>59800831.272943787</c:v>
                </c:pt>
                <c:pt idx="218">
                  <c:v>59800831.272943787</c:v>
                </c:pt>
                <c:pt idx="219">
                  <c:v>59800831.272943787</c:v>
                </c:pt>
                <c:pt idx="220">
                  <c:v>59800831.272943787</c:v>
                </c:pt>
                <c:pt idx="221">
                  <c:v>59800831.272943787</c:v>
                </c:pt>
                <c:pt idx="222">
                  <c:v>59800831.272943787</c:v>
                </c:pt>
                <c:pt idx="223">
                  <c:v>59800831.272943787</c:v>
                </c:pt>
                <c:pt idx="224">
                  <c:v>59800831.272943787</c:v>
                </c:pt>
                <c:pt idx="225">
                  <c:v>59800831.272943787</c:v>
                </c:pt>
                <c:pt idx="226">
                  <c:v>59800831.272943787</c:v>
                </c:pt>
                <c:pt idx="227">
                  <c:v>59800831.272943787</c:v>
                </c:pt>
                <c:pt idx="228">
                  <c:v>59800831.272943787</c:v>
                </c:pt>
                <c:pt idx="229">
                  <c:v>59800831.272943787</c:v>
                </c:pt>
                <c:pt idx="230">
                  <c:v>59800831.272943787</c:v>
                </c:pt>
                <c:pt idx="231">
                  <c:v>59800831.272943787</c:v>
                </c:pt>
                <c:pt idx="232">
                  <c:v>59800831.272943787</c:v>
                </c:pt>
                <c:pt idx="233">
                  <c:v>59800831.272943787</c:v>
                </c:pt>
                <c:pt idx="234">
                  <c:v>59800831.272943787</c:v>
                </c:pt>
                <c:pt idx="235">
                  <c:v>59800831.272943787</c:v>
                </c:pt>
                <c:pt idx="236">
                  <c:v>59800831.272943787</c:v>
                </c:pt>
                <c:pt idx="237">
                  <c:v>59800831.272943787</c:v>
                </c:pt>
                <c:pt idx="238">
                  <c:v>59800831.272943787</c:v>
                </c:pt>
                <c:pt idx="239">
                  <c:v>59800831.272943787</c:v>
                </c:pt>
                <c:pt idx="240">
                  <c:v>59800831.272943787</c:v>
                </c:pt>
                <c:pt idx="241">
                  <c:v>59800831.272943787</c:v>
                </c:pt>
                <c:pt idx="242">
                  <c:v>59800831.272943787</c:v>
                </c:pt>
                <c:pt idx="243">
                  <c:v>59800831.272943787</c:v>
                </c:pt>
                <c:pt idx="244">
                  <c:v>59800831.272943787</c:v>
                </c:pt>
                <c:pt idx="245">
                  <c:v>59800831.272943787</c:v>
                </c:pt>
                <c:pt idx="246">
                  <c:v>59800831.272943787</c:v>
                </c:pt>
                <c:pt idx="247">
                  <c:v>59800831.272943787</c:v>
                </c:pt>
                <c:pt idx="248">
                  <c:v>59800831.272943787</c:v>
                </c:pt>
                <c:pt idx="249">
                  <c:v>59800831.272943787</c:v>
                </c:pt>
                <c:pt idx="250">
                  <c:v>59800831.272943787</c:v>
                </c:pt>
                <c:pt idx="251">
                  <c:v>59800831.272943787</c:v>
                </c:pt>
                <c:pt idx="252">
                  <c:v>59800831.272943787</c:v>
                </c:pt>
                <c:pt idx="253">
                  <c:v>59800831.272943787</c:v>
                </c:pt>
                <c:pt idx="254">
                  <c:v>59800831.272943787</c:v>
                </c:pt>
                <c:pt idx="255">
                  <c:v>59800831.272943787</c:v>
                </c:pt>
                <c:pt idx="256">
                  <c:v>59800831.272943787</c:v>
                </c:pt>
                <c:pt idx="257">
                  <c:v>59800831.272943787</c:v>
                </c:pt>
                <c:pt idx="258">
                  <c:v>59800831.272943787</c:v>
                </c:pt>
                <c:pt idx="259">
                  <c:v>59800831.272943787</c:v>
                </c:pt>
                <c:pt idx="260">
                  <c:v>59800831.272943787</c:v>
                </c:pt>
                <c:pt idx="261">
                  <c:v>59800831.272943787</c:v>
                </c:pt>
                <c:pt idx="262">
                  <c:v>59800831.272943787</c:v>
                </c:pt>
                <c:pt idx="263">
                  <c:v>59800831.272943787</c:v>
                </c:pt>
                <c:pt idx="264">
                  <c:v>59800831.272943787</c:v>
                </c:pt>
                <c:pt idx="265">
                  <c:v>59800831.272943787</c:v>
                </c:pt>
                <c:pt idx="266">
                  <c:v>59800831.272943787</c:v>
                </c:pt>
                <c:pt idx="267">
                  <c:v>59800831.272943787</c:v>
                </c:pt>
                <c:pt idx="268">
                  <c:v>59800831.272943787</c:v>
                </c:pt>
                <c:pt idx="269">
                  <c:v>59800831.272943787</c:v>
                </c:pt>
                <c:pt idx="270">
                  <c:v>59800831.272943787</c:v>
                </c:pt>
                <c:pt idx="271">
                  <c:v>59800831.272943787</c:v>
                </c:pt>
                <c:pt idx="272">
                  <c:v>59800831.272943787</c:v>
                </c:pt>
                <c:pt idx="273">
                  <c:v>59800831.272943787</c:v>
                </c:pt>
                <c:pt idx="274">
                  <c:v>59800831.272943787</c:v>
                </c:pt>
                <c:pt idx="275">
                  <c:v>59800831.272943787</c:v>
                </c:pt>
                <c:pt idx="276">
                  <c:v>59800831.272943787</c:v>
                </c:pt>
                <c:pt idx="277">
                  <c:v>59800831.272943787</c:v>
                </c:pt>
                <c:pt idx="278">
                  <c:v>59800831.272943787</c:v>
                </c:pt>
                <c:pt idx="279">
                  <c:v>59800831.272943787</c:v>
                </c:pt>
                <c:pt idx="280">
                  <c:v>59800831.272943787</c:v>
                </c:pt>
                <c:pt idx="281">
                  <c:v>59800831.272943787</c:v>
                </c:pt>
                <c:pt idx="282">
                  <c:v>59800831.272943787</c:v>
                </c:pt>
                <c:pt idx="283">
                  <c:v>59800831.272943787</c:v>
                </c:pt>
                <c:pt idx="284">
                  <c:v>59800831.272943787</c:v>
                </c:pt>
                <c:pt idx="285">
                  <c:v>59800831.272943787</c:v>
                </c:pt>
                <c:pt idx="286">
                  <c:v>59800831.272943787</c:v>
                </c:pt>
                <c:pt idx="287">
                  <c:v>59800831.272943787</c:v>
                </c:pt>
                <c:pt idx="288">
                  <c:v>59800831.272943787</c:v>
                </c:pt>
                <c:pt idx="289">
                  <c:v>59800831.272943787</c:v>
                </c:pt>
                <c:pt idx="290">
                  <c:v>59800831.272943787</c:v>
                </c:pt>
                <c:pt idx="291">
                  <c:v>59800831.272943787</c:v>
                </c:pt>
                <c:pt idx="292">
                  <c:v>59800831.272943787</c:v>
                </c:pt>
                <c:pt idx="293">
                  <c:v>59800831.272943787</c:v>
                </c:pt>
                <c:pt idx="294">
                  <c:v>59800831.272943787</c:v>
                </c:pt>
                <c:pt idx="295">
                  <c:v>59800831.272943787</c:v>
                </c:pt>
                <c:pt idx="296">
                  <c:v>59800831.272943787</c:v>
                </c:pt>
                <c:pt idx="297">
                  <c:v>59800831.272943787</c:v>
                </c:pt>
                <c:pt idx="298">
                  <c:v>59800831.272943787</c:v>
                </c:pt>
                <c:pt idx="299">
                  <c:v>59800831.272943787</c:v>
                </c:pt>
                <c:pt idx="300">
                  <c:v>59800831.272943787</c:v>
                </c:pt>
                <c:pt idx="301">
                  <c:v>59800831.272943787</c:v>
                </c:pt>
                <c:pt idx="302">
                  <c:v>59800831.272943787</c:v>
                </c:pt>
                <c:pt idx="303">
                  <c:v>59800831.272943787</c:v>
                </c:pt>
                <c:pt idx="304">
                  <c:v>59800831.272943787</c:v>
                </c:pt>
                <c:pt idx="305">
                  <c:v>59800831.272943787</c:v>
                </c:pt>
                <c:pt idx="306">
                  <c:v>59800831.272943787</c:v>
                </c:pt>
                <c:pt idx="307">
                  <c:v>59800831.272943787</c:v>
                </c:pt>
                <c:pt idx="308">
                  <c:v>59800831.272943787</c:v>
                </c:pt>
                <c:pt idx="309">
                  <c:v>59800831.272943787</c:v>
                </c:pt>
                <c:pt idx="310">
                  <c:v>59800831.272943787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15603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16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15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8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3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8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8" dT="2025-10-03T10:15:21.90" personId="{F38BC8CB-2CC2-4233-A1D2-12C466B53C9F}" id="{F529163D-E31D-439B-B9AF-C66F28EC9CAF}">
    <text>@mizelda, please update the payment date</text>
  </threadedComment>
  <threadedComment ref="W189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1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7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3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2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284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3" t="s">
        <v>57</v>
      </c>
      <c r="E47" s="843"/>
      <c r="F47" s="844"/>
      <c r="G47" s="67"/>
      <c r="I47" s="68"/>
      <c r="J47" s="68"/>
    </row>
    <row r="48" spans="1:49" ht="13.9" thickBot="1">
      <c r="C48" s="69">
        <v>44014</v>
      </c>
      <c r="D48" s="845"/>
      <c r="E48" s="845"/>
      <c r="F48" s="84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0" priority="1" operator="equal">
      <formula>3</formula>
    </cfRule>
    <cfRule type="cellIs" dxfId="29" priority="2" operator="equal">
      <formula>1</formula>
    </cfRule>
    <cfRule type="cellIs" dxfId="2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R19" sqref="R19"/>
    </sheetView>
  </sheetViews>
  <sheetFormatPr defaultColWidth="8.42578125" defaultRowHeight="14.25"/>
  <cols>
    <col min="1" max="1" width="5.5703125" style="93" customWidth="1"/>
    <col min="2" max="2" width="7.140625" style="129" customWidth="1"/>
    <col min="3" max="3" width="21.855468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855468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855468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85546875" style="128" bestFit="1" customWidth="1"/>
    <col min="17" max="17" width="5.5703125" style="128" customWidth="1"/>
    <col min="18" max="18" width="33.140625" style="128" bestFit="1" customWidth="1"/>
    <col min="19" max="20" width="13.855468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1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1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6">
        <f>SUMIFS('Expenditure Breakdown'!$U:$U,
        'Expenditure Breakdown'!$T:$T, "&gt;"&amp;DATE(2025,8,31),
        'Expenditure Breakdown'!$T:$T, "&lt;="&amp;DATE(2026,8,31))</f>
        <v>13531807.922589721</v>
      </c>
      <c r="Z4" s="766">
        <f>SUMIFS('Expenditure Breakdown'!$Q:$Q,
        'Expenditure Breakdown'!$T:$T, "&gt;"&amp;DATE(2025,8,31),
        'Expenditure Breakdown'!$T:$T, "&lt;="&amp;DATE(2026,8,31))</f>
        <v>10813829.064387694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13531300.842589721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10129736.784387695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47843864.496446103</v>
      </c>
      <c r="G5" s="833" t="s">
        <v>76</v>
      </c>
      <c r="H5" s="833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47843864.496446103</v>
      </c>
      <c r="T5" s="730">
        <f>F5-R5</f>
        <v>47843864.496446103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12151135.503553897</v>
      </c>
      <c r="G6" s="834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12151135.503553897</v>
      </c>
      <c r="T6" s="734">
        <f>T4-T5</f>
        <v>12151135.503553897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0.20253580304281851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15">
      <c r="B10" s="127" t="s">
        <v>83</v>
      </c>
      <c r="F10" s="834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25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15">
      <c r="B13" s="341">
        <v>1</v>
      </c>
      <c r="C13" s="847" t="s">
        <v>93</v>
      </c>
      <c r="D13" s="848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2.75">
      <c r="B14" s="153">
        <v>2</v>
      </c>
      <c r="C14" s="847" t="s">
        <v>95</v>
      </c>
      <c r="D14" s="848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2.75">
      <c r="B15" s="341">
        <v>3</v>
      </c>
      <c r="C15" s="847" t="s">
        <v>97</v>
      </c>
      <c r="D15" s="848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2.75">
      <c r="B16" s="341">
        <v>4</v>
      </c>
      <c r="C16" s="847" t="s">
        <v>99</v>
      </c>
      <c r="D16" s="848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2.75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5">
        <v>46002</v>
      </c>
      <c r="R17" s="368"/>
      <c r="S17" s="740"/>
      <c r="T17" s="740"/>
      <c r="U17" s="740"/>
      <c r="V17" s="140"/>
    </row>
    <row r="18" spans="2:22" s="93" customFormat="1" ht="12.75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5">
        <v>46002</v>
      </c>
      <c r="R18" s="368"/>
      <c r="S18" s="740"/>
      <c r="T18" s="740"/>
      <c r="U18" s="740"/>
      <c r="V18" s="140"/>
    </row>
    <row r="19" spans="2:22" s="93" customFormat="1" ht="12.75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5">
        <v>46066</v>
      </c>
      <c r="R19" s="368"/>
      <c r="S19" s="740"/>
      <c r="T19" s="740"/>
      <c r="U19" s="740"/>
      <c r="V19" s="140"/>
    </row>
    <row r="20" spans="2:22" s="93" customFormat="1" ht="12.75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2.75">
      <c r="B21" s="341">
        <v>7</v>
      </c>
      <c r="C21" s="847" t="s">
        <v>103</v>
      </c>
      <c r="D21" s="848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1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104</v>
      </c>
      <c r="C25" s="144" t="s">
        <v>105</v>
      </c>
      <c r="D25" s="144"/>
      <c r="F25" s="145"/>
    </row>
    <row r="26" spans="2:22" s="93" customFormat="1" ht="12.75">
      <c r="C26" s="146" t="s">
        <v>106</v>
      </c>
      <c r="D26" s="147"/>
      <c r="F26" s="148">
        <f>F17+F18+F19</f>
        <v>5999500</v>
      </c>
      <c r="H26" s="116"/>
    </row>
    <row r="27" spans="2:22" s="93" customFormat="1" ht="12.75">
      <c r="C27" s="146" t="s">
        <v>107</v>
      </c>
      <c r="D27" s="147"/>
      <c r="H27" s="741"/>
      <c r="L27" s="834"/>
    </row>
    <row r="28" spans="2:22" s="93" customFormat="1" ht="12.75">
      <c r="C28" s="149" t="s">
        <v>108</v>
      </c>
      <c r="D28" s="150"/>
      <c r="H28" s="116"/>
    </row>
    <row r="29" spans="2:22" s="93" customFormat="1" ht="12.75">
      <c r="C29" s="151" t="s">
        <v>109</v>
      </c>
      <c r="D29" s="147"/>
    </row>
    <row r="30" spans="2:22" s="93" customFormat="1" ht="12.75">
      <c r="B30" s="117"/>
      <c r="C30" s="151" t="s">
        <v>110</v>
      </c>
      <c r="D30" s="147"/>
    </row>
    <row r="31" spans="2:22" s="93" customFormat="1" ht="12.75">
      <c r="B31" s="117"/>
      <c r="C31" s="93" t="s">
        <v>111</v>
      </c>
    </row>
    <row r="32" spans="2:22" s="93" customFormat="1" ht="27.75" customHeight="1">
      <c r="B32" s="117"/>
      <c r="C32" s="152" t="s">
        <v>112</v>
      </c>
      <c r="D32" s="152"/>
      <c r="F32" s="148"/>
    </row>
    <row r="33" spans="2:6" s="93" customFormat="1" ht="12.75">
      <c r="B33" s="117"/>
      <c r="F33" s="145"/>
    </row>
    <row r="34" spans="2:6" s="93" customFormat="1" ht="12.75">
      <c r="B34" s="117"/>
      <c r="F34" s="145"/>
    </row>
    <row r="35" spans="2:6" s="93" customFormat="1" ht="12.75">
      <c r="B35" s="117"/>
      <c r="F35" s="145"/>
    </row>
    <row r="36" spans="2:6" s="93" customFormat="1" ht="12.75">
      <c r="B36" s="117"/>
      <c r="F36" s="145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113</v>
      </c>
      <c r="F2" s="83" t="s">
        <v>114</v>
      </c>
    </row>
    <row r="3" spans="3:8">
      <c r="C3" s="79">
        <v>45658</v>
      </c>
      <c r="D3" s="73" t="s">
        <v>115</v>
      </c>
      <c r="F3" s="81" t="s">
        <v>116</v>
      </c>
    </row>
    <row r="4" spans="3:8">
      <c r="C4" s="79">
        <v>45737</v>
      </c>
      <c r="D4" s="73" t="s">
        <v>117</v>
      </c>
      <c r="F4" s="81" t="s">
        <v>118</v>
      </c>
    </row>
    <row r="5" spans="3:8">
      <c r="C5" s="79">
        <v>45765</v>
      </c>
      <c r="D5" s="73" t="s">
        <v>119</v>
      </c>
      <c r="F5" s="81" t="s">
        <v>120</v>
      </c>
    </row>
    <row r="6" spans="3:8" ht="13.15" thickBot="1">
      <c r="C6" s="79">
        <v>45768</v>
      </c>
      <c r="D6" s="73" t="s">
        <v>121</v>
      </c>
      <c r="F6" s="82" t="s">
        <v>122</v>
      </c>
    </row>
    <row r="7" spans="3:8">
      <c r="C7" s="79">
        <v>45774</v>
      </c>
      <c r="D7" s="73" t="s">
        <v>123</v>
      </c>
    </row>
    <row r="8" spans="3:8">
      <c r="C8" s="79">
        <v>45765</v>
      </c>
      <c r="D8" s="73" t="s">
        <v>124</v>
      </c>
    </row>
    <row r="9" spans="3:8">
      <c r="C9" s="79">
        <v>45778</v>
      </c>
      <c r="D9" s="73" t="s">
        <v>125</v>
      </c>
    </row>
    <row r="10" spans="3:8">
      <c r="C10" s="79">
        <v>45824</v>
      </c>
      <c r="D10" s="73" t="s">
        <v>126</v>
      </c>
    </row>
    <row r="11" spans="3:8">
      <c r="C11" s="79">
        <v>45878</v>
      </c>
      <c r="D11" s="73" t="s">
        <v>127</v>
      </c>
    </row>
    <row r="12" spans="3:8">
      <c r="C12" s="79">
        <v>45924</v>
      </c>
      <c r="D12" s="73" t="s">
        <v>128</v>
      </c>
    </row>
    <row r="13" spans="3:8">
      <c r="C13" s="79"/>
      <c r="F13" s="85"/>
      <c r="H13" s="73" t="s">
        <v>129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130</v>
      </c>
    </row>
    <row r="18" spans="3:4">
      <c r="C18" s="79">
        <v>46012</v>
      </c>
      <c r="D18" s="73" t="s">
        <v>130</v>
      </c>
    </row>
    <row r="19" spans="3:4">
      <c r="C19" s="79">
        <v>46013</v>
      </c>
      <c r="D19" s="73" t="s">
        <v>130</v>
      </c>
    </row>
    <row r="20" spans="3:4">
      <c r="C20" s="79">
        <v>46014</v>
      </c>
      <c r="D20" s="73" t="s">
        <v>130</v>
      </c>
    </row>
    <row r="21" spans="3:4">
      <c r="C21" s="79">
        <v>46015</v>
      </c>
      <c r="D21" s="73" t="s">
        <v>130</v>
      </c>
    </row>
    <row r="22" spans="3:4">
      <c r="C22" s="79">
        <v>46016</v>
      </c>
      <c r="D22" s="73" t="s">
        <v>130</v>
      </c>
    </row>
    <row r="23" spans="3:4">
      <c r="C23" s="79">
        <v>46017</v>
      </c>
      <c r="D23" s="73" t="s">
        <v>130</v>
      </c>
    </row>
    <row r="24" spans="3:4">
      <c r="C24" s="79">
        <v>46018</v>
      </c>
      <c r="D24" s="73" t="s">
        <v>130</v>
      </c>
    </row>
    <row r="25" spans="3:4">
      <c r="C25" s="79">
        <v>46019</v>
      </c>
      <c r="D25" s="73" t="s">
        <v>130</v>
      </c>
    </row>
    <row r="26" spans="3:4">
      <c r="C26" s="79">
        <v>46020</v>
      </c>
      <c r="D26" s="73" t="s">
        <v>130</v>
      </c>
    </row>
    <row r="27" spans="3:4">
      <c r="C27" s="79">
        <v>46021</v>
      </c>
      <c r="D27" s="73" t="s">
        <v>130</v>
      </c>
    </row>
    <row r="28" spans="3:4">
      <c r="C28" s="79">
        <v>46022</v>
      </c>
      <c r="D28" s="73" t="s">
        <v>130</v>
      </c>
    </row>
    <row r="29" spans="3:4">
      <c r="C29" s="79">
        <v>46023</v>
      </c>
      <c r="D29" s="73" t="s">
        <v>130</v>
      </c>
    </row>
    <row r="30" spans="3:4">
      <c r="C30" s="79">
        <v>46024</v>
      </c>
      <c r="D30" s="73" t="s">
        <v>130</v>
      </c>
    </row>
    <row r="31" spans="3:4">
      <c r="C31" s="79">
        <v>46025</v>
      </c>
      <c r="D31" s="73" t="s">
        <v>130</v>
      </c>
    </row>
    <row r="32" spans="3:4">
      <c r="C32" s="79">
        <v>46026</v>
      </c>
      <c r="D32" s="73" t="s">
        <v>130</v>
      </c>
    </row>
    <row r="33" spans="3:4">
      <c r="C33" s="79">
        <v>46027</v>
      </c>
      <c r="D33" s="73" t="s">
        <v>130</v>
      </c>
    </row>
    <row r="34" spans="3:4">
      <c r="C34" s="79">
        <v>46028</v>
      </c>
      <c r="D34" s="73" t="s">
        <v>130</v>
      </c>
    </row>
    <row r="35" spans="3:4">
      <c r="C35" s="79">
        <v>46029</v>
      </c>
      <c r="D35" s="73" t="s">
        <v>130</v>
      </c>
    </row>
    <row r="36" spans="3:4">
      <c r="C36" s="79">
        <v>46030</v>
      </c>
      <c r="D36" s="73" t="s">
        <v>130</v>
      </c>
    </row>
    <row r="37" spans="3:4">
      <c r="C37" s="79">
        <v>46031</v>
      </c>
      <c r="D37" s="73" t="s">
        <v>130</v>
      </c>
    </row>
    <row r="38" spans="3:4">
      <c r="C38" s="79">
        <v>46032</v>
      </c>
      <c r="D38" s="73" t="s">
        <v>130</v>
      </c>
    </row>
    <row r="39" spans="3:4">
      <c r="C39" s="79">
        <v>46033</v>
      </c>
      <c r="D39" s="73" t="s">
        <v>130</v>
      </c>
    </row>
    <row r="40" spans="3:4">
      <c r="C40" s="79">
        <v>46034</v>
      </c>
      <c r="D40" s="73" t="s">
        <v>130</v>
      </c>
    </row>
    <row r="41" spans="3:4">
      <c r="C41" s="79">
        <v>46016</v>
      </c>
      <c r="D41" s="73" t="s">
        <v>131</v>
      </c>
    </row>
    <row r="42" spans="3:4" ht="13.15" thickBot="1">
      <c r="C42" s="80">
        <v>46017</v>
      </c>
      <c r="D42" s="73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D101" zoomScale="85" zoomScaleNormal="85" workbookViewId="0">
      <selection activeCell="P123" sqref="P123"/>
    </sheetView>
  </sheetViews>
  <sheetFormatPr defaultColWidth="8.42578125" defaultRowHeight="13.5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855468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855468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85546875" style="112" customWidth="1"/>
    <col min="21" max="21" width="15.42578125" style="112" bestFit="1" customWidth="1"/>
    <col min="22" max="22" width="15.85546875" style="112" hidden="1" customWidth="1"/>
    <col min="23" max="23" width="13" style="112" customWidth="1"/>
    <col min="24" max="24" width="20.85546875" style="112" bestFit="1" customWidth="1"/>
    <col min="25" max="28" width="9.140625" style="24" customWidth="1"/>
    <col min="29" max="30" width="8.42578125" style="24"/>
    <col min="31" max="32" width="9.855468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46083</v>
      </c>
      <c r="O1" s="393">
        <f ca="1">TODAY()</f>
        <v>46083</v>
      </c>
      <c r="Q1" s="3"/>
    </row>
    <row r="2" spans="2:198" ht="13.9">
      <c r="B2" s="166"/>
      <c r="C2" s="167" t="s">
        <v>0</v>
      </c>
      <c r="D2" s="168"/>
      <c r="E2" s="853" t="s">
        <v>133</v>
      </c>
      <c r="F2" s="854"/>
      <c r="G2" s="854"/>
      <c r="H2" s="855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 ht="13.9">
      <c r="B3" s="169"/>
      <c r="C3" s="170" t="s">
        <v>134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135</v>
      </c>
      <c r="D4" s="168"/>
      <c r="E4" s="856" t="s">
        <v>136</v>
      </c>
      <c r="F4" s="857"/>
      <c r="G4" s="857"/>
      <c r="H4" s="858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137</v>
      </c>
      <c r="D5" s="168"/>
      <c r="E5" s="856" t="s">
        <v>138</v>
      </c>
      <c r="F5" s="857"/>
      <c r="G5" s="857"/>
      <c r="H5" s="858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139</v>
      </c>
      <c r="D6" s="168"/>
      <c r="E6" s="859">
        <v>59995000</v>
      </c>
      <c r="F6" s="860"/>
      <c r="G6" s="860"/>
      <c r="H6" s="861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2" t="s">
        <v>140</v>
      </c>
      <c r="D7" s="823"/>
      <c r="E7" s="824" t="s">
        <v>141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865" t="s">
        <v>84</v>
      </c>
      <c r="C8" s="866" t="s">
        <v>142</v>
      </c>
      <c r="D8" s="205"/>
      <c r="E8" s="864" t="s">
        <v>143</v>
      </c>
      <c r="F8" s="227" t="s">
        <v>144</v>
      </c>
      <c r="G8" s="864" t="s">
        <v>145</v>
      </c>
      <c r="H8" s="228"/>
      <c r="I8" s="864" t="s">
        <v>146</v>
      </c>
      <c r="J8" s="227" t="s">
        <v>144</v>
      </c>
      <c r="K8" s="864" t="s">
        <v>147</v>
      </c>
      <c r="M8" s="400" t="s">
        <v>148</v>
      </c>
      <c r="N8" s="400" t="s">
        <v>149</v>
      </c>
      <c r="O8" s="862" t="s">
        <v>150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 ht="13.9">
      <c r="B9" s="865"/>
      <c r="C9" s="866"/>
      <c r="D9" s="205"/>
      <c r="E9" s="864"/>
      <c r="F9" s="126">
        <f>G108-E19</f>
        <v>160</v>
      </c>
      <c r="G9" s="864"/>
      <c r="H9" s="228"/>
      <c r="I9" s="864"/>
      <c r="J9" s="126">
        <f>K108-I19</f>
        <v>240</v>
      </c>
      <c r="K9" s="864"/>
      <c r="M9" s="351">
        <f>AVERAGE(M11,M18,M32,M42,M58,M67,M74,M81,M88,M98,M110,M117)</f>
        <v>0.96416666666666673</v>
      </c>
      <c r="N9" s="351">
        <f ca="1">AVERAGE(N11,N18,N32,N42,N58,N67,N74,N81,N88,N98,N110,N117)</f>
        <v>0.96395502645502651</v>
      </c>
      <c r="O9" s="863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 ht="13.9">
      <c r="B11" s="234">
        <v>1</v>
      </c>
      <c r="C11" s="235" t="s">
        <v>151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152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153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154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155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156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 ht="13.9">
      <c r="B18" s="234">
        <v>2</v>
      </c>
      <c r="C18" s="235" t="s">
        <v>157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158</v>
      </c>
      <c r="T18" s="697" t="s">
        <v>73</v>
      </c>
      <c r="U18" s="697" t="s">
        <v>159</v>
      </c>
      <c r="V18" s="697" t="s">
        <v>160</v>
      </c>
      <c r="W18" s="697" t="s">
        <v>161</v>
      </c>
      <c r="X18" s="697" t="s">
        <v>162</v>
      </c>
      <c r="Y18" s="850" t="s">
        <v>163</v>
      </c>
      <c r="Z18" s="851"/>
      <c r="AA18" s="851"/>
      <c r="AB18" s="852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164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849">
        <f>M9</f>
        <v>0.96416666666666673</v>
      </c>
      <c r="Z19" s="849"/>
      <c r="AA19" s="849"/>
      <c r="AB19" s="849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165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849"/>
      <c r="Z20" s="849"/>
      <c r="AA20" s="849"/>
      <c r="AB20" s="849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166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849"/>
      <c r="Z21" s="849"/>
      <c r="AA21" s="849"/>
      <c r="AB21" s="849"/>
      <c r="AC21" s="121"/>
      <c r="AD21" s="121"/>
      <c r="AE21" s="744">
        <f ca="1">TODAY()</f>
        <v>46083</v>
      </c>
      <c r="AF21" s="744">
        <f ca="1">TODAY()</f>
        <v>46083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167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168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849"/>
      <c r="Z22" s="849"/>
      <c r="AA22" s="849"/>
      <c r="AB22" s="849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169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849"/>
      <c r="Z23" s="849"/>
      <c r="AA23" s="849"/>
      <c r="AB23" s="849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170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171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849"/>
      <c r="Z24" s="849"/>
      <c r="AA24" s="849"/>
      <c r="AB24" s="849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172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849"/>
      <c r="Z25" s="849"/>
      <c r="AA25" s="849"/>
      <c r="AB25" s="849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 ht="13.9">
      <c r="B26" s="238">
        <f t="shared" si="2"/>
        <v>2.8000000000000007</v>
      </c>
      <c r="C26" s="239" t="s">
        <v>173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849"/>
      <c r="Z26" s="849"/>
      <c r="AA26" s="849"/>
      <c r="AB26" s="849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 ht="13.9">
      <c r="B27" s="238">
        <f t="shared" si="2"/>
        <v>2.9000000000000008</v>
      </c>
      <c r="C27" s="239" t="s">
        <v>174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1</v>
      </c>
      <c r="Y27" s="849"/>
      <c r="Z27" s="849"/>
      <c r="AA27" s="849"/>
      <c r="AB27" s="849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 ht="13.9">
      <c r="B28" s="693">
        <v>2.1</v>
      </c>
      <c r="C28" s="239" t="s">
        <v>175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85</v>
      </c>
      <c r="V28" s="691">
        <f>F117</f>
        <v>70</v>
      </c>
      <c r="W28" s="692">
        <f>K117</f>
        <v>46091</v>
      </c>
      <c r="X28" s="698">
        <f>M117</f>
        <v>0.57000000000000006</v>
      </c>
      <c r="Y28" s="849"/>
      <c r="Z28" s="849"/>
      <c r="AA28" s="849"/>
      <c r="AB28" s="849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 ht="13.9">
      <c r="B29" s="693">
        <v>2.11</v>
      </c>
      <c r="C29" s="239" t="s">
        <v>176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 ht="13.9">
      <c r="B30" s="693">
        <v>2.12</v>
      </c>
      <c r="C30" s="695" t="s">
        <v>178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 ht="13.9">
      <c r="B32" s="234">
        <v>3</v>
      </c>
      <c r="C32" s="235" t="s">
        <v>179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 ht="13.9">
      <c r="B33" s="238">
        <f>B32+0.1</f>
        <v>3.1</v>
      </c>
      <c r="C33" s="239" t="s">
        <v>180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181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 ht="13.9">
      <c r="B34" s="238">
        <f t="shared" ref="B34:B40" si="4">B33+0.1</f>
        <v>3.2</v>
      </c>
      <c r="C34" s="748" t="s">
        <v>182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183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 ht="13.9">
      <c r="B35" s="238">
        <f t="shared" si="4"/>
        <v>3.3000000000000003</v>
      </c>
      <c r="C35" s="239" t="s">
        <v>184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 ht="13.9">
      <c r="B36" s="238">
        <f t="shared" si="4"/>
        <v>3.4000000000000004</v>
      </c>
      <c r="C36" s="239" t="s">
        <v>185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 ht="13.9">
      <c r="B37" s="238">
        <f t="shared" si="4"/>
        <v>3.5000000000000004</v>
      </c>
      <c r="C37" s="239" t="s">
        <v>186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 ht="13.9">
      <c r="B38" s="238">
        <f t="shared" si="4"/>
        <v>3.6000000000000005</v>
      </c>
      <c r="C38" s="239" t="s">
        <v>187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 ht="13.9">
      <c r="B39" s="238">
        <f t="shared" si="4"/>
        <v>3.7000000000000006</v>
      </c>
      <c r="C39" s="239" t="s">
        <v>188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 ht="13.9">
      <c r="B40" s="238">
        <f t="shared" si="4"/>
        <v>3.8000000000000007</v>
      </c>
      <c r="C40" s="239" t="s">
        <v>189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190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 ht="13.9">
      <c r="B42" s="234">
        <v>4</v>
      </c>
      <c r="C42" s="235" t="s">
        <v>191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 ht="13.9">
      <c r="B43" s="238">
        <f>B42+0.1</f>
        <v>4.0999999999999996</v>
      </c>
      <c r="C43" s="239" t="s">
        <v>192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193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 ht="13.9">
      <c r="B44" s="784">
        <f t="shared" ref="B44:B51" si="6">B43+0.1</f>
        <v>4.1999999999999993</v>
      </c>
      <c r="C44" s="695" t="s">
        <v>194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195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 ht="13.9">
      <c r="B45" s="238">
        <f t="shared" si="6"/>
        <v>4.2999999999999989</v>
      </c>
      <c r="C45" s="239" t="s">
        <v>196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 ht="13.9">
      <c r="B46" s="238">
        <f t="shared" si="6"/>
        <v>4.3999999999999986</v>
      </c>
      <c r="C46" s="239" t="s">
        <v>197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2" t="s">
        <v>198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 ht="13.9">
      <c r="B47" s="238">
        <f t="shared" si="6"/>
        <v>4.4999999999999982</v>
      </c>
      <c r="C47" s="239" t="s">
        <v>199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 ht="13.9">
      <c r="B48" s="238">
        <f t="shared" si="6"/>
        <v>4.5999999999999979</v>
      </c>
      <c r="C48" s="239" t="s">
        <v>200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 ht="13.9">
      <c r="B49" s="238">
        <f>B48+0.1</f>
        <v>4.6999999999999975</v>
      </c>
      <c r="C49" s="748" t="s">
        <v>201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 ht="13.9">
      <c r="B50" s="238">
        <f t="shared" si="6"/>
        <v>4.7999999999999972</v>
      </c>
      <c r="C50" s="239" t="s">
        <v>202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203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 ht="13.9">
      <c r="B51" s="238">
        <f t="shared" si="6"/>
        <v>4.8999999999999968</v>
      </c>
      <c r="C51" s="239" t="s">
        <v>204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 ht="13.9">
      <c r="B52" s="693">
        <v>4.0999999999999996</v>
      </c>
      <c r="C52" s="239" t="s">
        <v>205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 ht="13.9">
      <c r="B53" s="693">
        <v>4.1100000000000003</v>
      </c>
      <c r="C53" s="748" t="s">
        <v>206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 ht="13.9">
      <c r="B54" s="693" t="s">
        <v>207</v>
      </c>
      <c r="C54" s="748" t="s">
        <v>208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 ht="13.9">
      <c r="B55" s="238" t="s">
        <v>209</v>
      </c>
      <c r="C55" s="748" t="s">
        <v>210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65">
      <c r="B56" s="784" t="s">
        <v>211</v>
      </c>
      <c r="C56" s="748" t="s">
        <v>212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7" t="s">
        <v>213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 ht="13.9">
      <c r="B58" s="234">
        <v>5</v>
      </c>
      <c r="C58" s="235" t="s">
        <v>214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 ht="13.9">
      <c r="B59" s="238">
        <v>5.0999999999999996</v>
      </c>
      <c r="C59" s="239" t="s">
        <v>215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 ht="13.9">
      <c r="B60" s="238">
        <v>5.2</v>
      </c>
      <c r="C60" s="239" t="s">
        <v>216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 ht="13.9">
      <c r="B61" s="238">
        <v>5.3</v>
      </c>
      <c r="C61" s="239" t="s">
        <v>217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 ht="13.9">
      <c r="B62" s="238">
        <v>5.4</v>
      </c>
      <c r="C62" s="239" t="s">
        <v>218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219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 ht="13.9">
      <c r="B63" s="238">
        <v>5.5</v>
      </c>
      <c r="C63" s="239" t="s">
        <v>220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221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 ht="13.9">
      <c r="B64" s="784">
        <v>5.6</v>
      </c>
      <c r="C64" s="748" t="s">
        <v>222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2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 ht="13.9">
      <c r="B65" s="238">
        <v>5.7</v>
      </c>
      <c r="C65" s="239" t="s">
        <v>223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 ht="13.9">
      <c r="B67" s="234">
        <v>6</v>
      </c>
      <c r="C67" s="235" t="s">
        <v>224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.75">
      <c r="B68" s="808">
        <v>6.1</v>
      </c>
      <c r="C68" s="809" t="s">
        <v>225</v>
      </c>
      <c r="D68" s="810"/>
      <c r="E68" s="811">
        <v>45894</v>
      </c>
      <c r="F68" s="812">
        <v>7</v>
      </c>
      <c r="G68" s="811">
        <f>WORKDAY.INTL(E68,F68,1,Data!$C$3:$C$41)</f>
        <v>45903</v>
      </c>
      <c r="H68" s="813"/>
      <c r="I68" s="811">
        <v>45938</v>
      </c>
      <c r="J68" s="812">
        <v>34</v>
      </c>
      <c r="K68" s="811">
        <f>WORKDAY.INTL(I68,J68,1,Data!$C$3:$C$41)</f>
        <v>45986</v>
      </c>
      <c r="M68" s="814">
        <v>1</v>
      </c>
      <c r="N68" s="814">
        <f ca="1">_xlfn.LET(
  _xlpm.s,VALUE(I68),
  _xlpm.e,VALUE(K68),
  IF(OR(_xlpm.s="",_xlpm.e=""),"", IF(_xlpm.e&lt;=_xlpm.s, IF(TODAY()&gt;=_xlpm.e,1,0), MAX(0,MIN(1,(TODAY()-_xlpm.s)/(_xlpm.e-_xlpm.s)))))
)</f>
        <v>1</v>
      </c>
      <c r="O68" s="815" t="s">
        <v>226</v>
      </c>
      <c r="Q68" s="816"/>
      <c r="R68" s="817"/>
      <c r="S68" s="817"/>
      <c r="T68" s="817"/>
      <c r="U68" s="817"/>
      <c r="V68" s="817"/>
      <c r="W68" s="817"/>
      <c r="X68" s="817"/>
      <c r="Y68" s="817"/>
      <c r="Z68" s="817"/>
      <c r="AA68" s="817"/>
      <c r="AB68" s="817"/>
      <c r="AC68" s="817"/>
      <c r="AD68" s="817"/>
      <c r="AE68" s="817"/>
      <c r="AF68" s="817"/>
      <c r="AG68" s="817"/>
      <c r="AH68" s="817"/>
      <c r="AI68" s="817"/>
      <c r="AJ68" s="817"/>
      <c r="AK68" s="817"/>
      <c r="AL68" s="817"/>
      <c r="AM68" s="817"/>
      <c r="AN68" s="817"/>
      <c r="AO68" s="817"/>
      <c r="AP68" s="817"/>
      <c r="AQ68" s="817"/>
      <c r="AR68" s="817"/>
      <c r="AS68" s="817"/>
      <c r="AT68" s="817"/>
      <c r="AU68" s="817"/>
      <c r="AV68" s="817"/>
      <c r="AW68" s="817"/>
      <c r="AX68" s="817"/>
      <c r="AY68" s="817"/>
      <c r="AZ68" s="817"/>
      <c r="BA68" s="817"/>
      <c r="BB68" s="817"/>
      <c r="BC68" s="817"/>
      <c r="BD68" s="817"/>
      <c r="BE68" s="817"/>
      <c r="BF68" s="817"/>
      <c r="BG68" s="817"/>
      <c r="BH68" s="817"/>
      <c r="BI68" s="817"/>
      <c r="BJ68" s="817"/>
      <c r="BK68" s="817"/>
      <c r="BL68" s="817"/>
      <c r="BM68" s="817"/>
      <c r="BN68" s="817"/>
      <c r="BO68" s="817"/>
      <c r="BP68" s="817"/>
      <c r="BQ68" s="817"/>
      <c r="BR68" s="817"/>
      <c r="BS68" s="817"/>
      <c r="BT68" s="817"/>
      <c r="BU68" s="817"/>
      <c r="BV68" s="817"/>
      <c r="BW68" s="817"/>
      <c r="BX68" s="817"/>
      <c r="BY68" s="817"/>
      <c r="BZ68" s="817"/>
      <c r="CA68" s="817"/>
      <c r="CB68" s="817"/>
      <c r="CC68" s="817"/>
      <c r="CD68" s="817"/>
      <c r="CE68" s="817"/>
      <c r="CF68" s="817"/>
      <c r="CG68" s="817"/>
      <c r="CH68" s="817"/>
      <c r="CI68" s="817"/>
      <c r="CJ68" s="817"/>
      <c r="CK68" s="817"/>
      <c r="CL68" s="817"/>
      <c r="CM68" s="817"/>
      <c r="CN68" s="817"/>
      <c r="CO68" s="817"/>
      <c r="CP68" s="817"/>
      <c r="CQ68" s="817"/>
      <c r="CR68" s="817"/>
      <c r="CS68" s="817"/>
      <c r="CT68" s="817"/>
      <c r="CU68" s="817"/>
      <c r="CV68" s="817"/>
      <c r="CW68" s="817"/>
      <c r="CX68" s="817"/>
      <c r="CY68" s="817"/>
      <c r="CZ68" s="817"/>
      <c r="DA68" s="817"/>
      <c r="DB68" s="817"/>
      <c r="DC68" s="817"/>
      <c r="DD68" s="817"/>
      <c r="DE68" s="817"/>
      <c r="DF68" s="817"/>
      <c r="DG68" s="817"/>
      <c r="DH68" s="817"/>
      <c r="DI68" s="817"/>
      <c r="DJ68" s="817"/>
      <c r="DK68" s="817"/>
      <c r="DL68" s="817"/>
      <c r="DM68" s="817"/>
      <c r="DN68" s="817"/>
      <c r="DO68" s="817"/>
      <c r="DP68" s="817"/>
      <c r="DQ68" s="817"/>
      <c r="DR68" s="817"/>
      <c r="DS68" s="817"/>
      <c r="DT68" s="817"/>
      <c r="DU68" s="817"/>
      <c r="DV68" s="817"/>
      <c r="DW68" s="817"/>
      <c r="DX68" s="817"/>
      <c r="DY68" s="817"/>
      <c r="DZ68" s="817"/>
      <c r="EA68" s="817"/>
      <c r="EB68" s="817"/>
      <c r="EC68" s="817"/>
      <c r="ED68" s="817"/>
      <c r="EE68" s="817"/>
      <c r="EF68" s="817"/>
      <c r="EG68" s="817"/>
      <c r="EH68" s="817"/>
      <c r="EI68" s="817"/>
      <c r="EJ68" s="817"/>
      <c r="EK68" s="817"/>
      <c r="EL68" s="817"/>
      <c r="EM68" s="817"/>
      <c r="EN68" s="817"/>
      <c r="EO68" s="817"/>
      <c r="EP68" s="817"/>
      <c r="EQ68" s="817"/>
      <c r="ER68" s="817"/>
      <c r="ES68" s="817"/>
      <c r="ET68" s="817"/>
      <c r="EU68" s="817"/>
      <c r="EV68" s="817"/>
      <c r="EW68" s="817"/>
      <c r="EX68" s="817"/>
      <c r="EY68" s="817"/>
      <c r="EZ68" s="817"/>
      <c r="FA68" s="817"/>
      <c r="FB68" s="817"/>
      <c r="FC68" s="817"/>
      <c r="FD68" s="817"/>
      <c r="FE68" s="817"/>
      <c r="FF68" s="817"/>
      <c r="FG68" s="817"/>
      <c r="FH68" s="817"/>
      <c r="FI68" s="817"/>
      <c r="FJ68" s="817"/>
      <c r="FK68" s="817"/>
      <c r="FL68" s="817"/>
      <c r="FM68" s="817"/>
      <c r="FN68" s="817"/>
      <c r="FO68" s="817"/>
      <c r="FP68" s="817"/>
      <c r="FQ68" s="817"/>
      <c r="FR68" s="817"/>
      <c r="FS68" s="817"/>
      <c r="FT68" s="817"/>
      <c r="FU68" s="817"/>
      <c r="FV68" s="817"/>
      <c r="FW68" s="817"/>
      <c r="FX68" s="817"/>
      <c r="FY68" s="817"/>
      <c r="FZ68" s="817"/>
      <c r="GA68" s="817"/>
      <c r="GB68" s="817"/>
      <c r="GC68" s="817"/>
      <c r="GD68" s="817"/>
      <c r="GE68" s="817"/>
      <c r="GF68" s="817"/>
      <c r="GG68" s="817"/>
      <c r="GH68" s="817"/>
      <c r="GI68" s="817"/>
      <c r="GJ68" s="817"/>
      <c r="GK68" s="817"/>
      <c r="GL68" s="817"/>
      <c r="GM68" s="817"/>
      <c r="GN68" s="817"/>
      <c r="GO68" s="817"/>
      <c r="GP68" s="817"/>
    </row>
    <row r="69" spans="2:198" s="112" customFormat="1" ht="13.9">
      <c r="B69" s="238">
        <v>6.2</v>
      </c>
      <c r="C69" s="239" t="s">
        <v>227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228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 ht="13.9">
      <c r="B70" s="238">
        <v>6.3</v>
      </c>
      <c r="C70" s="239" t="s">
        <v>229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 ht="13.9">
      <c r="B71" s="238">
        <v>6.4</v>
      </c>
      <c r="C71" s="239" t="s">
        <v>230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 ht="13.9">
      <c r="B72" s="238">
        <v>6.5</v>
      </c>
      <c r="C72" s="233" t="s">
        <v>231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 ht="13.9">
      <c r="B74" s="234">
        <v>7</v>
      </c>
      <c r="C74" s="235" t="s">
        <v>232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 ht="13.9">
      <c r="B75" s="238">
        <v>7.1</v>
      </c>
      <c r="C75" s="239" t="s">
        <v>233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 ht="13.9">
      <c r="B76" s="238">
        <v>7.2</v>
      </c>
      <c r="C76" s="239" t="s">
        <v>234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 ht="13.9">
      <c r="B77" s="238">
        <v>7.3</v>
      </c>
      <c r="C77" s="239" t="s">
        <v>235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 ht="13.9">
      <c r="B78" s="238">
        <v>7.4</v>
      </c>
      <c r="C78" s="239" t="s">
        <v>236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 ht="13.9">
      <c r="B79" s="238">
        <v>7.5</v>
      </c>
      <c r="C79" s="239" t="s">
        <v>237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 ht="13.9">
      <c r="B81" s="234">
        <v>8</v>
      </c>
      <c r="C81" s="235" t="s">
        <v>238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 ht="13.9">
      <c r="B82" s="238">
        <v>8.1</v>
      </c>
      <c r="C82" s="748" t="s">
        <v>233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 ht="13.9">
      <c r="B83" s="238">
        <v>8.1999999999999993</v>
      </c>
      <c r="C83" s="748" t="s">
        <v>234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 ht="13.9">
      <c r="B84" s="238">
        <v>8.3000000000000007</v>
      </c>
      <c r="C84" s="748" t="s">
        <v>235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 ht="13.9">
      <c r="B85" s="238">
        <v>8.4</v>
      </c>
      <c r="C85" s="748" t="s">
        <v>236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 ht="13.9">
      <c r="B86" s="238">
        <v>8.5</v>
      </c>
      <c r="C86" s="748" t="s">
        <v>237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 ht="13.9">
      <c r="B88" s="234">
        <v>9</v>
      </c>
      <c r="C88" s="235" t="s">
        <v>239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 ht="13.9">
      <c r="B89" s="238">
        <v>9.1</v>
      </c>
      <c r="C89" s="748" t="s">
        <v>240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 ht="13.9">
      <c r="B90" s="238"/>
      <c r="C90" s="748" t="s">
        <v>241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 ht="13.9">
      <c r="B91" s="238">
        <f>B89+0.1</f>
        <v>9.1999999999999993</v>
      </c>
      <c r="C91" s="748" t="s">
        <v>242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 ht="13.9">
      <c r="B92" s="238">
        <f t="shared" ref="B92:B96" si="10">B91+0.1</f>
        <v>9.2999999999999989</v>
      </c>
      <c r="C92" s="695" t="s">
        <v>243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 ht="13.9">
      <c r="B93" s="238">
        <f t="shared" si="10"/>
        <v>9.3999999999999986</v>
      </c>
      <c r="C93" s="748" t="s">
        <v>244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 ht="13.9">
      <c r="B94" s="238">
        <f t="shared" si="10"/>
        <v>9.4999999999999982</v>
      </c>
      <c r="C94" s="748" t="s">
        <v>245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 ht="13.9">
      <c r="B95" s="238">
        <f t="shared" si="10"/>
        <v>9.5999999999999979</v>
      </c>
      <c r="C95" s="748" t="s">
        <v>246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 ht="13.9">
      <c r="B96" s="238">
        <f t="shared" si="10"/>
        <v>9.6999999999999975</v>
      </c>
      <c r="C96" s="748" t="s">
        <v>247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 ht="13.9">
      <c r="B98" s="234">
        <v>10</v>
      </c>
      <c r="C98" s="235" t="s">
        <v>248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 ht="13.9">
      <c r="B99" s="238">
        <f>B98+0.1</f>
        <v>10.1</v>
      </c>
      <c r="C99" s="233" t="s">
        <v>249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 ht="13.9">
      <c r="B100" s="238">
        <v>10.199999999999999</v>
      </c>
      <c r="C100" s="233" t="s">
        <v>250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 ht="13.9">
      <c r="B101" s="238">
        <v>10.3</v>
      </c>
      <c r="C101" s="233" t="s">
        <v>251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 ht="13.9">
      <c r="B102" s="238">
        <v>10.4</v>
      </c>
      <c r="C102" s="233" t="s">
        <v>252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 ht="13.9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 ht="13.9">
      <c r="B104" s="238">
        <v>10.6</v>
      </c>
      <c r="C104" s="836" t="s">
        <v>254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 ht="13.9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 ht="13.9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 ht="13.9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 ht="13.9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 ht="13.9">
      <c r="B110" s="234">
        <v>11</v>
      </c>
      <c r="C110" s="235" t="s">
        <v>259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1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 ht="13.9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 ht="13.9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 ht="13.9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 ht="13.9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 ht="13.9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1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 ht="13.9">
      <c r="B117" s="234">
        <v>12</v>
      </c>
      <c r="C117" s="235" t="s">
        <v>265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85</v>
      </c>
      <c r="K117" s="688">
        <f>MAX(K118:K125)</f>
        <v>46091</v>
      </c>
      <c r="L117" s="114"/>
      <c r="M117" s="350">
        <f>AVERAGE(M118:M124)</f>
        <v>0.57000000000000006</v>
      </c>
      <c r="N117" s="350">
        <f ca="1">AVERAGE(N118:N124)</f>
        <v>0.56746031746031744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 ht="13.9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 ht="13.9">
      <c r="B119" s="238">
        <f t="shared" ref="B119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1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 ht="13.9">
      <c r="B120" s="238">
        <f>B119+0.1</f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 ht="13.9">
      <c r="B121" s="238">
        <f>B120+0.1</f>
        <v>12.399999999999999</v>
      </c>
      <c r="C121" s="233" t="s">
        <v>269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 ht="13.9">
      <c r="B122" s="238">
        <f>B121+0.1</f>
        <v>12.499999999999998</v>
      </c>
      <c r="C122" s="233" t="s">
        <v>270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26</v>
      </c>
      <c r="K122" s="240">
        <f>WORKDAY.INTL(I122,J122,1,Data!$C$3:$C$41)</f>
        <v>46084</v>
      </c>
      <c r="M122" s="243">
        <v>0.99</v>
      </c>
      <c r="N122" s="243">
        <f t="shared" ca="1" si="13"/>
        <v>0.97222222222222221</v>
      </c>
      <c r="O122" s="122" t="s">
        <v>271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 ht="13.9">
      <c r="B123" s="238">
        <f>B122+0.1</f>
        <v>12.599999999999998</v>
      </c>
      <c r="C123" s="233" t="s">
        <v>272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 t="s">
        <v>273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ht="13.9">
      <c r="B124" s="238">
        <f>B123+0.1</f>
        <v>12.699999999999998</v>
      </c>
      <c r="C124" s="233" t="s">
        <v>274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v>46084</v>
      </c>
      <c r="J124" s="241">
        <v>5</v>
      </c>
      <c r="K124" s="240">
        <f>WORKDAY.INTL(I124,J124,1,Data!$C$3:$C$41)</f>
        <v>46091</v>
      </c>
      <c r="M124" s="243">
        <v>0</v>
      </c>
      <c r="N124" s="243">
        <f t="shared" ca="1" si="13"/>
        <v>0</v>
      </c>
      <c r="O124" s="122" t="s">
        <v>275</v>
      </c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15" sqref="J15"/>
      <selection activeCell="K24" sqref="K24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 ht="13.9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25" thickBot="1">
      <c r="A4" s="205"/>
      <c r="B4" s="867"/>
      <c r="C4" s="867"/>
      <c r="D4" s="867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25" thickBot="1">
      <c r="A5" s="205"/>
      <c r="B5" s="868" t="s">
        <v>278</v>
      </c>
      <c r="C5" s="868"/>
      <c r="D5" s="868"/>
      <c r="E5" s="402"/>
      <c r="F5" s="212">
        <f>SUM(F9:F23)</f>
        <v>56096452.079139791</v>
      </c>
      <c r="G5" s="207"/>
      <c r="H5" s="212">
        <f>SUM(H9:H23)</f>
        <v>47843864.496446103</v>
      </c>
      <c r="I5" s="205"/>
      <c r="J5" s="213">
        <f>SUM(J9:J23)</f>
        <v>8252587.5826936942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65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 ht="13.9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 ht="13.9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 ht="13.9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 ht="13.9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 ht="13.9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 ht="13.9">
      <c r="A14" s="205"/>
      <c r="B14" s="219">
        <f>'Expenditure Breakdown'!L97</f>
        <v>6</v>
      </c>
      <c r="C14" s="208"/>
      <c r="D14" s="220" t="str">
        <f>'Expenditure Breakdown'!M97</f>
        <v>6. AC Equipment</v>
      </c>
      <c r="E14" s="223"/>
      <c r="F14" s="221">
        <f>'Expenditure Breakdown'!I97</f>
        <v>2941866.9</v>
      </c>
      <c r="G14" s="86"/>
      <c r="H14" s="221">
        <f>'Expenditure Breakdown'!X97</f>
        <v>2401487</v>
      </c>
      <c r="I14" s="89"/>
      <c r="J14" s="222">
        <f t="shared" si="0"/>
        <v>540379.89999999991</v>
      </c>
      <c r="K14" s="163"/>
      <c r="L14" s="244"/>
    </row>
    <row r="15" spans="1:12" ht="13.9">
      <c r="A15" s="205"/>
      <c r="B15" s="219">
        <f>'Expenditure Breakdown'!L123</f>
        <v>7</v>
      </c>
      <c r="C15" s="208"/>
      <c r="D15" s="220" t="str">
        <f>'Expenditure Breakdown'!M123</f>
        <v>7.MV Substation</v>
      </c>
      <c r="E15" s="223"/>
      <c r="F15" s="221">
        <f>'Expenditure Breakdown'!I123</f>
        <v>12030860.6085</v>
      </c>
      <c r="G15" s="86"/>
      <c r="H15" s="221">
        <f>'Expenditure Breakdown'!X123</f>
        <v>7046627.6127361013</v>
      </c>
      <c r="I15" s="89"/>
      <c r="J15" s="222">
        <f t="shared" si="0"/>
        <v>4984232.9957638988</v>
      </c>
      <c r="K15" s="163"/>
      <c r="L15" s="244"/>
    </row>
    <row r="16" spans="1:12" ht="13.9">
      <c r="A16" s="205"/>
      <c r="B16" s="219">
        <f>'Expenditure Breakdown'!L162</f>
        <v>8</v>
      </c>
      <c r="C16" s="208"/>
      <c r="D16" s="220" t="str">
        <f>'Expenditure Breakdown'!M162</f>
        <v xml:space="preserve">8. Product Add On </v>
      </c>
      <c r="E16" s="223"/>
      <c r="F16" s="221">
        <f>'Expenditure Breakdown'!I162</f>
        <v>2015000</v>
      </c>
      <c r="G16" s="86"/>
      <c r="H16" s="221">
        <f>'Expenditure Breakdown'!X162</f>
        <v>2175649.81</v>
      </c>
      <c r="I16" s="89"/>
      <c r="J16" s="222">
        <f t="shared" si="0"/>
        <v>-160649.81000000006</v>
      </c>
      <c r="K16" s="163"/>
      <c r="L16" s="244"/>
    </row>
    <row r="17" spans="1:12" ht="13.9">
      <c r="A17" s="205"/>
      <c r="B17" s="219">
        <f>'Expenditure Breakdown'!L184</f>
        <v>9</v>
      </c>
      <c r="C17" s="208"/>
      <c r="D17" s="220" t="str">
        <f>'Expenditure Breakdown'!M184</f>
        <v>9. AC &amp; DC installation</v>
      </c>
      <c r="E17" s="223"/>
      <c r="F17" s="221">
        <f>'Expenditure Breakdown'!I184</f>
        <v>4360411.2369999997</v>
      </c>
      <c r="G17" s="86"/>
      <c r="H17" s="221">
        <f>'Expenditure Breakdown'!X184</f>
        <v>8055680</v>
      </c>
      <c r="I17" s="89"/>
      <c r="J17" s="222">
        <f t="shared" si="0"/>
        <v>-3695268.7630000003</v>
      </c>
      <c r="K17" s="163"/>
      <c r="L17" s="244"/>
    </row>
    <row r="18" spans="1:12" ht="13.9">
      <c r="A18" s="205"/>
      <c r="B18" s="219">
        <f>'Expenditure Breakdown'!L228</f>
        <v>10</v>
      </c>
      <c r="C18" s="208"/>
      <c r="D18" s="220" t="str">
        <f>'Expenditure Breakdown'!M228</f>
        <v>10. Site Logistics</v>
      </c>
      <c r="E18" s="86"/>
      <c r="F18" s="221">
        <f>'Expenditure Breakdown'!I228</f>
        <v>394304.23333333328</v>
      </c>
      <c r="G18" s="86"/>
      <c r="H18" s="221">
        <f>'Expenditure Breakdown'!X228</f>
        <v>939765.28000000014</v>
      </c>
      <c r="I18" s="89"/>
      <c r="J18" s="222">
        <f t="shared" si="0"/>
        <v>-545461.04666666687</v>
      </c>
      <c r="K18" s="163"/>
      <c r="L18" s="244"/>
    </row>
    <row r="19" spans="1:12" ht="13.9">
      <c r="A19" s="205"/>
      <c r="B19" s="219">
        <f>'Expenditure Breakdown'!L284</f>
        <v>11</v>
      </c>
      <c r="C19" s="208"/>
      <c r="D19" s="220" t="str">
        <f>'Expenditure Breakdown'!M284</f>
        <v>11. Due Dilligence</v>
      </c>
      <c r="E19" s="86"/>
      <c r="F19" s="221">
        <f>'Expenditure Breakdown'!I284</f>
        <v>420000</v>
      </c>
      <c r="G19" s="86"/>
      <c r="H19" s="221">
        <f>'Expenditure Breakdown'!X284</f>
        <v>426656</v>
      </c>
      <c r="I19" s="89"/>
      <c r="J19" s="222">
        <f t="shared" si="0"/>
        <v>-6656</v>
      </c>
      <c r="K19" s="163"/>
      <c r="L19" s="244"/>
    </row>
    <row r="20" spans="1:12" ht="13.9">
      <c r="A20" s="205"/>
      <c r="B20" s="219">
        <f>'Expenditure Breakdown'!L299</f>
        <v>12</v>
      </c>
      <c r="C20" s="208"/>
      <c r="D20" s="220" t="str">
        <f>'Expenditure Breakdown'!M299</f>
        <v>12. BDP Commission</v>
      </c>
      <c r="E20" s="86"/>
      <c r="F20" s="221">
        <f>'Expenditure Breakdown'!I299</f>
        <v>205449.89057158865</v>
      </c>
      <c r="G20" s="86"/>
      <c r="H20" s="221">
        <f>'Expenditure Breakdown'!X299</f>
        <v>0</v>
      </c>
      <c r="I20" s="89"/>
      <c r="J20" s="222">
        <f t="shared" si="0"/>
        <v>205449.89057158865</v>
      </c>
      <c r="K20" s="163"/>
      <c r="L20" s="244"/>
    </row>
    <row r="21" spans="1:12" ht="13.9">
      <c r="A21" s="205"/>
      <c r="B21" s="219">
        <f>'Expenditure Breakdown'!L302</f>
        <v>13</v>
      </c>
      <c r="C21" s="208"/>
      <c r="D21" s="220" t="str">
        <f>'Expenditure Breakdown'!M314</f>
        <v>13. Engineering</v>
      </c>
      <c r="E21" s="86"/>
      <c r="F21" s="221">
        <f>'Expenditure Breakdown'!I302</f>
        <v>950000</v>
      </c>
      <c r="G21" s="86"/>
      <c r="H21" s="221">
        <f>'Expenditure Breakdown'!X302</f>
        <v>1011274.9999999999</v>
      </c>
      <c r="I21" s="89"/>
      <c r="J21" s="222">
        <f t="shared" si="0"/>
        <v>-61274.999999999884</v>
      </c>
      <c r="K21" s="163"/>
      <c r="L21" s="244"/>
    </row>
    <row r="22" spans="1:12" ht="13.9">
      <c r="A22" s="205"/>
      <c r="B22" s="219">
        <f>'Expenditure Breakdown'!L326</f>
        <v>14</v>
      </c>
      <c r="C22" s="208"/>
      <c r="D22" s="220" t="str">
        <f>'Expenditure Breakdown'!M326</f>
        <v>14. General Expenses</v>
      </c>
      <c r="E22" s="86"/>
      <c r="F22" s="221">
        <f>'Expenditure Breakdown'!I326</f>
        <v>0</v>
      </c>
      <c r="G22" s="86"/>
      <c r="H22" s="221">
        <f>'Expenditure Breakdown'!X326</f>
        <v>301844.08</v>
      </c>
      <c r="I22" s="89"/>
      <c r="J22" s="222">
        <f t="shared" si="0"/>
        <v>-301844.08</v>
      </c>
      <c r="K22" s="163"/>
      <c r="L22" s="244"/>
    </row>
    <row r="23" spans="1:12" ht="13.9">
      <c r="A23" s="205"/>
      <c r="B23" s="219">
        <f>'Expenditure Breakdown'!L339</f>
        <v>15</v>
      </c>
      <c r="C23" s="208"/>
      <c r="D23" s="220" t="str">
        <f>'Expenditure Breakdown'!M339</f>
        <v>15. Service Add On</v>
      </c>
      <c r="E23" s="86"/>
      <c r="F23" s="221">
        <f>'Expenditure Breakdown'!I339</f>
        <v>0</v>
      </c>
      <c r="G23" s="86"/>
      <c r="H23" s="221">
        <f>'Expenditure Breakdown'!X339</f>
        <v>1611918.93</v>
      </c>
      <c r="I23" s="89"/>
      <c r="J23" s="222">
        <f t="shared" si="0"/>
        <v>-1611918.93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36"/>
  <sheetViews>
    <sheetView tabSelected="1" topLeftCell="N1" zoomScale="85" zoomScaleNormal="85" workbookViewId="0">
      <pane ySplit="4" topLeftCell="J315" activePane="bottomLeft" state="frozen"/>
      <selection pane="bottomLeft" activeCell="O323" sqref="O323"/>
      <selection activeCell="K24" sqref="K24"/>
    </sheetView>
  </sheetViews>
  <sheetFormatPr defaultColWidth="9.42578125" defaultRowHeight="13.5"/>
  <cols>
    <col min="1" max="1" width="2.42578125" style="112" hidden="1" customWidth="1"/>
    <col min="2" max="2" width="5.855468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85546875" style="461" hidden="1" customWidth="1"/>
    <col min="7" max="7" width="16.5703125" style="24" hidden="1" customWidth="1"/>
    <col min="8" max="8" width="16.855468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85546875" style="112" bestFit="1" customWidth="1"/>
    <col min="13" max="13" width="23.85546875" style="112" bestFit="1" customWidth="1"/>
    <col min="14" max="14" width="60.85546875" style="112" customWidth="1"/>
    <col min="15" max="15" width="20.85546875" style="112" bestFit="1" customWidth="1"/>
    <col min="16" max="16" width="16.5703125" style="112" bestFit="1" customWidth="1"/>
    <col min="17" max="17" width="16.85546875" style="112" bestFit="1" customWidth="1"/>
    <col min="18" max="18" width="43.85546875" style="112" bestFit="1" customWidth="1"/>
    <col min="19" max="19" width="31.85546875" style="112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85546875" style="112" bestFit="1" customWidth="1"/>
    <col min="24" max="24" width="19.5703125" style="112" bestFit="1" customWidth="1"/>
    <col min="25" max="25" width="27.42578125" style="112" bestFit="1" customWidth="1"/>
    <col min="26" max="26" width="22.85546875" style="112" bestFit="1" customWidth="1"/>
    <col min="27" max="27" width="7.855468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19" t="s">
        <v>285</v>
      </c>
      <c r="C2" s="920"/>
      <c r="D2" s="920"/>
      <c r="E2" s="920"/>
      <c r="F2" s="920"/>
      <c r="G2" s="920"/>
      <c r="H2" s="752"/>
      <c r="I2" s="247">
        <f>SUM(I6:I377)</f>
        <v>56096452.079139791</v>
      </c>
      <c r="J2" s="247">
        <f>SUM(J6:J377)-5000</f>
        <v>59994999.999999985</v>
      </c>
      <c r="L2" s="921" t="s">
        <v>286</v>
      </c>
      <c r="M2" s="922"/>
      <c r="N2" s="922"/>
      <c r="O2" s="922"/>
      <c r="P2" s="922"/>
      <c r="Q2" s="922"/>
      <c r="R2" s="923" t="s">
        <v>287</v>
      </c>
      <c r="S2" s="924"/>
      <c r="T2" s="924"/>
      <c r="U2" s="924"/>
      <c r="V2" s="924"/>
      <c r="W2" s="925"/>
      <c r="X2" s="468">
        <f>SUM(X6:X377)</f>
        <v>47843864.496446103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D378</f>
        <v>14537831.300000001</v>
      </c>
      <c r="H6" s="523">
        <v>45827</v>
      </c>
      <c r="I6" s="884">
        <f>SUM(G6:G19)</f>
        <v>14537831.300000001</v>
      </c>
      <c r="J6" s="884">
        <f>F378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917" t="s">
        <v>305</v>
      </c>
      <c r="S6" s="608" t="s">
        <v>306</v>
      </c>
      <c r="T6" s="703">
        <v>45869</v>
      </c>
      <c r="U6" s="705">
        <v>1510104.5605359133</v>
      </c>
      <c r="V6" s="872">
        <f>J6-SUM(U6:U19)</f>
        <v>0</v>
      </c>
      <c r="W6" s="523">
        <v>45827</v>
      </c>
      <c r="X6" s="869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85"/>
      <c r="J7" s="885"/>
      <c r="K7" s="277"/>
      <c r="L7" s="300">
        <v>1</v>
      </c>
      <c r="M7" s="302" t="s">
        <v>303</v>
      </c>
      <c r="N7" s="378"/>
      <c r="O7" s="540"/>
      <c r="P7" s="431"/>
      <c r="Q7" s="304"/>
      <c r="R7" s="882"/>
      <c r="S7" s="609"/>
      <c r="T7" s="674" t="s">
        <v>308</v>
      </c>
      <c r="U7" s="679">
        <v>0</v>
      </c>
      <c r="V7" s="873"/>
      <c r="W7" s="560"/>
      <c r="X7" s="870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5"/>
      <c r="J8" s="885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82"/>
      <c r="S8" s="608" t="s">
        <v>310</v>
      </c>
      <c r="T8" s="674">
        <v>45869</v>
      </c>
      <c r="U8" s="679">
        <v>6083790.7724287482</v>
      </c>
      <c r="V8" s="873"/>
      <c r="W8" s="756">
        <v>45925</v>
      </c>
      <c r="X8" s="870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5"/>
      <c r="J9" s="885"/>
      <c r="K9" s="277"/>
      <c r="L9" s="300">
        <v>1</v>
      </c>
      <c r="M9" s="302" t="s">
        <v>303</v>
      </c>
      <c r="N9" s="476"/>
      <c r="O9" s="775"/>
      <c r="P9" s="431"/>
      <c r="Q9" s="304">
        <f>(2000000+237905.06+2243727.74)/1.15</f>
        <v>3897072.0000000009</v>
      </c>
      <c r="R9" s="882"/>
      <c r="S9" s="608" t="s">
        <v>310</v>
      </c>
      <c r="T9" s="674">
        <v>45869</v>
      </c>
      <c r="U9" s="680">
        <v>0</v>
      </c>
      <c r="V9" s="873"/>
      <c r="W9" s="774">
        <v>45946</v>
      </c>
      <c r="X9" s="870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5"/>
      <c r="J10" s="885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882"/>
      <c r="S10" s="608" t="s">
        <v>310</v>
      </c>
      <c r="T10" s="674">
        <v>45869</v>
      </c>
      <c r="U10" s="680">
        <v>0</v>
      </c>
      <c r="V10" s="873"/>
      <c r="W10" s="774">
        <v>46031</v>
      </c>
      <c r="X10" s="870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5"/>
      <c r="J11" s="885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82"/>
      <c r="S11" s="608" t="s">
        <v>310</v>
      </c>
      <c r="T11" s="674">
        <v>45869</v>
      </c>
      <c r="U11" s="680">
        <v>7497629.4730635975</v>
      </c>
      <c r="V11" s="873"/>
      <c r="W11" s="774">
        <v>46031</v>
      </c>
      <c r="X11" s="870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5"/>
      <c r="J12" s="885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82"/>
      <c r="S12" s="608" t="s">
        <v>310</v>
      </c>
      <c r="T12" s="674">
        <v>45869</v>
      </c>
      <c r="U12" s="680">
        <v>0</v>
      </c>
      <c r="V12" s="873"/>
      <c r="W12" s="774">
        <v>46031</v>
      </c>
      <c r="X12" s="870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5"/>
      <c r="J13" s="885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82"/>
      <c r="S13" s="608" t="s">
        <v>310</v>
      </c>
      <c r="T13" s="674">
        <v>45869</v>
      </c>
      <c r="U13" s="680">
        <v>0</v>
      </c>
      <c r="V13" s="873"/>
      <c r="W13" s="774">
        <v>46037</v>
      </c>
      <c r="X13" s="870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5"/>
      <c r="J14" s="885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82"/>
      <c r="S14" s="608" t="s">
        <v>310</v>
      </c>
      <c r="T14" s="674">
        <v>45869</v>
      </c>
      <c r="U14" s="680">
        <v>0</v>
      </c>
      <c r="V14" s="873"/>
      <c r="W14" s="525">
        <v>46045</v>
      </c>
      <c r="X14" s="870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5"/>
      <c r="J15" s="885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82"/>
      <c r="S15" s="608" t="s">
        <v>310</v>
      </c>
      <c r="T15" s="674">
        <v>45869</v>
      </c>
      <c r="U15" s="680">
        <v>0</v>
      </c>
      <c r="V15" s="873"/>
      <c r="W15" s="525">
        <v>46051</v>
      </c>
      <c r="X15" s="870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5"/>
      <c r="J16" s="885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82"/>
      <c r="S16" s="608" t="s">
        <v>310</v>
      </c>
      <c r="T16" s="674">
        <v>45869</v>
      </c>
      <c r="U16" s="680">
        <v>0</v>
      </c>
      <c r="V16" s="873"/>
      <c r="W16" s="525">
        <v>46051</v>
      </c>
      <c r="X16" s="870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5"/>
      <c r="J17" s="885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83"/>
      <c r="S17" s="608" t="s">
        <v>310</v>
      </c>
      <c r="T17" s="674">
        <v>45869</v>
      </c>
      <c r="U17" s="680">
        <v>9520.7993308744099</v>
      </c>
      <c r="V17" s="873"/>
      <c r="W17" s="525">
        <f>W16</f>
        <v>46051</v>
      </c>
      <c r="X17" s="870"/>
      <c r="Y17" s="472"/>
      <c r="AB17" s="926" t="s">
        <v>313</v>
      </c>
      <c r="AC17" s="926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5"/>
      <c r="J18" s="885"/>
      <c r="K18" s="786"/>
      <c r="L18" s="787">
        <v>1</v>
      </c>
      <c r="M18" s="788" t="s">
        <v>303</v>
      </c>
      <c r="N18" s="788" t="s">
        <v>314</v>
      </c>
      <c r="O18" s="789">
        <v>1</v>
      </c>
      <c r="P18" s="790">
        <v>43292.88</v>
      </c>
      <c r="Q18" s="791">
        <f>P18</f>
        <v>43292.88</v>
      </c>
      <c r="R18" s="797"/>
      <c r="S18" s="798" t="s">
        <v>315</v>
      </c>
      <c r="T18" s="799">
        <v>45900</v>
      </c>
      <c r="U18" s="803">
        <v>0</v>
      </c>
      <c r="V18" s="873"/>
      <c r="W18" s="774">
        <f>W9</f>
        <v>45946</v>
      </c>
      <c r="X18" s="870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6"/>
      <c r="J19" s="886"/>
      <c r="K19" s="278"/>
      <c r="L19" s="792">
        <v>1</v>
      </c>
      <c r="M19" s="793" t="s">
        <v>303</v>
      </c>
      <c r="N19" s="793" t="s">
        <v>314</v>
      </c>
      <c r="O19" s="794">
        <v>1</v>
      </c>
      <c r="P19" s="795">
        <v>-43292.88</v>
      </c>
      <c r="Q19" s="796">
        <f>P19</f>
        <v>-43292.88</v>
      </c>
      <c r="R19" s="800"/>
      <c r="S19" s="801" t="s">
        <v>318</v>
      </c>
      <c r="T19" s="802">
        <v>45991</v>
      </c>
      <c r="U19" s="804">
        <v>0</v>
      </c>
      <c r="V19" s="874"/>
      <c r="W19" s="525">
        <f>W16</f>
        <v>46051</v>
      </c>
      <c r="X19" s="871"/>
      <c r="Y19" s="590" t="s">
        <v>316</v>
      </c>
      <c r="Z19" s="591" t="s">
        <v>317</v>
      </c>
    </row>
    <row r="20" spans="1:31" ht="14.2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G97</f>
        <v>2941866.9</v>
      </c>
      <c r="AB20" s="656" t="s">
        <v>320</v>
      </c>
      <c r="AC20" s="657">
        <v>4000000</v>
      </c>
      <c r="AD20" s="658" t="s">
        <v>321</v>
      </c>
      <c r="AE20" s="659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D379</f>
        <v>2760000</v>
      </c>
      <c r="H21" s="527">
        <v>45820</v>
      </c>
      <c r="I21" s="905">
        <f>SUM(G21:G27)</f>
        <v>2760000</v>
      </c>
      <c r="J21" s="905">
        <f>F379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27" t="s">
        <v>326</v>
      </c>
      <c r="S21" s="613" t="s">
        <v>327</v>
      </c>
      <c r="T21" s="704">
        <v>45869</v>
      </c>
      <c r="U21" s="706">
        <v>886426.77283851232</v>
      </c>
      <c r="V21" s="914">
        <f>J21-SUM(U21:U27)</f>
        <v>-2.8844410553574562E-4</v>
      </c>
      <c r="W21" s="527">
        <v>45820</v>
      </c>
      <c r="X21" s="908">
        <f>SUM(Q21:Q27)</f>
        <v>2495176.22371</v>
      </c>
      <c r="Y21" s="592" t="s">
        <v>328</v>
      </c>
      <c r="Z21" s="594">
        <f>G50</f>
        <v>4558110</v>
      </c>
      <c r="AB21" s="660"/>
      <c r="AE21" s="661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906"/>
      <c r="J22" s="906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79"/>
      <c r="S22" s="614" t="s">
        <v>330</v>
      </c>
      <c r="T22" s="684">
        <v>45869</v>
      </c>
      <c r="U22" s="681">
        <v>2081126.7475076499</v>
      </c>
      <c r="V22" s="915"/>
      <c r="W22" s="528">
        <v>45855</v>
      </c>
      <c r="X22" s="909"/>
      <c r="Y22" s="592" t="s">
        <v>331</v>
      </c>
      <c r="Z22" s="593">
        <f>G184</f>
        <v>1062060</v>
      </c>
      <c r="AA22" s="629">
        <f>Z22/7080000</f>
        <v>0.1500084745762712</v>
      </c>
      <c r="AB22" s="660" t="s">
        <v>332</v>
      </c>
      <c r="AE22" s="661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906"/>
      <c r="J23" s="906"/>
      <c r="K23" s="290"/>
      <c r="L23" s="287">
        <v>2</v>
      </c>
      <c r="M23" s="414" t="s">
        <v>324</v>
      </c>
      <c r="N23" s="397"/>
      <c r="O23" s="545"/>
      <c r="P23" s="440"/>
      <c r="Q23" s="467"/>
      <c r="R23" s="879"/>
      <c r="S23" s="614"/>
      <c r="T23" s="514" t="str">
        <f t="shared" si="1"/>
        <v/>
      </c>
      <c r="U23" s="498">
        <f>(Q23/$X$21*$J$21)</f>
        <v>0</v>
      </c>
      <c r="V23" s="915"/>
      <c r="W23" s="565"/>
      <c r="X23" s="909"/>
      <c r="Y23" s="592" t="s">
        <v>333</v>
      </c>
      <c r="Z23" s="593">
        <f>G185</f>
        <v>3298351.2369999997</v>
      </c>
      <c r="AA23" s="629">
        <f>Z23/7080000</f>
        <v>0.46586881878531072</v>
      </c>
      <c r="AB23" s="662" t="s">
        <v>334</v>
      </c>
      <c r="AC23" s="663">
        <v>550000</v>
      </c>
      <c r="AD23" s="664"/>
      <c r="AE23" s="665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906"/>
      <c r="J24" s="906"/>
      <c r="K24" s="290"/>
      <c r="L24" s="287">
        <v>2</v>
      </c>
      <c r="M24" s="414" t="s">
        <v>324</v>
      </c>
      <c r="N24" s="397"/>
      <c r="O24" s="652"/>
      <c r="P24" s="440"/>
      <c r="Q24" s="467"/>
      <c r="R24" s="880"/>
      <c r="S24" s="614"/>
      <c r="T24" s="672">
        <v>45900</v>
      </c>
      <c r="U24" s="681">
        <v>14917.189999999999</v>
      </c>
      <c r="V24" s="915"/>
      <c r="W24" s="528">
        <v>45820</v>
      </c>
      <c r="X24" s="909"/>
      <c r="Y24" s="592" t="s">
        <v>335</v>
      </c>
      <c r="Z24" s="593">
        <f>G228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906"/>
      <c r="J25" s="906"/>
      <c r="K25" s="290"/>
      <c r="L25" s="287">
        <v>2</v>
      </c>
      <c r="M25" s="414" t="s">
        <v>324</v>
      </c>
      <c r="N25" s="819" t="s">
        <v>336</v>
      </c>
      <c r="O25" s="652"/>
      <c r="P25" s="440"/>
      <c r="Q25" s="467">
        <v>899.72</v>
      </c>
      <c r="R25" s="579"/>
      <c r="S25" s="614" t="s">
        <v>337</v>
      </c>
      <c r="T25" s="672">
        <v>46022</v>
      </c>
      <c r="U25" s="779">
        <v>0</v>
      </c>
      <c r="V25" s="915"/>
      <c r="W25" s="767">
        <v>46053</v>
      </c>
      <c r="X25" s="909"/>
      <c r="Y25" s="592" t="s">
        <v>338</v>
      </c>
      <c r="Z25" s="593">
        <f>G229</f>
        <v>133245.9</v>
      </c>
      <c r="AB25" s="656" t="s">
        <v>339</v>
      </c>
      <c r="AC25" s="658"/>
      <c r="AD25" s="658"/>
      <c r="AE25" s="666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906"/>
      <c r="J26" s="906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78">
        <v>46053</v>
      </c>
      <c r="U26" s="779">
        <v>0</v>
      </c>
      <c r="V26" s="915"/>
      <c r="W26" s="767">
        <v>46053</v>
      </c>
      <c r="X26" s="909"/>
      <c r="Y26" s="592" t="s">
        <v>340</v>
      </c>
      <c r="Z26" s="593">
        <f>G233</f>
        <v>176058.33333333331</v>
      </c>
      <c r="AB26" s="660"/>
      <c r="AE26" s="661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907"/>
      <c r="J27" s="907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916"/>
      <c r="W27" s="566"/>
      <c r="X27" s="910"/>
      <c r="Y27" s="592" t="s">
        <v>341</v>
      </c>
      <c r="Z27" s="593">
        <v>0</v>
      </c>
      <c r="AB27" s="660" t="s">
        <v>342</v>
      </c>
      <c r="AC27" s="667">
        <v>2500000</v>
      </c>
      <c r="AD27" s="112" t="s">
        <v>343</v>
      </c>
      <c r="AE27" s="668">
        <f>AC27/3000000</f>
        <v>0.83333333333333337</v>
      </c>
    </row>
    <row r="28" spans="1:31" ht="14.2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0"/>
      <c r="AE28" s="661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D380</f>
        <v>7358785.9097348731</v>
      </c>
      <c r="H29" s="700">
        <v>45867</v>
      </c>
      <c r="I29" s="884">
        <f>SUM(G29:G47)</f>
        <v>7358785.9097348731</v>
      </c>
      <c r="J29" s="884">
        <f>F380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917" t="s">
        <v>348</v>
      </c>
      <c r="S29" s="616" t="s">
        <v>349</v>
      </c>
      <c r="T29" s="673">
        <v>45838</v>
      </c>
      <c r="U29" s="678">
        <v>870407.92269117013</v>
      </c>
      <c r="V29" s="872">
        <f>J29-SUM(U29:U47)</f>
        <v>0</v>
      </c>
      <c r="W29" s="700">
        <v>45867</v>
      </c>
      <c r="X29" s="869">
        <f>SUM(Q29:Q47)</f>
        <v>4071044.26</v>
      </c>
      <c r="Y29" s="592" t="s">
        <v>350</v>
      </c>
      <c r="Z29" s="595">
        <v>0</v>
      </c>
      <c r="AB29" s="660" t="s">
        <v>351</v>
      </c>
      <c r="AE29" s="661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1"/>
      <c r="I30" s="885"/>
      <c r="J30" s="885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82"/>
      <c r="S30" s="609" t="s">
        <v>349</v>
      </c>
      <c r="T30" s="674">
        <v>45838</v>
      </c>
      <c r="U30" s="679">
        <v>446616.65263961267</v>
      </c>
      <c r="V30" s="873"/>
      <c r="W30" s="701">
        <v>45867</v>
      </c>
      <c r="X30" s="870"/>
      <c r="Y30" s="592" t="s">
        <v>353</v>
      </c>
      <c r="Z30" s="593">
        <f>SUM(Z20:Z29)</f>
        <v>12254692.370333334</v>
      </c>
      <c r="AB30" s="662" t="s">
        <v>334</v>
      </c>
      <c r="AC30" s="663">
        <v>590000</v>
      </c>
      <c r="AD30" s="664"/>
      <c r="AE30" s="665"/>
    </row>
    <row r="31" spans="1:31" ht="14.25" customHeight="1">
      <c r="B31" s="300"/>
      <c r="C31" s="301"/>
      <c r="D31" s="317"/>
      <c r="E31" s="303"/>
      <c r="F31" s="446"/>
      <c r="G31" s="304"/>
      <c r="H31" s="701"/>
      <c r="I31" s="885"/>
      <c r="J31" s="885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82"/>
      <c r="S31" s="609" t="s">
        <v>349</v>
      </c>
      <c r="T31" s="674">
        <v>45838</v>
      </c>
      <c r="U31" s="679">
        <v>378280.16598255851</v>
      </c>
      <c r="V31" s="873"/>
      <c r="W31" s="701">
        <v>45867</v>
      </c>
      <c r="X31" s="870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1"/>
      <c r="I32" s="885"/>
      <c r="J32" s="885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82"/>
      <c r="S32" s="609" t="s">
        <v>349</v>
      </c>
      <c r="T32" s="674">
        <v>45838</v>
      </c>
      <c r="U32" s="679">
        <v>39118.922628135013</v>
      </c>
      <c r="V32" s="873"/>
      <c r="W32" s="701">
        <v>45867</v>
      </c>
      <c r="X32" s="870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5"/>
      <c r="J33" s="885"/>
      <c r="K33" s="277"/>
      <c r="L33" s="300">
        <v>3</v>
      </c>
      <c r="M33" s="411" t="s">
        <v>346</v>
      </c>
      <c r="N33" s="317"/>
      <c r="O33" s="540"/>
      <c r="P33" s="446"/>
      <c r="Q33" s="304"/>
      <c r="R33" s="882"/>
      <c r="S33" s="609"/>
      <c r="T33" s="509"/>
      <c r="U33" s="679">
        <v>0</v>
      </c>
      <c r="V33" s="873"/>
      <c r="W33" s="560"/>
      <c r="X33" s="870"/>
    </row>
    <row r="34" spans="1:27" ht="14.25" customHeight="1">
      <c r="B34" s="300"/>
      <c r="C34" s="301"/>
      <c r="D34" s="317"/>
      <c r="E34" s="303"/>
      <c r="F34" s="446"/>
      <c r="G34" s="304"/>
      <c r="H34" s="701"/>
      <c r="I34" s="885"/>
      <c r="J34" s="885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82"/>
      <c r="S34" s="609" t="s">
        <v>349</v>
      </c>
      <c r="T34" s="674">
        <v>45838</v>
      </c>
      <c r="U34" s="679">
        <v>87040.79226911701</v>
      </c>
      <c r="V34" s="873"/>
      <c r="W34" s="701">
        <v>45867</v>
      </c>
      <c r="X34" s="870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1"/>
      <c r="I35" s="885"/>
      <c r="J35" s="885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82"/>
      <c r="S35" s="609" t="s">
        <v>349</v>
      </c>
      <c r="T35" s="674">
        <v>45838</v>
      </c>
      <c r="U35" s="679">
        <v>44661.665263961266</v>
      </c>
      <c r="V35" s="873"/>
      <c r="W35" s="701">
        <v>45867</v>
      </c>
      <c r="X35" s="870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5"/>
      <c r="J36" s="885"/>
      <c r="K36" s="277"/>
      <c r="L36" s="300">
        <v>3</v>
      </c>
      <c r="M36" s="411" t="s">
        <v>346</v>
      </c>
      <c r="N36" s="317"/>
      <c r="O36" s="540"/>
      <c r="P36" s="446"/>
      <c r="Q36" s="304"/>
      <c r="R36" s="882"/>
      <c r="S36" s="609"/>
      <c r="T36" s="509"/>
      <c r="U36" s="679">
        <v>0</v>
      </c>
      <c r="V36" s="873"/>
      <c r="W36" s="560"/>
      <c r="X36" s="870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1"/>
      <c r="I37" s="885"/>
      <c r="J37" s="885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83"/>
      <c r="S37" s="609" t="s">
        <v>349</v>
      </c>
      <c r="T37" s="674">
        <v>45838</v>
      </c>
      <c r="U37" s="679">
        <v>33695.16051240552</v>
      </c>
      <c r="V37" s="873"/>
      <c r="W37" s="701">
        <v>45867</v>
      </c>
      <c r="X37" s="870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5"/>
      <c r="J38" s="885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1"/>
      <c r="U38" s="493">
        <f>(Q38/$X$29*$J$29)</f>
        <v>0</v>
      </c>
      <c r="V38" s="873"/>
      <c r="W38" s="756">
        <v>45930</v>
      </c>
      <c r="X38" s="870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5"/>
      <c r="J39" s="885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1"/>
      <c r="U39" s="493">
        <f>(Q39/$X$29*$J$29)</f>
        <v>0</v>
      </c>
      <c r="V39" s="873"/>
      <c r="W39" s="756">
        <v>45930</v>
      </c>
      <c r="X39" s="870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5"/>
      <c r="J40" s="885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73"/>
      <c r="W40" s="560"/>
      <c r="X40" s="870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5"/>
      <c r="J41" s="885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81" t="s">
        <v>363</v>
      </c>
      <c r="S41" s="609" t="s">
        <v>364</v>
      </c>
      <c r="T41" s="674">
        <v>45900</v>
      </c>
      <c r="U41" s="679">
        <v>2955079.389574931</v>
      </c>
      <c r="V41" s="873"/>
      <c r="W41" s="524">
        <v>45827</v>
      </c>
      <c r="X41" s="870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5"/>
      <c r="J42" s="885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82"/>
      <c r="S42" s="610" t="s">
        <v>366</v>
      </c>
      <c r="T42" s="670">
        <v>45900</v>
      </c>
      <c r="U42" s="680">
        <v>2955079.389574931</v>
      </c>
      <c r="V42" s="873"/>
      <c r="W42" s="525">
        <v>45930</v>
      </c>
      <c r="X42" s="870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5"/>
      <c r="J43" s="885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82"/>
      <c r="S43" s="609" t="s">
        <v>367</v>
      </c>
      <c r="T43" s="751">
        <v>45930</v>
      </c>
      <c r="U43" s="680">
        <v>0</v>
      </c>
      <c r="V43" s="873"/>
      <c r="W43" s="756">
        <v>45930</v>
      </c>
      <c r="X43" s="870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5"/>
      <c r="J44" s="885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82"/>
      <c r="S44" s="609" t="s">
        <v>368</v>
      </c>
      <c r="T44" s="751">
        <v>45930</v>
      </c>
      <c r="U44" s="680">
        <v>0</v>
      </c>
      <c r="V44" s="873"/>
      <c r="W44" s="756">
        <v>45930</v>
      </c>
      <c r="X44" s="870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5"/>
      <c r="J45" s="885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82"/>
      <c r="S45" s="609" t="s">
        <v>369</v>
      </c>
      <c r="T45" s="670">
        <v>45930</v>
      </c>
      <c r="U45" s="680">
        <v>0</v>
      </c>
      <c r="V45" s="873"/>
      <c r="W45" s="525">
        <v>45930</v>
      </c>
      <c r="X45" s="870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5"/>
      <c r="J46" s="885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82"/>
      <c r="S46" s="609" t="s">
        <v>364</v>
      </c>
      <c r="T46" s="670">
        <v>45838</v>
      </c>
      <c r="U46" s="680">
        <v>70981.606636244833</v>
      </c>
      <c r="V46" s="873"/>
      <c r="W46" s="525">
        <v>45827</v>
      </c>
      <c r="X46" s="870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6"/>
      <c r="J47" s="886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918"/>
      <c r="S47" s="611" t="s">
        <v>366</v>
      </c>
      <c r="T47" s="707">
        <v>45900</v>
      </c>
      <c r="U47" s="714">
        <v>70981.606636244833</v>
      </c>
      <c r="V47" s="874"/>
      <c r="W47" s="526">
        <f>W42</f>
        <v>45930</v>
      </c>
      <c r="X47" s="871"/>
      <c r="Y47" s="600" t="s">
        <v>350</v>
      </c>
      <c r="Z47" s="601">
        <v>0</v>
      </c>
    </row>
    <row r="48" spans="1:27" ht="14.2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905">
        <f>SUM(G49:G72)</f>
        <v>8057942</v>
      </c>
      <c r="J49" s="905">
        <f>F381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914">
        <f>J49-SUM(U49:U72)</f>
        <v>-4.7537833452224731E-3</v>
      </c>
      <c r="W49" s="564"/>
      <c r="X49" s="908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D381-G49</f>
        <v>4558110</v>
      </c>
      <c r="H50" s="528">
        <v>45901</v>
      </c>
      <c r="I50" s="906"/>
      <c r="J50" s="906"/>
      <c r="K50" s="290"/>
      <c r="L50" s="287">
        <v>4</v>
      </c>
      <c r="M50" s="414" t="s">
        <v>374</v>
      </c>
      <c r="N50" s="397" t="s">
        <v>376</v>
      </c>
      <c r="O50" s="651">
        <v>0.1</v>
      </c>
      <c r="P50" s="440">
        <v>2376000</v>
      </c>
      <c r="Q50" s="289">
        <f>O50*P50</f>
        <v>237600</v>
      </c>
      <c r="R50" s="878" t="s">
        <v>305</v>
      </c>
      <c r="S50" s="614" t="s">
        <v>306</v>
      </c>
      <c r="T50" s="672">
        <v>45838</v>
      </c>
      <c r="U50" s="681">
        <v>465334.01673059782</v>
      </c>
      <c r="V50" s="915"/>
      <c r="W50" s="528">
        <v>45901</v>
      </c>
      <c r="X50" s="909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906"/>
      <c r="J51" s="906"/>
      <c r="K51" s="290"/>
      <c r="L51" s="287">
        <v>4</v>
      </c>
      <c r="M51" s="414" t="s">
        <v>374</v>
      </c>
      <c r="N51" s="397" t="s">
        <v>186</v>
      </c>
      <c r="O51" s="651">
        <v>0.9</v>
      </c>
      <c r="P51" s="440"/>
      <c r="Q51" s="289">
        <f>O51*P50</f>
        <v>2138400</v>
      </c>
      <c r="R51" s="879"/>
      <c r="S51" s="614" t="s">
        <v>377</v>
      </c>
      <c r="T51" s="672">
        <v>45838</v>
      </c>
      <c r="U51" s="681">
        <v>4188006.1505753803</v>
      </c>
      <c r="V51" s="915"/>
      <c r="W51" s="528">
        <v>45901</v>
      </c>
      <c r="X51" s="909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906"/>
      <c r="J52" s="906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78" t="s">
        <v>379</v>
      </c>
      <c r="S52" s="614" t="s">
        <v>380</v>
      </c>
      <c r="T52" s="672">
        <v>45869</v>
      </c>
      <c r="U52" s="681">
        <v>13627.717212616306</v>
      </c>
      <c r="V52" s="915"/>
      <c r="W52" s="528">
        <v>45925</v>
      </c>
      <c r="X52" s="909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906"/>
      <c r="J53" s="906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80"/>
      <c r="S53" s="614" t="s">
        <v>380</v>
      </c>
      <c r="T53" s="672">
        <v>45869</v>
      </c>
      <c r="U53" s="681">
        <v>13627.717212616306</v>
      </c>
      <c r="V53" s="915"/>
      <c r="W53" s="528">
        <f>W52</f>
        <v>45925</v>
      </c>
      <c r="X53" s="909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906"/>
      <c r="J54" s="906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5" si="5">IF(W54&gt;1,EOMONTH(W54,0),"")</f>
        <v/>
      </c>
      <c r="U54" s="498">
        <f>(Q54/$X$49*$J$49)</f>
        <v>0</v>
      </c>
      <c r="V54" s="915"/>
      <c r="W54" s="565"/>
      <c r="X54" s="909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906"/>
      <c r="J55" s="906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2">
        <v>45869</v>
      </c>
      <c r="U55" s="681">
        <v>1724074.1776282564</v>
      </c>
      <c r="V55" s="915"/>
      <c r="W55" s="528">
        <v>45904</v>
      </c>
      <c r="X55" s="909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906"/>
      <c r="J56" s="906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915"/>
      <c r="W56" s="565"/>
      <c r="X56" s="909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2"/>
      <c r="I57" s="906"/>
      <c r="J57" s="906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2">
        <v>45900</v>
      </c>
      <c r="U57" s="681">
        <v>1117518.18</v>
      </c>
      <c r="V57" s="915"/>
      <c r="W57" s="672">
        <v>45900</v>
      </c>
      <c r="X57" s="909"/>
      <c r="Y57" s="472"/>
      <c r="Z57" s="750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906"/>
      <c r="J58" s="906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915"/>
      <c r="W58" s="565"/>
      <c r="X58" s="909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906"/>
      <c r="J59" s="906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915"/>
      <c r="W59" s="565"/>
      <c r="X59" s="909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906"/>
      <c r="J60" s="906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915"/>
      <c r="W60" s="565"/>
      <c r="X60" s="909"/>
      <c r="Y60" s="472"/>
      <c r="Z60" s="750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906"/>
      <c r="J61" s="906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915"/>
      <c r="W61" s="565"/>
      <c r="X61" s="909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906"/>
      <c r="J62" s="906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78" t="s">
        <v>386</v>
      </c>
      <c r="S62" s="614" t="s">
        <v>387</v>
      </c>
      <c r="T62" s="672">
        <v>45838</v>
      </c>
      <c r="U62" s="681">
        <v>269290.51894131815</v>
      </c>
      <c r="V62" s="915"/>
      <c r="W62" s="528">
        <f>W67</f>
        <v>45834</v>
      </c>
      <c r="X62" s="909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906"/>
      <c r="J63" s="906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79"/>
      <c r="S63" s="614" t="s">
        <v>389</v>
      </c>
      <c r="T63" s="672">
        <f t="shared" ref="T63:T64" si="7">T68</f>
        <v>45869</v>
      </c>
      <c r="U63" s="681">
        <v>230622.90667504517</v>
      </c>
      <c r="V63" s="915"/>
      <c r="W63" s="528">
        <f t="shared" ref="W63" si="8">W68</f>
        <v>45904</v>
      </c>
      <c r="X63" s="909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906"/>
      <c r="J64" s="906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79"/>
      <c r="S64" s="614" t="s">
        <v>391</v>
      </c>
      <c r="T64" s="672">
        <f t="shared" si="7"/>
        <v>45900</v>
      </c>
      <c r="U64" s="681">
        <v>71925.973060766104</v>
      </c>
      <c r="V64" s="915"/>
      <c r="W64" s="565">
        <f>W204</f>
        <v>46114</v>
      </c>
      <c r="X64" s="909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906"/>
      <c r="J65" s="906"/>
      <c r="K65" s="290"/>
      <c r="L65" s="287">
        <v>4</v>
      </c>
      <c r="M65" s="414" t="s">
        <v>374</v>
      </c>
      <c r="N65" s="397"/>
      <c r="O65" s="545"/>
      <c r="P65" s="556"/>
      <c r="Q65" s="289"/>
      <c r="R65" s="879"/>
      <c r="S65" s="614"/>
      <c r="T65" s="514" t="str">
        <f t="shared" si="5"/>
        <v/>
      </c>
      <c r="U65" s="498">
        <f>(Q65/$X$49*$J$49)</f>
        <v>0</v>
      </c>
      <c r="V65" s="915"/>
      <c r="W65" s="565"/>
      <c r="X65" s="909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906"/>
      <c r="J66" s="906"/>
      <c r="K66" s="290"/>
      <c r="L66" s="287">
        <v>4</v>
      </c>
      <c r="M66" s="414" t="s">
        <v>374</v>
      </c>
      <c r="N66" s="397"/>
      <c r="O66" s="545"/>
      <c r="P66" s="556"/>
      <c r="Q66" s="289"/>
      <c r="R66" s="879"/>
      <c r="S66" s="614"/>
      <c r="T66" s="514" t="str">
        <f t="shared" si="5"/>
        <v/>
      </c>
      <c r="U66" s="498">
        <f>(Q66/$X$49*$J$49)</f>
        <v>0</v>
      </c>
      <c r="V66" s="915"/>
      <c r="W66" s="565"/>
      <c r="X66" s="909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906"/>
      <c r="J67" s="906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79"/>
      <c r="S67" s="614" t="s">
        <v>387</v>
      </c>
      <c r="T67" s="672">
        <v>45838</v>
      </c>
      <c r="U67" s="681">
        <v>288875.28395523224</v>
      </c>
      <c r="V67" s="915"/>
      <c r="W67" s="528">
        <f>W185</f>
        <v>45834</v>
      </c>
      <c r="X67" s="909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906"/>
      <c r="J68" s="906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79"/>
      <c r="S68" s="614" t="s">
        <v>389</v>
      </c>
      <c r="T68" s="672">
        <v>45869</v>
      </c>
      <c r="U68" s="681">
        <v>247395.48170595756</v>
      </c>
      <c r="V68" s="915"/>
      <c r="W68" s="528">
        <v>45904</v>
      </c>
      <c r="X68" s="909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906"/>
      <c r="J69" s="906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80"/>
      <c r="S69" s="614" t="s">
        <v>391</v>
      </c>
      <c r="T69" s="672">
        <v>45900</v>
      </c>
      <c r="U69" s="681">
        <v>77156.952919730917</v>
      </c>
      <c r="V69" s="915"/>
      <c r="W69" s="565">
        <f>W192</f>
        <v>46114</v>
      </c>
      <c r="X69" s="909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906"/>
      <c r="J70" s="906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915"/>
      <c r="W70" s="565"/>
      <c r="X70" s="909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906"/>
      <c r="J71" s="906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915"/>
      <c r="W71" s="565"/>
      <c r="X71" s="909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907"/>
      <c r="J72" s="907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916"/>
      <c r="W72" s="566"/>
      <c r="X72" s="910"/>
      <c r="Y72" s="472"/>
    </row>
    <row r="73" spans="1:25" ht="13.9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84">
        <f>SUM(G74:G95)</f>
        <v>64000</v>
      </c>
      <c r="J74" s="884">
        <f>F383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72">
        <f>J74-SUM(U74:U95)</f>
        <v>5.4426000860985368E-4</v>
      </c>
      <c r="W74" s="567"/>
      <c r="X74" s="869">
        <f>SUM(Q74:Q95)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85"/>
      <c r="J75" s="885"/>
      <c r="K75" s="277"/>
      <c r="L75" s="275">
        <v>5</v>
      </c>
      <c r="M75" s="687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4">
        <v>45869</v>
      </c>
      <c r="U75" s="679">
        <v>3006.8451525953706</v>
      </c>
      <c r="V75" s="873"/>
      <c r="W75" s="524">
        <v>45862</v>
      </c>
      <c r="X75" s="870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5"/>
      <c r="J76" s="885"/>
      <c r="K76" s="277"/>
      <c r="L76" s="275">
        <v>5</v>
      </c>
      <c r="M76" s="687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4">
        <v>45869</v>
      </c>
      <c r="U76" s="679">
        <v>41.372986906086929</v>
      </c>
      <c r="V76" s="873"/>
      <c r="W76" s="524">
        <v>45900</v>
      </c>
      <c r="X76" s="870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85"/>
      <c r="J77" s="885"/>
      <c r="K77" s="277"/>
      <c r="L77" s="275">
        <v>5</v>
      </c>
      <c r="M77" s="687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4">
        <v>45900</v>
      </c>
      <c r="U77" s="679">
        <v>26948.87</v>
      </c>
      <c r="V77" s="873"/>
      <c r="W77" s="524">
        <v>45900</v>
      </c>
      <c r="X77" s="870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5"/>
      <c r="J78" s="885"/>
      <c r="K78" s="277"/>
      <c r="L78" s="275">
        <v>5</v>
      </c>
      <c r="M78" s="687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4">
        <v>45869</v>
      </c>
      <c r="U78" s="679">
        <v>27.48596677981012</v>
      </c>
      <c r="V78" s="873"/>
      <c r="W78" s="524">
        <v>45900</v>
      </c>
      <c r="X78" s="870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5"/>
      <c r="J79" s="885"/>
      <c r="K79" s="277"/>
      <c r="L79" s="275">
        <v>5</v>
      </c>
      <c r="M79" s="687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4">
        <v>45869</v>
      </c>
      <c r="U79" s="679">
        <v>14931.912711651916</v>
      </c>
      <c r="V79" s="873"/>
      <c r="W79" s="524">
        <v>45930</v>
      </c>
      <c r="X79" s="870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5"/>
      <c r="J80" s="885"/>
      <c r="K80" s="277"/>
      <c r="L80" s="275">
        <v>5</v>
      </c>
      <c r="M80" s="687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4">
        <v>45869</v>
      </c>
      <c r="U80" s="679">
        <v>2492.6183475812081</v>
      </c>
      <c r="V80" s="873"/>
      <c r="W80" s="524">
        <f>T80+30</f>
        <v>45899</v>
      </c>
      <c r="X80" s="870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5"/>
      <c r="J81" s="885"/>
      <c r="K81" s="277"/>
      <c r="L81" s="275">
        <v>5</v>
      </c>
      <c r="M81" s="687" t="s">
        <v>397</v>
      </c>
      <c r="N81" s="302" t="s">
        <v>205</v>
      </c>
      <c r="O81" s="540"/>
      <c r="P81" s="446"/>
      <c r="Q81" s="304">
        <v>83760</v>
      </c>
      <c r="R81" s="574" t="s">
        <v>416</v>
      </c>
      <c r="S81" s="609" t="s">
        <v>417</v>
      </c>
      <c r="T81" s="751">
        <v>46022</v>
      </c>
      <c r="U81" s="757">
        <v>17237.103282812757</v>
      </c>
      <c r="V81" s="873"/>
      <c r="W81" s="756">
        <v>46037</v>
      </c>
      <c r="X81" s="870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5"/>
      <c r="J82" s="885"/>
      <c r="K82" s="277"/>
      <c r="L82" s="275">
        <v>5</v>
      </c>
      <c r="M82" s="687" t="s">
        <v>397</v>
      </c>
      <c r="N82" s="302" t="s">
        <v>418</v>
      </c>
      <c r="O82" s="540"/>
      <c r="P82" s="446"/>
      <c r="Q82" s="304">
        <v>1980</v>
      </c>
      <c r="R82" s="574"/>
      <c r="S82" s="609" t="s">
        <v>419</v>
      </c>
      <c r="T82" s="674">
        <v>46053</v>
      </c>
      <c r="U82" s="757">
        <v>562.22433163430321</v>
      </c>
      <c r="V82" s="873"/>
      <c r="W82" s="756">
        <v>46053</v>
      </c>
      <c r="X82" s="870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85"/>
      <c r="J83" s="885"/>
      <c r="K83" s="277"/>
      <c r="L83" s="275">
        <v>5</v>
      </c>
      <c r="M83" s="687" t="s">
        <v>397</v>
      </c>
      <c r="N83" s="302"/>
      <c r="O83" s="540"/>
      <c r="P83" s="446"/>
      <c r="Q83" s="304">
        <v>-1980</v>
      </c>
      <c r="R83" s="574"/>
      <c r="S83" s="609" t="s">
        <v>420</v>
      </c>
      <c r="T83" s="751">
        <v>46053</v>
      </c>
      <c r="U83" s="757"/>
      <c r="V83" s="873"/>
      <c r="W83" s="756">
        <v>46053</v>
      </c>
      <c r="X83" s="870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24"/>
      <c r="I84" s="885"/>
      <c r="J84" s="885"/>
      <c r="K84" s="277"/>
      <c r="L84" s="275">
        <v>5</v>
      </c>
      <c r="M84" s="687" t="s">
        <v>397</v>
      </c>
      <c r="N84" s="302" t="s">
        <v>421</v>
      </c>
      <c r="O84" s="540">
        <v>1</v>
      </c>
      <c r="P84" s="446"/>
      <c r="Q84" s="304">
        <v>1060</v>
      </c>
      <c r="R84" s="574" t="s">
        <v>422</v>
      </c>
      <c r="S84" s="609" t="s">
        <v>423</v>
      </c>
      <c r="T84" s="674">
        <v>45930</v>
      </c>
      <c r="U84" s="757">
        <v>335.81690215918718</v>
      </c>
      <c r="V84" s="873"/>
      <c r="W84" s="524">
        <v>45904</v>
      </c>
      <c r="X84" s="870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5"/>
      <c r="J85" s="885"/>
      <c r="K85" s="277"/>
      <c r="L85" s="275">
        <v>5</v>
      </c>
      <c r="M85" s="687" t="s">
        <v>397</v>
      </c>
      <c r="N85" s="302"/>
      <c r="O85" s="540"/>
      <c r="P85" s="446"/>
      <c r="Q85" s="304"/>
      <c r="R85" s="574"/>
      <c r="S85" s="609"/>
      <c r="T85" s="509"/>
      <c r="U85" s="493">
        <f t="shared" ref="U85:U95" si="10">(Q85/$X$74*$J$74)</f>
        <v>0</v>
      </c>
      <c r="V85" s="873"/>
      <c r="W85" s="560"/>
      <c r="X85" s="870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5"/>
      <c r="J86" s="885"/>
      <c r="K86" s="277"/>
      <c r="L86" s="275">
        <v>5</v>
      </c>
      <c r="M86" s="687" t="s">
        <v>397</v>
      </c>
      <c r="N86" s="302" t="s">
        <v>424</v>
      </c>
      <c r="O86" s="540"/>
      <c r="P86" s="446"/>
      <c r="Q86" s="304">
        <v>11169</v>
      </c>
      <c r="R86" s="574"/>
      <c r="S86" s="609" t="s">
        <v>425</v>
      </c>
      <c r="T86" s="751">
        <v>45961</v>
      </c>
      <c r="U86" s="757">
        <v>3469.3217718440114</v>
      </c>
      <c r="V86" s="873"/>
      <c r="W86" s="524">
        <v>45974</v>
      </c>
      <c r="X86" s="870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5"/>
      <c r="J87" s="885"/>
      <c r="K87" s="277"/>
      <c r="L87" s="275">
        <v>5</v>
      </c>
      <c r="M87" s="687" t="s">
        <v>397</v>
      </c>
      <c r="N87" s="302" t="s">
        <v>409</v>
      </c>
      <c r="O87" s="540"/>
      <c r="P87" s="446"/>
      <c r="Q87" s="304">
        <v>308.98</v>
      </c>
      <c r="R87" s="574"/>
      <c r="S87" s="574" t="s">
        <v>426</v>
      </c>
      <c r="T87" s="751">
        <v>45961</v>
      </c>
      <c r="U87" s="757">
        <v>97.749104563019316</v>
      </c>
      <c r="V87" s="873"/>
      <c r="W87" s="524">
        <v>45991</v>
      </c>
      <c r="X87" s="870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5"/>
      <c r="J88" s="885"/>
      <c r="K88" s="277"/>
      <c r="L88" s="275">
        <v>5</v>
      </c>
      <c r="M88" s="687" t="s">
        <v>397</v>
      </c>
      <c r="N88" s="302"/>
      <c r="O88" s="540"/>
      <c r="P88" s="446"/>
      <c r="Q88" s="304"/>
      <c r="R88" s="574"/>
      <c r="S88" s="609"/>
      <c r="T88" s="674"/>
      <c r="U88" s="757"/>
      <c r="V88" s="873"/>
      <c r="W88" s="560"/>
      <c r="X88" s="870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5"/>
      <c r="J89" s="885"/>
      <c r="K89" s="277"/>
      <c r="L89" s="275">
        <v>5</v>
      </c>
      <c r="M89" s="687" t="s">
        <v>397</v>
      </c>
      <c r="N89" s="302" t="s">
        <v>427</v>
      </c>
      <c r="O89" s="540"/>
      <c r="P89" s="446"/>
      <c r="Q89" s="304">
        <v>3170</v>
      </c>
      <c r="R89" s="574"/>
      <c r="S89" s="609" t="s">
        <v>428</v>
      </c>
      <c r="T89" s="674">
        <v>46053</v>
      </c>
      <c r="U89" s="757">
        <v>7.42</v>
      </c>
      <c r="V89" s="873"/>
      <c r="W89" s="756">
        <v>46079</v>
      </c>
      <c r="X89" s="870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5"/>
      <c r="J90" s="885"/>
      <c r="K90" s="277"/>
      <c r="L90" s="275">
        <v>5</v>
      </c>
      <c r="M90" s="687" t="s">
        <v>397</v>
      </c>
      <c r="N90" s="302"/>
      <c r="O90" s="540"/>
      <c r="P90" s="446"/>
      <c r="Q90" s="304"/>
      <c r="R90" s="574"/>
      <c r="S90" s="609"/>
      <c r="T90" s="509" t="str">
        <f t="shared" ref="T90:T93" si="11">IF(W90&gt;1,EOMONTH(W90,0),"")</f>
        <v/>
      </c>
      <c r="U90" s="493">
        <f t="shared" si="10"/>
        <v>0</v>
      </c>
      <c r="V90" s="873"/>
      <c r="W90" s="560"/>
      <c r="X90" s="870"/>
      <c r="Y90" s="472"/>
    </row>
    <row r="91" spans="1:25" ht="14.25" customHeight="1">
      <c r="B91" s="275"/>
      <c r="C91" s="299"/>
      <c r="D91" s="302"/>
      <c r="E91" s="303"/>
      <c r="F91" s="446"/>
      <c r="G91" s="304"/>
      <c r="H91" s="560"/>
      <c r="I91" s="885"/>
      <c r="J91" s="885"/>
      <c r="K91" s="277"/>
      <c r="L91" s="275">
        <v>5</v>
      </c>
      <c r="M91" s="687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73"/>
      <c r="W91" s="560"/>
      <c r="X91" s="870"/>
      <c r="Y91" s="472"/>
    </row>
    <row r="92" spans="1:25" ht="14.25" customHeight="1">
      <c r="B92" s="300">
        <v>5</v>
      </c>
      <c r="C92" s="301"/>
      <c r="D92" s="302"/>
      <c r="E92" s="303"/>
      <c r="F92" s="446"/>
      <c r="G92" s="304"/>
      <c r="H92" s="560"/>
      <c r="I92" s="885"/>
      <c r="J92" s="885"/>
      <c r="K92" s="277"/>
      <c r="L92" s="300">
        <v>5</v>
      </c>
      <c r="M92" s="687" t="s">
        <v>397</v>
      </c>
      <c r="N92" s="302"/>
      <c r="O92" s="540"/>
      <c r="P92" s="446"/>
      <c r="Q92" s="304"/>
      <c r="R92" s="574"/>
      <c r="S92" s="609"/>
      <c r="T92" s="509" t="str">
        <f t="shared" si="11"/>
        <v/>
      </c>
      <c r="U92" s="493">
        <f t="shared" si="10"/>
        <v>0</v>
      </c>
      <c r="V92" s="873"/>
      <c r="W92" s="560"/>
      <c r="X92" s="870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5"/>
      <c r="J93" s="885"/>
      <c r="K93" s="277"/>
      <c r="L93" s="300">
        <v>5</v>
      </c>
      <c r="M93" s="687" t="s">
        <v>397</v>
      </c>
      <c r="N93" s="376"/>
      <c r="O93" s="541"/>
      <c r="P93" s="431"/>
      <c r="Q93" s="375"/>
      <c r="R93" s="575"/>
      <c r="S93" s="610"/>
      <c r="T93" s="510" t="str">
        <f t="shared" si="11"/>
        <v/>
      </c>
      <c r="U93" s="494">
        <f t="shared" si="10"/>
        <v>0</v>
      </c>
      <c r="V93" s="873"/>
      <c r="W93" s="561"/>
      <c r="X93" s="870"/>
      <c r="Y93" s="472"/>
    </row>
    <row r="94" spans="1:25" ht="14.25" customHeight="1">
      <c r="B94" s="372">
        <v>5</v>
      </c>
      <c r="C94" s="373"/>
      <c r="D94" s="376"/>
      <c r="E94" s="395"/>
      <c r="F94" s="431"/>
      <c r="G94" s="375"/>
      <c r="H94" s="561"/>
      <c r="I94" s="885"/>
      <c r="J94" s="885"/>
      <c r="K94" s="277"/>
      <c r="L94" s="300">
        <v>5</v>
      </c>
      <c r="M94" s="687" t="s">
        <v>397</v>
      </c>
      <c r="N94" s="376"/>
      <c r="O94" s="541"/>
      <c r="P94" s="431"/>
      <c r="Q94" s="375"/>
      <c r="R94" s="575"/>
      <c r="S94" s="610"/>
      <c r="T94" s="510" t="str">
        <f t="shared" si="5"/>
        <v/>
      </c>
      <c r="U94" s="494">
        <f t="shared" si="10"/>
        <v>0</v>
      </c>
      <c r="V94" s="873"/>
      <c r="W94" s="561"/>
      <c r="X94" s="870"/>
      <c r="Y94" s="472"/>
    </row>
    <row r="95" spans="1:25" ht="15" customHeight="1" thickBot="1">
      <c r="B95" s="305">
        <v>5</v>
      </c>
      <c r="C95" s="326"/>
      <c r="D95" s="306"/>
      <c r="E95" s="307"/>
      <c r="F95" s="447"/>
      <c r="G95" s="319"/>
      <c r="H95" s="562"/>
      <c r="I95" s="886"/>
      <c r="J95" s="886"/>
      <c r="K95" s="278"/>
      <c r="L95" s="305">
        <v>5</v>
      </c>
      <c r="M95" s="412" t="s">
        <v>397</v>
      </c>
      <c r="N95" s="306"/>
      <c r="O95" s="542"/>
      <c r="P95" s="447"/>
      <c r="Q95" s="319"/>
      <c r="R95" s="576"/>
      <c r="S95" s="611"/>
      <c r="T95" s="511" t="str">
        <f t="shared" si="5"/>
        <v/>
      </c>
      <c r="U95" s="495">
        <f t="shared" si="10"/>
        <v>0</v>
      </c>
      <c r="V95" s="874"/>
      <c r="W95" s="562"/>
      <c r="X95" s="871"/>
      <c r="Y95" s="472"/>
    </row>
    <row r="96" spans="1:25" ht="14.25" thickBot="1">
      <c r="A96" s="24"/>
      <c r="B96" s="279"/>
      <c r="C96" s="296"/>
      <c r="D96" s="267"/>
      <c r="E96" s="280"/>
      <c r="F96" s="443"/>
      <c r="G96" s="281"/>
      <c r="H96" s="563"/>
      <c r="I96" s="315"/>
      <c r="J96" s="315"/>
      <c r="K96" s="24"/>
      <c r="L96" s="279"/>
      <c r="M96" s="296"/>
      <c r="N96" s="267"/>
      <c r="O96" s="543"/>
      <c r="P96" s="443"/>
      <c r="Q96" s="281"/>
      <c r="R96" s="577"/>
      <c r="S96" s="612"/>
      <c r="T96" s="512" t="str">
        <f t="shared" si="5"/>
        <v/>
      </c>
      <c r="U96" s="500"/>
      <c r="V96" s="483"/>
      <c r="W96" s="563"/>
      <c r="X96" s="473"/>
      <c r="Y96" s="472"/>
    </row>
    <row r="97" spans="2:25" ht="14.25" customHeight="1">
      <c r="B97" s="282">
        <v>6</v>
      </c>
      <c r="C97" s="283" t="s">
        <v>319</v>
      </c>
      <c r="D97" s="284" t="s">
        <v>429</v>
      </c>
      <c r="E97" s="465"/>
      <c r="F97" s="444"/>
      <c r="G97" s="285">
        <f>D382</f>
        <v>2941866.9</v>
      </c>
      <c r="H97" s="564">
        <f>H98</f>
        <v>45901</v>
      </c>
      <c r="I97" s="905">
        <f>SUM(G97:G121)</f>
        <v>2941866.9</v>
      </c>
      <c r="J97" s="905">
        <f>F382</f>
        <v>3178997.0514993835</v>
      </c>
      <c r="K97" s="286"/>
      <c r="L97" s="282">
        <v>6</v>
      </c>
      <c r="M97" s="418" t="s">
        <v>430</v>
      </c>
      <c r="N97" s="284"/>
      <c r="O97" s="535"/>
      <c r="P97" s="444"/>
      <c r="Q97" s="285"/>
      <c r="R97" s="578"/>
      <c r="S97" s="613"/>
      <c r="T97" s="513"/>
      <c r="U97" s="497">
        <f>(Q97/$X$97*$J$97)</f>
        <v>0</v>
      </c>
      <c r="V97" s="914">
        <f>J97-SUM(U97:U121)</f>
        <v>2.9870779253542423E-3</v>
      </c>
      <c r="W97" s="564"/>
      <c r="X97" s="908">
        <f>SUM(Q97:Q121)</f>
        <v>2401487</v>
      </c>
      <c r="Y97" s="472"/>
    </row>
    <row r="98" spans="2:25" ht="14.25" customHeight="1">
      <c r="B98" s="287">
        <v>6</v>
      </c>
      <c r="C98" s="397"/>
      <c r="D98" s="430"/>
      <c r="E98" s="383"/>
      <c r="F98" s="440"/>
      <c r="G98" s="310"/>
      <c r="H98" s="528">
        <v>45901</v>
      </c>
      <c r="I98" s="906"/>
      <c r="J98" s="906"/>
      <c r="K98" s="290"/>
      <c r="L98" s="287">
        <v>6</v>
      </c>
      <c r="M98" s="416" t="s">
        <v>430</v>
      </c>
      <c r="N98" s="430" t="s">
        <v>431</v>
      </c>
      <c r="O98" s="545"/>
      <c r="P98" s="440">
        <f>Q98/20</f>
        <v>27122.75</v>
      </c>
      <c r="Q98" s="310">
        <v>542455</v>
      </c>
      <c r="R98" s="579" t="s">
        <v>432</v>
      </c>
      <c r="S98" s="614" t="s">
        <v>433</v>
      </c>
      <c r="T98" s="672">
        <v>45869</v>
      </c>
      <c r="U98" s="681">
        <v>819376.53083841596</v>
      </c>
      <c r="V98" s="915"/>
      <c r="W98" s="528">
        <v>45901</v>
      </c>
      <c r="X98" s="909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906"/>
      <c r="J99" s="906"/>
      <c r="K99" s="290"/>
      <c r="L99" s="287">
        <v>6</v>
      </c>
      <c r="M99" s="416" t="s">
        <v>430</v>
      </c>
      <c r="N99" s="430"/>
      <c r="O99" s="545"/>
      <c r="P99" s="440"/>
      <c r="Q99" s="310"/>
      <c r="R99" s="579"/>
      <c r="S99" s="614"/>
      <c r="T99" s="514"/>
      <c r="U99" s="498"/>
      <c r="V99" s="915"/>
      <c r="W99" s="565"/>
      <c r="X99" s="909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906"/>
      <c r="J100" s="906"/>
      <c r="K100" s="290"/>
      <c r="L100" s="287">
        <v>6</v>
      </c>
      <c r="M100" s="416" t="s">
        <v>430</v>
      </c>
      <c r="N100" s="430" t="s">
        <v>434</v>
      </c>
      <c r="O100" s="545"/>
      <c r="P100" s="440"/>
      <c r="Q100" s="310">
        <v>111600</v>
      </c>
      <c r="R100" s="579"/>
      <c r="S100" s="614" t="s">
        <v>435</v>
      </c>
      <c r="T100" s="672">
        <v>46022</v>
      </c>
      <c r="U100" s="498"/>
      <c r="V100" s="915"/>
      <c r="W100" s="528">
        <v>46051</v>
      </c>
      <c r="X100" s="909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906"/>
      <c r="J101" s="906"/>
      <c r="K101" s="290"/>
      <c r="L101" s="287">
        <v>6</v>
      </c>
      <c r="M101" s="416" t="s">
        <v>430</v>
      </c>
      <c r="N101" s="430" t="s">
        <v>436</v>
      </c>
      <c r="O101" s="545"/>
      <c r="P101" s="440"/>
      <c r="Q101" s="310"/>
      <c r="R101" s="579"/>
      <c r="S101" s="614"/>
      <c r="T101" s="672">
        <v>45900</v>
      </c>
      <c r="U101" s="681">
        <v>720273.72</v>
      </c>
      <c r="V101" s="915"/>
      <c r="W101" s="565"/>
      <c r="X101" s="909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65"/>
      <c r="I102" s="906"/>
      <c r="J102" s="906"/>
      <c r="K102" s="290"/>
      <c r="L102" s="287">
        <v>6</v>
      </c>
      <c r="M102" s="416" t="s">
        <v>430</v>
      </c>
      <c r="N102" s="430"/>
      <c r="O102" s="545"/>
      <c r="P102" s="440"/>
      <c r="Q102" s="310"/>
      <c r="R102" s="579"/>
      <c r="S102" s="614"/>
      <c r="T102" s="514"/>
      <c r="U102" s="498"/>
      <c r="V102" s="915"/>
      <c r="W102" s="565"/>
      <c r="X102" s="909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906"/>
      <c r="J103" s="906"/>
      <c r="K103" s="290"/>
      <c r="L103" s="287">
        <v>6</v>
      </c>
      <c r="M103" s="416" t="s">
        <v>430</v>
      </c>
      <c r="N103" s="430" t="s">
        <v>437</v>
      </c>
      <c r="O103" s="545"/>
      <c r="P103" s="440">
        <f>Q103+Q104+Q105</f>
        <v>1126388</v>
      </c>
      <c r="Q103" s="310">
        <v>602839</v>
      </c>
      <c r="R103" s="878" t="s">
        <v>438</v>
      </c>
      <c r="S103" s="614" t="s">
        <v>439</v>
      </c>
      <c r="T103" s="672">
        <v>45869</v>
      </c>
      <c r="U103" s="681">
        <v>586595.33735154092</v>
      </c>
      <c r="V103" s="915"/>
      <c r="W103" s="528">
        <v>45900</v>
      </c>
      <c r="X103" s="909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906"/>
      <c r="J104" s="906"/>
      <c r="K104" s="290"/>
      <c r="L104" s="287">
        <v>6</v>
      </c>
      <c r="M104" s="416" t="s">
        <v>430</v>
      </c>
      <c r="N104" s="430" t="s">
        <v>440</v>
      </c>
      <c r="O104" s="545"/>
      <c r="P104" s="440"/>
      <c r="Q104" s="310">
        <v>517469.18</v>
      </c>
      <c r="R104" s="879"/>
      <c r="S104" s="614" t="s">
        <v>441</v>
      </c>
      <c r="T104" s="672">
        <v>45869</v>
      </c>
      <c r="U104" s="681">
        <v>460970.25062994479</v>
      </c>
      <c r="V104" s="915"/>
      <c r="W104" s="528">
        <v>45900</v>
      </c>
      <c r="X104" s="909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28"/>
      <c r="I105" s="906"/>
      <c r="J105" s="906"/>
      <c r="K105" s="290"/>
      <c r="L105" s="287">
        <v>6</v>
      </c>
      <c r="M105" s="416" t="s">
        <v>430</v>
      </c>
      <c r="N105" s="430" t="s">
        <v>442</v>
      </c>
      <c r="O105" s="545"/>
      <c r="P105" s="440"/>
      <c r="Q105" s="310">
        <v>6079.82</v>
      </c>
      <c r="R105" s="880"/>
      <c r="S105" s="614" t="s">
        <v>443</v>
      </c>
      <c r="T105" s="672">
        <v>45869</v>
      </c>
      <c r="U105" s="681">
        <v>5915.9975780210725</v>
      </c>
      <c r="V105" s="915"/>
      <c r="W105" s="528">
        <v>45900</v>
      </c>
      <c r="X105" s="909"/>
      <c r="Y105" s="472"/>
    </row>
    <row r="106" spans="2:25" ht="14.25" customHeight="1">
      <c r="B106" s="287"/>
      <c r="C106" s="397"/>
      <c r="D106" s="430"/>
      <c r="E106" s="383"/>
      <c r="F106" s="440"/>
      <c r="G106" s="310"/>
      <c r="H106" s="565"/>
      <c r="I106" s="906"/>
      <c r="J106" s="906"/>
      <c r="K106" s="290"/>
      <c r="L106" s="287">
        <v>6</v>
      </c>
      <c r="M106" s="416" t="s">
        <v>430</v>
      </c>
      <c r="N106" s="430"/>
      <c r="O106" s="545"/>
      <c r="P106" s="440"/>
      <c r="Q106" s="310"/>
      <c r="R106" s="579"/>
      <c r="S106" s="614"/>
      <c r="T106" s="514"/>
      <c r="U106" s="498"/>
      <c r="V106" s="915"/>
      <c r="W106" s="565"/>
      <c r="X106" s="909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906"/>
      <c r="J107" s="906"/>
      <c r="K107" s="290"/>
      <c r="L107" s="287">
        <v>6</v>
      </c>
      <c r="M107" s="416" t="s">
        <v>430</v>
      </c>
      <c r="N107" s="430" t="s">
        <v>444</v>
      </c>
      <c r="O107" s="545"/>
      <c r="P107" s="440"/>
      <c r="Q107" s="310">
        <v>51044</v>
      </c>
      <c r="R107" s="579"/>
      <c r="S107" s="614" t="s">
        <v>445</v>
      </c>
      <c r="T107" s="672">
        <v>45991</v>
      </c>
      <c r="U107" s="498" t="s">
        <v>103</v>
      </c>
      <c r="V107" s="915"/>
      <c r="W107" s="528">
        <v>46029</v>
      </c>
      <c r="X107" s="909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906"/>
      <c r="J108" s="906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(Q108/$X$97*$J$97)</f>
        <v>0</v>
      </c>
      <c r="V108" s="915"/>
      <c r="W108" s="565"/>
      <c r="X108" s="909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906"/>
      <c r="J109" s="906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(Q109/$X$97*$J$97)</f>
        <v>0</v>
      </c>
      <c r="V109" s="915"/>
      <c r="W109" s="565"/>
      <c r="X109" s="909"/>
      <c r="Y109" s="472"/>
    </row>
    <row r="110" spans="2:25" ht="14.25" customHeight="1">
      <c r="B110" s="287">
        <v>6</v>
      </c>
      <c r="C110" s="397"/>
      <c r="D110" s="430"/>
      <c r="E110" s="383"/>
      <c r="F110" s="440"/>
      <c r="G110" s="310"/>
      <c r="H110" s="565"/>
      <c r="I110" s="906"/>
      <c r="J110" s="906"/>
      <c r="K110" s="290"/>
      <c r="L110" s="287">
        <v>6</v>
      </c>
      <c r="M110" s="416" t="s">
        <v>430</v>
      </c>
      <c r="N110" s="430"/>
      <c r="O110" s="545"/>
      <c r="P110" s="440"/>
      <c r="Q110" s="310"/>
      <c r="R110" s="579"/>
      <c r="S110" s="614"/>
      <c r="T110" s="514" t="str">
        <f t="shared" si="5"/>
        <v/>
      </c>
      <c r="U110" s="498">
        <f>(Q110/$X$97*$J$97)</f>
        <v>0</v>
      </c>
      <c r="V110" s="915"/>
      <c r="W110" s="565"/>
      <c r="X110" s="909"/>
      <c r="Y110" s="472"/>
    </row>
    <row r="111" spans="2:25" ht="14.25" customHeight="1">
      <c r="B111" s="287">
        <v>6</v>
      </c>
      <c r="C111" s="437"/>
      <c r="D111" s="288"/>
      <c r="E111" s="388"/>
      <c r="F111" s="441"/>
      <c r="G111" s="310"/>
      <c r="H111" s="528"/>
      <c r="I111" s="906"/>
      <c r="J111" s="906"/>
      <c r="K111" s="290"/>
      <c r="L111" s="287">
        <v>6</v>
      </c>
      <c r="M111" s="416" t="s">
        <v>430</v>
      </c>
      <c r="N111" s="397" t="s">
        <v>385</v>
      </c>
      <c r="O111" s="555">
        <f>AC23/2</f>
        <v>275000</v>
      </c>
      <c r="P111" s="556">
        <v>0.5</v>
      </c>
      <c r="Q111" s="289">
        <f>$O$111*P111</f>
        <v>137500</v>
      </c>
      <c r="R111" s="878" t="s">
        <v>386</v>
      </c>
      <c r="S111" s="614" t="s">
        <v>387</v>
      </c>
      <c r="T111" s="672">
        <v>45838</v>
      </c>
      <c r="U111" s="681">
        <v>136570.21466011828</v>
      </c>
      <c r="V111" s="915"/>
      <c r="W111" s="528">
        <f>W67</f>
        <v>45834</v>
      </c>
      <c r="X111" s="909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28"/>
      <c r="I112" s="906"/>
      <c r="J112" s="906"/>
      <c r="K112" s="290"/>
      <c r="L112" s="287">
        <v>6</v>
      </c>
      <c r="M112" s="417" t="s">
        <v>430</v>
      </c>
      <c r="N112" s="397" t="s">
        <v>446</v>
      </c>
      <c r="O112" s="545"/>
      <c r="P112" s="556">
        <v>0.4</v>
      </c>
      <c r="Q112" s="289">
        <f t="shared" ref="Q112:Q113" si="12">$O$111*P112</f>
        <v>110000</v>
      </c>
      <c r="R112" s="879"/>
      <c r="S112" s="614" t="s">
        <v>389</v>
      </c>
      <c r="T112" s="672">
        <v>45869</v>
      </c>
      <c r="U112" s="681">
        <v>107036.01974767643</v>
      </c>
      <c r="V112" s="915"/>
      <c r="W112" s="528">
        <f>W68</f>
        <v>45904</v>
      </c>
      <c r="X112" s="909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906"/>
      <c r="J113" s="906"/>
      <c r="K113" s="290"/>
      <c r="L113" s="287">
        <v>6</v>
      </c>
      <c r="M113" s="417" t="s">
        <v>430</v>
      </c>
      <c r="N113" s="397" t="s">
        <v>390</v>
      </c>
      <c r="O113" s="545"/>
      <c r="P113" s="556">
        <v>0.1</v>
      </c>
      <c r="Q113" s="289">
        <f t="shared" si="12"/>
        <v>27500</v>
      </c>
      <c r="R113" s="879"/>
      <c r="S113" s="614" t="s">
        <v>391</v>
      </c>
      <c r="T113" s="672">
        <f>T69</f>
        <v>45900</v>
      </c>
      <c r="U113" s="715">
        <v>39048.034594758567</v>
      </c>
      <c r="V113" s="915"/>
      <c r="W113" s="565">
        <f>W192</f>
        <v>46114</v>
      </c>
      <c r="X113" s="909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906"/>
      <c r="J114" s="906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79"/>
      <c r="S114" s="614"/>
      <c r="T114" s="514" t="str">
        <f t="shared" si="5"/>
        <v/>
      </c>
      <c r="U114" s="498">
        <f>(Q114/$X$97*$J$97)</f>
        <v>0</v>
      </c>
      <c r="V114" s="915"/>
      <c r="W114" s="565"/>
      <c r="X114" s="909"/>
      <c r="Y114" s="472"/>
    </row>
    <row r="115" spans="1:25" ht="14.25" customHeight="1">
      <c r="B115" s="287">
        <v>6</v>
      </c>
      <c r="C115" s="389"/>
      <c r="D115" s="288"/>
      <c r="E115" s="388"/>
      <c r="F115" s="441"/>
      <c r="G115" s="310"/>
      <c r="H115" s="565"/>
      <c r="I115" s="906"/>
      <c r="J115" s="906"/>
      <c r="K115" s="290"/>
      <c r="L115" s="287">
        <v>6</v>
      </c>
      <c r="M115" s="417" t="s">
        <v>430</v>
      </c>
      <c r="N115" s="397"/>
      <c r="O115" s="545"/>
      <c r="P115" s="556"/>
      <c r="Q115" s="289"/>
      <c r="R115" s="879"/>
      <c r="S115" s="614"/>
      <c r="T115" s="514" t="str">
        <f t="shared" si="5"/>
        <v/>
      </c>
      <c r="U115" s="498">
        <f>(Q115/$X$97*$J$97)</f>
        <v>0</v>
      </c>
      <c r="V115" s="915"/>
      <c r="W115" s="565"/>
      <c r="X115" s="909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906"/>
      <c r="J116" s="906"/>
      <c r="K116" s="290"/>
      <c r="L116" s="287">
        <v>6</v>
      </c>
      <c r="M116" s="417" t="s">
        <v>430</v>
      </c>
      <c r="N116" s="397" t="s">
        <v>392</v>
      </c>
      <c r="O116" s="555">
        <f>AC30/2</f>
        <v>295000</v>
      </c>
      <c r="P116" s="556">
        <v>0.5</v>
      </c>
      <c r="Q116" s="289">
        <f>$O$116*P116</f>
        <v>147500</v>
      </c>
      <c r="R116" s="879"/>
      <c r="S116" s="618" t="s">
        <v>387</v>
      </c>
      <c r="T116" s="675">
        <v>45838</v>
      </c>
      <c r="U116" s="682">
        <v>146502.59390812687</v>
      </c>
      <c r="V116" s="915"/>
      <c r="W116" s="528">
        <f>W111</f>
        <v>45834</v>
      </c>
      <c r="X116" s="909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28"/>
      <c r="I117" s="906"/>
      <c r="J117" s="906"/>
      <c r="K117" s="290"/>
      <c r="L117" s="287">
        <v>6</v>
      </c>
      <c r="M117" s="417" t="s">
        <v>430</v>
      </c>
      <c r="N117" s="397" t="s">
        <v>447</v>
      </c>
      <c r="O117" s="545"/>
      <c r="P117" s="556">
        <v>0.4</v>
      </c>
      <c r="Q117" s="289">
        <f t="shared" ref="Q117:Q118" si="13">$O$116*P117</f>
        <v>118000</v>
      </c>
      <c r="R117" s="879"/>
      <c r="S117" s="618" t="s">
        <v>389</v>
      </c>
      <c r="T117" s="675">
        <v>45869</v>
      </c>
      <c r="U117" s="682">
        <v>114820.45754750744</v>
      </c>
      <c r="V117" s="915"/>
      <c r="W117" s="528">
        <f t="shared" ref="W117:W118" si="14">W112</f>
        <v>45904</v>
      </c>
      <c r="X117" s="909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5"/>
      <c r="I118" s="906"/>
      <c r="J118" s="906"/>
      <c r="K118" s="290"/>
      <c r="L118" s="287">
        <v>6</v>
      </c>
      <c r="M118" s="417" t="s">
        <v>430</v>
      </c>
      <c r="N118" s="397" t="s">
        <v>394</v>
      </c>
      <c r="O118" s="545"/>
      <c r="P118" s="556">
        <v>0.1</v>
      </c>
      <c r="Q118" s="289">
        <f t="shared" si="13"/>
        <v>29500</v>
      </c>
      <c r="R118" s="880"/>
      <c r="S118" s="618" t="s">
        <v>391</v>
      </c>
      <c r="T118" s="675">
        <f t="shared" ref="T118" si="15">T113</f>
        <v>45900</v>
      </c>
      <c r="U118" s="716">
        <v>41887.891656195548</v>
      </c>
      <c r="V118" s="915"/>
      <c r="W118" s="565">
        <f t="shared" si="14"/>
        <v>46114</v>
      </c>
      <c r="X118" s="909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906"/>
      <c r="J119" s="906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(Q119/$X$97*$J$97)</f>
        <v>0</v>
      </c>
      <c r="V119" s="915"/>
      <c r="W119" s="568"/>
      <c r="X119" s="909"/>
      <c r="Y119" s="472"/>
    </row>
    <row r="120" spans="1:25" ht="14.25" customHeight="1">
      <c r="B120" s="287">
        <v>6</v>
      </c>
      <c r="C120" s="490"/>
      <c r="D120" s="324"/>
      <c r="E120" s="403"/>
      <c r="F120" s="448"/>
      <c r="G120" s="310"/>
      <c r="H120" s="568"/>
      <c r="I120" s="906"/>
      <c r="J120" s="906"/>
      <c r="K120" s="290"/>
      <c r="L120" s="287">
        <v>6</v>
      </c>
      <c r="M120" s="417" t="s">
        <v>430</v>
      </c>
      <c r="N120" s="397"/>
      <c r="O120" s="545"/>
      <c r="P120" s="556"/>
      <c r="Q120" s="289"/>
      <c r="R120" s="583"/>
      <c r="S120" s="618"/>
      <c r="T120" s="517" t="str">
        <f t="shared" si="5"/>
        <v/>
      </c>
      <c r="U120" s="503">
        <f>(Q120/$X$97*$J$97)</f>
        <v>0</v>
      </c>
      <c r="V120" s="915"/>
      <c r="W120" s="568"/>
      <c r="X120" s="909"/>
      <c r="Y120" s="472"/>
    </row>
    <row r="121" spans="1:25" ht="15" customHeight="1" thickBot="1">
      <c r="B121" s="291">
        <v>6</v>
      </c>
      <c r="C121" s="390"/>
      <c r="D121" s="293"/>
      <c r="E121" s="445"/>
      <c r="F121" s="442"/>
      <c r="G121" s="294"/>
      <c r="H121" s="566"/>
      <c r="I121" s="907"/>
      <c r="J121" s="907"/>
      <c r="K121" s="295"/>
      <c r="L121" s="291">
        <v>6</v>
      </c>
      <c r="M121" s="419" t="s">
        <v>430</v>
      </c>
      <c r="N121" s="293"/>
      <c r="O121" s="549"/>
      <c r="P121" s="442"/>
      <c r="Q121" s="294"/>
      <c r="R121" s="580"/>
      <c r="S121" s="615"/>
      <c r="T121" s="515" t="str">
        <f t="shared" si="5"/>
        <v/>
      </c>
      <c r="U121" s="499">
        <f>(Q121/$X$97*$J$97)</f>
        <v>0</v>
      </c>
      <c r="V121" s="916"/>
      <c r="W121" s="566"/>
      <c r="X121" s="910"/>
      <c r="Y121" s="472"/>
    </row>
    <row r="122" spans="1:25" ht="13.9" thickBot="1">
      <c r="A122" s="24"/>
      <c r="B122" s="279"/>
      <c r="C122" s="320"/>
      <c r="D122" s="297"/>
      <c r="E122" s="280"/>
      <c r="F122" s="443"/>
      <c r="G122" s="281"/>
      <c r="H122" s="569"/>
      <c r="I122" s="269"/>
      <c r="J122" s="269"/>
      <c r="K122" s="24"/>
      <c r="L122" s="279"/>
      <c r="M122" s="320"/>
      <c r="N122" s="297"/>
      <c r="O122" s="543"/>
      <c r="P122" s="443"/>
      <c r="Q122" s="281"/>
      <c r="R122" s="584"/>
      <c r="S122" s="619"/>
      <c r="T122" s="518" t="str">
        <f t="shared" si="5"/>
        <v/>
      </c>
      <c r="U122" s="504"/>
      <c r="V122" s="479"/>
      <c r="W122" s="569"/>
      <c r="X122" s="339"/>
      <c r="Y122" s="472"/>
    </row>
    <row r="123" spans="1:25" ht="14.25" customHeight="1">
      <c r="B123" s="369">
        <v>7</v>
      </c>
      <c r="C123" s="298" t="s">
        <v>448</v>
      </c>
      <c r="D123" s="370"/>
      <c r="E123" s="449"/>
      <c r="F123" s="455"/>
      <c r="G123" s="371"/>
      <c r="H123" s="529"/>
      <c r="I123" s="884">
        <f>D401</f>
        <v>12030860.6085</v>
      </c>
      <c r="J123" s="884">
        <f>F401</f>
        <v>12664063.798421053</v>
      </c>
      <c r="K123" s="274"/>
      <c r="L123" s="369">
        <v>7</v>
      </c>
      <c r="M123" s="649" t="s">
        <v>449</v>
      </c>
      <c r="N123" s="370" t="s">
        <v>450</v>
      </c>
      <c r="O123" s="648">
        <v>0.3</v>
      </c>
      <c r="P123" s="455">
        <f>1423.48*17.7457*(23)</f>
        <v>580994.92782799993</v>
      </c>
      <c r="Q123" s="371">
        <f>O123*P123</f>
        <v>174298.47834839998</v>
      </c>
      <c r="R123" s="917" t="s">
        <v>326</v>
      </c>
      <c r="S123" s="620" t="s">
        <v>327</v>
      </c>
      <c r="T123" s="713">
        <v>45900</v>
      </c>
      <c r="U123" s="717">
        <v>312323.78861163039</v>
      </c>
      <c r="V123" s="911">
        <f>J123-SUM(U123:U160)</f>
        <v>7.3705613613128662E-4</v>
      </c>
      <c r="W123" s="529">
        <v>45820</v>
      </c>
      <c r="X123" s="869">
        <f>SUM(Q123:Q160)</f>
        <v>7046627.6127361013</v>
      </c>
      <c r="Y123" s="472"/>
    </row>
    <row r="124" spans="1:25" ht="14.25" customHeight="1">
      <c r="B124" s="642"/>
      <c r="C124" s="643"/>
      <c r="D124" s="644"/>
      <c r="E124" s="645"/>
      <c r="F124" s="646"/>
      <c r="G124" s="647"/>
      <c r="H124" s="561"/>
      <c r="I124" s="885"/>
      <c r="J124" s="885"/>
      <c r="K124" s="277"/>
      <c r="L124" s="372">
        <v>7</v>
      </c>
      <c r="M124" s="373" t="s">
        <v>449</v>
      </c>
      <c r="N124" s="317" t="s">
        <v>450</v>
      </c>
      <c r="O124" s="650">
        <v>0.7</v>
      </c>
      <c r="P124" s="446"/>
      <c r="Q124" s="304">
        <v>408046.32</v>
      </c>
      <c r="R124" s="882"/>
      <c r="S124" s="609" t="s">
        <v>451</v>
      </c>
      <c r="T124" s="670">
        <v>45900</v>
      </c>
      <c r="U124" s="718">
        <v>731174.32693068369</v>
      </c>
      <c r="V124" s="912"/>
      <c r="W124" s="762">
        <v>45960</v>
      </c>
      <c r="X124" s="870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85"/>
      <c r="J125" s="885"/>
      <c r="K125" s="277"/>
      <c r="L125" s="372">
        <v>7</v>
      </c>
      <c r="M125" s="373" t="s">
        <v>449</v>
      </c>
      <c r="N125" s="374"/>
      <c r="O125" s="395"/>
      <c r="P125" s="431"/>
      <c r="Q125" s="375"/>
      <c r="R125" s="882"/>
      <c r="S125" s="610"/>
      <c r="T125" s="510" t="str">
        <f t="shared" ref="T125:T144" si="16">IF(W125&gt;1,EOMONTH(W125,0),"")</f>
        <v/>
      </c>
      <c r="U125" s="494">
        <f t="shared" ref="U125:U160" si="17">(Q125/$X$123*$J$123)</f>
        <v>0</v>
      </c>
      <c r="V125" s="912"/>
      <c r="W125" s="561"/>
      <c r="X125" s="870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85"/>
      <c r="J126" s="885"/>
      <c r="K126" s="277"/>
      <c r="L126" s="372">
        <v>7</v>
      </c>
      <c r="M126" s="373" t="s">
        <v>449</v>
      </c>
      <c r="N126" s="374" t="s">
        <v>452</v>
      </c>
      <c r="O126" s="632">
        <v>0.3</v>
      </c>
      <c r="P126" s="431">
        <f>17.7457*161957.61</f>
        <v>2874051.1597769996</v>
      </c>
      <c r="Q126" s="375">
        <f>O126*P126</f>
        <v>862215.34793309984</v>
      </c>
      <c r="R126" s="882"/>
      <c r="S126" s="610" t="s">
        <v>327</v>
      </c>
      <c r="T126" s="670">
        <v>45991</v>
      </c>
      <c r="U126" s="805">
        <v>1549556.8624156141</v>
      </c>
      <c r="V126" s="912"/>
      <c r="W126" s="525">
        <v>45820</v>
      </c>
      <c r="X126" s="870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85"/>
      <c r="J127" s="885"/>
      <c r="K127" s="277"/>
      <c r="L127" s="372">
        <v>7</v>
      </c>
      <c r="M127" s="373" t="s">
        <v>449</v>
      </c>
      <c r="N127" s="374" t="s">
        <v>453</v>
      </c>
      <c r="O127" s="632">
        <v>0.7</v>
      </c>
      <c r="P127" s="431"/>
      <c r="Q127" s="375">
        <f>P126*O127</f>
        <v>2011835.8118438995</v>
      </c>
      <c r="R127" s="882"/>
      <c r="S127" s="610" t="s">
        <v>454</v>
      </c>
      <c r="T127" s="781">
        <v>45991</v>
      </c>
      <c r="U127" s="805">
        <v>3615632.678969766</v>
      </c>
      <c r="V127" s="912"/>
      <c r="W127" s="525">
        <v>45988</v>
      </c>
      <c r="X127" s="870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25"/>
      <c r="I128" s="885"/>
      <c r="J128" s="885"/>
      <c r="K128" s="277"/>
      <c r="L128" s="372">
        <v>7</v>
      </c>
      <c r="M128" s="373" t="s">
        <v>449</v>
      </c>
      <c r="N128" s="374" t="s">
        <v>455</v>
      </c>
      <c r="O128" s="632">
        <v>0.3</v>
      </c>
      <c r="P128" s="431">
        <f>17.7457*13967.44</f>
        <v>247862.000008</v>
      </c>
      <c r="Q128" s="375">
        <f>O128*P128</f>
        <v>74358.600002399995</v>
      </c>
      <c r="R128" s="882"/>
      <c r="S128" s="610" t="s">
        <v>327</v>
      </c>
      <c r="T128" s="670">
        <v>45991</v>
      </c>
      <c r="U128" s="805">
        <v>133635.84769112332</v>
      </c>
      <c r="V128" s="912"/>
      <c r="W128" s="525">
        <v>45820</v>
      </c>
      <c r="X128" s="870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5"/>
      <c r="J129" s="885"/>
      <c r="K129" s="277"/>
      <c r="L129" s="372">
        <v>7</v>
      </c>
      <c r="M129" s="373" t="s">
        <v>449</v>
      </c>
      <c r="N129" s="374" t="s">
        <v>456</v>
      </c>
      <c r="O129" s="632">
        <v>0.7</v>
      </c>
      <c r="P129" s="431"/>
      <c r="Q129" s="375">
        <f>P128*O129</f>
        <v>173503.40000559998</v>
      </c>
      <c r="R129" s="882"/>
      <c r="S129" s="610" t="s">
        <v>454</v>
      </c>
      <c r="T129" s="781">
        <v>45991</v>
      </c>
      <c r="U129" s="805">
        <v>311816.97794595436</v>
      </c>
      <c r="V129" s="912"/>
      <c r="W129" s="525">
        <f>W127</f>
        <v>45988</v>
      </c>
      <c r="X129" s="870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61"/>
      <c r="I130" s="885"/>
      <c r="J130" s="885"/>
      <c r="K130" s="277"/>
      <c r="L130" s="372">
        <v>7</v>
      </c>
      <c r="M130" s="373" t="s">
        <v>449</v>
      </c>
      <c r="N130" s="374"/>
      <c r="O130" s="395"/>
      <c r="P130" s="431"/>
      <c r="Q130" s="375"/>
      <c r="R130" s="882"/>
      <c r="S130" s="610"/>
      <c r="T130" s="510" t="str">
        <f t="shared" si="16"/>
        <v/>
      </c>
      <c r="U130" s="494">
        <f t="shared" si="17"/>
        <v>0</v>
      </c>
      <c r="V130" s="912"/>
      <c r="W130" s="561"/>
      <c r="X130" s="870"/>
      <c r="Y130" s="472"/>
    </row>
    <row r="131" spans="2:25" ht="14.25" customHeight="1">
      <c r="B131" s="372"/>
      <c r="C131" s="373"/>
      <c r="D131" s="374"/>
      <c r="E131" s="395"/>
      <c r="F131" s="431"/>
      <c r="G131" s="375"/>
      <c r="H131" s="525"/>
      <c r="I131" s="885"/>
      <c r="J131" s="885"/>
      <c r="K131" s="277"/>
      <c r="L131" s="372">
        <v>7</v>
      </c>
      <c r="M131" s="373" t="s">
        <v>449</v>
      </c>
      <c r="N131" s="374" t="s">
        <v>457</v>
      </c>
      <c r="O131" s="632">
        <v>0.3</v>
      </c>
      <c r="P131" s="431">
        <f>17.7457*130607.61</f>
        <v>2317723.4647769998</v>
      </c>
      <c r="Q131" s="375">
        <f>O131*P131</f>
        <v>695317.03943309991</v>
      </c>
      <c r="R131" s="882"/>
      <c r="S131" s="610" t="s">
        <v>327</v>
      </c>
      <c r="T131" s="670">
        <v>45991</v>
      </c>
      <c r="U131" s="805">
        <v>1252691.1980570836</v>
      </c>
      <c r="V131" s="912"/>
      <c r="W131" s="525">
        <v>45820</v>
      </c>
      <c r="X131" s="870"/>
      <c r="Y131" s="472"/>
    </row>
    <row r="132" spans="2:25" ht="14.25" customHeight="1">
      <c r="B132" s="372">
        <v>7</v>
      </c>
      <c r="C132" s="373"/>
      <c r="D132" s="374" t="s">
        <v>458</v>
      </c>
      <c r="E132" s="395"/>
      <c r="F132" s="431"/>
      <c r="G132" s="375">
        <v>12030860.6085</v>
      </c>
      <c r="H132" s="561">
        <v>45946</v>
      </c>
      <c r="I132" s="885"/>
      <c r="J132" s="885"/>
      <c r="K132" s="277"/>
      <c r="L132" s="372">
        <v>7</v>
      </c>
      <c r="M132" s="373" t="s">
        <v>449</v>
      </c>
      <c r="N132" s="374" t="s">
        <v>459</v>
      </c>
      <c r="O132" s="632">
        <v>0.7</v>
      </c>
      <c r="P132" s="431"/>
      <c r="Q132" s="375">
        <f>P131*O132</f>
        <v>1622406.4253438998</v>
      </c>
      <c r="R132" s="882"/>
      <c r="S132" s="610" t="s">
        <v>454</v>
      </c>
      <c r="T132" s="781">
        <f t="shared" si="16"/>
        <v>45991</v>
      </c>
      <c r="U132" s="805">
        <v>2915757.6654665284</v>
      </c>
      <c r="V132" s="912"/>
      <c r="W132" s="525">
        <f>W127</f>
        <v>45988</v>
      </c>
      <c r="X132" s="870"/>
      <c r="Y132" s="472"/>
    </row>
    <row r="133" spans="2:25" ht="14.25" customHeight="1">
      <c r="B133" s="372">
        <v>7</v>
      </c>
      <c r="C133" s="373"/>
      <c r="D133" s="374" t="s">
        <v>460</v>
      </c>
      <c r="E133" s="395"/>
      <c r="F133" s="431"/>
      <c r="G133" s="375"/>
      <c r="H133" s="561">
        <v>45946</v>
      </c>
      <c r="I133" s="885"/>
      <c r="J133" s="885"/>
      <c r="K133" s="277"/>
      <c r="L133" s="372">
        <v>7</v>
      </c>
      <c r="M133" s="373" t="s">
        <v>449</v>
      </c>
      <c r="N133" s="374" t="s">
        <v>461</v>
      </c>
      <c r="O133" s="632">
        <v>0.3</v>
      </c>
      <c r="P133" s="431">
        <f>17.7457*10852.53</f>
        <v>192585.74162099999</v>
      </c>
      <c r="Q133" s="375">
        <f>O133*P133</f>
        <v>57775.722486299994</v>
      </c>
      <c r="R133" s="882"/>
      <c r="S133" s="610" t="s">
        <v>327</v>
      </c>
      <c r="T133" s="670">
        <v>45991</v>
      </c>
      <c r="U133" s="805">
        <v>103833.41873266298</v>
      </c>
      <c r="V133" s="912"/>
      <c r="W133" s="525">
        <f>W131</f>
        <v>45820</v>
      </c>
      <c r="X133" s="870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5"/>
      <c r="J134" s="885"/>
      <c r="K134" s="277"/>
      <c r="L134" s="372">
        <v>7</v>
      </c>
      <c r="M134" s="373" t="s">
        <v>449</v>
      </c>
      <c r="N134" s="374" t="s">
        <v>462</v>
      </c>
      <c r="O134" s="632">
        <v>0.7</v>
      </c>
      <c r="P134" s="431"/>
      <c r="Q134" s="375">
        <f>P133*O134</f>
        <v>134810.01913469998</v>
      </c>
      <c r="R134" s="882"/>
      <c r="S134" s="610" t="s">
        <v>454</v>
      </c>
      <c r="T134" s="781">
        <f t="shared" si="16"/>
        <v>45991</v>
      </c>
      <c r="U134" s="805">
        <v>242277.97704288029</v>
      </c>
      <c r="V134" s="912"/>
      <c r="W134" s="525">
        <f>W132</f>
        <v>45988</v>
      </c>
      <c r="X134" s="870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85"/>
      <c r="J135" s="885"/>
      <c r="K135" s="277"/>
      <c r="L135" s="372">
        <v>7</v>
      </c>
      <c r="M135" s="373" t="s">
        <v>449</v>
      </c>
      <c r="N135" s="374"/>
      <c r="O135" s="395"/>
      <c r="P135" s="431"/>
      <c r="Q135" s="375"/>
      <c r="R135" s="882"/>
      <c r="S135" s="610"/>
      <c r="T135" s="510" t="str">
        <f t="shared" si="16"/>
        <v/>
      </c>
      <c r="U135" s="494">
        <f t="shared" si="17"/>
        <v>0</v>
      </c>
      <c r="V135" s="912"/>
      <c r="W135" s="561"/>
      <c r="X135" s="870"/>
      <c r="Y135" s="472"/>
    </row>
    <row r="136" spans="2:25" ht="14.25" customHeight="1">
      <c r="B136" s="372">
        <v>7</v>
      </c>
      <c r="C136" s="373"/>
      <c r="D136" s="374" t="s">
        <v>450</v>
      </c>
      <c r="E136" s="395"/>
      <c r="F136" s="431"/>
      <c r="G136" s="375"/>
      <c r="H136" s="525">
        <v>45820</v>
      </c>
      <c r="I136" s="885"/>
      <c r="J136" s="885"/>
      <c r="K136" s="277"/>
      <c r="L136" s="372">
        <v>7</v>
      </c>
      <c r="M136" s="373" t="s">
        <v>449</v>
      </c>
      <c r="N136" s="376" t="s">
        <v>463</v>
      </c>
      <c r="O136" s="632">
        <v>0.3</v>
      </c>
      <c r="P136" s="431">
        <f>17.7457*(2333.33*2+3333.34+24.5+51.89+121.45+56.76+4635.94+764.04)</f>
        <v>242310.08030600002</v>
      </c>
      <c r="Q136" s="375">
        <f>O136*$P$136</f>
        <v>72693.024091800005</v>
      </c>
      <c r="R136" s="882"/>
      <c r="S136" s="610" t="s">
        <v>327</v>
      </c>
      <c r="T136" s="670">
        <v>45991</v>
      </c>
      <c r="U136" s="805">
        <v>130642.50665592682</v>
      </c>
      <c r="V136" s="912"/>
      <c r="W136" s="525">
        <v>45820</v>
      </c>
      <c r="X136" s="870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5"/>
      <c r="J137" s="885"/>
      <c r="K137" s="277"/>
      <c r="L137" s="372">
        <v>7</v>
      </c>
      <c r="M137" s="373" t="s">
        <v>449</v>
      </c>
      <c r="N137" s="376" t="s">
        <v>464</v>
      </c>
      <c r="O137" s="632">
        <v>0.7</v>
      </c>
      <c r="P137" s="431"/>
      <c r="Q137" s="375">
        <f>O137*$P$136</f>
        <v>169617.05621420001</v>
      </c>
      <c r="R137" s="882"/>
      <c r="S137" s="610" t="s">
        <v>454</v>
      </c>
      <c r="T137" s="781">
        <v>45991</v>
      </c>
      <c r="U137" s="805">
        <v>304832.51553049596</v>
      </c>
      <c r="V137" s="912"/>
      <c r="W137" s="525">
        <f>W127</f>
        <v>45988</v>
      </c>
      <c r="X137" s="870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85"/>
      <c r="J138" s="885"/>
      <c r="K138" s="277"/>
      <c r="L138" s="372">
        <v>7</v>
      </c>
      <c r="M138" s="373" t="s">
        <v>449</v>
      </c>
      <c r="N138" s="376"/>
      <c r="O138" s="395"/>
      <c r="P138" s="431"/>
      <c r="Q138" s="375"/>
      <c r="R138" s="882"/>
      <c r="S138" s="610"/>
      <c r="T138" s="510" t="str">
        <f t="shared" si="16"/>
        <v/>
      </c>
      <c r="U138" s="494">
        <f t="shared" si="17"/>
        <v>0</v>
      </c>
      <c r="V138" s="912"/>
      <c r="W138" s="561"/>
      <c r="X138" s="870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25"/>
      <c r="I139" s="885"/>
      <c r="J139" s="885"/>
      <c r="K139" s="277"/>
      <c r="L139" s="372">
        <v>7</v>
      </c>
      <c r="M139" s="373" t="s">
        <v>449</v>
      </c>
      <c r="N139" s="376" t="s">
        <v>465</v>
      </c>
      <c r="O139" s="632">
        <v>0.3</v>
      </c>
      <c r="P139" s="431">
        <f>17.7457*((2*(283.34+1691.67+34.19+20.76+13.43+408.34+20.76+8.18+19.53))+93+57.4)</f>
        <v>91404.551560000007</v>
      </c>
      <c r="Q139" s="375">
        <f>O139*$P$139</f>
        <v>27421.365468</v>
      </c>
      <c r="R139" s="882"/>
      <c r="S139" s="610" t="s">
        <v>327</v>
      </c>
      <c r="T139" s="670">
        <v>45991</v>
      </c>
      <c r="U139" s="805">
        <v>49281.151326759806</v>
      </c>
      <c r="V139" s="912"/>
      <c r="W139" s="525">
        <v>45820</v>
      </c>
      <c r="X139" s="870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5"/>
      <c r="J140" s="885"/>
      <c r="K140" s="277"/>
      <c r="L140" s="372">
        <v>7</v>
      </c>
      <c r="M140" s="373" t="s">
        <v>449</v>
      </c>
      <c r="N140" s="376" t="s">
        <v>466</v>
      </c>
      <c r="O140" s="632">
        <v>0.7</v>
      </c>
      <c r="P140" s="431"/>
      <c r="Q140" s="375">
        <f>O140*$P$139</f>
        <v>63983.186092000004</v>
      </c>
      <c r="R140" s="882"/>
      <c r="S140" s="610" t="s">
        <v>454</v>
      </c>
      <c r="T140" s="781">
        <v>45991</v>
      </c>
      <c r="U140" s="805">
        <v>114989.35309577289</v>
      </c>
      <c r="V140" s="912"/>
      <c r="W140" s="525">
        <f>W127</f>
        <v>45988</v>
      </c>
      <c r="X140" s="870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85"/>
      <c r="J141" s="885"/>
      <c r="K141" s="277"/>
      <c r="L141" s="372">
        <v>7</v>
      </c>
      <c r="M141" s="373" t="s">
        <v>449</v>
      </c>
      <c r="N141" s="376"/>
      <c r="O141" s="395"/>
      <c r="P141" s="431"/>
      <c r="Q141" s="375"/>
      <c r="R141" s="882"/>
      <c r="S141" s="610"/>
      <c r="T141" s="510" t="str">
        <f t="shared" si="16"/>
        <v/>
      </c>
      <c r="U141" s="494">
        <f t="shared" si="17"/>
        <v>0</v>
      </c>
      <c r="V141" s="912"/>
      <c r="W141" s="561"/>
      <c r="X141" s="870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25"/>
      <c r="I142" s="885"/>
      <c r="J142" s="885"/>
      <c r="K142" s="277"/>
      <c r="L142" s="372">
        <v>7</v>
      </c>
      <c r="M142" s="373" t="s">
        <v>449</v>
      </c>
      <c r="N142" s="374" t="s">
        <v>467</v>
      </c>
      <c r="O142" s="632">
        <v>0.3</v>
      </c>
      <c r="P142" s="375">
        <f>17.7457*(3297.63+2*8793.67+2*4185)</f>
        <v>519149.92112900002</v>
      </c>
      <c r="Q142" s="375">
        <v>159507.76633870002</v>
      </c>
      <c r="R142" s="882"/>
      <c r="S142" s="610" t="s">
        <v>327</v>
      </c>
      <c r="T142" s="670">
        <v>45991</v>
      </c>
      <c r="U142" s="805">
        <v>286664.29393912485</v>
      </c>
      <c r="V142" s="912"/>
      <c r="W142" s="525">
        <v>45820</v>
      </c>
      <c r="X142" s="870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5"/>
      <c r="J143" s="885"/>
      <c r="K143" s="277"/>
      <c r="L143" s="372">
        <v>7</v>
      </c>
      <c r="M143" s="373" t="s">
        <v>449</v>
      </c>
      <c r="N143" s="374" t="s">
        <v>468</v>
      </c>
      <c r="O143" s="632">
        <v>0.7</v>
      </c>
      <c r="P143" s="431"/>
      <c r="Q143" s="375">
        <v>338838.05</v>
      </c>
      <c r="R143" s="883"/>
      <c r="S143" s="610" t="s">
        <v>454</v>
      </c>
      <c r="T143" s="781">
        <v>45991</v>
      </c>
      <c r="U143" s="805">
        <v>608953.23527198925</v>
      </c>
      <c r="V143" s="912"/>
      <c r="W143" s="525">
        <v>45988</v>
      </c>
      <c r="X143" s="870"/>
      <c r="Y143" s="472"/>
    </row>
    <row r="144" spans="2:25" ht="14.25" customHeight="1">
      <c r="B144" s="372"/>
      <c r="C144" s="373"/>
      <c r="D144" s="374"/>
      <c r="E144" s="395"/>
      <c r="F144" s="431"/>
      <c r="G144" s="375"/>
      <c r="H144" s="561"/>
      <c r="I144" s="885"/>
      <c r="J144" s="885"/>
      <c r="K144" s="277"/>
      <c r="L144" s="372">
        <v>7</v>
      </c>
      <c r="M144" s="373" t="s">
        <v>449</v>
      </c>
      <c r="N144" s="376"/>
      <c r="O144" s="395"/>
      <c r="P144" s="431"/>
      <c r="Q144" s="375"/>
      <c r="R144" s="575"/>
      <c r="S144" s="610"/>
      <c r="T144" s="510" t="str">
        <f t="shared" si="16"/>
        <v/>
      </c>
      <c r="U144" s="494">
        <f t="shared" si="17"/>
        <v>0</v>
      </c>
      <c r="V144" s="912"/>
      <c r="W144" s="561"/>
      <c r="X144" s="870"/>
      <c r="Y144" s="472"/>
    </row>
    <row r="145" spans="2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85"/>
      <c r="J145" s="885"/>
      <c r="K145" s="277"/>
      <c r="L145" s="372">
        <v>7</v>
      </c>
      <c r="M145" s="373" t="s">
        <v>449</v>
      </c>
      <c r="N145" s="653"/>
      <c r="O145" s="654"/>
      <c r="P145" s="431"/>
      <c r="Q145" s="375"/>
      <c r="R145" s="575"/>
      <c r="S145" s="610"/>
      <c r="T145" s="510" t="str">
        <f t="shared" si="5"/>
        <v/>
      </c>
      <c r="U145" s="494">
        <f t="shared" si="17"/>
        <v>0</v>
      </c>
      <c r="V145" s="912"/>
      <c r="W145" s="561"/>
      <c r="X145" s="870"/>
      <c r="Y145" s="472"/>
    </row>
    <row r="146" spans="2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H133</f>
        <v>45946</v>
      </c>
      <c r="I146" s="885"/>
      <c r="J146" s="885"/>
      <c r="K146" s="277"/>
      <c r="L146" s="372">
        <v>7</v>
      </c>
      <c r="M146" s="373" t="s">
        <v>449</v>
      </c>
      <c r="N146" s="374"/>
      <c r="O146" s="753"/>
      <c r="P146" s="431"/>
      <c r="Q146" s="375"/>
      <c r="R146" s="575"/>
      <c r="S146" s="610"/>
      <c r="T146" s="510"/>
      <c r="U146" s="494">
        <f t="shared" si="17"/>
        <v>0</v>
      </c>
      <c r="V146" s="912"/>
      <c r="W146" s="561"/>
      <c r="X146" s="870"/>
      <c r="Y146" s="472"/>
    </row>
    <row r="147" spans="2:25" ht="14.25" customHeight="1">
      <c r="B147" s="372">
        <v>7</v>
      </c>
      <c r="C147" s="373"/>
      <c r="D147" s="374" t="s">
        <v>471</v>
      </c>
      <c r="E147" s="395"/>
      <c r="F147" s="431"/>
      <c r="G147" s="375"/>
      <c r="H147" s="561">
        <f>H146</f>
        <v>45946</v>
      </c>
      <c r="I147" s="885"/>
      <c r="J147" s="885"/>
      <c r="K147" s="277"/>
      <c r="L147" s="372">
        <v>7</v>
      </c>
      <c r="M147" s="373" t="s">
        <v>449</v>
      </c>
      <c r="N147" s="374"/>
      <c r="O147" s="753"/>
      <c r="P147" s="431"/>
      <c r="Q147" s="375"/>
      <c r="R147" s="575"/>
      <c r="S147" s="610"/>
      <c r="T147" s="510"/>
      <c r="U147" s="494">
        <f t="shared" si="17"/>
        <v>0</v>
      </c>
      <c r="V147" s="912"/>
      <c r="W147" s="561"/>
      <c r="X147" s="870"/>
      <c r="Y147" s="472"/>
    </row>
    <row r="148" spans="2:25" ht="14.25" customHeight="1">
      <c r="B148" s="372"/>
      <c r="C148" s="373"/>
      <c r="D148" s="374"/>
      <c r="E148" s="395"/>
      <c r="F148" s="431"/>
      <c r="G148" s="375"/>
      <c r="H148" s="561"/>
      <c r="I148" s="885"/>
      <c r="J148" s="885"/>
      <c r="K148" s="277"/>
      <c r="L148" s="372">
        <v>7</v>
      </c>
      <c r="M148" s="373" t="s">
        <v>449</v>
      </c>
      <c r="N148" s="374"/>
      <c r="O148" s="785"/>
      <c r="P148" s="431"/>
      <c r="Q148" s="375"/>
      <c r="R148" s="575"/>
      <c r="S148" s="610"/>
      <c r="T148" s="510" t="str">
        <f t="shared" ref="T148:T154" si="18">IF(W148&gt;1,EOMONTH(W148,0),"")</f>
        <v/>
      </c>
      <c r="U148" s="494">
        <f t="shared" si="17"/>
        <v>0</v>
      </c>
      <c r="V148" s="912"/>
      <c r="W148" s="561"/>
      <c r="X148" s="870"/>
      <c r="Y148" s="472"/>
    </row>
    <row r="149" spans="2:25" ht="14.25" customHeight="1">
      <c r="B149" s="372"/>
      <c r="C149" s="373"/>
      <c r="D149" s="374"/>
      <c r="E149" s="395"/>
      <c r="F149" s="431"/>
      <c r="G149" s="375"/>
      <c r="H149" s="561"/>
      <c r="I149" s="885"/>
      <c r="J149" s="885"/>
      <c r="K149" s="277"/>
      <c r="L149" s="372">
        <v>7</v>
      </c>
      <c r="M149" s="373" t="s">
        <v>449</v>
      </c>
      <c r="N149" s="374"/>
      <c r="O149" s="753"/>
      <c r="P149" s="431"/>
      <c r="Q149" s="375"/>
      <c r="R149" s="575"/>
      <c r="S149" s="610"/>
      <c r="T149" s="510"/>
      <c r="U149" s="494">
        <f t="shared" si="17"/>
        <v>0</v>
      </c>
      <c r="V149" s="912"/>
      <c r="W149" s="561"/>
      <c r="X149" s="870"/>
      <c r="Y149" s="472"/>
    </row>
    <row r="150" spans="2:25" ht="14.25" customHeight="1">
      <c r="B150" s="372"/>
      <c r="C150" s="373"/>
      <c r="D150" s="374"/>
      <c r="E150" s="395"/>
      <c r="F150" s="431"/>
      <c r="G150" s="375"/>
      <c r="H150" s="561"/>
      <c r="I150" s="885"/>
      <c r="J150" s="885"/>
      <c r="K150" s="277"/>
      <c r="L150" s="372">
        <v>7</v>
      </c>
      <c r="M150" s="373" t="s">
        <v>449</v>
      </c>
      <c r="N150" s="374"/>
      <c r="O150" s="632"/>
      <c r="P150" s="431"/>
      <c r="Q150" s="375"/>
      <c r="R150" s="575"/>
      <c r="S150" s="610"/>
      <c r="T150" s="510"/>
      <c r="U150" s="494">
        <f t="shared" si="17"/>
        <v>0</v>
      </c>
      <c r="V150" s="912"/>
      <c r="W150" s="561"/>
      <c r="X150" s="870"/>
      <c r="Y150" s="472"/>
    </row>
    <row r="151" spans="2:25" ht="14.25" customHeight="1">
      <c r="B151" s="372"/>
      <c r="C151" s="373"/>
      <c r="D151" s="374"/>
      <c r="E151" s="395"/>
      <c r="F151" s="431"/>
      <c r="G151" s="375"/>
      <c r="H151" s="561"/>
      <c r="I151" s="885"/>
      <c r="J151" s="885"/>
      <c r="K151" s="277"/>
      <c r="L151" s="372">
        <v>7</v>
      </c>
      <c r="M151" s="373" t="s">
        <v>449</v>
      </c>
      <c r="N151" s="374"/>
      <c r="O151" s="753"/>
      <c r="P151" s="375"/>
      <c r="Q151" s="375"/>
      <c r="R151" s="575"/>
      <c r="S151" s="610"/>
      <c r="T151" s="510"/>
      <c r="U151" s="494">
        <f t="shared" si="17"/>
        <v>0</v>
      </c>
      <c r="V151" s="912"/>
      <c r="W151" s="561"/>
      <c r="X151" s="870"/>
      <c r="Y151" s="472"/>
    </row>
    <row r="152" spans="2:25" ht="14.25" customHeight="1">
      <c r="B152" s="372"/>
      <c r="C152" s="373"/>
      <c r="D152" s="374"/>
      <c r="E152" s="395"/>
      <c r="F152" s="431"/>
      <c r="G152" s="375"/>
      <c r="H152" s="561"/>
      <c r="I152" s="885"/>
      <c r="J152" s="885"/>
      <c r="K152" s="277"/>
      <c r="L152" s="372">
        <v>7</v>
      </c>
      <c r="M152" s="373" t="s">
        <v>449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12"/>
      <c r="W152" s="561"/>
      <c r="X152" s="870"/>
      <c r="Y152" s="472"/>
    </row>
    <row r="153" spans="2:25" ht="14.25" customHeight="1">
      <c r="B153" s="372"/>
      <c r="C153" s="373"/>
      <c r="D153" s="374"/>
      <c r="E153" s="395"/>
      <c r="F153" s="431"/>
      <c r="G153" s="375"/>
      <c r="H153" s="561"/>
      <c r="I153" s="885"/>
      <c r="J153" s="885"/>
      <c r="K153" s="277"/>
      <c r="L153" s="372">
        <v>7</v>
      </c>
      <c r="M153" s="373" t="s">
        <v>449</v>
      </c>
      <c r="N153" s="374"/>
      <c r="O153" s="632"/>
      <c r="P153" s="375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12"/>
      <c r="W153" s="561"/>
      <c r="X153" s="870"/>
      <c r="Y153" s="472"/>
    </row>
    <row r="154" spans="2:25" ht="14.25" customHeight="1">
      <c r="B154" s="372"/>
      <c r="C154" s="373"/>
      <c r="D154" s="374"/>
      <c r="E154" s="395"/>
      <c r="F154" s="431"/>
      <c r="G154" s="375"/>
      <c r="H154" s="561"/>
      <c r="I154" s="885"/>
      <c r="J154" s="885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 t="str">
        <f t="shared" si="18"/>
        <v/>
      </c>
      <c r="U154" s="494">
        <f t="shared" si="17"/>
        <v>0</v>
      </c>
      <c r="V154" s="912"/>
      <c r="W154" s="561"/>
      <c r="X154" s="870"/>
      <c r="Y154" s="472"/>
    </row>
    <row r="155" spans="2:25" ht="14.25" customHeight="1">
      <c r="B155" s="372"/>
      <c r="C155" s="373"/>
      <c r="D155" s="374"/>
      <c r="E155" s="395"/>
      <c r="F155" s="431"/>
      <c r="G155" s="375"/>
      <c r="H155" s="561"/>
      <c r="I155" s="885"/>
      <c r="J155" s="885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12"/>
      <c r="W155" s="561"/>
      <c r="X155" s="870"/>
      <c r="Y155" s="472"/>
    </row>
    <row r="156" spans="2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5"/>
      <c r="J156" s="885"/>
      <c r="K156" s="277"/>
      <c r="L156" s="372">
        <v>7</v>
      </c>
      <c r="M156" s="373" t="s">
        <v>449</v>
      </c>
      <c r="N156" s="374"/>
      <c r="O156" s="632"/>
      <c r="P156" s="431"/>
      <c r="Q156" s="375"/>
      <c r="R156" s="575"/>
      <c r="S156" s="610"/>
      <c r="T156" s="510"/>
      <c r="U156" s="494">
        <f t="shared" si="17"/>
        <v>0</v>
      </c>
      <c r="V156" s="912"/>
      <c r="W156" s="561"/>
      <c r="X156" s="870"/>
      <c r="Y156" s="472"/>
    </row>
    <row r="157" spans="2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5"/>
      <c r="J157" s="885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ref="T157:T325" si="19">IF(W157&gt;1,EOMONTH(W157,0),"")</f>
        <v/>
      </c>
      <c r="U157" s="494">
        <f t="shared" si="17"/>
        <v>0</v>
      </c>
      <c r="V157" s="912"/>
      <c r="W157" s="561"/>
      <c r="X157" s="870"/>
      <c r="Y157" s="472"/>
    </row>
    <row r="158" spans="2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5"/>
      <c r="J158" s="885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12"/>
      <c r="W158" s="561"/>
      <c r="X158" s="870"/>
      <c r="Y158" s="472"/>
    </row>
    <row r="159" spans="2:25" ht="14.25" customHeight="1">
      <c r="B159" s="372">
        <v>7</v>
      </c>
      <c r="C159" s="373"/>
      <c r="D159" s="374"/>
      <c r="E159" s="395"/>
      <c r="F159" s="431"/>
      <c r="G159" s="375"/>
      <c r="H159" s="561"/>
      <c r="I159" s="885"/>
      <c r="J159" s="885"/>
      <c r="K159" s="277"/>
      <c r="L159" s="372">
        <v>7</v>
      </c>
      <c r="M159" s="373" t="s">
        <v>449</v>
      </c>
      <c r="N159" s="374"/>
      <c r="O159" s="541"/>
      <c r="P159" s="431"/>
      <c r="Q159" s="375"/>
      <c r="R159" s="575"/>
      <c r="S159" s="610"/>
      <c r="T159" s="510" t="str">
        <f t="shared" si="19"/>
        <v/>
      </c>
      <c r="U159" s="494">
        <f t="shared" si="17"/>
        <v>0</v>
      </c>
      <c r="V159" s="912"/>
      <c r="W159" s="561"/>
      <c r="X159" s="870"/>
      <c r="Y159" s="472"/>
    </row>
    <row r="160" spans="2:25" ht="15" customHeight="1" thickBot="1">
      <c r="B160" s="305">
        <v>7</v>
      </c>
      <c r="C160" s="326"/>
      <c r="D160" s="318"/>
      <c r="E160" s="307"/>
      <c r="F160" s="447"/>
      <c r="G160" s="319"/>
      <c r="H160" s="562"/>
      <c r="I160" s="886"/>
      <c r="J160" s="886"/>
      <c r="K160" s="278"/>
      <c r="L160" s="305">
        <v>7</v>
      </c>
      <c r="M160" s="326" t="s">
        <v>449</v>
      </c>
      <c r="N160" s="318"/>
      <c r="O160" s="542"/>
      <c r="P160" s="447"/>
      <c r="Q160" s="319"/>
      <c r="R160" s="576"/>
      <c r="S160" s="611"/>
      <c r="T160" s="511" t="str">
        <f t="shared" si="19"/>
        <v/>
      </c>
      <c r="U160" s="495">
        <f t="shared" si="17"/>
        <v>0</v>
      </c>
      <c r="V160" s="913"/>
      <c r="W160" s="562"/>
      <c r="X160" s="871"/>
      <c r="Y160" s="472"/>
    </row>
    <row r="161" spans="1:25" ht="13.9" thickBot="1">
      <c r="A161" s="24"/>
      <c r="B161" s="279"/>
      <c r="C161" s="320"/>
      <c r="D161" s="297"/>
      <c r="E161" s="280"/>
      <c r="F161" s="443"/>
      <c r="G161" s="281"/>
      <c r="H161" s="563"/>
      <c r="I161" s="269"/>
      <c r="J161" s="269"/>
      <c r="K161" s="24"/>
      <c r="L161" s="279"/>
      <c r="M161" s="320"/>
      <c r="N161" s="297"/>
      <c r="O161" s="543"/>
      <c r="P161" s="443"/>
      <c r="Q161" s="281"/>
      <c r="R161" s="577"/>
      <c r="S161" s="612"/>
      <c r="T161" s="512" t="str">
        <f t="shared" si="19"/>
        <v/>
      </c>
      <c r="U161" s="500"/>
      <c r="V161" s="483"/>
      <c r="W161" s="563"/>
      <c r="X161" s="339"/>
      <c r="Y161" s="472"/>
    </row>
    <row r="162" spans="1:25" ht="14.25" customHeight="1">
      <c r="B162" s="321">
        <v>8</v>
      </c>
      <c r="C162" s="283" t="s">
        <v>472</v>
      </c>
      <c r="D162" s="322"/>
      <c r="E162" s="450"/>
      <c r="F162" s="404"/>
      <c r="G162" s="323"/>
      <c r="H162" s="564"/>
      <c r="I162" s="905">
        <f>D384+D385+D386</f>
        <v>2015000</v>
      </c>
      <c r="J162" s="905">
        <f>F384+F385+F386</f>
        <v>2177419.7394080805</v>
      </c>
      <c r="K162" s="286"/>
      <c r="L162" s="321">
        <v>8</v>
      </c>
      <c r="M162" s="413" t="s">
        <v>473</v>
      </c>
      <c r="N162" s="322"/>
      <c r="O162" s="550"/>
      <c r="P162" s="404"/>
      <c r="Q162" s="323"/>
      <c r="R162" s="578"/>
      <c r="S162" s="613"/>
      <c r="T162" s="513" t="str">
        <f t="shared" si="19"/>
        <v/>
      </c>
      <c r="U162" s="497">
        <f>(Q162/$X$162*$J$162)</f>
        <v>0</v>
      </c>
      <c r="V162" s="902">
        <f>J162-SUM(U162:U182)</f>
        <v>47805.181889298838</v>
      </c>
      <c r="W162" s="564"/>
      <c r="X162" s="908">
        <f>SUM(Q162:Q182)</f>
        <v>2175649.81</v>
      </c>
      <c r="Y162" s="472"/>
    </row>
    <row r="163" spans="1:25" ht="14.25" customHeight="1">
      <c r="B163" s="311">
        <v>8</v>
      </c>
      <c r="C163" s="312"/>
      <c r="D163" s="324" t="s">
        <v>474</v>
      </c>
      <c r="E163" s="403"/>
      <c r="F163" s="448"/>
      <c r="G163" s="313">
        <v>25000</v>
      </c>
      <c r="H163" s="528">
        <v>45899</v>
      </c>
      <c r="I163" s="906"/>
      <c r="J163" s="906"/>
      <c r="K163" s="290"/>
      <c r="L163" s="311">
        <v>8</v>
      </c>
      <c r="M163" s="420" t="s">
        <v>473</v>
      </c>
      <c r="N163" s="324" t="s">
        <v>475</v>
      </c>
      <c r="O163" s="313">
        <v>78963</v>
      </c>
      <c r="P163" s="702">
        <v>2</v>
      </c>
      <c r="Q163" s="313">
        <f>O163*P163</f>
        <v>157926</v>
      </c>
      <c r="R163" s="579" t="s">
        <v>476</v>
      </c>
      <c r="S163" s="614" t="s">
        <v>477</v>
      </c>
      <c r="T163" s="672">
        <v>45869</v>
      </c>
      <c r="U163" s="681">
        <v>159363.64106558694</v>
      </c>
      <c r="V163" s="903"/>
      <c r="W163" s="528">
        <v>45899</v>
      </c>
      <c r="X163" s="909"/>
      <c r="Y163" s="472"/>
    </row>
    <row r="164" spans="1:25" ht="14.25" customHeight="1">
      <c r="B164" s="311">
        <v>8</v>
      </c>
      <c r="C164" s="312"/>
      <c r="D164" s="324" t="s">
        <v>478</v>
      </c>
      <c r="E164" s="403"/>
      <c r="F164" s="448"/>
      <c r="G164" s="313">
        <v>540000</v>
      </c>
      <c r="H164" s="528">
        <v>45899</v>
      </c>
      <c r="I164" s="906"/>
      <c r="J164" s="906"/>
      <c r="K164" s="290"/>
      <c r="L164" s="311">
        <v>8</v>
      </c>
      <c r="M164" s="420" t="s">
        <v>473</v>
      </c>
      <c r="N164" s="324" t="s">
        <v>479</v>
      </c>
      <c r="O164" s="403"/>
      <c r="P164" s="448"/>
      <c r="Q164" s="313">
        <v>416290</v>
      </c>
      <c r="R164" s="579" t="s">
        <v>480</v>
      </c>
      <c r="S164" s="614" t="s">
        <v>481</v>
      </c>
      <c r="T164" s="672">
        <v>45869</v>
      </c>
      <c r="U164" s="681">
        <v>373906.90512172278</v>
      </c>
      <c r="V164" s="903"/>
      <c r="W164" s="528">
        <v>45899</v>
      </c>
      <c r="X164" s="909"/>
      <c r="Y164" s="472"/>
    </row>
    <row r="165" spans="1:25" ht="14.25" customHeight="1">
      <c r="B165" s="311"/>
      <c r="C165" s="312"/>
      <c r="D165" s="324"/>
      <c r="E165" s="403"/>
      <c r="F165" s="448"/>
      <c r="G165" s="313"/>
      <c r="H165" s="528"/>
      <c r="I165" s="906"/>
      <c r="J165" s="906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v>49639</v>
      </c>
      <c r="R165" s="579"/>
      <c r="S165" s="614" t="s">
        <v>483</v>
      </c>
      <c r="T165" s="672">
        <v>45869</v>
      </c>
      <c r="U165" s="681">
        <v>50090.876605844955</v>
      </c>
      <c r="V165" s="903"/>
      <c r="W165" s="528">
        <v>45899</v>
      </c>
      <c r="X165" s="909"/>
      <c r="Y165" s="472"/>
    </row>
    <row r="166" spans="1:25" ht="14.25" customHeight="1">
      <c r="B166" s="311"/>
      <c r="C166" s="312"/>
      <c r="D166" s="324"/>
      <c r="E166" s="403"/>
      <c r="F166" s="448"/>
      <c r="G166" s="313"/>
      <c r="H166" s="528"/>
      <c r="I166" s="906"/>
      <c r="J166" s="906"/>
      <c r="K166" s="290"/>
      <c r="L166" s="311">
        <v>8</v>
      </c>
      <c r="M166" s="420" t="s">
        <v>473</v>
      </c>
      <c r="N166" s="324" t="s">
        <v>482</v>
      </c>
      <c r="O166" s="403"/>
      <c r="P166" s="448"/>
      <c r="Q166" s="313">
        <f>-Q165</f>
        <v>-49639</v>
      </c>
      <c r="R166" s="579"/>
      <c r="S166" s="614" t="s">
        <v>483</v>
      </c>
      <c r="T166" s="672">
        <v>45900</v>
      </c>
      <c r="U166" s="498">
        <v>0</v>
      </c>
      <c r="V166" s="903"/>
      <c r="W166" s="528">
        <v>45900</v>
      </c>
      <c r="X166" s="909"/>
      <c r="Y166" s="472"/>
    </row>
    <row r="167" spans="1:25" ht="14.25" customHeight="1">
      <c r="B167" s="311"/>
      <c r="C167" s="312"/>
      <c r="D167" s="324"/>
      <c r="E167" s="403"/>
      <c r="F167" s="448"/>
      <c r="G167" s="313"/>
      <c r="H167" s="565"/>
      <c r="I167" s="906"/>
      <c r="J167" s="906"/>
      <c r="K167" s="290"/>
      <c r="L167" s="311">
        <v>8</v>
      </c>
      <c r="M167" s="420" t="s">
        <v>473</v>
      </c>
      <c r="N167" s="324" t="s">
        <v>484</v>
      </c>
      <c r="O167" s="686">
        <v>376996</v>
      </c>
      <c r="P167" s="685">
        <v>0.5</v>
      </c>
      <c r="Q167" s="313">
        <f>$O$167*P167</f>
        <v>188498</v>
      </c>
      <c r="R167" s="878" t="s">
        <v>485</v>
      </c>
      <c r="S167" s="614" t="s">
        <v>486</v>
      </c>
      <c r="T167" s="672">
        <v>45869</v>
      </c>
      <c r="U167" s="681">
        <v>190213.94585806647</v>
      </c>
      <c r="V167" s="903"/>
      <c r="W167" s="528">
        <v>45989</v>
      </c>
      <c r="X167" s="909"/>
      <c r="Y167" s="472"/>
    </row>
    <row r="168" spans="1:25" ht="14.25" customHeight="1">
      <c r="B168" s="311"/>
      <c r="C168" s="312"/>
      <c r="D168" s="324"/>
      <c r="E168" s="403"/>
      <c r="F168" s="448"/>
      <c r="G168" s="313"/>
      <c r="H168" s="565"/>
      <c r="I168" s="906"/>
      <c r="J168" s="906"/>
      <c r="K168" s="290"/>
      <c r="L168" s="311">
        <v>8</v>
      </c>
      <c r="M168" s="420" t="s">
        <v>473</v>
      </c>
      <c r="N168" s="324" t="s">
        <v>487</v>
      </c>
      <c r="O168" s="838">
        <f>O167/2</f>
        <v>188498</v>
      </c>
      <c r="P168" s="685">
        <v>0.5</v>
      </c>
      <c r="Q168" s="313">
        <f>$O$167*P168</f>
        <v>188498</v>
      </c>
      <c r="R168" s="880"/>
      <c r="S168" s="614" t="s">
        <v>486</v>
      </c>
      <c r="T168" s="672">
        <v>45869</v>
      </c>
      <c r="U168" s="681">
        <v>190213.94585806647</v>
      </c>
      <c r="V168" s="903"/>
      <c r="W168" s="528">
        <v>45989</v>
      </c>
      <c r="X168" s="909"/>
      <c r="Y168" s="472"/>
    </row>
    <row r="169" spans="1:25" ht="14.25" customHeight="1">
      <c r="B169" s="311"/>
      <c r="C169" s="312"/>
      <c r="D169" s="324"/>
      <c r="E169" s="403"/>
      <c r="F169" s="448"/>
      <c r="G169" s="313"/>
      <c r="H169" s="528"/>
      <c r="I169" s="906"/>
      <c r="J169" s="906"/>
      <c r="K169" s="290"/>
      <c r="L169" s="311">
        <v>8</v>
      </c>
      <c r="M169" s="420" t="s">
        <v>473</v>
      </c>
      <c r="N169" s="324" t="s">
        <v>478</v>
      </c>
      <c r="O169" s="403"/>
      <c r="P169" s="448"/>
      <c r="Q169" s="313">
        <v>264744.74</v>
      </c>
      <c r="R169" s="878" t="s">
        <v>488</v>
      </c>
      <c r="S169" s="614" t="s">
        <v>489</v>
      </c>
      <c r="T169" s="672">
        <v>45838</v>
      </c>
      <c r="U169" s="681">
        <v>311742.46060635644</v>
      </c>
      <c r="V169" s="903"/>
      <c r="W169" s="528">
        <v>45834</v>
      </c>
      <c r="X169" s="909"/>
      <c r="Y169" s="472"/>
    </row>
    <row r="170" spans="1:25" ht="14.25" customHeight="1">
      <c r="B170" s="311"/>
      <c r="C170" s="312"/>
      <c r="D170" s="324"/>
      <c r="E170" s="403"/>
      <c r="F170" s="448"/>
      <c r="G170" s="313"/>
      <c r="H170" s="528"/>
      <c r="I170" s="906"/>
      <c r="J170" s="906"/>
      <c r="K170" s="290"/>
      <c r="L170" s="311">
        <v>8</v>
      </c>
      <c r="M170" s="420" t="s">
        <v>473</v>
      </c>
      <c r="N170" s="324" t="s">
        <v>490</v>
      </c>
      <c r="O170" s="403"/>
      <c r="P170" s="448"/>
      <c r="Q170" s="313">
        <v>8911.2000000000007</v>
      </c>
      <c r="R170" s="879"/>
      <c r="S170" s="614" t="s">
        <v>489</v>
      </c>
      <c r="T170" s="672">
        <v>45838</v>
      </c>
      <c r="U170" s="681">
        <v>10493.124112514432</v>
      </c>
      <c r="V170" s="903"/>
      <c r="W170" s="528">
        <v>45834</v>
      </c>
      <c r="X170" s="909"/>
      <c r="Y170" s="472"/>
    </row>
    <row r="171" spans="1:25" ht="14.25" customHeight="1">
      <c r="B171" s="311"/>
      <c r="C171" s="312"/>
      <c r="D171" s="324"/>
      <c r="E171" s="403"/>
      <c r="F171" s="448"/>
      <c r="G171" s="313"/>
      <c r="H171" s="528"/>
      <c r="I171" s="906"/>
      <c r="J171" s="906"/>
      <c r="K171" s="290"/>
      <c r="L171" s="311">
        <v>8</v>
      </c>
      <c r="M171" s="420" t="s">
        <v>473</v>
      </c>
      <c r="N171" s="324" t="s">
        <v>491</v>
      </c>
      <c r="O171" s="403"/>
      <c r="P171" s="448"/>
      <c r="Q171" s="313">
        <v>500</v>
      </c>
      <c r="R171" s="880"/>
      <c r="S171" s="614" t="s">
        <v>489</v>
      </c>
      <c r="T171" s="672">
        <v>45838</v>
      </c>
      <c r="U171" s="681">
        <v>588.76044261796551</v>
      </c>
      <c r="V171" s="903"/>
      <c r="W171" s="528">
        <v>45834</v>
      </c>
      <c r="X171" s="909"/>
      <c r="Y171" s="472"/>
    </row>
    <row r="172" spans="1:25" ht="14.25" customHeight="1">
      <c r="B172" s="311"/>
      <c r="C172" s="312"/>
      <c r="D172" s="324"/>
      <c r="E172" s="403"/>
      <c r="F172" s="448"/>
      <c r="G172" s="313"/>
      <c r="H172" s="528"/>
      <c r="I172" s="906"/>
      <c r="J172" s="906"/>
      <c r="K172" s="290"/>
      <c r="L172" s="311">
        <v>8</v>
      </c>
      <c r="M172" s="420" t="s">
        <v>473</v>
      </c>
      <c r="N172" s="324" t="s">
        <v>492</v>
      </c>
      <c r="O172" s="403">
        <v>5</v>
      </c>
      <c r="P172" s="448">
        <v>2900</v>
      </c>
      <c r="Q172" s="313">
        <v>56604</v>
      </c>
      <c r="R172" s="579" t="s">
        <v>493</v>
      </c>
      <c r="S172" s="614" t="s">
        <v>494</v>
      </c>
      <c r="T172" s="672">
        <v>45900</v>
      </c>
      <c r="U172" s="715">
        <v>37374.055508281563</v>
      </c>
      <c r="V172" s="903"/>
      <c r="W172" s="528">
        <v>45897</v>
      </c>
      <c r="X172" s="909"/>
      <c r="Y172" s="472"/>
    </row>
    <row r="173" spans="1:25" ht="14.25" customHeight="1">
      <c r="B173" s="311"/>
      <c r="C173" s="312"/>
      <c r="D173" s="324"/>
      <c r="E173" s="403"/>
      <c r="F173" s="448"/>
      <c r="G173" s="313"/>
      <c r="H173" s="565"/>
      <c r="I173" s="906"/>
      <c r="J173" s="906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903"/>
      <c r="W173" s="565"/>
      <c r="X173" s="909"/>
      <c r="Y173" s="472"/>
    </row>
    <row r="174" spans="1:25" ht="14.25" customHeight="1">
      <c r="B174" s="311"/>
      <c r="C174" s="312"/>
      <c r="D174" s="324"/>
      <c r="E174" s="403"/>
      <c r="F174" s="448"/>
      <c r="G174" s="313"/>
      <c r="H174" s="565"/>
      <c r="I174" s="906"/>
      <c r="J174" s="906"/>
      <c r="K174" s="290"/>
      <c r="L174" s="311">
        <v>8</v>
      </c>
      <c r="M174" s="420" t="s">
        <v>473</v>
      </c>
      <c r="N174" s="324"/>
      <c r="O174" s="403"/>
      <c r="P174" s="448"/>
      <c r="Q174" s="313"/>
      <c r="R174" s="583"/>
      <c r="S174" s="614"/>
      <c r="T174" s="514"/>
      <c r="U174" s="498"/>
      <c r="V174" s="903"/>
      <c r="W174" s="565"/>
      <c r="X174" s="909"/>
      <c r="Y174" s="472"/>
    </row>
    <row r="175" spans="1:25" ht="14.25" customHeight="1">
      <c r="B175" s="311"/>
      <c r="C175" s="312"/>
      <c r="D175" s="324"/>
      <c r="E175" s="403"/>
      <c r="F175" s="448"/>
      <c r="G175" s="313"/>
      <c r="H175" s="528"/>
      <c r="I175" s="906"/>
      <c r="J175" s="906"/>
      <c r="K175" s="290"/>
      <c r="L175" s="311">
        <v>8</v>
      </c>
      <c r="M175" s="420" t="s">
        <v>473</v>
      </c>
      <c r="N175" s="324" t="s">
        <v>495</v>
      </c>
      <c r="O175" s="686">
        <v>282770</v>
      </c>
      <c r="P175" s="685">
        <v>0.5</v>
      </c>
      <c r="Q175" s="313">
        <f>O175*P175</f>
        <v>141385</v>
      </c>
      <c r="R175" s="878" t="s">
        <v>496</v>
      </c>
      <c r="S175" s="614" t="s">
        <v>497</v>
      </c>
      <c r="T175" s="672">
        <v>45869</v>
      </c>
      <c r="U175" s="681">
        <v>142672.06408101268</v>
      </c>
      <c r="V175" s="903"/>
      <c r="W175" s="528">
        <v>45855</v>
      </c>
      <c r="X175" s="909"/>
      <c r="Y175" s="472"/>
    </row>
    <row r="176" spans="1:25" ht="14.25" customHeight="1">
      <c r="B176" s="311"/>
      <c r="C176" s="312"/>
      <c r="D176" s="324"/>
      <c r="E176" s="403"/>
      <c r="F176" s="448"/>
      <c r="G176" s="313"/>
      <c r="H176" s="528"/>
      <c r="I176" s="906"/>
      <c r="J176" s="906"/>
      <c r="K176" s="290"/>
      <c r="L176" s="311">
        <v>8</v>
      </c>
      <c r="M176" s="420" t="s">
        <v>473</v>
      </c>
      <c r="N176" s="324" t="s">
        <v>498</v>
      </c>
      <c r="O176" s="403"/>
      <c r="P176" s="685">
        <v>0.5</v>
      </c>
      <c r="Q176" s="313">
        <f>O175*P176</f>
        <v>141385</v>
      </c>
      <c r="R176" s="880"/>
      <c r="S176" s="614" t="s">
        <v>499</v>
      </c>
      <c r="T176" s="672">
        <v>45900</v>
      </c>
      <c r="U176" s="715">
        <v>139002.42023511391</v>
      </c>
      <c r="V176" s="903"/>
      <c r="W176" s="528">
        <v>45910</v>
      </c>
      <c r="X176" s="909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250000</v>
      </c>
      <c r="H177" s="565">
        <f>H163</f>
        <v>45899</v>
      </c>
      <c r="I177" s="906"/>
      <c r="J177" s="906"/>
      <c r="K177" s="290"/>
      <c r="L177" s="311">
        <v>8</v>
      </c>
      <c r="M177" s="420" t="s">
        <v>473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(Q177/$X$162*$J$162)</f>
        <v>0</v>
      </c>
      <c r="V177" s="903"/>
      <c r="W177" s="565"/>
      <c r="X177" s="909"/>
      <c r="Y177" s="472"/>
    </row>
    <row r="178" spans="1:25" ht="14.25" customHeight="1">
      <c r="B178" s="311">
        <v>8</v>
      </c>
      <c r="C178" s="312"/>
      <c r="D178" s="324" t="s">
        <v>501</v>
      </c>
      <c r="E178" s="403"/>
      <c r="F178" s="448"/>
      <c r="G178" s="313">
        <v>600000</v>
      </c>
      <c r="H178" s="565">
        <f>H163</f>
        <v>45899</v>
      </c>
      <c r="I178" s="906"/>
      <c r="J178" s="906"/>
      <c r="K178" s="290"/>
      <c r="L178" s="311">
        <v>8</v>
      </c>
      <c r="M178" s="420" t="s">
        <v>473</v>
      </c>
      <c r="N178" s="324" t="s">
        <v>502</v>
      </c>
      <c r="O178" s="403"/>
      <c r="P178" s="448"/>
      <c r="Q178" s="313">
        <v>9531.6</v>
      </c>
      <c r="R178" s="579" t="s">
        <v>503</v>
      </c>
      <c r="S178" s="614" t="s">
        <v>504</v>
      </c>
      <c r="T178" s="672">
        <v>46081</v>
      </c>
      <c r="U178" s="498"/>
      <c r="V178" s="903"/>
      <c r="W178" s="565">
        <f>T178+7</f>
        <v>46088</v>
      </c>
      <c r="X178" s="909"/>
      <c r="Y178" s="472"/>
    </row>
    <row r="179" spans="1:25" ht="14.25" customHeight="1">
      <c r="B179" s="311">
        <v>8</v>
      </c>
      <c r="C179" s="312"/>
      <c r="D179" s="324" t="s">
        <v>505</v>
      </c>
      <c r="E179" s="403"/>
      <c r="F179" s="448"/>
      <c r="G179" s="313">
        <v>600000</v>
      </c>
      <c r="H179" s="565">
        <f>H164</f>
        <v>45899</v>
      </c>
      <c r="I179" s="906"/>
      <c r="J179" s="906"/>
      <c r="K179" s="290"/>
      <c r="L179" s="311">
        <v>8</v>
      </c>
      <c r="M179" s="420" t="s">
        <v>473</v>
      </c>
      <c r="N179" s="324"/>
      <c r="O179" s="403"/>
      <c r="P179" s="448"/>
      <c r="Q179" s="313"/>
      <c r="R179" s="579"/>
      <c r="S179" s="614"/>
      <c r="T179" s="514" t="str">
        <f t="shared" si="19"/>
        <v/>
      </c>
      <c r="U179" s="498"/>
      <c r="V179" s="903"/>
      <c r="W179" s="565"/>
      <c r="X179" s="909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5"/>
      <c r="I180" s="906"/>
      <c r="J180" s="906"/>
      <c r="K180" s="290"/>
      <c r="L180" s="311">
        <v>8</v>
      </c>
      <c r="M180" s="420" t="s">
        <v>473</v>
      </c>
      <c r="N180" s="324" t="s">
        <v>506</v>
      </c>
      <c r="O180" s="548"/>
      <c r="P180" s="448"/>
      <c r="Q180" s="313">
        <v>1376.27</v>
      </c>
      <c r="R180" s="579"/>
      <c r="S180" s="842" t="s">
        <v>507</v>
      </c>
      <c r="T180" s="778">
        <v>45961</v>
      </c>
      <c r="U180" s="779">
        <v>1352.2371916952748</v>
      </c>
      <c r="V180" s="903"/>
      <c r="W180" s="767">
        <v>45940</v>
      </c>
      <c r="X180" s="909"/>
      <c r="Y180" s="472"/>
    </row>
    <row r="181" spans="1:25" ht="14.25" customHeight="1">
      <c r="B181" s="311">
        <v>8</v>
      </c>
      <c r="C181" s="312"/>
      <c r="D181" s="324"/>
      <c r="E181" s="403"/>
      <c r="F181" s="448"/>
      <c r="G181" s="313"/>
      <c r="H181" s="568"/>
      <c r="I181" s="906"/>
      <c r="J181" s="906"/>
      <c r="K181" s="290"/>
      <c r="L181" s="311">
        <v>8</v>
      </c>
      <c r="M181" s="420" t="s">
        <v>473</v>
      </c>
      <c r="N181" s="324"/>
      <c r="O181" s="548"/>
      <c r="P181" s="448"/>
      <c r="Q181" s="313"/>
      <c r="R181" s="583"/>
      <c r="S181" s="618"/>
      <c r="T181" s="517" t="str">
        <f t="shared" si="19"/>
        <v/>
      </c>
      <c r="U181" s="503">
        <f>(Q181/$X$162*$J$162)</f>
        <v>0</v>
      </c>
      <c r="V181" s="903"/>
      <c r="W181" s="568"/>
      <c r="X181" s="909"/>
      <c r="Y181" s="472"/>
    </row>
    <row r="182" spans="1:25" ht="15" customHeight="1" thickBot="1">
      <c r="B182" s="311">
        <v>8</v>
      </c>
      <c r="C182" s="292"/>
      <c r="D182" s="293"/>
      <c r="E182" s="445"/>
      <c r="F182" s="442"/>
      <c r="G182" s="294"/>
      <c r="H182" s="566"/>
      <c r="I182" s="907"/>
      <c r="J182" s="907"/>
      <c r="K182" s="295"/>
      <c r="L182" s="291">
        <v>8</v>
      </c>
      <c r="M182" s="419" t="s">
        <v>473</v>
      </c>
      <c r="N182" s="293" t="s">
        <v>505</v>
      </c>
      <c r="O182" s="549"/>
      <c r="P182" s="442"/>
      <c r="Q182" s="294">
        <v>600000</v>
      </c>
      <c r="R182" s="696"/>
      <c r="S182" s="615" t="s">
        <v>508</v>
      </c>
      <c r="T182" s="712">
        <v>45900</v>
      </c>
      <c r="U182" s="719">
        <v>522600.12083190132</v>
      </c>
      <c r="V182" s="904"/>
      <c r="W182" s="566">
        <f>'Revenue Tracking'!P20+7</f>
        <v>46154</v>
      </c>
      <c r="X182" s="910"/>
      <c r="Y182" s="472"/>
    </row>
    <row r="183" spans="1:25" ht="22.5" customHeight="1" thickBot="1">
      <c r="A183" s="24"/>
      <c r="B183" s="325"/>
      <c r="C183" s="154"/>
      <c r="D183" s="154"/>
      <c r="E183" s="154"/>
      <c r="F183" s="456"/>
      <c r="G183" s="154"/>
      <c r="H183" s="530"/>
      <c r="I183" s="426"/>
      <c r="J183" s="427"/>
      <c r="K183" s="154"/>
      <c r="L183" s="325"/>
      <c r="M183" s="154"/>
      <c r="N183" s="154"/>
      <c r="O183" s="551"/>
      <c r="P183" s="456"/>
      <c r="Q183" s="154"/>
      <c r="R183" s="585"/>
      <c r="S183" s="325"/>
      <c r="T183" s="519" t="str">
        <f t="shared" si="19"/>
        <v/>
      </c>
      <c r="U183" s="485"/>
      <c r="V183" s="485"/>
      <c r="W183" s="530"/>
      <c r="X183" s="426"/>
      <c r="Y183" s="472"/>
    </row>
    <row r="184" spans="1:25" ht="15" customHeight="1" thickBot="1">
      <c r="B184" s="300">
        <v>9</v>
      </c>
      <c r="C184" s="429" t="s">
        <v>509</v>
      </c>
      <c r="D184" s="316" t="s">
        <v>510</v>
      </c>
      <c r="E184" s="303"/>
      <c r="F184" s="424">
        <f>G184/7000000</f>
        <v>0.15172285714285713</v>
      </c>
      <c r="G184" s="604">
        <f>D391</f>
        <v>1062060</v>
      </c>
      <c r="H184" s="567">
        <f>H185</f>
        <v>45834</v>
      </c>
      <c r="I184" s="896">
        <f>SUM(G184:G226)</f>
        <v>4360411.2369999997</v>
      </c>
      <c r="J184" s="884">
        <f>F391+F392</f>
        <v>5129895.5729411766</v>
      </c>
      <c r="K184" s="277"/>
      <c r="L184" s="300">
        <v>9</v>
      </c>
      <c r="M184" s="411" t="s">
        <v>511</v>
      </c>
      <c r="N184" s="635" t="s">
        <v>512</v>
      </c>
      <c r="O184" s="540"/>
      <c r="P184" s="424"/>
      <c r="Q184" s="304"/>
      <c r="R184" s="581"/>
      <c r="S184" s="616"/>
      <c r="T184" s="516"/>
      <c r="U184" s="501">
        <f>(Q184/$X$184*$J$184)</f>
        <v>0</v>
      </c>
      <c r="V184" s="872">
        <f>J184-SUM(U184:U226)</f>
        <v>2.478407695889473E-3</v>
      </c>
      <c r="W184" s="567"/>
      <c r="X184" s="899">
        <f>SUM(Q184:Q226)</f>
        <v>8055680</v>
      </c>
      <c r="Y184" s="472"/>
    </row>
    <row r="185" spans="1:25" ht="15" customHeight="1">
      <c r="B185" s="300">
        <v>9</v>
      </c>
      <c r="C185" s="429"/>
      <c r="D185" s="317" t="s">
        <v>513</v>
      </c>
      <c r="E185" s="303"/>
      <c r="F185" s="424">
        <f>G185/7000000</f>
        <v>0.47119303385714284</v>
      </c>
      <c r="G185" s="604">
        <f>D392</f>
        <v>3298351.2369999997</v>
      </c>
      <c r="H185" s="524">
        <v>45834</v>
      </c>
      <c r="I185" s="897"/>
      <c r="J185" s="885"/>
      <c r="K185" s="277"/>
      <c r="L185" s="300">
        <v>9</v>
      </c>
      <c r="M185" s="411" t="s">
        <v>511</v>
      </c>
      <c r="N185" s="317" t="s">
        <v>514</v>
      </c>
      <c r="O185" s="558">
        <f>AC20*0.6</f>
        <v>2400000</v>
      </c>
      <c r="P185" s="638">
        <v>0.17499999999999999</v>
      </c>
      <c r="Q185" s="304">
        <f>$O$185*P185</f>
        <v>420000</v>
      </c>
      <c r="R185" s="881" t="s">
        <v>386</v>
      </c>
      <c r="S185" s="609" t="s">
        <v>387</v>
      </c>
      <c r="T185" s="670">
        <v>45838</v>
      </c>
      <c r="U185" s="679">
        <v>326447.90009625664</v>
      </c>
      <c r="V185" s="873"/>
      <c r="W185" s="524">
        <v>45834</v>
      </c>
      <c r="X185" s="900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25"/>
      <c r="I186" s="897"/>
      <c r="J186" s="885"/>
      <c r="K186" s="277"/>
      <c r="L186" s="372">
        <v>9</v>
      </c>
      <c r="M186" s="492" t="s">
        <v>511</v>
      </c>
      <c r="N186" s="374" t="s">
        <v>515</v>
      </c>
      <c r="O186" s="637">
        <f>O185/4000000</f>
        <v>0.6</v>
      </c>
      <c r="P186" s="639">
        <v>0.2</v>
      </c>
      <c r="Q186" s="304">
        <f t="shared" ref="Q186:Q192" si="20">$O$185*P186</f>
        <v>480000</v>
      </c>
      <c r="R186" s="882"/>
      <c r="S186" s="610" t="s">
        <v>389</v>
      </c>
      <c r="T186" s="670">
        <v>45869</v>
      </c>
      <c r="U186" s="680">
        <v>242313.05694970069</v>
      </c>
      <c r="V186" s="873"/>
      <c r="W186" s="525">
        <v>45904</v>
      </c>
      <c r="X186" s="900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97"/>
      <c r="J187" s="885"/>
      <c r="K187" s="277"/>
      <c r="L187" s="372">
        <v>9</v>
      </c>
      <c r="M187" s="492" t="s">
        <v>511</v>
      </c>
      <c r="N187" s="374" t="s">
        <v>516</v>
      </c>
      <c r="O187" s="541"/>
      <c r="P187" s="639">
        <v>0.2</v>
      </c>
      <c r="Q187" s="776">
        <f t="shared" si="20"/>
        <v>480000</v>
      </c>
      <c r="R187" s="882"/>
      <c r="S187" s="610" t="s">
        <v>391</v>
      </c>
      <c r="T187" s="670">
        <v>45900</v>
      </c>
      <c r="U187" s="718">
        <v>242313.04694970069</v>
      </c>
      <c r="V187" s="873"/>
      <c r="W187" s="762">
        <v>45932</v>
      </c>
      <c r="X187" s="900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97"/>
      <c r="J188" s="885"/>
      <c r="K188" s="277"/>
      <c r="L188" s="372">
        <v>9</v>
      </c>
      <c r="M188" s="492" t="s">
        <v>511</v>
      </c>
      <c r="N188" s="374" t="s">
        <v>517</v>
      </c>
      <c r="O188" s="541"/>
      <c r="P188" s="639">
        <v>0.1</v>
      </c>
      <c r="Q188" s="776">
        <f t="shared" si="20"/>
        <v>240000</v>
      </c>
      <c r="R188" s="882"/>
      <c r="S188" s="610" t="s">
        <v>391</v>
      </c>
      <c r="T188" s="670">
        <v>45900</v>
      </c>
      <c r="U188" s="718">
        <v>152833.14847485034</v>
      </c>
      <c r="V188" s="873"/>
      <c r="W188" s="762">
        <v>45932</v>
      </c>
      <c r="X188" s="900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97"/>
      <c r="J189" s="885"/>
      <c r="K189" s="277"/>
      <c r="L189" s="372">
        <v>9</v>
      </c>
      <c r="M189" s="492" t="s">
        <v>511</v>
      </c>
      <c r="N189" s="828" t="s">
        <v>518</v>
      </c>
      <c r="O189" s="829"/>
      <c r="P189" s="830">
        <v>0.2</v>
      </c>
      <c r="Q189" s="831">
        <f t="shared" si="20"/>
        <v>480000</v>
      </c>
      <c r="R189" s="882"/>
      <c r="S189" s="610" t="s">
        <v>519</v>
      </c>
      <c r="T189" s="670">
        <v>46053</v>
      </c>
      <c r="U189" s="805">
        <v>305666.29694970069</v>
      </c>
      <c r="V189" s="873"/>
      <c r="W189" s="525">
        <v>46045</v>
      </c>
      <c r="X189" s="900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97"/>
      <c r="J190" s="885"/>
      <c r="K190" s="277"/>
      <c r="L190" s="372">
        <v>9</v>
      </c>
      <c r="M190" s="492" t="s">
        <v>511</v>
      </c>
      <c r="N190" s="828" t="s">
        <v>520</v>
      </c>
      <c r="O190" s="829"/>
      <c r="P190" s="830">
        <v>0.05</v>
      </c>
      <c r="Q190" s="831">
        <f t="shared" si="20"/>
        <v>120000</v>
      </c>
      <c r="R190" s="882"/>
      <c r="S190" s="610" t="s">
        <v>519</v>
      </c>
      <c r="T190" s="670">
        <v>46053</v>
      </c>
      <c r="U190" s="805">
        <v>76416.574237425171</v>
      </c>
      <c r="V190" s="873"/>
      <c r="W190" s="525">
        <f>W189</f>
        <v>46045</v>
      </c>
      <c r="X190" s="900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97"/>
      <c r="J191" s="885"/>
      <c r="K191" s="277"/>
      <c r="L191" s="372">
        <v>9</v>
      </c>
      <c r="M191" s="492" t="s">
        <v>511</v>
      </c>
      <c r="N191" s="374" t="s">
        <v>521</v>
      </c>
      <c r="O191" s="541"/>
      <c r="P191" s="639">
        <v>0.05</v>
      </c>
      <c r="Q191" s="304">
        <f t="shared" si="20"/>
        <v>120000</v>
      </c>
      <c r="R191" s="882"/>
      <c r="S191" s="610" t="s">
        <v>519</v>
      </c>
      <c r="T191" s="670">
        <v>46053</v>
      </c>
      <c r="U191" s="805">
        <v>76416.574237425171</v>
      </c>
      <c r="V191" s="873"/>
      <c r="W191" s="561">
        <f>'Project Plan'!K110+7</f>
        <v>46084</v>
      </c>
      <c r="X191" s="900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97"/>
      <c r="J192" s="885"/>
      <c r="K192" s="277"/>
      <c r="L192" s="372">
        <v>9</v>
      </c>
      <c r="M192" s="492" t="s">
        <v>511</v>
      </c>
      <c r="N192" s="374" t="s">
        <v>522</v>
      </c>
      <c r="O192" s="541"/>
      <c r="P192" s="639">
        <v>2.5000000000000001E-2</v>
      </c>
      <c r="Q192" s="304">
        <f t="shared" si="20"/>
        <v>60000</v>
      </c>
      <c r="R192" s="882"/>
      <c r="S192" s="610" t="s">
        <v>519</v>
      </c>
      <c r="T192" s="670">
        <v>46053</v>
      </c>
      <c r="U192" s="805">
        <v>38208.287118712586</v>
      </c>
      <c r="V192" s="873"/>
      <c r="W192" s="561">
        <f>W191+30</f>
        <v>46114</v>
      </c>
      <c r="X192" s="900"/>
      <c r="Y192" s="472"/>
    </row>
    <row r="193" spans="2:25" ht="15" customHeight="1">
      <c r="B193" s="372">
        <v>9</v>
      </c>
      <c r="C193" s="491"/>
      <c r="D193" s="374"/>
      <c r="E193" s="395"/>
      <c r="F193" s="431"/>
      <c r="G193" s="375"/>
      <c r="H193" s="561"/>
      <c r="I193" s="897"/>
      <c r="J193" s="885"/>
      <c r="K193" s="277"/>
      <c r="L193" s="372">
        <v>9</v>
      </c>
      <c r="M193" s="492" t="s">
        <v>511</v>
      </c>
      <c r="N193" s="374"/>
      <c r="O193" s="541"/>
      <c r="P193" s="640"/>
      <c r="Q193" s="375"/>
      <c r="R193" s="882"/>
      <c r="S193" s="610"/>
      <c r="T193" s="510"/>
      <c r="U193" s="494">
        <f t="shared" ref="U193:U194" si="21">(Q193/$X$184*$J$184)</f>
        <v>0</v>
      </c>
      <c r="V193" s="873"/>
      <c r="W193" s="561"/>
      <c r="X193" s="900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61"/>
      <c r="I194" s="897"/>
      <c r="J194" s="885"/>
      <c r="K194" s="277"/>
      <c r="L194" s="372">
        <v>9</v>
      </c>
      <c r="M194" s="492" t="s">
        <v>511</v>
      </c>
      <c r="N194" s="636" t="s">
        <v>523</v>
      </c>
      <c r="O194" s="541"/>
      <c r="P194" s="640"/>
      <c r="Q194" s="375"/>
      <c r="R194" s="882"/>
      <c r="S194" s="610"/>
      <c r="T194" s="510"/>
      <c r="U194" s="494">
        <f t="shared" si="21"/>
        <v>0</v>
      </c>
      <c r="V194" s="873"/>
      <c r="W194" s="561"/>
      <c r="X194" s="900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97"/>
      <c r="J195" s="885"/>
      <c r="K195" s="277"/>
      <c r="L195" s="372">
        <v>9</v>
      </c>
      <c r="M195" s="492" t="s">
        <v>511</v>
      </c>
      <c r="N195" s="317" t="s">
        <v>514</v>
      </c>
      <c r="O195" s="558">
        <f>AC27*0.6</f>
        <v>1500000</v>
      </c>
      <c r="P195" s="638">
        <f>P185</f>
        <v>0.17499999999999999</v>
      </c>
      <c r="Q195" s="304">
        <f>$O$195*P195</f>
        <v>262500</v>
      </c>
      <c r="R195" s="882"/>
      <c r="S195" s="610" t="s">
        <v>387</v>
      </c>
      <c r="T195" s="670">
        <v>45838</v>
      </c>
      <c r="U195" s="680">
        <v>204029.93756016044</v>
      </c>
      <c r="V195" s="873"/>
      <c r="W195" s="525">
        <f>W185</f>
        <v>45834</v>
      </c>
      <c r="X195" s="900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25"/>
      <c r="I196" s="897"/>
      <c r="J196" s="885"/>
      <c r="K196" s="277"/>
      <c r="L196" s="372">
        <v>9</v>
      </c>
      <c r="M196" s="492" t="s">
        <v>511</v>
      </c>
      <c r="N196" s="374" t="s">
        <v>515</v>
      </c>
      <c r="O196" s="637">
        <f>O195/3000000</f>
        <v>0.5</v>
      </c>
      <c r="P196" s="638">
        <f t="shared" ref="P196:P198" si="22">P186</f>
        <v>0.2</v>
      </c>
      <c r="Q196" s="304">
        <f t="shared" ref="Q196:Q204" si="23">$O$195*P196</f>
        <v>300000</v>
      </c>
      <c r="R196" s="882"/>
      <c r="S196" s="610" t="s">
        <v>389</v>
      </c>
      <c r="T196" s="670">
        <v>45869</v>
      </c>
      <c r="U196" s="680">
        <v>191041.43559356293</v>
      </c>
      <c r="V196" s="873"/>
      <c r="W196" s="525">
        <f>W186</f>
        <v>45904</v>
      </c>
      <c r="X196" s="900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97"/>
      <c r="J197" s="885"/>
      <c r="K197" s="277"/>
      <c r="L197" s="372">
        <v>9</v>
      </c>
      <c r="M197" s="492" t="s">
        <v>511</v>
      </c>
      <c r="N197" s="374" t="s">
        <v>516</v>
      </c>
      <c r="O197" s="541"/>
      <c r="P197" s="638">
        <f t="shared" si="22"/>
        <v>0.2</v>
      </c>
      <c r="Q197" s="720">
        <f t="shared" si="23"/>
        <v>300000</v>
      </c>
      <c r="R197" s="882"/>
      <c r="S197" s="610" t="s">
        <v>391</v>
      </c>
      <c r="T197" s="670">
        <v>45900</v>
      </c>
      <c r="U197" s="718">
        <v>191041.43559356293</v>
      </c>
      <c r="V197" s="873"/>
      <c r="W197" s="525">
        <v>46360</v>
      </c>
      <c r="X197" s="900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97"/>
      <c r="J198" s="885"/>
      <c r="K198" s="277"/>
      <c r="L198" s="372">
        <v>9</v>
      </c>
      <c r="M198" s="492" t="s">
        <v>511</v>
      </c>
      <c r="N198" s="374" t="s">
        <v>517</v>
      </c>
      <c r="O198" s="541"/>
      <c r="P198" s="638">
        <f t="shared" si="22"/>
        <v>0.1</v>
      </c>
      <c r="Q198" s="720">
        <f t="shared" si="23"/>
        <v>150000</v>
      </c>
      <c r="R198" s="882"/>
      <c r="S198" s="610" t="s">
        <v>391</v>
      </c>
      <c r="T198" s="670">
        <v>45900</v>
      </c>
      <c r="U198" s="718">
        <v>95520.717796781464</v>
      </c>
      <c r="V198" s="873"/>
      <c r="W198" s="774">
        <v>46079</v>
      </c>
      <c r="X198" s="900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97"/>
      <c r="J199" s="885"/>
      <c r="K199" s="277"/>
      <c r="L199" s="372">
        <v>9</v>
      </c>
      <c r="M199" s="492" t="s">
        <v>511</v>
      </c>
      <c r="N199" s="374" t="s">
        <v>524</v>
      </c>
      <c r="O199" s="541"/>
      <c r="P199" s="638">
        <v>0.15</v>
      </c>
      <c r="Q199" s="720">
        <f t="shared" si="23"/>
        <v>225000</v>
      </c>
      <c r="R199" s="882"/>
      <c r="S199" s="610" t="s">
        <v>391</v>
      </c>
      <c r="T199" s="670">
        <v>45900</v>
      </c>
      <c r="U199" s="718">
        <v>191041.43559356293</v>
      </c>
      <c r="V199" s="873"/>
      <c r="W199" s="525">
        <v>46009</v>
      </c>
      <c r="X199" s="900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97"/>
      <c r="J200" s="885"/>
      <c r="K200" s="277"/>
      <c r="L200" s="372"/>
      <c r="M200" s="492" t="s">
        <v>511</v>
      </c>
      <c r="N200" s="374" t="s">
        <v>525</v>
      </c>
      <c r="O200" s="541"/>
      <c r="P200" s="638">
        <v>0.05</v>
      </c>
      <c r="Q200" s="720">
        <f>O195*P200</f>
        <v>75000</v>
      </c>
      <c r="R200" s="882"/>
      <c r="S200" s="610" t="s">
        <v>391</v>
      </c>
      <c r="T200" s="670">
        <v>45900</v>
      </c>
      <c r="U200" s="718" t="s">
        <v>103</v>
      </c>
      <c r="V200" s="873"/>
      <c r="W200" s="525">
        <v>46015</v>
      </c>
      <c r="X200" s="900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97"/>
      <c r="J201" s="885"/>
      <c r="K201" s="277"/>
      <c r="L201" s="372">
        <v>9</v>
      </c>
      <c r="M201" s="492" t="s">
        <v>511</v>
      </c>
      <c r="N201" s="374" t="s">
        <v>526</v>
      </c>
      <c r="O201" s="541"/>
      <c r="P201" s="818">
        <v>3.7499999999999999E-2</v>
      </c>
      <c r="Q201" s="720">
        <f t="shared" si="23"/>
        <v>56250</v>
      </c>
      <c r="R201" s="882"/>
      <c r="S201" s="610" t="s">
        <v>391</v>
      </c>
      <c r="T201" s="670">
        <v>45900</v>
      </c>
      <c r="U201" s="718">
        <v>47760.358898390732</v>
      </c>
      <c r="V201" s="873"/>
      <c r="W201" s="525">
        <v>46009</v>
      </c>
      <c r="X201" s="900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97"/>
      <c r="J202" s="885"/>
      <c r="K202" s="277"/>
      <c r="L202" s="372"/>
      <c r="M202" s="492" t="s">
        <v>511</v>
      </c>
      <c r="N202" s="374" t="s">
        <v>527</v>
      </c>
      <c r="O202" s="541"/>
      <c r="P202" s="818">
        <v>1.2500000000000001E-2</v>
      </c>
      <c r="Q202" s="720">
        <f>O195*P202</f>
        <v>18750</v>
      </c>
      <c r="R202" s="882"/>
      <c r="S202" s="610" t="s">
        <v>391</v>
      </c>
      <c r="T202" s="670">
        <v>45900</v>
      </c>
      <c r="U202" s="718">
        <v>0</v>
      </c>
      <c r="V202" s="873"/>
      <c r="W202" s="774">
        <v>46015</v>
      </c>
      <c r="X202" s="900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97"/>
      <c r="J203" s="885"/>
      <c r="K203" s="277"/>
      <c r="L203" s="372">
        <v>9</v>
      </c>
      <c r="M203" s="492" t="s">
        <v>511</v>
      </c>
      <c r="N203" s="374" t="s">
        <v>521</v>
      </c>
      <c r="O203" s="541"/>
      <c r="P203" s="638">
        <f>P191</f>
        <v>0.05</v>
      </c>
      <c r="Q203" s="304">
        <f t="shared" si="23"/>
        <v>75000</v>
      </c>
      <c r="R203" s="882"/>
      <c r="S203" s="610" t="s">
        <v>519</v>
      </c>
      <c r="T203" s="670">
        <v>46053</v>
      </c>
      <c r="U203" s="805">
        <v>47760.358898390732</v>
      </c>
      <c r="V203" s="873"/>
      <c r="W203" s="561">
        <f>W191</f>
        <v>46084</v>
      </c>
      <c r="X203" s="900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97"/>
      <c r="J204" s="885"/>
      <c r="K204" s="277"/>
      <c r="L204" s="372">
        <v>9</v>
      </c>
      <c r="M204" s="492" t="s">
        <v>511</v>
      </c>
      <c r="N204" s="374" t="s">
        <v>522</v>
      </c>
      <c r="O204" s="541"/>
      <c r="P204" s="638">
        <f>P192</f>
        <v>2.5000000000000001E-2</v>
      </c>
      <c r="Q204" s="304">
        <f t="shared" si="23"/>
        <v>37500</v>
      </c>
      <c r="R204" s="882"/>
      <c r="S204" s="610" t="s">
        <v>519</v>
      </c>
      <c r="T204" s="670">
        <v>46053</v>
      </c>
      <c r="U204" s="805">
        <v>23880.179449195366</v>
      </c>
      <c r="V204" s="873"/>
      <c r="W204" s="561">
        <f>W203+30</f>
        <v>46114</v>
      </c>
      <c r="X204" s="900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97"/>
      <c r="J205" s="885"/>
      <c r="K205" s="277"/>
      <c r="L205" s="372">
        <v>9</v>
      </c>
      <c r="M205" s="492" t="s">
        <v>511</v>
      </c>
      <c r="N205" s="374"/>
      <c r="O205" s="541"/>
      <c r="P205" s="557"/>
      <c r="Q205" s="375"/>
      <c r="R205" s="882"/>
      <c r="S205" s="610"/>
      <c r="T205" s="510"/>
      <c r="U205" s="494"/>
      <c r="V205" s="873"/>
      <c r="W205" s="561"/>
      <c r="X205" s="900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61"/>
      <c r="I206" s="897"/>
      <c r="J206" s="885"/>
      <c r="K206" s="277"/>
      <c r="L206" s="372">
        <v>9</v>
      </c>
      <c r="M206" s="492" t="s">
        <v>511</v>
      </c>
      <c r="N206" s="636" t="s">
        <v>528</v>
      </c>
      <c r="O206" s="637"/>
      <c r="P206" s="557"/>
      <c r="Q206" s="375"/>
      <c r="R206" s="882"/>
      <c r="S206" s="610"/>
      <c r="T206" s="510"/>
      <c r="U206" s="494"/>
      <c r="V206" s="873"/>
      <c r="W206" s="561"/>
      <c r="X206" s="900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97"/>
      <c r="J207" s="885"/>
      <c r="K207" s="277"/>
      <c r="L207" s="372">
        <v>9</v>
      </c>
      <c r="M207" s="492" t="s">
        <v>511</v>
      </c>
      <c r="N207" s="317" t="s">
        <v>514</v>
      </c>
      <c r="O207" s="637">
        <f>AC20*0.3+AC27*0.3</f>
        <v>1950000</v>
      </c>
      <c r="P207" s="639">
        <v>0.17499999999999999</v>
      </c>
      <c r="Q207" s="304">
        <f>$O$207*P207</f>
        <v>341250</v>
      </c>
      <c r="R207" s="882"/>
      <c r="S207" s="610" t="s">
        <v>387</v>
      </c>
      <c r="T207" s="670">
        <v>45838</v>
      </c>
      <c r="U207" s="680">
        <v>265238.91882820858</v>
      </c>
      <c r="V207" s="873"/>
      <c r="W207" s="525">
        <f>W195</f>
        <v>45834</v>
      </c>
      <c r="X207" s="900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25"/>
      <c r="I208" s="897"/>
      <c r="J208" s="885"/>
      <c r="K208" s="277"/>
      <c r="L208" s="372">
        <v>9</v>
      </c>
      <c r="M208" s="492" t="s">
        <v>511</v>
      </c>
      <c r="N208" s="374" t="s">
        <v>515</v>
      </c>
      <c r="O208" s="637">
        <f>O207/7000000</f>
        <v>0.27857142857142858</v>
      </c>
      <c r="P208" s="639">
        <v>0.2</v>
      </c>
      <c r="Q208" s="304">
        <f t="shared" ref="Q208:Q215" si="24">$O$207*P208</f>
        <v>390000</v>
      </c>
      <c r="R208" s="882"/>
      <c r="S208" s="610" t="s">
        <v>389</v>
      </c>
      <c r="T208" s="670">
        <v>45869</v>
      </c>
      <c r="U208" s="680">
        <v>248353.86627163179</v>
      </c>
      <c r="V208" s="873"/>
      <c r="W208" s="525">
        <f>W196</f>
        <v>45904</v>
      </c>
      <c r="X208" s="900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97"/>
      <c r="J209" s="885"/>
      <c r="K209" s="277"/>
      <c r="L209" s="372">
        <v>9</v>
      </c>
      <c r="M209" s="492" t="s">
        <v>511</v>
      </c>
      <c r="N209" s="374" t="s">
        <v>529</v>
      </c>
      <c r="O209" s="541"/>
      <c r="P209" s="639">
        <v>0.2</v>
      </c>
      <c r="Q209" s="720">
        <f t="shared" si="24"/>
        <v>390000</v>
      </c>
      <c r="R209" s="882"/>
      <c r="S209" s="610" t="s">
        <v>391</v>
      </c>
      <c r="T209" s="670">
        <v>45900</v>
      </c>
      <c r="U209" s="718">
        <v>248353.86627163179</v>
      </c>
      <c r="V209" s="873"/>
      <c r="W209" s="774">
        <v>45995</v>
      </c>
      <c r="X209" s="900"/>
      <c r="Y209" s="472"/>
    </row>
    <row r="210" spans="2:25" ht="15" customHeight="1">
      <c r="B210" s="372"/>
      <c r="C210" s="491"/>
      <c r="D210" s="374"/>
      <c r="E210" s="395"/>
      <c r="F210" s="431"/>
      <c r="G210" s="375"/>
      <c r="H210" s="561"/>
      <c r="I210" s="897"/>
      <c r="J210" s="885"/>
      <c r="K210" s="277"/>
      <c r="L210" s="372">
        <v>9</v>
      </c>
      <c r="M210" s="492" t="s">
        <v>511</v>
      </c>
      <c r="N210" s="374" t="s">
        <v>530</v>
      </c>
      <c r="O210" s="541"/>
      <c r="P210" s="639">
        <v>0.1</v>
      </c>
      <c r="Q210" s="720">
        <f t="shared" si="24"/>
        <v>195000</v>
      </c>
      <c r="R210" s="882"/>
      <c r="S210" s="610" t="s">
        <v>391</v>
      </c>
      <c r="T210" s="670">
        <v>45900</v>
      </c>
      <c r="U210" s="718">
        <v>124176.9331358159</v>
      </c>
      <c r="V210" s="873"/>
      <c r="W210" s="525">
        <v>46009</v>
      </c>
      <c r="X210" s="900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97"/>
      <c r="J211" s="885"/>
      <c r="K211" s="277"/>
      <c r="L211" s="372">
        <v>9</v>
      </c>
      <c r="M211" s="492" t="s">
        <v>511</v>
      </c>
      <c r="N211" s="374" t="s">
        <v>531</v>
      </c>
      <c r="O211" s="541"/>
      <c r="P211" s="639">
        <v>0.1</v>
      </c>
      <c r="Q211" s="720">
        <f t="shared" si="24"/>
        <v>195000</v>
      </c>
      <c r="R211" s="882"/>
      <c r="S211" s="610" t="s">
        <v>391</v>
      </c>
      <c r="T211" s="670">
        <v>45900</v>
      </c>
      <c r="U211" s="718">
        <v>248353.86627163179</v>
      </c>
      <c r="V211" s="873"/>
      <c r="W211" s="774">
        <v>46015</v>
      </c>
      <c r="X211" s="900"/>
      <c r="Y211" s="472"/>
    </row>
    <row r="212" spans="2:25">
      <c r="B212" s="372"/>
      <c r="C212" s="491"/>
      <c r="D212" s="374"/>
      <c r="E212" s="395"/>
      <c r="F212" s="431"/>
      <c r="G212" s="375"/>
      <c r="H212" s="561"/>
      <c r="I212" s="897"/>
      <c r="J212" s="885"/>
      <c r="K212" s="277"/>
      <c r="L212" s="372">
        <v>9</v>
      </c>
      <c r="M212" s="492" t="s">
        <v>511</v>
      </c>
      <c r="N212" s="374" t="s">
        <v>531</v>
      </c>
      <c r="O212" s="541"/>
      <c r="P212" s="639">
        <v>0.1</v>
      </c>
      <c r="Q212" s="720">
        <f t="shared" si="24"/>
        <v>195000</v>
      </c>
      <c r="R212" s="882"/>
      <c r="S212" s="610" t="s">
        <v>391</v>
      </c>
      <c r="T212" s="670">
        <v>45900</v>
      </c>
      <c r="U212" s="718"/>
      <c r="V212" s="873"/>
      <c r="W212" s="525">
        <v>46051</v>
      </c>
      <c r="X212" s="900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97"/>
      <c r="J213" s="885"/>
      <c r="K213" s="277"/>
      <c r="L213" s="372">
        <v>9</v>
      </c>
      <c r="M213" s="492" t="s">
        <v>511</v>
      </c>
      <c r="N213" s="374" t="s">
        <v>532</v>
      </c>
      <c r="O213" s="541"/>
      <c r="P213" s="639">
        <v>0.05</v>
      </c>
      <c r="Q213" s="720">
        <f t="shared" si="24"/>
        <v>97500</v>
      </c>
      <c r="R213" s="882"/>
      <c r="S213" s="610" t="s">
        <v>391</v>
      </c>
      <c r="T213" s="670">
        <v>45900</v>
      </c>
      <c r="U213" s="718">
        <v>62088.466567907948</v>
      </c>
      <c r="V213" s="873"/>
      <c r="W213" s="525">
        <v>46052</v>
      </c>
      <c r="X213" s="900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97"/>
      <c r="J214" s="885"/>
      <c r="K214" s="277"/>
      <c r="L214" s="372">
        <v>9</v>
      </c>
      <c r="M214" s="492" t="s">
        <v>511</v>
      </c>
      <c r="N214" s="374" t="s">
        <v>521</v>
      </c>
      <c r="O214" s="541"/>
      <c r="P214" s="639">
        <v>0.05</v>
      </c>
      <c r="Q214" s="304">
        <f t="shared" si="24"/>
        <v>97500</v>
      </c>
      <c r="R214" s="882"/>
      <c r="S214" s="610" t="s">
        <v>519</v>
      </c>
      <c r="T214" s="670">
        <v>46053</v>
      </c>
      <c r="U214" s="805">
        <v>62088.466567907948</v>
      </c>
      <c r="V214" s="873"/>
      <c r="W214" s="561">
        <f>W191</f>
        <v>46084</v>
      </c>
      <c r="X214" s="900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97"/>
      <c r="J215" s="885"/>
      <c r="K215" s="277"/>
      <c r="L215" s="372">
        <v>9</v>
      </c>
      <c r="M215" s="492" t="s">
        <v>511</v>
      </c>
      <c r="N215" s="374" t="s">
        <v>522</v>
      </c>
      <c r="O215" s="541"/>
      <c r="P215" s="639">
        <v>2.5000000000000001E-2</v>
      </c>
      <c r="Q215" s="304">
        <f t="shared" si="24"/>
        <v>48750</v>
      </c>
      <c r="R215" s="883"/>
      <c r="S215" s="610" t="s">
        <v>519</v>
      </c>
      <c r="T215" s="670">
        <v>46053</v>
      </c>
      <c r="U215" s="805">
        <v>31044.233283953974</v>
      </c>
      <c r="V215" s="873"/>
      <c r="W215" s="561">
        <f>W214+39</f>
        <v>46123</v>
      </c>
      <c r="X215" s="900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97"/>
      <c r="J216" s="885"/>
      <c r="K216" s="277"/>
      <c r="L216" s="372">
        <v>9</v>
      </c>
      <c r="M216" s="492" t="s">
        <v>511</v>
      </c>
      <c r="N216" s="374"/>
      <c r="O216" s="541"/>
      <c r="P216" s="431"/>
      <c r="Q216" s="375"/>
      <c r="R216" s="575"/>
      <c r="S216" s="610"/>
      <c r="T216" s="510"/>
      <c r="U216" s="494">
        <f>(Q216/$X$184*$J$184)</f>
        <v>0</v>
      </c>
      <c r="V216" s="873"/>
      <c r="W216" s="561"/>
      <c r="X216" s="900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97"/>
      <c r="J217" s="885"/>
      <c r="K217" s="277"/>
      <c r="L217" s="372">
        <v>9</v>
      </c>
      <c r="M217" s="492" t="s">
        <v>511</v>
      </c>
      <c r="N217" s="636" t="s">
        <v>533</v>
      </c>
      <c r="O217" s="541"/>
      <c r="P217" s="431"/>
      <c r="Q217" s="375"/>
      <c r="R217" s="575"/>
      <c r="S217" s="610"/>
      <c r="T217" s="510"/>
      <c r="U217" s="494">
        <f>(Q217/$X$184*$J$184)</f>
        <v>0</v>
      </c>
      <c r="V217" s="873"/>
      <c r="W217" s="561"/>
      <c r="X217" s="900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97"/>
      <c r="J218" s="885"/>
      <c r="K218" s="277"/>
      <c r="L218" s="372">
        <v>9</v>
      </c>
      <c r="M218" s="492" t="s">
        <v>511</v>
      </c>
      <c r="N218" s="374" t="s">
        <v>514</v>
      </c>
      <c r="O218" s="671">
        <v>2205680</v>
      </c>
      <c r="P218" s="557">
        <v>0.25</v>
      </c>
      <c r="Q218" s="375">
        <f>$O$218*P218</f>
        <v>551420</v>
      </c>
      <c r="R218" s="881" t="s">
        <v>534</v>
      </c>
      <c r="S218" s="610" t="s">
        <v>535</v>
      </c>
      <c r="T218" s="670">
        <v>45869</v>
      </c>
      <c r="U218" s="680">
        <v>351146.89471667493</v>
      </c>
      <c r="V218" s="873"/>
      <c r="W218" s="762">
        <v>45932</v>
      </c>
      <c r="X218" s="900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97"/>
      <c r="J219" s="885"/>
      <c r="K219" s="277"/>
      <c r="L219" s="372">
        <v>9</v>
      </c>
      <c r="M219" s="492" t="s">
        <v>511</v>
      </c>
      <c r="N219" s="374" t="s">
        <v>515</v>
      </c>
      <c r="O219" s="825">
        <f>O218/'Project Plan'!E3/100</f>
        <v>3.1153672316384182</v>
      </c>
      <c r="P219" s="557">
        <v>0.25</v>
      </c>
      <c r="Q219" s="375">
        <f t="shared" ref="Q219:Q223" si="25">$O$218*P219</f>
        <v>551420</v>
      </c>
      <c r="R219" s="882"/>
      <c r="S219" s="610" t="s">
        <v>535</v>
      </c>
      <c r="T219" s="670">
        <v>45869</v>
      </c>
      <c r="U219" s="680">
        <v>351146.89471667493</v>
      </c>
      <c r="V219" s="873"/>
      <c r="W219" s="762">
        <v>45932</v>
      </c>
      <c r="X219" s="900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97"/>
      <c r="J220" s="885"/>
      <c r="K220" s="277"/>
      <c r="L220" s="372">
        <v>9</v>
      </c>
      <c r="M220" s="492" t="s">
        <v>511</v>
      </c>
      <c r="N220" s="374" t="s">
        <v>536</v>
      </c>
      <c r="O220" s="541"/>
      <c r="P220" s="557">
        <v>0.2</v>
      </c>
      <c r="Q220" s="375">
        <f t="shared" si="25"/>
        <v>441136</v>
      </c>
      <c r="R220" s="882"/>
      <c r="S220" s="610" t="s">
        <v>535</v>
      </c>
      <c r="T220" s="670">
        <v>45900</v>
      </c>
      <c r="U220" s="718">
        <v>561835.03154667979</v>
      </c>
      <c r="V220" s="873"/>
      <c r="W220" s="525">
        <v>46009</v>
      </c>
      <c r="X220" s="900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97"/>
      <c r="J221" s="885"/>
      <c r="K221" s="277"/>
      <c r="L221" s="372">
        <v>9</v>
      </c>
      <c r="M221" s="492" t="s">
        <v>511</v>
      </c>
      <c r="N221" s="374"/>
      <c r="O221" s="541"/>
      <c r="P221" s="557">
        <v>0.1</v>
      </c>
      <c r="Q221" s="375">
        <f t="shared" si="25"/>
        <v>220568</v>
      </c>
      <c r="R221" s="882"/>
      <c r="S221" s="610" t="s">
        <v>535</v>
      </c>
      <c r="T221" s="670">
        <v>45900</v>
      </c>
      <c r="U221" s="718"/>
      <c r="V221" s="873"/>
      <c r="W221" s="525">
        <v>46015</v>
      </c>
      <c r="X221" s="900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97"/>
      <c r="J222" s="885"/>
      <c r="K222" s="277"/>
      <c r="L222" s="372">
        <v>9</v>
      </c>
      <c r="M222" s="492" t="s">
        <v>511</v>
      </c>
      <c r="N222" s="374"/>
      <c r="O222" s="541"/>
      <c r="P222" s="557">
        <v>0.1</v>
      </c>
      <c r="Q222" s="375">
        <f t="shared" si="25"/>
        <v>220568</v>
      </c>
      <c r="R222" s="882"/>
      <c r="S222" s="610" t="s">
        <v>535</v>
      </c>
      <c r="T222" s="670">
        <v>45900</v>
      </c>
      <c r="U222" s="718"/>
      <c r="V222" s="873"/>
      <c r="W222" s="525">
        <v>46022</v>
      </c>
      <c r="X222" s="900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97"/>
      <c r="J223" s="885"/>
      <c r="K223" s="277"/>
      <c r="L223" s="372">
        <v>9</v>
      </c>
      <c r="M223" s="492" t="s">
        <v>511</v>
      </c>
      <c r="N223" s="374" t="s">
        <v>522</v>
      </c>
      <c r="O223" s="541"/>
      <c r="P223" s="557">
        <v>0.1</v>
      </c>
      <c r="Q223" s="375">
        <f t="shared" si="25"/>
        <v>220568</v>
      </c>
      <c r="R223" s="883"/>
      <c r="S223" s="610" t="s">
        <v>535</v>
      </c>
      <c r="T223" s="670">
        <v>45900</v>
      </c>
      <c r="U223" s="718">
        <v>123377.38788666995</v>
      </c>
      <c r="V223" s="873"/>
      <c r="W223" s="525">
        <v>46029</v>
      </c>
      <c r="X223" s="900"/>
      <c r="Y223" s="472"/>
    </row>
    <row r="224" spans="2:25" ht="15" customHeight="1">
      <c r="B224" s="372"/>
      <c r="C224" s="491"/>
      <c r="D224" s="374"/>
      <c r="E224" s="395"/>
      <c r="F224" s="431"/>
      <c r="G224" s="375"/>
      <c r="H224" s="561"/>
      <c r="I224" s="897"/>
      <c r="J224" s="885"/>
      <c r="K224" s="277"/>
      <c r="L224" s="372">
        <v>9</v>
      </c>
      <c r="M224" s="492" t="s">
        <v>511</v>
      </c>
      <c r="N224" s="374"/>
      <c r="O224" s="541"/>
      <c r="P224" s="431"/>
      <c r="Q224" s="375"/>
      <c r="R224" s="575"/>
      <c r="S224" s="610"/>
      <c r="T224" s="510"/>
      <c r="U224" s="494">
        <f>(Q224/$X$184*$J$184)</f>
        <v>0</v>
      </c>
      <c r="V224" s="873"/>
      <c r="W224" s="561"/>
      <c r="X224" s="900"/>
      <c r="Y224" s="472"/>
    </row>
    <row r="225" spans="1:25" ht="15" customHeight="1">
      <c r="B225" s="372">
        <v>9</v>
      </c>
      <c r="C225" s="491"/>
      <c r="D225" s="374"/>
      <c r="E225" s="395"/>
      <c r="F225" s="431"/>
      <c r="G225" s="375"/>
      <c r="H225" s="561"/>
      <c r="I225" s="897"/>
      <c r="J225" s="885"/>
      <c r="K225" s="277"/>
      <c r="L225" s="372">
        <v>9</v>
      </c>
      <c r="M225" s="492" t="s">
        <v>511</v>
      </c>
      <c r="N225" s="374"/>
      <c r="O225" s="541"/>
      <c r="P225" s="431"/>
      <c r="Q225" s="375"/>
      <c r="R225" s="575"/>
      <c r="S225" s="610"/>
      <c r="T225" s="510" t="str">
        <f t="shared" si="19"/>
        <v/>
      </c>
      <c r="U225" s="494">
        <f>(Q225/$X$184*$J$184)</f>
        <v>0</v>
      </c>
      <c r="V225" s="873"/>
      <c r="W225" s="561"/>
      <c r="X225" s="900"/>
      <c r="Y225" s="472"/>
    </row>
    <row r="226" spans="1:25" ht="15" customHeight="1" thickBot="1">
      <c r="B226" s="305">
        <v>9</v>
      </c>
      <c r="C226" s="425"/>
      <c r="D226" s="318"/>
      <c r="E226" s="307"/>
      <c r="F226" s="447"/>
      <c r="G226" s="319"/>
      <c r="H226" s="562"/>
      <c r="I226" s="898"/>
      <c r="J226" s="886"/>
      <c r="K226" s="278"/>
      <c r="L226" s="305">
        <v>9</v>
      </c>
      <c r="M226" s="428" t="s">
        <v>511</v>
      </c>
      <c r="N226" s="318"/>
      <c r="O226" s="542"/>
      <c r="P226" s="447"/>
      <c r="Q226" s="319"/>
      <c r="R226" s="576"/>
      <c r="S226" s="611"/>
      <c r="T226" s="511" t="str">
        <f t="shared" si="19"/>
        <v/>
      </c>
      <c r="U226" s="495">
        <f>(Q226/$X$184*$J$184)</f>
        <v>0</v>
      </c>
      <c r="V226" s="874"/>
      <c r="W226" s="562"/>
      <c r="X226" s="901"/>
      <c r="Y226" s="472"/>
    </row>
    <row r="227" spans="1:25" ht="13.9" thickBot="1">
      <c r="A227" s="24"/>
      <c r="B227" s="279"/>
      <c r="C227" s="296"/>
      <c r="D227" s="297"/>
      <c r="E227" s="280"/>
      <c r="F227" s="443"/>
      <c r="G227" s="281"/>
      <c r="H227" s="563"/>
      <c r="I227" s="269"/>
      <c r="J227" s="391"/>
      <c r="K227" s="24"/>
      <c r="L227" s="279"/>
      <c r="M227" s="296"/>
      <c r="N227" s="297"/>
      <c r="O227" s="543"/>
      <c r="P227" s="443"/>
      <c r="Q227" s="281"/>
      <c r="R227" s="577"/>
      <c r="S227" s="612"/>
      <c r="T227" s="512" t="str">
        <f t="shared" si="19"/>
        <v/>
      </c>
      <c r="U227" s="500"/>
      <c r="V227" s="483"/>
      <c r="W227" s="563"/>
      <c r="X227" s="339"/>
      <c r="Y227" s="472"/>
    </row>
    <row r="228" spans="1:25" ht="14.25" customHeight="1">
      <c r="B228" s="258">
        <v>10</v>
      </c>
      <c r="C228" s="259" t="s">
        <v>537</v>
      </c>
      <c r="D228" s="259" t="s">
        <v>335</v>
      </c>
      <c r="E228" s="260"/>
      <c r="F228" s="457"/>
      <c r="G228" s="327">
        <f>D395</f>
        <v>85000</v>
      </c>
      <c r="H228" s="570">
        <f>H229</f>
        <v>45925</v>
      </c>
      <c r="I228" s="887">
        <f>SUM(G228:G282)</f>
        <v>394304.23333333328</v>
      </c>
      <c r="J228" s="887">
        <f>F395+F398+F399+F397</f>
        <v>463887.33333333331</v>
      </c>
      <c r="K228" s="328"/>
      <c r="L228" s="258">
        <v>10</v>
      </c>
      <c r="M228" s="421" t="s">
        <v>538</v>
      </c>
      <c r="N228" s="259"/>
      <c r="O228" s="552"/>
      <c r="P228" s="457"/>
      <c r="Q228" s="327"/>
      <c r="R228" s="586"/>
      <c r="S228" s="621"/>
      <c r="T228" s="520" t="str">
        <f t="shared" si="19"/>
        <v/>
      </c>
      <c r="U228" s="505">
        <f>(Q228/$X$228*$J$228)</f>
        <v>0</v>
      </c>
      <c r="V228" s="893">
        <f>J228-SUM(U228:U282)</f>
        <v>5.9088593116030097E-4</v>
      </c>
      <c r="W228" s="570"/>
      <c r="X228" s="890">
        <f>SUM(Q228:Q282)</f>
        <v>939765.28000000014</v>
      </c>
      <c r="Y228" s="472"/>
    </row>
    <row r="229" spans="1:25" ht="14.25" customHeight="1">
      <c r="B229" s="329">
        <v>10</v>
      </c>
      <c r="C229" s="330"/>
      <c r="D229" s="330" t="s">
        <v>338</v>
      </c>
      <c r="E229" s="331"/>
      <c r="F229" s="458"/>
      <c r="G229" s="332">
        <f>D399</f>
        <v>133245.9</v>
      </c>
      <c r="H229" s="532">
        <v>45925</v>
      </c>
      <c r="I229" s="888"/>
      <c r="J229" s="888"/>
      <c r="K229" s="261"/>
      <c r="L229" s="329">
        <v>10</v>
      </c>
      <c r="M229" s="422" t="s">
        <v>538</v>
      </c>
      <c r="N229" s="330" t="s">
        <v>539</v>
      </c>
      <c r="O229" s="743">
        <v>82020</v>
      </c>
      <c r="P229" s="742">
        <v>0.5</v>
      </c>
      <c r="Q229" s="332">
        <f>O229*P229</f>
        <v>41010</v>
      </c>
      <c r="R229" s="587" t="s">
        <v>540</v>
      </c>
      <c r="S229" s="622" t="s">
        <v>541</v>
      </c>
      <c r="T229" s="711">
        <v>45900</v>
      </c>
      <c r="U229" s="506">
        <v>0</v>
      </c>
      <c r="V229" s="894"/>
      <c r="W229" s="532">
        <v>45925</v>
      </c>
      <c r="X229" s="891"/>
      <c r="Y229" s="472"/>
    </row>
    <row r="230" spans="1:25" ht="14.25" customHeight="1">
      <c r="B230" s="329">
        <v>10</v>
      </c>
      <c r="C230" s="330"/>
      <c r="D230" s="330" t="s">
        <v>542</v>
      </c>
      <c r="E230" s="331"/>
      <c r="F230" s="458"/>
      <c r="G230" s="332">
        <f>D398</f>
        <v>0</v>
      </c>
      <c r="H230" s="571"/>
      <c r="I230" s="888"/>
      <c r="J230" s="888"/>
      <c r="K230" s="261"/>
      <c r="L230" s="329">
        <v>10</v>
      </c>
      <c r="M230" s="422" t="s">
        <v>538</v>
      </c>
      <c r="N230" s="330"/>
      <c r="O230" s="553"/>
      <c r="P230" s="458"/>
      <c r="Q230" s="332">
        <f>O229*P229</f>
        <v>41010</v>
      </c>
      <c r="R230" s="587"/>
      <c r="S230" s="622" t="s">
        <v>541</v>
      </c>
      <c r="T230" s="676">
        <v>45900</v>
      </c>
      <c r="U230" s="506">
        <v>0</v>
      </c>
      <c r="V230" s="894"/>
      <c r="W230" s="532">
        <v>45967</v>
      </c>
      <c r="X230" s="891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88"/>
      <c r="J231" s="888"/>
      <c r="K231" s="261"/>
      <c r="L231" s="329">
        <v>10</v>
      </c>
      <c r="M231" s="422" t="s">
        <v>538</v>
      </c>
      <c r="N231" s="330"/>
      <c r="O231" s="553"/>
      <c r="P231" s="458"/>
      <c r="Q231" s="332">
        <v>41010</v>
      </c>
      <c r="R231" s="587"/>
      <c r="S231" s="622" t="s">
        <v>543</v>
      </c>
      <c r="T231" s="676">
        <v>45991</v>
      </c>
      <c r="U231" s="506">
        <v>0</v>
      </c>
      <c r="V231" s="894"/>
      <c r="W231" s="532">
        <v>46037</v>
      </c>
      <c r="X231" s="891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1"/>
      <c r="I232" s="888"/>
      <c r="J232" s="888"/>
      <c r="K232" s="261"/>
      <c r="L232" s="329">
        <v>10</v>
      </c>
      <c r="M232" s="422" t="s">
        <v>538</v>
      </c>
      <c r="N232" s="330"/>
      <c r="O232" s="553"/>
      <c r="P232" s="458"/>
      <c r="Q232" s="332">
        <v>41010</v>
      </c>
      <c r="R232" s="587"/>
      <c r="S232" s="622" t="s">
        <v>544</v>
      </c>
      <c r="T232" s="676">
        <v>46022</v>
      </c>
      <c r="U232" s="506">
        <v>0</v>
      </c>
      <c r="V232" s="894"/>
      <c r="W232" s="821">
        <v>46031</v>
      </c>
      <c r="X232" s="891"/>
      <c r="Y232" s="472"/>
    </row>
    <row r="233" spans="1:25" ht="14.25" customHeight="1">
      <c r="B233" s="329">
        <v>10</v>
      </c>
      <c r="C233" s="330"/>
      <c r="D233" s="330" t="s">
        <v>340</v>
      </c>
      <c r="E233" s="331"/>
      <c r="F233" s="458"/>
      <c r="G233" s="332">
        <f>D397</f>
        <v>176058.33333333331</v>
      </c>
      <c r="H233" s="571">
        <f>H229</f>
        <v>45925</v>
      </c>
      <c r="I233" s="888"/>
      <c r="J233" s="888"/>
      <c r="K233" s="261"/>
      <c r="L233" s="329">
        <v>10</v>
      </c>
      <c r="M233" s="422" t="s">
        <v>538</v>
      </c>
      <c r="N233" s="330" t="s">
        <v>545</v>
      </c>
      <c r="O233" s="553"/>
      <c r="P233" s="458"/>
      <c r="Q233" s="332">
        <f>41010+460</f>
        <v>41470</v>
      </c>
      <c r="R233" s="587"/>
      <c r="S233" s="622" t="s">
        <v>546</v>
      </c>
      <c r="T233" s="676">
        <v>46022</v>
      </c>
      <c r="U233" s="827">
        <v>790.55</v>
      </c>
      <c r="V233" s="894"/>
      <c r="W233" s="532">
        <v>46053</v>
      </c>
      <c r="X233" s="891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88"/>
      <c r="J234" s="888"/>
      <c r="K234" s="261"/>
      <c r="L234" s="329">
        <v>10</v>
      </c>
      <c r="M234" s="422" t="s">
        <v>538</v>
      </c>
      <c r="N234" s="330" t="s">
        <v>547</v>
      </c>
      <c r="O234" s="553"/>
      <c r="P234" s="458"/>
      <c r="Q234" s="332">
        <v>460</v>
      </c>
      <c r="R234" s="588"/>
      <c r="S234" s="622" t="s">
        <v>548</v>
      </c>
      <c r="T234" s="676">
        <v>46022</v>
      </c>
      <c r="U234" s="507">
        <v>0</v>
      </c>
      <c r="V234" s="894"/>
      <c r="W234" s="755">
        <v>46031</v>
      </c>
      <c r="X234" s="891"/>
      <c r="Y234" s="472"/>
    </row>
    <row r="235" spans="1:25" ht="14.25" customHeight="1">
      <c r="B235" s="329"/>
      <c r="C235" s="330"/>
      <c r="D235" s="330"/>
      <c r="E235" s="331"/>
      <c r="F235" s="458"/>
      <c r="G235" s="332"/>
      <c r="H235" s="572"/>
      <c r="I235" s="888"/>
      <c r="J235" s="888"/>
      <c r="K235" s="261"/>
      <c r="L235" s="329">
        <v>10</v>
      </c>
      <c r="M235" s="422" t="s">
        <v>538</v>
      </c>
      <c r="N235" s="330" t="s">
        <v>549</v>
      </c>
      <c r="O235" s="553"/>
      <c r="P235" s="458"/>
      <c r="Q235" s="332"/>
      <c r="R235" s="588"/>
      <c r="S235" s="826"/>
      <c r="T235" s="676"/>
      <c r="U235" s="507"/>
      <c r="V235" s="894"/>
      <c r="W235" s="755"/>
      <c r="X235" s="891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88"/>
      <c r="J236" s="888"/>
      <c r="K236" s="261"/>
      <c r="L236" s="329">
        <v>10</v>
      </c>
      <c r="M236" s="422" t="s">
        <v>538</v>
      </c>
      <c r="N236" s="330" t="s">
        <v>385</v>
      </c>
      <c r="O236" s="669">
        <f>AC20*0.1</f>
        <v>400000</v>
      </c>
      <c r="P236" s="559">
        <v>0.5</v>
      </c>
      <c r="Q236" s="332">
        <f>$O$236*P236</f>
        <v>200000</v>
      </c>
      <c r="R236" s="875" t="s">
        <v>386</v>
      </c>
      <c r="S236" s="623" t="s">
        <v>387</v>
      </c>
      <c r="T236" s="676">
        <v>45838</v>
      </c>
      <c r="U236" s="683">
        <v>130552.96794014869</v>
      </c>
      <c r="V236" s="894"/>
      <c r="W236" s="533">
        <v>45834</v>
      </c>
      <c r="X236" s="891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33"/>
      <c r="I237" s="888"/>
      <c r="J237" s="888"/>
      <c r="K237" s="261"/>
      <c r="L237" s="329">
        <v>10</v>
      </c>
      <c r="M237" s="422" t="s">
        <v>538</v>
      </c>
      <c r="N237" s="330" t="s">
        <v>550</v>
      </c>
      <c r="O237" s="553"/>
      <c r="P237" s="559">
        <v>0.4</v>
      </c>
      <c r="Q237" s="332">
        <f>$O$236*P237</f>
        <v>160000</v>
      </c>
      <c r="R237" s="876"/>
      <c r="S237" s="623" t="s">
        <v>389</v>
      </c>
      <c r="T237" s="676">
        <v>45869</v>
      </c>
      <c r="U237" s="683">
        <v>105639.01698453363</v>
      </c>
      <c r="V237" s="894"/>
      <c r="W237" s="533">
        <v>45904</v>
      </c>
      <c r="X237" s="891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88"/>
      <c r="J238" s="888"/>
      <c r="K238" s="261"/>
      <c r="L238" s="329">
        <v>10</v>
      </c>
      <c r="M238" s="422" t="s">
        <v>538</v>
      </c>
      <c r="N238" s="330" t="s">
        <v>551</v>
      </c>
      <c r="O238" s="553"/>
      <c r="P238" s="559">
        <v>0.1</v>
      </c>
      <c r="Q238" s="777">
        <f>$O$236*P238</f>
        <v>40000</v>
      </c>
      <c r="R238" s="876"/>
      <c r="S238" s="623" t="s">
        <v>391</v>
      </c>
      <c r="T238" s="676">
        <v>45900</v>
      </c>
      <c r="U238" s="721">
        <v>16629.772302381578</v>
      </c>
      <c r="V238" s="894"/>
      <c r="W238" s="572">
        <f>W192</f>
        <v>46114</v>
      </c>
      <c r="X238" s="891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88"/>
      <c r="J239" s="888"/>
      <c r="K239" s="261"/>
      <c r="L239" s="329">
        <v>10</v>
      </c>
      <c r="M239" s="422" t="s">
        <v>538</v>
      </c>
      <c r="N239" s="330"/>
      <c r="O239" s="553"/>
      <c r="P239" s="559"/>
      <c r="Q239" s="332"/>
      <c r="R239" s="876"/>
      <c r="S239" s="623"/>
      <c r="T239" s="521"/>
      <c r="U239" s="507">
        <f>(Q239/$X$228*$J$228)</f>
        <v>0</v>
      </c>
      <c r="V239" s="894"/>
      <c r="W239" s="572"/>
      <c r="X239" s="891"/>
      <c r="Y239" s="472"/>
    </row>
    <row r="240" spans="1:25" ht="14.25" customHeight="1">
      <c r="B240" s="329">
        <v>10</v>
      </c>
      <c r="C240" s="330"/>
      <c r="D240" s="330"/>
      <c r="E240" s="331"/>
      <c r="F240" s="458"/>
      <c r="G240" s="332"/>
      <c r="H240" s="572"/>
      <c r="I240" s="888"/>
      <c r="J240" s="888"/>
      <c r="K240" s="261"/>
      <c r="L240" s="329">
        <v>10</v>
      </c>
      <c r="M240" s="422" t="s">
        <v>538</v>
      </c>
      <c r="N240" s="330"/>
      <c r="O240" s="553"/>
      <c r="P240" s="559"/>
      <c r="Q240" s="332"/>
      <c r="R240" s="876"/>
      <c r="S240" s="623"/>
      <c r="T240" s="521" t="str">
        <f t="shared" si="19"/>
        <v/>
      </c>
      <c r="U240" s="507">
        <f>(Q240/$X$228*$J$228)</f>
        <v>0</v>
      </c>
      <c r="V240" s="894"/>
      <c r="W240" s="572"/>
      <c r="X240" s="891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72"/>
      <c r="I241" s="888"/>
      <c r="J241" s="888"/>
      <c r="K241" s="261"/>
      <c r="L241" s="329">
        <v>10</v>
      </c>
      <c r="M241" s="422" t="s">
        <v>538</v>
      </c>
      <c r="N241" s="330"/>
      <c r="O241" s="553"/>
      <c r="P241" s="559"/>
      <c r="Q241" s="332"/>
      <c r="R241" s="876"/>
      <c r="S241" s="623"/>
      <c r="T241" s="521"/>
      <c r="U241" s="507">
        <f>(Q241/$X$228*$J$228)</f>
        <v>0</v>
      </c>
      <c r="V241" s="894"/>
      <c r="W241" s="572"/>
      <c r="X241" s="891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88"/>
      <c r="J242" s="888"/>
      <c r="K242" s="261"/>
      <c r="L242" s="329">
        <v>10</v>
      </c>
      <c r="M242" s="422" t="s">
        <v>538</v>
      </c>
      <c r="N242" s="330" t="s">
        <v>392</v>
      </c>
      <c r="O242" s="669">
        <f>AC27*0.1</f>
        <v>250000</v>
      </c>
      <c r="P242" s="559">
        <v>0.5</v>
      </c>
      <c r="Q242" s="332">
        <f>$O$242*P242</f>
        <v>125000</v>
      </c>
      <c r="R242" s="876"/>
      <c r="S242" s="623" t="s">
        <v>387</v>
      </c>
      <c r="T242" s="676">
        <v>45838</v>
      </c>
      <c r="U242" s="683">
        <v>81595.60496259293</v>
      </c>
      <c r="V242" s="894"/>
      <c r="W242" s="533">
        <v>45834</v>
      </c>
      <c r="X242" s="891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33"/>
      <c r="I243" s="888"/>
      <c r="J243" s="888"/>
      <c r="K243" s="261"/>
      <c r="L243" s="329">
        <v>10</v>
      </c>
      <c r="M243" s="422" t="s">
        <v>538</v>
      </c>
      <c r="N243" s="330" t="s">
        <v>552</v>
      </c>
      <c r="O243" s="553"/>
      <c r="P243" s="559">
        <v>0.4</v>
      </c>
      <c r="Q243" s="332">
        <f t="shared" ref="Q243:Q244" si="26">$O$242*P243</f>
        <v>100000</v>
      </c>
      <c r="R243" s="876"/>
      <c r="S243" s="623" t="s">
        <v>389</v>
      </c>
      <c r="T243" s="676">
        <v>45869</v>
      </c>
      <c r="U243" s="683">
        <v>68657.965615333524</v>
      </c>
      <c r="V243" s="894"/>
      <c r="W243" s="533">
        <f>W237</f>
        <v>45904</v>
      </c>
      <c r="X243" s="891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21"/>
      <c r="I244" s="888"/>
      <c r="J244" s="888"/>
      <c r="K244" s="261"/>
      <c r="L244" s="329">
        <v>10</v>
      </c>
      <c r="M244" s="422" t="s">
        <v>538</v>
      </c>
      <c r="N244" s="330" t="s">
        <v>553</v>
      </c>
      <c r="O244" s="553"/>
      <c r="P244" s="559">
        <v>0.1</v>
      </c>
      <c r="Q244" s="332">
        <f t="shared" si="26"/>
        <v>25000</v>
      </c>
      <c r="R244" s="877"/>
      <c r="S244" s="623" t="s">
        <v>391</v>
      </c>
      <c r="T244" s="676">
        <v>45900</v>
      </c>
      <c r="U244" s="721">
        <v>22162.210188988483</v>
      </c>
      <c r="V244" s="894"/>
      <c r="W244" s="521">
        <f>W192</f>
        <v>46114</v>
      </c>
      <c r="X244" s="891"/>
      <c r="Y244" s="472"/>
    </row>
    <row r="245" spans="2:25" ht="14.25" customHeight="1">
      <c r="B245" s="329"/>
      <c r="C245" s="330"/>
      <c r="D245" s="330"/>
      <c r="E245" s="331"/>
      <c r="F245" s="458"/>
      <c r="G245" s="332"/>
      <c r="H245" s="572"/>
      <c r="I245" s="888"/>
      <c r="J245" s="888"/>
      <c r="K245" s="261"/>
      <c r="L245" s="329">
        <v>10</v>
      </c>
      <c r="M245" s="422" t="s">
        <v>538</v>
      </c>
      <c r="N245" s="330"/>
      <c r="O245" s="553"/>
      <c r="P245" s="559"/>
      <c r="Q245" s="332"/>
      <c r="R245" s="588"/>
      <c r="S245" s="623"/>
      <c r="T245" s="521"/>
      <c r="U245" s="507">
        <f>(Q245/$X$228*$J$228)</f>
        <v>0</v>
      </c>
      <c r="V245" s="894"/>
      <c r="W245" s="572"/>
      <c r="X245" s="891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88"/>
      <c r="J246" s="888"/>
      <c r="K246" s="261"/>
      <c r="L246" s="329">
        <v>10</v>
      </c>
      <c r="M246" s="422" t="s">
        <v>538</v>
      </c>
      <c r="N246" s="330" t="s">
        <v>554</v>
      </c>
      <c r="O246" s="553"/>
      <c r="P246" s="559"/>
      <c r="Q246" s="332">
        <v>10400</v>
      </c>
      <c r="R246" s="588"/>
      <c r="S246" s="623" t="s">
        <v>555</v>
      </c>
      <c r="T246" s="676">
        <v>45838</v>
      </c>
      <c r="U246" s="683">
        <v>6788.7543328877318</v>
      </c>
      <c r="V246" s="894"/>
      <c r="W246" s="533">
        <v>45835</v>
      </c>
      <c r="X246" s="891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33"/>
      <c r="I247" s="888"/>
      <c r="J247" s="888"/>
      <c r="K247" s="261"/>
      <c r="L247" s="329">
        <v>10</v>
      </c>
      <c r="M247" s="422" t="s">
        <v>538</v>
      </c>
      <c r="N247" s="330" t="s">
        <v>556</v>
      </c>
      <c r="O247" s="553"/>
      <c r="P247" s="559"/>
      <c r="Q247" s="332">
        <v>10400</v>
      </c>
      <c r="R247" s="588"/>
      <c r="S247" s="623" t="s">
        <v>557</v>
      </c>
      <c r="T247" s="676">
        <v>45869</v>
      </c>
      <c r="U247" s="683">
        <v>6743.2861039946856</v>
      </c>
      <c r="V247" s="894"/>
      <c r="W247" s="533">
        <v>45845</v>
      </c>
      <c r="X247" s="891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888"/>
      <c r="J248" s="888"/>
      <c r="K248" s="261"/>
      <c r="L248" s="329">
        <v>10</v>
      </c>
      <c r="M248" s="422" t="s">
        <v>538</v>
      </c>
      <c r="N248" s="330" t="s">
        <v>558</v>
      </c>
      <c r="O248" s="553"/>
      <c r="P248" s="559"/>
      <c r="Q248" s="332">
        <v>1550</v>
      </c>
      <c r="R248" s="588"/>
      <c r="S248" s="623" t="s">
        <v>559</v>
      </c>
      <c r="T248" s="676">
        <v>45869</v>
      </c>
      <c r="U248" s="683">
        <v>1023.3779770376696</v>
      </c>
      <c r="V248" s="894"/>
      <c r="W248" s="755">
        <v>45901</v>
      </c>
      <c r="X248" s="891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33"/>
      <c r="I249" s="888"/>
      <c r="J249" s="888"/>
      <c r="K249" s="261"/>
      <c r="L249" s="329">
        <v>10</v>
      </c>
      <c r="M249" s="422" t="s">
        <v>538</v>
      </c>
      <c r="N249" s="330" t="s">
        <v>558</v>
      </c>
      <c r="O249" s="553"/>
      <c r="P249" s="559"/>
      <c r="Q249" s="332">
        <v>11850</v>
      </c>
      <c r="R249" s="588"/>
      <c r="S249" s="623" t="s">
        <v>560</v>
      </c>
      <c r="T249" s="676">
        <v>45900</v>
      </c>
      <c r="U249" s="721">
        <v>6908.749169580542</v>
      </c>
      <c r="V249" s="894"/>
      <c r="W249" s="533">
        <v>45890</v>
      </c>
      <c r="X249" s="891"/>
      <c r="Y249" s="472"/>
    </row>
    <row r="250" spans="2:25" ht="14.25" customHeight="1">
      <c r="B250" s="329">
        <v>10</v>
      </c>
      <c r="C250" s="330"/>
      <c r="D250" s="330"/>
      <c r="E250" s="331"/>
      <c r="F250" s="458"/>
      <c r="G250" s="332"/>
      <c r="H250" s="572"/>
      <c r="I250" s="888"/>
      <c r="J250" s="888"/>
      <c r="K250" s="261"/>
      <c r="L250" s="329">
        <v>10</v>
      </c>
      <c r="M250" s="422" t="s">
        <v>538</v>
      </c>
      <c r="N250" s="330" t="s">
        <v>561</v>
      </c>
      <c r="O250" s="553"/>
      <c r="P250" s="458"/>
      <c r="Q250" s="332">
        <v>1500</v>
      </c>
      <c r="R250" s="588"/>
      <c r="S250" s="623" t="s">
        <v>562</v>
      </c>
      <c r="T250" s="676">
        <v>45900</v>
      </c>
      <c r="U250" s="721">
        <v>874.52521133930907</v>
      </c>
      <c r="V250" s="894"/>
      <c r="W250" s="755">
        <v>45930</v>
      </c>
      <c r="X250" s="891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888"/>
      <c r="J251" s="888"/>
      <c r="K251" s="261"/>
      <c r="L251" s="329">
        <v>10</v>
      </c>
      <c r="M251" s="422" t="s">
        <v>538</v>
      </c>
      <c r="N251" s="330" t="s">
        <v>563</v>
      </c>
      <c r="O251" s="553"/>
      <c r="P251" s="458"/>
      <c r="Q251" s="332">
        <v>1500</v>
      </c>
      <c r="R251" s="588"/>
      <c r="S251" s="623" t="s">
        <v>564</v>
      </c>
      <c r="T251" s="676">
        <v>45900</v>
      </c>
      <c r="U251" s="721">
        <v>874.52521133930907</v>
      </c>
      <c r="V251" s="894"/>
      <c r="W251" s="755">
        <v>45930</v>
      </c>
      <c r="X251" s="891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33"/>
      <c r="I252" s="888"/>
      <c r="J252" s="888"/>
      <c r="K252" s="261"/>
      <c r="L252" s="329">
        <v>10</v>
      </c>
      <c r="M252" s="422" t="s">
        <v>538</v>
      </c>
      <c r="N252" s="330" t="s">
        <v>565</v>
      </c>
      <c r="O252" s="553"/>
      <c r="P252" s="458"/>
      <c r="Q252" s="332">
        <v>250</v>
      </c>
      <c r="R252" s="588"/>
      <c r="S252" s="623" t="s">
        <v>566</v>
      </c>
      <c r="T252" s="676">
        <v>45838</v>
      </c>
      <c r="U252" s="683">
        <v>163.19120992518586</v>
      </c>
      <c r="V252" s="894"/>
      <c r="W252" s="533">
        <v>45876</v>
      </c>
      <c r="X252" s="891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88"/>
      <c r="J253" s="888"/>
      <c r="K253" s="261"/>
      <c r="L253" s="329">
        <v>10</v>
      </c>
      <c r="M253" s="422" t="s">
        <v>538</v>
      </c>
      <c r="N253" s="330" t="s">
        <v>565</v>
      </c>
      <c r="O253" s="553"/>
      <c r="P253" s="458"/>
      <c r="Q253" s="332">
        <v>2635</v>
      </c>
      <c r="R253" s="588"/>
      <c r="S253" s="623" t="s">
        <v>567</v>
      </c>
      <c r="T253" s="676">
        <v>45930</v>
      </c>
      <c r="U253" s="683">
        <v>0</v>
      </c>
      <c r="V253" s="894"/>
      <c r="W253" s="755">
        <v>45930</v>
      </c>
      <c r="X253" s="891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88"/>
      <c r="J254" s="888"/>
      <c r="K254" s="261"/>
      <c r="L254" s="329">
        <v>10</v>
      </c>
      <c r="M254" s="422" t="s">
        <v>538</v>
      </c>
      <c r="N254" s="330" t="s">
        <v>565</v>
      </c>
      <c r="O254" s="553"/>
      <c r="P254" s="458"/>
      <c r="Q254" s="332">
        <v>1550</v>
      </c>
      <c r="R254" s="588"/>
      <c r="S254" s="623" t="s">
        <v>568</v>
      </c>
      <c r="T254" s="676">
        <v>45930</v>
      </c>
      <c r="U254" s="683">
        <v>0</v>
      </c>
      <c r="V254" s="894"/>
      <c r="W254" s="755">
        <v>45930</v>
      </c>
      <c r="X254" s="891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88"/>
      <c r="J255" s="888"/>
      <c r="K255" s="261"/>
      <c r="L255" s="329">
        <v>10</v>
      </c>
      <c r="M255" s="422" t="s">
        <v>538</v>
      </c>
      <c r="N255" s="330" t="s">
        <v>565</v>
      </c>
      <c r="O255" s="553"/>
      <c r="P255" s="458"/>
      <c r="Q255" s="332">
        <v>1550</v>
      </c>
      <c r="R255" s="588"/>
      <c r="S255" s="623" t="s">
        <v>569</v>
      </c>
      <c r="T255" s="676">
        <v>45930</v>
      </c>
      <c r="U255" s="683">
        <v>0</v>
      </c>
      <c r="V255" s="894"/>
      <c r="W255" s="755">
        <v>45930</v>
      </c>
      <c r="X255" s="891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88"/>
      <c r="J256" s="888"/>
      <c r="K256" s="261"/>
      <c r="L256" s="329">
        <v>10</v>
      </c>
      <c r="M256" s="422" t="s">
        <v>538</v>
      </c>
      <c r="N256" s="330" t="s">
        <v>570</v>
      </c>
      <c r="O256" s="553"/>
      <c r="P256" s="458"/>
      <c r="Q256" s="332">
        <v>595</v>
      </c>
      <c r="R256" s="588"/>
      <c r="S256" s="623" t="s">
        <v>571</v>
      </c>
      <c r="T256" s="676">
        <v>45900</v>
      </c>
      <c r="U256" s="683">
        <v>346.89500049792593</v>
      </c>
      <c r="V256" s="894"/>
      <c r="W256" s="533">
        <v>45901</v>
      </c>
      <c r="X256" s="891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88"/>
      <c r="J257" s="888"/>
      <c r="K257" s="261"/>
      <c r="L257" s="329">
        <v>10</v>
      </c>
      <c r="M257" s="422" t="s">
        <v>538</v>
      </c>
      <c r="N257" s="330" t="s">
        <v>570</v>
      </c>
      <c r="O257" s="553"/>
      <c r="P257" s="458"/>
      <c r="Q257" s="332">
        <v>1250</v>
      </c>
      <c r="R257" s="588"/>
      <c r="S257" s="623" t="s">
        <v>572</v>
      </c>
      <c r="T257" s="676">
        <v>45900</v>
      </c>
      <c r="U257" s="683">
        <v>728.77100944942424</v>
      </c>
      <c r="V257" s="894"/>
      <c r="W257" s="533">
        <v>45901</v>
      </c>
      <c r="X257" s="891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88"/>
      <c r="J258" s="888"/>
      <c r="K258" s="261"/>
      <c r="L258" s="329">
        <v>10</v>
      </c>
      <c r="M258" s="422" t="s">
        <v>538</v>
      </c>
      <c r="N258" s="330" t="s">
        <v>573</v>
      </c>
      <c r="O258" s="553"/>
      <c r="P258" s="458"/>
      <c r="Q258" s="332">
        <v>1500</v>
      </c>
      <c r="R258" s="588"/>
      <c r="S258" s="623" t="s">
        <v>574</v>
      </c>
      <c r="T258" s="754">
        <v>45961</v>
      </c>
      <c r="U258" s="758">
        <v>865.42161616940507</v>
      </c>
      <c r="V258" s="894"/>
      <c r="W258" s="533">
        <v>45974</v>
      </c>
      <c r="X258" s="891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88"/>
      <c r="J259" s="888"/>
      <c r="K259" s="261"/>
      <c r="L259" s="329">
        <v>10</v>
      </c>
      <c r="M259" s="422" t="s">
        <v>538</v>
      </c>
      <c r="N259" s="330" t="s">
        <v>573</v>
      </c>
      <c r="O259" s="553"/>
      <c r="P259" s="458"/>
      <c r="Q259" s="332">
        <v>1500</v>
      </c>
      <c r="R259" s="588"/>
      <c r="S259" s="623" t="s">
        <v>575</v>
      </c>
      <c r="T259" s="754">
        <v>45961</v>
      </c>
      <c r="U259" s="758">
        <v>865.42161616940507</v>
      </c>
      <c r="V259" s="894"/>
      <c r="W259" s="533">
        <v>45974</v>
      </c>
      <c r="X259" s="891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88"/>
      <c r="J260" s="888"/>
      <c r="K260" s="261"/>
      <c r="L260" s="329">
        <v>10</v>
      </c>
      <c r="M260" s="422" t="s">
        <v>538</v>
      </c>
      <c r="N260" s="330" t="s">
        <v>573</v>
      </c>
      <c r="O260" s="553"/>
      <c r="P260" s="458"/>
      <c r="Q260" s="332">
        <v>2550</v>
      </c>
      <c r="R260" s="588"/>
      <c r="S260" s="623" t="s">
        <v>576</v>
      </c>
      <c r="T260" s="754">
        <v>45961</v>
      </c>
      <c r="U260" s="758">
        <v>1471.2167474879886</v>
      </c>
      <c r="V260" s="894"/>
      <c r="W260" s="533">
        <v>45974</v>
      </c>
      <c r="X260" s="891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88"/>
      <c r="J261" s="888"/>
      <c r="K261" s="261"/>
      <c r="L261" s="329">
        <v>10</v>
      </c>
      <c r="M261" s="422" t="s">
        <v>538</v>
      </c>
      <c r="N261" s="330" t="s">
        <v>577</v>
      </c>
      <c r="O261" s="553"/>
      <c r="P261" s="458"/>
      <c r="Q261" s="332">
        <v>1550</v>
      </c>
      <c r="R261" s="783"/>
      <c r="S261" s="623" t="s">
        <v>578</v>
      </c>
      <c r="T261" s="676">
        <v>45991</v>
      </c>
      <c r="U261" s="758">
        <v>1770.4386486937569</v>
      </c>
      <c r="V261" s="894"/>
      <c r="W261" s="533">
        <v>45995</v>
      </c>
      <c r="X261" s="891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88"/>
      <c r="J262" s="888"/>
      <c r="K262" s="261"/>
      <c r="L262" s="329">
        <v>10</v>
      </c>
      <c r="M262" s="422" t="s">
        <v>538</v>
      </c>
      <c r="N262" s="330" t="s">
        <v>579</v>
      </c>
      <c r="O262" s="553"/>
      <c r="P262" s="458"/>
      <c r="Q262" s="332">
        <v>1550</v>
      </c>
      <c r="R262" s="588"/>
      <c r="S262" s="623" t="s">
        <v>580</v>
      </c>
      <c r="T262" s="676">
        <v>45991</v>
      </c>
      <c r="U262" s="758">
        <v>1770.4386486937569</v>
      </c>
      <c r="V262" s="894"/>
      <c r="W262" s="533">
        <v>45995</v>
      </c>
      <c r="X262" s="891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88"/>
      <c r="J263" s="888"/>
      <c r="K263" s="261"/>
      <c r="L263" s="329">
        <v>10</v>
      </c>
      <c r="M263" s="422" t="s">
        <v>538</v>
      </c>
      <c r="N263" s="330" t="s">
        <v>581</v>
      </c>
      <c r="O263" s="553"/>
      <c r="P263" s="458"/>
      <c r="Q263" s="332">
        <v>2635</v>
      </c>
      <c r="R263" s="588"/>
      <c r="S263" s="623" t="s">
        <v>582</v>
      </c>
      <c r="T263" s="676">
        <v>45991</v>
      </c>
      <c r="U263" s="758">
        <v>988.11070277938666</v>
      </c>
      <c r="V263" s="894"/>
      <c r="W263" s="533">
        <v>45995</v>
      </c>
      <c r="X263" s="891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88"/>
      <c r="J264" s="888"/>
      <c r="K264" s="261"/>
      <c r="L264" s="329">
        <v>10</v>
      </c>
      <c r="M264" s="422" t="s">
        <v>538</v>
      </c>
      <c r="N264" s="330" t="s">
        <v>583</v>
      </c>
      <c r="O264" s="553"/>
      <c r="P264" s="458"/>
      <c r="Q264" s="332">
        <v>1550</v>
      </c>
      <c r="R264" s="588"/>
      <c r="S264" s="623" t="s">
        <v>584</v>
      </c>
      <c r="T264" s="676">
        <v>46022</v>
      </c>
      <c r="U264" s="758">
        <v>0</v>
      </c>
      <c r="V264" s="894"/>
      <c r="W264" s="755">
        <v>46031</v>
      </c>
      <c r="X264" s="891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88"/>
      <c r="J265" s="888"/>
      <c r="K265" s="261"/>
      <c r="L265" s="329">
        <v>10</v>
      </c>
      <c r="M265" s="422" t="s">
        <v>538</v>
      </c>
      <c r="N265" s="330" t="s">
        <v>585</v>
      </c>
      <c r="O265" s="553"/>
      <c r="P265" s="458"/>
      <c r="Q265" s="332">
        <v>1550</v>
      </c>
      <c r="R265" s="588"/>
      <c r="S265" s="623" t="s">
        <v>586</v>
      </c>
      <c r="T265" s="676">
        <v>46022</v>
      </c>
      <c r="U265" s="758">
        <v>0</v>
      </c>
      <c r="V265" s="894"/>
      <c r="W265" s="755">
        <v>46031</v>
      </c>
      <c r="X265" s="891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88"/>
      <c r="J266" s="888"/>
      <c r="K266" s="261"/>
      <c r="L266" s="329">
        <v>10</v>
      </c>
      <c r="M266" s="422" t="s">
        <v>538</v>
      </c>
      <c r="N266" s="330" t="s">
        <v>587</v>
      </c>
      <c r="O266" s="553"/>
      <c r="P266" s="458"/>
      <c r="Q266" s="332">
        <v>2635</v>
      </c>
      <c r="R266" s="588"/>
      <c r="S266" s="623" t="s">
        <v>588</v>
      </c>
      <c r="T266" s="676">
        <v>46022</v>
      </c>
      <c r="U266" s="758">
        <v>0</v>
      </c>
      <c r="V266" s="894"/>
      <c r="W266" s="755">
        <v>46031</v>
      </c>
      <c r="X266" s="891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88"/>
      <c r="J267" s="888"/>
      <c r="K267" s="261"/>
      <c r="L267" s="329">
        <v>10</v>
      </c>
      <c r="M267" s="422" t="s">
        <v>538</v>
      </c>
      <c r="N267" s="330" t="s">
        <v>589</v>
      </c>
      <c r="O267" s="553"/>
      <c r="P267" s="458"/>
      <c r="Q267" s="332">
        <v>1400</v>
      </c>
      <c r="R267" s="588"/>
      <c r="S267" s="623" t="s">
        <v>590</v>
      </c>
      <c r="T267" s="676">
        <v>46053</v>
      </c>
      <c r="U267" s="758">
        <v>0</v>
      </c>
      <c r="V267" s="894"/>
      <c r="W267" s="533">
        <v>46058</v>
      </c>
      <c r="X267" s="891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88"/>
      <c r="J268" s="888"/>
      <c r="K268" s="261"/>
      <c r="L268" s="329">
        <v>10</v>
      </c>
      <c r="M268" s="422" t="s">
        <v>538</v>
      </c>
      <c r="N268" s="330" t="s">
        <v>589</v>
      </c>
      <c r="O268" s="553"/>
      <c r="P268" s="458"/>
      <c r="Q268" s="332">
        <v>1400</v>
      </c>
      <c r="R268" s="588"/>
      <c r="S268" s="623" t="s">
        <v>591</v>
      </c>
      <c r="T268" s="676">
        <v>46053</v>
      </c>
      <c r="U268" s="758">
        <v>0</v>
      </c>
      <c r="V268" s="894"/>
      <c r="W268" s="533">
        <v>46058</v>
      </c>
      <c r="X268" s="891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88"/>
      <c r="J269" s="888"/>
      <c r="K269" s="261"/>
      <c r="L269" s="329">
        <v>10</v>
      </c>
      <c r="M269" s="422" t="s">
        <v>538</v>
      </c>
      <c r="N269" s="330" t="s">
        <v>589</v>
      </c>
      <c r="O269" s="553"/>
      <c r="P269" s="458"/>
      <c r="Q269" s="332">
        <v>2380</v>
      </c>
      <c r="R269" s="588"/>
      <c r="S269" s="623" t="s">
        <v>592</v>
      </c>
      <c r="T269" s="676">
        <v>46053</v>
      </c>
      <c r="U269" s="758">
        <v>0</v>
      </c>
      <c r="V269" s="894"/>
      <c r="W269" s="533">
        <v>46058</v>
      </c>
      <c r="X269" s="891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72"/>
      <c r="I270" s="888"/>
      <c r="J270" s="888"/>
      <c r="K270" s="261"/>
      <c r="L270" s="329">
        <v>10</v>
      </c>
      <c r="M270" s="422" t="s">
        <v>538</v>
      </c>
      <c r="N270" s="330"/>
      <c r="O270" s="553"/>
      <c r="P270" s="458"/>
      <c r="Q270" s="332"/>
      <c r="R270" s="588"/>
      <c r="S270" s="623"/>
      <c r="T270" s="754"/>
      <c r="U270" s="507"/>
      <c r="V270" s="894"/>
      <c r="W270" s="572"/>
      <c r="X270" s="891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888"/>
      <c r="J271" s="888"/>
      <c r="K271" s="261"/>
      <c r="L271" s="329">
        <v>10</v>
      </c>
      <c r="M271" s="422" t="s">
        <v>538</v>
      </c>
      <c r="N271" s="330" t="s">
        <v>593</v>
      </c>
      <c r="O271" s="553"/>
      <c r="P271" s="458"/>
      <c r="Q271" s="332">
        <v>652.16999999999996</v>
      </c>
      <c r="R271" s="588"/>
      <c r="S271" s="623" t="s">
        <v>594</v>
      </c>
      <c r="T271" s="676">
        <v>45900</v>
      </c>
      <c r="U271" s="683">
        <v>380.22607138610476</v>
      </c>
      <c r="V271" s="894"/>
      <c r="W271" s="533">
        <v>45932</v>
      </c>
      <c r="X271" s="891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88"/>
      <c r="J272" s="888"/>
      <c r="K272" s="261"/>
      <c r="L272" s="329">
        <v>10</v>
      </c>
      <c r="M272" s="422" t="s">
        <v>538</v>
      </c>
      <c r="N272" s="330" t="s">
        <v>595</v>
      </c>
      <c r="O272" s="553"/>
      <c r="P272" s="458"/>
      <c r="Q272" s="332">
        <v>2173.92</v>
      </c>
      <c r="R272" s="588"/>
      <c r="S272" s="623" t="s">
        <v>596</v>
      </c>
      <c r="T272" s="676">
        <v>45930</v>
      </c>
      <c r="U272" s="758">
        <v>1258.8741122956246</v>
      </c>
      <c r="V272" s="894"/>
      <c r="W272" s="533">
        <v>45939</v>
      </c>
      <c r="X272" s="891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88"/>
      <c r="J273" s="888"/>
      <c r="K273" s="261"/>
      <c r="L273" s="329">
        <v>10</v>
      </c>
      <c r="M273" s="422" t="s">
        <v>538</v>
      </c>
      <c r="N273" s="330" t="s">
        <v>597</v>
      </c>
      <c r="O273" s="553"/>
      <c r="P273" s="458"/>
      <c r="Q273" s="332">
        <f>2434.8+652.17</f>
        <v>3086.9700000000003</v>
      </c>
      <c r="R273" s="588"/>
      <c r="S273" s="623" t="s">
        <v>598</v>
      </c>
      <c r="T273" s="754">
        <v>45961</v>
      </c>
      <c r="U273" s="758">
        <v>1781.0203776443125</v>
      </c>
      <c r="V273" s="894"/>
      <c r="W273" s="533">
        <v>45967</v>
      </c>
      <c r="X273" s="891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888"/>
      <c r="J274" s="888"/>
      <c r="K274" s="261"/>
      <c r="L274" s="329">
        <v>10</v>
      </c>
      <c r="M274" s="422" t="s">
        <v>538</v>
      </c>
      <c r="N274" s="330" t="s">
        <v>599</v>
      </c>
      <c r="O274" s="553"/>
      <c r="P274" s="458"/>
      <c r="Q274" s="332">
        <v>2434.8000000000002</v>
      </c>
      <c r="R274" s="588"/>
      <c r="S274" s="623" t="s">
        <v>600</v>
      </c>
      <c r="T274" s="676">
        <v>45991</v>
      </c>
      <c r="U274" s="758">
        <v>1343.363433444877</v>
      </c>
      <c r="V274" s="894"/>
      <c r="W274" s="533">
        <v>45995</v>
      </c>
      <c r="X274" s="891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88"/>
      <c r="J275" s="888"/>
      <c r="K275" s="261"/>
      <c r="L275" s="329">
        <v>10</v>
      </c>
      <c r="M275" s="422" t="s">
        <v>538</v>
      </c>
      <c r="N275" s="330" t="s">
        <v>601</v>
      </c>
      <c r="O275" s="553"/>
      <c r="P275" s="458"/>
      <c r="Q275" s="332">
        <v>1217.4000000000001</v>
      </c>
      <c r="R275" s="588"/>
      <c r="S275" s="623" t="s">
        <v>602</v>
      </c>
      <c r="T275" s="676">
        <v>46022</v>
      </c>
      <c r="U275" s="758">
        <v>608.42503176814455</v>
      </c>
      <c r="V275" s="894"/>
      <c r="W275" s="755">
        <v>46029</v>
      </c>
      <c r="X275" s="891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33"/>
      <c r="I276" s="888"/>
      <c r="J276" s="888"/>
      <c r="K276" s="261"/>
      <c r="L276" s="329">
        <v>10</v>
      </c>
      <c r="M276" s="422" t="s">
        <v>538</v>
      </c>
      <c r="N276" s="330" t="s">
        <v>601</v>
      </c>
      <c r="O276" s="553"/>
      <c r="P276" s="458"/>
      <c r="Q276" s="332">
        <v>608.70000000000005</v>
      </c>
      <c r="R276" s="588"/>
      <c r="S276" s="623" t="s">
        <v>603</v>
      </c>
      <c r="T276" s="676">
        <v>46022</v>
      </c>
      <c r="U276" s="758">
        <v>304.21251588407227</v>
      </c>
      <c r="V276" s="894"/>
      <c r="W276" s="755">
        <v>46029</v>
      </c>
      <c r="X276" s="891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88"/>
      <c r="J277" s="888"/>
      <c r="K277" s="261"/>
      <c r="L277" s="329">
        <v>10</v>
      </c>
      <c r="M277" s="422" t="s">
        <v>538</v>
      </c>
      <c r="N277" s="837" t="s">
        <v>604</v>
      </c>
      <c r="O277" s="553"/>
      <c r="P277" s="458"/>
      <c r="Q277" s="332">
        <v>1826.1</v>
      </c>
      <c r="R277" s="588"/>
      <c r="S277" s="623" t="s">
        <v>605</v>
      </c>
      <c r="T277" s="754">
        <v>46053</v>
      </c>
      <c r="U277" s="507">
        <v>0</v>
      </c>
      <c r="V277" s="894"/>
      <c r="W277" s="533">
        <v>46058</v>
      </c>
      <c r="X277" s="891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88"/>
      <c r="J278" s="888"/>
      <c r="K278" s="261"/>
      <c r="L278" s="329">
        <v>10</v>
      </c>
      <c r="M278" s="422" t="s">
        <v>538</v>
      </c>
      <c r="N278" s="330" t="s">
        <v>604</v>
      </c>
      <c r="O278" s="553"/>
      <c r="P278" s="458"/>
      <c r="Q278" s="332">
        <v>913.05</v>
      </c>
      <c r="R278" s="588"/>
      <c r="S278" s="623" t="s">
        <v>606</v>
      </c>
      <c r="T278" s="754">
        <v>46053</v>
      </c>
      <c r="U278" s="507">
        <v>0</v>
      </c>
      <c r="V278" s="894"/>
      <c r="W278" s="533">
        <v>46058</v>
      </c>
      <c r="X278" s="891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88"/>
      <c r="J279" s="888"/>
      <c r="K279" s="261"/>
      <c r="L279" s="329">
        <v>10</v>
      </c>
      <c r="M279" s="422" t="s">
        <v>538</v>
      </c>
      <c r="N279" s="330" t="s">
        <v>607</v>
      </c>
      <c r="O279" s="553"/>
      <c r="P279" s="458"/>
      <c r="Q279" s="332">
        <v>2434.7800000000002</v>
      </c>
      <c r="R279" s="588"/>
      <c r="S279" s="623" t="s">
        <v>608</v>
      </c>
      <c r="T279" s="676">
        <v>46081</v>
      </c>
      <c r="U279" s="507">
        <v>0</v>
      </c>
      <c r="V279" s="894"/>
      <c r="W279" s="572">
        <v>46088</v>
      </c>
      <c r="X279" s="891"/>
      <c r="Y279" s="472"/>
    </row>
    <row r="280" spans="1:25" ht="14.25" customHeight="1">
      <c r="B280" s="329"/>
      <c r="C280" s="330"/>
      <c r="D280" s="330"/>
      <c r="E280" s="331"/>
      <c r="F280" s="458"/>
      <c r="G280" s="332"/>
      <c r="H280" s="572"/>
      <c r="I280" s="888"/>
      <c r="J280" s="888"/>
      <c r="K280" s="261"/>
      <c r="L280" s="329">
        <v>10</v>
      </c>
      <c r="M280" s="422" t="s">
        <v>538</v>
      </c>
      <c r="N280" s="330" t="s">
        <v>607</v>
      </c>
      <c r="O280" s="553"/>
      <c r="P280" s="458"/>
      <c r="Q280" s="332">
        <v>1217.3900000000001</v>
      </c>
      <c r="R280" s="588"/>
      <c r="S280" s="623" t="s">
        <v>609</v>
      </c>
      <c r="T280" s="676">
        <v>46081</v>
      </c>
      <c r="U280" s="507">
        <v>0</v>
      </c>
      <c r="V280" s="894"/>
      <c r="W280" s="572">
        <v>46088</v>
      </c>
      <c r="X280" s="891"/>
      <c r="Y280" s="472"/>
    </row>
    <row r="281" spans="1:25" ht="14.25" customHeight="1">
      <c r="B281" s="329">
        <v>10</v>
      </c>
      <c r="C281" s="330"/>
      <c r="D281" s="330"/>
      <c r="E281" s="331"/>
      <c r="F281" s="458"/>
      <c r="G281" s="332"/>
      <c r="H281" s="572"/>
      <c r="I281" s="888"/>
      <c r="J281" s="888"/>
      <c r="K281" s="261"/>
      <c r="L281" s="329">
        <v>10</v>
      </c>
      <c r="M281" s="422" t="s">
        <v>538</v>
      </c>
      <c r="N281" s="330"/>
      <c r="O281" s="553"/>
      <c r="P281" s="458"/>
      <c r="Q281" s="332"/>
      <c r="R281" s="588"/>
      <c r="S281" s="623"/>
      <c r="T281" s="521"/>
      <c r="U281" s="507">
        <f t="shared" ref="U279:U282" si="27">(Q281/$X$228*$J$228)</f>
        <v>0</v>
      </c>
      <c r="V281" s="894"/>
      <c r="W281" s="572"/>
      <c r="X281" s="891"/>
      <c r="Y281" s="472"/>
    </row>
    <row r="282" spans="1:25" ht="15" customHeight="1" thickBot="1">
      <c r="B282" s="262">
        <v>10</v>
      </c>
      <c r="C282" s="333"/>
      <c r="D282" s="333"/>
      <c r="E282" s="334"/>
      <c r="F282" s="459"/>
      <c r="G282" s="263"/>
      <c r="H282" s="573"/>
      <c r="I282" s="889"/>
      <c r="J282" s="889"/>
      <c r="K282" s="264"/>
      <c r="L282" s="329">
        <v>10</v>
      </c>
      <c r="M282" s="423" t="s">
        <v>538</v>
      </c>
      <c r="N282" s="333"/>
      <c r="O282" s="554"/>
      <c r="P282" s="459"/>
      <c r="Q282" s="263"/>
      <c r="R282" s="589"/>
      <c r="S282" s="624"/>
      <c r="T282" s="522" t="str">
        <f t="shared" si="19"/>
        <v/>
      </c>
      <c r="U282" s="507">
        <f t="shared" si="27"/>
        <v>0</v>
      </c>
      <c r="V282" s="895"/>
      <c r="W282" s="573"/>
      <c r="X282" s="892"/>
      <c r="Y282" s="472"/>
    </row>
    <row r="283" spans="1:25" ht="13.9" thickBot="1">
      <c r="A283" s="24"/>
      <c r="B283" s="265"/>
      <c r="C283" s="266"/>
      <c r="D283" s="266"/>
      <c r="E283" s="280"/>
      <c r="F283" s="443"/>
      <c r="G283" s="268"/>
      <c r="H283" s="563"/>
      <c r="I283" s="269"/>
      <c r="J283" s="391"/>
      <c r="K283" s="24"/>
      <c r="L283" s="265"/>
      <c r="M283" s="266"/>
      <c r="N283" s="266"/>
      <c r="O283" s="543"/>
      <c r="P283" s="443"/>
      <c r="Q283" s="268"/>
      <c r="R283" s="582"/>
      <c r="S283" s="617"/>
      <c r="T283" s="512" t="str">
        <f t="shared" si="19"/>
        <v/>
      </c>
      <c r="U283" s="496"/>
      <c r="V283" s="484"/>
      <c r="W283" s="563"/>
      <c r="X283" s="339"/>
      <c r="Y283" s="472"/>
    </row>
    <row r="284" spans="1:25" ht="14.25" customHeight="1">
      <c r="B284" s="270">
        <v>11</v>
      </c>
      <c r="C284" s="271" t="s">
        <v>610</v>
      </c>
      <c r="D284" s="340" t="s">
        <v>611</v>
      </c>
      <c r="E284" s="272"/>
      <c r="F284" s="424"/>
      <c r="G284" s="273">
        <v>300000</v>
      </c>
      <c r="H284" s="567">
        <v>45991</v>
      </c>
      <c r="I284" s="884">
        <f>SUM(G284:G297)</f>
        <v>420000</v>
      </c>
      <c r="J284" s="884">
        <f>F394</f>
        <v>494117.64705882355</v>
      </c>
      <c r="K284" s="274"/>
      <c r="L284" s="270">
        <v>11</v>
      </c>
      <c r="M284" s="340" t="s">
        <v>612</v>
      </c>
      <c r="N284" s="340" t="s">
        <v>611</v>
      </c>
      <c r="O284" s="272"/>
      <c r="P284" s="424"/>
      <c r="Q284" s="273">
        <v>0</v>
      </c>
      <c r="R284" s="581"/>
      <c r="S284" s="616"/>
      <c r="T284" s="516">
        <v>46081</v>
      </c>
      <c r="U284" s="501">
        <f>(Q284/$X$284*$J$284)-4171.27+2311.1+2367.25</f>
        <v>507.07999999999947</v>
      </c>
      <c r="V284" s="872">
        <f>J284-SUM(U284:U297)</f>
        <v>151363.54601522174</v>
      </c>
      <c r="W284" s="567">
        <v>46112</v>
      </c>
      <c r="X284" s="869">
        <f>SUM(Q284:Q297)</f>
        <v>426656</v>
      </c>
      <c r="Y284" s="472"/>
    </row>
    <row r="285" spans="1:25" ht="14.25" customHeight="1">
      <c r="B285" s="275"/>
      <c r="C285" s="276"/>
      <c r="D285" s="763"/>
      <c r="E285" s="438"/>
      <c r="F285" s="439"/>
      <c r="G285" s="764"/>
      <c r="H285" s="567"/>
      <c r="I285" s="885"/>
      <c r="J285" s="885"/>
      <c r="K285" s="277"/>
      <c r="L285" s="300">
        <v>11</v>
      </c>
      <c r="M285" s="378" t="s">
        <v>612</v>
      </c>
      <c r="N285" s="832" t="s">
        <v>613</v>
      </c>
      <c r="O285" s="438"/>
      <c r="P285" s="439"/>
      <c r="Q285" s="764">
        <v>35600</v>
      </c>
      <c r="R285" s="581" t="s">
        <v>614</v>
      </c>
      <c r="S285" s="616" t="s">
        <v>615</v>
      </c>
      <c r="T285" s="673">
        <v>46081</v>
      </c>
      <c r="U285" s="501">
        <f t="shared" ref="U285" si="28">(Q285/$X$284*$J$284)-4171.27+2311.1+2367.25</f>
        <v>41736.051900768107</v>
      </c>
      <c r="V285" s="873"/>
      <c r="W285" s="839">
        <v>46079</v>
      </c>
      <c r="X285" s="870"/>
      <c r="Y285" s="472"/>
    </row>
    <row r="286" spans="1:25" ht="14.25" customHeight="1">
      <c r="B286" s="275"/>
      <c r="C286" s="276"/>
      <c r="D286" s="763"/>
      <c r="E286" s="438"/>
      <c r="F286" s="439"/>
      <c r="G286" s="764"/>
      <c r="H286" s="567"/>
      <c r="I286" s="885"/>
      <c r="J286" s="885"/>
      <c r="K286" s="277"/>
      <c r="L286" s="300">
        <v>11</v>
      </c>
      <c r="M286" s="378" t="s">
        <v>612</v>
      </c>
      <c r="N286" s="763" t="s">
        <v>616</v>
      </c>
      <c r="O286" s="438"/>
      <c r="P286" s="439"/>
      <c r="Q286" s="764">
        <v>28400</v>
      </c>
      <c r="R286" s="581" t="s">
        <v>617</v>
      </c>
      <c r="S286" s="616" t="s">
        <v>618</v>
      </c>
      <c r="T286" s="780">
        <v>45991</v>
      </c>
      <c r="U286" s="806">
        <v>21812.49766334868</v>
      </c>
      <c r="V286" s="873"/>
      <c r="W286" s="820">
        <v>45995</v>
      </c>
      <c r="X286" s="870"/>
      <c r="Y286" s="472"/>
    </row>
    <row r="287" spans="1:25" ht="14.25" customHeight="1">
      <c r="B287" s="275"/>
      <c r="C287" s="276"/>
      <c r="D287" s="763"/>
      <c r="E287" s="438"/>
      <c r="F287" s="439"/>
      <c r="G287" s="764"/>
      <c r="H287" s="567"/>
      <c r="I287" s="885"/>
      <c r="J287" s="885"/>
      <c r="K287" s="277"/>
      <c r="L287" s="300">
        <v>11</v>
      </c>
      <c r="M287" s="378" t="s">
        <v>612</v>
      </c>
      <c r="N287" s="763"/>
      <c r="O287" s="438"/>
      <c r="P287" s="439"/>
      <c r="Q287" s="764"/>
      <c r="R287" s="581"/>
      <c r="S287" s="616"/>
      <c r="T287" s="516"/>
      <c r="U287" s="501"/>
      <c r="V287" s="873"/>
      <c r="W287" s="567"/>
      <c r="X287" s="870"/>
      <c r="Y287" s="472"/>
    </row>
    <row r="288" spans="1:25" ht="14.25" customHeight="1">
      <c r="B288" s="275"/>
      <c r="C288" s="276"/>
      <c r="D288" s="763"/>
      <c r="E288" s="438"/>
      <c r="F288" s="439"/>
      <c r="G288" s="764"/>
      <c r="H288" s="567"/>
      <c r="I288" s="885"/>
      <c r="J288" s="885"/>
      <c r="K288" s="277"/>
      <c r="L288" s="300">
        <v>11</v>
      </c>
      <c r="M288" s="378" t="s">
        <v>612</v>
      </c>
      <c r="N288" s="763"/>
      <c r="O288" s="438"/>
      <c r="P288" s="439"/>
      <c r="Q288" s="764"/>
      <c r="R288" s="581"/>
      <c r="S288" s="616"/>
      <c r="T288" s="673">
        <v>46053</v>
      </c>
      <c r="U288" s="501"/>
      <c r="V288" s="873"/>
      <c r="W288" s="839">
        <v>46053</v>
      </c>
      <c r="X288" s="870"/>
      <c r="Y288" s="472"/>
    </row>
    <row r="289" spans="1:25" ht="14.25" customHeight="1">
      <c r="B289" s="275"/>
      <c r="C289" s="276"/>
      <c r="D289" s="763"/>
      <c r="E289" s="438"/>
      <c r="F289" s="439"/>
      <c r="G289" s="764"/>
      <c r="H289" s="567"/>
      <c r="I289" s="885"/>
      <c r="J289" s="885"/>
      <c r="K289" s="277"/>
      <c r="L289" s="300">
        <v>11</v>
      </c>
      <c r="M289" s="378" t="s">
        <v>612</v>
      </c>
      <c r="N289" s="763"/>
      <c r="O289" s="438"/>
      <c r="P289" s="439"/>
      <c r="Q289" s="764"/>
      <c r="R289" s="581"/>
      <c r="S289" s="616"/>
      <c r="T289" s="516"/>
      <c r="U289" s="501"/>
      <c r="V289" s="873"/>
      <c r="W289" s="567"/>
      <c r="X289" s="870"/>
      <c r="Y289" s="472"/>
    </row>
    <row r="290" spans="1:25" ht="14.25" customHeight="1">
      <c r="B290" s="275"/>
      <c r="C290" s="276"/>
      <c r="D290" s="763"/>
      <c r="E290" s="438"/>
      <c r="F290" s="439"/>
      <c r="G290" s="764"/>
      <c r="H290" s="567"/>
      <c r="I290" s="885"/>
      <c r="J290" s="885"/>
      <c r="K290" s="277"/>
      <c r="L290" s="300">
        <v>11</v>
      </c>
      <c r="M290" s="378" t="s">
        <v>612</v>
      </c>
      <c r="N290" s="763"/>
      <c r="O290" s="438"/>
      <c r="P290" s="439"/>
      <c r="Q290" s="764"/>
      <c r="R290" s="581"/>
      <c r="S290" s="616"/>
      <c r="T290" s="516"/>
      <c r="U290" s="501"/>
      <c r="V290" s="873"/>
      <c r="W290" s="567"/>
      <c r="X290" s="870"/>
      <c r="Y290" s="472"/>
    </row>
    <row r="291" spans="1:25" ht="15" customHeight="1">
      <c r="B291" s="300">
        <v>11</v>
      </c>
      <c r="C291" s="302"/>
      <c r="D291" s="302" t="s">
        <v>619</v>
      </c>
      <c r="E291" s="303"/>
      <c r="F291" s="446"/>
      <c r="G291" s="304">
        <v>40000</v>
      </c>
      <c r="H291" s="524">
        <v>45841</v>
      </c>
      <c r="I291" s="885"/>
      <c r="J291" s="885"/>
      <c r="K291" s="277"/>
      <c r="L291" s="300">
        <v>11</v>
      </c>
      <c r="M291" s="378" t="s">
        <v>612</v>
      </c>
      <c r="N291" s="302" t="s">
        <v>619</v>
      </c>
      <c r="O291" s="303"/>
      <c r="P291" s="446"/>
      <c r="Q291" s="304">
        <v>10400</v>
      </c>
      <c r="R291" s="574" t="s">
        <v>620</v>
      </c>
      <c r="S291" s="609" t="s">
        <v>621</v>
      </c>
      <c r="T291" s="677">
        <v>45838</v>
      </c>
      <c r="U291" s="679">
        <v>12174.422007609013</v>
      </c>
      <c r="V291" s="873"/>
      <c r="W291" s="524">
        <v>45841</v>
      </c>
      <c r="X291" s="870"/>
      <c r="Y291" s="472"/>
    </row>
    <row r="292" spans="1:25" ht="15" customHeight="1">
      <c r="B292" s="300">
        <v>11</v>
      </c>
      <c r="C292" s="302"/>
      <c r="D292" s="302" t="s">
        <v>622</v>
      </c>
      <c r="E292" s="303"/>
      <c r="F292" s="446"/>
      <c r="G292" s="304">
        <v>80000</v>
      </c>
      <c r="H292" s="524">
        <v>45841</v>
      </c>
      <c r="I292" s="885"/>
      <c r="J292" s="885"/>
      <c r="K292" s="277"/>
      <c r="L292" s="300">
        <v>11</v>
      </c>
      <c r="M292" s="378" t="s">
        <v>612</v>
      </c>
      <c r="N292" s="302" t="s">
        <v>622</v>
      </c>
      <c r="O292" s="303"/>
      <c r="P292" s="446"/>
      <c r="Q292" s="304">
        <v>79700</v>
      </c>
      <c r="R292" s="574" t="s">
        <v>623</v>
      </c>
      <c r="S292" s="609" t="s">
        <v>624</v>
      </c>
      <c r="T292" s="674">
        <v>45961</v>
      </c>
      <c r="U292" s="757">
        <v>58776.043794679215</v>
      </c>
      <c r="V292" s="873"/>
      <c r="W292" s="756">
        <v>46031</v>
      </c>
      <c r="X292" s="870"/>
      <c r="Y292" s="472"/>
    </row>
    <row r="293" spans="1:25" ht="15" customHeight="1">
      <c r="B293" s="300">
        <v>11</v>
      </c>
      <c r="C293" s="376"/>
      <c r="D293" s="376"/>
      <c r="E293" s="395"/>
      <c r="F293" s="431"/>
      <c r="G293" s="375"/>
      <c r="H293" s="561"/>
      <c r="I293" s="885"/>
      <c r="J293" s="885"/>
      <c r="K293" s="277"/>
      <c r="L293" s="300">
        <v>11</v>
      </c>
      <c r="M293" s="378" t="s">
        <v>612</v>
      </c>
      <c r="N293" s="376" t="s">
        <v>625</v>
      </c>
      <c r="O293" s="395"/>
      <c r="P293" s="431"/>
      <c r="Q293" s="375">
        <v>252556</v>
      </c>
      <c r="R293" s="628" t="s">
        <v>626</v>
      </c>
      <c r="S293" s="610" t="s">
        <v>627</v>
      </c>
      <c r="T293" s="674">
        <v>45869</v>
      </c>
      <c r="U293" s="679">
        <v>184585.6619127203</v>
      </c>
      <c r="V293" s="873"/>
      <c r="W293" s="561">
        <v>46112</v>
      </c>
      <c r="X293" s="870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5"/>
      <c r="J294" s="885"/>
      <c r="K294" s="277"/>
      <c r="L294" s="300">
        <v>11</v>
      </c>
      <c r="M294" s="378" t="s">
        <v>612</v>
      </c>
      <c r="N294" s="376"/>
      <c r="O294" s="395"/>
      <c r="P294" s="431"/>
      <c r="Q294" s="375"/>
      <c r="R294" s="628"/>
      <c r="S294" s="610"/>
      <c r="T294" s="510"/>
      <c r="U294" s="493">
        <f>(Q294/$X$284*$J$284)</f>
        <v>0</v>
      </c>
      <c r="V294" s="873"/>
      <c r="W294" s="561"/>
      <c r="X294" s="870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5"/>
      <c r="J295" s="885"/>
      <c r="K295" s="277"/>
      <c r="L295" s="300">
        <v>11</v>
      </c>
      <c r="M295" s="378" t="s">
        <v>612</v>
      </c>
      <c r="N295" s="376"/>
      <c r="O295" s="395"/>
      <c r="P295" s="431"/>
      <c r="Q295" s="375"/>
      <c r="R295" s="628"/>
      <c r="S295" s="610"/>
      <c r="T295" s="510"/>
      <c r="U295" s="493">
        <f>(Q295/$X$284*$J$284)</f>
        <v>0</v>
      </c>
      <c r="V295" s="873"/>
      <c r="W295" s="561"/>
      <c r="X295" s="870"/>
      <c r="Y295" s="472"/>
    </row>
    <row r="296" spans="1:25" ht="15" customHeight="1">
      <c r="B296" s="372"/>
      <c r="C296" s="376"/>
      <c r="D296" s="376"/>
      <c r="E296" s="395"/>
      <c r="F296" s="431"/>
      <c r="G296" s="375"/>
      <c r="H296" s="561"/>
      <c r="I296" s="885"/>
      <c r="J296" s="885"/>
      <c r="K296" s="277"/>
      <c r="L296" s="300">
        <v>11</v>
      </c>
      <c r="M296" s="378" t="s">
        <v>612</v>
      </c>
      <c r="N296" s="376" t="s">
        <v>628</v>
      </c>
      <c r="O296" s="395"/>
      <c r="P296" s="431"/>
      <c r="Q296" s="375">
        <v>10000</v>
      </c>
      <c r="R296" s="628"/>
      <c r="S296" s="610" t="s">
        <v>629</v>
      </c>
      <c r="T296" s="670">
        <v>46081</v>
      </c>
      <c r="U296" s="493">
        <f>(Q296/$X$284*$J$284)</f>
        <v>11581.171882238234</v>
      </c>
      <c r="V296" s="873"/>
      <c r="W296" s="561">
        <v>46112</v>
      </c>
      <c r="X296" s="870"/>
      <c r="Y296" s="472"/>
    </row>
    <row r="297" spans="1:25" ht="15" customHeight="1" thickBot="1">
      <c r="B297" s="305">
        <v>11</v>
      </c>
      <c r="C297" s="306"/>
      <c r="D297" s="306"/>
      <c r="E297" s="307"/>
      <c r="F297" s="447"/>
      <c r="G297" s="319"/>
      <c r="H297" s="562"/>
      <c r="I297" s="886"/>
      <c r="J297" s="886"/>
      <c r="K297" s="278"/>
      <c r="L297" s="305">
        <v>11</v>
      </c>
      <c r="M297" s="407" t="s">
        <v>612</v>
      </c>
      <c r="N297" s="306" t="s">
        <v>630</v>
      </c>
      <c r="O297" s="542"/>
      <c r="P297" s="447"/>
      <c r="Q297" s="319">
        <v>10000</v>
      </c>
      <c r="R297" s="576"/>
      <c r="S297" s="611" t="s">
        <v>629</v>
      </c>
      <c r="T297" s="707">
        <v>46081</v>
      </c>
      <c r="U297" s="495">
        <f>(Q297/$X$284*$J$284)</f>
        <v>11581.171882238234</v>
      </c>
      <c r="V297" s="874"/>
      <c r="W297" s="562">
        <v>46112</v>
      </c>
      <c r="X297" s="871"/>
      <c r="Y297" s="472"/>
    </row>
    <row r="298" spans="1:25" ht="15" customHeight="1" thickBot="1">
      <c r="A298" s="24"/>
      <c r="B298" s="279"/>
      <c r="C298" s="266"/>
      <c r="D298" s="266"/>
      <c r="E298" s="280"/>
      <c r="F298" s="443"/>
      <c r="G298" s="281"/>
      <c r="H298" s="563"/>
      <c r="I298" s="269"/>
      <c r="J298" s="269"/>
      <c r="K298" s="24"/>
      <c r="L298" s="279"/>
      <c r="M298" s="266"/>
      <c r="N298" s="266"/>
      <c r="O298" s="543"/>
      <c r="P298" s="443"/>
      <c r="Q298" s="281"/>
      <c r="R298" s="577"/>
      <c r="S298" s="612"/>
      <c r="T298" s="512" t="str">
        <f t="shared" si="19"/>
        <v/>
      </c>
      <c r="U298" s="500"/>
      <c r="V298" s="483"/>
      <c r="W298" s="563"/>
      <c r="X298" s="339"/>
      <c r="Y298" s="472"/>
    </row>
    <row r="299" spans="1:25">
      <c r="B299" s="258">
        <v>12</v>
      </c>
      <c r="C299" s="259" t="s">
        <v>631</v>
      </c>
      <c r="D299" s="259"/>
      <c r="E299" s="260"/>
      <c r="F299" s="457"/>
      <c r="G299" s="327"/>
      <c r="H299" s="570"/>
      <c r="I299" s="887">
        <f>SUM(G299:G300)</f>
        <v>205449.89057158865</v>
      </c>
      <c r="J299" s="887">
        <v>0</v>
      </c>
      <c r="K299" s="462"/>
      <c r="L299" s="258">
        <v>12</v>
      </c>
      <c r="M299" s="259" t="s">
        <v>632</v>
      </c>
      <c r="N299" s="259"/>
      <c r="O299" s="552"/>
      <c r="P299" s="457"/>
      <c r="Q299" s="327"/>
      <c r="R299" s="586"/>
      <c r="S299" s="621"/>
      <c r="T299" s="520" t="str">
        <f t="shared" si="19"/>
        <v/>
      </c>
      <c r="U299" s="505"/>
      <c r="V299" s="482"/>
      <c r="W299" s="570"/>
      <c r="X299" s="890">
        <f>SUM(Q299:Q300)</f>
        <v>0</v>
      </c>
      <c r="Y299" s="472"/>
    </row>
    <row r="300" spans="1:25" ht="15" customHeight="1" thickBot="1">
      <c r="B300" s="262">
        <v>12</v>
      </c>
      <c r="C300" s="333" t="s">
        <v>631</v>
      </c>
      <c r="D300" s="333" t="s">
        <v>633</v>
      </c>
      <c r="E300" s="334"/>
      <c r="F300" s="459"/>
      <c r="G300" s="263">
        <v>205449.89057158865</v>
      </c>
      <c r="H300" s="573">
        <f>H284</f>
        <v>45991</v>
      </c>
      <c r="I300" s="889"/>
      <c r="J300" s="889"/>
      <c r="K300" s="463"/>
      <c r="L300" s="262">
        <v>12</v>
      </c>
      <c r="M300" s="333" t="s">
        <v>632</v>
      </c>
      <c r="N300" s="333" t="s">
        <v>633</v>
      </c>
      <c r="O300" s="554"/>
      <c r="P300" s="459"/>
      <c r="Q300" s="263">
        <v>0</v>
      </c>
      <c r="R300" s="589"/>
      <c r="S300" s="624"/>
      <c r="T300" s="522" t="str">
        <f t="shared" si="19"/>
        <v/>
      </c>
      <c r="U300" s="508"/>
      <c r="V300" s="481"/>
      <c r="W300" s="573"/>
      <c r="X300" s="892"/>
      <c r="Y300" s="472"/>
    </row>
    <row r="301" spans="1:25" ht="14.25" thickBot="1">
      <c r="A301" s="24"/>
      <c r="B301" s="279"/>
      <c r="C301" s="266"/>
      <c r="D301" s="266"/>
      <c r="E301" s="280"/>
      <c r="F301" s="443"/>
      <c r="G301" s="281"/>
      <c r="H301" s="563"/>
      <c r="I301" s="315"/>
      <c r="J301" s="315"/>
      <c r="K301" s="24"/>
      <c r="L301" s="279"/>
      <c r="M301" s="266"/>
      <c r="N301" s="266"/>
      <c r="O301" s="543"/>
      <c r="P301" s="443"/>
      <c r="Q301" s="281"/>
      <c r="R301" s="577"/>
      <c r="S301" s="612"/>
      <c r="T301" s="512" t="str">
        <f t="shared" si="19"/>
        <v/>
      </c>
      <c r="U301" s="500"/>
      <c r="V301" s="483"/>
      <c r="W301" s="563"/>
      <c r="X301" s="473"/>
      <c r="Y301" s="472"/>
    </row>
    <row r="302" spans="1:25" ht="15.75" customHeight="1">
      <c r="B302" s="270">
        <v>13</v>
      </c>
      <c r="C302" s="271" t="s">
        <v>634</v>
      </c>
      <c r="D302" s="340" t="s">
        <v>635</v>
      </c>
      <c r="E302" s="272"/>
      <c r="F302" s="424"/>
      <c r="G302" s="273">
        <v>950000</v>
      </c>
      <c r="H302" s="567">
        <v>46022</v>
      </c>
      <c r="I302" s="884">
        <f>SUM(G302:G317)</f>
        <v>950000</v>
      </c>
      <c r="J302" s="884">
        <f>F393</f>
        <v>1079545.4545454546</v>
      </c>
      <c r="K302" s="274"/>
      <c r="L302" s="270">
        <v>13</v>
      </c>
      <c r="M302" s="340" t="s">
        <v>636</v>
      </c>
      <c r="N302" s="340" t="s">
        <v>637</v>
      </c>
      <c r="O302" s="539"/>
      <c r="P302" s="424"/>
      <c r="Q302" s="273">
        <f>985688/12</f>
        <v>82140.666666666672</v>
      </c>
      <c r="R302" s="841"/>
      <c r="S302" s="616" t="s">
        <v>638</v>
      </c>
      <c r="T302" s="673">
        <v>46081</v>
      </c>
      <c r="U302" s="501">
        <v>86896.76</v>
      </c>
      <c r="V302" s="872">
        <f>J302-SUM(U302:U324)</f>
        <v>-3.1437885481864214E-3</v>
      </c>
      <c r="W302" s="567">
        <v>46112</v>
      </c>
      <c r="X302" s="869">
        <f>SUM(Q302:Q324)</f>
        <v>1011274.9999999999</v>
      </c>
      <c r="Y302" s="472"/>
    </row>
    <row r="303" spans="1:25" ht="15.75" customHeight="1">
      <c r="B303" s="275"/>
      <c r="C303" s="276"/>
      <c r="D303" s="763"/>
      <c r="E303" s="438"/>
      <c r="F303" s="439"/>
      <c r="G303" s="764"/>
      <c r="H303" s="567"/>
      <c r="I303" s="885"/>
      <c r="J303" s="885"/>
      <c r="K303" s="277"/>
      <c r="L303" s="275">
        <v>13</v>
      </c>
      <c r="M303" s="763" t="s">
        <v>636</v>
      </c>
      <c r="N303" s="763" t="s">
        <v>637</v>
      </c>
      <c r="O303" s="547"/>
      <c r="P303" s="439"/>
      <c r="Q303" s="764">
        <v>82140.666666666672</v>
      </c>
      <c r="R303" s="841"/>
      <c r="S303" s="616" t="s">
        <v>638</v>
      </c>
      <c r="T303" s="673">
        <v>46081</v>
      </c>
      <c r="U303" s="501">
        <v>86896.76</v>
      </c>
      <c r="V303" s="873"/>
      <c r="W303" s="567">
        <v>46142</v>
      </c>
      <c r="X303" s="870"/>
      <c r="Y303" s="472"/>
    </row>
    <row r="304" spans="1:25" ht="15.75" customHeight="1">
      <c r="B304" s="275"/>
      <c r="C304" s="276"/>
      <c r="D304" s="763"/>
      <c r="E304" s="438"/>
      <c r="F304" s="439"/>
      <c r="G304" s="764"/>
      <c r="H304" s="567"/>
      <c r="I304" s="885"/>
      <c r="J304" s="885"/>
      <c r="K304" s="277"/>
      <c r="L304" s="275">
        <v>13</v>
      </c>
      <c r="M304" s="763" t="s">
        <v>636</v>
      </c>
      <c r="N304" s="763" t="s">
        <v>637</v>
      </c>
      <c r="O304" s="547"/>
      <c r="P304" s="439"/>
      <c r="Q304" s="764">
        <v>82140.666666666672</v>
      </c>
      <c r="R304" s="841"/>
      <c r="S304" s="616" t="s">
        <v>638</v>
      </c>
      <c r="T304" s="673">
        <v>46081</v>
      </c>
      <c r="U304" s="501">
        <v>86896.76</v>
      </c>
      <c r="V304" s="873"/>
      <c r="W304" s="567">
        <v>46173</v>
      </c>
      <c r="X304" s="870"/>
      <c r="Y304" s="472"/>
    </row>
    <row r="305" spans="2:25" ht="15.75" customHeight="1">
      <c r="B305" s="275"/>
      <c r="C305" s="276"/>
      <c r="D305" s="763"/>
      <c r="E305" s="438"/>
      <c r="F305" s="439"/>
      <c r="G305" s="764"/>
      <c r="H305" s="567"/>
      <c r="I305" s="885"/>
      <c r="J305" s="885"/>
      <c r="K305" s="277"/>
      <c r="L305" s="275">
        <v>13</v>
      </c>
      <c r="M305" s="763" t="s">
        <v>636</v>
      </c>
      <c r="N305" s="763" t="s">
        <v>637</v>
      </c>
      <c r="O305" s="547"/>
      <c r="P305" s="439"/>
      <c r="Q305" s="764">
        <v>82140.666666666672</v>
      </c>
      <c r="R305" s="841"/>
      <c r="S305" s="616" t="s">
        <v>638</v>
      </c>
      <c r="T305" s="673">
        <v>46081</v>
      </c>
      <c r="U305" s="501">
        <v>86896.76</v>
      </c>
      <c r="V305" s="873"/>
      <c r="W305" s="567">
        <v>46203</v>
      </c>
      <c r="X305" s="870"/>
      <c r="Y305" s="472"/>
    </row>
    <row r="306" spans="2:25" ht="15.75" customHeight="1">
      <c r="B306" s="275"/>
      <c r="C306" s="276"/>
      <c r="D306" s="763"/>
      <c r="E306" s="438"/>
      <c r="F306" s="439"/>
      <c r="G306" s="764"/>
      <c r="H306" s="567"/>
      <c r="I306" s="885"/>
      <c r="J306" s="885"/>
      <c r="K306" s="277"/>
      <c r="L306" s="275">
        <v>13</v>
      </c>
      <c r="M306" s="763" t="s">
        <v>636</v>
      </c>
      <c r="N306" s="763" t="s">
        <v>637</v>
      </c>
      <c r="O306" s="547"/>
      <c r="P306" s="439"/>
      <c r="Q306" s="764">
        <v>82140.666666666672</v>
      </c>
      <c r="R306" s="841"/>
      <c r="S306" s="616" t="s">
        <v>638</v>
      </c>
      <c r="T306" s="673">
        <v>46081</v>
      </c>
      <c r="U306" s="501">
        <v>86896.76</v>
      </c>
      <c r="V306" s="873"/>
      <c r="W306" s="567">
        <v>46234</v>
      </c>
      <c r="X306" s="870"/>
      <c r="Y306" s="472"/>
    </row>
    <row r="307" spans="2:25" ht="15.75" customHeight="1">
      <c r="B307" s="275"/>
      <c r="C307" s="276"/>
      <c r="D307" s="763"/>
      <c r="E307" s="438"/>
      <c r="F307" s="439"/>
      <c r="G307" s="764"/>
      <c r="H307" s="567"/>
      <c r="I307" s="885"/>
      <c r="J307" s="885"/>
      <c r="K307" s="277"/>
      <c r="L307" s="275">
        <v>13</v>
      </c>
      <c r="M307" s="763" t="s">
        <v>636</v>
      </c>
      <c r="N307" s="763" t="s">
        <v>637</v>
      </c>
      <c r="O307" s="547"/>
      <c r="P307" s="439"/>
      <c r="Q307" s="764">
        <v>82140.666666666672</v>
      </c>
      <c r="R307" s="841"/>
      <c r="S307" s="616" t="s">
        <v>638</v>
      </c>
      <c r="T307" s="673">
        <v>46081</v>
      </c>
      <c r="U307" s="501">
        <v>86896.76</v>
      </c>
      <c r="V307" s="873"/>
      <c r="W307" s="567">
        <v>46265</v>
      </c>
      <c r="X307" s="870"/>
      <c r="Y307" s="472"/>
    </row>
    <row r="308" spans="2:25" ht="15.75" customHeight="1">
      <c r="B308" s="275"/>
      <c r="C308" s="276"/>
      <c r="D308" s="763"/>
      <c r="E308" s="438"/>
      <c r="F308" s="439"/>
      <c r="G308" s="764"/>
      <c r="H308" s="567"/>
      <c r="I308" s="885"/>
      <c r="J308" s="885"/>
      <c r="K308" s="277"/>
      <c r="L308" s="275">
        <v>13</v>
      </c>
      <c r="M308" s="763" t="s">
        <v>636</v>
      </c>
      <c r="N308" s="763" t="s">
        <v>637</v>
      </c>
      <c r="O308" s="547"/>
      <c r="P308" s="439"/>
      <c r="Q308" s="764">
        <v>82140.666666666672</v>
      </c>
      <c r="R308" s="841"/>
      <c r="S308" s="616" t="s">
        <v>638</v>
      </c>
      <c r="T308" s="673">
        <v>46081</v>
      </c>
      <c r="U308" s="501">
        <v>86896.76</v>
      </c>
      <c r="V308" s="873"/>
      <c r="W308" s="567">
        <v>46295</v>
      </c>
      <c r="X308" s="870"/>
      <c r="Y308" s="472"/>
    </row>
    <row r="309" spans="2:25" ht="15.75" customHeight="1">
      <c r="B309" s="275"/>
      <c r="C309" s="276"/>
      <c r="D309" s="763"/>
      <c r="E309" s="438"/>
      <c r="F309" s="439"/>
      <c r="G309" s="764"/>
      <c r="H309" s="567"/>
      <c r="I309" s="885"/>
      <c r="J309" s="885"/>
      <c r="K309" s="277"/>
      <c r="L309" s="275">
        <v>13</v>
      </c>
      <c r="M309" s="763" t="s">
        <v>636</v>
      </c>
      <c r="N309" s="763" t="s">
        <v>637</v>
      </c>
      <c r="O309" s="547"/>
      <c r="P309" s="439"/>
      <c r="Q309" s="764">
        <v>82140.666666666672</v>
      </c>
      <c r="R309" s="841"/>
      <c r="S309" s="616" t="s">
        <v>638</v>
      </c>
      <c r="T309" s="673">
        <v>46081</v>
      </c>
      <c r="U309" s="501">
        <v>86896.76</v>
      </c>
      <c r="V309" s="873"/>
      <c r="W309" s="567">
        <v>46326</v>
      </c>
      <c r="X309" s="870"/>
      <c r="Y309" s="472"/>
    </row>
    <row r="310" spans="2:25" ht="15.75" customHeight="1">
      <c r="B310" s="275"/>
      <c r="C310" s="276"/>
      <c r="D310" s="763"/>
      <c r="E310" s="438"/>
      <c r="F310" s="439"/>
      <c r="G310" s="764"/>
      <c r="H310" s="567"/>
      <c r="I310" s="885"/>
      <c r="J310" s="885"/>
      <c r="K310" s="277"/>
      <c r="L310" s="275">
        <v>13</v>
      </c>
      <c r="M310" s="763" t="s">
        <v>636</v>
      </c>
      <c r="N310" s="763" t="s">
        <v>637</v>
      </c>
      <c r="O310" s="547"/>
      <c r="P310" s="439"/>
      <c r="Q310" s="764">
        <v>82140.666666666672</v>
      </c>
      <c r="R310" s="841"/>
      <c r="S310" s="616" t="s">
        <v>638</v>
      </c>
      <c r="T310" s="673">
        <v>46081</v>
      </c>
      <c r="U310" s="501">
        <v>86896.76</v>
      </c>
      <c r="V310" s="873"/>
      <c r="W310" s="567">
        <v>46356</v>
      </c>
      <c r="X310" s="870"/>
      <c r="Y310" s="472"/>
    </row>
    <row r="311" spans="2:25" ht="15.75" customHeight="1">
      <c r="B311" s="275"/>
      <c r="C311" s="276"/>
      <c r="D311" s="763"/>
      <c r="E311" s="438"/>
      <c r="F311" s="439"/>
      <c r="G311" s="764"/>
      <c r="H311" s="567"/>
      <c r="I311" s="885"/>
      <c r="J311" s="885"/>
      <c r="K311" s="277"/>
      <c r="L311" s="275">
        <v>13</v>
      </c>
      <c r="M311" s="763" t="s">
        <v>636</v>
      </c>
      <c r="N311" s="763" t="s">
        <v>637</v>
      </c>
      <c r="O311" s="547"/>
      <c r="P311" s="439"/>
      <c r="Q311" s="764">
        <v>82140.666666666672</v>
      </c>
      <c r="R311" s="841"/>
      <c r="S311" s="616" t="s">
        <v>638</v>
      </c>
      <c r="T311" s="673">
        <v>46081</v>
      </c>
      <c r="U311" s="501">
        <v>86896.76</v>
      </c>
      <c r="V311" s="873"/>
      <c r="W311" s="567">
        <v>46387</v>
      </c>
      <c r="X311" s="870"/>
      <c r="Y311" s="472"/>
    </row>
    <row r="312" spans="2:25" ht="15.75" customHeight="1">
      <c r="B312" s="275"/>
      <c r="C312" s="276"/>
      <c r="D312" s="763"/>
      <c r="E312" s="438"/>
      <c r="F312" s="439"/>
      <c r="G312" s="764"/>
      <c r="H312" s="567"/>
      <c r="I312" s="885"/>
      <c r="J312" s="885"/>
      <c r="K312" s="277"/>
      <c r="L312" s="275">
        <v>13</v>
      </c>
      <c r="M312" s="763" t="s">
        <v>636</v>
      </c>
      <c r="N312" s="763" t="s">
        <v>637</v>
      </c>
      <c r="O312" s="547"/>
      <c r="P312" s="439"/>
      <c r="Q312" s="764">
        <v>82140.666666666672</v>
      </c>
      <c r="R312" s="841"/>
      <c r="S312" s="616" t="s">
        <v>638</v>
      </c>
      <c r="T312" s="673">
        <v>46081</v>
      </c>
      <c r="U312" s="501">
        <v>86896.76</v>
      </c>
      <c r="V312" s="873"/>
      <c r="W312" s="567">
        <v>46418</v>
      </c>
      <c r="X312" s="870"/>
      <c r="Y312" s="472"/>
    </row>
    <row r="313" spans="2:25" ht="15.75" customHeight="1">
      <c r="B313" s="275"/>
      <c r="C313" s="276"/>
      <c r="D313" s="763"/>
      <c r="E313" s="438"/>
      <c r="F313" s="439"/>
      <c r="G313" s="764"/>
      <c r="H313" s="567"/>
      <c r="I313" s="885"/>
      <c r="J313" s="885"/>
      <c r="K313" s="277"/>
      <c r="L313" s="275">
        <v>13</v>
      </c>
      <c r="M313" s="763" t="s">
        <v>636</v>
      </c>
      <c r="N313" s="763" t="s">
        <v>637</v>
      </c>
      <c r="O313" s="547"/>
      <c r="P313" s="439"/>
      <c r="Q313" s="764">
        <v>82140.666666666672</v>
      </c>
      <c r="R313" s="841"/>
      <c r="S313" s="616" t="s">
        <v>638</v>
      </c>
      <c r="T313" s="673">
        <v>46081</v>
      </c>
      <c r="U313" s="501">
        <v>86896.8</v>
      </c>
      <c r="V313" s="873"/>
      <c r="W313" s="567">
        <v>46443</v>
      </c>
      <c r="X313" s="870"/>
      <c r="Y313" s="472"/>
    </row>
    <row r="314" spans="2:25" ht="15.75" customHeight="1">
      <c r="B314" s="300">
        <v>13</v>
      </c>
      <c r="C314" s="302"/>
      <c r="D314" s="302"/>
      <c r="E314" s="303"/>
      <c r="F314" s="446"/>
      <c r="G314" s="304"/>
      <c r="H314" s="524"/>
      <c r="I314" s="885"/>
      <c r="J314" s="885"/>
      <c r="K314" s="277"/>
      <c r="L314" s="300">
        <v>13</v>
      </c>
      <c r="M314" s="378" t="s">
        <v>636</v>
      </c>
      <c r="N314" s="302" t="s">
        <v>639</v>
      </c>
      <c r="O314" s="540"/>
      <c r="P314" s="446"/>
      <c r="Q314" s="304">
        <v>11372</v>
      </c>
      <c r="R314" s="574"/>
      <c r="S314" s="609" t="s">
        <v>640</v>
      </c>
      <c r="T314" s="674">
        <v>45900</v>
      </c>
      <c r="U314" s="679">
        <v>12657.57114292171</v>
      </c>
      <c r="V314" s="873"/>
      <c r="W314" s="524">
        <v>45900</v>
      </c>
      <c r="X314" s="870"/>
      <c r="Y314" s="472"/>
    </row>
    <row r="315" spans="2:25" ht="15.75" customHeight="1">
      <c r="B315" s="300">
        <v>13</v>
      </c>
      <c r="C315" s="302"/>
      <c r="D315" s="302"/>
      <c r="E315" s="303"/>
      <c r="F315" s="446"/>
      <c r="G315" s="304"/>
      <c r="H315" s="560"/>
      <c r="I315" s="885"/>
      <c r="J315" s="885"/>
      <c r="K315" s="277"/>
      <c r="L315" s="300">
        <v>13</v>
      </c>
      <c r="M315" s="378" t="s">
        <v>636</v>
      </c>
      <c r="N315" s="302" t="s">
        <v>641</v>
      </c>
      <c r="O315" s="540"/>
      <c r="P315" s="446"/>
      <c r="Q315" s="304">
        <v>2843</v>
      </c>
      <c r="R315" s="574"/>
      <c r="S315" s="609" t="s">
        <v>642</v>
      </c>
      <c r="T315" s="674">
        <v>45930</v>
      </c>
      <c r="U315" s="757">
        <v>3164.3927857304275</v>
      </c>
      <c r="V315" s="873"/>
      <c r="W315" s="524">
        <v>45900</v>
      </c>
      <c r="X315" s="870"/>
      <c r="Y315" s="472"/>
    </row>
    <row r="316" spans="2:25" ht="15.75" customHeight="1">
      <c r="B316" s="300">
        <v>13</v>
      </c>
      <c r="C316" s="302"/>
      <c r="D316" s="302"/>
      <c r="E316" s="303"/>
      <c r="F316" s="446"/>
      <c r="G316" s="304"/>
      <c r="H316" s="560"/>
      <c r="I316" s="885"/>
      <c r="J316" s="885"/>
      <c r="K316" s="277"/>
      <c r="L316" s="300">
        <v>13</v>
      </c>
      <c r="M316" s="378" t="s">
        <v>636</v>
      </c>
      <c r="N316" s="302" t="s">
        <v>643</v>
      </c>
      <c r="O316" s="540"/>
      <c r="P316" s="446"/>
      <c r="Q316" s="304">
        <v>2843</v>
      </c>
      <c r="R316" s="574"/>
      <c r="S316" s="609" t="s">
        <v>644</v>
      </c>
      <c r="T316" s="751">
        <v>45961</v>
      </c>
      <c r="U316" s="757">
        <v>3108.9043414431007</v>
      </c>
      <c r="V316" s="873"/>
      <c r="W316" s="524">
        <v>45989</v>
      </c>
      <c r="X316" s="870"/>
      <c r="Y316" s="472"/>
    </row>
    <row r="317" spans="2:25" ht="15.75" customHeight="1">
      <c r="B317" s="300">
        <v>13</v>
      </c>
      <c r="C317" s="302"/>
      <c r="D317" s="302"/>
      <c r="E317" s="303"/>
      <c r="F317" s="446"/>
      <c r="G317" s="304"/>
      <c r="H317" s="560"/>
      <c r="I317" s="885"/>
      <c r="J317" s="885"/>
      <c r="K317" s="277"/>
      <c r="L317" s="300">
        <v>13</v>
      </c>
      <c r="M317" s="378" t="s">
        <v>636</v>
      </c>
      <c r="N317" s="302" t="s">
        <v>645</v>
      </c>
      <c r="O317" s="540"/>
      <c r="P317" s="446"/>
      <c r="Q317" s="304">
        <v>2843</v>
      </c>
      <c r="R317" s="574"/>
      <c r="S317" s="609" t="s">
        <v>646</v>
      </c>
      <c r="T317" s="674">
        <v>45991</v>
      </c>
      <c r="U317" s="757">
        <v>3155.1443414431005</v>
      </c>
      <c r="V317" s="873"/>
      <c r="W317" s="756">
        <v>46021</v>
      </c>
      <c r="X317" s="870"/>
      <c r="Y317" s="472"/>
    </row>
    <row r="318" spans="2:25" ht="15.75" customHeight="1">
      <c r="B318" s="372"/>
      <c r="C318" s="376"/>
      <c r="D318" s="376"/>
      <c r="E318" s="395"/>
      <c r="F318" s="431"/>
      <c r="G318" s="375"/>
      <c r="H318" s="561"/>
      <c r="I318" s="885"/>
      <c r="J318" s="885"/>
      <c r="K318" s="277"/>
      <c r="L318" s="300">
        <v>13</v>
      </c>
      <c r="M318" s="378" t="s">
        <v>636</v>
      </c>
      <c r="N318" s="302" t="s">
        <v>647</v>
      </c>
      <c r="O318" s="541"/>
      <c r="P318" s="431"/>
      <c r="Q318" s="304">
        <v>2843</v>
      </c>
      <c r="R318" s="575"/>
      <c r="S318" s="609" t="s">
        <v>648</v>
      </c>
      <c r="T318" s="781">
        <v>46022</v>
      </c>
      <c r="U318" s="757">
        <v>3118.0250777042997</v>
      </c>
      <c r="V318" s="873"/>
      <c r="W318" s="525">
        <v>46051</v>
      </c>
      <c r="X318" s="870"/>
      <c r="Y318" s="472"/>
    </row>
    <row r="319" spans="2:25" ht="15.75" customHeight="1">
      <c r="B319" s="372"/>
      <c r="C319" s="376"/>
      <c r="D319" s="376"/>
      <c r="E319" s="395"/>
      <c r="F319" s="431"/>
      <c r="G319" s="375"/>
      <c r="H319" s="561"/>
      <c r="I319" s="885"/>
      <c r="J319" s="885"/>
      <c r="K319" s="277"/>
      <c r="L319" s="300">
        <v>13</v>
      </c>
      <c r="M319" s="378" t="s">
        <v>636</v>
      </c>
      <c r="N319" s="302" t="s">
        <v>649</v>
      </c>
      <c r="O319" s="541"/>
      <c r="P319" s="431"/>
      <c r="Q319" s="304">
        <v>2843</v>
      </c>
      <c r="R319" s="575"/>
      <c r="S319" s="609" t="s">
        <v>650</v>
      </c>
      <c r="T319" s="781">
        <v>46053</v>
      </c>
      <c r="U319" s="757">
        <v>2843</v>
      </c>
      <c r="V319" s="873"/>
      <c r="W319" s="774">
        <v>46107</v>
      </c>
      <c r="X319" s="870"/>
      <c r="Y319" s="472"/>
    </row>
    <row r="320" spans="2:25" ht="15.75" customHeight="1">
      <c r="B320" s="372"/>
      <c r="C320" s="376"/>
      <c r="D320" s="376"/>
      <c r="E320" s="395"/>
      <c r="F320" s="431"/>
      <c r="G320" s="375"/>
      <c r="H320" s="561"/>
      <c r="I320" s="885"/>
      <c r="J320" s="885"/>
      <c r="K320" s="277"/>
      <c r="L320" s="300">
        <v>13</v>
      </c>
      <c r="M320" s="378" t="s">
        <v>636</v>
      </c>
      <c r="N320" s="376" t="s">
        <v>651</v>
      </c>
      <c r="O320" s="541"/>
      <c r="P320" s="431"/>
      <c r="Q320" s="375">
        <v>8737.26</v>
      </c>
      <c r="R320" s="575"/>
      <c r="S320" s="609" t="s">
        <v>652</v>
      </c>
      <c r="T320" s="781">
        <v>46053</v>
      </c>
      <c r="U320" s="757">
        <v>8737.26</v>
      </c>
      <c r="V320" s="873"/>
      <c r="W320" s="774">
        <v>46081</v>
      </c>
      <c r="X320" s="870"/>
      <c r="Y320" s="472"/>
    </row>
    <row r="321" spans="1:25" ht="15.75" customHeight="1">
      <c r="B321" s="372"/>
      <c r="C321" s="376"/>
      <c r="D321" s="376"/>
      <c r="E321" s="395"/>
      <c r="F321" s="431"/>
      <c r="G321" s="375"/>
      <c r="H321" s="561"/>
      <c r="I321" s="885"/>
      <c r="J321" s="885"/>
      <c r="K321" s="277"/>
      <c r="L321" s="300">
        <v>13</v>
      </c>
      <c r="M321" s="378" t="s">
        <v>636</v>
      </c>
      <c r="N321" s="376" t="s">
        <v>651</v>
      </c>
      <c r="O321" s="541"/>
      <c r="P321" s="431"/>
      <c r="Q321" s="375">
        <f>-Q320</f>
        <v>-8737.26</v>
      </c>
      <c r="R321" s="575"/>
      <c r="S321" s="609" t="s">
        <v>653</v>
      </c>
      <c r="T321" s="781">
        <v>46081</v>
      </c>
      <c r="U321" s="757">
        <v>0</v>
      </c>
      <c r="V321" s="873"/>
      <c r="W321" s="774">
        <v>46081</v>
      </c>
      <c r="X321" s="870"/>
      <c r="Y321" s="472"/>
    </row>
    <row r="322" spans="1:25" ht="15.75" customHeight="1">
      <c r="B322" s="372"/>
      <c r="C322" s="376"/>
      <c r="D322" s="376"/>
      <c r="E322" s="395"/>
      <c r="F322" s="431"/>
      <c r="G322" s="375"/>
      <c r="H322" s="561"/>
      <c r="I322" s="885"/>
      <c r="J322" s="885"/>
      <c r="K322" s="277"/>
      <c r="L322" s="300">
        <v>13</v>
      </c>
      <c r="M322" s="378" t="s">
        <v>636</v>
      </c>
      <c r="N322" s="376" t="s">
        <v>654</v>
      </c>
      <c r="O322" s="541"/>
      <c r="P322" s="431"/>
      <c r="Q322" s="375">
        <v>2843</v>
      </c>
      <c r="R322" s="575"/>
      <c r="S322" s="610" t="s">
        <v>655</v>
      </c>
      <c r="T322" s="781">
        <v>46081</v>
      </c>
      <c r="U322" s="757">
        <v>0</v>
      </c>
      <c r="V322" s="873"/>
      <c r="W322" s="561">
        <v>46081</v>
      </c>
      <c r="X322" s="870"/>
      <c r="Y322" s="472"/>
    </row>
    <row r="323" spans="1:25" ht="15.75" customHeight="1">
      <c r="B323" s="372"/>
      <c r="C323" s="376"/>
      <c r="D323" s="376"/>
      <c r="E323" s="395"/>
      <c r="F323" s="431"/>
      <c r="G323" s="375"/>
      <c r="H323" s="561"/>
      <c r="I323" s="885"/>
      <c r="J323" s="885"/>
      <c r="K323" s="277"/>
      <c r="L323" s="300">
        <v>13</v>
      </c>
      <c r="M323" s="378" t="s">
        <v>636</v>
      </c>
      <c r="N323" s="376" t="s">
        <v>654</v>
      </c>
      <c r="O323" s="541"/>
      <c r="P323" s="431"/>
      <c r="Q323" s="375">
        <f>-Q322</f>
        <v>-2843</v>
      </c>
      <c r="R323" s="575"/>
      <c r="S323" s="610"/>
      <c r="T323" s="510">
        <v>46081</v>
      </c>
      <c r="U323" s="805">
        <v>0</v>
      </c>
      <c r="V323" s="873"/>
      <c r="W323" s="561">
        <v>46081</v>
      </c>
      <c r="X323" s="870"/>
      <c r="Y323" s="472"/>
    </row>
    <row r="324" spans="1:25" ht="15.75" customHeight="1" thickBot="1">
      <c r="B324" s="305">
        <v>13</v>
      </c>
      <c r="C324" s="306"/>
      <c r="D324" s="306"/>
      <c r="E324" s="307"/>
      <c r="F324" s="447"/>
      <c r="G324" s="319"/>
      <c r="H324" s="562"/>
      <c r="I324" s="886"/>
      <c r="J324" s="886"/>
      <c r="K324" s="464"/>
      <c r="L324" s="305">
        <v>13</v>
      </c>
      <c r="M324" s="407" t="s">
        <v>636</v>
      </c>
      <c r="N324" s="306"/>
      <c r="O324" s="542"/>
      <c r="P324" s="447"/>
      <c r="Q324" s="319"/>
      <c r="R324" s="576"/>
      <c r="S324" s="611"/>
      <c r="T324" s="511" t="str">
        <f t="shared" si="19"/>
        <v/>
      </c>
      <c r="U324" s="495">
        <f>(Q324/$X$302*$J$302)</f>
        <v>0</v>
      </c>
      <c r="V324" s="874"/>
      <c r="W324" s="562"/>
      <c r="X324" s="871"/>
      <c r="Y324" s="472"/>
    </row>
    <row r="325" spans="1:25" ht="14.25" thickBot="1">
      <c r="A325" s="24"/>
      <c r="B325" s="279"/>
      <c r="C325" s="266"/>
      <c r="D325" s="266"/>
      <c r="E325" s="280"/>
      <c r="F325" s="443"/>
      <c r="G325" s="281"/>
      <c r="H325" s="563"/>
      <c r="I325" s="269"/>
      <c r="J325" s="269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19"/>
        <v/>
      </c>
      <c r="U325" s="500"/>
      <c r="V325" s="483"/>
      <c r="W325" s="563"/>
      <c r="X325" s="473"/>
      <c r="Y325" s="472"/>
    </row>
    <row r="326" spans="1:25" ht="14.25" customHeight="1">
      <c r="B326" s="258">
        <v>14</v>
      </c>
      <c r="C326" s="259" t="s">
        <v>656</v>
      </c>
      <c r="D326" s="259" t="s">
        <v>657</v>
      </c>
      <c r="E326" s="260"/>
      <c r="F326" s="457"/>
      <c r="G326" s="327">
        <v>0</v>
      </c>
      <c r="H326" s="531">
        <v>45817</v>
      </c>
      <c r="I326" s="887">
        <f>SUM(G326:G337)</f>
        <v>0</v>
      </c>
      <c r="J326" s="887">
        <f>F404</f>
        <v>0</v>
      </c>
      <c r="K326" s="328"/>
      <c r="L326" s="258">
        <v>14</v>
      </c>
      <c r="M326" s="421" t="s">
        <v>658</v>
      </c>
      <c r="N326" s="259" t="s">
        <v>659</v>
      </c>
      <c r="O326" s="552"/>
      <c r="P326" s="457"/>
      <c r="Q326" s="327">
        <v>6509.8599999999988</v>
      </c>
      <c r="R326" s="588"/>
      <c r="S326" s="586" t="s">
        <v>660</v>
      </c>
      <c r="T326" s="641">
        <v>45808</v>
      </c>
      <c r="U326" s="507">
        <f t="shared" ref="U326:U337" si="29">(Q326/$X$326*$J$326)</f>
        <v>0</v>
      </c>
      <c r="V326" s="893">
        <f>J326-SUM(U326:U337)</f>
        <v>0</v>
      </c>
      <c r="W326" s="531">
        <v>45817</v>
      </c>
      <c r="X326" s="890">
        <f>SUM(Q326:Q337)</f>
        <v>301844.08</v>
      </c>
      <c r="Y326" s="472"/>
    </row>
    <row r="327" spans="1:25" ht="14.25" customHeight="1">
      <c r="B327" s="329">
        <v>14</v>
      </c>
      <c r="C327" s="330"/>
      <c r="D327" s="330"/>
      <c r="E327" s="331"/>
      <c r="F327" s="458"/>
      <c r="G327" s="332"/>
      <c r="H327" s="533">
        <v>45842</v>
      </c>
      <c r="I327" s="888"/>
      <c r="J327" s="888"/>
      <c r="K327" s="261"/>
      <c r="L327" s="329">
        <v>14</v>
      </c>
      <c r="M327" s="422" t="s">
        <v>658</v>
      </c>
      <c r="N327" s="330" t="s">
        <v>659</v>
      </c>
      <c r="O327" s="553"/>
      <c r="P327" s="458"/>
      <c r="Q327" s="332">
        <f>5408.52+362.32</f>
        <v>5770.84</v>
      </c>
      <c r="R327" s="588"/>
      <c r="S327" s="586" t="s">
        <v>660</v>
      </c>
      <c r="T327" s="676">
        <v>45838</v>
      </c>
      <c r="U327" s="507">
        <f t="shared" si="29"/>
        <v>0</v>
      </c>
      <c r="V327" s="894"/>
      <c r="W327" s="533">
        <v>45842</v>
      </c>
      <c r="X327" s="891"/>
      <c r="Y327" s="472"/>
    </row>
    <row r="328" spans="1:25" ht="14.25" customHeight="1">
      <c r="B328" s="329">
        <v>14</v>
      </c>
      <c r="C328" s="330"/>
      <c r="D328" s="330"/>
      <c r="E328" s="331"/>
      <c r="F328" s="458"/>
      <c r="G328" s="332"/>
      <c r="H328" s="533">
        <v>45876</v>
      </c>
      <c r="I328" s="888"/>
      <c r="J328" s="888"/>
      <c r="K328" s="261"/>
      <c r="L328" s="329">
        <v>14</v>
      </c>
      <c r="M328" s="422" t="s">
        <v>658</v>
      </c>
      <c r="N328" s="330" t="s">
        <v>659</v>
      </c>
      <c r="O328" s="553"/>
      <c r="P328" s="458"/>
      <c r="Q328" s="332">
        <v>21295.980000000003</v>
      </c>
      <c r="R328" s="588"/>
      <c r="S328" s="623" t="s">
        <v>660</v>
      </c>
      <c r="T328" s="676">
        <v>45869</v>
      </c>
      <c r="U328" s="507">
        <f t="shared" si="29"/>
        <v>0</v>
      </c>
      <c r="V328" s="894"/>
      <c r="W328" s="533">
        <v>45876</v>
      </c>
      <c r="X328" s="891"/>
      <c r="Y328" s="472"/>
    </row>
    <row r="329" spans="1:25" ht="14.25" customHeight="1">
      <c r="B329" s="329">
        <v>14</v>
      </c>
      <c r="C329" s="330"/>
      <c r="D329" s="330"/>
      <c r="E329" s="331"/>
      <c r="F329" s="458"/>
      <c r="G329" s="332"/>
      <c r="H329" s="533">
        <v>45905</v>
      </c>
      <c r="I329" s="888"/>
      <c r="J329" s="888"/>
      <c r="K329" s="261"/>
      <c r="L329" s="329">
        <v>14</v>
      </c>
      <c r="M329" s="422" t="s">
        <v>658</v>
      </c>
      <c r="N329" s="330" t="s">
        <v>659</v>
      </c>
      <c r="O329" s="553"/>
      <c r="P329" s="458"/>
      <c r="Q329" s="332">
        <v>50534.6</v>
      </c>
      <c r="R329" s="588"/>
      <c r="S329" s="623" t="s">
        <v>660</v>
      </c>
      <c r="T329" s="676">
        <v>45900</v>
      </c>
      <c r="U329" s="507">
        <f t="shared" si="29"/>
        <v>0</v>
      </c>
      <c r="V329" s="894"/>
      <c r="W329" s="533">
        <v>45905</v>
      </c>
      <c r="X329" s="891"/>
      <c r="Y329" s="472"/>
    </row>
    <row r="330" spans="1:25" ht="14.25" customHeight="1">
      <c r="B330" s="329">
        <v>14</v>
      </c>
      <c r="C330" s="330"/>
      <c r="D330" s="330"/>
      <c r="E330" s="331"/>
      <c r="F330" s="458"/>
      <c r="G330" s="332"/>
      <c r="H330" s="572">
        <v>45930</v>
      </c>
      <c r="I330" s="888"/>
      <c r="J330" s="888"/>
      <c r="K330" s="261"/>
      <c r="L330" s="329">
        <v>14</v>
      </c>
      <c r="M330" s="422" t="s">
        <v>658</v>
      </c>
      <c r="N330" s="330" t="s">
        <v>659</v>
      </c>
      <c r="O330" s="553"/>
      <c r="P330" s="458"/>
      <c r="Q330" s="332">
        <v>32154.959999999999</v>
      </c>
      <c r="R330" s="588"/>
      <c r="S330" s="623" t="s">
        <v>660</v>
      </c>
      <c r="T330" s="754">
        <v>45930</v>
      </c>
      <c r="U330" s="507">
        <f t="shared" si="29"/>
        <v>0</v>
      </c>
      <c r="V330" s="894"/>
      <c r="W330" s="755">
        <v>45940</v>
      </c>
      <c r="X330" s="891"/>
      <c r="Y330" s="472"/>
    </row>
    <row r="331" spans="1:25" ht="14.25" customHeight="1">
      <c r="B331" s="329">
        <v>14</v>
      </c>
      <c r="C331" s="330"/>
      <c r="D331" s="330"/>
      <c r="E331" s="331"/>
      <c r="F331" s="458"/>
      <c r="G331" s="332"/>
      <c r="H331" s="572">
        <v>45961</v>
      </c>
      <c r="I331" s="888"/>
      <c r="J331" s="888"/>
      <c r="K331" s="261"/>
      <c r="L331" s="329">
        <v>14</v>
      </c>
      <c r="M331" s="422" t="s">
        <v>658</v>
      </c>
      <c r="N331" s="330" t="s">
        <v>659</v>
      </c>
      <c r="O331" s="553"/>
      <c r="P331" s="458"/>
      <c r="Q331" s="332">
        <v>20629.91</v>
      </c>
      <c r="R331" s="588"/>
      <c r="S331" s="623" t="s">
        <v>660</v>
      </c>
      <c r="T331" s="754">
        <v>45961</v>
      </c>
      <c r="U331" s="507">
        <f t="shared" si="29"/>
        <v>0</v>
      </c>
      <c r="V331" s="894"/>
      <c r="W331" s="755">
        <v>45967</v>
      </c>
      <c r="X331" s="891"/>
      <c r="Y331" s="472"/>
    </row>
    <row r="332" spans="1:25" ht="14.25" customHeight="1">
      <c r="B332" s="329">
        <v>14</v>
      </c>
      <c r="C332" s="330"/>
      <c r="D332" s="330"/>
      <c r="E332" s="331"/>
      <c r="F332" s="458"/>
      <c r="G332" s="332"/>
      <c r="H332" s="572">
        <v>45991</v>
      </c>
      <c r="I332" s="888"/>
      <c r="J332" s="888"/>
      <c r="K332" s="261"/>
      <c r="L332" s="329">
        <v>14</v>
      </c>
      <c r="M332" s="422" t="s">
        <v>658</v>
      </c>
      <c r="N332" s="330" t="s">
        <v>659</v>
      </c>
      <c r="O332" s="553"/>
      <c r="P332" s="458"/>
      <c r="Q332" s="332">
        <v>15266.94</v>
      </c>
      <c r="R332" s="588"/>
      <c r="S332" s="623" t="s">
        <v>660</v>
      </c>
      <c r="T332" s="754">
        <v>45991</v>
      </c>
      <c r="U332" s="507">
        <f t="shared" si="29"/>
        <v>0</v>
      </c>
      <c r="V332" s="894"/>
      <c r="W332" s="755">
        <v>45996</v>
      </c>
      <c r="X332" s="891"/>
      <c r="Y332" s="472"/>
    </row>
    <row r="333" spans="1:25" ht="14.25" customHeight="1">
      <c r="B333" s="329">
        <v>14</v>
      </c>
      <c r="C333" s="330"/>
      <c r="D333" s="330"/>
      <c r="E333" s="331"/>
      <c r="F333" s="458"/>
      <c r="G333" s="332"/>
      <c r="H333" s="572">
        <v>46022</v>
      </c>
      <c r="I333" s="888"/>
      <c r="J333" s="888"/>
      <c r="K333" s="261"/>
      <c r="L333" s="329">
        <v>14</v>
      </c>
      <c r="M333" s="422" t="s">
        <v>658</v>
      </c>
      <c r="N333" s="330" t="s">
        <v>659</v>
      </c>
      <c r="O333" s="553"/>
      <c r="P333" s="458"/>
      <c r="Q333" s="332">
        <v>59700.29</v>
      </c>
      <c r="R333" s="588"/>
      <c r="S333" s="623" t="s">
        <v>660</v>
      </c>
      <c r="T333" s="754">
        <v>46022</v>
      </c>
      <c r="U333" s="507">
        <f t="shared" si="29"/>
        <v>0</v>
      </c>
      <c r="V333" s="894"/>
      <c r="W333" s="755">
        <v>46030</v>
      </c>
      <c r="X333" s="891"/>
      <c r="Y333" s="472"/>
    </row>
    <row r="334" spans="1:25" ht="14.25" customHeight="1">
      <c r="B334" s="329">
        <v>14</v>
      </c>
      <c r="C334" s="330"/>
      <c r="D334" s="330"/>
      <c r="E334" s="331"/>
      <c r="F334" s="458"/>
      <c r="G334" s="332"/>
      <c r="H334" s="572">
        <v>46053</v>
      </c>
      <c r="I334" s="888"/>
      <c r="J334" s="888"/>
      <c r="K334" s="261"/>
      <c r="L334" s="329">
        <v>14</v>
      </c>
      <c r="M334" s="422" t="s">
        <v>658</v>
      </c>
      <c r="N334" s="330" t="s">
        <v>659</v>
      </c>
      <c r="O334" s="553"/>
      <c r="P334" s="458"/>
      <c r="Q334" s="332">
        <v>28655.7</v>
      </c>
      <c r="R334" s="588"/>
      <c r="S334" s="623" t="s">
        <v>660</v>
      </c>
      <c r="T334" s="754">
        <v>46053</v>
      </c>
      <c r="U334" s="507">
        <f t="shared" si="29"/>
        <v>0</v>
      </c>
      <c r="V334" s="894"/>
      <c r="W334" s="755">
        <v>46058</v>
      </c>
      <c r="X334" s="891"/>
      <c r="Y334" s="472"/>
    </row>
    <row r="335" spans="1:25" ht="14.25" customHeight="1">
      <c r="B335" s="329">
        <v>14</v>
      </c>
      <c r="C335" s="330"/>
      <c r="D335" s="330"/>
      <c r="E335" s="331"/>
      <c r="F335" s="458"/>
      <c r="G335" s="332"/>
      <c r="H335" s="572">
        <v>46081</v>
      </c>
      <c r="I335" s="888"/>
      <c r="J335" s="888"/>
      <c r="K335" s="261"/>
      <c r="L335" s="329">
        <v>14</v>
      </c>
      <c r="M335" s="422" t="s">
        <v>658</v>
      </c>
      <c r="N335" s="330" t="s">
        <v>659</v>
      </c>
      <c r="O335" s="553"/>
      <c r="P335" s="458"/>
      <c r="Q335" s="332">
        <f>30662.5*2</f>
        <v>61325</v>
      </c>
      <c r="R335" s="588"/>
      <c r="S335" s="623"/>
      <c r="T335" s="521">
        <v>46081</v>
      </c>
      <c r="U335" s="507">
        <f t="shared" si="29"/>
        <v>0</v>
      </c>
      <c r="V335" s="894"/>
      <c r="W335" s="572">
        <v>46086</v>
      </c>
      <c r="X335" s="891"/>
      <c r="Y335" s="472"/>
    </row>
    <row r="336" spans="1:25" ht="14.25" customHeight="1">
      <c r="B336" s="329">
        <v>14</v>
      </c>
      <c r="C336" s="330"/>
      <c r="D336" s="330"/>
      <c r="E336" s="331"/>
      <c r="F336" s="458"/>
      <c r="G336" s="332"/>
      <c r="H336" s="572"/>
      <c r="I336" s="888"/>
      <c r="J336" s="888"/>
      <c r="K336" s="261"/>
      <c r="L336" s="329">
        <v>14</v>
      </c>
      <c r="M336" s="422" t="s">
        <v>658</v>
      </c>
      <c r="N336" s="330"/>
      <c r="O336" s="553"/>
      <c r="P336" s="458"/>
      <c r="Q336" s="332"/>
      <c r="R336" s="588"/>
      <c r="S336" s="623"/>
      <c r="T336" s="521" t="str">
        <f t="shared" ref="T336:T376" si="30">IF(W336&gt;1,EOMONTH(W336,0),"")</f>
        <v/>
      </c>
      <c r="U336" s="507">
        <f t="shared" si="29"/>
        <v>0</v>
      </c>
      <c r="V336" s="894"/>
      <c r="W336" s="572"/>
      <c r="X336" s="891"/>
      <c r="Y336" s="472"/>
    </row>
    <row r="337" spans="1:25" ht="15" customHeight="1" thickBot="1">
      <c r="B337" s="262">
        <v>14</v>
      </c>
      <c r="C337" s="333"/>
      <c r="D337" s="333"/>
      <c r="E337" s="334"/>
      <c r="F337" s="459"/>
      <c r="G337" s="263"/>
      <c r="H337" s="573"/>
      <c r="I337" s="889"/>
      <c r="J337" s="889"/>
      <c r="K337" s="264"/>
      <c r="L337" s="262">
        <v>14</v>
      </c>
      <c r="M337" s="423" t="s">
        <v>658</v>
      </c>
      <c r="N337" s="333"/>
      <c r="O337" s="554"/>
      <c r="P337" s="459"/>
      <c r="Q337" s="263"/>
      <c r="R337" s="589"/>
      <c r="S337" s="624"/>
      <c r="T337" s="522" t="str">
        <f t="shared" si="30"/>
        <v/>
      </c>
      <c r="U337" s="508">
        <f t="shared" si="29"/>
        <v>0</v>
      </c>
      <c r="V337" s="895"/>
      <c r="W337" s="573"/>
      <c r="X337" s="892"/>
      <c r="Y337" s="472"/>
    </row>
    <row r="338" spans="1:25" ht="14.25" thickBot="1">
      <c r="A338" s="24"/>
      <c r="B338" s="279"/>
      <c r="C338" s="266"/>
      <c r="D338" s="266"/>
      <c r="E338" s="280"/>
      <c r="F338" s="443"/>
      <c r="G338" s="281"/>
      <c r="H338" s="563"/>
      <c r="I338" s="335"/>
      <c r="J338" s="335"/>
      <c r="K338" s="24"/>
      <c r="L338" s="279"/>
      <c r="M338" s="266"/>
      <c r="N338" s="266"/>
      <c r="O338" s="543"/>
      <c r="P338" s="443"/>
      <c r="Q338" s="281"/>
      <c r="R338" s="577"/>
      <c r="S338" s="612"/>
      <c r="T338" s="512" t="str">
        <f t="shared" si="30"/>
        <v/>
      </c>
      <c r="U338" s="500"/>
      <c r="V338" s="483"/>
      <c r="W338" s="563"/>
      <c r="X338" s="480"/>
      <c r="Y338" s="472"/>
    </row>
    <row r="339" spans="1:25">
      <c r="B339" s="270">
        <v>15</v>
      </c>
      <c r="C339" s="271" t="s">
        <v>661</v>
      </c>
      <c r="D339" s="271"/>
      <c r="E339" s="272"/>
      <c r="F339" s="424"/>
      <c r="G339" s="273"/>
      <c r="H339" s="567"/>
      <c r="I339" s="884">
        <v>0</v>
      </c>
      <c r="J339" s="884">
        <v>0</v>
      </c>
      <c r="K339" s="274"/>
      <c r="L339" s="270">
        <v>15</v>
      </c>
      <c r="M339" s="340" t="s">
        <v>662</v>
      </c>
      <c r="N339" s="271"/>
      <c r="O339" s="272"/>
      <c r="P339" s="424"/>
      <c r="Q339" s="273"/>
      <c r="R339" s="581"/>
      <c r="S339" s="616"/>
      <c r="T339" s="516" t="str">
        <f t="shared" si="30"/>
        <v/>
      </c>
      <c r="U339" s="501"/>
      <c r="V339" s="872"/>
      <c r="W339" s="567"/>
      <c r="X339" s="869">
        <f>SUM(Q339:Q376)</f>
        <v>1611918.93</v>
      </c>
      <c r="Y339" s="472"/>
    </row>
    <row r="340" spans="1:25">
      <c r="B340" s="300">
        <v>15</v>
      </c>
      <c r="C340" s="302"/>
      <c r="D340" s="302"/>
      <c r="E340" s="303"/>
      <c r="F340" s="446"/>
      <c r="G340" s="304"/>
      <c r="H340" s="560"/>
      <c r="I340" s="885"/>
      <c r="J340" s="885"/>
      <c r="K340" s="277"/>
      <c r="L340" s="300">
        <v>15</v>
      </c>
      <c r="M340" s="378" t="s">
        <v>662</v>
      </c>
      <c r="N340" s="302" t="s">
        <v>663</v>
      </c>
      <c r="O340" s="540"/>
      <c r="P340" s="446"/>
      <c r="Q340" s="304"/>
      <c r="R340" s="574"/>
      <c r="S340" s="609"/>
      <c r="T340" s="509"/>
      <c r="U340" s="493"/>
      <c r="V340" s="873"/>
      <c r="W340" s="560"/>
      <c r="X340" s="870"/>
      <c r="Y340" s="472"/>
    </row>
    <row r="341" spans="1:25">
      <c r="B341" s="300">
        <v>15</v>
      </c>
      <c r="C341" s="302"/>
      <c r="D341" s="302"/>
      <c r="E341" s="303"/>
      <c r="F341" s="446"/>
      <c r="G341" s="304"/>
      <c r="H341" s="560"/>
      <c r="I341" s="885"/>
      <c r="J341" s="885"/>
      <c r="K341" s="277"/>
      <c r="L341" s="300">
        <v>15</v>
      </c>
      <c r="M341" s="378" t="s">
        <v>662</v>
      </c>
      <c r="N341" s="302" t="s">
        <v>664</v>
      </c>
      <c r="O341" s="540"/>
      <c r="P341" s="446"/>
      <c r="Q341" s="304">
        <v>140.75</v>
      </c>
      <c r="R341" s="574" t="s">
        <v>665</v>
      </c>
      <c r="S341" s="609" t="s">
        <v>666</v>
      </c>
      <c r="T341" s="674">
        <v>46053</v>
      </c>
      <c r="U341" s="493"/>
      <c r="V341" s="873"/>
      <c r="W341" s="524">
        <v>46041</v>
      </c>
      <c r="X341" s="870"/>
      <c r="Y341" s="472"/>
    </row>
    <row r="342" spans="1:25">
      <c r="B342" s="300">
        <v>15</v>
      </c>
      <c r="C342" s="302"/>
      <c r="D342" s="302"/>
      <c r="E342" s="303"/>
      <c r="F342" s="446"/>
      <c r="G342" s="304"/>
      <c r="H342" s="524"/>
      <c r="I342" s="885"/>
      <c r="J342" s="885"/>
      <c r="K342" s="277"/>
      <c r="L342" s="300">
        <v>15</v>
      </c>
      <c r="M342" s="378" t="s">
        <v>662</v>
      </c>
      <c r="N342" s="302" t="s">
        <v>664</v>
      </c>
      <c r="O342" s="540"/>
      <c r="P342" s="446"/>
      <c r="Q342" s="304">
        <v>3127.77</v>
      </c>
      <c r="R342" s="574" t="s">
        <v>667</v>
      </c>
      <c r="S342" s="609" t="s">
        <v>668</v>
      </c>
      <c r="T342" s="674">
        <v>45900</v>
      </c>
      <c r="U342" s="493"/>
      <c r="V342" s="873"/>
      <c r="W342" s="524">
        <v>45883</v>
      </c>
      <c r="X342" s="870"/>
      <c r="Y342" s="472"/>
    </row>
    <row r="343" spans="1:25">
      <c r="B343" s="300">
        <v>15</v>
      </c>
      <c r="C343" s="302"/>
      <c r="D343" s="302"/>
      <c r="E343" s="303"/>
      <c r="F343" s="446"/>
      <c r="G343" s="304"/>
      <c r="H343" s="701"/>
      <c r="I343" s="885"/>
      <c r="J343" s="885"/>
      <c r="K343" s="277"/>
      <c r="L343" s="300">
        <v>15</v>
      </c>
      <c r="M343" s="378" t="s">
        <v>662</v>
      </c>
      <c r="N343" s="302" t="s">
        <v>664</v>
      </c>
      <c r="O343" s="540"/>
      <c r="P343" s="446"/>
      <c r="Q343" s="304">
        <v>1495.89</v>
      </c>
      <c r="R343" s="574" t="s">
        <v>669</v>
      </c>
      <c r="S343" s="609" t="s">
        <v>670</v>
      </c>
      <c r="T343" s="674">
        <v>45900</v>
      </c>
      <c r="U343" s="493"/>
      <c r="V343" s="873"/>
      <c r="W343" s="701">
        <v>45888</v>
      </c>
      <c r="X343" s="870"/>
      <c r="Y343" s="472"/>
    </row>
    <row r="344" spans="1:25">
      <c r="B344" s="300">
        <v>15</v>
      </c>
      <c r="C344" s="302"/>
      <c r="D344" s="302"/>
      <c r="E344" s="303"/>
      <c r="F344" s="446"/>
      <c r="G344" s="304"/>
      <c r="H344" s="524"/>
      <c r="I344" s="885"/>
      <c r="J344" s="885"/>
      <c r="K344" s="277"/>
      <c r="L344" s="300">
        <v>15</v>
      </c>
      <c r="M344" s="378" t="s">
        <v>662</v>
      </c>
      <c r="N344" s="302" t="s">
        <v>664</v>
      </c>
      <c r="O344" s="540"/>
      <c r="P344" s="446"/>
      <c r="Q344" s="304">
        <v>407.97</v>
      </c>
      <c r="R344" s="574" t="s">
        <v>671</v>
      </c>
      <c r="S344" s="609" t="s">
        <v>672</v>
      </c>
      <c r="T344" s="677">
        <v>45900</v>
      </c>
      <c r="U344" s="493"/>
      <c r="V344" s="873"/>
      <c r="W344" s="524">
        <v>45890</v>
      </c>
      <c r="X344" s="870"/>
      <c r="Y344" s="472"/>
    </row>
    <row r="345" spans="1:25">
      <c r="B345" s="300">
        <v>15</v>
      </c>
      <c r="C345" s="302"/>
      <c r="D345" s="302"/>
      <c r="E345" s="303"/>
      <c r="F345" s="446"/>
      <c r="G345" s="304"/>
      <c r="H345" s="524"/>
      <c r="I345" s="885"/>
      <c r="J345" s="885"/>
      <c r="K345" s="277"/>
      <c r="L345" s="300">
        <v>15</v>
      </c>
      <c r="M345" s="378" t="s">
        <v>662</v>
      </c>
      <c r="N345" s="302" t="s">
        <v>664</v>
      </c>
      <c r="O345" s="540"/>
      <c r="P345" s="446"/>
      <c r="Q345" s="304">
        <v>951.93</v>
      </c>
      <c r="R345" s="574" t="s">
        <v>673</v>
      </c>
      <c r="S345" s="609" t="s">
        <v>674</v>
      </c>
      <c r="T345" s="674">
        <v>45900</v>
      </c>
      <c r="U345" s="493"/>
      <c r="V345" s="873"/>
      <c r="W345" s="524">
        <v>45901</v>
      </c>
      <c r="X345" s="870"/>
      <c r="Y345" s="472"/>
    </row>
    <row r="346" spans="1:25">
      <c r="B346" s="300">
        <v>15</v>
      </c>
      <c r="C346" s="302"/>
      <c r="D346" s="302"/>
      <c r="E346" s="303"/>
      <c r="F346" s="446"/>
      <c r="G346" s="304"/>
      <c r="H346" s="524"/>
      <c r="I346" s="885"/>
      <c r="J346" s="885"/>
      <c r="K346" s="277"/>
      <c r="L346" s="300">
        <v>15</v>
      </c>
      <c r="M346" s="378" t="s">
        <v>662</v>
      </c>
      <c r="N346" s="302" t="s">
        <v>664</v>
      </c>
      <c r="O346" s="540"/>
      <c r="P346" s="446"/>
      <c r="Q346" s="304">
        <v>135.99</v>
      </c>
      <c r="R346" s="574" t="s">
        <v>675</v>
      </c>
      <c r="S346" s="609" t="s">
        <v>676</v>
      </c>
      <c r="T346" s="674">
        <v>45930</v>
      </c>
      <c r="U346" s="493"/>
      <c r="V346" s="873"/>
      <c r="W346" s="524">
        <v>45910</v>
      </c>
      <c r="X346" s="870"/>
      <c r="Y346" s="472"/>
    </row>
    <row r="347" spans="1:25">
      <c r="B347" s="300">
        <v>15</v>
      </c>
      <c r="C347" s="302"/>
      <c r="D347" s="302"/>
      <c r="E347" s="303"/>
      <c r="F347" s="446"/>
      <c r="G347" s="304"/>
      <c r="H347" s="524"/>
      <c r="I347" s="885"/>
      <c r="J347" s="885"/>
      <c r="K347" s="277"/>
      <c r="L347" s="300">
        <v>15</v>
      </c>
      <c r="M347" s="378" t="s">
        <v>662</v>
      </c>
      <c r="N347" s="302" t="s">
        <v>664</v>
      </c>
      <c r="O347" s="540"/>
      <c r="P347" s="446"/>
      <c r="Q347" s="304">
        <v>2719.8</v>
      </c>
      <c r="R347" s="574" t="s">
        <v>677</v>
      </c>
      <c r="S347" s="609" t="s">
        <v>678</v>
      </c>
      <c r="T347" s="674">
        <v>45930</v>
      </c>
      <c r="U347" s="493"/>
      <c r="V347" s="873"/>
      <c r="W347" s="524">
        <v>45923</v>
      </c>
      <c r="X347" s="870"/>
      <c r="Y347" s="472"/>
    </row>
    <row r="348" spans="1:25">
      <c r="B348" s="300">
        <v>15</v>
      </c>
      <c r="C348" s="302"/>
      <c r="D348" s="302"/>
      <c r="E348" s="303"/>
      <c r="F348" s="446"/>
      <c r="G348" s="304"/>
      <c r="H348" s="524"/>
      <c r="I348" s="885"/>
      <c r="J348" s="885"/>
      <c r="K348" s="277"/>
      <c r="L348" s="300">
        <v>15</v>
      </c>
      <c r="M348" s="378" t="s">
        <v>662</v>
      </c>
      <c r="N348" s="302" t="s">
        <v>664</v>
      </c>
      <c r="O348" s="540"/>
      <c r="P348" s="446"/>
      <c r="Q348" s="304">
        <v>271.98</v>
      </c>
      <c r="R348" s="574" t="s">
        <v>679</v>
      </c>
      <c r="S348" s="609" t="s">
        <v>680</v>
      </c>
      <c r="T348" s="674">
        <v>45930</v>
      </c>
      <c r="U348" s="493"/>
      <c r="V348" s="873"/>
      <c r="W348" s="524">
        <v>45930</v>
      </c>
      <c r="X348" s="870"/>
      <c r="Y348" s="472"/>
    </row>
    <row r="349" spans="1:25">
      <c r="B349" s="300">
        <v>15</v>
      </c>
      <c r="C349" s="302"/>
      <c r="D349" s="302"/>
      <c r="E349" s="303"/>
      <c r="F349" s="446"/>
      <c r="G349" s="304"/>
      <c r="H349" s="524"/>
      <c r="I349" s="885"/>
      <c r="J349" s="885"/>
      <c r="K349" s="277"/>
      <c r="L349" s="300">
        <v>15</v>
      </c>
      <c r="M349" s="378" t="s">
        <v>662</v>
      </c>
      <c r="N349" s="302" t="s">
        <v>664</v>
      </c>
      <c r="O349" s="540"/>
      <c r="P349" s="446"/>
      <c r="Q349" s="304">
        <v>271.98</v>
      </c>
      <c r="R349" s="574" t="s">
        <v>681</v>
      </c>
      <c r="S349" s="609" t="s">
        <v>682</v>
      </c>
      <c r="T349" s="674">
        <v>45930</v>
      </c>
      <c r="U349" s="493"/>
      <c r="V349" s="873"/>
      <c r="W349" s="524">
        <v>45930</v>
      </c>
      <c r="X349" s="870"/>
      <c r="Y349" s="472"/>
    </row>
    <row r="350" spans="1:25">
      <c r="B350" s="300">
        <v>15</v>
      </c>
      <c r="C350" s="302"/>
      <c r="D350" s="302"/>
      <c r="E350" s="303"/>
      <c r="F350" s="446"/>
      <c r="G350" s="304"/>
      <c r="H350" s="524"/>
      <c r="I350" s="885"/>
      <c r="J350" s="885"/>
      <c r="K350" s="277"/>
      <c r="L350" s="300">
        <v>15</v>
      </c>
      <c r="M350" s="378" t="s">
        <v>662</v>
      </c>
      <c r="N350" s="302" t="s">
        <v>664</v>
      </c>
      <c r="O350" s="540"/>
      <c r="P350" s="446"/>
      <c r="Q350" s="304">
        <v>271.98</v>
      </c>
      <c r="R350" s="574" t="s">
        <v>683</v>
      </c>
      <c r="S350" s="609" t="s">
        <v>684</v>
      </c>
      <c r="T350" s="674">
        <v>45961</v>
      </c>
      <c r="U350" s="493"/>
      <c r="V350" s="873"/>
      <c r="W350" s="524">
        <v>45932</v>
      </c>
      <c r="X350" s="870"/>
      <c r="Y350" s="472"/>
    </row>
    <row r="351" spans="1:25">
      <c r="B351" s="300">
        <v>15</v>
      </c>
      <c r="C351" s="302"/>
      <c r="D351" s="302"/>
      <c r="E351" s="303"/>
      <c r="F351" s="446"/>
      <c r="G351" s="304"/>
      <c r="H351" s="560"/>
      <c r="I351" s="885"/>
      <c r="J351" s="885"/>
      <c r="K351" s="277"/>
      <c r="L351" s="300">
        <v>15</v>
      </c>
      <c r="M351" s="378" t="s">
        <v>662</v>
      </c>
      <c r="N351" s="302" t="s">
        <v>685</v>
      </c>
      <c r="O351" s="540"/>
      <c r="P351" s="446"/>
      <c r="Q351" s="304">
        <v>12722.45</v>
      </c>
      <c r="R351" s="574" t="s">
        <v>686</v>
      </c>
      <c r="S351" s="609" t="s">
        <v>687</v>
      </c>
      <c r="T351" s="677">
        <v>45961</v>
      </c>
      <c r="U351" s="493"/>
      <c r="V351" s="873"/>
      <c r="W351" s="756">
        <v>45960</v>
      </c>
      <c r="X351" s="870"/>
      <c r="Y351" s="472"/>
    </row>
    <row r="352" spans="1:25">
      <c r="B352" s="300">
        <v>15</v>
      </c>
      <c r="C352" s="302"/>
      <c r="D352" s="302"/>
      <c r="E352" s="303"/>
      <c r="F352" s="446"/>
      <c r="G352" s="304"/>
      <c r="H352" s="560"/>
      <c r="I352" s="885"/>
      <c r="J352" s="885"/>
      <c r="K352" s="277"/>
      <c r="L352" s="300">
        <v>15</v>
      </c>
      <c r="M352" s="378" t="s">
        <v>662</v>
      </c>
      <c r="N352" s="302" t="s">
        <v>685</v>
      </c>
      <c r="O352" s="540"/>
      <c r="P352" s="446"/>
      <c r="Q352" s="304">
        <v>14381.9</v>
      </c>
      <c r="R352" s="574" t="s">
        <v>688</v>
      </c>
      <c r="S352" s="609" t="s">
        <v>689</v>
      </c>
      <c r="T352" s="751">
        <v>45991</v>
      </c>
      <c r="U352" s="493"/>
      <c r="V352" s="873"/>
      <c r="W352" s="756">
        <v>46009</v>
      </c>
      <c r="X352" s="870"/>
      <c r="Y352" s="472"/>
    </row>
    <row r="353" spans="2:25">
      <c r="B353" s="300"/>
      <c r="C353" s="302"/>
      <c r="D353" s="302"/>
      <c r="E353" s="303"/>
      <c r="F353" s="446"/>
      <c r="G353" s="304"/>
      <c r="H353" s="560"/>
      <c r="I353" s="885"/>
      <c r="J353" s="885"/>
      <c r="K353" s="277"/>
      <c r="L353" s="300">
        <v>15</v>
      </c>
      <c r="M353" s="378" t="s">
        <v>662</v>
      </c>
      <c r="N353" s="302" t="s">
        <v>685</v>
      </c>
      <c r="O353" s="540"/>
      <c r="P353" s="446"/>
      <c r="Q353" s="304">
        <v>9126.98</v>
      </c>
      <c r="R353" s="574"/>
      <c r="S353" s="609" t="s">
        <v>690</v>
      </c>
      <c r="T353" s="751">
        <v>45991</v>
      </c>
      <c r="U353" s="493"/>
      <c r="V353" s="873"/>
      <c r="W353" s="756">
        <v>45995</v>
      </c>
      <c r="X353" s="870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85"/>
      <c r="J354" s="885"/>
      <c r="K354" s="277"/>
      <c r="L354" s="300">
        <v>15</v>
      </c>
      <c r="M354" s="378" t="s">
        <v>662</v>
      </c>
      <c r="N354" s="302" t="s">
        <v>685</v>
      </c>
      <c r="O354" s="540"/>
      <c r="P354" s="446"/>
      <c r="Q354" s="304">
        <v>1936.03</v>
      </c>
      <c r="R354" s="574" t="s">
        <v>691</v>
      </c>
      <c r="S354" s="609" t="s">
        <v>692</v>
      </c>
      <c r="T354" s="674">
        <v>46053</v>
      </c>
      <c r="U354" s="493"/>
      <c r="V354" s="873"/>
      <c r="W354" s="524">
        <v>46051</v>
      </c>
      <c r="X354" s="870"/>
      <c r="Y354" s="472"/>
    </row>
    <row r="355" spans="2:25">
      <c r="B355" s="300"/>
      <c r="C355" s="302"/>
      <c r="D355" s="302"/>
      <c r="E355" s="303"/>
      <c r="F355" s="446"/>
      <c r="G355" s="304"/>
      <c r="H355" s="560"/>
      <c r="I355" s="885"/>
      <c r="J355" s="885"/>
      <c r="K355" s="277"/>
      <c r="L355" s="300">
        <v>15</v>
      </c>
      <c r="M355" s="378" t="s">
        <v>662</v>
      </c>
      <c r="N355" s="302" t="s">
        <v>685</v>
      </c>
      <c r="O355" s="540"/>
      <c r="P355" s="446"/>
      <c r="Q355" s="304">
        <v>5215.6099999999997</v>
      </c>
      <c r="R355" s="574" t="s">
        <v>693</v>
      </c>
      <c r="S355" s="609" t="s">
        <v>694</v>
      </c>
      <c r="T355" s="674">
        <v>46081</v>
      </c>
      <c r="U355" s="493"/>
      <c r="V355" s="873"/>
      <c r="W355" s="560">
        <v>46086</v>
      </c>
      <c r="X355" s="870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5"/>
      <c r="J356" s="885"/>
      <c r="K356" s="277"/>
      <c r="L356" s="300">
        <v>15</v>
      </c>
      <c r="M356" s="378" t="s">
        <v>662</v>
      </c>
      <c r="N356" s="302" t="s">
        <v>685</v>
      </c>
      <c r="O356" s="438"/>
      <c r="P356" s="439"/>
      <c r="Q356" s="764">
        <v>7051.28</v>
      </c>
      <c r="R356" s="574" t="s">
        <v>695</v>
      </c>
      <c r="S356" s="609"/>
      <c r="T356" s="509">
        <v>46112</v>
      </c>
      <c r="U356" s="493"/>
      <c r="V356" s="873"/>
      <c r="W356" s="560">
        <f>T356+7</f>
        <v>46119</v>
      </c>
      <c r="X356" s="870"/>
      <c r="Y356" s="472"/>
    </row>
    <row r="357" spans="2:25">
      <c r="B357" s="300"/>
      <c r="C357" s="302"/>
      <c r="D357" s="302"/>
      <c r="E357" s="303"/>
      <c r="F357" s="446"/>
      <c r="G357" s="304"/>
      <c r="H357" s="560"/>
      <c r="I357" s="885"/>
      <c r="J357" s="885"/>
      <c r="K357" s="277"/>
      <c r="L357" s="300">
        <v>15</v>
      </c>
      <c r="M357" s="378" t="s">
        <v>662</v>
      </c>
      <c r="N357" s="302"/>
      <c r="O357" s="540"/>
      <c r="P357" s="446"/>
      <c r="Q357" s="304"/>
      <c r="R357" s="574"/>
      <c r="S357" s="609"/>
      <c r="T357" s="751"/>
      <c r="U357" s="493"/>
      <c r="V357" s="873"/>
      <c r="W357" s="756"/>
      <c r="X357" s="870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85"/>
      <c r="J358" s="885"/>
      <c r="K358" s="277"/>
      <c r="L358" s="300">
        <v>15</v>
      </c>
      <c r="M358" s="378" t="s">
        <v>662</v>
      </c>
      <c r="N358" s="302" t="s">
        <v>696</v>
      </c>
      <c r="O358" s="540"/>
      <c r="P358" s="446"/>
      <c r="Q358" s="304">
        <v>319.08999999999997</v>
      </c>
      <c r="R358" s="574"/>
      <c r="S358" s="609" t="s">
        <v>697</v>
      </c>
      <c r="T358" s="751">
        <v>46022</v>
      </c>
      <c r="U358" s="493"/>
      <c r="V358" s="873"/>
      <c r="W358" s="756">
        <v>46051</v>
      </c>
      <c r="X358" s="870"/>
      <c r="Y358" s="472"/>
    </row>
    <row r="359" spans="2:25">
      <c r="B359" s="300"/>
      <c r="C359" s="302"/>
      <c r="D359" s="302"/>
      <c r="E359" s="303"/>
      <c r="F359" s="446"/>
      <c r="G359" s="304"/>
      <c r="H359" s="560"/>
      <c r="I359" s="885"/>
      <c r="J359" s="885"/>
      <c r="K359" s="277"/>
      <c r="L359" s="300">
        <v>15</v>
      </c>
      <c r="M359" s="378" t="s">
        <v>662</v>
      </c>
      <c r="N359" s="302" t="s">
        <v>698</v>
      </c>
      <c r="O359" s="540"/>
      <c r="P359" s="446"/>
      <c r="Q359" s="304">
        <v>1129.28</v>
      </c>
      <c r="R359" s="574"/>
      <c r="S359" s="609" t="s">
        <v>699</v>
      </c>
      <c r="T359" s="751">
        <v>46081</v>
      </c>
      <c r="U359" s="493"/>
      <c r="V359" s="873"/>
      <c r="W359" s="756">
        <v>46066</v>
      </c>
      <c r="X359" s="870"/>
      <c r="Y359" s="472"/>
    </row>
    <row r="360" spans="2:25">
      <c r="B360" s="300"/>
      <c r="C360" s="302"/>
      <c r="D360" s="302"/>
      <c r="E360" s="303"/>
      <c r="F360" s="446"/>
      <c r="G360" s="304"/>
      <c r="H360" s="560"/>
      <c r="I360" s="885"/>
      <c r="J360" s="885"/>
      <c r="K360" s="277"/>
      <c r="L360" s="300">
        <v>15</v>
      </c>
      <c r="M360" s="378" t="s">
        <v>662</v>
      </c>
      <c r="N360" s="302"/>
      <c r="O360" s="540"/>
      <c r="P360" s="446"/>
      <c r="Q360" s="304"/>
      <c r="R360" s="574"/>
      <c r="S360" s="609"/>
      <c r="T360" s="751"/>
      <c r="U360" s="493"/>
      <c r="V360" s="873"/>
      <c r="W360" s="756"/>
      <c r="X360" s="870"/>
      <c r="Y360" s="472"/>
    </row>
    <row r="361" spans="2:25">
      <c r="B361" s="300">
        <v>15</v>
      </c>
      <c r="C361" s="302"/>
      <c r="D361" s="302"/>
      <c r="E361" s="303"/>
      <c r="F361" s="446"/>
      <c r="G361" s="304"/>
      <c r="H361" s="560"/>
      <c r="I361" s="885"/>
      <c r="J361" s="885"/>
      <c r="K361" s="277"/>
      <c r="L361" s="300">
        <v>15</v>
      </c>
      <c r="M361" s="378" t="s">
        <v>662</v>
      </c>
      <c r="N361" s="302"/>
      <c r="O361" s="540"/>
      <c r="P361" s="446"/>
      <c r="Q361" s="304"/>
      <c r="R361" s="574"/>
      <c r="S361" s="609"/>
      <c r="T361" s="509"/>
      <c r="U361" s="493"/>
      <c r="V361" s="873"/>
      <c r="W361" s="560"/>
      <c r="X361" s="870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85"/>
      <c r="J362" s="885"/>
      <c r="K362" s="277"/>
      <c r="L362" s="300">
        <v>15</v>
      </c>
      <c r="M362" s="378" t="s">
        <v>662</v>
      </c>
      <c r="N362" s="302" t="s">
        <v>208</v>
      </c>
      <c r="O362" s="540"/>
      <c r="P362" s="446"/>
      <c r="Q362" s="304">
        <v>160210.04999999999</v>
      </c>
      <c r="R362" s="574" t="s">
        <v>700</v>
      </c>
      <c r="S362" s="609" t="s">
        <v>701</v>
      </c>
      <c r="T362" s="674">
        <v>45991</v>
      </c>
      <c r="U362" s="493"/>
      <c r="V362" s="873"/>
      <c r="W362" s="524">
        <v>46003</v>
      </c>
      <c r="X362" s="870"/>
      <c r="Y362" s="472"/>
    </row>
    <row r="363" spans="2:25">
      <c r="B363" s="300">
        <v>15</v>
      </c>
      <c r="C363" s="302"/>
      <c r="D363" s="302"/>
      <c r="E363" s="303"/>
      <c r="F363" s="446"/>
      <c r="G363" s="304"/>
      <c r="H363" s="560"/>
      <c r="I363" s="885"/>
      <c r="J363" s="885"/>
      <c r="K363" s="277"/>
      <c r="L363" s="300">
        <v>15</v>
      </c>
      <c r="M363" s="378" t="s">
        <v>662</v>
      </c>
      <c r="N363" s="302" t="s">
        <v>702</v>
      </c>
      <c r="O363" s="540"/>
      <c r="P363" s="446"/>
      <c r="Q363" s="304">
        <v>1200</v>
      </c>
      <c r="R363" s="574" t="s">
        <v>703</v>
      </c>
      <c r="S363" s="609" t="s">
        <v>704</v>
      </c>
      <c r="T363" s="751">
        <v>45961</v>
      </c>
      <c r="U363" s="493"/>
      <c r="V363" s="873"/>
      <c r="W363" s="756">
        <v>45946</v>
      </c>
      <c r="X363" s="870"/>
      <c r="Y363" s="472"/>
    </row>
    <row r="364" spans="2:25">
      <c r="B364" s="300">
        <v>15</v>
      </c>
      <c r="C364" s="302"/>
      <c r="D364" s="302"/>
      <c r="E364" s="303"/>
      <c r="F364" s="446"/>
      <c r="G364" s="304"/>
      <c r="H364" s="560"/>
      <c r="I364" s="885"/>
      <c r="J364" s="885"/>
      <c r="K364" s="277"/>
      <c r="L364" s="300">
        <v>15</v>
      </c>
      <c r="M364" s="378" t="s">
        <v>662</v>
      </c>
      <c r="N364" s="302" t="s">
        <v>702</v>
      </c>
      <c r="O364" s="540"/>
      <c r="P364" s="446"/>
      <c r="Q364" s="304">
        <v>1200</v>
      </c>
      <c r="R364" s="574" t="s">
        <v>705</v>
      </c>
      <c r="S364" s="609" t="s">
        <v>706</v>
      </c>
      <c r="T364" s="674">
        <v>46022</v>
      </c>
      <c r="U364" s="493"/>
      <c r="V364" s="873"/>
      <c r="W364" s="524">
        <v>46003</v>
      </c>
      <c r="X364" s="870"/>
      <c r="Y364" s="472"/>
    </row>
    <row r="365" spans="2:25">
      <c r="B365" s="300">
        <v>15</v>
      </c>
      <c r="C365" s="302"/>
      <c r="D365" s="302"/>
      <c r="E365" s="303"/>
      <c r="F365" s="446"/>
      <c r="G365" s="304"/>
      <c r="H365" s="560"/>
      <c r="I365" s="885"/>
      <c r="J365" s="885"/>
      <c r="K365" s="277"/>
      <c r="L365" s="300">
        <v>15</v>
      </c>
      <c r="M365" s="378" t="s">
        <v>662</v>
      </c>
      <c r="N365" s="302" t="s">
        <v>702</v>
      </c>
      <c r="O365" s="540"/>
      <c r="P365" s="446"/>
      <c r="Q365" s="304">
        <v>1200</v>
      </c>
      <c r="R365" s="574" t="s">
        <v>707</v>
      </c>
      <c r="S365" s="609" t="s">
        <v>708</v>
      </c>
      <c r="T365" s="674">
        <v>46053</v>
      </c>
      <c r="U365" s="493"/>
      <c r="V365" s="873"/>
      <c r="W365" s="560">
        <v>46086</v>
      </c>
      <c r="X365" s="870"/>
      <c r="Y365" s="472"/>
    </row>
    <row r="366" spans="2:25">
      <c r="B366" s="300">
        <v>15</v>
      </c>
      <c r="C366" s="302"/>
      <c r="D366" s="302"/>
      <c r="E366" s="303"/>
      <c r="F366" s="446"/>
      <c r="G366" s="304"/>
      <c r="H366" s="560"/>
      <c r="I366" s="885"/>
      <c r="J366" s="885"/>
      <c r="K366" s="277"/>
      <c r="L366" s="300">
        <v>15</v>
      </c>
      <c r="M366" s="378" t="s">
        <v>662</v>
      </c>
      <c r="N366" s="302" t="s">
        <v>702</v>
      </c>
      <c r="O366" s="540"/>
      <c r="P366" s="446"/>
      <c r="Q366" s="304"/>
      <c r="R366" s="574"/>
      <c r="S366" s="609"/>
      <c r="T366" s="509"/>
      <c r="U366" s="493"/>
      <c r="V366" s="873"/>
      <c r="W366" s="560"/>
      <c r="X366" s="870"/>
      <c r="Y366" s="472"/>
    </row>
    <row r="367" spans="2:25">
      <c r="B367" s="300"/>
      <c r="C367" s="302"/>
      <c r="D367" s="302"/>
      <c r="E367" s="303"/>
      <c r="F367" s="446"/>
      <c r="G367" s="304"/>
      <c r="H367" s="560"/>
      <c r="I367" s="885"/>
      <c r="J367" s="885"/>
      <c r="K367" s="277"/>
      <c r="L367" s="300">
        <v>15</v>
      </c>
      <c r="M367" s="378" t="s">
        <v>662</v>
      </c>
      <c r="N367" s="302" t="s">
        <v>702</v>
      </c>
      <c r="O367" s="540"/>
      <c r="P367" s="446"/>
      <c r="Q367" s="304"/>
      <c r="R367" s="574"/>
      <c r="S367" s="609"/>
      <c r="T367" s="509"/>
      <c r="U367" s="493"/>
      <c r="V367" s="873"/>
      <c r="W367" s="560"/>
      <c r="X367" s="870"/>
      <c r="Y367" s="472"/>
    </row>
    <row r="368" spans="2:25">
      <c r="B368" s="300">
        <v>15</v>
      </c>
      <c r="C368" s="302"/>
      <c r="D368" s="302"/>
      <c r="E368" s="303"/>
      <c r="F368" s="446"/>
      <c r="G368" s="304"/>
      <c r="H368" s="560"/>
      <c r="I368" s="885"/>
      <c r="J368" s="885"/>
      <c r="K368" s="277"/>
      <c r="L368" s="300">
        <v>15</v>
      </c>
      <c r="M368" s="378" t="s">
        <v>662</v>
      </c>
      <c r="N368" s="302" t="s">
        <v>709</v>
      </c>
      <c r="O368" s="540">
        <v>270</v>
      </c>
      <c r="P368" s="446">
        <v>1005.8</v>
      </c>
      <c r="Q368" s="304">
        <f>O368*P368</f>
        <v>271566</v>
      </c>
      <c r="R368" s="574"/>
      <c r="S368" s="609"/>
      <c r="T368" s="509">
        <v>46142</v>
      </c>
      <c r="U368" s="493"/>
      <c r="V368" s="873"/>
      <c r="W368" s="560">
        <f>T368</f>
        <v>46142</v>
      </c>
      <c r="X368" s="870"/>
      <c r="Y368" s="472"/>
    </row>
    <row r="369" spans="2:25">
      <c r="B369" s="300">
        <v>15</v>
      </c>
      <c r="C369" s="302"/>
      <c r="D369" s="302"/>
      <c r="E369" s="303"/>
      <c r="F369" s="446"/>
      <c r="G369" s="304"/>
      <c r="H369" s="560"/>
      <c r="I369" s="885"/>
      <c r="J369" s="885"/>
      <c r="K369" s="277"/>
      <c r="L369" s="300">
        <v>15</v>
      </c>
      <c r="M369" s="378" t="s">
        <v>662</v>
      </c>
      <c r="N369" s="302" t="s">
        <v>710</v>
      </c>
      <c r="O369" s="540">
        <v>85</v>
      </c>
      <c r="P369" s="446">
        <v>1005.8</v>
      </c>
      <c r="Q369" s="304">
        <f>O369*P369</f>
        <v>85493</v>
      </c>
      <c r="R369" s="574"/>
      <c r="S369" s="609"/>
      <c r="T369" s="509">
        <v>46142</v>
      </c>
      <c r="U369" s="493"/>
      <c r="V369" s="873"/>
      <c r="W369" s="560">
        <f>T369</f>
        <v>46142</v>
      </c>
      <c r="X369" s="870"/>
      <c r="Y369" s="472"/>
    </row>
    <row r="370" spans="2:25">
      <c r="B370" s="300">
        <v>15</v>
      </c>
      <c r="C370" s="302"/>
      <c r="D370" s="302"/>
      <c r="E370" s="303"/>
      <c r="F370" s="446"/>
      <c r="G370" s="304"/>
      <c r="H370" s="560"/>
      <c r="I370" s="885"/>
      <c r="J370" s="885"/>
      <c r="K370" s="277"/>
      <c r="L370" s="300">
        <v>15</v>
      </c>
      <c r="M370" s="378" t="s">
        <v>662</v>
      </c>
      <c r="N370" s="302" t="s">
        <v>711</v>
      </c>
      <c r="O370" s="540"/>
      <c r="P370" s="446"/>
      <c r="Q370" s="304">
        <v>250000</v>
      </c>
      <c r="R370" s="574"/>
      <c r="S370" s="609"/>
      <c r="T370" s="509">
        <v>46142</v>
      </c>
      <c r="U370" s="493"/>
      <c r="V370" s="873"/>
      <c r="W370" s="560">
        <f>T370</f>
        <v>46142</v>
      </c>
      <c r="X370" s="870"/>
      <c r="Y370" s="472"/>
    </row>
    <row r="371" spans="2:25">
      <c r="B371" s="300"/>
      <c r="C371" s="302"/>
      <c r="D371" s="302"/>
      <c r="E371" s="303"/>
      <c r="F371" s="446"/>
      <c r="G371" s="304"/>
      <c r="H371" s="560"/>
      <c r="I371" s="885"/>
      <c r="J371" s="885"/>
      <c r="K371" s="277"/>
      <c r="L371" s="300">
        <v>15</v>
      </c>
      <c r="M371" s="378" t="s">
        <v>662</v>
      </c>
      <c r="N371" s="302"/>
      <c r="O371" s="540"/>
      <c r="P371" s="446"/>
      <c r="Q371" s="304"/>
      <c r="R371" s="574"/>
      <c r="S371" s="609"/>
      <c r="T371" s="509"/>
      <c r="U371" s="493"/>
      <c r="V371" s="873"/>
      <c r="W371" s="560"/>
      <c r="X371" s="870"/>
      <c r="Y371" s="472"/>
    </row>
    <row r="372" spans="2:25">
      <c r="B372" s="300">
        <v>15</v>
      </c>
      <c r="C372" s="302"/>
      <c r="D372" s="302"/>
      <c r="E372" s="303"/>
      <c r="F372" s="446"/>
      <c r="G372" s="304"/>
      <c r="H372" s="560"/>
      <c r="I372" s="885"/>
      <c r="J372" s="885"/>
      <c r="K372" s="277"/>
      <c r="L372" s="300">
        <v>15</v>
      </c>
      <c r="M372" s="378" t="s">
        <v>662</v>
      </c>
      <c r="N372" s="302" t="s">
        <v>712</v>
      </c>
      <c r="O372" s="540"/>
      <c r="P372" s="446"/>
      <c r="Q372" s="604">
        <v>0</v>
      </c>
      <c r="R372" s="574"/>
      <c r="S372" s="609"/>
      <c r="T372" s="509"/>
      <c r="U372" s="493"/>
      <c r="V372" s="873"/>
      <c r="W372" s="560"/>
      <c r="X372" s="870"/>
      <c r="Y372" s="472"/>
    </row>
    <row r="373" spans="2:25">
      <c r="B373" s="300">
        <v>15</v>
      </c>
      <c r="C373" s="302"/>
      <c r="D373" s="302"/>
      <c r="E373" s="303"/>
      <c r="F373" s="446"/>
      <c r="G373" s="304"/>
      <c r="H373" s="560"/>
      <c r="I373" s="885"/>
      <c r="J373" s="885"/>
      <c r="K373" s="277"/>
      <c r="L373" s="300">
        <v>15</v>
      </c>
      <c r="M373" s="378" t="s">
        <v>662</v>
      </c>
      <c r="N373" s="302" t="s">
        <v>713</v>
      </c>
      <c r="O373" s="540"/>
      <c r="P373" s="446"/>
      <c r="Q373" s="304">
        <v>271125.69</v>
      </c>
      <c r="R373" s="574"/>
      <c r="S373" s="609" t="s">
        <v>714</v>
      </c>
      <c r="T373" s="751">
        <v>46053</v>
      </c>
      <c r="U373" s="493"/>
      <c r="V373" s="873"/>
      <c r="W373" s="524">
        <v>46051</v>
      </c>
      <c r="X373" s="870"/>
      <c r="Y373" s="472"/>
    </row>
    <row r="374" spans="2:25" ht="14.25">
      <c r="B374" s="300"/>
      <c r="C374" s="302"/>
      <c r="D374" s="302"/>
      <c r="E374" s="303"/>
      <c r="F374" s="446"/>
      <c r="G374" s="304"/>
      <c r="H374" s="560"/>
      <c r="I374" s="885"/>
      <c r="J374" s="885"/>
      <c r="K374" s="277"/>
      <c r="L374" s="300">
        <v>15</v>
      </c>
      <c r="M374" s="378" t="s">
        <v>662</v>
      </c>
      <c r="N374" s="302" t="s">
        <v>715</v>
      </c>
      <c r="O374" s="540"/>
      <c r="P374" s="446"/>
      <c r="Q374" s="304">
        <v>496745.53</v>
      </c>
      <c r="R374" s="574"/>
      <c r="S374" s="609" t="s">
        <v>716</v>
      </c>
      <c r="T374" s="674">
        <v>46081</v>
      </c>
      <c r="U374" s="493"/>
      <c r="V374" s="873"/>
      <c r="W374" s="756">
        <v>46079</v>
      </c>
      <c r="X374" s="870"/>
      <c r="Y374" s="472"/>
    </row>
    <row r="375" spans="2:25">
      <c r="B375" s="300">
        <v>15</v>
      </c>
      <c r="C375" s="302"/>
      <c r="D375" s="302"/>
      <c r="E375" s="303"/>
      <c r="F375" s="446"/>
      <c r="G375" s="304"/>
      <c r="H375" s="560"/>
      <c r="I375" s="885"/>
      <c r="J375" s="885"/>
      <c r="K375" s="277"/>
      <c r="L375" s="300">
        <v>15</v>
      </c>
      <c r="M375" s="378" t="s">
        <v>662</v>
      </c>
      <c r="N375" s="302" t="s">
        <v>717</v>
      </c>
      <c r="O375" s="540"/>
      <c r="P375" s="446"/>
      <c r="Q375" s="304">
        <v>11500</v>
      </c>
      <c r="R375" s="574"/>
      <c r="S375" s="609"/>
      <c r="T375" s="509">
        <v>46112</v>
      </c>
      <c r="U375" s="493"/>
      <c r="V375" s="873"/>
      <c r="W375" s="560">
        <f>T375+30</f>
        <v>46142</v>
      </c>
      <c r="X375" s="870"/>
      <c r="Y375" s="472"/>
    </row>
    <row r="376" spans="2:25" ht="15" customHeight="1" thickBot="1">
      <c r="B376" s="305">
        <v>15</v>
      </c>
      <c r="C376" s="306"/>
      <c r="D376" s="306"/>
      <c r="E376" s="307"/>
      <c r="F376" s="447"/>
      <c r="G376" s="319"/>
      <c r="H376" s="562"/>
      <c r="I376" s="886"/>
      <c r="J376" s="886"/>
      <c r="K376" s="278"/>
      <c r="L376" s="305">
        <v>15</v>
      </c>
      <c r="M376" s="407" t="s">
        <v>662</v>
      </c>
      <c r="N376" s="306"/>
      <c r="O376" s="542"/>
      <c r="P376" s="447"/>
      <c r="Q376" s="319"/>
      <c r="R376" s="576"/>
      <c r="S376" s="611"/>
      <c r="T376" s="511" t="str">
        <f t="shared" si="30"/>
        <v/>
      </c>
      <c r="U376" s="495"/>
      <c r="V376" s="874"/>
      <c r="W376" s="562"/>
      <c r="X376" s="871"/>
      <c r="Y376" s="472"/>
    </row>
    <row r="377" spans="2:25" s="3" customFormat="1">
      <c r="B377" s="109"/>
      <c r="E377" s="4"/>
      <c r="F377" s="460"/>
      <c r="G377" s="5"/>
      <c r="H377" s="337"/>
      <c r="I377" s="336"/>
      <c r="J377" s="336"/>
      <c r="L377" s="109"/>
      <c r="O377" s="4"/>
      <c r="P377" s="460"/>
      <c r="Q377" s="337"/>
      <c r="R377" s="337"/>
      <c r="S377" s="337"/>
      <c r="T377" s="337"/>
      <c r="U377" s="337"/>
      <c r="V377" s="337"/>
      <c r="W377" s="337"/>
      <c r="X377" s="337"/>
    </row>
    <row r="378" spans="2:25">
      <c r="B378" s="112"/>
      <c r="C378" s="626" t="s">
        <v>718</v>
      </c>
      <c r="D378" s="65">
        <v>14537831.300000001</v>
      </c>
      <c r="E378" s="534"/>
      <c r="F378" s="626">
        <v>15101045.605359133</v>
      </c>
      <c r="G378" s="112"/>
      <c r="I378" s="112"/>
      <c r="J378" s="112"/>
    </row>
    <row r="379" spans="2:25">
      <c r="B379" s="112"/>
      <c r="C379" s="626" t="s">
        <v>719</v>
      </c>
      <c r="D379" s="65">
        <v>2760000</v>
      </c>
      <c r="E379" s="534"/>
      <c r="F379" s="626">
        <v>2982470.7100577182</v>
      </c>
      <c r="G379" s="112"/>
      <c r="I379" s="245"/>
      <c r="J379" s="245"/>
    </row>
    <row r="380" spans="2:25">
      <c r="B380" s="112"/>
      <c r="C380" s="626" t="s">
        <v>720</v>
      </c>
      <c r="D380" s="65">
        <v>7358785.9097348731</v>
      </c>
      <c r="E380" s="534"/>
      <c r="F380" s="626">
        <v>7951943.2744093109</v>
      </c>
      <c r="G380" s="112"/>
      <c r="I380" s="338"/>
      <c r="J380" s="338"/>
    </row>
    <row r="381" spans="2:25">
      <c r="B381" s="112"/>
      <c r="C381" s="626" t="s">
        <v>375</v>
      </c>
      <c r="D381" s="65">
        <v>8057942</v>
      </c>
      <c r="E381" s="534"/>
      <c r="F381" s="626">
        <v>8707455.0718637351</v>
      </c>
      <c r="G381" s="112"/>
      <c r="I381" s="245"/>
      <c r="J381" s="245"/>
    </row>
    <row r="382" spans="2:25">
      <c r="B382" s="112"/>
      <c r="C382" s="626" t="s">
        <v>429</v>
      </c>
      <c r="D382" s="65">
        <v>2941866.9</v>
      </c>
      <c r="E382" s="534"/>
      <c r="F382" s="626">
        <v>3178997.0514993835</v>
      </c>
      <c r="G382" s="112"/>
      <c r="I382" s="338"/>
      <c r="J382" s="338"/>
    </row>
    <row r="383" spans="2:25" ht="13.9">
      <c r="B383" s="112"/>
      <c r="C383" s="626" t="s">
        <v>396</v>
      </c>
      <c r="D383" s="65">
        <v>64000</v>
      </c>
      <c r="E383" s="534"/>
      <c r="F383" s="626">
        <v>69158.741102787666</v>
      </c>
      <c r="G383" s="112"/>
      <c r="I383" s="245"/>
      <c r="J383" s="245"/>
      <c r="O383" s="474" t="s">
        <v>721</v>
      </c>
      <c r="P383" s="761">
        <v>45982</v>
      </c>
    </row>
    <row r="384" spans="2:25" ht="13.9">
      <c r="B384" s="112"/>
      <c r="C384" s="626" t="s">
        <v>722</v>
      </c>
      <c r="D384" s="65">
        <v>565000</v>
      </c>
      <c r="E384" s="534"/>
      <c r="F384" s="626">
        <v>610542.01129804738</v>
      </c>
      <c r="G384" s="112"/>
      <c r="I384" s="245"/>
      <c r="J384" s="245"/>
      <c r="O384" s="474" t="s">
        <v>723</v>
      </c>
      <c r="P384" s="761">
        <f>'Project Plan'!I99</f>
        <v>46006</v>
      </c>
    </row>
    <row r="385" spans="2:75" ht="13.9">
      <c r="B385" s="112"/>
      <c r="C385" s="626" t="s">
        <v>724</v>
      </c>
      <c r="D385" s="65">
        <v>250000</v>
      </c>
      <c r="E385" s="534"/>
      <c r="F385" s="626">
        <v>270151.33243276435</v>
      </c>
      <c r="G385" s="112"/>
      <c r="I385" s="245"/>
      <c r="J385" s="245"/>
      <c r="O385" s="474" t="s">
        <v>725</v>
      </c>
      <c r="P385" s="474">
        <f>P384-P383</f>
        <v>24</v>
      </c>
      <c r="BV385" s="24"/>
      <c r="BW385" s="24"/>
    </row>
    <row r="386" spans="2:75">
      <c r="B386" s="112"/>
      <c r="C386" s="626" t="s">
        <v>726</v>
      </c>
      <c r="D386" s="65">
        <v>1200000</v>
      </c>
      <c r="E386" s="534"/>
      <c r="F386" s="626">
        <v>1296726.3956772687</v>
      </c>
      <c r="G386" s="112"/>
      <c r="I386" s="245"/>
      <c r="J386" s="245"/>
    </row>
    <row r="387" spans="2:75">
      <c r="B387" s="112"/>
      <c r="C387" s="626" t="s">
        <v>727</v>
      </c>
      <c r="D387" s="65">
        <v>0</v>
      </c>
      <c r="E387" s="534"/>
      <c r="F387" s="626">
        <v>0</v>
      </c>
      <c r="G387" s="112"/>
      <c r="I387" s="245"/>
      <c r="J387" s="245"/>
    </row>
    <row r="388" spans="2:75">
      <c r="B388" s="112"/>
      <c r="C388" s="626" t="s">
        <v>728</v>
      </c>
      <c r="D388" s="65">
        <v>0</v>
      </c>
      <c r="E388" s="534"/>
      <c r="F388" s="626">
        <v>0</v>
      </c>
      <c r="G388" s="112"/>
      <c r="I388" s="245"/>
      <c r="J388" s="245"/>
    </row>
    <row r="389" spans="2:75">
      <c r="B389" s="112"/>
      <c r="C389" s="626" t="s">
        <v>729</v>
      </c>
      <c r="D389" s="65"/>
      <c r="E389" s="534"/>
      <c r="F389" s="626"/>
      <c r="G389" s="112"/>
      <c r="I389" s="245"/>
      <c r="J389" s="245"/>
    </row>
    <row r="390" spans="2:75">
      <c r="B390" s="112"/>
      <c r="C390" s="626"/>
      <c r="D390" s="65"/>
      <c r="E390" s="534"/>
      <c r="F390" s="626"/>
      <c r="G390" s="112"/>
      <c r="I390" s="245"/>
      <c r="J390" s="245"/>
    </row>
    <row r="391" spans="2:75" s="112" customFormat="1">
      <c r="C391" s="626" t="s">
        <v>730</v>
      </c>
      <c r="D391" s="626">
        <v>1062060</v>
      </c>
      <c r="E391" s="534"/>
      <c r="F391" s="626">
        <v>1249482.3529411764</v>
      </c>
      <c r="I391" s="245"/>
      <c r="J391" s="245"/>
    </row>
    <row r="392" spans="2:75" s="112" customFormat="1">
      <c r="C392" s="626" t="s">
        <v>731</v>
      </c>
      <c r="D392" s="626">
        <v>3298351.2369999997</v>
      </c>
      <c r="E392" s="534"/>
      <c r="F392" s="626">
        <v>3880413.2199999997</v>
      </c>
      <c r="I392" s="245"/>
      <c r="J392" s="245"/>
    </row>
    <row r="393" spans="2:75" s="112" customFormat="1">
      <c r="C393" s="626" t="s">
        <v>732</v>
      </c>
      <c r="D393" s="626">
        <v>950000</v>
      </c>
      <c r="E393" s="534"/>
      <c r="F393" s="626">
        <v>1079545.4545454546</v>
      </c>
      <c r="I393" s="245"/>
      <c r="J393" s="245"/>
    </row>
    <row r="394" spans="2:75" s="112" customFormat="1">
      <c r="C394" s="626" t="s">
        <v>733</v>
      </c>
      <c r="D394" s="626">
        <v>420000</v>
      </c>
      <c r="E394" s="534"/>
      <c r="F394" s="626">
        <v>494117.64705882355</v>
      </c>
      <c r="I394" s="245"/>
      <c r="J394" s="245"/>
    </row>
    <row r="395" spans="2:75" s="112" customFormat="1">
      <c r="C395" s="626" t="s">
        <v>734</v>
      </c>
      <c r="D395" s="626">
        <v>85000</v>
      </c>
      <c r="E395" s="534"/>
      <c r="F395" s="626">
        <v>100000</v>
      </c>
      <c r="I395" s="245"/>
      <c r="J395" s="245"/>
    </row>
    <row r="396" spans="2:75" s="112" customFormat="1">
      <c r="C396" s="626" t="s">
        <v>735</v>
      </c>
      <c r="D396" s="626">
        <v>0</v>
      </c>
      <c r="E396" s="534"/>
      <c r="F396" s="626">
        <v>0</v>
      </c>
      <c r="I396" s="245"/>
      <c r="J396" s="245"/>
    </row>
    <row r="397" spans="2:75" s="112" customFormat="1">
      <c r="C397" s="626" t="s">
        <v>736</v>
      </c>
      <c r="D397" s="626">
        <v>176058.33333333331</v>
      </c>
      <c r="E397" s="534"/>
      <c r="F397" s="626">
        <v>207127.45098039214</v>
      </c>
      <c r="I397" s="245"/>
      <c r="J397" s="245"/>
    </row>
    <row r="398" spans="2:75" s="112" customFormat="1">
      <c r="C398" s="626" t="s">
        <v>737</v>
      </c>
      <c r="D398" s="626">
        <v>0</v>
      </c>
      <c r="E398" s="534"/>
      <c r="F398" s="626">
        <v>0</v>
      </c>
      <c r="I398" s="245"/>
      <c r="J398" s="245"/>
    </row>
    <row r="399" spans="2:75" s="112" customFormat="1">
      <c r="C399" s="626" t="s">
        <v>738</v>
      </c>
      <c r="D399" s="626">
        <v>133245.9</v>
      </c>
      <c r="E399" s="534"/>
      <c r="F399" s="626">
        <v>156759.88235294117</v>
      </c>
      <c r="I399" s="245"/>
      <c r="J399" s="245"/>
    </row>
    <row r="400" spans="2:75" s="112" customFormat="1">
      <c r="C400" s="626" t="s">
        <v>739</v>
      </c>
      <c r="D400" s="626">
        <v>0</v>
      </c>
      <c r="E400" s="534"/>
      <c r="F400" s="626">
        <v>0</v>
      </c>
      <c r="I400" s="245"/>
      <c r="J400" s="245"/>
    </row>
    <row r="401" spans="3:10" s="112" customFormat="1">
      <c r="C401" s="626" t="s">
        <v>740</v>
      </c>
      <c r="D401" s="626">
        <v>12030860.6085</v>
      </c>
      <c r="E401" s="534"/>
      <c r="F401" s="626">
        <v>12664063.798421053</v>
      </c>
      <c r="I401" s="245"/>
      <c r="J401" s="245"/>
    </row>
    <row r="402" spans="3:10" s="112" customFormat="1">
      <c r="C402" s="626"/>
      <c r="D402" s="626"/>
      <c r="E402" s="534"/>
      <c r="F402" s="626"/>
      <c r="I402" s="245"/>
      <c r="J402" s="245"/>
    </row>
    <row r="403" spans="3:10" s="112" customFormat="1">
      <c r="C403" s="626" t="s">
        <v>741</v>
      </c>
      <c r="D403" s="626"/>
      <c r="E403" s="534"/>
      <c r="F403" s="626"/>
      <c r="I403" s="245"/>
      <c r="J403" s="245"/>
    </row>
    <row r="404" spans="3:10" s="112" customFormat="1">
      <c r="C404" s="626" t="s">
        <v>742</v>
      </c>
      <c r="D404" s="626">
        <v>0</v>
      </c>
      <c r="E404" s="534"/>
      <c r="F404" s="626">
        <v>0</v>
      </c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C412" s="538"/>
      <c r="D412" s="538"/>
      <c r="E412" s="155"/>
      <c r="F412" s="451"/>
      <c r="I412" s="245"/>
      <c r="J412" s="245"/>
    </row>
    <row r="413" spans="3:10" s="112" customFormat="1">
      <c r="C413" s="538"/>
      <c r="D413" s="538"/>
      <c r="E413" s="155"/>
      <c r="F413" s="451"/>
      <c r="I413" s="245"/>
      <c r="J413" s="245"/>
    </row>
    <row r="414" spans="3:10" s="112" customFormat="1">
      <c r="C414" s="538"/>
      <c r="D414" s="538"/>
      <c r="E414" s="155"/>
      <c r="F414" s="451"/>
      <c r="I414" s="245"/>
      <c r="J414" s="245"/>
    </row>
    <row r="415" spans="3:10" s="112" customFormat="1">
      <c r="C415" s="538"/>
      <c r="D415" s="538"/>
      <c r="E415" s="155"/>
      <c r="F415" s="451"/>
      <c r="I415" s="245"/>
      <c r="J415" s="245"/>
    </row>
    <row r="416" spans="3:10" s="112" customFormat="1">
      <c r="C416" s="538"/>
      <c r="D416" s="538"/>
      <c r="E416" s="155"/>
      <c r="F416" s="451"/>
      <c r="I416" s="245"/>
      <c r="J416" s="245"/>
    </row>
    <row r="417" spans="3:10" s="112" customFormat="1">
      <c r="C417" s="538"/>
      <c r="D417" s="538"/>
      <c r="E417" s="155"/>
      <c r="F417" s="451"/>
      <c r="I417" s="245"/>
      <c r="J417" s="245"/>
    </row>
    <row r="418" spans="3:10" s="112" customFormat="1">
      <c r="C418" s="538"/>
      <c r="D418" s="538"/>
      <c r="E418" s="155"/>
      <c r="F418" s="451"/>
      <c r="I418" s="245"/>
      <c r="J418" s="245"/>
    </row>
    <row r="419" spans="3:10" s="112" customFormat="1">
      <c r="C419" s="538"/>
      <c r="D419" s="538"/>
      <c r="E419" s="155"/>
      <c r="F419" s="451"/>
      <c r="I419" s="245"/>
      <c r="J419" s="245"/>
    </row>
    <row r="420" spans="3:10" s="112" customFormat="1">
      <c r="C420" s="538"/>
      <c r="D420" s="538"/>
      <c r="E420" s="155"/>
      <c r="F420" s="451"/>
      <c r="I420" s="245"/>
      <c r="J420" s="245"/>
    </row>
    <row r="421" spans="3:10" s="112" customFormat="1">
      <c r="C421" s="538"/>
      <c r="D421" s="538"/>
      <c r="E421" s="155"/>
      <c r="F421" s="451"/>
      <c r="I421" s="245"/>
      <c r="J421" s="245"/>
    </row>
    <row r="422" spans="3:10" s="112" customFormat="1">
      <c r="C422" s="538"/>
      <c r="D422" s="538"/>
      <c r="E422" s="155"/>
      <c r="F422" s="451"/>
      <c r="I422" s="245"/>
      <c r="J422" s="245"/>
    </row>
    <row r="423" spans="3:10" s="112" customFormat="1">
      <c r="C423" s="538"/>
      <c r="D423" s="538"/>
      <c r="E423" s="155"/>
      <c r="F423" s="451"/>
      <c r="I423" s="245"/>
      <c r="J423" s="245"/>
    </row>
    <row r="424" spans="3:10" s="112" customFormat="1">
      <c r="C424" s="538"/>
      <c r="D424" s="538"/>
      <c r="E424" s="155"/>
      <c r="F424" s="451"/>
      <c r="I424" s="245"/>
      <c r="J424" s="245"/>
    </row>
    <row r="425" spans="3:10" s="112" customFormat="1">
      <c r="E425" s="155"/>
      <c r="F425" s="451"/>
      <c r="I425" s="245"/>
      <c r="J425" s="245"/>
    </row>
    <row r="426" spans="3:10" s="112" customFormat="1">
      <c r="E426" s="155"/>
      <c r="F426" s="451"/>
      <c r="I426" s="245"/>
      <c r="J426" s="245"/>
    </row>
    <row r="427" spans="3:10" s="112" customFormat="1">
      <c r="E427" s="155"/>
      <c r="F427" s="451"/>
      <c r="I427" s="245"/>
      <c r="J427" s="245"/>
    </row>
    <row r="428" spans="3:10" s="112" customFormat="1">
      <c r="E428" s="155"/>
      <c r="F428" s="451"/>
      <c r="I428" s="245"/>
      <c r="J428" s="245"/>
    </row>
    <row r="429" spans="3:10" s="112" customFormat="1">
      <c r="E429" s="155"/>
      <c r="F429" s="451"/>
      <c r="I429" s="245"/>
      <c r="J429" s="245"/>
    </row>
    <row r="430" spans="3:10" s="112" customFormat="1">
      <c r="E430" s="155"/>
      <c r="F430" s="451"/>
      <c r="I430" s="245"/>
      <c r="J430" s="245"/>
    </row>
    <row r="431" spans="3:10" s="112" customFormat="1">
      <c r="E431" s="155"/>
      <c r="F431" s="451"/>
      <c r="I431" s="245"/>
      <c r="J431" s="245"/>
    </row>
    <row r="432" spans="3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5"/>
    <mergeCell ref="J74:J95"/>
    <mergeCell ref="V29:V47"/>
    <mergeCell ref="R6:R17"/>
    <mergeCell ref="R29:R37"/>
    <mergeCell ref="R41:R47"/>
    <mergeCell ref="R50:R51"/>
    <mergeCell ref="R62:R69"/>
    <mergeCell ref="I97:I121"/>
    <mergeCell ref="J97:J121"/>
    <mergeCell ref="X97:X121"/>
    <mergeCell ref="I162:I182"/>
    <mergeCell ref="J162:J182"/>
    <mergeCell ref="X162:X182"/>
    <mergeCell ref="I123:I160"/>
    <mergeCell ref="J123:J160"/>
    <mergeCell ref="V123:V160"/>
    <mergeCell ref="V97:V121"/>
    <mergeCell ref="R123:R143"/>
    <mergeCell ref="X123:X160"/>
    <mergeCell ref="I184:I226"/>
    <mergeCell ref="J184:J226"/>
    <mergeCell ref="X184:X226"/>
    <mergeCell ref="V162:V182"/>
    <mergeCell ref="V184:V226"/>
    <mergeCell ref="R175:R176"/>
    <mergeCell ref="I339:I376"/>
    <mergeCell ref="J339:J376"/>
    <mergeCell ref="X339:X376"/>
    <mergeCell ref="V339:V376"/>
    <mergeCell ref="I228:I282"/>
    <mergeCell ref="J228:J282"/>
    <mergeCell ref="X228:X282"/>
    <mergeCell ref="V228:V282"/>
    <mergeCell ref="I284:I297"/>
    <mergeCell ref="J284:J297"/>
    <mergeCell ref="X284:X297"/>
    <mergeCell ref="I299:I300"/>
    <mergeCell ref="J299:J300"/>
    <mergeCell ref="X299:X300"/>
    <mergeCell ref="V284:V297"/>
    <mergeCell ref="I302:I324"/>
    <mergeCell ref="J302:J324"/>
    <mergeCell ref="X302:X324"/>
    <mergeCell ref="I326:I337"/>
    <mergeCell ref="J326:J337"/>
    <mergeCell ref="X326:X337"/>
    <mergeCell ref="V302:V324"/>
    <mergeCell ref="V326:V337"/>
    <mergeCell ref="X74:X95"/>
    <mergeCell ref="V74:V95"/>
    <mergeCell ref="R236:R244"/>
    <mergeCell ref="R169:R171"/>
    <mergeCell ref="R167:R168"/>
    <mergeCell ref="R218:R223"/>
    <mergeCell ref="R103:R105"/>
    <mergeCell ref="R111:R118"/>
    <mergeCell ref="R185:R2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bottomRight" activeCell="BF11" sqref="BF11"/>
      <selection pane="bottomLeft" activeCell="K24" sqref="K24"/>
      <selection pane="topRight" activeCell="K24" sqref="K24"/>
    </sheetView>
  </sheetViews>
  <sheetFormatPr defaultColWidth="9.42578125" defaultRowHeight="14.2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743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744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745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Breakdown'!$G$6:$G$384, 'Expenditure Breakdown'!$H$6:$H$384, "&gt;="&amp;F1,'Expenditure Breakdown'!$H$6:$H$384, "&lt;"&amp;G1)</f>
        <v>0</v>
      </c>
      <c r="G5" s="191">
        <f>SUMIFS('Expenditure Breakdown'!$G$6:$G$384, 'Expenditure Breakdown'!$H$6:$H$384, "&gt;="&amp;G1,'Expenditure Breakdown'!$H$6:$H$384, "&lt;"&amp;H1)</f>
        <v>0</v>
      </c>
      <c r="H5" s="191">
        <f>SUMIFS('Expenditure Breakdown'!$G$6:$G$384, 'Expenditure Breakdown'!$H$6:$H$384, "&gt;="&amp;H1,'Expenditure Breakdown'!$H$6:$H$384, "&lt;"&amp;I1)</f>
        <v>0</v>
      </c>
      <c r="I5" s="191">
        <f>SUMIFS('Expenditure Breakdown'!$G$6:$G$384, 'Expenditure Breakdown'!$H$6:$H$384, "&gt;="&amp;I1,'Expenditure Breakdown'!$H$6:$H$384, "&lt;"&amp;J1)</f>
        <v>0</v>
      </c>
      <c r="J5" s="191">
        <f>SUMIFS('Expenditure Breakdown'!$G$6:$G$384, 'Expenditure Breakdown'!$H$6:$H$384, "&gt;="&amp;J1,'Expenditure Breakdown'!$H$6:$H$384, "&lt;"&amp;K1)</f>
        <v>0</v>
      </c>
      <c r="K5" s="191">
        <f>SUMIFS('Expenditure Breakdown'!$G$6:$G$384, 'Expenditure Breakdown'!$H$6:$H$384, "&gt;="&amp;K1,'Expenditure Breakdown'!$H$6:$H$384, "&lt;"&amp;L1)</f>
        <v>0</v>
      </c>
      <c r="L5" s="191">
        <f>SUMIFS('Expenditure Breakdown'!$G$6:$G$384, 'Expenditure Breakdown'!$H$6:$H$384, "&gt;="&amp;L1,'Expenditure Breakdown'!$H$6:$H$384, "&lt;"&amp;M1)</f>
        <v>0</v>
      </c>
      <c r="M5" s="191">
        <f>SUMIFS('Expenditure Breakdown'!$G$6:$G$384, 'Expenditure Breakdown'!$H$6:$H$384, "&gt;="&amp;M1,'Expenditure Breakdown'!$H$6:$H$384, "&lt;"&amp;N1)</f>
        <v>0</v>
      </c>
      <c r="N5" s="191">
        <f>SUMIFS('Expenditure Breakdown'!$G$6:$G$384, 'Expenditure Breakdown'!$H$6:$H$384, "&gt;="&amp;N1,'Expenditure Breakdown'!$H$6:$H$384, "&lt;"&amp;O1)</f>
        <v>0</v>
      </c>
      <c r="O5" s="191">
        <f>SUMIFS('Expenditure Breakdown'!$G$6:$G$384, 'Expenditure Breakdown'!$H$6:$H$384, "&gt;="&amp;O1,'Expenditure Breakdown'!$H$6:$H$384, "&lt;"&amp;P1)</f>
        <v>0</v>
      </c>
      <c r="P5" s="191">
        <f>SUMIFS('Expenditure Breakdown'!$G$6:$G$384, 'Expenditure Breakdown'!$H$6:$H$384, "&gt;="&amp;P1,'Expenditure Breakdown'!$H$6:$H$384, "&lt;"&amp;Q1)</f>
        <v>0</v>
      </c>
      <c r="Q5" s="191">
        <f>SUMIFS('Expenditure Breakdown'!$G$6:$G$384, 'Expenditure Breakdown'!$H$6:$H$384, "&gt;="&amp;Q1,'Expenditure Breakdown'!$H$6:$H$384, "&lt;"&amp;R1)</f>
        <v>0</v>
      </c>
      <c r="R5" s="191">
        <f>SUMIFS('Expenditure Breakdown'!$G$6:$G$384, 'Expenditure Breakdown'!$H$6:$H$384, "&gt;="&amp;R1,'Expenditure Breakdown'!$H$6:$H$384, "&lt;"&amp;S1)</f>
        <v>0</v>
      </c>
      <c r="S5" s="191">
        <f>SUMIFS('Expenditure Breakdown'!$G$6:$G$384, 'Expenditure Breakdown'!$H$6:$H$384, "&gt;="&amp;S1,'Expenditure Breakdown'!$H$6:$H$384, "&lt;"&amp;T1)</f>
        <v>0</v>
      </c>
      <c r="T5" s="191">
        <f>SUMIFS('Expenditure Breakdown'!$G$6:$G$384, 'Expenditure Breakdown'!$H$6:$H$384, "&gt;="&amp;T1,'Expenditure Breakdown'!$H$6:$H$384, "&lt;"&amp;U1)</f>
        <v>0</v>
      </c>
      <c r="U5" s="191">
        <f>SUMIFS('Expenditure Breakdown'!$G$6:$G$384, 'Expenditure Breakdown'!$H$6:$H$384, "&gt;="&amp;U1,'Expenditure Breakdown'!$H$6:$H$384, "&lt;"&amp;V1)</f>
        <v>0</v>
      </c>
      <c r="V5" s="191">
        <f>SUMIFS('Expenditure Breakdown'!$G$6:$G$384, 'Expenditure Breakdown'!$H$6:$H$384, "&gt;="&amp;V1,'Expenditure Breakdown'!$H$6:$H$384, "&lt;"&amp;W1)</f>
        <v>0</v>
      </c>
      <c r="W5" s="191">
        <f>SUMIFS('Expenditure Breakdown'!$G$6:$G$384, 'Expenditure Breakdown'!$H$6:$H$384, "&gt;="&amp;W1,'Expenditure Breakdown'!$H$6:$H$384, "&lt;"&amp;X1)</f>
        <v>0</v>
      </c>
      <c r="X5" s="191">
        <f>SUMIFS('Expenditure Breakdown'!$G$6:$G$384, 'Expenditure Breakdown'!$H$6:$H$384, "&gt;="&amp;X1,'Expenditure Breakdown'!$H$6:$H$384, "&lt;"&amp;Y1)</f>
        <v>0</v>
      </c>
      <c r="Y5" s="191">
        <f>SUMIFS('Expenditure Breakdown'!$G$6:$G$384, 'Expenditure Breakdown'!$H$6:$H$384, "&gt;="&amp;Y1,'Expenditure Breakdown'!$H$6:$H$384, "&lt;"&amp;Z1)</f>
        <v>0</v>
      </c>
      <c r="Z5" s="191">
        <f>SUMIFS('Expenditure Breakdown'!$G$6:$G$384, 'Expenditure Breakdown'!$H$6:$H$384, "&gt;="&amp;Z1,'Expenditure Breakdown'!$H$6:$H$384, "&lt;"&amp;AA1)</f>
        <v>2760000</v>
      </c>
      <c r="AA5" s="191">
        <f>SUMIFS('Expenditure Breakdown'!$G$6:$G$384, 'Expenditure Breakdown'!$H$6:$H$384, "&gt;="&amp;AA1,'Expenditure Breakdown'!$H$6:$H$384, "&lt;"&amp;AB1)</f>
        <v>14537831.300000001</v>
      </c>
      <c r="AB5" s="191">
        <f>SUMIFS('Expenditure Breakdown'!$G$6:$G$384, 'Expenditure Breakdown'!$H$6:$H$384, "&gt;="&amp;AB1,'Expenditure Breakdown'!$H$6:$H$384, "&lt;"&amp;AC1)</f>
        <v>4360411.2369999997</v>
      </c>
      <c r="AC5" s="191">
        <f>SUMIFS('Expenditure Breakdown'!$G$6:$G$384, 'Expenditure Breakdown'!$H$6:$H$384, "&gt;="&amp;AC1,'Expenditure Breakdown'!$H$6:$H$384, "&lt;"&amp;AD1)</f>
        <v>120000</v>
      </c>
      <c r="AD5" s="191">
        <f>SUMIFS('Expenditure Breakdown'!$G$6:$G$384, 'Expenditure Breakdown'!$H$6:$H$384, "&gt;="&amp;AD1,'Expenditure Breakdown'!$H$6:$H$384, "&lt;"&amp;AE1)</f>
        <v>0</v>
      </c>
      <c r="AE5" s="191">
        <f>SUMIFS('Expenditure Breakdown'!$G$6:$G$384, 'Expenditure Breakdown'!$H$6:$H$384, "&gt;="&amp;AE1,'Expenditure Breakdown'!$H$6:$H$384, "&lt;"&amp;AF1)</f>
        <v>0</v>
      </c>
      <c r="AF5" s="191">
        <f>SUMIFS('Expenditure Breakdown'!$G$6:$G$384, 'Expenditure Breakdown'!$H$6:$H$384, "&gt;="&amp;AF1,'Expenditure Breakdown'!$H$6:$H$384, "&lt;"&amp;AG1)</f>
        <v>34000</v>
      </c>
      <c r="AG5" s="191">
        <f>SUMIFS('Expenditure Breakdown'!$G$6:$G$384, 'Expenditure Breakdown'!$H$6:$H$384, "&gt;="&amp;AG1,'Expenditure Breakdown'!$H$6:$H$384, "&lt;"&amp;AH1)</f>
        <v>7358785.9097348731</v>
      </c>
      <c r="AH5" s="191">
        <f>SUMIFS('Expenditure Breakdown'!$G$6:$G$384, 'Expenditure Breakdown'!$H$6:$H$384, "&gt;="&amp;AH1,'Expenditure Breakdown'!$H$6:$H$384, "&lt;"&amp;AI1)</f>
        <v>0</v>
      </c>
      <c r="AI5" s="191">
        <f>SUMIFS('Expenditure Breakdown'!$G$6:$G$384, 'Expenditure Breakdown'!$H$6:$H$384, "&gt;="&amp;AI1,'Expenditure Breakdown'!$H$6:$H$384, "&lt;"&amp;AJ1)</f>
        <v>0</v>
      </c>
      <c r="AJ5" s="191">
        <f>SUMIFS('Expenditure Breakdown'!$G$6:$G$384, 'Expenditure Breakdown'!$H$6:$H$384, "&gt;="&amp;AJ1,'Expenditure Breakdown'!$H$6:$H$384, "&lt;"&amp;AK1)</f>
        <v>0</v>
      </c>
      <c r="AK5" s="191">
        <f>SUMIFS('Expenditure Breakdown'!$G$6:$G$384, 'Expenditure Breakdown'!$H$6:$H$384, "&gt;="&amp;AK1,'Expenditure Breakdown'!$H$6:$H$384, "&lt;"&amp;AL1)</f>
        <v>2045000</v>
      </c>
      <c r="AL5" s="191">
        <f>SUMIFS('Expenditure Breakdown'!$G$6:$G$384, 'Expenditure Breakdown'!$H$6:$H$384, "&gt;="&amp;AL1,'Expenditure Breakdown'!$H$6:$H$384, "&lt;"&amp;AM1)</f>
        <v>10999808.9</v>
      </c>
      <c r="AM5" s="191">
        <f>SUMIFS('Expenditure Breakdown'!$G$6:$G$384, 'Expenditure Breakdown'!$H$6:$H$384, "&gt;="&amp;AM1,'Expenditure Breakdown'!$H$6:$H$384, "&lt;"&amp;AN1)</f>
        <v>0</v>
      </c>
      <c r="AN5" s="191">
        <f>SUMIFS('Expenditure Breakdown'!$G$6:$G$384, 'Expenditure Breakdown'!$H$6:$H$384, "&gt;="&amp;AN1,'Expenditure Breakdown'!$H$6:$H$384, "&lt;"&amp;AO1)</f>
        <v>0</v>
      </c>
      <c r="AO5" s="191">
        <f>SUMIFS('Expenditure Breakdown'!$G$6:$G$384, 'Expenditure Breakdown'!$H$6:$H$384, "&gt;="&amp;AO1,'Expenditure Breakdown'!$H$6:$H$384, "&lt;"&amp;AP1)</f>
        <v>394304.23333333328</v>
      </c>
      <c r="AP5" s="191">
        <f>SUMIFS('Expenditure Breakdown'!$G$6:$G$384, 'Expenditure Breakdown'!$H$6:$H$384, "&gt;="&amp;AP1,'Expenditure Breakdown'!$H$6:$H$384, "&lt;"&amp;AQ1)</f>
        <v>0</v>
      </c>
      <c r="AQ5" s="191">
        <f>SUMIFS('Expenditure Breakdown'!$G$6:$G$384, 'Expenditure Breakdown'!$H$6:$H$384, "&gt;="&amp;AQ1,'Expenditure Breakdown'!$H$6:$H$384, "&lt;"&amp;AR1)</f>
        <v>0</v>
      </c>
      <c r="AR5" s="191">
        <f>SUMIFS('Expenditure Breakdown'!$G$6:$G$384, 'Expenditure Breakdown'!$H$6:$H$384, "&gt;="&amp;AR1,'Expenditure Breakdown'!$H$6:$H$384, "&lt;"&amp;AS1)</f>
        <v>12030860.6085</v>
      </c>
      <c r="AS5" s="191">
        <f>SUMIFS('Expenditure Breakdown'!$G$6:$G$384, 'Expenditure Breakdown'!$H$6:$H$384, "&gt;="&amp;AS1,'Expenditure Breakdown'!$H$6:$H$384, "&lt;"&amp;AT1)</f>
        <v>0</v>
      </c>
      <c r="AT5" s="191">
        <f>SUMIFS('Expenditure Breakdown'!$G$6:$G$384, 'Expenditure Breakdown'!$H$6:$H$384, "&gt;="&amp;AT1,'Expenditure Breakdown'!$H$6:$H$384, "&lt;"&amp;AU1)</f>
        <v>0</v>
      </c>
      <c r="AU5" s="191">
        <f>SUMIFS('Expenditure Breakdown'!$G$6:$G$384, 'Expenditure Breakdown'!$H$6:$H$384, "&gt;="&amp;AU1,'Expenditure Breakdown'!$H$6:$H$384, "&lt;"&amp;AV1)</f>
        <v>0</v>
      </c>
      <c r="AV5" s="191">
        <f>SUMIFS('Expenditure Breakdown'!$G$6:$G$384, 'Expenditure Breakdown'!$H$6:$H$384, "&gt;="&amp;AV1,'Expenditure Breakdown'!$H$6:$H$384, "&lt;"&amp;AW1)</f>
        <v>0</v>
      </c>
      <c r="AW5" s="191">
        <f>SUMIFS('Expenditure Breakdown'!$G$6:$G$384, 'Expenditure Breakdown'!$H$6:$H$384, "&gt;="&amp;AW1,'Expenditure Breakdown'!$H$6:$H$384, "&lt;"&amp;AX1)</f>
        <v>0</v>
      </c>
      <c r="AX5" s="191">
        <f>SUMIFS('Expenditure Breakdown'!$G$6:$G$384, 'Expenditure Breakdown'!$H$6:$H$384, "&gt;="&amp;AX1,'Expenditure Breakdown'!$H$6:$H$384, "&lt;"&amp;AY1)</f>
        <v>505449.89057158865</v>
      </c>
      <c r="AY5" s="191">
        <f>SUMIFS('Expenditure Breakdown'!$G$6:$G$384, 'Expenditure Breakdown'!$H$6:$H$384, "&gt;="&amp;AY1,'Expenditure Breakdown'!$H$6:$H$384, "&lt;"&amp;AZ1)</f>
        <v>0</v>
      </c>
      <c r="AZ5" s="191">
        <f>SUMIFS('Expenditure Breakdown'!$G$6:$G$384, 'Expenditure Breakdown'!$H$6:$H$384, "&gt;="&amp;AZ1,'Expenditure Breakdown'!$H$6:$H$384, "&lt;"&amp;BA1)</f>
        <v>0</v>
      </c>
      <c r="BA5" s="191">
        <f>SUMIFS('Expenditure Breakdown'!$G$6:$G$384, 'Expenditure Breakdown'!$H$6:$H$384, "&gt;="&amp;BA1,'Expenditure Breakdown'!$H$6:$H$384, "&lt;"&amp;BB1)</f>
        <v>0</v>
      </c>
      <c r="BB5" s="191">
        <f>SUMIFS('Expenditure Breakdown'!$G$6:$G$384, 'Expenditure Breakdown'!$H$6:$H$384, "&gt;="&amp;BB1,'Expenditure Breakdown'!$H$6:$H$384, "&lt;"&amp;BC1)</f>
        <v>0</v>
      </c>
      <c r="BC5" s="191">
        <f>SUMIFS('Expenditure Breakdown'!$G$6:$G$384, 'Expenditure Breakdown'!$H$6:$H$384, "&gt;="&amp;BC1,'Expenditure Breakdown'!$H$6:$H$384, "&lt;"&amp;BD1)</f>
        <v>950000</v>
      </c>
      <c r="BD5" s="191">
        <f>SUMIFS('Expenditure Breakdown'!$G$6:$G$384, 'Expenditure Breakdown'!$H$6:$H$384, "&gt;="&amp;BD1,'Expenditure Breakdown'!$H$6:$H$384, "&lt;"&amp;BE1)</f>
        <v>0</v>
      </c>
      <c r="BE5" s="191">
        <f>SUMIFS('Expenditure Breakdown'!$G$6:$G$384, 'Expenditure Breakdown'!$H$6:$H$384, "&gt;="&amp;BE1,'Expenditure Breakdown'!$H$6:$H$384, "&lt;"&amp;BF1)</f>
        <v>0</v>
      </c>
      <c r="BF5" s="191">
        <f>SUMIFS('Expenditure Breakdown'!$G$6:$G$384, 'Expenditure Breakdown'!$H$6:$H$384, "&gt;="&amp;BF1,'Expenditure Breakdown'!$H$6:$H$384, "&lt;"&amp;BG1)</f>
        <v>0</v>
      </c>
      <c r="BG5" s="191">
        <f>SUMIFS('Expenditure Breakdown'!$G$6:$G$384, 'Expenditure Breakdown'!$H$6:$H$384, "&gt;="&amp;BG1,'Expenditure Breakdown'!$H$6:$H$384, "&lt;"&amp;BH1)</f>
        <v>0</v>
      </c>
      <c r="BH5" s="191">
        <f>SUMIFS('Expenditure Breakdown'!$G$6:$G$384, 'Expenditure Breakdown'!$H$6:$H$384, "&gt;="&amp;BH1,'Expenditure Breakdown'!$H$6:$H$384, "&lt;"&amp;BI1)</f>
        <v>0</v>
      </c>
      <c r="BI5" s="191">
        <f>SUMIFS('Expenditure Breakdown'!$G$6:$G$384, 'Expenditure Breakdown'!$H$6:$H$384, "&gt;="&amp;BI1,'Expenditure Breakdown'!$H$6:$H$384, "&lt;"&amp;BJ1)</f>
        <v>0</v>
      </c>
      <c r="BJ5" s="191">
        <f>SUMIFS('Expenditure Breakdown'!$G$6:$G$384, 'Expenditure Breakdown'!$H$6:$H$384, "&gt;="&amp;BJ1,'Expenditure Breakdown'!$H$6:$H$384, "&lt;"&amp;BK1)</f>
        <v>0</v>
      </c>
      <c r="BK5" s="191">
        <f>SUMIFS('Expenditure Breakdown'!$G$6:$G$384, 'Expenditure Breakdown'!$H$6:$H$384, "&gt;="&amp;BK1,'Expenditure Breakdown'!$H$6:$H$384, "&lt;"&amp;BL1)</f>
        <v>0</v>
      </c>
      <c r="BL5" s="191">
        <f>SUMIFS('Expenditure Breakdown'!$G$6:$G$384, 'Expenditure Breakdown'!$H$6:$H$384, "&gt;="&amp;BL1,'Expenditure Breakdown'!$H$6:$H$384, "&lt;"&amp;BM1)</f>
        <v>0</v>
      </c>
      <c r="BM5" s="191">
        <f>SUMIFS('Expenditure Breakdown'!$G$6:$G$384, 'Expenditure Breakdown'!$H$6:$H$384, "&gt;="&amp;BM1,'Expenditure Breakdown'!$H$6:$H$384, "&lt;"&amp;BN1)</f>
        <v>0</v>
      </c>
      <c r="BN5" s="191">
        <f>SUMIFS('Expenditure Breakdown'!$G$6:$G$384, 'Expenditure Breakdown'!$H$6:$H$384, "&gt;="&amp;BN1,'Expenditure Breakdown'!$H$6:$H$384, "&lt;"&amp;BO1)</f>
        <v>0</v>
      </c>
      <c r="BO5" s="191">
        <f>SUMIFS('Expenditure Breakdown'!$G$6:$G$384, 'Expenditure Breakdown'!$H$6:$H$384, "&gt;="&amp;BO1,'Expenditure Breakdown'!$H$6:$H$384, "&lt;"&amp;BP1)</f>
        <v>0</v>
      </c>
      <c r="BP5" s="191">
        <f>SUMIFS('Expenditure Breakdown'!$G$6:$G$384, 'Expenditure Breakdown'!$H$6:$H$384, "&gt;="&amp;BP1,'Expenditure Breakdown'!$H$6:$H$384, "&lt;"&amp;BQ1)</f>
        <v>0</v>
      </c>
      <c r="BQ5" s="191">
        <f>SUMIFS('Expenditure Breakdown'!$G$6:$G$384, 'Expenditure Breakdown'!$H$6:$H$384, "&gt;="&amp;BQ1,'Expenditure Breakdown'!$H$6:$H$384, "&lt;"&amp;BR1)</f>
        <v>0</v>
      </c>
      <c r="BR5" s="191">
        <f>SUMIFS('Expenditure Breakdown'!$G$6:$G$384, 'Expenditure Breakdown'!$H$6:$H$384, "&gt;="&amp;BR1,'Expenditure Breakdown'!$H$6:$H$384, "&lt;"&amp;BS1)</f>
        <v>0</v>
      </c>
      <c r="BS5" s="191">
        <f>SUMIFS('Expenditure Breakdown'!$G$6:$G$384, 'Expenditure Breakdown'!$H$6:$H$384, "&gt;="&amp;BS1,'Expenditure Breakdown'!$H$6:$H$384, "&lt;"&amp;BT1)</f>
        <v>0</v>
      </c>
      <c r="BT5" s="191">
        <f>SUMIFS('Expenditure Breakdown'!$G$6:$G$384, 'Expenditure Breakdown'!$H$6:$H$384, "&gt;="&amp;BT1,'Expenditure Breakdown'!$H$6:$H$384, "&lt;"&amp;BU1)</f>
        <v>0</v>
      </c>
      <c r="BU5" s="191">
        <f>SUMIFS('Expenditure Breakdown'!$G$6:$G$384, 'Expenditure Breakdown'!$H$6:$H$384, "&gt;="&amp;BU1,'Expenditure Breakdown'!$H$6:$H$384, "&lt;"&amp;BV1)</f>
        <v>0</v>
      </c>
      <c r="BV5" s="191">
        <f>SUMIFS('Expenditure Breakdown'!$G$6:$G$384, 'Expenditure Breakdown'!$H$6:$H$384, "&gt;="&amp;BV1,'Expenditure Breakdown'!$H$6:$H$384, "&lt;"&amp;BW1)</f>
        <v>0</v>
      </c>
      <c r="BW5" s="191">
        <f>SUMIFS('Expenditure Breakdown'!$G$6:$G$384, 'Expenditure Breakdown'!$H$6:$H$384, "&gt;="&amp;BW1,'Expenditure Breakdown'!$H$6:$H$384, "&lt;"&amp;BX1)</f>
        <v>0</v>
      </c>
      <c r="BX5" s="191">
        <f>SUMIFS('Expenditure Breakdown'!$G$6:$G$384, 'Expenditure Breakdown'!$H$6:$H$384, "&gt;="&amp;BX1,'Expenditure Breakdown'!$H$6:$H$384, "&lt;"&amp;BY1)</f>
        <v>0</v>
      </c>
      <c r="BY5" s="191">
        <f>SUMIFS('Expenditure Breakdown'!$G$6:$G$384, 'Expenditure Breakdown'!$H$6:$H$384, "&gt;="&amp;BY1,'Expenditure Breakdown'!$H$6:$H$384, "&lt;"&amp;BZ1)</f>
        <v>0</v>
      </c>
      <c r="BZ5" s="191">
        <f>SUMIFS('Expenditure Breakdown'!$G$6:$G$384, 'Expenditure Breakdown'!$H$6:$H$384, "&gt;="&amp;BZ1,'Expenditure Breakdown'!$H$6:$H$384, "&lt;"&amp;CA1)</f>
        <v>0</v>
      </c>
      <c r="CA5" s="191">
        <f>SUMIFS('Expenditure Breakdown'!$G$6:$G$384, 'Expenditure Breakdown'!$H$6:$H$384, "&gt;="&amp;CA1,'Expenditure Breakdown'!$H$6:$H$384, "&lt;"&amp;CB1)</f>
        <v>0</v>
      </c>
      <c r="CB5" s="191">
        <f>SUMIFS('Expenditure Breakdown'!$G$6:$G$384, 'Expenditure Breakdown'!$H$6:$H$384, "&gt;="&amp;CB1,'Expenditure Breakdown'!$H$6:$H$384, "&lt;"&amp;CC1)</f>
        <v>0</v>
      </c>
      <c r="CC5" s="191">
        <f>SUMIFS('Expenditure Breakdown'!$G$6:$G$384, 'Expenditure Breakdown'!$H$6:$H$384, "&gt;="&amp;CC1,'Expenditure Breakdown'!$H$6:$H$384, "&lt;"&amp;CD1)</f>
        <v>0</v>
      </c>
      <c r="CD5" s="191">
        <f>SUMIFS('Expenditure Breakdown'!$G$6:$G$384, 'Expenditure Breakdown'!$H$6:$H$384, "&gt;="&amp;CD1,'Expenditure Breakdown'!$H$6:$H$384, "&lt;"&amp;CE1)</f>
        <v>0</v>
      </c>
      <c r="CE5" s="191">
        <f>SUMIFS('Expenditure Breakdown'!$G$6:$G$384, 'Expenditure Breakdown'!$H$6:$H$384, "&gt;="&amp;CE1,'Expenditure Breakdown'!$H$6:$H$384, "&lt;"&amp;CF1)</f>
        <v>0</v>
      </c>
      <c r="CF5" s="191">
        <f>SUMIFS('Expenditure Breakdown'!$G$6:$G$384, 'Expenditure Breakdown'!$H$6:$H$384, "&gt;="&amp;CF1,'Expenditure Breakdown'!$H$6:$H$384, "&lt;"&amp;CG1)</f>
        <v>0</v>
      </c>
      <c r="CG5" s="191">
        <f>SUMIFS('Expenditure Breakdown'!$G$6:$G$384, 'Expenditure Breakdown'!$H$6:$H$384, "&gt;="&amp;CG1,'Expenditure Breakdown'!$H$6:$H$384, "&lt;"&amp;CH1)</f>
        <v>0</v>
      </c>
      <c r="CH5" s="191">
        <f>SUMIFS('Expenditure Breakdown'!$G$6:$G$384, 'Expenditure Breakdown'!$H$6:$H$384, "&gt;="&amp;CH1,'Expenditure Breakdown'!$H$6:$H$384, "&lt;"&amp;CI1)</f>
        <v>0</v>
      </c>
      <c r="CI5" s="191">
        <f>SUMIFS('Expenditure Breakdown'!$G$6:$G$384, 'Expenditure Breakdown'!$H$6:$H$384, "&gt;="&amp;CI1,'Expenditure Breakdown'!$H$6:$H$384, "&lt;"&amp;CJ1)</f>
        <v>0</v>
      </c>
      <c r="CJ5" s="191">
        <f>SUMIFS('Expenditure Breakdown'!$G$6:$G$384, 'Expenditure Breakdown'!$H$6:$H$384, "&gt;="&amp;CJ1,'Expenditure Breakdown'!$H$6:$H$384, "&lt;"&amp;CK1)</f>
        <v>0</v>
      </c>
      <c r="CK5" s="191">
        <f>SUMIFS('Expenditure Breakdown'!$G$6:$G$384, 'Expenditure Breakdown'!$H$6:$H$384, "&gt;="&amp;CK1,'Expenditure Breakdown'!$H$6:$H$384, "&lt;"&amp;CL1)</f>
        <v>0</v>
      </c>
      <c r="CL5" s="191">
        <f>SUMIFS('Expenditure Breakdown'!$G$6:$G$384, 'Expenditure Breakdown'!$H$6:$H$384, "&gt;="&amp;CL1,'Expenditure Breakdown'!$H$6:$H$384, "&lt;"&amp;CM1)</f>
        <v>0</v>
      </c>
      <c r="CM5" s="191">
        <f>SUMIFS('Expenditure Breakdown'!$G$6:$G$384, 'Expenditure Breakdown'!$H$6:$H$384, "&gt;="&amp;CM1,'Expenditure Breakdown'!$H$6:$H$384, "&lt;"&amp;CN1)</f>
        <v>0</v>
      </c>
      <c r="CN5" s="191">
        <f>SUMIFS('Expenditure Breakdown'!$G$6:$G$384, 'Expenditure Breakdown'!$H$6:$H$384, "&gt;="&amp;CN1,'Expenditure Breakdown'!$H$6:$H$384, "&lt;"&amp;CO1)</f>
        <v>0</v>
      </c>
      <c r="CO5" s="191">
        <f>SUMIFS('Expenditure Breakdown'!$G$6:$G$384, 'Expenditure Breakdown'!$H$6:$H$384, "&gt;="&amp;CO1,'Expenditure Breakdown'!$H$6:$H$384, "&lt;"&amp;CP1)</f>
        <v>0</v>
      </c>
      <c r="CP5" s="191">
        <f>SUMIFS('Expenditure Breakdown'!$G$6:$G$384, 'Expenditure Breakdown'!$H$6:$H$384, "&gt;="&amp;CP1,'Expenditure Breakdown'!$H$6:$H$384, "&lt;"&amp;CQ1)</f>
        <v>0</v>
      </c>
      <c r="CQ5" s="191">
        <f>SUMIFS('Expenditure Breakdown'!$G$6:$G$384, 'Expenditure Breakdown'!$H$6:$H$384, "&gt;="&amp;CQ1,'Expenditure Breakdown'!$H$6:$H$384, "&lt;"&amp;CR1)</f>
        <v>0</v>
      </c>
      <c r="CR5" s="191">
        <f>SUMIFS('Expenditure Breakdown'!$G$6:$G$384, 'Expenditure Breakdown'!$H$6:$H$384, "&gt;="&amp;CR1,'Expenditure Breakdown'!$H$6:$H$384, "&lt;"&amp;CS1)</f>
        <v>0</v>
      </c>
      <c r="CS5" s="191">
        <f>SUMIFS('Expenditure Breakdown'!$G$6:$G$384, 'Expenditure Breakdown'!$H$6:$H$384, "&gt;="&amp;CS1,'Expenditure Breakdown'!$H$6:$H$384, "&lt;"&amp;CT1)</f>
        <v>0</v>
      </c>
      <c r="CT5" s="191">
        <f>SUMIFS('Expenditure Breakdown'!$G$6:$G$384, 'Expenditure Breakdown'!$H$6:$H$384, "&gt;="&amp;CT1,'Expenditure Breakdown'!$H$6:$H$384, "&lt;"&amp;CU1)</f>
        <v>0</v>
      </c>
      <c r="CU5" s="191">
        <f>SUMIFS('Expenditure Breakdown'!$G$6:$G$384, 'Expenditure Breakdown'!$H$6:$H$384, "&gt;="&amp;CU1,'Expenditure Breakdown'!$H$6:$H$384, "&lt;"&amp;CV1)</f>
        <v>0</v>
      </c>
      <c r="CV5" s="191">
        <f>SUMIFS('Expenditure Breakdown'!$G$6:$G$384, 'Expenditure Breakdown'!$H$6:$H$384, "&gt;="&amp;CV1,'Expenditure Breakdown'!$H$6:$H$384, "&lt;"&amp;CW1)</f>
        <v>0</v>
      </c>
      <c r="CW5" s="191">
        <f>SUMIFS('Expenditure Breakdown'!$G$6:$G$384, 'Expenditure Breakdown'!$H$6:$H$384, "&gt;="&amp;CW1,'Expenditure Breakdown'!$H$6:$H$384, "&lt;"&amp;CX1)</f>
        <v>0</v>
      </c>
      <c r="CX5" s="191">
        <f>SUMIFS('Expenditure Breakdown'!$G$6:$G$384, 'Expenditure Breakdown'!$H$6:$H$384, "&gt;="&amp;CX1,'Expenditure Breakdown'!$H$6:$H$384, "&lt;"&amp;CY1)</f>
        <v>0</v>
      </c>
      <c r="CY5" s="191">
        <f>SUMIFS('Expenditure Breakdown'!$G$6:$G$384, 'Expenditure Breakdown'!$H$6:$H$384, "&gt;="&amp;CY1,'Expenditure Breakdown'!$H$6:$H$384, "&lt;"&amp;CZ1)</f>
        <v>0</v>
      </c>
      <c r="CZ5" s="191">
        <f>SUMIFS('Expenditure Breakdown'!$G$6:$G$384, 'Expenditure Breakdown'!$H$6:$H$384, "&gt;="&amp;CZ1,'Expenditure Breakdown'!$H$6:$H$384, "&lt;"&amp;DA1)</f>
        <v>0</v>
      </c>
      <c r="DA5" s="191">
        <f>SUMIFS('Expenditure Breakdown'!$G$6:$G$384, 'Expenditure Breakdown'!$H$6:$H$384, "&gt;="&amp;DA1,'Expenditure Breakdown'!$H$6:$H$384, "&lt;"&amp;DB1)</f>
        <v>0</v>
      </c>
      <c r="DB5" s="191">
        <f>SUMIFS('Expenditure Breakdown'!$G$6:$G$384, 'Expenditure Breakdown'!$H$6:$H$384, "&gt;="&amp;DB1,'Expenditure Breakdown'!$H$6:$H$384, "&lt;"&amp;DC1)</f>
        <v>0</v>
      </c>
      <c r="DC5" s="191">
        <f>SUMIFS('Expenditure Breakdown'!$G$6:$G$384, 'Expenditure Breakdown'!$H$6:$H$384, "&gt;="&amp;DC1,'Expenditure Breakdown'!$H$6:$H$384, "&lt;"&amp;DD1)</f>
        <v>0</v>
      </c>
      <c r="DD5" s="191">
        <f>SUMIFS('Expenditure Breakdown'!$G$6:$G$384, 'Expenditure Breakdown'!$H$6:$H$384, "&gt;="&amp;DD1,'Expenditure Breakdown'!$H$6:$H$384, "&lt;"&amp;DE1)</f>
        <v>0</v>
      </c>
      <c r="DE5" s="191">
        <f>SUMIFS('Expenditure Breakdown'!$G$6:$G$384, 'Expenditure Breakdown'!$H$6:$H$384, "&gt;="&amp;DE1,'Expenditure Breakdown'!$H$6:$H$384, "&lt;"&amp;DF1)</f>
        <v>0</v>
      </c>
      <c r="DF5" s="191">
        <f>SUMIFS('Expenditure Breakdown'!$G$6:$G$384, 'Expenditure Breakdown'!$H$6:$H$384, "&gt;="&amp;DF1,'Expenditure Breakdown'!$H$6:$H$384, "&lt;"&amp;DG1)</f>
        <v>0</v>
      </c>
      <c r="DG5" s="191">
        <f>SUMIFS('Expenditure Breakdown'!$G$6:$G$384, 'Expenditure Breakdown'!$H$6:$H$384, "&gt;="&amp;DG1,'Expenditure Breakdown'!$H$6:$H$384, "&lt;"&amp;DH1)</f>
        <v>0</v>
      </c>
      <c r="DH5" s="191">
        <f>SUMIFS('Expenditure Breakdown'!$G$6:$G$384, 'Expenditure Breakdown'!$H$6:$H$384, "&gt;="&amp;DH1,'Expenditure Breakdown'!$H$6:$H$384, "&lt;"&amp;DI1)</f>
        <v>0</v>
      </c>
      <c r="DI5" s="191">
        <f>SUMIFS('Expenditure Breakdown'!$G$6:$G$384, 'Expenditure Breakdown'!$H$6:$H$384, "&gt;="&amp;DI1,'Expenditure Breakdown'!$H$6:$H$384, "&lt;"&amp;DJ1)</f>
        <v>0</v>
      </c>
      <c r="DJ5" s="191">
        <f>SUMIFS('Expenditure Breakdown'!$G$6:$G$384, 'Expenditure Breakdown'!$H$6:$H$384, "&gt;="&amp;DJ1,'Expenditure Breakdown'!$H$6:$H$384, "&lt;"&amp;DK1)</f>
        <v>0</v>
      </c>
      <c r="DK5" s="191">
        <f>SUMIFS('Expenditure Breakdown'!$G$6:$G$384, 'Expenditure Breakdown'!$H$6:$H$384, "&gt;="&amp;DK1,'Expenditure Breakdown'!$H$6:$H$384, "&lt;"&amp;DL1)</f>
        <v>0</v>
      </c>
      <c r="DL5" s="191">
        <f>SUMIFS('Expenditure Breakdown'!$G$6:$G$384, 'Expenditure Breakdown'!$H$6:$H$384, "&gt;="&amp;DL1,'Expenditure Breakdown'!$H$6:$H$384, "&lt;"&amp;DM1)</f>
        <v>0</v>
      </c>
      <c r="DM5" s="191">
        <f>SUMIFS('Expenditure Breakdown'!$G$6:$G$384, 'Expenditure Breakdown'!$H$6:$H$384, "&gt;="&amp;DM1,'Expenditure Breakdown'!$H$6:$H$384, "&lt;"&amp;DN1)</f>
        <v>0</v>
      </c>
      <c r="DN5" s="191">
        <f>SUMIFS('Expenditure Breakdown'!$G$6:$G$384, 'Expenditure Breakdown'!$H$6:$H$384, "&gt;="&amp;DN1,'Expenditure Breakdown'!$H$6:$H$384, "&lt;"&amp;DO1)</f>
        <v>0</v>
      </c>
      <c r="DO5" s="191">
        <f>SUMIFS('Expenditure Breakdown'!$G$6:$G$384, 'Expenditure Breakdown'!$H$6:$H$384, "&gt;="&amp;DO1,'Expenditure Breakdown'!$H$6:$H$384, "&lt;"&amp;DP1)</f>
        <v>0</v>
      </c>
      <c r="DP5" s="191">
        <f>SUMIFS('Expenditure Breakdown'!$G$6:$G$384, 'Expenditure Breakdown'!$H$6:$H$384, "&gt;="&amp;DP1,'Expenditure Breakdown'!$H$6:$H$384, "&lt;"&amp;DQ1)</f>
        <v>0</v>
      </c>
      <c r="DQ5" s="191">
        <f>SUMIFS('Expenditure Breakdown'!$G$6:$G$384, 'Expenditure Breakdown'!$H$6:$H$384, "&gt;="&amp;DQ1,'Expenditure Breakdown'!$H$6:$H$384, "&lt;"&amp;DR1)</f>
        <v>0</v>
      </c>
      <c r="DR5" s="191">
        <f>SUMIFS('Expenditure Breakdown'!$G$6:$G$384, 'Expenditure Breakdown'!$H$6:$H$384, "&gt;="&amp;DR1,'Expenditure Breakdown'!$H$6:$H$384, "&lt;"&amp;DS1)</f>
        <v>0</v>
      </c>
      <c r="DS5" s="191">
        <f>SUMIFS('Expenditure Breakdown'!$G$6:$G$384, 'Expenditure Breakdown'!$H$6:$H$384, "&gt;="&amp;DS1,'Expenditure Breakdown'!$H$6:$H$384, "&lt;"&amp;DT1)</f>
        <v>0</v>
      </c>
      <c r="DT5" s="191">
        <f>SUMIFS('Expenditure Breakdown'!$G$6:$G$384, 'Expenditure Breakdown'!$H$6:$H$384, "&gt;="&amp;DT1,'Expenditure Breakdown'!$H$6:$H$384, "&lt;"&amp;DU1)</f>
        <v>0</v>
      </c>
      <c r="DU5" s="191">
        <f>SUMIFS('Expenditure Breakdown'!$G$6:$G$384, 'Expenditure Breakdown'!$H$6:$H$384, "&gt;="&amp;DU1,'Expenditure Breakdown'!$H$6:$H$384, "&lt;"&amp;DV1)</f>
        <v>0</v>
      </c>
      <c r="DV5" s="191">
        <f>SUMIFS('Expenditure Breakdown'!$G$6:$G$384, 'Expenditure Breakdown'!$H$6:$H$384, "&gt;="&amp;DV1,'Expenditure Breakdown'!$H$6:$H$384, "&lt;"&amp;DW1)</f>
        <v>0</v>
      </c>
      <c r="DW5" s="191">
        <f>SUMIFS('Expenditure Breakdown'!$G$6:$G$384, 'Expenditure Breakdown'!$H$6:$H$384, "&gt;="&amp;DW1,'Expenditure Breakdown'!$H$6:$H$384, "&lt;"&amp;DX1)</f>
        <v>0</v>
      </c>
      <c r="DX5" s="191">
        <f>SUMIFS('Expenditure Breakdown'!$G$6:$G$384, 'Expenditure Breakdown'!$H$6:$H$384, "&gt;="&amp;DX1,'Expenditure Breakdown'!$H$6:$H$384, "&lt;"&amp;DY1)</f>
        <v>0</v>
      </c>
      <c r="DY5" s="191">
        <f>SUMIFS('Expenditure Breakdown'!$G$6:$G$384, 'Expenditure Breakdown'!$H$6:$H$384, "&gt;="&amp;DY1,'Expenditure Breakdown'!$H$6:$H$384, "&lt;"&amp;DZ1)</f>
        <v>0</v>
      </c>
      <c r="DZ5" s="191">
        <f>SUMIFS('Expenditure Breakdown'!$G$6:$G$384, 'Expenditure Breakdown'!$H$6:$H$384, "&gt;="&amp;DZ1,'Expenditure Breakdown'!$H$6:$H$384, "&lt;"&amp;EA1)</f>
        <v>0</v>
      </c>
      <c r="EA5" s="191">
        <f>SUMIFS('Expenditure Breakdown'!$G$6:$G$384, 'Expenditure Breakdown'!$H$6:$H$384, "&gt;="&amp;EA1,'Expenditure Breakdown'!$H$6:$H$384, "&lt;"&amp;EB1)</f>
        <v>0</v>
      </c>
      <c r="EB5" s="191">
        <f>SUMIFS('Expenditure Breakdown'!$G$6:$G$384, 'Expenditure Breakdown'!$H$6:$H$384, "&gt;="&amp;EB1,'Expenditure Breakdown'!$H$6:$H$384, "&lt;"&amp;EC1)</f>
        <v>0</v>
      </c>
      <c r="EC5" s="191">
        <f>SUMIFS('Expenditure Breakdown'!$G$6:$G$384, 'Expenditure Breakdown'!$H$6:$H$384, "&gt;="&amp;EC1,'Expenditure Breakdown'!$H$6:$H$384, "&lt;"&amp;ED1)</f>
        <v>0</v>
      </c>
      <c r="ED5" s="191">
        <f>SUMIFS('Expenditure Breakdown'!$G$6:$G$384, 'Expenditure Breakdown'!$H$6:$H$384, "&gt;="&amp;ED1,'Expenditure Breakdown'!$H$6:$H$384, "&lt;"&amp;EE1)</f>
        <v>0</v>
      </c>
      <c r="EE5" s="191">
        <f>SUMIFS('Expenditure Breakdown'!$G$6:$G$384, 'Expenditure Breakdown'!$H$6:$H$384, "&gt;="&amp;EE1,'Expenditure Breakdown'!$H$6:$H$384, "&lt;"&amp;EF1)</f>
        <v>0</v>
      </c>
      <c r="EF5" s="191">
        <f>SUMIFS('Expenditure Breakdown'!$G$6:$G$384, 'Expenditure Breakdown'!$H$6:$H$384, "&gt;="&amp;EF1,'Expenditure Breakdown'!$H$6:$H$384, "&lt;"&amp;EG1)</f>
        <v>0</v>
      </c>
      <c r="EG5" s="191">
        <f>SUMIFS('Expenditure Breakdown'!$G$6:$G$384, 'Expenditure Breakdown'!$H$6:$H$384, "&gt;="&amp;EG1,'Expenditure Breakdown'!$H$6:$H$384, "&lt;"&amp;EH1)</f>
        <v>0</v>
      </c>
      <c r="EH5" s="191">
        <f>SUMIFS('Expenditure Breakdown'!$G$6:$G$384, 'Expenditure Breakdown'!$H$6:$H$384, "&gt;="&amp;EH1,'Expenditure Breakdown'!$H$6:$H$384, "&lt;"&amp;EI1)</f>
        <v>0</v>
      </c>
      <c r="EI5" s="191">
        <f>SUMIFS('Expenditure Breakdown'!$G$6:$G$384, 'Expenditure Breakdown'!$H$6:$H$384, "&gt;="&amp;EI1,'Expenditure Breakdown'!$H$6:$H$384, "&lt;"&amp;EJ1)</f>
        <v>0</v>
      </c>
      <c r="EJ5" s="191">
        <f>SUMIFS('Expenditure Breakdown'!$G$6:$G$384, 'Expenditure Breakdown'!$H$6:$H$384, "&gt;="&amp;EJ1,'Expenditure Breakdown'!$H$6:$H$384, "&lt;"&amp;EK1)</f>
        <v>0</v>
      </c>
      <c r="EK5" s="191">
        <f>SUMIFS('Expenditure Breakdown'!$G$6:$G$384, 'Expenditure Breakdown'!$H$6:$H$384, "&gt;="&amp;EK1,'Expenditure Breakdown'!$H$6:$H$384, "&lt;"&amp;EL1)</f>
        <v>0</v>
      </c>
      <c r="EL5" s="191">
        <f>SUMIFS('Expenditure Breakdown'!$G$6:$G$384, 'Expenditure Breakdown'!$H$6:$H$384, "&gt;="&amp;EL1,'Expenditure Breakdown'!$H$6:$H$384, "&lt;"&amp;EM1)</f>
        <v>0</v>
      </c>
      <c r="EM5" s="191">
        <f>SUMIFS('Expenditure Breakdown'!$G$6:$G$384, 'Expenditure Breakdown'!$H$6:$H$384, "&gt;="&amp;EM1,'Expenditure Breakdown'!$H$6:$H$384, "&lt;"&amp;EN1)</f>
        <v>0</v>
      </c>
      <c r="EN5" s="191">
        <f>SUMIFS('Expenditure Breakdown'!$G$6:$G$384, 'Expenditure Breakdown'!$H$6:$H$384, "&gt;="&amp;EN1,'Expenditure Breakdown'!$H$6:$H$384, "&lt;"&amp;EO1)</f>
        <v>0</v>
      </c>
      <c r="EO5" s="191">
        <f>SUMIFS('Expenditure Breakdown'!$G$6:$G$384, 'Expenditure Breakdown'!$H$6:$H$384, "&gt;="&amp;EO1,'Expenditure Breakdown'!$H$6:$H$384, "&lt;"&amp;EP1)</f>
        <v>0</v>
      </c>
      <c r="EP5" s="191">
        <f>SUMIFS('Expenditure Breakdown'!$G$6:$G$384, 'Expenditure Breakdown'!$H$6:$H$384, "&gt;="&amp;EP1,'Expenditure Breakdown'!$H$6:$H$384, "&lt;"&amp;EQ1)</f>
        <v>0</v>
      </c>
      <c r="EQ5" s="191">
        <f>SUMIFS('Expenditure Breakdown'!$G$6:$G$384, 'Expenditure Breakdown'!$H$6:$H$384, "&gt;="&amp;EQ1,'Expenditure Breakdown'!$H$6:$H$384, "&lt;"&amp;ER1)</f>
        <v>0</v>
      </c>
      <c r="ER5" s="191">
        <f>SUMIFS('Expenditure Breakdown'!$G$6:$G$384, 'Expenditure Breakdown'!$H$6:$H$384, "&gt;="&amp;ER1,'Expenditure Breakdown'!$H$6:$H$384, "&lt;"&amp;ES1)</f>
        <v>0</v>
      </c>
      <c r="ES5" s="191">
        <f>SUMIFS('Expenditure Breakdown'!$G$6:$G$384, 'Expenditure Breakdown'!$H$6:$H$384, "&gt;="&amp;ES1,'Expenditure Breakdown'!$H$6:$H$384, "&lt;"&amp;ET1)</f>
        <v>0</v>
      </c>
      <c r="ET5" s="191">
        <f>SUMIFS('Expenditure Breakdown'!$G$6:$G$384, 'Expenditure Breakdown'!$H$6:$H$384, "&gt;="&amp;ET1,'Expenditure Breakdown'!$H$6:$H$384, "&lt;"&amp;EU1)</f>
        <v>0</v>
      </c>
      <c r="EU5" s="191">
        <f>SUMIFS('Expenditure Breakdown'!$G$6:$G$384, 'Expenditure Breakdown'!$H$6:$H$384, "&gt;="&amp;EU1,'Expenditure Breakdown'!$H$6:$H$384, "&lt;"&amp;EV1)</f>
        <v>0</v>
      </c>
      <c r="EV5" s="191">
        <f>SUMIFS('Expenditure Breakdown'!$G$6:$G$384, 'Expenditure Breakdown'!$H$6:$H$384, "&gt;="&amp;EV1,'Expenditure Breakdown'!$H$6:$H$384, "&lt;"&amp;EW1)</f>
        <v>0</v>
      </c>
      <c r="EW5" s="191">
        <f>SUMIFS('Expenditure Breakdown'!$G$6:$G$384, 'Expenditure Breakdown'!$H$6:$H$384, "&gt;="&amp;EW1,'Expenditure Breakdown'!$H$6:$H$384, "&lt;"&amp;EX1)</f>
        <v>0</v>
      </c>
      <c r="EX5" s="191">
        <f>SUMIFS('Expenditure Breakdown'!$G$6:$G$384, 'Expenditure Breakdown'!$H$6:$H$384, "&gt;="&amp;EX1,'Expenditure Breakdown'!$H$6:$H$384, "&lt;"&amp;EY1)</f>
        <v>0</v>
      </c>
      <c r="EY5" s="191">
        <f>SUMIFS('Expenditure Breakdown'!$G$6:$G$384, 'Expenditure Breakdown'!$H$6:$H$384, "&gt;="&amp;EY1,'Expenditure Breakdown'!$H$6:$H$384, "&lt;"&amp;EZ1)</f>
        <v>0</v>
      </c>
      <c r="EZ5" s="191">
        <f>SUMIFS('Expenditure Breakdown'!$G$6:$G$384, 'Expenditure Breakdown'!$H$6:$H$384, "&gt;="&amp;EZ1,'Expenditure Breakdown'!$H$6:$H$384, "&lt;"&amp;FA1)</f>
        <v>0</v>
      </c>
      <c r="FA5" s="191">
        <f>SUMIFS('Expenditure Breakdown'!$G$6:$G$384, 'Expenditure Breakdown'!$H$6:$H$384, "&gt;="&amp;FA1,'Expenditure Breakdown'!$H$6:$H$384, "&lt;"&amp;FB1)</f>
        <v>0</v>
      </c>
      <c r="FB5" s="191">
        <f>SUMIFS('Expenditure Breakdown'!$G$6:$G$384, 'Expenditure Breakdown'!$H$6:$H$384, "&gt;="&amp;FB1,'Expenditure Breakdown'!$H$6:$H$384, "&lt;"&amp;FC1)</f>
        <v>0</v>
      </c>
      <c r="FC5" s="191">
        <f>SUMIFS('Expenditure Breakdown'!$G$6:$G$384, 'Expenditure Breakdown'!$H$6:$H$384, "&gt;="&amp;FC1,'Expenditure Breakdown'!$H$6:$H$384, "&lt;"&amp;FD1)</f>
        <v>0</v>
      </c>
      <c r="FD5" s="191">
        <f>SUMIFS('Expenditure Breakdown'!$G$6:$G$384, 'Expenditure Breakdown'!$H$6:$H$384, "&gt;="&amp;FD1,'Expenditure Breakdown'!$H$6:$H$384, "&lt;"&amp;FE1)</f>
        <v>0</v>
      </c>
      <c r="FE5" s="191">
        <f>SUMIFS('Expenditure Breakdown'!$G$6:$G$384, 'Expenditure Breakdown'!$H$6:$H$384, "&gt;="&amp;FE1,'Expenditure Breakdown'!$H$6:$H$384, "&lt;"&amp;FF1)</f>
        <v>0</v>
      </c>
      <c r="FF5" s="191">
        <f>SUMIFS('Expenditure Breakdown'!$G$6:$G$384, 'Expenditure Breakdown'!$H$6:$H$384, "&gt;="&amp;FF1,'Expenditure Breakdown'!$H$6:$H$384, "&lt;"&amp;FG1)</f>
        <v>0</v>
      </c>
      <c r="FG5" s="191">
        <f>SUMIFS('Expenditure Breakdown'!$G$6:$G$384, 'Expenditure Breakdown'!$H$6:$H$384, "&gt;="&amp;FG1,'Expenditure Breakdown'!$H$6:$H$384, "&lt;"&amp;FH1)</f>
        <v>0</v>
      </c>
      <c r="FH5" s="191">
        <f>SUMIFS('Expenditure Breakdown'!$G$6:$G$384, 'Expenditure Breakdown'!$H$6:$H$384, "&gt;="&amp;FH1,'Expenditure Breakdown'!$H$6:$H$384, "&lt;"&amp;FI1)</f>
        <v>0</v>
      </c>
      <c r="FI5" s="191">
        <f>SUMIFS('Expenditure Breakdown'!$G$6:$G$384, 'Expenditure Breakdown'!$H$6:$H$384, "&gt;="&amp;FI1,'Expenditure Breakdown'!$H$6:$H$384, "&lt;"&amp;FJ1)</f>
        <v>0</v>
      </c>
      <c r="FJ5" s="191">
        <f>SUMIFS('Expenditure Breakdown'!$G$6:$G$384, 'Expenditure Breakdown'!$H$6:$H$384, "&gt;="&amp;FJ1,'Expenditure Breakdown'!$H$6:$H$384, "&lt;"&amp;FK1)</f>
        <v>0</v>
      </c>
      <c r="FK5" s="191">
        <f>SUMIFS('Expenditure Breakdown'!$G$6:$G$384, 'Expenditure Breakdown'!$H$6:$H$384, "&gt;="&amp;FK1,'Expenditure Breakdown'!$H$6:$H$384, "&lt;"&amp;FL1)</f>
        <v>0</v>
      </c>
      <c r="FL5" s="191">
        <f>SUMIFS('Expenditure Breakdown'!$G$6:$G$384, 'Expenditure Breakdown'!$H$6:$H$384, "&gt;="&amp;FL1,'Expenditure Breakdown'!$H$6:$H$384, "&lt;"&amp;FM1)</f>
        <v>0</v>
      </c>
      <c r="FM5" s="191">
        <f>SUMIFS('Expenditure Breakdown'!$G$6:$G$384, 'Expenditure Breakdown'!$H$6:$H$384, "&gt;="&amp;FM1,'Expenditure Breakdown'!$H$6:$H$384, "&lt;"&amp;FN1)</f>
        <v>0</v>
      </c>
      <c r="FN5" s="191">
        <f>SUMIFS('Expenditure Breakdown'!$G$6:$G$384, 'Expenditure Breakdown'!$H$6:$H$384, "&gt;="&amp;FN1,'Expenditure Breakdown'!$H$6:$H$384, "&lt;"&amp;FO1)</f>
        <v>0</v>
      </c>
      <c r="FO5" s="191">
        <f>SUMIFS('Expenditure Breakdown'!$G$6:$G$384, 'Expenditure Breakdown'!$H$6:$H$384, "&gt;="&amp;FO1,'Expenditure Breakdown'!$H$6:$H$384, "&lt;"&amp;FP1)</f>
        <v>0</v>
      </c>
      <c r="FP5" s="191">
        <f>SUMIFS('Expenditure Breakdown'!$G$6:$G$384, 'Expenditure Breakdown'!$H$6:$H$384, "&gt;="&amp;FP1,'Expenditure Breakdown'!$H$6:$H$384, "&lt;"&amp;FQ1)</f>
        <v>0</v>
      </c>
      <c r="FQ5" s="191">
        <f>SUMIFS('Expenditure Breakdown'!$G$6:$G$384, 'Expenditure Breakdown'!$H$6:$H$384, "&gt;="&amp;FQ1,'Expenditure Breakdown'!$H$6:$H$384, "&lt;"&amp;FR1)</f>
        <v>0</v>
      </c>
      <c r="FR5" s="191">
        <f>SUMIFS('Expenditure Breakdown'!$G$6:$G$384, 'Expenditure Breakdown'!$H$6:$H$384, "&gt;="&amp;FR1,'Expenditure Breakdown'!$H$6:$H$384, "&lt;"&amp;FS1)</f>
        <v>0</v>
      </c>
      <c r="FS5" s="191">
        <f>SUMIFS('Expenditure Breakdown'!$G$6:$G$384, 'Expenditure Breakdown'!$H$6:$H$384, "&gt;="&amp;FS1,'Expenditure Breakdown'!$H$6:$H$384, "&lt;"&amp;FT1)</f>
        <v>0</v>
      </c>
      <c r="FT5" s="191">
        <f>SUMIFS('Expenditure Breakdown'!$G$6:$G$384, 'Expenditure Breakdown'!$H$6:$H$384, "&gt;="&amp;FT1,'Expenditure Breakdown'!$H$6:$H$384, "&lt;"&amp;FU1)</f>
        <v>0</v>
      </c>
      <c r="FU5" s="191">
        <f>SUMIFS('Expenditure Breakdown'!$G$6:$G$384, 'Expenditure Breakdown'!$H$6:$H$384, "&gt;="&amp;FU1,'Expenditure Breakdown'!$H$6:$H$384, "&lt;"&amp;FV1)</f>
        <v>0</v>
      </c>
      <c r="FV5" s="191">
        <f>SUMIFS('Expenditure Breakdown'!$G$6:$G$384, 'Expenditure Breakdown'!$H$6:$H$384, "&gt;="&amp;FV1,'Expenditure Breakdown'!$H$6:$H$384, "&lt;"&amp;FW1)</f>
        <v>0</v>
      </c>
      <c r="FW5" s="191">
        <f>SUMIFS('Expenditure Breakdown'!$G$6:$G$384, 'Expenditure Breakdown'!$H$6:$H$384, "&gt;="&amp;FW1,'Expenditure Breakdown'!$H$6:$H$384, "&lt;"&amp;FX1)</f>
        <v>0</v>
      </c>
      <c r="FX5" s="191">
        <f>SUMIFS('Expenditure Breakdown'!$G$6:$G$384, 'Expenditure Breakdown'!$H$6:$H$384, "&gt;="&amp;FX1,'Expenditure Breakdown'!$H$6:$H$384, "&lt;"&amp;FY1)</f>
        <v>0</v>
      </c>
      <c r="FY5" s="191">
        <f>SUMIFS('Expenditure Breakdown'!$G$6:$G$384, 'Expenditure Breakdown'!$H$6:$H$384, "&gt;="&amp;FY1,'Expenditure Breakdown'!$H$6:$H$384, "&lt;"&amp;FZ1)</f>
        <v>0</v>
      </c>
      <c r="FZ5" s="191">
        <f>SUMIFS('Expenditure Breakdown'!$G$6:$G$384, 'Expenditure Breakdown'!$H$6:$H$384, "&gt;="&amp;FZ1,'Expenditure Breakdown'!$H$6:$H$384, "&lt;"&amp;GA1)</f>
        <v>0</v>
      </c>
      <c r="GA5" s="191">
        <f>SUMIFS('Expenditure Breakdown'!$G$6:$G$384, 'Expenditure Breakdown'!$H$6:$H$384, "&gt;="&amp;GA1,'Expenditure Breakdown'!$H$6:$H$384, "&lt;"&amp;GB1)</f>
        <v>0</v>
      </c>
      <c r="GB5" s="191">
        <f>SUMIFS('Expenditure Breakdown'!$G$6:$G$384, 'Expenditure Breakdown'!$H$6:$H$384, "&gt;="&amp;GB1,'Expenditure Breakdown'!$H$6:$H$384, "&lt;"&amp;GC1)</f>
        <v>0</v>
      </c>
      <c r="GC5" s="191">
        <f>SUMIFS('Expenditure Breakdown'!$G$6:$G$384, 'Expenditure Breakdown'!$H$6:$H$384, "&gt;="&amp;GC1,'Expenditure Breakdown'!$H$6:$H$384, "&lt;"&amp;GD1)</f>
        <v>0</v>
      </c>
      <c r="GD5" s="191">
        <f>SUMIFS('Expenditure Breakdown'!$G$6:$G$384, 'Expenditure Breakdown'!$H$6:$H$384, "&gt;="&amp;GD1,'Expenditure Breakdown'!$H$6:$H$384, "&lt;"&amp;GE1)</f>
        <v>0</v>
      </c>
      <c r="GE5" s="191">
        <f>SUMIFS('Expenditure Breakdown'!$G$6:$G$384, 'Expenditure Breakdown'!$H$6:$H$384, "&gt;="&amp;GE1,'Expenditure Breakdown'!$H$6:$H$384, "&lt;"&amp;GF1)</f>
        <v>0</v>
      </c>
      <c r="GF5" s="191">
        <f>SUMIFS('Expenditure Breakdown'!$G$6:$G$384, 'Expenditure Breakdown'!$H$6:$H$384, "&gt;="&amp;GF1,'Expenditure Breakdown'!$H$6:$H$384, "&lt;"&amp;GG1)</f>
        <v>0</v>
      </c>
      <c r="GG5" s="191">
        <f>SUMIFS('Expenditure Breakdown'!$G$6:$G$384, 'Expenditure Breakdown'!$H$6:$H$384, "&gt;="&amp;GG1,'Expenditure Breakdown'!$H$6:$H$384, "&lt;"&amp;GH1)</f>
        <v>0</v>
      </c>
      <c r="GH5" s="191">
        <f>SUMIFS('Expenditure Breakdown'!$G$6:$G$384, 'Expenditure Breakdown'!$H$6:$H$384, "&gt;="&amp;GH1,'Expenditure Breakdown'!$H$6:$H$384, "&lt;"&amp;GI1)</f>
        <v>0</v>
      </c>
      <c r="GI5" s="191">
        <f>SUMIFS('Expenditure Breakdown'!$G$6:$G$384, 'Expenditure Breakdown'!$H$6:$H$384, "&gt;="&amp;GI1,'Expenditure Breakdown'!$H$6:$H$384, "&lt;"&amp;GJ1)</f>
        <v>0</v>
      </c>
      <c r="GJ5" s="191">
        <f>SUMIFS('Expenditure Breakdown'!$G$6:$G$384, 'Expenditure Breakdown'!$H$6:$H$384, "&gt;="&amp;GJ1,'Expenditure Breakdown'!$H$6:$H$384, "&lt;"&amp;GK1)</f>
        <v>0</v>
      </c>
      <c r="GK5" s="191">
        <f>SUMIFS('Expenditure Breakdown'!$G$6:$G$384, 'Expenditure Breakdown'!$H$6:$H$384, "&gt;="&amp;GK1,'Expenditure Breakdown'!$H$6:$H$384, "&lt;"&amp;GL1)</f>
        <v>0</v>
      </c>
      <c r="GL5" s="191">
        <f>SUMIFS('Expenditure Breakdown'!$G$6:$G$384, 'Expenditure Breakdown'!$H$6:$H$384, "&gt;="&amp;GL1,'Expenditure Breakdown'!$H$6:$H$384, "&lt;"&amp;GM1)</f>
        <v>0</v>
      </c>
      <c r="GM5" s="191">
        <f>SUMIFS('Expenditure Breakdown'!$G$6:$G$384, 'Expenditure Breakdown'!$H$6:$H$384, "&gt;="&amp;GM1,'Expenditure Breakdown'!$H$6:$H$384, "&lt;"&amp;GN1)</f>
        <v>0</v>
      </c>
      <c r="GN5" s="191">
        <f>SUMIFS('Expenditure Breakdown'!$G$6:$G$384, 'Expenditure Breakdown'!$H$6:$H$384, "&gt;="&amp;GN1,'Expenditure Breakdown'!$H$6:$H$384, "&lt;"&amp;GO1)</f>
        <v>0</v>
      </c>
      <c r="GO5" s="191">
        <f>SUMIFS('Expenditure Breakdown'!$G$6:$G$384, 'Expenditure Breakdown'!$H$6:$H$384, "&gt;="&amp;GO1,'Expenditure Breakdown'!$H$6:$H$384, "&lt;"&amp;GP1)</f>
        <v>0</v>
      </c>
      <c r="GP5" s="191">
        <f>SUMIFS('Expenditure Breakdown'!$G$6:$G$384, 'Expenditure Breakdown'!$H$6:$H$384, "&gt;="&amp;GP1,'Expenditure Breakdown'!$H$6:$H$384, "&lt;"&amp;GQ1)</f>
        <v>0</v>
      </c>
      <c r="GQ5" s="191">
        <f>SUMIFS('Expenditure Breakdown'!$G$6:$G$384, 'Expenditure Breakdown'!$H$6:$H$384, "&gt;="&amp;GQ1,'Expenditure Breakdown'!$H$6:$H$384, "&lt;"&amp;GR1)</f>
        <v>0</v>
      </c>
      <c r="GR5" s="191">
        <f>SUMIFS('Expenditure Breakdown'!$G$6:$G$384, 'Expenditure Breakdown'!$H$6:$H$384, "&gt;="&amp;GR1,'Expenditure Breakdown'!$H$6:$H$384, "&lt;"&amp;GS1)</f>
        <v>0</v>
      </c>
      <c r="GS5" s="191">
        <f>SUMIFS('Expenditure Breakdown'!$G$6:$G$384, 'Expenditure Breakdown'!$H$6:$H$384, "&gt;="&amp;GS1,'Expenditure Breakdown'!$H$6:$H$384, "&lt;"&amp;GT1)</f>
        <v>0</v>
      </c>
      <c r="GT5" s="191">
        <f>SUMIFS('Expenditure Breakdown'!$G$6:$G$384, 'Expenditure Breakdown'!$H$6:$H$384, "&gt;="&amp;GT1,'Expenditure Breakdown'!$H$6:$H$384, "&lt;"&amp;GU1)</f>
        <v>0</v>
      </c>
      <c r="GU5" s="191">
        <f>SUMIFS('Expenditure Breakdown'!$G$6:$G$384, 'Expenditure Breakdown'!$H$6:$H$384, "&gt;="&amp;GU1,'Expenditure Breakdown'!$H$6:$H$384, "&lt;"&amp;GV1)</f>
        <v>0</v>
      </c>
      <c r="GV5" s="191">
        <f>SUMIFS('Expenditure Breakdown'!$G$6:$G$384, 'Expenditure Breakdown'!$H$6:$H$384, "&gt;="&amp;GV1,'Expenditure Breakdown'!$H$6:$H$384, "&lt;"&amp;GW1)</f>
        <v>0</v>
      </c>
      <c r="GW5" s="191">
        <f>SUMIFS('Expenditure Breakdown'!$G$6:$G$384, 'Expenditure Breakdown'!$H$6:$H$384, "&gt;="&amp;GW1,'Expenditure Breakdown'!$H$6:$H$384, "&lt;"&amp;GX1)</f>
        <v>0</v>
      </c>
      <c r="GX5" s="191">
        <f>SUMIFS('Expenditure Breakdown'!$G$6:$G$384, 'Expenditure Breakdown'!$H$6:$H$384, "&gt;="&amp;GX1,'Expenditure Breakdown'!$H$6:$H$384, "&lt;"&amp;GY1)</f>
        <v>0</v>
      </c>
      <c r="GY5" s="191">
        <f>SUMIFS('Expenditure Breakdown'!$G$6:$G$384, 'Expenditure Breakdown'!$H$6:$H$384, "&gt;="&amp;GY1,'Expenditure Breakdown'!$H$6:$H$384, "&lt;"&amp;GZ1)</f>
        <v>0</v>
      </c>
      <c r="GZ5" s="191">
        <f>SUMIFS('Expenditure Breakdown'!$G$6:$G$384, 'Expenditure Breakdown'!$H$6:$H$384, "&gt;="&amp;GZ1,'Expenditure Breakdown'!$H$6:$H$384, "&lt;"&amp;HA1)</f>
        <v>0</v>
      </c>
      <c r="HA5" s="191">
        <f>SUMIFS('Expenditure Breakdown'!$G$6:$G$384, 'Expenditure Breakdown'!$H$6:$H$384, "&gt;="&amp;HA1,'Expenditure Breakdown'!$H$6:$H$384, "&lt;"&amp;HB1)</f>
        <v>0</v>
      </c>
      <c r="HB5" s="191">
        <f>SUMIFS('Expenditure Breakdown'!$G$6:$G$384, 'Expenditure Breakdown'!$H$6:$H$384, "&gt;="&amp;HB1,'Expenditure Breakdown'!$H$6:$H$384, "&lt;"&amp;HC1)</f>
        <v>0</v>
      </c>
      <c r="HC5" s="191">
        <f>SUMIFS('Expenditure Breakdown'!$G$6:$G$384, 'Expenditure Breakdown'!$H$6:$H$384, "&gt;="&amp;HC1,'Expenditure Breakdown'!$H$6:$H$384, "&lt;"&amp;HD1)</f>
        <v>0</v>
      </c>
      <c r="HD5" s="191">
        <f>SUMIFS('Expenditure Breakdown'!$G$6:$G$384, 'Expenditure Breakdown'!$H$6:$H$384, "&gt;="&amp;HD1,'Expenditure Breakdown'!$H$6:$H$384, "&lt;"&amp;HE1)</f>
        <v>0</v>
      </c>
      <c r="HE5" s="191">
        <f>SUMIFS('Expenditure Breakdown'!$G$6:$G$384, 'Expenditure Breakdown'!$H$6:$H$384, "&gt;="&amp;HE1,'Expenditure Breakdown'!$H$6:$H$384, "&lt;"&amp;HF1)</f>
        <v>0</v>
      </c>
      <c r="HF5" s="191">
        <f>SUMIFS('Expenditure Breakdown'!$G$6:$G$384, 'Expenditure Breakdown'!$H$6:$H$384, "&gt;="&amp;HF1,'Expenditure Breakdown'!$H$6:$H$384, "&lt;"&amp;HG1)</f>
        <v>0</v>
      </c>
      <c r="HG5" s="191">
        <f>SUMIFS('Expenditure Breakdown'!$G$6:$G$384, 'Expenditure Breakdown'!$H$6:$H$384, "&gt;="&amp;HG1,'Expenditure Breakdown'!$H$6:$H$384, "&lt;"&amp;HH1)</f>
        <v>0</v>
      </c>
      <c r="HH5" s="191">
        <f>SUMIFS('Expenditure Breakdown'!$G$6:$G$384, 'Expenditure Breakdown'!$H$6:$H$384, "&gt;="&amp;HH1,'Expenditure Breakdown'!$H$6:$H$384, "&lt;"&amp;HI1)</f>
        <v>0</v>
      </c>
      <c r="HI5" s="191">
        <f>SUMIFS('Expenditure Breakdown'!$G$6:$G$384, 'Expenditure Breakdown'!$H$6:$H$384, "&gt;="&amp;HI1,'Expenditure Breakdown'!$H$6:$H$384, "&lt;"&amp;HJ1)</f>
        <v>0</v>
      </c>
      <c r="HJ5" s="191">
        <f>SUMIFS('Expenditure Breakdown'!$G$6:$G$384, 'Expenditure Breakdown'!$H$6:$H$384, "&gt;="&amp;HJ1,'Expenditure Breakdown'!$H$6:$H$384, "&lt;"&amp;HK1)</f>
        <v>0</v>
      </c>
      <c r="HK5" s="191">
        <f>SUMIFS('Expenditure Breakdown'!$G$6:$G$384, 'Expenditure Breakdown'!$H$6:$H$384, "&gt;="&amp;HK1,'Expenditure Breakdown'!$H$6:$H$384, "&lt;"&amp;HL1)</f>
        <v>0</v>
      </c>
      <c r="HL5" s="191">
        <f>SUMIFS('Expenditure Breakdown'!$G$6:$G$384, 'Expenditure Breakdown'!$H$6:$H$384, "&gt;="&amp;HL1,'Expenditure Breakdown'!$H$6:$H$384, "&lt;"&amp;HM1)</f>
        <v>0</v>
      </c>
      <c r="HM5" s="191">
        <f>SUMIFS('Expenditure Breakdown'!$G$6:$G$384, 'Expenditure Breakdown'!$H$6:$H$384, "&gt;="&amp;HM1,'Expenditure Breakdown'!$H$6:$H$384, "&lt;"&amp;HN1)</f>
        <v>0</v>
      </c>
      <c r="HN5" s="191">
        <f>SUMIFS('Expenditure Breakdown'!$G$6:$G$384, 'Expenditure Breakdown'!$H$6:$H$384, "&gt;="&amp;HN1,'Expenditure Breakdown'!$H$6:$H$384, "&lt;"&amp;HO1)</f>
        <v>0</v>
      </c>
      <c r="HO5" s="191">
        <f>SUMIFS('Expenditure Breakdown'!$G$6:$G$384, 'Expenditure Breakdown'!$H$6:$H$384, "&gt;="&amp;HO1,'Expenditure Breakdown'!$H$6:$H$384, "&lt;"&amp;HP1)</f>
        <v>0</v>
      </c>
      <c r="HP5" s="191">
        <f>SUMIFS('Expenditure Breakdown'!$G$6:$G$384, 'Expenditure Breakdown'!$H$6:$H$384, "&gt;="&amp;HP1,'Expenditure Breakdown'!$H$6:$H$384, "&lt;"&amp;HQ1)</f>
        <v>0</v>
      </c>
      <c r="HQ5" s="191">
        <f>SUMIFS('Expenditure Breakdown'!$G$6:$G$384, 'Expenditure Breakdown'!$H$6:$H$384, "&gt;="&amp;HQ1,'Expenditure Breakdown'!$H$6:$H$384, "&lt;"&amp;HR1)</f>
        <v>0</v>
      </c>
      <c r="HR5" s="191">
        <f>SUMIFS('Expenditure Breakdown'!$G$6:$G$384, 'Expenditure Breakdown'!$H$6:$H$384, "&gt;="&amp;HR1,'Expenditure Breakdown'!$H$6:$H$384, "&lt;"&amp;HS1)</f>
        <v>0</v>
      </c>
      <c r="HS5" s="191">
        <f>SUMIFS('Expenditure Breakdown'!$G$6:$G$384, 'Expenditure Breakdown'!$H$6:$H$384, "&gt;="&amp;HS1,'Expenditure Breakdown'!$H$6:$H$384, "&lt;"&amp;HT1)</f>
        <v>0</v>
      </c>
      <c r="HT5" s="191">
        <f>SUMIFS('Expenditure Breakdown'!$G$6:$G$384, 'Expenditure Breakdown'!$H$6:$H$384, "&gt;="&amp;HT1,'Expenditure Breakdown'!$H$6:$H$384, "&lt;"&amp;HU1)</f>
        <v>0</v>
      </c>
      <c r="HU5" s="191">
        <f>SUMIFS('Expenditure Breakdown'!$G$6:$G$384, 'Expenditure Breakdown'!$H$6:$H$384, "&gt;="&amp;HU1,'Expenditure Breakdown'!$H$6:$H$384, "&lt;"&amp;HV1)</f>
        <v>0</v>
      </c>
      <c r="HV5" s="191">
        <f>SUMIFS('Expenditure Breakdown'!$G$6:$G$384, 'Expenditure Breakdown'!$H$6:$H$384, "&gt;="&amp;HV1,'Expenditure Breakdown'!$H$6:$H$384, "&lt;"&amp;HW1)</f>
        <v>0</v>
      </c>
      <c r="HW5" s="191">
        <f>SUMIFS('Expenditure Breakdown'!$G$6:$G$384, 'Expenditure Breakdown'!$H$6:$H$384, "&gt;="&amp;HW1,'Expenditure Breakdown'!$H$6:$H$384, "&lt;"&amp;HX1)</f>
        <v>0</v>
      </c>
      <c r="HX5" s="191">
        <f>SUMIFS('Expenditure Breakdown'!$G$6:$G$384, 'Expenditure Breakdown'!$H$6:$H$384, "&gt;="&amp;HX1,'Expenditure Breakdown'!$H$6:$H$384, "&lt;"&amp;HY1)</f>
        <v>0</v>
      </c>
      <c r="HY5" s="191">
        <f>SUMIFS('Expenditure Breakdown'!$G$6:$G$384, 'Expenditure Breakdown'!$H$6:$H$384, "&gt;="&amp;HY1,'Expenditure Breakdown'!$H$6:$H$384, "&lt;"&amp;HZ1)</f>
        <v>0</v>
      </c>
      <c r="HZ5" s="191">
        <f>SUMIFS('Expenditure Breakdown'!$G$6:$G$384, 'Expenditure Breakdown'!$H$6:$H$384, "&gt;="&amp;HZ1,'Expenditure Breakdown'!$H$6:$H$384, "&lt;"&amp;IA1)</f>
        <v>0</v>
      </c>
      <c r="IA5" s="191">
        <f>SUMIFS('Expenditure Breakdown'!$G$6:$G$384, 'Expenditure Breakdown'!$H$6:$H$384, "&gt;="&amp;IA1,'Expenditure Breakdown'!$H$6:$H$384, "&lt;"&amp;IB1)</f>
        <v>0</v>
      </c>
      <c r="IB5" s="191">
        <f>SUMIFS('Expenditure Breakdown'!$G$6:$G$384, 'Expenditure Breakdown'!$H$6:$H$384, "&gt;="&amp;IB1,'Expenditure Breakdown'!$H$6:$H$384, "&lt;"&amp;IC1)</f>
        <v>0</v>
      </c>
      <c r="IC5" s="191">
        <f>SUMIFS('Expenditure Breakdown'!$G$6:$G$384, 'Expenditure Breakdown'!$H$6:$H$384, "&gt;="&amp;IC1,'Expenditure Breakdown'!$H$6:$H$384, "&lt;"&amp;ID1)</f>
        <v>0</v>
      </c>
      <c r="ID5" s="191">
        <f>SUMIFS('Expenditure Breakdown'!$G$6:$G$384, 'Expenditure Breakdown'!$H$6:$H$384, "&gt;="&amp;ID1,'Expenditure Breakdown'!$H$6:$H$384, "&lt;"&amp;IE1)</f>
        <v>0</v>
      </c>
      <c r="IE5" s="191">
        <f>SUMIFS('Expenditure Breakdown'!$G$6:$G$384, 'Expenditure Breakdown'!$H$6:$H$384, "&gt;="&amp;IE1,'Expenditure Breakdown'!$H$6:$H$384, "&lt;"&amp;IF1)</f>
        <v>0</v>
      </c>
      <c r="IF5" s="191">
        <f>SUMIFS('Expenditure Breakdown'!$G$6:$G$384, 'Expenditure Breakdown'!$H$6:$H$384, "&gt;="&amp;IF1,'Expenditure Breakdown'!$H$6:$H$384, "&lt;"&amp;IG1)</f>
        <v>0</v>
      </c>
      <c r="IG5" s="191">
        <f>SUMIFS('Expenditure Breakdown'!$G$6:$G$384, 'Expenditure Breakdown'!$H$6:$H$384, "&gt;="&amp;IG1,'Expenditure Breakdown'!$H$6:$H$384, "&lt;"&amp;IH1)</f>
        <v>0</v>
      </c>
      <c r="IH5" s="191">
        <f>SUMIFS('Expenditure Breakdown'!$G$6:$G$384, 'Expenditure Breakdown'!$H$6:$H$384, "&gt;="&amp;IH1,'Expenditure Breakdown'!$H$6:$H$384, "&lt;"&amp;II1)</f>
        <v>0</v>
      </c>
      <c r="II5" s="191">
        <f>SUMIFS('Expenditure Breakdown'!$G$6:$G$384, 'Expenditure Breakdown'!$H$6:$H$384, "&gt;="&amp;II1,'Expenditure Breakdown'!$H$6:$H$384, "&lt;"&amp;IJ1)</f>
        <v>0</v>
      </c>
      <c r="IJ5" s="191">
        <f>SUMIFS('Expenditure Breakdown'!$G$6:$G$384, 'Expenditure Breakdown'!$H$6:$H$384, "&gt;="&amp;IJ1,'Expenditure Breakdown'!$H$6:$H$384, "&lt;"&amp;IK1)</f>
        <v>0</v>
      </c>
      <c r="IK5" s="191">
        <f>SUMIFS('Expenditure Breakdown'!$G$6:$G$384, 'Expenditure Breakdown'!$H$6:$H$384, "&gt;="&amp;IK1,'Expenditure Breakdown'!$H$6:$H$384, "&lt;"&amp;IL1)</f>
        <v>0</v>
      </c>
      <c r="IL5" s="191">
        <f>SUMIFS('Expenditure Breakdown'!$G$6:$G$384, 'Expenditure Breakdown'!$H$6:$H$384, "&gt;="&amp;IL1,'Expenditure Breakdown'!$H$6:$H$384, "&lt;"&amp;IM1)</f>
        <v>0</v>
      </c>
      <c r="IM5" s="191">
        <f>SUMIFS('Expenditure Breakdown'!$G$6:$G$384, 'Expenditure Breakdown'!$H$6:$H$384, "&gt;="&amp;IM1,'Expenditure Breakdown'!$H$6:$H$384, "&lt;"&amp;IN1)</f>
        <v>0</v>
      </c>
      <c r="IN5" s="191">
        <f>SUMIFS('Expenditure Breakdown'!$G$6:$G$384, 'Expenditure Breakdown'!$H$6:$H$384, "&gt;="&amp;IN1,'Expenditure Breakdown'!$H$6:$H$384, "&lt;"&amp;IO1)</f>
        <v>0</v>
      </c>
      <c r="IO5" s="191">
        <f>SUMIFS('Expenditure Breakdown'!$G$6:$G$384, 'Expenditure Breakdown'!$H$6:$H$384, "&gt;="&amp;IO1,'Expenditure Breakdown'!$H$6:$H$384, "&lt;"&amp;IP1)</f>
        <v>0</v>
      </c>
      <c r="IP5" s="191">
        <f>SUMIFS('Expenditure Breakdown'!$G$6:$G$384, 'Expenditure Breakdown'!$H$6:$H$384, "&gt;="&amp;IP1,'Expenditure Breakdown'!$H$6:$H$384, "&lt;"&amp;IQ1)</f>
        <v>0</v>
      </c>
      <c r="IQ5" s="191">
        <f>SUMIFS('Expenditure Breakdown'!$G$6:$G$384, 'Expenditure Breakdown'!$H$6:$H$384, "&gt;="&amp;IQ1,'Expenditure Breakdown'!$H$6:$H$384, "&lt;"&amp;IR1)</f>
        <v>0</v>
      </c>
      <c r="IR5" s="191">
        <f>SUMIFS('Expenditure Breakdown'!$G$6:$G$384, 'Expenditure Breakdown'!$H$6:$H$384, "&gt;="&amp;IR1,'Expenditure Breakdown'!$H$6:$H$384, "&lt;"&amp;IS1)</f>
        <v>0</v>
      </c>
      <c r="IS5" s="191">
        <f>SUMIFS('Expenditure Breakdown'!$G$6:$G$384, 'Expenditure Breakdown'!$H$6:$H$384, "&gt;="&amp;IS1,'Expenditure Breakdown'!$H$6:$H$384, "&lt;"&amp;IT1)</f>
        <v>0</v>
      </c>
      <c r="IT5" s="191">
        <f>SUMIFS('Expenditure Breakdown'!$G$6:$G$384, 'Expenditure Breakdown'!$H$6:$H$384, "&gt;="&amp;IT1,'Expenditure Breakdown'!$H$6:$H$384, "&lt;"&amp;IU1)</f>
        <v>0</v>
      </c>
      <c r="IU5" s="191">
        <f>SUMIFS('Expenditure Breakdown'!$G$6:$G$384, 'Expenditure Breakdown'!$H$6:$H$384, "&gt;="&amp;IU1,'Expenditure Breakdown'!$H$6:$H$384, "&lt;"&amp;IV1)</f>
        <v>0</v>
      </c>
      <c r="IV5" s="191">
        <f>SUMIFS('Expenditure Breakdown'!$G$6:$G$384, 'Expenditure Breakdown'!$H$6:$H$384, "&gt;="&amp;IV1,'Expenditure Breakdown'!$H$6:$H$384, "&lt;"&amp;IW1)</f>
        <v>0</v>
      </c>
      <c r="IW5" s="191">
        <f>SUMIFS('Expenditure Breakdown'!$G$6:$G$384, 'Expenditure Breakdown'!$H$6:$H$384, "&gt;="&amp;IW1,'Expenditure Breakdown'!$H$6:$H$384, "&lt;"&amp;IX1)</f>
        <v>0</v>
      </c>
      <c r="IX5" s="191">
        <f>SUMIFS('Expenditure Breakdown'!$G$6:$G$384, 'Expenditure Breakdown'!$H$6:$H$384, "&gt;="&amp;IX1,'Expenditure Breakdown'!$H$6:$H$384, "&lt;"&amp;IY1)</f>
        <v>0</v>
      </c>
      <c r="IY5" s="191">
        <f>SUMIFS('Expenditure Breakdown'!$G$6:$G$384, 'Expenditure Breakdown'!$H$6:$H$384, "&gt;="&amp;IY1,'Expenditure Breakdown'!$H$6:$H$384, "&lt;"&amp;IZ1)</f>
        <v>0</v>
      </c>
      <c r="IZ5" s="191">
        <f>SUMIFS('Expenditure Breakdown'!$G$6:$G$384, 'Expenditure Breakdown'!$H$6:$H$384, "&gt;="&amp;IZ1,'Expenditure Breakdown'!$H$6:$H$384, "&lt;"&amp;JA1)</f>
        <v>0</v>
      </c>
      <c r="JA5" s="191">
        <f>SUMIFS('Expenditure Breakdown'!$G$6:$G$384, 'Expenditure Breakdown'!$H$6:$H$384, "&gt;="&amp;JA1,'Expenditure Breakdown'!$H$6:$H$384, "&lt;"&amp;JB1)</f>
        <v>0</v>
      </c>
      <c r="JB5" s="191">
        <f>SUMIFS('Expenditure Breakdown'!$G$6:$G$384, 'Expenditure Breakdown'!$H$6:$H$384, "&gt;="&amp;JB1,'Expenditure Breakdown'!$H$6:$H$384, "&lt;"&amp;JC1)</f>
        <v>0</v>
      </c>
      <c r="JC5" s="191">
        <f>SUMIFS('Expenditure Breakdown'!$G$6:$G$384, 'Expenditure Breakdown'!$H$6:$H$384, "&gt;="&amp;JC1,'Expenditure Breakdown'!$H$6:$H$384, "&lt;"&amp;JD1)</f>
        <v>0</v>
      </c>
      <c r="JD5" s="191">
        <f>SUMIFS('Expenditure Breakdown'!$G$6:$G$384, 'Expenditure Breakdown'!$H$6:$H$384, "&gt;="&amp;JD1,'Expenditure Breakdown'!$H$6:$H$384, "&lt;"&amp;JE1)</f>
        <v>0</v>
      </c>
      <c r="JE5" s="191">
        <f>SUMIFS('Expenditure Breakdown'!$G$6:$G$384, 'Expenditure Breakdown'!$H$6:$H$384, "&gt;="&amp;JE1,'Expenditure Breakdown'!$H$6:$H$384, "&lt;"&amp;JF1)</f>
        <v>0</v>
      </c>
      <c r="JF5" s="191">
        <f>SUMIFS('Expenditure Breakdown'!$G$6:$G$384, 'Expenditure Breakdown'!$H$6:$H$384, "&gt;="&amp;JF1,'Expenditure Breakdown'!$H$6:$H$384, "&lt;"&amp;JG1)</f>
        <v>0</v>
      </c>
      <c r="JG5" s="191">
        <f>SUMIFS('Expenditure Breakdown'!$G$6:$G$384, 'Expenditure Breakdown'!$H$6:$H$384, "&gt;="&amp;JG1,'Expenditure Breakdown'!$H$6:$H$384, "&lt;"&amp;JH1)</f>
        <v>0</v>
      </c>
      <c r="JH5" s="191">
        <f>SUMIFS('Expenditure Breakdown'!$G$6:$G$384, 'Expenditure Breakdown'!$H$6:$H$384, "&gt;="&amp;JH1,'Expenditure Breakdown'!$H$6:$H$384, "&lt;"&amp;JI1)</f>
        <v>0</v>
      </c>
      <c r="JI5" s="191">
        <f>SUMIFS('Expenditure Breakdown'!$G$6:$G$384, 'Expenditure Breakdown'!$H$6:$H$384, "&gt;="&amp;JI1,'Expenditure Breakdown'!$H$6:$H$384, "&lt;"&amp;JJ1)</f>
        <v>0</v>
      </c>
      <c r="JJ5" s="191">
        <f>SUMIFS('Expenditure Breakdown'!$G$6:$G$384, 'Expenditure Breakdown'!$H$6:$H$384, "&gt;="&amp;JJ1,'Expenditure Breakdown'!$H$6:$H$384, "&lt;"&amp;JK1)</f>
        <v>0</v>
      </c>
      <c r="JK5" s="191">
        <f>SUMIFS('Expenditure Breakdown'!$G$6:$G$384, 'Expenditure Breakdown'!$H$6:$H$384, "&gt;="&amp;JK1,'Expenditure Breakdown'!$H$6:$H$384, "&lt;"&amp;JL1)</f>
        <v>0</v>
      </c>
      <c r="JL5" s="191">
        <f>SUMIFS('Expenditure Breakdown'!$G$6:$G$384, 'Expenditure Breakdown'!$H$6:$H$384, "&gt;="&amp;JL1,'Expenditure Breakdown'!$H$6:$H$384, "&lt;"&amp;JM1)</f>
        <v>0</v>
      </c>
      <c r="JM5" s="191">
        <f>SUMIFS('Expenditure Breakdown'!$G$6:$G$384, 'Expenditure Breakdown'!$H$6:$H$384, "&gt;="&amp;JM1,'Expenditure Breakdown'!$H$6:$H$384, "&lt;"&amp;JN1)</f>
        <v>0</v>
      </c>
      <c r="JN5" s="191">
        <f>SUMIFS('Expenditure Breakdown'!$G$6:$G$384, 'Expenditure Breakdown'!$H$6:$H$384, "&gt;="&amp;JN1,'Expenditure Breakdown'!$H$6:$H$384, "&lt;"&amp;JO1)</f>
        <v>0</v>
      </c>
      <c r="JO5" s="191">
        <f>SUMIFS('Expenditure Breakdown'!$G$6:$G$384, 'Expenditure Breakdown'!$H$6:$H$384, "&gt;="&amp;JO1,'Expenditure Breakdown'!$H$6:$H$384, "&lt;"&amp;JP1)</f>
        <v>0</v>
      </c>
      <c r="JP5" s="191">
        <f>SUMIFS('Expenditure Breakdown'!$G$6:$G$384, 'Expenditure Breakdown'!$H$6:$H$384, "&gt;="&amp;JP1,'Expenditure Breakdown'!$H$6:$H$384, "&lt;"&amp;JQ1)</f>
        <v>0</v>
      </c>
      <c r="JQ5" s="191">
        <f>SUMIFS('Expenditure Breakdown'!$G$6:$G$384, 'Expenditure Breakdown'!$H$6:$H$384, "&gt;="&amp;JQ1,'Expenditure Breakdown'!$H$6:$H$384, "&lt;"&amp;JR1)</f>
        <v>0</v>
      </c>
      <c r="JR5" s="191">
        <f>SUMIFS('Expenditure Breakdown'!$G$6:$G$384, 'Expenditure Breakdown'!$H$6:$H$384, "&gt;="&amp;JR1,'Expenditure Breakdown'!$H$6:$H$384, "&lt;"&amp;JS1)</f>
        <v>0</v>
      </c>
      <c r="JS5" s="191">
        <f>SUMIFS('Expenditure Breakdown'!$G$6:$G$384, 'Expenditure Breakdown'!$H$6:$H$384, "&gt;="&amp;JS1,'Expenditure Breakdown'!$H$6:$H$384, "&lt;"&amp;JT1)</f>
        <v>0</v>
      </c>
      <c r="JT5" s="191">
        <f>SUMIFS('Expenditure Breakdown'!$G$6:$G$384, 'Expenditure Breakdown'!$H$6:$H$384, "&gt;="&amp;JT1,'Expenditure Breakdown'!$H$6:$H$384, "&lt;"&amp;JU1)</f>
        <v>0</v>
      </c>
      <c r="JU5" s="191">
        <f>SUMIFS('Expenditure Breakdown'!$G$6:$G$384, 'Expenditure Breakdown'!$H$6:$H$384, "&gt;="&amp;JU1,'Expenditure Breakdown'!$H$6:$H$384, "&lt;"&amp;JV1)</f>
        <v>0</v>
      </c>
      <c r="JV5" s="191">
        <f>SUMIFS('Expenditure Breakdown'!$G$6:$G$384, 'Expenditure Breakdown'!$H$6:$H$384, "&gt;="&amp;JV1,'Expenditure Breakdown'!$H$6:$H$384, "&lt;"&amp;JW1)</f>
        <v>0</v>
      </c>
      <c r="JW5" s="191">
        <f>SUMIFS('Expenditure Breakdown'!$G$6:$G$384, 'Expenditure Breakdown'!$H$6:$H$384, "&gt;="&amp;JW1,'Expenditure Breakdown'!$H$6:$H$384, "&lt;"&amp;JX1)</f>
        <v>0</v>
      </c>
      <c r="JX5" s="191">
        <f>SUMIFS('Expenditure Breakdown'!$G$6:$G$384, 'Expenditure Breakdown'!$H$6:$H$384, "&gt;="&amp;JX1,'Expenditure Breakdown'!$H$6:$H$384, "&lt;"&amp;JY1)</f>
        <v>0</v>
      </c>
      <c r="JY5" s="191">
        <f>SUMIFS('Expenditure Breakdown'!$G$6:$G$384, 'Expenditure Breakdown'!$H$6:$H$384, "&gt;="&amp;JY1,'Expenditure Breakdown'!$H$6:$H$384, "&lt;"&amp;JZ1)</f>
        <v>0</v>
      </c>
      <c r="JZ5" s="191">
        <f>SUMIFS('Expenditure Breakdown'!$G$6:$G$384, 'Expenditure Breakdown'!$H$6:$H$384, "&gt;="&amp;JZ1,'Expenditure Breakdown'!$H$6:$H$384, "&lt;"&amp;KA1)</f>
        <v>0</v>
      </c>
      <c r="KA5" s="191">
        <f>SUMIFS('Expenditure Breakdown'!$G$6:$G$384, 'Expenditure Breakdown'!$H$6:$H$384, "&gt;="&amp;KA1,'Expenditure Breakdown'!$H$6:$H$384, "&lt;"&amp;KB1)</f>
        <v>0</v>
      </c>
      <c r="KB5" s="191">
        <f>SUMIFS('Expenditure Breakdown'!$G$6:$G$384, 'Expenditure Breakdown'!$H$6:$H$384, "&gt;="&amp;KB1,'Expenditure Breakdown'!$H$6:$H$384, "&lt;"&amp;KC1)</f>
        <v>0</v>
      </c>
      <c r="KC5" s="191">
        <f>SUMIFS('Expenditure Breakdown'!$G$6:$G$384, 'Expenditure Breakdown'!$H$6:$H$384, "&gt;="&amp;KC1,'Expenditure Breakdown'!$H$6:$H$384, "&lt;"&amp;KD1)</f>
        <v>0</v>
      </c>
      <c r="KD5" s="191">
        <f>SUMIFS('Expenditure Breakdown'!$G$6:$G$384, 'Expenditure Breakdown'!$H$6:$H$384, "&gt;="&amp;KD1,'Expenditure Breakdown'!$H$6:$H$384, "&lt;"&amp;KE1)</f>
        <v>0</v>
      </c>
      <c r="KE5" s="191">
        <f>SUMIFS('Expenditure Breakdown'!$G$6:$G$384, 'Expenditure Breakdown'!$H$6:$H$384, "&gt;="&amp;KE1,'Expenditure Breakdown'!$H$6:$H$384, "&lt;"&amp;KF1)</f>
        <v>0</v>
      </c>
      <c r="KF5" s="191">
        <f>SUMIFS('Expenditure Breakdown'!$G$6:$G$384, 'Expenditure Breakdown'!$H$6:$H$384, "&gt;="&amp;KF1,'Expenditure Breakdown'!$H$6:$H$384, "&lt;"&amp;KG1)</f>
        <v>0</v>
      </c>
      <c r="KG5" s="191">
        <f>SUMIFS('Expenditure Breakdown'!$G$6:$G$384, 'Expenditure Breakdown'!$H$6:$H$384, "&gt;="&amp;KG1,'Expenditure Breakdown'!$H$6:$H$384, "&lt;"&amp;KH1)</f>
        <v>0</v>
      </c>
      <c r="KH5" s="191">
        <f>SUMIFS('Expenditure Breakdown'!$G$6:$G$384, 'Expenditure Breakdown'!$H$6:$H$384, "&gt;="&amp;KH1,'Expenditure Breakdown'!$H$6:$H$384, "&lt;"&amp;KI1)</f>
        <v>0</v>
      </c>
      <c r="KI5" s="191">
        <f>SUMIFS('Expenditure Breakdown'!$G$6:$G$384, 'Expenditure Breakdown'!$H$6:$H$384, "&gt;="&amp;KI1,'Expenditure Breakdown'!$H$6:$H$384, "&lt;"&amp;KJ1)</f>
        <v>0</v>
      </c>
      <c r="KJ5" s="191">
        <f>SUMIFS('Expenditure Breakdown'!$G$6:$G$384, 'Expenditure Breakdown'!$H$6:$H$384, "&gt;="&amp;KJ1,'Expenditure Breakdown'!$H$6:$H$384, "&lt;"&amp;KK1)</f>
        <v>0</v>
      </c>
      <c r="KK5" s="191">
        <f>SUMIFS('Expenditure Breakdown'!$G$6:$G$384, 'Expenditure Breakdown'!$H$6:$H$384, "&gt;="&amp;KK1,'Expenditure Breakdown'!$H$6:$H$384, "&lt;"&amp;KL1)</f>
        <v>0</v>
      </c>
      <c r="KL5" s="191">
        <f>SUMIFS('Expenditure Breakdown'!$G$6:$G$384, 'Expenditure Breakdown'!$H$6:$H$384, "&gt;="&amp;KL1,'Expenditure Breakdown'!$H$6:$H$384, "&lt;"&amp;KM1)</f>
        <v>0</v>
      </c>
      <c r="KM5" s="191">
        <f>SUMIFS('Expenditure Breakdown'!$G$6:$G$384, 'Expenditure Breakdown'!$H$6:$H$384, "&gt;="&amp;KM1,'Expenditure Breakdown'!$H$6:$H$384, "&lt;"&amp;KN1)</f>
        <v>0</v>
      </c>
      <c r="KN5" s="191">
        <f>SUMIFS('Expenditure Breakdown'!$G$6:$G$384, 'Expenditure Breakdown'!$H$6:$H$384, "&gt;="&amp;KN1,'Expenditure Breakdown'!$H$6:$H$384, "&lt;"&amp;KO1)</f>
        <v>0</v>
      </c>
      <c r="KO5" s="191">
        <f>SUMIFS('Expenditure Breakdown'!$G$6:$G$384, 'Expenditure Breakdown'!$H$6:$H$384, "&gt;="&amp;KO1,'Expenditure Breakdown'!$H$6:$H$384, "&lt;"&amp;KP1)</f>
        <v>0</v>
      </c>
      <c r="KP5" s="191">
        <f>SUMIFS('Expenditure Breakdown'!$G$6:$G$384, 'Expenditure Breakdown'!$H$6:$H$384, "&gt;="&amp;KP1,'Expenditure Breakdown'!$H$6:$H$384, "&lt;"&amp;KQ1)</f>
        <v>0</v>
      </c>
      <c r="KQ5" s="191">
        <f>SUMIFS('Expenditure Breakdown'!$G$6:$G$384, 'Expenditure Breakdown'!$H$6:$H$384, "&gt;="&amp;KQ1,'Expenditure Breakdown'!$H$6:$H$384, "&lt;"&amp;KR1)</f>
        <v>0</v>
      </c>
      <c r="KR5" s="191">
        <f>SUMIFS('Expenditure Breakdown'!$G$6:$G$384, 'Expenditure Breakdown'!$H$6:$H$384, "&gt;="&amp;KR1,'Expenditure Breakdown'!$H$6:$H$384, "&lt;"&amp;KS1)</f>
        <v>0</v>
      </c>
      <c r="KS5" s="191">
        <f>SUMIFS('Expenditure Breakdown'!$G$6:$G$384, 'Expenditure Breakdown'!$H$6:$H$384, "&gt;="&amp;KS1,'Expenditure Breakdown'!$H$6:$H$384, "&lt;"&amp;KT1)</f>
        <v>0</v>
      </c>
      <c r="KT5" s="191">
        <f>SUMIFS('Expenditure Breakdown'!$G$6:$G$384, 'Expenditure Breakdown'!$H$6:$H$384, "&gt;="&amp;KT1,'Expenditure Breakdown'!$H$6:$H$384, "&lt;"&amp;KU1)</f>
        <v>0</v>
      </c>
      <c r="KU5" s="191">
        <f>SUMIFS('Expenditure Breakdown'!$G$6:$G$384, 'Expenditure Breakdown'!$H$6:$H$384, "&gt;="&amp;KU1,'Expenditure Breakdown'!$H$6:$H$384, "&lt;"&amp;KV1)</f>
        <v>0</v>
      </c>
      <c r="KV5" s="191">
        <f>SUMIFS('Expenditure Breakdown'!$G$6:$G$384, 'Expenditure Breakdown'!$H$6:$H$384, "&gt;="&amp;KV1,'Expenditure Breakdown'!$H$6:$H$384, "&lt;"&amp;KW1)</f>
        <v>0</v>
      </c>
      <c r="KW5" s="191">
        <f>SUMIFS('Expenditure Breakdown'!$G$6:$G$384, 'Expenditure Breakdown'!$H$6:$H$384, "&gt;="&amp;KW1,'Expenditure Breakdown'!$H$6:$H$384, "&lt;"&amp;KX1)</f>
        <v>0</v>
      </c>
      <c r="KX5" s="191">
        <f>SUMIFS('Expenditure Breakdown'!$G$6:$G$384, 'Expenditure Breakdown'!$H$6:$H$384, "&gt;="&amp;KX1,'Expenditure Breakdown'!$H$6:$H$384, "&lt;"&amp;KY1)</f>
        <v>0</v>
      </c>
      <c r="KY5" s="191">
        <f>SUMIFS('Expenditure Breakdown'!$G$6:$G$384, 'Expenditure Breakdown'!$H$6:$H$384, "&gt;="&amp;KY1,'Expenditure Breakdown'!$H$6:$H$384, "&lt;"&amp;KZ1)</f>
        <v>0</v>
      </c>
      <c r="KZ5" s="191">
        <f>SUMIFS('Expenditure Breakdown'!$G$6:$G$384, 'Expenditure Breakdown'!$H$6:$H$384, "&gt;="&amp;KZ1,'Expenditure Breakdown'!$H$6:$H$384, "&lt;"&amp;LA1)</f>
        <v>0</v>
      </c>
      <c r="LA5" s="191">
        <f>SUMIFS('Expenditure Breakdown'!$G$6:$G$384, 'Expenditure Breakdown'!$H$6:$H$384, "&gt;="&amp;LA1,'Expenditure Breakdown'!$H$6:$H$384, "&lt;"&amp;LB1)</f>
        <v>0</v>
      </c>
      <c r="LB5" s="191">
        <f>SUMIFS('Expenditure Breakdown'!$G$6:$G$384, 'Expenditure Breakdown'!$H$6:$H$384, "&gt;="&amp;LB1,'Expenditure Breakdown'!$H$6:$H$384, "&lt;"&amp;LC1)</f>
        <v>0</v>
      </c>
      <c r="LC5" s="191">
        <f>SUMIFS('Expenditure Breakdown'!$G$6:$G$384, 'Expenditure Breakdown'!$H$6:$H$384, "&gt;="&amp;LC1,'Expenditure Breakdown'!$H$6:$H$384, "&lt;"&amp;LD1)</f>
        <v>0</v>
      </c>
      <c r="LD5" s="191">
        <f>SUMIFS('Expenditure Breakdown'!$G$6:$G$384, 'Expenditure Breakdown'!$H$6:$H$384, "&gt;="&amp;LD1,'Expenditure Breakdown'!$H$6:$H$384, "&lt;"&amp;#REF!)</f>
        <v>0</v>
      </c>
      <c r="LE5" s="181"/>
      <c r="LF5" s="192"/>
      <c r="LG5" s="192"/>
    </row>
    <row r="6" spans="1:794" s="193" customFormat="1">
      <c r="A6" s="929"/>
      <c r="B6" s="189" t="s">
        <v>746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747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748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749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750</v>
      </c>
      <c r="C11" s="203">
        <f>'Revenue Tracking'!F5</f>
        <v>47843864.496446103</v>
      </c>
      <c r="D11" s="203">
        <f>SUM(F11:LD11)</f>
        <v>47843864.496446066</v>
      </c>
      <c r="E11" s="187"/>
      <c r="F11" s="204">
        <f>SUMIFS('Expenditure Breakdown'!$Q$6:$Q$384, 'Expenditure Breakdown'!$W$6:$W$384, "&gt;="&amp;F1,'Expenditure Breakdown'!$W$6:$W$384, "&lt;"&amp;G1)</f>
        <v>0</v>
      </c>
      <c r="G11" s="204">
        <f>SUMIFS('Expenditure Breakdown'!$Q$6:$Q$384, 'Expenditure Breakdown'!$W$6:$W$384, "&gt;="&amp;G1,'Expenditure Breakdown'!$W$6:$W$384, "&lt;"&amp;H1)</f>
        <v>0</v>
      </c>
      <c r="H11" s="204">
        <f>SUMIFS('Expenditure Breakdown'!$Q$6:$Q$384, 'Expenditure Breakdown'!$W$6:$W$384, "&gt;="&amp;H1,'Expenditure Breakdown'!$W$6:$W$384, "&lt;"&amp;I1)</f>
        <v>0</v>
      </c>
      <c r="I11" s="204">
        <f>SUMIFS('Expenditure Breakdown'!$Q$6:$Q$384, 'Expenditure Breakdown'!$W$6:$W$384, "&gt;="&amp;I1,'Expenditure Breakdown'!$W$6:$W$384, "&lt;"&amp;J1)</f>
        <v>0</v>
      </c>
      <c r="J11" s="204">
        <f>SUMIFS('Expenditure Breakdown'!$Q$6:$Q$384, 'Expenditure Breakdown'!$W$6:$W$384, "&gt;="&amp;J1,'Expenditure Breakdown'!$W$6:$W$384, "&lt;"&amp;K1)</f>
        <v>0</v>
      </c>
      <c r="K11" s="204">
        <f>SUMIFS('Expenditure Breakdown'!$Q$6:$Q$384, 'Expenditure Breakdown'!$W$6:$W$384, "&gt;="&amp;K1,'Expenditure Breakdown'!$W$6:$W$384, "&lt;"&amp;L1)</f>
        <v>0</v>
      </c>
      <c r="L11" s="204">
        <f>SUMIFS('Expenditure Breakdown'!$Q$6:$Q$384, 'Expenditure Breakdown'!$W$6:$W$384, "&gt;="&amp;L1,'Expenditure Breakdown'!$W$6:$W$384, "&lt;"&amp;M1)</f>
        <v>0</v>
      </c>
      <c r="M11" s="204">
        <f>SUMIFS('Expenditure Breakdown'!$Q$6:$Q$384, 'Expenditure Breakdown'!$W$6:$W$384, "&gt;="&amp;M1,'Expenditure Breakdown'!$W$6:$W$384, "&lt;"&amp;N1)</f>
        <v>0</v>
      </c>
      <c r="N11" s="204">
        <f>SUMIFS('Expenditure Breakdown'!$Q$6:$Q$384, 'Expenditure Breakdown'!$W$6:$W$384, "&gt;="&amp;N1,'Expenditure Breakdown'!$W$6:$W$384, "&lt;"&amp;O1)</f>
        <v>0</v>
      </c>
      <c r="O11" s="204">
        <f>SUMIFS('Expenditure Breakdown'!$Q$6:$Q$384, 'Expenditure Breakdown'!$W$6:$W$384, "&gt;="&amp;O1,'Expenditure Breakdown'!$W$6:$W$384, "&lt;"&amp;P1)</f>
        <v>0</v>
      </c>
      <c r="P11" s="204">
        <f>SUMIFS('Expenditure Breakdown'!$Q$6:$Q$384, 'Expenditure Breakdown'!$W$6:$W$384, "&gt;="&amp;P1,'Expenditure Breakdown'!$W$6:$W$384, "&lt;"&amp;Q1)</f>
        <v>0</v>
      </c>
      <c r="Q11" s="204">
        <f>SUMIFS('Expenditure Breakdown'!$Q$6:$Q$384, 'Expenditure Breakdown'!$W$6:$W$384, "&gt;="&amp;Q1,'Expenditure Breakdown'!$W$6:$W$384, "&lt;"&amp;R1)</f>
        <v>0</v>
      </c>
      <c r="R11" s="204">
        <f>SUMIFS('Expenditure Breakdown'!$Q$6:$Q$384, 'Expenditure Breakdown'!$W$6:$W$384, "&gt;="&amp;R1,'Expenditure Breakdown'!$W$6:$W$384, "&lt;"&amp;S1)</f>
        <v>0</v>
      </c>
      <c r="S11" s="204">
        <f>SUMIFS('Expenditure Breakdown'!$Q$6:$Q$384, 'Expenditure Breakdown'!$W$6:$W$384, "&gt;="&amp;S1,'Expenditure Breakdown'!$W$6:$W$384, "&lt;"&amp;T1)</f>
        <v>0</v>
      </c>
      <c r="T11" s="204">
        <f>SUMIFS('Expenditure Breakdown'!$Q$6:$Q$384, 'Expenditure Breakdown'!$W$6:$W$384, "&gt;="&amp;T1,'Expenditure Breakdown'!$W$6:$W$384, "&lt;"&amp;U1)</f>
        <v>0</v>
      </c>
      <c r="U11" s="204">
        <f>SUMIFS('Expenditure Breakdown'!$Q$6:$Q$384, 'Expenditure Breakdown'!$W$6:$W$384, "&gt;="&amp;U1,'Expenditure Breakdown'!$W$6:$W$384, "&lt;"&amp;V1)</f>
        <v>0</v>
      </c>
      <c r="V11" s="204">
        <f>SUMIFS('Expenditure Breakdown'!$Q$6:$Q$384, 'Expenditure Breakdown'!$W$6:$W$384, "&gt;="&amp;V1,'Expenditure Breakdown'!$W$6:$W$384, "&lt;"&amp;W1)</f>
        <v>0</v>
      </c>
      <c r="W11" s="204">
        <f>SUMIFS('Expenditure Breakdown'!$Q$6:$Q$384, 'Expenditure Breakdown'!$W$6:$W$384, "&gt;="&amp;W1,'Expenditure Breakdown'!$W$6:$W$384, "&lt;"&amp;X1)</f>
        <v>0</v>
      </c>
      <c r="X11" s="204">
        <f>SUMIFS('Expenditure Breakdown'!$Q$6:$Q$384, 'Expenditure Breakdown'!$W$6:$W$384, "&gt;="&amp;X1,'Expenditure Breakdown'!$W$6:$W$384, "&lt;"&amp;Y1)</f>
        <v>0</v>
      </c>
      <c r="Y11" s="204">
        <f>SUMIFS('Expenditure Breakdown'!$Q$6:$Q$384, 'Expenditure Breakdown'!$W$6:$W$384, "&gt;="&amp;Y1,'Expenditure Breakdown'!$W$6:$W$384, "&lt;"&amp;Z1)</f>
        <v>0</v>
      </c>
      <c r="Z11" s="204">
        <f>SUMIFS('Expenditure Breakdown'!$Q$6:$Q$384, 'Expenditure Breakdown'!$W$6:$W$384, "&gt;="&amp;Z1,'Expenditure Breakdown'!$W$6:$W$384, "&lt;"&amp;AA1)</f>
        <v>2875421.9278117996</v>
      </c>
      <c r="AA11" s="204">
        <f>SUMIFS('Expenditure Breakdown'!$Q$6:$Q$384, 'Expenditure Breakdown'!$W$6:$W$384, "&gt;="&amp;AA1,'Expenditure Breakdown'!$W$6:$W$384, "&lt;"&amp;AB1)</f>
        <v>2950967.6</v>
      </c>
      <c r="AB11" s="204">
        <f>SUMIFS('Expenditure Breakdown'!$Q$6:$Q$384, 'Expenditure Breakdown'!$W$6:$W$384, "&gt;="&amp;AB1,'Expenditure Breakdown'!$W$6:$W$384, "&lt;"&amp;AC1)</f>
        <v>2203305.94</v>
      </c>
      <c r="AC11" s="204">
        <f>SUMIFS('Expenditure Breakdown'!$Q$6:$Q$384, 'Expenditure Breakdown'!$W$6:$W$384, "&gt;="&amp;AC1,'Expenditure Breakdown'!$W$6:$W$384, "&lt;"&amp;AD1)</f>
        <v>16170.84</v>
      </c>
      <c r="AD11" s="204">
        <f>SUMIFS('Expenditure Breakdown'!$Q$6:$Q$384, 'Expenditure Breakdown'!$W$6:$W$384, "&gt;="&amp;AD1,'Expenditure Breakdown'!$W$6:$W$384, "&lt;"&amp;AE1)</f>
        <v>10400</v>
      </c>
      <c r="AE11" s="204">
        <f>SUMIFS('Expenditure Breakdown'!$Q$6:$Q$384, 'Expenditure Breakdown'!$W$6:$W$384, "&gt;="&amp;AE1,'Expenditure Breakdown'!$W$6:$W$384, "&lt;"&amp;AF1)</f>
        <v>1891236.5</v>
      </c>
      <c r="AF11" s="204">
        <f>SUMIFS('Expenditure Breakdown'!$Q$6:$Q$384, 'Expenditure Breakdown'!$W$6:$W$384, "&gt;="&amp;AF1,'Expenditure Breakdown'!$W$6:$W$384, "&lt;"&amp;AG1)</f>
        <v>19205.5</v>
      </c>
      <c r="AG11" s="204">
        <f>SUMIFS('Expenditure Breakdown'!$Q$6:$Q$384, 'Expenditure Breakdown'!$W$6:$W$384, "&gt;="&amp;AG1,'Expenditure Breakdown'!$W$6:$W$384, "&lt;"&amp;AH1)</f>
        <v>990304.26</v>
      </c>
      <c r="AH11" s="204">
        <f>SUMIFS('Expenditure Breakdown'!$Q$6:$Q$384, 'Expenditure Breakdown'!$W$6:$W$384, "&gt;="&amp;AH1,'Expenditure Breakdown'!$W$6:$W$384, "&lt;"&amp;AI1)</f>
        <v>21545.980000000003</v>
      </c>
      <c r="AI11" s="204">
        <f>SUMIFS('Expenditure Breakdown'!$Q$6:$Q$384, 'Expenditure Breakdown'!$W$6:$W$384, "&gt;="&amp;AI1,'Expenditure Breakdown'!$W$6:$W$384, "&lt;"&amp;AJ1)</f>
        <v>3127.77</v>
      </c>
      <c r="AJ11" s="204">
        <f>SUMIFS('Expenditure Breakdown'!$Q$6:$Q$384, 'Expenditure Breakdown'!$W$6:$W$384, "&gt;="&amp;AJ1,'Expenditure Breakdown'!$W$6:$W$384, "&lt;"&amp;AK1)</f>
        <v>13753.859999999999</v>
      </c>
      <c r="AK11" s="204">
        <f>SUMIFS('Expenditure Breakdown'!$Q$6:$Q$384, 'Expenditure Breakdown'!$W$6:$W$384, "&gt;="&amp;AK1,'Expenditure Breakdown'!$W$6:$W$384, "&lt;"&amp;AL1)</f>
        <v>1798952.82</v>
      </c>
      <c r="AL11" s="204">
        <f>SUMIFS('Expenditure Breakdown'!$Q$6:$Q$384, 'Expenditure Breakdown'!$W$6:$W$384, "&gt;="&amp;AL1,'Expenditure Breakdown'!$W$6:$W$384, "&lt;"&amp;AM1)</f>
        <v>5230583.5299999993</v>
      </c>
      <c r="AM11" s="204">
        <f>SUMIFS('Expenditure Breakdown'!$Q$6:$Q$384, 'Expenditure Breakdown'!$W$6:$W$384, "&gt;="&amp;AM1,'Expenditure Breakdown'!$W$6:$W$384, "&lt;"&amp;AN1)</f>
        <v>141520.99</v>
      </c>
      <c r="AN11" s="204">
        <f>SUMIFS('Expenditure Breakdown'!$Q$6:$Q$384, 'Expenditure Breakdown'!$W$6:$W$384, "&gt;="&amp;AN1,'Expenditure Breakdown'!$W$6:$W$384, "&lt;"&amp;AO1)</f>
        <v>0</v>
      </c>
      <c r="AO11" s="204">
        <f>SUMIFS('Expenditure Breakdown'!$Q$6:$Q$384, 'Expenditure Breakdown'!$W$6:$W$384, "&gt;="&amp;AO1,'Expenditure Breakdown'!$W$6:$W$384, "&lt;"&amp;AP1)</f>
        <v>1513895.8521739133</v>
      </c>
      <c r="AP11" s="204">
        <f>SUMIFS('Expenditure Breakdown'!$Q$6:$Q$384, 'Expenditure Breakdown'!$W$6:$W$384, "&gt;="&amp;AP1,'Expenditure Breakdown'!$W$6:$W$384, "&lt;"&amp;AQ1)</f>
        <v>3431787.11</v>
      </c>
      <c r="AQ11" s="204">
        <f>SUMIFS('Expenditure Breakdown'!$Q$6:$Q$384, 'Expenditure Breakdown'!$W$6:$W$384, "&gt;="&amp;AQ1,'Expenditure Breakdown'!$W$6:$W$384, "&lt;"&amp;AR1)</f>
        <v>35705.15</v>
      </c>
      <c r="AR11" s="204">
        <f>SUMIFS('Expenditure Breakdown'!$Q$6:$Q$384, 'Expenditure Breakdown'!$W$6:$W$384, "&gt;="&amp;AR1,'Expenditure Breakdown'!$W$6:$W$384, "&lt;"&amp;AS1)</f>
        <v>3941564.8800000008</v>
      </c>
      <c r="AS11" s="204">
        <f>SUMIFS('Expenditure Breakdown'!$Q$6:$Q$384, 'Expenditure Breakdown'!$W$6:$W$384, "&gt;="&amp;AS1,'Expenditure Breakdown'!$W$6:$W$384, "&lt;"&amp;AT1)</f>
        <v>0</v>
      </c>
      <c r="AT11" s="204">
        <f>SUMIFS('Expenditure Breakdown'!$Q$6:$Q$384, 'Expenditure Breakdown'!$W$6:$W$384, "&gt;="&amp;AT1,'Expenditure Breakdown'!$W$6:$W$384, "&lt;"&amp;AU1)</f>
        <v>420768.77</v>
      </c>
      <c r="AU11" s="204">
        <f>SUMIFS('Expenditure Breakdown'!$Q$6:$Q$384, 'Expenditure Breakdown'!$W$6:$W$384, "&gt;="&amp;AU1,'Expenditure Breakdown'!$W$6:$W$384, "&lt;"&amp;AV1)</f>
        <v>64726.880000000005</v>
      </c>
      <c r="AV11" s="204">
        <f>SUMIFS('Expenditure Breakdown'!$Q$6:$Q$384, 'Expenditure Breakdown'!$W$6:$W$384, "&gt;="&amp;AV1,'Expenditure Breakdown'!$W$6:$W$384, "&lt;"&amp;AW1)</f>
        <v>16719</v>
      </c>
      <c r="AW11" s="204">
        <f>SUMIFS('Expenditure Breakdown'!$Q$6:$Q$384, 'Expenditure Breakdown'!$W$6:$W$384, "&gt;="&amp;AW1,'Expenditure Breakdown'!$W$6:$W$384, "&lt;"&amp;AX1)</f>
        <v>0</v>
      </c>
      <c r="AX11" s="204">
        <f>SUMIFS('Expenditure Breakdown'!$Q$6:$Q$384, 'Expenditure Breakdown'!$W$6:$W$384, "&gt;="&amp;AX1,'Expenditure Breakdown'!$W$6:$W$384, "&lt;"&amp;AY1)</f>
        <v>4895141.928634299</v>
      </c>
      <c r="AY11" s="204">
        <f>SUMIFS('Expenditure Breakdown'!$Q$6:$Q$384, 'Expenditure Breakdown'!$W$6:$W$384, "&gt;="&amp;AY1,'Expenditure Breakdown'!$W$6:$W$384, "&lt;"&amp;AZ1)</f>
        <v>450963.72</v>
      </c>
      <c r="AZ11" s="204">
        <f>SUMIFS('Expenditure Breakdown'!$Q$6:$Q$384, 'Expenditure Breakdown'!$W$6:$W$384, "&gt;="&amp;AZ1,'Expenditure Breakdown'!$W$6:$W$384, "&lt;"&amp;BA1)</f>
        <v>161410.04999999999</v>
      </c>
      <c r="BA11" s="204">
        <f>SUMIFS('Expenditure Breakdown'!$Q$6:$Q$384, 'Expenditure Breakdown'!$W$6:$W$384, "&gt;="&amp;BA1,'Expenditure Breakdown'!$W$6:$W$384, "&lt;"&amp;BB1)</f>
        <v>931767.9</v>
      </c>
      <c r="BB11" s="204">
        <f>SUMIFS('Expenditure Breakdown'!$Q$6:$Q$384, 'Expenditure Breakdown'!$W$6:$W$384, "&gt;="&amp;BB1,'Expenditure Breakdown'!$W$6:$W$384, "&lt;"&amp;BC1)</f>
        <v>509318</v>
      </c>
      <c r="BC11" s="204">
        <f>SUMIFS('Expenditure Breakdown'!$Q$6:$Q$384, 'Expenditure Breakdown'!$W$6:$W$384, "&gt;="&amp;BC1,'Expenditure Breakdown'!$W$6:$W$384, "&lt;"&amp;BD1)</f>
        <v>223411</v>
      </c>
      <c r="BD11" s="204">
        <f>SUMIFS('Expenditure Breakdown'!$Q$6:$Q$384, 'Expenditure Breakdown'!$W$6:$W$384, "&gt;="&amp;BD1,'Expenditure Breakdown'!$W$6:$W$384, "&lt;"&amp;BE1)</f>
        <v>2146674.1078260848</v>
      </c>
      <c r="BE11" s="204">
        <f>SUMIFS('Expenditure Breakdown'!$Q$6:$Q$384, 'Expenditure Breakdown'!$W$6:$W$384, "&gt;="&amp;BE1,'Expenditure Breakdown'!$W$6:$W$384, "&lt;"&amp;BF1)</f>
        <v>1131449.1304347827</v>
      </c>
      <c r="BF11" s="204">
        <f>SUMIFS('Expenditure Breakdown'!$Q$6:$Q$384, 'Expenditure Breakdown'!$W$6:$W$384, "&gt;="&amp;BF1,'Expenditure Breakdown'!$W$6:$W$384, "&lt;"&amp;BG1)</f>
        <v>1877737.959</v>
      </c>
      <c r="BG11" s="204">
        <f>SUMIFS('Expenditure Breakdown'!$Q$6:$Q$384, 'Expenditure Breakdown'!$W$6:$W$384, "&gt;="&amp;BG1,'Expenditure Breakdown'!$W$6:$W$384, "&lt;"&amp;BH1)</f>
        <v>3715734.2205652175</v>
      </c>
      <c r="BH11" s="204">
        <f>SUMIFS('Expenditure Breakdown'!$Q$6:$Q$384, 'Expenditure Breakdown'!$W$6:$W$384, "&gt;="&amp;BH1,'Expenditure Breakdown'!$W$6:$W$384, "&lt;"&amp;BI1)</f>
        <v>36574.85</v>
      </c>
      <c r="BI11" s="204">
        <f>SUMIFS('Expenditure Breakdown'!$Q$6:$Q$384, 'Expenditure Breakdown'!$W$6:$W$384, "&gt;="&amp;BI1,'Expenditure Breakdown'!$W$6:$W$384, "&lt;"&amp;BJ1)</f>
        <v>1129.28</v>
      </c>
      <c r="BJ11" s="204">
        <f>SUMIFS('Expenditure Breakdown'!$Q$6:$Q$384, 'Expenditure Breakdown'!$W$6:$W$384, "&gt;="&amp;BJ1,'Expenditure Breakdown'!$W$6:$W$384, "&lt;"&amp;BK1)</f>
        <v>0</v>
      </c>
      <c r="BK11" s="204">
        <f>SUMIFS('Expenditure Breakdown'!$Q$6:$Q$384, 'Expenditure Breakdown'!$W$6:$W$384, "&gt;="&amp;BK1,'Expenditure Breakdown'!$W$6:$W$384, "&lt;"&amp;BL1)</f>
        <v>685515.53</v>
      </c>
      <c r="BL11" s="204">
        <f>SUMIFS('Expenditure Breakdown'!$Q$6:$Q$384, 'Expenditure Breakdown'!$W$6:$W$384, "&gt;="&amp;BL1,'Expenditure Breakdown'!$W$6:$W$384, "&lt;"&amp;BM1)</f>
        <v>373424.38</v>
      </c>
      <c r="BM11" s="204">
        <f>SUMIFS('Expenditure Breakdown'!$Q$6:$Q$384, 'Expenditure Breakdown'!$W$6:$W$384, "&gt;="&amp;BM1,'Expenditure Breakdown'!$W$6:$W$384, "&lt;"&amp;BN1)</f>
        <v>0</v>
      </c>
      <c r="BN11" s="204">
        <f>SUMIFS('Expenditure Breakdown'!$Q$6:$Q$384, 'Expenditure Breakdown'!$W$6:$W$384, "&gt;="&amp;BN1,'Expenditure Breakdown'!$W$6:$W$384, "&lt;"&amp;BO1)</f>
        <v>0</v>
      </c>
      <c r="BO11" s="204">
        <f>SUMIFS('Expenditure Breakdown'!$Q$6:$Q$384, 'Expenditure Breakdown'!$W$6:$W$384, "&gt;="&amp;BO1,'Expenditure Breakdown'!$W$6:$W$384, "&lt;"&amp;BP1)</f>
        <v>2843</v>
      </c>
      <c r="BP11" s="204">
        <f>SUMIFS('Expenditure Breakdown'!$Q$6:$Q$384, 'Expenditure Breakdown'!$W$6:$W$384, "&gt;="&amp;BP1,'Expenditure Breakdown'!$W$6:$W$384, "&lt;"&amp;BQ1)</f>
        <v>631196.66666666663</v>
      </c>
      <c r="BQ11" s="204">
        <f>SUMIFS('Expenditure Breakdown'!$Q$6:$Q$384, 'Expenditure Breakdown'!$W$6:$W$384, "&gt;="&amp;BQ1,'Expenditure Breakdown'!$W$6:$W$384, "&lt;"&amp;BR1)</f>
        <v>55801.279999999999</v>
      </c>
      <c r="BR11" s="204">
        <f>SUMIFS('Expenditure Breakdown'!$Q$6:$Q$384, 'Expenditure Breakdown'!$W$6:$W$384, "&gt;="&amp;BR1,'Expenditure Breakdown'!$W$6:$W$384, "&lt;"&amp;BS1)</f>
        <v>0</v>
      </c>
      <c r="BS11" s="204">
        <f>SUMIFS('Expenditure Breakdown'!$Q$6:$Q$384, 'Expenditure Breakdown'!$W$6:$W$384, "&gt;="&amp;BS1,'Expenditure Breakdown'!$W$6:$W$384, "&lt;"&amp;BT1)</f>
        <v>0</v>
      </c>
      <c r="BT11" s="204">
        <f>SUMIFS('Expenditure Breakdown'!$Q$6:$Q$384, 'Expenditure Breakdown'!$W$6:$W$384, "&gt;="&amp;BT1,'Expenditure Breakdown'!$W$6:$W$384, "&lt;"&amp;BU1)</f>
        <v>700699.66666666674</v>
      </c>
      <c r="BU11" s="204">
        <f>SUMIFS('Expenditure Breakdown'!$Q$6:$Q$384, 'Expenditure Breakdown'!$W$6:$W$384, "&gt;="&amp;BU1,'Expenditure Breakdown'!$W$6:$W$384, "&lt;"&amp;BV1)</f>
        <v>0</v>
      </c>
      <c r="BV11" s="204">
        <f>SUMIFS('Expenditure Breakdown'!$Q$6:$Q$384, 'Expenditure Breakdown'!$W$6:$W$384, "&gt;="&amp;BV1,'Expenditure Breakdown'!$W$6:$W$384, "&lt;"&amp;BW1)</f>
        <v>600000</v>
      </c>
      <c r="BW11" s="204">
        <f>SUMIFS('Expenditure Breakdown'!$Q$6:$Q$384, 'Expenditure Breakdown'!$W$6:$W$384, "&gt;="&amp;BW1,'Expenditure Breakdown'!$W$6:$W$384, "&lt;"&amp;BX1)</f>
        <v>0</v>
      </c>
      <c r="BX11" s="204">
        <f>SUMIFS('Expenditure Breakdown'!$Q$6:$Q$384, 'Expenditure Breakdown'!$W$6:$W$384, "&gt;="&amp;BX1,'Expenditure Breakdown'!$W$6:$W$384, "&lt;"&amp;BY1)</f>
        <v>82140.666666666672</v>
      </c>
      <c r="BY11" s="204">
        <f>SUMIFS('Expenditure Breakdown'!$Q$6:$Q$384, 'Expenditure Breakdown'!$W$6:$W$384, "&gt;="&amp;BY1,'Expenditure Breakdown'!$W$6:$W$384, "&lt;"&amp;BZ1)</f>
        <v>0</v>
      </c>
      <c r="BZ11" s="204">
        <f>SUMIFS('Expenditure Breakdown'!$Q$6:$Q$384, 'Expenditure Breakdown'!$W$6:$W$384, "&gt;="&amp;BZ1,'Expenditure Breakdown'!$W$6:$W$384, "&lt;"&amp;CA1)</f>
        <v>0</v>
      </c>
      <c r="CA11" s="204">
        <f>SUMIFS('Expenditure Breakdown'!$Q$6:$Q$384, 'Expenditure Breakdown'!$W$6:$W$384, "&gt;="&amp;CA1,'Expenditure Breakdown'!$W$6:$W$384, "&lt;"&amp;CB1)</f>
        <v>0</v>
      </c>
      <c r="CB11" s="204">
        <f>SUMIFS('Expenditure Breakdown'!$Q$6:$Q$384, 'Expenditure Breakdown'!$W$6:$W$384, "&gt;="&amp;CB1,'Expenditure Breakdown'!$W$6:$W$384, "&lt;"&amp;CC1)</f>
        <v>0</v>
      </c>
      <c r="CC11" s="204">
        <f>SUMIFS('Expenditure Breakdown'!$Q$6:$Q$384, 'Expenditure Breakdown'!$W$6:$W$384, "&gt;="&amp;CC1,'Expenditure Breakdown'!$W$6:$W$384, "&lt;"&amp;CD1)</f>
        <v>82140.666666666672</v>
      </c>
      <c r="CD11" s="204">
        <f>SUMIFS('Expenditure Breakdown'!$Q$6:$Q$384, 'Expenditure Breakdown'!$W$6:$W$384, "&gt;="&amp;CD1,'Expenditure Breakdown'!$W$6:$W$384, "&lt;"&amp;CE1)</f>
        <v>0</v>
      </c>
      <c r="CE11" s="204">
        <f>SUMIFS('Expenditure Breakdown'!$Q$6:$Q$384, 'Expenditure Breakdown'!$W$6:$W$384, "&gt;="&amp;CE1,'Expenditure Breakdown'!$W$6:$W$384, "&lt;"&amp;CF1)</f>
        <v>0</v>
      </c>
      <c r="CF11" s="204">
        <f>SUMIFS('Expenditure Breakdown'!$Q$6:$Q$384, 'Expenditure Breakdown'!$W$6:$W$384, "&gt;="&amp;CF1,'Expenditure Breakdown'!$W$6:$W$384, "&lt;"&amp;CG1)</f>
        <v>0</v>
      </c>
      <c r="CG11" s="204">
        <f>SUMIFS('Expenditure Breakdown'!$Q$6:$Q$384, 'Expenditure Breakdown'!$W$6:$W$384, "&gt;="&amp;CG1,'Expenditure Breakdown'!$W$6:$W$384, "&lt;"&amp;CH1)</f>
        <v>82140.666666666672</v>
      </c>
      <c r="CH11" s="204">
        <f>SUMIFS('Expenditure Breakdown'!$Q$6:$Q$384, 'Expenditure Breakdown'!$W$6:$W$384, "&gt;="&amp;CH1,'Expenditure Breakdown'!$W$6:$W$384, "&lt;"&amp;CI1)</f>
        <v>0</v>
      </c>
      <c r="CI11" s="204">
        <f>SUMIFS('Expenditure Breakdown'!$Q$6:$Q$384, 'Expenditure Breakdown'!$W$6:$W$384, "&gt;="&amp;CI1,'Expenditure Breakdown'!$W$6:$W$384, "&lt;"&amp;CJ1)</f>
        <v>0</v>
      </c>
      <c r="CJ11" s="204">
        <f>SUMIFS('Expenditure Breakdown'!$Q$6:$Q$384, 'Expenditure Breakdown'!$W$6:$W$384, "&gt;="&amp;CJ1,'Expenditure Breakdown'!$W$6:$W$384, "&lt;"&amp;CK1)</f>
        <v>0</v>
      </c>
      <c r="CK11" s="204">
        <f>SUMIFS('Expenditure Breakdown'!$Q$6:$Q$384, 'Expenditure Breakdown'!$W$6:$W$384, "&gt;="&amp;CK1,'Expenditure Breakdown'!$W$6:$W$384, "&lt;"&amp;CL1)</f>
        <v>0</v>
      </c>
      <c r="CL11" s="204">
        <f>SUMIFS('Expenditure Breakdown'!$Q$6:$Q$384, 'Expenditure Breakdown'!$W$6:$W$384, "&gt;="&amp;CL1,'Expenditure Breakdown'!$W$6:$W$384, "&lt;"&amp;CM1)</f>
        <v>82140.666666666672</v>
      </c>
      <c r="CM11" s="204">
        <f>SUMIFS('Expenditure Breakdown'!$Q$6:$Q$384, 'Expenditure Breakdown'!$W$6:$W$384, "&gt;="&amp;CM1,'Expenditure Breakdown'!$W$6:$W$384, "&lt;"&amp;CN1)</f>
        <v>0</v>
      </c>
      <c r="CN11" s="204">
        <f>SUMIFS('Expenditure Breakdown'!$Q$6:$Q$384, 'Expenditure Breakdown'!$W$6:$W$384, "&gt;="&amp;CN1,'Expenditure Breakdown'!$W$6:$W$384, "&lt;"&amp;CO1)</f>
        <v>0</v>
      </c>
      <c r="CO11" s="204">
        <f>SUMIFS('Expenditure Breakdown'!$Q$6:$Q$384, 'Expenditure Breakdown'!$W$6:$W$384, "&gt;="&amp;CO1,'Expenditure Breakdown'!$W$6:$W$384, "&lt;"&amp;CP1)</f>
        <v>0</v>
      </c>
      <c r="CP11" s="204">
        <f>SUMIFS('Expenditure Breakdown'!$Q$6:$Q$384, 'Expenditure Breakdown'!$W$6:$W$384, "&gt;="&amp;CP1,'Expenditure Breakdown'!$W$6:$W$384, "&lt;"&amp;CQ1)</f>
        <v>82140.666666666672</v>
      </c>
      <c r="CQ11" s="204">
        <f>SUMIFS('Expenditure Breakdown'!$Q$6:$Q$384, 'Expenditure Breakdown'!$W$6:$W$384, "&gt;="&amp;CQ1,'Expenditure Breakdown'!$W$6:$W$384, "&lt;"&amp;CR1)</f>
        <v>0</v>
      </c>
      <c r="CR11" s="204">
        <f>SUMIFS('Expenditure Breakdown'!$Q$6:$Q$384, 'Expenditure Breakdown'!$W$6:$W$384, "&gt;="&amp;CR1,'Expenditure Breakdown'!$W$6:$W$384, "&lt;"&amp;CS1)</f>
        <v>0</v>
      </c>
      <c r="CS11" s="204">
        <f>SUMIFS('Expenditure Breakdown'!$Q$6:$Q$384, 'Expenditure Breakdown'!$W$6:$W$384, "&gt;="&amp;CS1,'Expenditure Breakdown'!$W$6:$W$384, "&lt;"&amp;CT1)</f>
        <v>0</v>
      </c>
      <c r="CT11" s="204">
        <f>SUMIFS('Expenditure Breakdown'!$Q$6:$Q$384, 'Expenditure Breakdown'!$W$6:$W$384, "&gt;="&amp;CT1,'Expenditure Breakdown'!$W$6:$W$384, "&lt;"&amp;CU1)</f>
        <v>82140.666666666672</v>
      </c>
      <c r="CU11" s="204">
        <f>SUMIFS('Expenditure Breakdown'!$Q$6:$Q$384, 'Expenditure Breakdown'!$W$6:$W$384, "&gt;="&amp;CU1,'Expenditure Breakdown'!$W$6:$W$384, "&lt;"&amp;CV1)</f>
        <v>0</v>
      </c>
      <c r="CV11" s="204">
        <f>SUMIFS('Expenditure Breakdown'!$Q$6:$Q$384, 'Expenditure Breakdown'!$W$6:$W$384, "&gt;="&amp;CV1,'Expenditure Breakdown'!$W$6:$W$384, "&lt;"&amp;CW1)</f>
        <v>0</v>
      </c>
      <c r="CW11" s="204">
        <f>SUMIFS('Expenditure Breakdown'!$Q$6:$Q$384, 'Expenditure Breakdown'!$W$6:$W$384, "&gt;="&amp;CW1,'Expenditure Breakdown'!$W$6:$W$384, "&lt;"&amp;CX1)</f>
        <v>0</v>
      </c>
      <c r="CX11" s="204">
        <f>SUMIFS('Expenditure Breakdown'!$Q$6:$Q$384, 'Expenditure Breakdown'!$W$6:$W$384, "&gt;="&amp;CX1,'Expenditure Breakdown'!$W$6:$W$384, "&lt;"&amp;CY1)</f>
        <v>0</v>
      </c>
      <c r="CY11" s="204">
        <f>SUMIFS('Expenditure Breakdown'!$Q$6:$Q$384, 'Expenditure Breakdown'!$W$6:$W$384, "&gt;="&amp;CY1,'Expenditure Breakdown'!$W$6:$W$384, "&lt;"&amp;CZ1)</f>
        <v>382140.66666666669</v>
      </c>
      <c r="CZ11" s="204">
        <f>SUMIFS('Expenditure Breakdown'!$Q$6:$Q$384, 'Expenditure Breakdown'!$W$6:$W$384, "&gt;="&amp;CZ1,'Expenditure Breakdown'!$W$6:$W$384, "&lt;"&amp;DA1)</f>
        <v>0</v>
      </c>
      <c r="DA11" s="204">
        <f>SUMIFS('Expenditure Breakdown'!$Q$6:$Q$384, 'Expenditure Breakdown'!$W$6:$W$384, "&gt;="&amp;DA1,'Expenditure Breakdown'!$W$6:$W$384, "&lt;"&amp;DB1)</f>
        <v>0</v>
      </c>
      <c r="DB11" s="204">
        <f>SUMIFS('Expenditure Breakdown'!$Q$6:$Q$384, 'Expenditure Breakdown'!$W$6:$W$384, "&gt;="&amp;DB1,'Expenditure Breakdown'!$W$6:$W$384, "&lt;"&amp;DC1)</f>
        <v>0</v>
      </c>
      <c r="DC11" s="204">
        <f>SUMIFS('Expenditure Breakdown'!$Q$6:$Q$384, 'Expenditure Breakdown'!$W$6:$W$384, "&gt;="&amp;DC1,'Expenditure Breakdown'!$W$6:$W$384, "&lt;"&amp;DD1)</f>
        <v>82140.666666666672</v>
      </c>
      <c r="DD11" s="204">
        <f>SUMIFS('Expenditure Breakdown'!$Q$6:$Q$384, 'Expenditure Breakdown'!$W$6:$W$384, "&gt;="&amp;DD1,'Expenditure Breakdown'!$W$6:$W$384, "&lt;"&amp;DE1)</f>
        <v>0</v>
      </c>
      <c r="DE11" s="204">
        <f>SUMIFS('Expenditure Breakdown'!$Q$6:$Q$384, 'Expenditure Breakdown'!$W$6:$W$384, "&gt;="&amp;DE1,'Expenditure Breakdown'!$W$6:$W$384, "&lt;"&amp;DF1)</f>
        <v>0</v>
      </c>
      <c r="DF11" s="204">
        <f>SUMIFS('Expenditure Breakdown'!$Q$6:$Q$384, 'Expenditure Breakdown'!$W$6:$W$384, "&gt;="&amp;DF1,'Expenditure Breakdown'!$W$6:$W$384, "&lt;"&amp;DG1)</f>
        <v>0</v>
      </c>
      <c r="DG11" s="204">
        <f>SUMIFS('Expenditure Breakdown'!$Q$6:$Q$384, 'Expenditure Breakdown'!$W$6:$W$384, "&gt;="&amp;DG1,'Expenditure Breakdown'!$W$6:$W$384, "&lt;"&amp;DH1)</f>
        <v>82140.666666666672</v>
      </c>
      <c r="DH11" s="204">
        <f>SUMIFS('Expenditure Breakdown'!$Q$6:$Q$384, 'Expenditure Breakdown'!$W$6:$W$384, "&gt;="&amp;DH1,'Expenditure Breakdown'!$W$6:$W$384, "&lt;"&amp;DI1)</f>
        <v>0</v>
      </c>
      <c r="DI11" s="204">
        <f>SUMIFS('Expenditure Breakdown'!$Q$6:$Q$384, 'Expenditure Breakdown'!$W$6:$W$384, "&gt;="&amp;DI1,'Expenditure Breakdown'!$W$6:$W$384, "&lt;"&amp;DJ1)</f>
        <v>0</v>
      </c>
      <c r="DJ11" s="204">
        <f>SUMIFS('Expenditure Breakdown'!$Q$6:$Q$384, 'Expenditure Breakdown'!$W$6:$W$384, "&gt;="&amp;DJ1,'Expenditure Breakdown'!$W$6:$W$384, "&lt;"&amp;DK1)</f>
        <v>0</v>
      </c>
      <c r="DK11" s="204">
        <f>SUMIFS('Expenditure Breakdown'!$Q$6:$Q$384, 'Expenditure Breakdown'!$W$6:$W$384, "&gt;="&amp;DK1,'Expenditure Breakdown'!$W$6:$W$384, "&lt;"&amp;DL1)</f>
        <v>82140.666666666672</v>
      </c>
      <c r="DL11" s="204">
        <f>SUMIFS('Expenditure Breakdown'!$Q$6:$Q$384, 'Expenditure Breakdown'!$W$6:$W$384, "&gt;="&amp;DL1,'Expenditure Breakdown'!$W$6:$W$384, "&lt;"&amp;DM1)</f>
        <v>0</v>
      </c>
      <c r="DM11" s="204">
        <f>SUMIFS('Expenditure Breakdown'!$Q$6:$Q$384, 'Expenditure Breakdown'!$W$6:$W$384, "&gt;="&amp;DM1,'Expenditure Breakdown'!$W$6:$W$384, "&lt;"&amp;DN1)</f>
        <v>0</v>
      </c>
      <c r="DN11" s="204">
        <f>SUMIFS('Expenditure Breakdown'!$Q$6:$Q$384, 'Expenditure Breakdown'!$W$6:$W$384, "&gt;="&amp;DN1,'Expenditure Breakdown'!$W$6:$W$384, "&lt;"&amp;DO1)</f>
        <v>0</v>
      </c>
      <c r="DO11" s="204">
        <f>SUMIFS('Expenditure Breakdown'!$Q$6:$Q$384, 'Expenditure Breakdown'!$W$6:$W$384, "&gt;="&amp;DO1,'Expenditure Breakdown'!$W$6:$W$384, "&lt;"&amp;DP1)</f>
        <v>0</v>
      </c>
      <c r="DP11" s="204">
        <f>SUMIFS('Expenditure Breakdown'!$Q$6:$Q$384, 'Expenditure Breakdown'!$W$6:$W$384, "&gt;="&amp;DP1,'Expenditure Breakdown'!$W$6:$W$384, "&lt;"&amp;DQ1)</f>
        <v>0</v>
      </c>
      <c r="DQ11" s="204">
        <f>SUMIFS('Expenditure Breakdown'!$Q$6:$Q$384, 'Expenditure Breakdown'!$W$6:$W$384, "&gt;="&amp;DQ1,'Expenditure Breakdown'!$W$6:$W$384, "&lt;"&amp;DR1)</f>
        <v>0</v>
      </c>
      <c r="DR11" s="204">
        <f>SUMIFS('Expenditure Breakdown'!$Q$6:$Q$384, 'Expenditure Breakdown'!$W$6:$W$384, "&gt;="&amp;DR1,'Expenditure Breakdown'!$W$6:$W$384, "&lt;"&amp;DS1)</f>
        <v>0</v>
      </c>
      <c r="DS11" s="204">
        <f>SUMIFS('Expenditure Breakdown'!$Q$6:$Q$384, 'Expenditure Breakdown'!$W$6:$W$384, "&gt;="&amp;DS1,'Expenditure Breakdown'!$W$6:$W$384, "&lt;"&amp;DT1)</f>
        <v>0</v>
      </c>
      <c r="DT11" s="204">
        <f>SUMIFS('Expenditure Breakdown'!$Q$6:$Q$384, 'Expenditure Breakdown'!$W$6:$W$384, "&gt;="&amp;DT1,'Expenditure Breakdown'!$W$6:$W$384, "&lt;"&amp;DU1)</f>
        <v>0</v>
      </c>
      <c r="DU11" s="204">
        <f>SUMIFS('Expenditure Breakdown'!$Q$6:$Q$384, 'Expenditure Breakdown'!$W$6:$W$384, "&gt;="&amp;DU1,'Expenditure Breakdown'!$W$6:$W$384, "&lt;"&amp;DV1)</f>
        <v>0</v>
      </c>
      <c r="DV11" s="204">
        <f>SUMIFS('Expenditure Breakdown'!$Q$6:$Q$384, 'Expenditure Breakdown'!$W$6:$W$384, "&gt;="&amp;DV1,'Expenditure Breakdown'!$W$6:$W$384, "&lt;"&amp;DW1)</f>
        <v>0</v>
      </c>
      <c r="DW11" s="204">
        <f>SUMIFS('Expenditure Breakdown'!$Q$6:$Q$384, 'Expenditure Breakdown'!$W$6:$W$384, "&gt;="&amp;DW1,'Expenditure Breakdown'!$W$6:$W$384, "&lt;"&amp;DX1)</f>
        <v>0</v>
      </c>
      <c r="DX11" s="204">
        <f>SUMIFS('Expenditure Breakdown'!$Q$6:$Q$384, 'Expenditure Breakdown'!$W$6:$W$384, "&gt;="&amp;DX1,'Expenditure Breakdown'!$W$6:$W$384, "&lt;"&amp;DY1)</f>
        <v>0</v>
      </c>
      <c r="DY11" s="204">
        <f>SUMIFS('Expenditure Breakdown'!$Q$6:$Q$384, 'Expenditure Breakdown'!$W$6:$W$384, "&gt;="&amp;DY1,'Expenditure Breakdown'!$W$6:$W$384, "&lt;"&amp;DZ1)</f>
        <v>0</v>
      </c>
      <c r="DZ11" s="204">
        <f>SUMIFS('Expenditure Breakdown'!$Q$6:$Q$384, 'Expenditure Breakdown'!$W$6:$W$384, "&gt;="&amp;DZ1,'Expenditure Breakdown'!$W$6:$W$384, "&lt;"&amp;EA1)</f>
        <v>0</v>
      </c>
      <c r="EA11" s="204">
        <f>SUMIFS('Expenditure Breakdown'!$Q$6:$Q$384, 'Expenditure Breakdown'!$W$6:$W$384, "&gt;="&amp;EA1,'Expenditure Breakdown'!$W$6:$W$384, "&lt;"&amp;EB1)</f>
        <v>0</v>
      </c>
      <c r="EB11" s="204">
        <f>SUMIFS('Expenditure Breakdown'!$Q$6:$Q$384, 'Expenditure Breakdown'!$W$6:$W$384, "&gt;="&amp;EB1,'Expenditure Breakdown'!$W$6:$W$384, "&lt;"&amp;EC1)</f>
        <v>0</v>
      </c>
      <c r="EC11" s="204">
        <f>SUMIFS('Expenditure Breakdown'!$Q$6:$Q$384, 'Expenditure Breakdown'!$W$6:$W$384, "&gt;="&amp;EC1,'Expenditure Breakdown'!$W$6:$W$384, "&lt;"&amp;ED1)</f>
        <v>0</v>
      </c>
      <c r="ED11" s="204">
        <f>SUMIFS('Expenditure Breakdown'!$Q$6:$Q$384, 'Expenditure Breakdown'!$W$6:$W$384, "&gt;="&amp;ED1,'Expenditure Breakdown'!$W$6:$W$384, "&lt;"&amp;EE1)</f>
        <v>0</v>
      </c>
      <c r="EE11" s="204">
        <f>SUMIFS('Expenditure Breakdown'!$Q$6:$Q$384, 'Expenditure Breakdown'!$W$6:$W$384, "&gt;="&amp;EE1,'Expenditure Breakdown'!$W$6:$W$384, "&lt;"&amp;EF1)</f>
        <v>0</v>
      </c>
      <c r="EF11" s="204">
        <f>SUMIFS('Expenditure Breakdown'!$Q$6:$Q$384, 'Expenditure Breakdown'!$W$6:$W$384, "&gt;="&amp;EF1,'Expenditure Breakdown'!$W$6:$W$384, "&lt;"&amp;EG1)</f>
        <v>0</v>
      </c>
      <c r="EG11" s="204">
        <f>SUMIFS('Expenditure Breakdown'!$Q$6:$Q$384, 'Expenditure Breakdown'!$W$6:$W$384, "&gt;="&amp;EG1,'Expenditure Breakdown'!$W$6:$W$384, "&lt;"&amp;EH1)</f>
        <v>0</v>
      </c>
      <c r="EH11" s="204">
        <f>SUMIFS('Expenditure Breakdown'!$Q$6:$Q$384, 'Expenditure Breakdown'!$W$6:$W$384, "&gt;="&amp;EH1,'Expenditure Breakdown'!$W$6:$W$384, "&lt;"&amp;EI1)</f>
        <v>0</v>
      </c>
      <c r="EI11" s="204">
        <f>SUMIFS('Expenditure Breakdown'!$Q$6:$Q$384, 'Expenditure Breakdown'!$W$6:$W$384, "&gt;="&amp;EI1,'Expenditure Breakdown'!$W$6:$W$384, "&lt;"&amp;EJ1)</f>
        <v>0</v>
      </c>
      <c r="EJ11" s="204">
        <f>SUMIFS('Expenditure Breakdown'!$Q$6:$Q$384, 'Expenditure Breakdown'!$W$6:$W$384, "&gt;="&amp;EJ1,'Expenditure Breakdown'!$W$6:$W$384, "&lt;"&amp;EK1)</f>
        <v>0</v>
      </c>
      <c r="EK11" s="204">
        <f>SUMIFS('Expenditure Breakdown'!$Q$6:$Q$384, 'Expenditure Breakdown'!$W$6:$W$384, "&gt;="&amp;EK1,'Expenditure Breakdown'!$W$6:$W$384, "&lt;"&amp;EL1)</f>
        <v>0</v>
      </c>
      <c r="EL11" s="204">
        <f>SUMIFS('Expenditure Breakdown'!$Q$6:$Q$384, 'Expenditure Breakdown'!$W$6:$W$384, "&gt;="&amp;EL1,'Expenditure Breakdown'!$W$6:$W$384, "&lt;"&amp;EM1)</f>
        <v>0</v>
      </c>
      <c r="EM11" s="204">
        <f>SUMIFS('Expenditure Breakdown'!$Q$6:$Q$384, 'Expenditure Breakdown'!$W$6:$W$384, "&gt;="&amp;EM1,'Expenditure Breakdown'!$W$6:$W$384, "&lt;"&amp;EN1)</f>
        <v>0</v>
      </c>
      <c r="EN11" s="204">
        <f>SUMIFS('Expenditure Breakdown'!$Q$6:$Q$384, 'Expenditure Breakdown'!$W$6:$W$384, "&gt;="&amp;EN1,'Expenditure Breakdown'!$W$6:$W$384, "&lt;"&amp;EO1)</f>
        <v>0</v>
      </c>
      <c r="EO11" s="204">
        <f>SUMIFS('Expenditure Breakdown'!$Q$6:$Q$384, 'Expenditure Breakdown'!$W$6:$W$384, "&gt;="&amp;EO1,'Expenditure Breakdown'!$W$6:$W$384, "&lt;"&amp;EP1)</f>
        <v>0</v>
      </c>
      <c r="EP11" s="204">
        <f>SUMIFS('Expenditure Breakdown'!$Q$6:$Q$384, 'Expenditure Breakdown'!$W$6:$W$384, "&gt;="&amp;EP1,'Expenditure Breakdown'!$W$6:$W$384, "&lt;"&amp;EQ1)</f>
        <v>0</v>
      </c>
      <c r="EQ11" s="204">
        <f>SUMIFS('Expenditure Breakdown'!$Q$6:$Q$384, 'Expenditure Breakdown'!$W$6:$W$384, "&gt;="&amp;EQ1,'Expenditure Breakdown'!$W$6:$W$384, "&lt;"&amp;ER1)</f>
        <v>0</v>
      </c>
      <c r="ER11" s="204">
        <f>SUMIFS('Expenditure Breakdown'!$Q$6:$Q$384, 'Expenditure Breakdown'!$W$6:$W$384, "&gt;="&amp;ER1,'Expenditure Breakdown'!$W$6:$W$384, "&lt;"&amp;ES1)</f>
        <v>0</v>
      </c>
      <c r="ES11" s="204">
        <f>SUMIFS('Expenditure Breakdown'!$Q$6:$Q$384, 'Expenditure Breakdown'!$W$6:$W$384, "&gt;="&amp;ES1,'Expenditure Breakdown'!$W$6:$W$384, "&lt;"&amp;ET1)</f>
        <v>0</v>
      </c>
      <c r="ET11" s="204">
        <f>SUMIFS('Expenditure Breakdown'!$Q$6:$Q$384, 'Expenditure Breakdown'!$W$6:$W$384, "&gt;="&amp;ET1,'Expenditure Breakdown'!$W$6:$W$384, "&lt;"&amp;EU1)</f>
        <v>0</v>
      </c>
      <c r="EU11" s="204">
        <f>SUMIFS('Expenditure Breakdown'!$Q$6:$Q$384, 'Expenditure Breakdown'!$W$6:$W$384, "&gt;="&amp;EU1,'Expenditure Breakdown'!$W$6:$W$384, "&lt;"&amp;EV1)</f>
        <v>0</v>
      </c>
      <c r="EV11" s="204">
        <f>SUMIFS('Expenditure Breakdown'!$Q$6:$Q$384, 'Expenditure Breakdown'!$W$6:$W$384, "&gt;="&amp;EV1,'Expenditure Breakdown'!$W$6:$W$384, "&lt;"&amp;EW1)</f>
        <v>0</v>
      </c>
      <c r="EW11" s="204">
        <f>SUMIFS('Expenditure Breakdown'!$Q$6:$Q$384, 'Expenditure Breakdown'!$W$6:$W$384, "&gt;="&amp;EW1,'Expenditure Breakdown'!$W$6:$W$384, "&lt;"&amp;EX1)</f>
        <v>0</v>
      </c>
      <c r="EX11" s="204">
        <f>SUMIFS('Expenditure Breakdown'!$Q$6:$Q$384, 'Expenditure Breakdown'!$W$6:$W$384, "&gt;="&amp;EX1,'Expenditure Breakdown'!$W$6:$W$384, "&lt;"&amp;EY1)</f>
        <v>0</v>
      </c>
      <c r="EY11" s="204">
        <f>SUMIFS('Expenditure Breakdown'!$Q$6:$Q$384, 'Expenditure Breakdown'!$W$6:$W$384, "&gt;="&amp;EY1,'Expenditure Breakdown'!$W$6:$W$384, "&lt;"&amp;EZ1)</f>
        <v>0</v>
      </c>
      <c r="EZ11" s="204">
        <f>SUMIFS('Expenditure Breakdown'!$Q$6:$Q$384, 'Expenditure Breakdown'!$W$6:$W$384, "&gt;="&amp;EZ1,'Expenditure Breakdown'!$W$6:$W$384, "&lt;"&amp;FA1)</f>
        <v>0</v>
      </c>
      <c r="FA11" s="204">
        <f>SUMIFS('Expenditure Breakdown'!$Q$6:$Q$384, 'Expenditure Breakdown'!$W$6:$W$384, "&gt;="&amp;FA1,'Expenditure Breakdown'!$W$6:$W$384, "&lt;"&amp;FB1)</f>
        <v>0</v>
      </c>
      <c r="FB11" s="204">
        <f>SUMIFS('Expenditure Breakdown'!$Q$6:$Q$384, 'Expenditure Breakdown'!$W$6:$W$384, "&gt;="&amp;FB1,'Expenditure Breakdown'!$W$6:$W$384, "&lt;"&amp;FC1)</f>
        <v>0</v>
      </c>
      <c r="FC11" s="204">
        <f>SUMIFS('Expenditure Breakdown'!$Q$6:$Q$384, 'Expenditure Breakdown'!$W$6:$W$384, "&gt;="&amp;FC1,'Expenditure Breakdown'!$W$6:$W$384, "&lt;"&amp;FD1)</f>
        <v>0</v>
      </c>
      <c r="FD11" s="204">
        <f>SUMIFS('Expenditure Breakdown'!$Q$6:$Q$384, 'Expenditure Breakdown'!$W$6:$W$384, "&gt;="&amp;FD1,'Expenditure Breakdown'!$W$6:$W$384, "&lt;"&amp;FE1)</f>
        <v>0</v>
      </c>
      <c r="FE11" s="204">
        <f>SUMIFS('Expenditure Breakdown'!$Q$6:$Q$384, 'Expenditure Breakdown'!$W$6:$W$384, "&gt;="&amp;FE1,'Expenditure Breakdown'!$W$6:$W$384, "&lt;"&amp;FF1)</f>
        <v>0</v>
      </c>
      <c r="FF11" s="204">
        <f>SUMIFS('Expenditure Breakdown'!$Q$6:$Q$384, 'Expenditure Breakdown'!$W$6:$W$384, "&gt;="&amp;FF1,'Expenditure Breakdown'!$W$6:$W$384, "&lt;"&amp;FG1)</f>
        <v>0</v>
      </c>
      <c r="FG11" s="204">
        <f>SUMIFS('Expenditure Breakdown'!$Q$6:$Q$384, 'Expenditure Breakdown'!$W$6:$W$384, "&gt;="&amp;FG1,'Expenditure Breakdown'!$W$6:$W$384, "&lt;"&amp;FH1)</f>
        <v>0</v>
      </c>
      <c r="FH11" s="204">
        <f>SUMIFS('Expenditure Breakdown'!$Q$6:$Q$384, 'Expenditure Breakdown'!$W$6:$W$384, "&gt;="&amp;FH1,'Expenditure Breakdown'!$W$6:$W$384, "&lt;"&amp;FI1)</f>
        <v>0</v>
      </c>
      <c r="FI11" s="204">
        <f>SUMIFS('Expenditure Breakdown'!$Q$6:$Q$384, 'Expenditure Breakdown'!$W$6:$W$384, "&gt;="&amp;FI1,'Expenditure Breakdown'!$W$6:$W$384, "&lt;"&amp;FJ1)</f>
        <v>0</v>
      </c>
      <c r="FJ11" s="204">
        <f>SUMIFS('Expenditure Breakdown'!$Q$6:$Q$384, 'Expenditure Breakdown'!$W$6:$W$384, "&gt;="&amp;FJ1,'Expenditure Breakdown'!$W$6:$W$384, "&lt;"&amp;FK1)</f>
        <v>0</v>
      </c>
      <c r="FK11" s="204">
        <f>SUMIFS('Expenditure Breakdown'!$Q$6:$Q$384, 'Expenditure Breakdown'!$W$6:$W$384, "&gt;="&amp;FK1,'Expenditure Breakdown'!$W$6:$W$384, "&lt;"&amp;FL1)</f>
        <v>0</v>
      </c>
      <c r="FL11" s="204">
        <f>SUMIFS('Expenditure Breakdown'!$Q$6:$Q$384, 'Expenditure Breakdown'!$W$6:$W$384, "&gt;="&amp;FL1,'Expenditure Breakdown'!$W$6:$W$384, "&lt;"&amp;FM1)</f>
        <v>0</v>
      </c>
      <c r="FM11" s="204">
        <f>SUMIFS('Expenditure Breakdown'!$Q$6:$Q$384, 'Expenditure Breakdown'!$W$6:$W$384, "&gt;="&amp;FM1,'Expenditure Breakdown'!$W$6:$W$384, "&lt;"&amp;FN1)</f>
        <v>0</v>
      </c>
      <c r="FN11" s="204">
        <f>SUMIFS('Expenditure Breakdown'!$Q$6:$Q$384, 'Expenditure Breakdown'!$W$6:$W$384, "&gt;="&amp;FN1,'Expenditure Breakdown'!$W$6:$W$384, "&lt;"&amp;FO1)</f>
        <v>0</v>
      </c>
      <c r="FO11" s="204">
        <f>SUMIFS('Expenditure Breakdown'!$Q$6:$Q$384, 'Expenditure Breakdown'!$W$6:$W$384, "&gt;="&amp;FO1,'Expenditure Breakdown'!$W$6:$W$384, "&lt;"&amp;FP1)</f>
        <v>0</v>
      </c>
      <c r="FP11" s="204">
        <f>SUMIFS('Expenditure Breakdown'!$Q$6:$Q$384, 'Expenditure Breakdown'!$W$6:$W$384, "&gt;="&amp;FP1,'Expenditure Breakdown'!$W$6:$W$384, "&lt;"&amp;FQ1)</f>
        <v>0</v>
      </c>
      <c r="FQ11" s="204">
        <f>SUMIFS('Expenditure Breakdown'!$Q$6:$Q$384, 'Expenditure Breakdown'!$W$6:$W$384, "&gt;="&amp;FQ1,'Expenditure Breakdown'!$W$6:$W$384, "&lt;"&amp;FR1)</f>
        <v>0</v>
      </c>
      <c r="FR11" s="204">
        <f>SUMIFS('Expenditure Breakdown'!$Q$6:$Q$384, 'Expenditure Breakdown'!$W$6:$W$384, "&gt;="&amp;FR1,'Expenditure Breakdown'!$W$6:$W$384, "&lt;"&amp;FS1)</f>
        <v>0</v>
      </c>
      <c r="FS11" s="204">
        <f>SUMIFS('Expenditure Breakdown'!$Q$6:$Q$384, 'Expenditure Breakdown'!$W$6:$W$384, "&gt;="&amp;FS1,'Expenditure Breakdown'!$W$6:$W$384, "&lt;"&amp;FT1)</f>
        <v>0</v>
      </c>
      <c r="FT11" s="204">
        <f>SUMIFS('Expenditure Breakdown'!$Q$6:$Q$384, 'Expenditure Breakdown'!$W$6:$W$384, "&gt;="&amp;FT1,'Expenditure Breakdown'!$W$6:$W$384, "&lt;"&amp;FU1)</f>
        <v>0</v>
      </c>
      <c r="FU11" s="204">
        <f>SUMIFS('Expenditure Breakdown'!$Q$6:$Q$384, 'Expenditure Breakdown'!$W$6:$W$384, "&gt;="&amp;FU1,'Expenditure Breakdown'!$W$6:$W$384, "&lt;"&amp;FV1)</f>
        <v>0</v>
      </c>
      <c r="FV11" s="204">
        <f>SUMIFS('Expenditure Breakdown'!$Q$6:$Q$384, 'Expenditure Breakdown'!$W$6:$W$384, "&gt;="&amp;FV1,'Expenditure Breakdown'!$W$6:$W$384, "&lt;"&amp;FW1)</f>
        <v>0</v>
      </c>
      <c r="FW11" s="204">
        <f>SUMIFS('Expenditure Breakdown'!$Q$6:$Q$384, 'Expenditure Breakdown'!$W$6:$W$384, "&gt;="&amp;FW1,'Expenditure Breakdown'!$W$6:$W$384, "&lt;"&amp;FX1)</f>
        <v>0</v>
      </c>
      <c r="FX11" s="204">
        <f>SUMIFS('Expenditure Breakdown'!$Q$6:$Q$384, 'Expenditure Breakdown'!$W$6:$W$384, "&gt;="&amp;FX1,'Expenditure Breakdown'!$W$6:$W$384, "&lt;"&amp;FY1)</f>
        <v>0</v>
      </c>
      <c r="FY11" s="204">
        <f>SUMIFS('Expenditure Breakdown'!$Q$6:$Q$384, 'Expenditure Breakdown'!$W$6:$W$384, "&gt;="&amp;FY1,'Expenditure Breakdown'!$W$6:$W$384, "&lt;"&amp;FZ1)</f>
        <v>0</v>
      </c>
      <c r="FZ11" s="204">
        <f>SUMIFS('Expenditure Breakdown'!$Q$6:$Q$384, 'Expenditure Breakdown'!$W$6:$W$384, "&gt;="&amp;FZ1,'Expenditure Breakdown'!$W$6:$W$384, "&lt;"&amp;GA1)</f>
        <v>0</v>
      </c>
      <c r="GA11" s="204">
        <f>SUMIFS('Expenditure Breakdown'!$Q$6:$Q$384, 'Expenditure Breakdown'!$W$6:$W$384, "&gt;="&amp;GA1,'Expenditure Breakdown'!$W$6:$W$384, "&lt;"&amp;GB1)</f>
        <v>0</v>
      </c>
      <c r="GB11" s="204">
        <f>SUMIFS('Expenditure Breakdown'!$Q$6:$Q$384, 'Expenditure Breakdown'!$W$6:$W$384, "&gt;="&amp;GB1,'Expenditure Breakdown'!$W$6:$W$384, "&lt;"&amp;GC1)</f>
        <v>0</v>
      </c>
      <c r="GC11" s="204">
        <f>SUMIFS('Expenditure Breakdown'!$Q$6:$Q$384, 'Expenditure Breakdown'!$W$6:$W$384, "&gt;="&amp;GC1,'Expenditure Breakdown'!$W$6:$W$384, "&lt;"&amp;GD1)</f>
        <v>0</v>
      </c>
      <c r="GD11" s="204">
        <f>SUMIFS('Expenditure Breakdown'!$Q$6:$Q$384, 'Expenditure Breakdown'!$W$6:$W$384, "&gt;="&amp;GD1,'Expenditure Breakdown'!$W$6:$W$384, "&lt;"&amp;GE1)</f>
        <v>0</v>
      </c>
      <c r="GE11" s="204">
        <f>SUMIFS('Expenditure Breakdown'!$Q$6:$Q$384, 'Expenditure Breakdown'!$W$6:$W$384, "&gt;="&amp;GE1,'Expenditure Breakdown'!$W$6:$W$384, "&lt;"&amp;GF1)</f>
        <v>0</v>
      </c>
      <c r="GF11" s="204">
        <f>SUMIFS('Expenditure Breakdown'!$Q$6:$Q$384, 'Expenditure Breakdown'!$W$6:$W$384, "&gt;="&amp;GF1,'Expenditure Breakdown'!$W$6:$W$384, "&lt;"&amp;GG1)</f>
        <v>0</v>
      </c>
      <c r="GG11" s="204">
        <f>SUMIFS('Expenditure Breakdown'!$Q$6:$Q$384, 'Expenditure Breakdown'!$W$6:$W$384, "&gt;="&amp;GG1,'Expenditure Breakdown'!$W$6:$W$384, "&lt;"&amp;GH1)</f>
        <v>0</v>
      </c>
      <c r="GH11" s="204">
        <f>SUMIFS('Expenditure Breakdown'!$Q$6:$Q$384, 'Expenditure Breakdown'!$W$6:$W$384, "&gt;="&amp;GH1,'Expenditure Breakdown'!$W$6:$W$384, "&lt;"&amp;GI1)</f>
        <v>0</v>
      </c>
      <c r="GI11" s="204">
        <f>SUMIFS('Expenditure Breakdown'!$Q$6:$Q$384, 'Expenditure Breakdown'!$W$6:$W$384, "&gt;="&amp;GI1,'Expenditure Breakdown'!$W$6:$W$384, "&lt;"&amp;GJ1)</f>
        <v>0</v>
      </c>
      <c r="GJ11" s="204">
        <f>SUMIFS('Expenditure Breakdown'!$Q$6:$Q$384, 'Expenditure Breakdown'!$W$6:$W$384, "&gt;="&amp;GJ1,'Expenditure Breakdown'!$W$6:$W$384, "&lt;"&amp;GK1)</f>
        <v>0</v>
      </c>
      <c r="GK11" s="204">
        <f>SUMIFS('Expenditure Breakdown'!$Q$6:$Q$384, 'Expenditure Breakdown'!$W$6:$W$384, "&gt;="&amp;GK1,'Expenditure Breakdown'!$W$6:$W$384, "&lt;"&amp;GL1)</f>
        <v>0</v>
      </c>
      <c r="GL11" s="204">
        <f>SUMIFS('Expenditure Breakdown'!$Q$6:$Q$384, 'Expenditure Breakdown'!$W$6:$W$384, "&gt;="&amp;GL1,'Expenditure Breakdown'!$W$6:$W$384, "&lt;"&amp;GM1)</f>
        <v>0</v>
      </c>
      <c r="GM11" s="204">
        <f>SUMIFS('Expenditure Breakdown'!$Q$6:$Q$384, 'Expenditure Breakdown'!$W$6:$W$384, "&gt;="&amp;GM1,'Expenditure Breakdown'!$W$6:$W$384, "&lt;"&amp;GN1)</f>
        <v>0</v>
      </c>
      <c r="GN11" s="204">
        <f>SUMIFS('Expenditure Breakdown'!$Q$6:$Q$384, 'Expenditure Breakdown'!$W$6:$W$384, "&gt;="&amp;GN1,'Expenditure Breakdown'!$W$6:$W$384, "&lt;"&amp;GO1)</f>
        <v>0</v>
      </c>
      <c r="GO11" s="204">
        <f>SUMIFS('Expenditure Breakdown'!$Q$6:$Q$384, 'Expenditure Breakdown'!$W$6:$W$384, "&gt;="&amp;GO1,'Expenditure Breakdown'!$W$6:$W$384, "&lt;"&amp;GP1)</f>
        <v>0</v>
      </c>
      <c r="GP11" s="204">
        <f>SUMIFS('Expenditure Breakdown'!$Q$6:$Q$384, 'Expenditure Breakdown'!$W$6:$W$384, "&gt;="&amp;GP1,'Expenditure Breakdown'!$W$6:$W$384, "&lt;"&amp;GQ1)</f>
        <v>0</v>
      </c>
      <c r="GQ11" s="204">
        <f>SUMIFS('Expenditure Breakdown'!$Q$6:$Q$384, 'Expenditure Breakdown'!$W$6:$W$384, "&gt;="&amp;GQ1,'Expenditure Breakdown'!$W$6:$W$384, "&lt;"&amp;GR1)</f>
        <v>0</v>
      </c>
      <c r="GR11" s="204">
        <f>SUMIFS('Expenditure Breakdown'!$Q$6:$Q$384, 'Expenditure Breakdown'!$W$6:$W$384, "&gt;="&amp;GR1,'Expenditure Breakdown'!$W$6:$W$384, "&lt;"&amp;GS1)</f>
        <v>0</v>
      </c>
      <c r="GS11" s="204">
        <f>SUMIFS('Expenditure Breakdown'!$Q$6:$Q$384, 'Expenditure Breakdown'!$W$6:$W$384, "&gt;="&amp;GS1,'Expenditure Breakdown'!$W$6:$W$384, "&lt;"&amp;GT1)</f>
        <v>0</v>
      </c>
      <c r="GT11" s="204">
        <f>SUMIFS('Expenditure Breakdown'!$Q$6:$Q$384, 'Expenditure Breakdown'!$W$6:$W$384, "&gt;="&amp;GT1,'Expenditure Breakdown'!$W$6:$W$384, "&lt;"&amp;GU1)</f>
        <v>0</v>
      </c>
      <c r="GU11" s="204">
        <f>SUMIFS('Expenditure Breakdown'!$Q$6:$Q$384, 'Expenditure Breakdown'!$W$6:$W$384, "&gt;="&amp;GU1,'Expenditure Breakdown'!$W$6:$W$384, "&lt;"&amp;GV1)</f>
        <v>0</v>
      </c>
      <c r="GV11" s="204">
        <f>SUMIFS('Expenditure Breakdown'!$Q$6:$Q$384, 'Expenditure Breakdown'!$W$6:$W$384, "&gt;="&amp;GV1,'Expenditure Breakdown'!$W$6:$W$384, "&lt;"&amp;GW1)</f>
        <v>0</v>
      </c>
      <c r="GW11" s="204">
        <f>SUMIFS('Expenditure Breakdown'!$Q$6:$Q$384, 'Expenditure Breakdown'!$W$6:$W$384, "&gt;="&amp;GW1,'Expenditure Breakdown'!$W$6:$W$384, "&lt;"&amp;GX1)</f>
        <v>0</v>
      </c>
      <c r="GX11" s="204">
        <f>SUMIFS('Expenditure Breakdown'!$Q$6:$Q$384, 'Expenditure Breakdown'!$W$6:$W$384, "&gt;="&amp;GX1,'Expenditure Breakdown'!$W$6:$W$384, "&lt;"&amp;GY1)</f>
        <v>0</v>
      </c>
      <c r="GY11" s="204">
        <f>SUMIFS('Expenditure Breakdown'!$Q$6:$Q$384, 'Expenditure Breakdown'!$W$6:$W$384, "&gt;="&amp;GY1,'Expenditure Breakdown'!$W$6:$W$384, "&lt;"&amp;GZ1)</f>
        <v>0</v>
      </c>
      <c r="GZ11" s="204">
        <f>SUMIFS('Expenditure Breakdown'!$Q$6:$Q$384, 'Expenditure Breakdown'!$W$6:$W$384, "&gt;="&amp;GZ1,'Expenditure Breakdown'!$W$6:$W$384, "&lt;"&amp;HA1)</f>
        <v>0</v>
      </c>
      <c r="HA11" s="204">
        <f>SUMIFS('Expenditure Breakdown'!$Q$6:$Q$384, 'Expenditure Breakdown'!$W$6:$W$384, "&gt;="&amp;HA1,'Expenditure Breakdown'!$W$6:$W$384, "&lt;"&amp;HB1)</f>
        <v>0</v>
      </c>
      <c r="HB11" s="204">
        <f>SUMIFS('Expenditure Breakdown'!$Q$6:$Q$384, 'Expenditure Breakdown'!$W$6:$W$384, "&gt;="&amp;HB1,'Expenditure Breakdown'!$W$6:$W$384, "&lt;"&amp;HC1)</f>
        <v>0</v>
      </c>
      <c r="HC11" s="204">
        <f>SUMIFS('Expenditure Breakdown'!$Q$6:$Q$384, 'Expenditure Breakdown'!$W$6:$W$384, "&gt;="&amp;HC1,'Expenditure Breakdown'!$W$6:$W$384, "&lt;"&amp;HD1)</f>
        <v>0</v>
      </c>
      <c r="HD11" s="204">
        <f>SUMIFS('Expenditure Breakdown'!$Q$6:$Q$384, 'Expenditure Breakdown'!$W$6:$W$384, "&gt;="&amp;HD1,'Expenditure Breakdown'!$W$6:$W$384, "&lt;"&amp;HE1)</f>
        <v>0</v>
      </c>
      <c r="HE11" s="204">
        <f>SUMIFS('Expenditure Breakdown'!$Q$6:$Q$384, 'Expenditure Breakdown'!$W$6:$W$384, "&gt;="&amp;HE1,'Expenditure Breakdown'!$W$6:$W$384, "&lt;"&amp;HF1)</f>
        <v>0</v>
      </c>
      <c r="HF11" s="204">
        <f>SUMIFS('Expenditure Breakdown'!$Q$6:$Q$384, 'Expenditure Breakdown'!$W$6:$W$384, "&gt;="&amp;HF1,'Expenditure Breakdown'!$W$6:$W$384, "&lt;"&amp;HG1)</f>
        <v>0</v>
      </c>
      <c r="HG11" s="204">
        <f>SUMIFS('Expenditure Breakdown'!$Q$6:$Q$384, 'Expenditure Breakdown'!$W$6:$W$384, "&gt;="&amp;HG1,'Expenditure Breakdown'!$W$6:$W$384, "&lt;"&amp;HH1)</f>
        <v>0</v>
      </c>
      <c r="HH11" s="204">
        <f>SUMIFS('Expenditure Breakdown'!$Q$6:$Q$384, 'Expenditure Breakdown'!$W$6:$W$384, "&gt;="&amp;HH1,'Expenditure Breakdown'!$W$6:$W$384, "&lt;"&amp;HI1)</f>
        <v>0</v>
      </c>
      <c r="HI11" s="204">
        <f>SUMIFS('Expenditure Breakdown'!$Q$6:$Q$384, 'Expenditure Breakdown'!$W$6:$W$384, "&gt;="&amp;HI1,'Expenditure Breakdown'!$W$6:$W$384, "&lt;"&amp;HJ1)</f>
        <v>0</v>
      </c>
      <c r="HJ11" s="204">
        <f>SUMIFS('Expenditure Breakdown'!$Q$6:$Q$384, 'Expenditure Breakdown'!$W$6:$W$384, "&gt;="&amp;HJ1,'Expenditure Breakdown'!$W$6:$W$384, "&lt;"&amp;HK1)</f>
        <v>0</v>
      </c>
      <c r="HK11" s="204">
        <f>SUMIFS('Expenditure Breakdown'!$Q$6:$Q$384, 'Expenditure Breakdown'!$W$6:$W$384, "&gt;="&amp;HK1,'Expenditure Breakdown'!$W$6:$W$384, "&lt;"&amp;HL1)</f>
        <v>0</v>
      </c>
      <c r="HL11" s="204">
        <f>SUMIFS('Expenditure Breakdown'!$Q$6:$Q$384, 'Expenditure Breakdown'!$W$6:$W$384, "&gt;="&amp;HL1,'Expenditure Breakdown'!$W$6:$W$384, "&lt;"&amp;HM1)</f>
        <v>0</v>
      </c>
      <c r="HM11" s="204">
        <f>SUMIFS('Expenditure Breakdown'!$Q$6:$Q$384, 'Expenditure Breakdown'!$W$6:$W$384, "&gt;="&amp;HM1,'Expenditure Breakdown'!$W$6:$W$384, "&lt;"&amp;HN1)</f>
        <v>0</v>
      </c>
      <c r="HN11" s="204">
        <f>SUMIFS('Expenditure Breakdown'!$Q$6:$Q$384, 'Expenditure Breakdown'!$W$6:$W$384, "&gt;="&amp;HN1,'Expenditure Breakdown'!$W$6:$W$384, "&lt;"&amp;HO1)</f>
        <v>0</v>
      </c>
      <c r="HO11" s="204">
        <f>SUMIFS('Expenditure Breakdown'!$Q$6:$Q$384, 'Expenditure Breakdown'!$W$6:$W$384, "&gt;="&amp;HO1,'Expenditure Breakdown'!$W$6:$W$384, "&lt;"&amp;HP1)</f>
        <v>0</v>
      </c>
      <c r="HP11" s="204">
        <f>SUMIFS('Expenditure Breakdown'!$Q$6:$Q$384, 'Expenditure Breakdown'!$W$6:$W$384, "&gt;="&amp;HP1,'Expenditure Breakdown'!$W$6:$W$384, "&lt;"&amp;HQ1)</f>
        <v>0</v>
      </c>
      <c r="HQ11" s="204">
        <f>SUMIFS('Expenditure Breakdown'!$Q$6:$Q$384, 'Expenditure Breakdown'!$W$6:$W$384, "&gt;="&amp;HQ1,'Expenditure Breakdown'!$W$6:$W$384, "&lt;"&amp;HR1)</f>
        <v>0</v>
      </c>
      <c r="HR11" s="204">
        <f>SUMIFS('Expenditure Breakdown'!$Q$6:$Q$384, 'Expenditure Breakdown'!$W$6:$W$384, "&gt;="&amp;HR1,'Expenditure Breakdown'!$W$6:$W$384, "&lt;"&amp;HS1)</f>
        <v>0</v>
      </c>
      <c r="HS11" s="204">
        <f>SUMIFS('Expenditure Breakdown'!$Q$6:$Q$384, 'Expenditure Breakdown'!$W$6:$W$384, "&gt;="&amp;HS1,'Expenditure Breakdown'!$W$6:$W$384, "&lt;"&amp;HT1)</f>
        <v>0</v>
      </c>
      <c r="HT11" s="204">
        <f>SUMIFS('Expenditure Breakdown'!$Q$6:$Q$384, 'Expenditure Breakdown'!$W$6:$W$384, "&gt;="&amp;HT1,'Expenditure Breakdown'!$W$6:$W$384, "&lt;"&amp;HU1)</f>
        <v>0</v>
      </c>
      <c r="HU11" s="204">
        <f>SUMIFS('Expenditure Breakdown'!$Q$6:$Q$384, 'Expenditure Breakdown'!$W$6:$W$384, "&gt;="&amp;HU1,'Expenditure Breakdown'!$W$6:$W$384, "&lt;"&amp;HV1)</f>
        <v>0</v>
      </c>
      <c r="HV11" s="204">
        <f>SUMIFS('Expenditure Breakdown'!$Q$6:$Q$384, 'Expenditure Breakdown'!$W$6:$W$384, "&gt;="&amp;HV1,'Expenditure Breakdown'!$W$6:$W$384, "&lt;"&amp;HW1)</f>
        <v>0</v>
      </c>
      <c r="HW11" s="204">
        <f>SUMIFS('Expenditure Breakdown'!$Q$6:$Q$384, 'Expenditure Breakdown'!$W$6:$W$384, "&gt;="&amp;HW1,'Expenditure Breakdown'!$W$6:$W$384, "&lt;"&amp;HX1)</f>
        <v>0</v>
      </c>
      <c r="HX11" s="204">
        <f>SUMIFS('Expenditure Breakdown'!$Q$6:$Q$384, 'Expenditure Breakdown'!$W$6:$W$384, "&gt;="&amp;HX1,'Expenditure Breakdown'!$W$6:$W$384, "&lt;"&amp;HY1)</f>
        <v>0</v>
      </c>
      <c r="HY11" s="204">
        <f>SUMIFS('Expenditure Breakdown'!$Q$6:$Q$384, 'Expenditure Breakdown'!$W$6:$W$384, "&gt;="&amp;HY1,'Expenditure Breakdown'!$W$6:$W$384, "&lt;"&amp;HZ1)</f>
        <v>0</v>
      </c>
      <c r="HZ11" s="204">
        <f>SUMIFS('Expenditure Breakdown'!$Q$6:$Q$384, 'Expenditure Breakdown'!$W$6:$W$384, "&gt;="&amp;HZ1,'Expenditure Breakdown'!$W$6:$W$384, "&lt;"&amp;IA1)</f>
        <v>0</v>
      </c>
      <c r="IA11" s="204">
        <f>SUMIFS('Expenditure Breakdown'!$Q$6:$Q$384, 'Expenditure Breakdown'!$W$6:$W$384, "&gt;="&amp;IA1,'Expenditure Breakdown'!$W$6:$W$384, "&lt;"&amp;IB1)</f>
        <v>0</v>
      </c>
      <c r="IB11" s="204">
        <f>SUMIFS('Expenditure Breakdown'!$Q$6:$Q$384, 'Expenditure Breakdown'!$W$6:$W$384, "&gt;="&amp;IB1,'Expenditure Breakdown'!$W$6:$W$384, "&lt;"&amp;IC1)</f>
        <v>0</v>
      </c>
      <c r="IC11" s="204">
        <f>SUMIFS('Expenditure Breakdown'!$Q$6:$Q$384, 'Expenditure Breakdown'!$W$6:$W$384, "&gt;="&amp;IC1,'Expenditure Breakdown'!$W$6:$W$384, "&lt;"&amp;ID1)</f>
        <v>0</v>
      </c>
      <c r="ID11" s="204">
        <f>SUMIFS('Expenditure Breakdown'!$Q$6:$Q$384, 'Expenditure Breakdown'!$W$6:$W$384, "&gt;="&amp;ID1,'Expenditure Breakdown'!$W$6:$W$384, "&lt;"&amp;IE1)</f>
        <v>0</v>
      </c>
      <c r="IE11" s="204">
        <f>SUMIFS('Expenditure Breakdown'!$Q$6:$Q$384, 'Expenditure Breakdown'!$W$6:$W$384, "&gt;="&amp;IE1,'Expenditure Breakdown'!$W$6:$W$384, "&lt;"&amp;IF1)</f>
        <v>0</v>
      </c>
      <c r="IF11" s="204">
        <f>SUMIFS('Expenditure Breakdown'!$Q$6:$Q$384, 'Expenditure Breakdown'!$W$6:$W$384, "&gt;="&amp;IF1,'Expenditure Breakdown'!$W$6:$W$384, "&lt;"&amp;IG1)</f>
        <v>0</v>
      </c>
      <c r="IG11" s="204">
        <f>SUMIFS('Expenditure Breakdown'!$Q$6:$Q$384, 'Expenditure Breakdown'!$W$6:$W$384, "&gt;="&amp;IG1,'Expenditure Breakdown'!$W$6:$W$384, "&lt;"&amp;IH1)</f>
        <v>0</v>
      </c>
      <c r="IH11" s="204">
        <f>SUMIFS('Expenditure Breakdown'!$Q$6:$Q$384, 'Expenditure Breakdown'!$W$6:$W$384, "&gt;="&amp;IH1,'Expenditure Breakdown'!$W$6:$W$384, "&lt;"&amp;II1)</f>
        <v>0</v>
      </c>
      <c r="II11" s="204">
        <f>SUMIFS('Expenditure Breakdown'!$Q$6:$Q$384, 'Expenditure Breakdown'!$W$6:$W$384, "&gt;="&amp;II1,'Expenditure Breakdown'!$W$6:$W$384, "&lt;"&amp;IJ1)</f>
        <v>0</v>
      </c>
      <c r="IJ11" s="204">
        <f>SUMIFS('Expenditure Breakdown'!$Q$6:$Q$384, 'Expenditure Breakdown'!$W$6:$W$384, "&gt;="&amp;IJ1,'Expenditure Breakdown'!$W$6:$W$384, "&lt;"&amp;IK1)</f>
        <v>0</v>
      </c>
      <c r="IK11" s="204">
        <f>SUMIFS('Expenditure Breakdown'!$Q$6:$Q$384, 'Expenditure Breakdown'!$W$6:$W$384, "&gt;="&amp;IK1,'Expenditure Breakdown'!$W$6:$W$384, "&lt;"&amp;IL1)</f>
        <v>0</v>
      </c>
      <c r="IL11" s="204">
        <f>SUMIFS('Expenditure Breakdown'!$Q$6:$Q$384, 'Expenditure Breakdown'!$W$6:$W$384, "&gt;="&amp;IL1,'Expenditure Breakdown'!$W$6:$W$384, "&lt;"&amp;IM1)</f>
        <v>0</v>
      </c>
      <c r="IM11" s="204">
        <f>SUMIFS('Expenditure Breakdown'!$Q$6:$Q$384, 'Expenditure Breakdown'!$W$6:$W$384, "&gt;="&amp;IM1,'Expenditure Breakdown'!$W$6:$W$384, "&lt;"&amp;IN1)</f>
        <v>0</v>
      </c>
      <c r="IN11" s="204">
        <f>SUMIFS('Expenditure Breakdown'!$Q$6:$Q$384, 'Expenditure Breakdown'!$W$6:$W$384, "&gt;="&amp;IN1,'Expenditure Breakdown'!$W$6:$W$384, "&lt;"&amp;IO1)</f>
        <v>0</v>
      </c>
      <c r="IO11" s="204">
        <f>SUMIFS('Expenditure Breakdown'!$Q$6:$Q$384, 'Expenditure Breakdown'!$W$6:$W$384, "&gt;="&amp;IO1,'Expenditure Breakdown'!$W$6:$W$384, "&lt;"&amp;IP1)</f>
        <v>0</v>
      </c>
      <c r="IP11" s="204">
        <f>SUMIFS('Expenditure Breakdown'!$Q$6:$Q$384, 'Expenditure Breakdown'!$W$6:$W$384, "&gt;="&amp;IP1,'Expenditure Breakdown'!$W$6:$W$384, "&lt;"&amp;IQ1)</f>
        <v>0</v>
      </c>
      <c r="IQ11" s="204">
        <f>SUMIFS('Expenditure Breakdown'!$Q$6:$Q$384, 'Expenditure Breakdown'!$W$6:$W$384, "&gt;="&amp;IQ1,'Expenditure Breakdown'!$W$6:$W$384, "&lt;"&amp;IR1)</f>
        <v>0</v>
      </c>
      <c r="IR11" s="204">
        <f>SUMIFS('Expenditure Breakdown'!$Q$6:$Q$384, 'Expenditure Breakdown'!$W$6:$W$384, "&gt;="&amp;IR1,'Expenditure Breakdown'!$W$6:$W$384, "&lt;"&amp;IS1)</f>
        <v>0</v>
      </c>
      <c r="IS11" s="204">
        <f>SUMIFS('Expenditure Breakdown'!$Q$6:$Q$384, 'Expenditure Breakdown'!$W$6:$W$384, "&gt;="&amp;IS1,'Expenditure Breakdown'!$W$6:$W$384, "&lt;"&amp;IT1)</f>
        <v>0</v>
      </c>
      <c r="IT11" s="204">
        <f>SUMIFS('Expenditure Breakdown'!$Q$6:$Q$384, 'Expenditure Breakdown'!$W$6:$W$384, "&gt;="&amp;IT1,'Expenditure Breakdown'!$W$6:$W$384, "&lt;"&amp;IU1)</f>
        <v>0</v>
      </c>
      <c r="IU11" s="204">
        <f>SUMIFS('Expenditure Breakdown'!$Q$6:$Q$384, 'Expenditure Breakdown'!$W$6:$W$384, "&gt;="&amp;IU1,'Expenditure Breakdown'!$W$6:$W$384, "&lt;"&amp;IV1)</f>
        <v>0</v>
      </c>
      <c r="IV11" s="204">
        <f>SUMIFS('Expenditure Breakdown'!$Q$6:$Q$384, 'Expenditure Breakdown'!$W$6:$W$384, "&gt;="&amp;IV1,'Expenditure Breakdown'!$W$6:$W$384, "&lt;"&amp;IW1)</f>
        <v>0</v>
      </c>
      <c r="IW11" s="204">
        <f>SUMIFS('Expenditure Breakdown'!$Q$6:$Q$384, 'Expenditure Breakdown'!$W$6:$W$384, "&gt;="&amp;IW1,'Expenditure Breakdown'!$W$6:$W$384, "&lt;"&amp;IX1)</f>
        <v>0</v>
      </c>
      <c r="IX11" s="204">
        <f>SUMIFS('Expenditure Breakdown'!$Q$6:$Q$384, 'Expenditure Breakdown'!$W$6:$W$384, "&gt;="&amp;IX1,'Expenditure Breakdown'!$W$6:$W$384, "&lt;"&amp;IY1)</f>
        <v>0</v>
      </c>
      <c r="IY11" s="204">
        <f>SUMIFS('Expenditure Breakdown'!$Q$6:$Q$384, 'Expenditure Breakdown'!$W$6:$W$384, "&gt;="&amp;IY1,'Expenditure Breakdown'!$W$6:$W$384, "&lt;"&amp;IZ1)</f>
        <v>0</v>
      </c>
      <c r="IZ11" s="204">
        <f>SUMIFS('Expenditure Breakdown'!$Q$6:$Q$384, 'Expenditure Breakdown'!$W$6:$W$384, "&gt;="&amp;IZ1,'Expenditure Breakdown'!$W$6:$W$384, "&lt;"&amp;JA1)</f>
        <v>0</v>
      </c>
      <c r="JA11" s="204">
        <f>SUMIFS('Expenditure Breakdown'!$Q$6:$Q$384, 'Expenditure Breakdown'!$W$6:$W$384, "&gt;="&amp;JA1,'Expenditure Breakdown'!$W$6:$W$384, "&lt;"&amp;JB1)</f>
        <v>0</v>
      </c>
      <c r="JB11" s="204">
        <f>SUMIFS('Expenditure Breakdown'!$Q$6:$Q$384, 'Expenditure Breakdown'!$W$6:$W$384, "&gt;="&amp;JB1,'Expenditure Breakdown'!$W$6:$W$384, "&lt;"&amp;JC1)</f>
        <v>0</v>
      </c>
      <c r="JC11" s="204">
        <f>SUMIFS('Expenditure Breakdown'!$Q$6:$Q$384, 'Expenditure Breakdown'!$W$6:$W$384, "&gt;="&amp;JC1,'Expenditure Breakdown'!$W$6:$W$384, "&lt;"&amp;JD1)</f>
        <v>0</v>
      </c>
      <c r="JD11" s="204">
        <f>SUMIFS('Expenditure Breakdown'!$Q$6:$Q$384, 'Expenditure Breakdown'!$W$6:$W$384, "&gt;="&amp;JD1,'Expenditure Breakdown'!$W$6:$W$384, "&lt;"&amp;JE1)</f>
        <v>0</v>
      </c>
      <c r="JE11" s="204">
        <f>SUMIFS('Expenditure Breakdown'!$Q$6:$Q$384, 'Expenditure Breakdown'!$W$6:$W$384, "&gt;="&amp;JE1,'Expenditure Breakdown'!$W$6:$W$384, "&lt;"&amp;JF1)</f>
        <v>0</v>
      </c>
      <c r="JF11" s="204">
        <f>SUMIFS('Expenditure Breakdown'!$Q$6:$Q$384, 'Expenditure Breakdown'!$W$6:$W$384, "&gt;="&amp;JF1,'Expenditure Breakdown'!$W$6:$W$384, "&lt;"&amp;JG1)</f>
        <v>0</v>
      </c>
      <c r="JG11" s="204">
        <f>SUMIFS('Expenditure Breakdown'!$Q$6:$Q$384, 'Expenditure Breakdown'!$W$6:$W$384, "&gt;="&amp;JG1,'Expenditure Breakdown'!$W$6:$W$384, "&lt;"&amp;JH1)</f>
        <v>0</v>
      </c>
      <c r="JH11" s="204">
        <f>SUMIFS('Expenditure Breakdown'!$Q$6:$Q$384, 'Expenditure Breakdown'!$W$6:$W$384, "&gt;="&amp;JH1,'Expenditure Breakdown'!$W$6:$W$384, "&lt;"&amp;JI1)</f>
        <v>0</v>
      </c>
      <c r="JI11" s="204">
        <f>SUMIFS('Expenditure Breakdown'!$Q$6:$Q$384, 'Expenditure Breakdown'!$W$6:$W$384, "&gt;="&amp;JI1,'Expenditure Breakdown'!$W$6:$W$384, "&lt;"&amp;JJ1)</f>
        <v>0</v>
      </c>
      <c r="JJ11" s="204">
        <f>SUMIFS('Expenditure Breakdown'!$Q$6:$Q$384, 'Expenditure Breakdown'!$W$6:$W$384, "&gt;="&amp;JJ1,'Expenditure Breakdown'!$W$6:$W$384, "&lt;"&amp;JK1)</f>
        <v>0</v>
      </c>
      <c r="JK11" s="204">
        <f>SUMIFS('Expenditure Breakdown'!$Q$6:$Q$384, 'Expenditure Breakdown'!$W$6:$W$384, "&gt;="&amp;JK1,'Expenditure Breakdown'!$W$6:$W$384, "&lt;"&amp;JL1)</f>
        <v>0</v>
      </c>
      <c r="JL11" s="204">
        <f>SUMIFS('Expenditure Breakdown'!$Q$6:$Q$384, 'Expenditure Breakdown'!$W$6:$W$384, "&gt;="&amp;JL1,'Expenditure Breakdown'!$W$6:$W$384, "&lt;"&amp;JM1)</f>
        <v>0</v>
      </c>
      <c r="JM11" s="204">
        <f>SUMIFS('Expenditure Breakdown'!$Q$6:$Q$384, 'Expenditure Breakdown'!$W$6:$W$384, "&gt;="&amp;JM1,'Expenditure Breakdown'!$W$6:$W$384, "&lt;"&amp;JN1)</f>
        <v>0</v>
      </c>
      <c r="JN11" s="204">
        <f>SUMIFS('Expenditure Breakdown'!$Q$6:$Q$384, 'Expenditure Breakdown'!$W$6:$W$384, "&gt;="&amp;JN1,'Expenditure Breakdown'!$W$6:$W$384, "&lt;"&amp;JO1)</f>
        <v>0</v>
      </c>
      <c r="JO11" s="204">
        <f>SUMIFS('Expenditure Breakdown'!$Q$6:$Q$384, 'Expenditure Breakdown'!$W$6:$W$384, "&gt;="&amp;JO1,'Expenditure Breakdown'!$W$6:$W$384, "&lt;"&amp;JP1)</f>
        <v>0</v>
      </c>
      <c r="JP11" s="204">
        <f>SUMIFS('Expenditure Breakdown'!$Q$6:$Q$384, 'Expenditure Breakdown'!$W$6:$W$384, "&gt;="&amp;JP1,'Expenditure Breakdown'!$W$6:$W$384, "&lt;"&amp;JQ1)</f>
        <v>0</v>
      </c>
      <c r="JQ11" s="204">
        <f>SUMIFS('Expenditure Breakdown'!$Q$6:$Q$384, 'Expenditure Breakdown'!$W$6:$W$384, "&gt;="&amp;JQ1,'Expenditure Breakdown'!$W$6:$W$384, "&lt;"&amp;JR1)</f>
        <v>0</v>
      </c>
      <c r="JR11" s="204">
        <f>SUMIFS('Expenditure Breakdown'!$Q$6:$Q$384, 'Expenditure Breakdown'!$W$6:$W$384, "&gt;="&amp;JR1,'Expenditure Breakdown'!$W$6:$W$384, "&lt;"&amp;JS1)</f>
        <v>0</v>
      </c>
      <c r="JS11" s="204">
        <f>SUMIFS('Expenditure Breakdown'!$Q$6:$Q$384, 'Expenditure Breakdown'!$W$6:$W$384, "&gt;="&amp;JS1,'Expenditure Breakdown'!$W$6:$W$384, "&lt;"&amp;JT1)</f>
        <v>0</v>
      </c>
      <c r="JT11" s="204">
        <f>SUMIFS('Expenditure Breakdown'!$Q$6:$Q$384, 'Expenditure Breakdown'!$W$6:$W$384, "&gt;="&amp;JT1,'Expenditure Breakdown'!$W$6:$W$384, "&lt;"&amp;JU1)</f>
        <v>0</v>
      </c>
      <c r="JU11" s="204">
        <f>SUMIFS('Expenditure Breakdown'!$Q$6:$Q$384, 'Expenditure Breakdown'!$W$6:$W$384, "&gt;="&amp;JU1,'Expenditure Breakdown'!$W$6:$W$384, "&lt;"&amp;JV1)</f>
        <v>0</v>
      </c>
      <c r="JV11" s="204">
        <f>SUMIFS('Expenditure Breakdown'!$Q$6:$Q$384, 'Expenditure Breakdown'!$W$6:$W$384, "&gt;="&amp;JV1,'Expenditure Breakdown'!$W$6:$W$384, "&lt;"&amp;JW1)</f>
        <v>0</v>
      </c>
      <c r="JW11" s="204">
        <f>SUMIFS('Expenditure Breakdown'!$Q$6:$Q$384, 'Expenditure Breakdown'!$W$6:$W$384, "&gt;="&amp;JW1,'Expenditure Breakdown'!$W$6:$W$384, "&lt;"&amp;JX1)</f>
        <v>0</v>
      </c>
      <c r="JX11" s="204">
        <f>SUMIFS('Expenditure Breakdown'!$Q$6:$Q$384, 'Expenditure Breakdown'!$W$6:$W$384, "&gt;="&amp;JX1,'Expenditure Breakdown'!$W$6:$W$384, "&lt;"&amp;JY1)</f>
        <v>0</v>
      </c>
      <c r="JY11" s="204">
        <f>SUMIFS('Expenditure Breakdown'!$Q$6:$Q$384, 'Expenditure Breakdown'!$W$6:$W$384, "&gt;="&amp;JY1,'Expenditure Breakdown'!$W$6:$W$384, "&lt;"&amp;JZ1)</f>
        <v>0</v>
      </c>
      <c r="JZ11" s="204">
        <f>SUMIFS('Expenditure Breakdown'!$Q$6:$Q$384, 'Expenditure Breakdown'!$W$6:$W$384, "&gt;="&amp;JZ1,'Expenditure Breakdown'!$W$6:$W$384, "&lt;"&amp;KA1)</f>
        <v>0</v>
      </c>
      <c r="KA11" s="204">
        <f>SUMIFS('Expenditure Breakdown'!$Q$6:$Q$384, 'Expenditure Breakdown'!$W$6:$W$384, "&gt;="&amp;KA1,'Expenditure Breakdown'!$W$6:$W$384, "&lt;"&amp;KB1)</f>
        <v>0</v>
      </c>
      <c r="KB11" s="204">
        <f>SUMIFS('Expenditure Breakdown'!$Q$6:$Q$384, 'Expenditure Breakdown'!$W$6:$W$384, "&gt;="&amp;KB1,'Expenditure Breakdown'!$W$6:$W$384, "&lt;"&amp;KC1)</f>
        <v>0</v>
      </c>
      <c r="KC11" s="204">
        <f>SUMIFS('Expenditure Breakdown'!$Q$6:$Q$384, 'Expenditure Breakdown'!$W$6:$W$384, "&gt;="&amp;KC1,'Expenditure Breakdown'!$W$6:$W$384, "&lt;"&amp;KD1)</f>
        <v>0</v>
      </c>
      <c r="KD11" s="204">
        <f>SUMIFS('Expenditure Breakdown'!$Q$6:$Q$384, 'Expenditure Breakdown'!$W$6:$W$384, "&gt;="&amp;KD1,'Expenditure Breakdown'!$W$6:$W$384, "&lt;"&amp;KE1)</f>
        <v>0</v>
      </c>
      <c r="KE11" s="204">
        <f>SUMIFS('Expenditure Breakdown'!$Q$6:$Q$384, 'Expenditure Breakdown'!$W$6:$W$384, "&gt;="&amp;KE1,'Expenditure Breakdown'!$W$6:$W$384, "&lt;"&amp;KF1)</f>
        <v>0</v>
      </c>
      <c r="KF11" s="204">
        <f>SUMIFS('Expenditure Breakdown'!$Q$6:$Q$384, 'Expenditure Breakdown'!$W$6:$W$384, "&gt;="&amp;KF1,'Expenditure Breakdown'!$W$6:$W$384, "&lt;"&amp;KG1)</f>
        <v>0</v>
      </c>
      <c r="KG11" s="204">
        <f>SUMIFS('Expenditure Breakdown'!$Q$6:$Q$384, 'Expenditure Breakdown'!$W$6:$W$384, "&gt;="&amp;KG1,'Expenditure Breakdown'!$W$6:$W$384, "&lt;"&amp;KH1)</f>
        <v>0</v>
      </c>
      <c r="KH11" s="204">
        <f>SUMIFS('Expenditure Breakdown'!$Q$6:$Q$384, 'Expenditure Breakdown'!$W$6:$W$384, "&gt;="&amp;KH1,'Expenditure Breakdown'!$W$6:$W$384, "&lt;"&amp;KI1)</f>
        <v>0</v>
      </c>
      <c r="KI11" s="204">
        <f>SUMIFS('Expenditure Breakdown'!$Q$6:$Q$384, 'Expenditure Breakdown'!$W$6:$W$384, "&gt;="&amp;KI1,'Expenditure Breakdown'!$W$6:$W$384, "&lt;"&amp;KJ1)</f>
        <v>0</v>
      </c>
      <c r="KJ11" s="204">
        <f>SUMIFS('Expenditure Breakdown'!$Q$6:$Q$384, 'Expenditure Breakdown'!$W$6:$W$384, "&gt;="&amp;KJ1,'Expenditure Breakdown'!$W$6:$W$384, "&lt;"&amp;KK1)</f>
        <v>0</v>
      </c>
      <c r="KK11" s="204">
        <f>SUMIFS('Expenditure Breakdown'!$Q$6:$Q$384, 'Expenditure Breakdown'!$W$6:$W$384, "&gt;="&amp;KK1,'Expenditure Breakdown'!$W$6:$W$384, "&lt;"&amp;KL1)</f>
        <v>0</v>
      </c>
      <c r="KL11" s="204">
        <f>SUMIFS('Expenditure Breakdown'!$Q$6:$Q$384, 'Expenditure Breakdown'!$W$6:$W$384, "&gt;="&amp;KL1,'Expenditure Breakdown'!$W$6:$W$384, "&lt;"&amp;KM1)</f>
        <v>0</v>
      </c>
      <c r="KM11" s="204">
        <f>SUMIFS('Expenditure Breakdown'!$Q$6:$Q$384, 'Expenditure Breakdown'!$W$6:$W$384, "&gt;="&amp;KM1,'Expenditure Breakdown'!$W$6:$W$384, "&lt;"&amp;KN1)</f>
        <v>0</v>
      </c>
      <c r="KN11" s="204">
        <f>SUMIFS('Expenditure Breakdown'!$Q$6:$Q$384, 'Expenditure Breakdown'!$W$6:$W$384, "&gt;="&amp;KN1,'Expenditure Breakdown'!$W$6:$W$384, "&lt;"&amp;KO1)</f>
        <v>0</v>
      </c>
      <c r="KO11" s="204">
        <f>SUMIFS('Expenditure Breakdown'!$Q$6:$Q$384, 'Expenditure Breakdown'!$W$6:$W$384, "&gt;="&amp;KO1,'Expenditure Breakdown'!$W$6:$W$384, "&lt;"&amp;KP1)</f>
        <v>0</v>
      </c>
      <c r="KP11" s="204">
        <f>SUMIFS('Expenditure Breakdown'!$Q$6:$Q$384, 'Expenditure Breakdown'!$W$6:$W$384, "&gt;="&amp;KP1,'Expenditure Breakdown'!$W$6:$W$384, "&lt;"&amp;KQ1)</f>
        <v>0</v>
      </c>
      <c r="KQ11" s="204">
        <f>SUMIFS('Expenditure Breakdown'!$Q$6:$Q$384, 'Expenditure Breakdown'!$W$6:$W$384, "&gt;="&amp;KQ1,'Expenditure Breakdown'!$W$6:$W$384, "&lt;"&amp;KR1)</f>
        <v>0</v>
      </c>
      <c r="KR11" s="204">
        <f>SUMIFS('Expenditure Breakdown'!$Q$6:$Q$384, 'Expenditure Breakdown'!$W$6:$W$384, "&gt;="&amp;KR1,'Expenditure Breakdown'!$W$6:$W$384, "&lt;"&amp;KS1)</f>
        <v>0</v>
      </c>
      <c r="KS11" s="204">
        <f>SUMIFS('Expenditure Breakdown'!$Q$6:$Q$384, 'Expenditure Breakdown'!$W$6:$W$384, "&gt;="&amp;KS1,'Expenditure Breakdown'!$W$6:$W$384, "&lt;"&amp;KT1)</f>
        <v>0</v>
      </c>
      <c r="KT11" s="204">
        <f>SUMIFS('Expenditure Breakdown'!$Q$6:$Q$384, 'Expenditure Breakdown'!$W$6:$W$384, "&gt;="&amp;KT1,'Expenditure Breakdown'!$W$6:$W$384, "&lt;"&amp;KU1)</f>
        <v>0</v>
      </c>
      <c r="KU11" s="204">
        <f>SUMIFS('Expenditure Breakdown'!$Q$6:$Q$384, 'Expenditure Breakdown'!$W$6:$W$384, "&gt;="&amp;KU1,'Expenditure Breakdown'!$W$6:$W$384, "&lt;"&amp;KV1)</f>
        <v>0</v>
      </c>
      <c r="KV11" s="204">
        <f>SUMIFS('Expenditure Breakdown'!$Q$6:$Q$384, 'Expenditure Breakdown'!$W$6:$W$384, "&gt;="&amp;KV1,'Expenditure Breakdown'!$W$6:$W$384, "&lt;"&amp;KW1)</f>
        <v>0</v>
      </c>
      <c r="KW11" s="204">
        <f>SUMIFS('Expenditure Breakdown'!$Q$6:$Q$384, 'Expenditure Breakdown'!$W$6:$W$384, "&gt;="&amp;KW1,'Expenditure Breakdown'!$W$6:$W$384, "&lt;"&amp;KX1)</f>
        <v>0</v>
      </c>
      <c r="KX11" s="204">
        <f>SUMIFS('Expenditure Breakdown'!$Q$6:$Q$384, 'Expenditure Breakdown'!$W$6:$W$384, "&gt;="&amp;KX1,'Expenditure Breakdown'!$W$6:$W$384, "&lt;"&amp;KY1)</f>
        <v>0</v>
      </c>
      <c r="KY11" s="204">
        <f>SUMIFS('Expenditure Breakdown'!$Q$6:$Q$384, 'Expenditure Breakdown'!$W$6:$W$384, "&gt;="&amp;KY1,'Expenditure Breakdown'!$W$6:$W$384, "&lt;"&amp;KZ1)</f>
        <v>0</v>
      </c>
      <c r="KZ11" s="204">
        <f>SUMIFS('Expenditure Breakdown'!$Q$6:$Q$384, 'Expenditure Breakdown'!$W$6:$W$384, "&gt;="&amp;KZ1,'Expenditure Breakdown'!$W$6:$W$384, "&lt;"&amp;LA1)</f>
        <v>0</v>
      </c>
      <c r="LA11" s="204">
        <f>SUMIFS('Expenditure Breakdown'!$Q$6:$Q$384, 'Expenditure Breakdown'!$W$6:$W$384, "&gt;="&amp;LA1,'Expenditure Breakdown'!$W$6:$W$384, "&lt;"&amp;LB1)</f>
        <v>0</v>
      </c>
      <c r="LB11" s="204">
        <f>SUMIFS('Expenditure Breakdown'!$Q$6:$Q$384, 'Expenditure Breakdown'!$W$6:$W$384, "&gt;="&amp;LB1,'Expenditure Breakdown'!$W$6:$W$384, "&lt;"&amp;LC1)</f>
        <v>0</v>
      </c>
      <c r="LC11" s="204">
        <f>SUMIFS('Expenditure Breakdown'!$Q$6:$Q$384, 'Expenditure Breakdown'!$W$6:$W$384, "&gt;="&amp;LC1,'Expenditure Breakdown'!$W$6:$W$384, "&lt;"&amp;LD1)</f>
        <v>0</v>
      </c>
      <c r="LD11" s="204">
        <f>SUMIFS('Expenditure Breakdown'!$Q$6:$Q$384, 'Expenditure Breakdown'!$W$6:$W$384, "&gt;="&amp;LD1,'Expenditure Breakdown'!$W$6:$W$384, "&lt;"&amp;LE1)</f>
        <v>0</v>
      </c>
      <c r="LE11" s="181"/>
      <c r="LF11" s="192"/>
      <c r="LG11" s="192"/>
    </row>
    <row r="12" spans="1:794" s="193" customFormat="1">
      <c r="A12" s="929"/>
      <c r="B12" s="202" t="s">
        <v>751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44358492.836446092</v>
      </c>
      <c r="BL12" s="204">
        <f t="shared" si="26"/>
        <v>44731917.216446094</v>
      </c>
      <c r="BM12" s="204">
        <f t="shared" si="26"/>
        <v>44731917.216446094</v>
      </c>
      <c r="BN12" s="204">
        <f t="shared" si="26"/>
        <v>44731917.216446094</v>
      </c>
      <c r="BO12" s="204">
        <f t="shared" si="26"/>
        <v>44734760.216446094</v>
      </c>
      <c r="BP12" s="204">
        <f t="shared" si="26"/>
        <v>45365956.883112758</v>
      </c>
      <c r="BQ12" s="204">
        <f t="shared" si="26"/>
        <v>45421758.16311276</v>
      </c>
      <c r="BR12" s="204">
        <f t="shared" si="26"/>
        <v>45421758.16311276</v>
      </c>
      <c r="BS12" s="204">
        <f t="shared" si="26"/>
        <v>45421758.16311276</v>
      </c>
      <c r="BT12" s="204">
        <f t="shared" si="26"/>
        <v>46122457.829779424</v>
      </c>
      <c r="BU12" s="204">
        <f t="shared" ref="BU12:EF12" si="27">BT12+BU11</f>
        <v>46122457.829779424</v>
      </c>
      <c r="BV12" s="204">
        <f t="shared" si="27"/>
        <v>46722457.829779424</v>
      </c>
      <c r="BW12" s="204">
        <f t="shared" si="27"/>
        <v>46722457.829779424</v>
      </c>
      <c r="BX12" s="204">
        <f t="shared" si="27"/>
        <v>46804598.496446088</v>
      </c>
      <c r="BY12" s="204">
        <f t="shared" si="27"/>
        <v>46804598.496446088</v>
      </c>
      <c r="BZ12" s="204">
        <f t="shared" si="27"/>
        <v>46804598.496446088</v>
      </c>
      <c r="CA12" s="204">
        <f t="shared" si="27"/>
        <v>46804598.496446088</v>
      </c>
      <c r="CB12" s="204">
        <f t="shared" si="27"/>
        <v>46804598.496446088</v>
      </c>
      <c r="CC12" s="204">
        <f t="shared" si="27"/>
        <v>46886739.163112752</v>
      </c>
      <c r="CD12" s="204">
        <f t="shared" si="27"/>
        <v>46886739.163112752</v>
      </c>
      <c r="CE12" s="204">
        <f t="shared" si="27"/>
        <v>46886739.163112752</v>
      </c>
      <c r="CF12" s="204">
        <f t="shared" si="27"/>
        <v>46886739.163112752</v>
      </c>
      <c r="CG12" s="204">
        <f t="shared" si="27"/>
        <v>46968879.829779416</v>
      </c>
      <c r="CH12" s="204">
        <f t="shared" si="27"/>
        <v>46968879.829779416</v>
      </c>
      <c r="CI12" s="204">
        <f t="shared" si="27"/>
        <v>46968879.829779416</v>
      </c>
      <c r="CJ12" s="204">
        <f t="shared" si="27"/>
        <v>46968879.829779416</v>
      </c>
      <c r="CK12" s="204">
        <f t="shared" si="27"/>
        <v>46968879.829779416</v>
      </c>
      <c r="CL12" s="204">
        <f t="shared" si="27"/>
        <v>47051020.496446081</v>
      </c>
      <c r="CM12" s="204">
        <f t="shared" si="27"/>
        <v>47051020.496446081</v>
      </c>
      <c r="CN12" s="204">
        <f t="shared" si="27"/>
        <v>47051020.496446081</v>
      </c>
      <c r="CO12" s="204">
        <f t="shared" si="27"/>
        <v>47051020.496446081</v>
      </c>
      <c r="CP12" s="204">
        <f t="shared" si="27"/>
        <v>47133161.163112745</v>
      </c>
      <c r="CQ12" s="204">
        <f t="shared" si="27"/>
        <v>47133161.163112745</v>
      </c>
      <c r="CR12" s="204">
        <f t="shared" si="27"/>
        <v>47133161.163112745</v>
      </c>
      <c r="CS12" s="204">
        <f t="shared" si="27"/>
        <v>47133161.163112745</v>
      </c>
      <c r="CT12" s="204">
        <f t="shared" si="27"/>
        <v>47215301.829779409</v>
      </c>
      <c r="CU12" s="204">
        <f t="shared" si="27"/>
        <v>47215301.829779409</v>
      </c>
      <c r="CV12" s="204">
        <f t="shared" si="27"/>
        <v>47215301.829779409</v>
      </c>
      <c r="CW12" s="204">
        <f t="shared" si="27"/>
        <v>47215301.829779409</v>
      </c>
      <c r="CX12" s="204">
        <f t="shared" si="27"/>
        <v>47215301.829779409</v>
      </c>
      <c r="CY12" s="204">
        <f t="shared" si="27"/>
        <v>47597442.496446073</v>
      </c>
      <c r="CZ12" s="204">
        <f t="shared" si="27"/>
        <v>47597442.496446073</v>
      </c>
      <c r="DA12" s="204">
        <f t="shared" si="27"/>
        <v>47597442.496446073</v>
      </c>
      <c r="DB12" s="204">
        <f t="shared" si="27"/>
        <v>47597442.496446073</v>
      </c>
      <c r="DC12" s="204">
        <f t="shared" si="27"/>
        <v>47679583.163112737</v>
      </c>
      <c r="DD12" s="204">
        <f t="shared" si="27"/>
        <v>47679583.163112737</v>
      </c>
      <c r="DE12" s="204">
        <f t="shared" si="27"/>
        <v>47679583.163112737</v>
      </c>
      <c r="DF12" s="204">
        <f t="shared" si="27"/>
        <v>47679583.163112737</v>
      </c>
      <c r="DG12" s="204">
        <f t="shared" si="27"/>
        <v>47761723.829779401</v>
      </c>
      <c r="DH12" s="204">
        <f t="shared" si="27"/>
        <v>47761723.829779401</v>
      </c>
      <c r="DI12" s="204">
        <f t="shared" si="27"/>
        <v>47761723.829779401</v>
      </c>
      <c r="DJ12" s="204">
        <f t="shared" si="27"/>
        <v>47761723.829779401</v>
      </c>
      <c r="DK12" s="204">
        <f t="shared" si="27"/>
        <v>47843864.496446066</v>
      </c>
      <c r="DL12" s="204">
        <f t="shared" si="27"/>
        <v>47843864.496446066</v>
      </c>
      <c r="DM12" s="204">
        <f t="shared" si="27"/>
        <v>47843864.496446066</v>
      </c>
      <c r="DN12" s="204">
        <f t="shared" si="27"/>
        <v>47843864.496446066</v>
      </c>
      <c r="DO12" s="204">
        <f t="shared" si="27"/>
        <v>47843864.496446066</v>
      </c>
      <c r="DP12" s="204">
        <f t="shared" si="27"/>
        <v>47843864.496446066</v>
      </c>
      <c r="DQ12" s="204">
        <f t="shared" si="27"/>
        <v>47843864.496446066</v>
      </c>
      <c r="DR12" s="204">
        <f t="shared" si="27"/>
        <v>47843864.496446066</v>
      </c>
      <c r="DS12" s="204">
        <f t="shared" si="27"/>
        <v>47843864.496446066</v>
      </c>
      <c r="DT12" s="204">
        <f t="shared" si="27"/>
        <v>47843864.496446066</v>
      </c>
      <c r="DU12" s="204">
        <f t="shared" si="27"/>
        <v>47843864.496446066</v>
      </c>
      <c r="DV12" s="204">
        <f t="shared" si="27"/>
        <v>47843864.496446066</v>
      </c>
      <c r="DW12" s="204">
        <f t="shared" si="27"/>
        <v>47843864.496446066</v>
      </c>
      <c r="DX12" s="204">
        <f t="shared" si="27"/>
        <v>47843864.496446066</v>
      </c>
      <c r="DY12" s="204">
        <f t="shared" si="27"/>
        <v>47843864.496446066</v>
      </c>
      <c r="DZ12" s="204">
        <f t="shared" si="27"/>
        <v>47843864.496446066</v>
      </c>
      <c r="EA12" s="204">
        <f t="shared" si="27"/>
        <v>47843864.496446066</v>
      </c>
      <c r="EB12" s="204">
        <f t="shared" si="27"/>
        <v>47843864.496446066</v>
      </c>
      <c r="EC12" s="204">
        <f t="shared" si="27"/>
        <v>47843864.496446066</v>
      </c>
      <c r="ED12" s="204">
        <f t="shared" si="27"/>
        <v>47843864.496446066</v>
      </c>
      <c r="EE12" s="204">
        <f t="shared" si="27"/>
        <v>47843864.496446066</v>
      </c>
      <c r="EF12" s="204">
        <f t="shared" si="27"/>
        <v>47843864.496446066</v>
      </c>
      <c r="EG12" s="204">
        <f t="shared" ref="EG12:GR12" si="28">EF12+EG11</f>
        <v>47843864.496446066</v>
      </c>
      <c r="EH12" s="204">
        <f t="shared" si="28"/>
        <v>47843864.496446066</v>
      </c>
      <c r="EI12" s="204">
        <f t="shared" si="28"/>
        <v>47843864.496446066</v>
      </c>
      <c r="EJ12" s="204">
        <f t="shared" si="28"/>
        <v>47843864.496446066</v>
      </c>
      <c r="EK12" s="204">
        <f t="shared" si="28"/>
        <v>47843864.496446066</v>
      </c>
      <c r="EL12" s="204">
        <f t="shared" si="28"/>
        <v>47843864.496446066</v>
      </c>
      <c r="EM12" s="204">
        <f t="shared" si="28"/>
        <v>47843864.496446066</v>
      </c>
      <c r="EN12" s="204">
        <f t="shared" si="28"/>
        <v>47843864.496446066</v>
      </c>
      <c r="EO12" s="204">
        <f t="shared" si="28"/>
        <v>47843864.496446066</v>
      </c>
      <c r="EP12" s="204">
        <f t="shared" si="28"/>
        <v>47843864.496446066</v>
      </c>
      <c r="EQ12" s="204">
        <f t="shared" si="28"/>
        <v>47843864.496446066</v>
      </c>
      <c r="ER12" s="204">
        <f t="shared" si="28"/>
        <v>47843864.496446066</v>
      </c>
      <c r="ES12" s="204">
        <f t="shared" si="28"/>
        <v>47843864.496446066</v>
      </c>
      <c r="ET12" s="204">
        <f t="shared" si="28"/>
        <v>47843864.496446066</v>
      </c>
      <c r="EU12" s="204">
        <f t="shared" si="28"/>
        <v>47843864.496446066</v>
      </c>
      <c r="EV12" s="204">
        <f t="shared" si="28"/>
        <v>47843864.496446066</v>
      </c>
      <c r="EW12" s="204">
        <f t="shared" si="28"/>
        <v>47843864.496446066</v>
      </c>
      <c r="EX12" s="204">
        <f t="shared" si="28"/>
        <v>47843864.496446066</v>
      </c>
      <c r="EY12" s="204">
        <f t="shared" si="28"/>
        <v>47843864.496446066</v>
      </c>
      <c r="EZ12" s="204">
        <f t="shared" si="28"/>
        <v>47843864.496446066</v>
      </c>
      <c r="FA12" s="204">
        <f t="shared" si="28"/>
        <v>47843864.496446066</v>
      </c>
      <c r="FB12" s="204">
        <f t="shared" si="28"/>
        <v>47843864.496446066</v>
      </c>
      <c r="FC12" s="204">
        <f t="shared" si="28"/>
        <v>47843864.496446066</v>
      </c>
      <c r="FD12" s="204">
        <f t="shared" si="28"/>
        <v>47843864.496446066</v>
      </c>
      <c r="FE12" s="204">
        <f t="shared" si="28"/>
        <v>47843864.496446066</v>
      </c>
      <c r="FF12" s="204">
        <f t="shared" si="28"/>
        <v>47843864.496446066</v>
      </c>
      <c r="FG12" s="204">
        <f t="shared" si="28"/>
        <v>47843864.496446066</v>
      </c>
      <c r="FH12" s="204">
        <f t="shared" si="28"/>
        <v>47843864.496446066</v>
      </c>
      <c r="FI12" s="204">
        <f t="shared" si="28"/>
        <v>47843864.496446066</v>
      </c>
      <c r="FJ12" s="204">
        <f t="shared" si="28"/>
        <v>47843864.496446066</v>
      </c>
      <c r="FK12" s="204">
        <f t="shared" si="28"/>
        <v>47843864.496446066</v>
      </c>
      <c r="FL12" s="204">
        <f t="shared" si="28"/>
        <v>47843864.496446066</v>
      </c>
      <c r="FM12" s="204">
        <f t="shared" si="28"/>
        <v>47843864.496446066</v>
      </c>
      <c r="FN12" s="204">
        <f t="shared" si="28"/>
        <v>47843864.496446066</v>
      </c>
      <c r="FO12" s="204">
        <f t="shared" si="28"/>
        <v>47843864.496446066</v>
      </c>
      <c r="FP12" s="204">
        <f t="shared" si="28"/>
        <v>47843864.496446066</v>
      </c>
      <c r="FQ12" s="204">
        <f t="shared" si="28"/>
        <v>47843864.496446066</v>
      </c>
      <c r="FR12" s="204">
        <f t="shared" si="28"/>
        <v>47843864.496446066</v>
      </c>
      <c r="FS12" s="204">
        <f t="shared" si="28"/>
        <v>47843864.496446066</v>
      </c>
      <c r="FT12" s="204">
        <f t="shared" si="28"/>
        <v>47843864.496446066</v>
      </c>
      <c r="FU12" s="204">
        <f t="shared" si="28"/>
        <v>47843864.496446066</v>
      </c>
      <c r="FV12" s="204">
        <f t="shared" si="28"/>
        <v>47843864.496446066</v>
      </c>
      <c r="FW12" s="204">
        <f t="shared" si="28"/>
        <v>47843864.496446066</v>
      </c>
      <c r="FX12" s="204">
        <f t="shared" si="28"/>
        <v>47843864.496446066</v>
      </c>
      <c r="FY12" s="204">
        <f t="shared" si="28"/>
        <v>47843864.496446066</v>
      </c>
      <c r="FZ12" s="204">
        <f t="shared" si="28"/>
        <v>47843864.496446066</v>
      </c>
      <c r="GA12" s="204">
        <f t="shared" si="28"/>
        <v>47843864.496446066</v>
      </c>
      <c r="GB12" s="204">
        <f t="shared" si="28"/>
        <v>47843864.496446066</v>
      </c>
      <c r="GC12" s="204">
        <f t="shared" si="28"/>
        <v>47843864.496446066</v>
      </c>
      <c r="GD12" s="204">
        <f t="shared" si="28"/>
        <v>47843864.496446066</v>
      </c>
      <c r="GE12" s="204">
        <f t="shared" si="28"/>
        <v>47843864.496446066</v>
      </c>
      <c r="GF12" s="204">
        <f t="shared" si="28"/>
        <v>47843864.496446066</v>
      </c>
      <c r="GG12" s="204">
        <f t="shared" si="28"/>
        <v>47843864.496446066</v>
      </c>
      <c r="GH12" s="204">
        <f t="shared" si="28"/>
        <v>47843864.496446066</v>
      </c>
      <c r="GI12" s="204">
        <f t="shared" si="28"/>
        <v>47843864.496446066</v>
      </c>
      <c r="GJ12" s="204">
        <f t="shared" si="28"/>
        <v>47843864.496446066</v>
      </c>
      <c r="GK12" s="204">
        <f t="shared" si="28"/>
        <v>47843864.496446066</v>
      </c>
      <c r="GL12" s="204">
        <f t="shared" si="28"/>
        <v>47843864.496446066</v>
      </c>
      <c r="GM12" s="204">
        <f t="shared" si="28"/>
        <v>47843864.496446066</v>
      </c>
      <c r="GN12" s="204">
        <f t="shared" si="28"/>
        <v>47843864.496446066</v>
      </c>
      <c r="GO12" s="204">
        <f t="shared" si="28"/>
        <v>47843864.496446066</v>
      </c>
      <c r="GP12" s="204">
        <f t="shared" si="28"/>
        <v>47843864.496446066</v>
      </c>
      <c r="GQ12" s="204">
        <f t="shared" si="28"/>
        <v>47843864.496446066</v>
      </c>
      <c r="GR12" s="204">
        <f t="shared" si="28"/>
        <v>47843864.496446066</v>
      </c>
      <c r="GS12" s="204">
        <f t="shared" ref="GS12:JD12" si="29">GR12+GS11</f>
        <v>47843864.496446066</v>
      </c>
      <c r="GT12" s="204">
        <f t="shared" si="29"/>
        <v>47843864.496446066</v>
      </c>
      <c r="GU12" s="204">
        <f t="shared" si="29"/>
        <v>47843864.496446066</v>
      </c>
      <c r="GV12" s="204">
        <f t="shared" si="29"/>
        <v>47843864.496446066</v>
      </c>
      <c r="GW12" s="204">
        <f t="shared" si="29"/>
        <v>47843864.496446066</v>
      </c>
      <c r="GX12" s="204">
        <f t="shared" si="29"/>
        <v>47843864.496446066</v>
      </c>
      <c r="GY12" s="204">
        <f t="shared" si="29"/>
        <v>47843864.496446066</v>
      </c>
      <c r="GZ12" s="204">
        <f t="shared" si="29"/>
        <v>47843864.496446066</v>
      </c>
      <c r="HA12" s="204">
        <f t="shared" si="29"/>
        <v>47843864.496446066</v>
      </c>
      <c r="HB12" s="204">
        <f t="shared" si="29"/>
        <v>47843864.496446066</v>
      </c>
      <c r="HC12" s="204">
        <f t="shared" si="29"/>
        <v>47843864.496446066</v>
      </c>
      <c r="HD12" s="204">
        <f t="shared" si="29"/>
        <v>47843864.496446066</v>
      </c>
      <c r="HE12" s="204">
        <f t="shared" si="29"/>
        <v>47843864.496446066</v>
      </c>
      <c r="HF12" s="204">
        <f t="shared" si="29"/>
        <v>47843864.496446066</v>
      </c>
      <c r="HG12" s="204">
        <f t="shared" si="29"/>
        <v>47843864.496446066</v>
      </c>
      <c r="HH12" s="204">
        <f t="shared" si="29"/>
        <v>47843864.496446066</v>
      </c>
      <c r="HI12" s="204">
        <f t="shared" si="29"/>
        <v>47843864.496446066</v>
      </c>
      <c r="HJ12" s="204">
        <f t="shared" si="29"/>
        <v>47843864.496446066</v>
      </c>
      <c r="HK12" s="204">
        <f t="shared" si="29"/>
        <v>47843864.496446066</v>
      </c>
      <c r="HL12" s="204">
        <f t="shared" si="29"/>
        <v>47843864.496446066</v>
      </c>
      <c r="HM12" s="204">
        <f t="shared" si="29"/>
        <v>47843864.496446066</v>
      </c>
      <c r="HN12" s="204">
        <f t="shared" si="29"/>
        <v>47843864.496446066</v>
      </c>
      <c r="HO12" s="204">
        <f t="shared" si="29"/>
        <v>47843864.496446066</v>
      </c>
      <c r="HP12" s="204">
        <f t="shared" si="29"/>
        <v>47843864.496446066</v>
      </c>
      <c r="HQ12" s="204">
        <f t="shared" si="29"/>
        <v>47843864.496446066</v>
      </c>
      <c r="HR12" s="204">
        <f t="shared" si="29"/>
        <v>47843864.496446066</v>
      </c>
      <c r="HS12" s="204">
        <f t="shared" si="29"/>
        <v>47843864.496446066</v>
      </c>
      <c r="HT12" s="204">
        <f t="shared" si="29"/>
        <v>47843864.496446066</v>
      </c>
      <c r="HU12" s="204">
        <f t="shared" si="29"/>
        <v>47843864.496446066</v>
      </c>
      <c r="HV12" s="204">
        <f t="shared" si="29"/>
        <v>47843864.496446066</v>
      </c>
      <c r="HW12" s="204">
        <f t="shared" si="29"/>
        <v>47843864.496446066</v>
      </c>
      <c r="HX12" s="204">
        <f t="shared" si="29"/>
        <v>47843864.496446066</v>
      </c>
      <c r="HY12" s="204">
        <f t="shared" si="29"/>
        <v>47843864.496446066</v>
      </c>
      <c r="HZ12" s="204">
        <f t="shared" si="29"/>
        <v>47843864.496446066</v>
      </c>
      <c r="IA12" s="204">
        <f t="shared" si="29"/>
        <v>47843864.496446066</v>
      </c>
      <c r="IB12" s="204">
        <f t="shared" si="29"/>
        <v>47843864.496446066</v>
      </c>
      <c r="IC12" s="204">
        <f t="shared" si="29"/>
        <v>47843864.496446066</v>
      </c>
      <c r="ID12" s="204">
        <f t="shared" si="29"/>
        <v>47843864.496446066</v>
      </c>
      <c r="IE12" s="204">
        <f t="shared" si="29"/>
        <v>47843864.496446066</v>
      </c>
      <c r="IF12" s="204">
        <f t="shared" si="29"/>
        <v>47843864.496446066</v>
      </c>
      <c r="IG12" s="204">
        <f t="shared" si="29"/>
        <v>47843864.496446066</v>
      </c>
      <c r="IH12" s="204">
        <f t="shared" si="29"/>
        <v>47843864.496446066</v>
      </c>
      <c r="II12" s="204">
        <f t="shared" si="29"/>
        <v>47843864.496446066</v>
      </c>
      <c r="IJ12" s="204">
        <f t="shared" si="29"/>
        <v>47843864.496446066</v>
      </c>
      <c r="IK12" s="204">
        <f t="shared" si="29"/>
        <v>47843864.496446066</v>
      </c>
      <c r="IL12" s="204">
        <f t="shared" si="29"/>
        <v>47843864.496446066</v>
      </c>
      <c r="IM12" s="204">
        <f t="shared" si="29"/>
        <v>47843864.496446066</v>
      </c>
      <c r="IN12" s="204">
        <f t="shared" si="29"/>
        <v>47843864.496446066</v>
      </c>
      <c r="IO12" s="204">
        <f t="shared" si="29"/>
        <v>47843864.496446066</v>
      </c>
      <c r="IP12" s="204">
        <f t="shared" si="29"/>
        <v>47843864.496446066</v>
      </c>
      <c r="IQ12" s="204">
        <f t="shared" si="29"/>
        <v>47843864.496446066</v>
      </c>
      <c r="IR12" s="204">
        <f t="shared" si="29"/>
        <v>47843864.496446066</v>
      </c>
      <c r="IS12" s="204">
        <f t="shared" si="29"/>
        <v>47843864.496446066</v>
      </c>
      <c r="IT12" s="204">
        <f t="shared" si="29"/>
        <v>47843864.496446066</v>
      </c>
      <c r="IU12" s="204">
        <f t="shared" si="29"/>
        <v>47843864.496446066</v>
      </c>
      <c r="IV12" s="204">
        <f t="shared" si="29"/>
        <v>47843864.496446066</v>
      </c>
      <c r="IW12" s="204">
        <f t="shared" si="29"/>
        <v>47843864.496446066</v>
      </c>
      <c r="IX12" s="204">
        <f t="shared" si="29"/>
        <v>47843864.496446066</v>
      </c>
      <c r="IY12" s="204">
        <f t="shared" si="29"/>
        <v>47843864.496446066</v>
      </c>
      <c r="IZ12" s="204">
        <f t="shared" si="29"/>
        <v>47843864.496446066</v>
      </c>
      <c r="JA12" s="204">
        <f t="shared" si="29"/>
        <v>47843864.496446066</v>
      </c>
      <c r="JB12" s="204">
        <f t="shared" si="29"/>
        <v>47843864.496446066</v>
      </c>
      <c r="JC12" s="204">
        <f t="shared" si="29"/>
        <v>47843864.496446066</v>
      </c>
      <c r="JD12" s="204">
        <f t="shared" si="29"/>
        <v>47843864.496446066</v>
      </c>
      <c r="JE12" s="204">
        <f t="shared" ref="JE12:LD12" si="30">JD12+JE11</f>
        <v>47843864.496446066</v>
      </c>
      <c r="JF12" s="204">
        <f t="shared" si="30"/>
        <v>47843864.496446066</v>
      </c>
      <c r="JG12" s="204">
        <f t="shared" si="30"/>
        <v>47843864.496446066</v>
      </c>
      <c r="JH12" s="204">
        <f t="shared" si="30"/>
        <v>47843864.496446066</v>
      </c>
      <c r="JI12" s="204">
        <f t="shared" si="30"/>
        <v>47843864.496446066</v>
      </c>
      <c r="JJ12" s="204">
        <f t="shared" si="30"/>
        <v>47843864.496446066</v>
      </c>
      <c r="JK12" s="204">
        <f t="shared" si="30"/>
        <v>47843864.496446066</v>
      </c>
      <c r="JL12" s="204">
        <f t="shared" si="30"/>
        <v>47843864.496446066</v>
      </c>
      <c r="JM12" s="204">
        <f t="shared" si="30"/>
        <v>47843864.496446066</v>
      </c>
      <c r="JN12" s="204">
        <f t="shared" si="30"/>
        <v>47843864.496446066</v>
      </c>
      <c r="JO12" s="204">
        <f t="shared" si="30"/>
        <v>47843864.496446066</v>
      </c>
      <c r="JP12" s="204">
        <f t="shared" si="30"/>
        <v>47843864.496446066</v>
      </c>
      <c r="JQ12" s="204">
        <f t="shared" si="30"/>
        <v>47843864.496446066</v>
      </c>
      <c r="JR12" s="204">
        <f t="shared" si="30"/>
        <v>47843864.496446066</v>
      </c>
      <c r="JS12" s="204">
        <f t="shared" si="30"/>
        <v>47843864.496446066</v>
      </c>
      <c r="JT12" s="204">
        <f t="shared" si="30"/>
        <v>47843864.496446066</v>
      </c>
      <c r="JU12" s="204">
        <f t="shared" si="30"/>
        <v>47843864.496446066</v>
      </c>
      <c r="JV12" s="204">
        <f t="shared" si="30"/>
        <v>47843864.496446066</v>
      </c>
      <c r="JW12" s="204">
        <f t="shared" si="30"/>
        <v>47843864.496446066</v>
      </c>
      <c r="JX12" s="204">
        <f t="shared" si="30"/>
        <v>47843864.496446066</v>
      </c>
      <c r="JY12" s="204">
        <f t="shared" si="30"/>
        <v>47843864.496446066</v>
      </c>
      <c r="JZ12" s="204">
        <f t="shared" si="30"/>
        <v>47843864.496446066</v>
      </c>
      <c r="KA12" s="204">
        <f t="shared" si="30"/>
        <v>47843864.496446066</v>
      </c>
      <c r="KB12" s="204">
        <f t="shared" si="30"/>
        <v>47843864.496446066</v>
      </c>
      <c r="KC12" s="204">
        <f t="shared" si="30"/>
        <v>47843864.496446066</v>
      </c>
      <c r="KD12" s="204">
        <f t="shared" si="30"/>
        <v>47843864.496446066</v>
      </c>
      <c r="KE12" s="204">
        <f t="shared" si="30"/>
        <v>47843864.496446066</v>
      </c>
      <c r="KF12" s="204">
        <f t="shared" si="30"/>
        <v>47843864.496446066</v>
      </c>
      <c r="KG12" s="204">
        <f t="shared" si="30"/>
        <v>47843864.496446066</v>
      </c>
      <c r="KH12" s="204">
        <f t="shared" si="30"/>
        <v>47843864.496446066</v>
      </c>
      <c r="KI12" s="204">
        <f t="shared" si="30"/>
        <v>47843864.496446066</v>
      </c>
      <c r="KJ12" s="204">
        <f t="shared" si="30"/>
        <v>47843864.496446066</v>
      </c>
      <c r="KK12" s="204">
        <f t="shared" si="30"/>
        <v>47843864.496446066</v>
      </c>
      <c r="KL12" s="204">
        <f t="shared" si="30"/>
        <v>47843864.496446066</v>
      </c>
      <c r="KM12" s="204">
        <f t="shared" si="30"/>
        <v>47843864.496446066</v>
      </c>
      <c r="KN12" s="204">
        <f t="shared" si="30"/>
        <v>47843864.496446066</v>
      </c>
      <c r="KO12" s="204">
        <f t="shared" si="30"/>
        <v>47843864.496446066</v>
      </c>
      <c r="KP12" s="204">
        <f t="shared" si="30"/>
        <v>47843864.496446066</v>
      </c>
      <c r="KQ12" s="204">
        <f t="shared" si="30"/>
        <v>47843864.496446066</v>
      </c>
      <c r="KR12" s="204">
        <f t="shared" si="30"/>
        <v>47843864.496446066</v>
      </c>
      <c r="KS12" s="204">
        <f t="shared" si="30"/>
        <v>47843864.496446066</v>
      </c>
      <c r="KT12" s="204">
        <f t="shared" si="30"/>
        <v>47843864.496446066</v>
      </c>
      <c r="KU12" s="204">
        <f t="shared" si="30"/>
        <v>47843864.496446066</v>
      </c>
      <c r="KV12" s="204">
        <f t="shared" si="30"/>
        <v>47843864.496446066</v>
      </c>
      <c r="KW12" s="204">
        <f t="shared" si="30"/>
        <v>47843864.496446066</v>
      </c>
      <c r="KX12" s="204">
        <f t="shared" si="30"/>
        <v>47843864.496446066</v>
      </c>
      <c r="KY12" s="204">
        <f t="shared" si="30"/>
        <v>47843864.496446066</v>
      </c>
      <c r="KZ12" s="204">
        <f t="shared" si="30"/>
        <v>47843864.496446066</v>
      </c>
      <c r="LA12" s="204">
        <f t="shared" si="30"/>
        <v>47843864.496446066</v>
      </c>
      <c r="LB12" s="204">
        <f t="shared" si="30"/>
        <v>47843864.496446066</v>
      </c>
      <c r="LC12" s="204">
        <f t="shared" si="30"/>
        <v>47843864.496446066</v>
      </c>
      <c r="LD12" s="204">
        <f t="shared" si="30"/>
        <v>47843864.496446066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752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12636757.163553908</v>
      </c>
      <c r="BL14" s="197">
        <f t="shared" si="32"/>
        <v>12263332.783553906</v>
      </c>
      <c r="BM14" s="197">
        <f t="shared" si="32"/>
        <v>12263332.783553906</v>
      </c>
      <c r="BN14" s="197">
        <f t="shared" si="32"/>
        <v>12263332.783553906</v>
      </c>
      <c r="BO14" s="197">
        <f t="shared" si="32"/>
        <v>12260489.783553906</v>
      </c>
      <c r="BP14" s="197">
        <f t="shared" si="32"/>
        <v>11629293.116887242</v>
      </c>
      <c r="BQ14" s="197">
        <f t="shared" si="32"/>
        <v>11573491.83688724</v>
      </c>
      <c r="BR14" s="197">
        <f t="shared" si="32"/>
        <v>11573491.83688724</v>
      </c>
      <c r="BS14" s="197">
        <f t="shared" si="32"/>
        <v>11573491.83688724</v>
      </c>
      <c r="BT14" s="197">
        <f t="shared" si="32"/>
        <v>10872792.170220576</v>
      </c>
      <c r="BU14" s="197">
        <f t="shared" ref="BU14:EF14" si="33">BU10-BU12</f>
        <v>13872542.170220576</v>
      </c>
      <c r="BV14" s="197">
        <f t="shared" si="33"/>
        <v>13272542.170220576</v>
      </c>
      <c r="BW14" s="197">
        <f t="shared" si="33"/>
        <v>13272542.170220576</v>
      </c>
      <c r="BX14" s="197">
        <f t="shared" si="33"/>
        <v>13190401.503553912</v>
      </c>
      <c r="BY14" s="197">
        <f t="shared" si="33"/>
        <v>13190401.503553912</v>
      </c>
      <c r="BZ14" s="197">
        <f t="shared" si="33"/>
        <v>13190401.503553912</v>
      </c>
      <c r="CA14" s="197">
        <f t="shared" si="33"/>
        <v>13190401.503553912</v>
      </c>
      <c r="CB14" s="197">
        <f t="shared" si="33"/>
        <v>13190401.503553912</v>
      </c>
      <c r="CC14" s="197">
        <f t="shared" si="33"/>
        <v>13108260.836887248</v>
      </c>
      <c r="CD14" s="197">
        <f t="shared" si="33"/>
        <v>13108260.836887248</v>
      </c>
      <c r="CE14" s="197">
        <f t="shared" si="33"/>
        <v>13108260.836887248</v>
      </c>
      <c r="CF14" s="197">
        <f t="shared" si="33"/>
        <v>13108260.836887248</v>
      </c>
      <c r="CG14" s="197">
        <f t="shared" si="33"/>
        <v>13026120.170220584</v>
      </c>
      <c r="CH14" s="197">
        <f t="shared" si="33"/>
        <v>13026120.170220584</v>
      </c>
      <c r="CI14" s="197">
        <f t="shared" si="33"/>
        <v>13026120.170220584</v>
      </c>
      <c r="CJ14" s="197">
        <f t="shared" si="33"/>
        <v>13026120.170220584</v>
      </c>
      <c r="CK14" s="197">
        <f t="shared" si="33"/>
        <v>13026120.170220584</v>
      </c>
      <c r="CL14" s="197">
        <f t="shared" si="33"/>
        <v>12943979.503553919</v>
      </c>
      <c r="CM14" s="197">
        <f t="shared" si="33"/>
        <v>12943979.503553919</v>
      </c>
      <c r="CN14" s="197">
        <f t="shared" si="33"/>
        <v>12943979.503553919</v>
      </c>
      <c r="CO14" s="197">
        <f t="shared" si="33"/>
        <v>12943979.503553919</v>
      </c>
      <c r="CP14" s="197">
        <f t="shared" si="33"/>
        <v>12861838.836887255</v>
      </c>
      <c r="CQ14" s="197">
        <f t="shared" si="33"/>
        <v>12861838.836887255</v>
      </c>
      <c r="CR14" s="197">
        <f t="shared" si="33"/>
        <v>12861838.836887255</v>
      </c>
      <c r="CS14" s="197">
        <f t="shared" si="33"/>
        <v>12861838.836887255</v>
      </c>
      <c r="CT14" s="197">
        <f t="shared" si="33"/>
        <v>12779698.170220591</v>
      </c>
      <c r="CU14" s="197">
        <f t="shared" si="33"/>
        <v>12779698.170220591</v>
      </c>
      <c r="CV14" s="197">
        <f t="shared" si="33"/>
        <v>12779698.170220591</v>
      </c>
      <c r="CW14" s="197">
        <f t="shared" si="33"/>
        <v>12779698.170220591</v>
      </c>
      <c r="CX14" s="197">
        <f t="shared" si="33"/>
        <v>12779698.170220591</v>
      </c>
      <c r="CY14" s="197">
        <f t="shared" si="33"/>
        <v>12397557.503553927</v>
      </c>
      <c r="CZ14" s="197">
        <f t="shared" si="33"/>
        <v>12397557.503553927</v>
      </c>
      <c r="DA14" s="197">
        <f t="shared" si="33"/>
        <v>12397557.503553927</v>
      </c>
      <c r="DB14" s="197">
        <f t="shared" si="33"/>
        <v>12397557.503553927</v>
      </c>
      <c r="DC14" s="197">
        <f t="shared" si="33"/>
        <v>12315416.836887263</v>
      </c>
      <c r="DD14" s="197">
        <f t="shared" si="33"/>
        <v>12315416.836887263</v>
      </c>
      <c r="DE14" s="197">
        <f t="shared" si="33"/>
        <v>12315416.836887263</v>
      </c>
      <c r="DF14" s="197">
        <f t="shared" si="33"/>
        <v>12315416.836887263</v>
      </c>
      <c r="DG14" s="197">
        <f t="shared" si="33"/>
        <v>12233276.170220599</v>
      </c>
      <c r="DH14" s="197">
        <f t="shared" si="33"/>
        <v>12233276.170220599</v>
      </c>
      <c r="DI14" s="197">
        <f t="shared" si="33"/>
        <v>12233276.170220599</v>
      </c>
      <c r="DJ14" s="197">
        <f t="shared" si="33"/>
        <v>12233276.170220599</v>
      </c>
      <c r="DK14" s="197">
        <f t="shared" si="33"/>
        <v>12151135.503553934</v>
      </c>
      <c r="DL14" s="197">
        <f t="shared" si="33"/>
        <v>12151135.503553934</v>
      </c>
      <c r="DM14" s="197">
        <f t="shared" si="33"/>
        <v>12151135.503553934</v>
      </c>
      <c r="DN14" s="197">
        <f t="shared" si="33"/>
        <v>12151135.503553934</v>
      </c>
      <c r="DO14" s="197">
        <f t="shared" si="33"/>
        <v>12151135.503553934</v>
      </c>
      <c r="DP14" s="197">
        <f t="shared" si="33"/>
        <v>12151135.503553934</v>
      </c>
      <c r="DQ14" s="197">
        <f t="shared" si="33"/>
        <v>12151135.503553934</v>
      </c>
      <c r="DR14" s="197">
        <f t="shared" si="33"/>
        <v>12151135.503553934</v>
      </c>
      <c r="DS14" s="197">
        <f t="shared" si="33"/>
        <v>12151135.503553934</v>
      </c>
      <c r="DT14" s="197">
        <f t="shared" si="33"/>
        <v>12151135.503553934</v>
      </c>
      <c r="DU14" s="197">
        <f t="shared" si="33"/>
        <v>12151135.503553934</v>
      </c>
      <c r="DV14" s="197">
        <f t="shared" si="33"/>
        <v>12151135.503553934</v>
      </c>
      <c r="DW14" s="197">
        <f t="shared" si="33"/>
        <v>12151135.503553934</v>
      </c>
      <c r="DX14" s="197">
        <f t="shared" si="33"/>
        <v>12151135.503553934</v>
      </c>
      <c r="DY14" s="197">
        <f t="shared" si="33"/>
        <v>12151135.503553934</v>
      </c>
      <c r="DZ14" s="197">
        <f t="shared" si="33"/>
        <v>12151135.503553934</v>
      </c>
      <c r="EA14" s="197">
        <f t="shared" si="33"/>
        <v>12151135.503553934</v>
      </c>
      <c r="EB14" s="197">
        <f t="shared" si="33"/>
        <v>12151135.503553934</v>
      </c>
      <c r="EC14" s="197">
        <f t="shared" si="33"/>
        <v>12151135.503553934</v>
      </c>
      <c r="ED14" s="197">
        <f t="shared" si="33"/>
        <v>12151135.503553934</v>
      </c>
      <c r="EE14" s="197">
        <f t="shared" si="33"/>
        <v>12151135.503553934</v>
      </c>
      <c r="EF14" s="197">
        <f t="shared" si="33"/>
        <v>12151135.503553934</v>
      </c>
      <c r="EG14" s="197">
        <f t="shared" ref="EG14:GR14" si="34">EG10-EG12</f>
        <v>12151135.503553934</v>
      </c>
      <c r="EH14" s="197">
        <f t="shared" si="34"/>
        <v>12151135.503553934</v>
      </c>
      <c r="EI14" s="197">
        <f t="shared" si="34"/>
        <v>12151135.503553934</v>
      </c>
      <c r="EJ14" s="197">
        <f t="shared" si="34"/>
        <v>12151135.503553934</v>
      </c>
      <c r="EK14" s="197">
        <f t="shared" si="34"/>
        <v>12151135.503553934</v>
      </c>
      <c r="EL14" s="197">
        <f t="shared" si="34"/>
        <v>12151135.503553934</v>
      </c>
      <c r="EM14" s="197">
        <f t="shared" si="34"/>
        <v>12151135.503553934</v>
      </c>
      <c r="EN14" s="197">
        <f t="shared" si="34"/>
        <v>12151135.503553934</v>
      </c>
      <c r="EO14" s="197">
        <f t="shared" si="34"/>
        <v>12151135.503553934</v>
      </c>
      <c r="EP14" s="197">
        <f t="shared" si="34"/>
        <v>12151135.503553934</v>
      </c>
      <c r="EQ14" s="197">
        <f t="shared" si="34"/>
        <v>12151135.503553934</v>
      </c>
      <c r="ER14" s="197">
        <f t="shared" si="34"/>
        <v>12151135.503553934</v>
      </c>
      <c r="ES14" s="197">
        <f t="shared" si="34"/>
        <v>12151135.503553934</v>
      </c>
      <c r="ET14" s="197">
        <f t="shared" si="34"/>
        <v>12151135.503553934</v>
      </c>
      <c r="EU14" s="197">
        <f t="shared" si="34"/>
        <v>12151135.503553934</v>
      </c>
      <c r="EV14" s="197">
        <f t="shared" si="34"/>
        <v>12151135.503553934</v>
      </c>
      <c r="EW14" s="197">
        <f t="shared" si="34"/>
        <v>12151135.503553934</v>
      </c>
      <c r="EX14" s="197">
        <f t="shared" si="34"/>
        <v>12151135.503553934</v>
      </c>
      <c r="EY14" s="197">
        <f t="shared" si="34"/>
        <v>12151135.503553934</v>
      </c>
      <c r="EZ14" s="197">
        <f t="shared" si="34"/>
        <v>12151135.503553934</v>
      </c>
      <c r="FA14" s="197">
        <f t="shared" si="34"/>
        <v>12151135.503553934</v>
      </c>
      <c r="FB14" s="197">
        <f t="shared" si="34"/>
        <v>12151135.503553934</v>
      </c>
      <c r="FC14" s="197">
        <f t="shared" si="34"/>
        <v>12151135.503553934</v>
      </c>
      <c r="FD14" s="197">
        <f t="shared" si="34"/>
        <v>12151135.503553934</v>
      </c>
      <c r="FE14" s="197">
        <f t="shared" si="34"/>
        <v>12151135.503553934</v>
      </c>
      <c r="FF14" s="197">
        <f t="shared" si="34"/>
        <v>12151135.503553934</v>
      </c>
      <c r="FG14" s="197">
        <f t="shared" si="34"/>
        <v>12151135.503553934</v>
      </c>
      <c r="FH14" s="197">
        <f t="shared" si="34"/>
        <v>12151135.503553934</v>
      </c>
      <c r="FI14" s="197">
        <f t="shared" si="34"/>
        <v>12151135.503553934</v>
      </c>
      <c r="FJ14" s="197">
        <f t="shared" si="34"/>
        <v>12151135.503553934</v>
      </c>
      <c r="FK14" s="197">
        <f t="shared" si="34"/>
        <v>12151135.503553934</v>
      </c>
      <c r="FL14" s="197">
        <f t="shared" si="34"/>
        <v>12151135.503553934</v>
      </c>
      <c r="FM14" s="197">
        <f t="shared" si="34"/>
        <v>12151135.503553934</v>
      </c>
      <c r="FN14" s="197">
        <f t="shared" si="34"/>
        <v>12151135.503553934</v>
      </c>
      <c r="FO14" s="197">
        <f t="shared" si="34"/>
        <v>12151135.503553934</v>
      </c>
      <c r="FP14" s="197">
        <f t="shared" si="34"/>
        <v>12151135.503553934</v>
      </c>
      <c r="FQ14" s="197">
        <f t="shared" si="34"/>
        <v>12151135.503553934</v>
      </c>
      <c r="FR14" s="197">
        <f t="shared" si="34"/>
        <v>12151135.503553934</v>
      </c>
      <c r="FS14" s="197">
        <f t="shared" si="34"/>
        <v>12151135.503553934</v>
      </c>
      <c r="FT14" s="197">
        <f t="shared" si="34"/>
        <v>12151135.503553934</v>
      </c>
      <c r="FU14" s="197">
        <f t="shared" si="34"/>
        <v>12151135.503553934</v>
      </c>
      <c r="FV14" s="197">
        <f t="shared" si="34"/>
        <v>12151135.503553934</v>
      </c>
      <c r="FW14" s="197">
        <f t="shared" si="34"/>
        <v>12151135.503553934</v>
      </c>
      <c r="FX14" s="197">
        <f t="shared" si="34"/>
        <v>12151135.503553934</v>
      </c>
      <c r="FY14" s="197">
        <f t="shared" si="34"/>
        <v>12151135.503553934</v>
      </c>
      <c r="FZ14" s="197">
        <f t="shared" si="34"/>
        <v>12151135.503553934</v>
      </c>
      <c r="GA14" s="197">
        <f t="shared" si="34"/>
        <v>12151135.503553934</v>
      </c>
      <c r="GB14" s="197">
        <f t="shared" si="34"/>
        <v>12151135.503553934</v>
      </c>
      <c r="GC14" s="197">
        <f t="shared" si="34"/>
        <v>12151135.503553934</v>
      </c>
      <c r="GD14" s="197">
        <f t="shared" si="34"/>
        <v>12151135.503553934</v>
      </c>
      <c r="GE14" s="197">
        <f t="shared" si="34"/>
        <v>12151135.503553934</v>
      </c>
      <c r="GF14" s="197">
        <f t="shared" si="34"/>
        <v>12151135.503553934</v>
      </c>
      <c r="GG14" s="197">
        <f t="shared" si="34"/>
        <v>12151135.503553934</v>
      </c>
      <c r="GH14" s="197">
        <f t="shared" si="34"/>
        <v>12151135.503553934</v>
      </c>
      <c r="GI14" s="197">
        <f t="shared" si="34"/>
        <v>12151135.503553934</v>
      </c>
      <c r="GJ14" s="197">
        <f t="shared" si="34"/>
        <v>12151135.503553934</v>
      </c>
      <c r="GK14" s="197">
        <f t="shared" si="34"/>
        <v>12151135.503553934</v>
      </c>
      <c r="GL14" s="197">
        <f t="shared" si="34"/>
        <v>12151135.503553934</v>
      </c>
      <c r="GM14" s="197">
        <f t="shared" si="34"/>
        <v>12151135.503553934</v>
      </c>
      <c r="GN14" s="197">
        <f t="shared" si="34"/>
        <v>12151135.503553934</v>
      </c>
      <c r="GO14" s="197">
        <f t="shared" si="34"/>
        <v>12151135.503553934</v>
      </c>
      <c r="GP14" s="197">
        <f t="shared" si="34"/>
        <v>12151135.503553934</v>
      </c>
      <c r="GQ14" s="197">
        <f t="shared" si="34"/>
        <v>12151135.503553934</v>
      </c>
      <c r="GR14" s="197">
        <f t="shared" si="34"/>
        <v>12151135.503553934</v>
      </c>
      <c r="GS14" s="197">
        <f t="shared" ref="GS14:JD14" si="35">GS10-GS12</f>
        <v>12151135.503553934</v>
      </c>
      <c r="GT14" s="197">
        <f t="shared" si="35"/>
        <v>12151135.503553934</v>
      </c>
      <c r="GU14" s="197">
        <f t="shared" si="35"/>
        <v>12151135.503553934</v>
      </c>
      <c r="GV14" s="197">
        <f t="shared" si="35"/>
        <v>12151135.503553934</v>
      </c>
      <c r="GW14" s="197">
        <f t="shared" si="35"/>
        <v>12151135.503553934</v>
      </c>
      <c r="GX14" s="197">
        <f t="shared" si="35"/>
        <v>12151135.503553934</v>
      </c>
      <c r="GY14" s="197">
        <f t="shared" si="35"/>
        <v>12151135.503553934</v>
      </c>
      <c r="GZ14" s="197">
        <f t="shared" si="35"/>
        <v>12151135.503553934</v>
      </c>
      <c r="HA14" s="197">
        <f t="shared" si="35"/>
        <v>12151135.503553934</v>
      </c>
      <c r="HB14" s="197">
        <f t="shared" si="35"/>
        <v>12151135.503553934</v>
      </c>
      <c r="HC14" s="197">
        <f t="shared" si="35"/>
        <v>12151135.503553934</v>
      </c>
      <c r="HD14" s="197">
        <f t="shared" si="35"/>
        <v>12151135.503553934</v>
      </c>
      <c r="HE14" s="197">
        <f t="shared" si="35"/>
        <v>12151135.503553934</v>
      </c>
      <c r="HF14" s="197">
        <f t="shared" si="35"/>
        <v>12151135.503553934</v>
      </c>
      <c r="HG14" s="197">
        <f t="shared" si="35"/>
        <v>12151135.503553934</v>
      </c>
      <c r="HH14" s="197">
        <f t="shared" si="35"/>
        <v>12151135.503553934</v>
      </c>
      <c r="HI14" s="197">
        <f t="shared" si="35"/>
        <v>12151135.503553934</v>
      </c>
      <c r="HJ14" s="197">
        <f t="shared" si="35"/>
        <v>12151135.503553934</v>
      </c>
      <c r="HK14" s="197">
        <f t="shared" si="35"/>
        <v>12151135.503553934</v>
      </c>
      <c r="HL14" s="197">
        <f t="shared" si="35"/>
        <v>12151135.503553934</v>
      </c>
      <c r="HM14" s="197">
        <f t="shared" si="35"/>
        <v>12151135.503553934</v>
      </c>
      <c r="HN14" s="197">
        <f t="shared" si="35"/>
        <v>12151135.503553934</v>
      </c>
      <c r="HO14" s="197">
        <f t="shared" si="35"/>
        <v>12151135.503553934</v>
      </c>
      <c r="HP14" s="197">
        <f t="shared" si="35"/>
        <v>12151135.503553934</v>
      </c>
      <c r="HQ14" s="197">
        <f t="shared" si="35"/>
        <v>12151135.503553934</v>
      </c>
      <c r="HR14" s="197">
        <f t="shared" si="35"/>
        <v>12151135.503553934</v>
      </c>
      <c r="HS14" s="197">
        <f t="shared" si="35"/>
        <v>12151135.503553934</v>
      </c>
      <c r="HT14" s="197">
        <f t="shared" si="35"/>
        <v>12151135.503553934</v>
      </c>
      <c r="HU14" s="197">
        <f t="shared" si="35"/>
        <v>12151135.503553934</v>
      </c>
      <c r="HV14" s="197">
        <f t="shared" si="35"/>
        <v>12151135.503553934</v>
      </c>
      <c r="HW14" s="197">
        <f t="shared" si="35"/>
        <v>12151135.503553934</v>
      </c>
      <c r="HX14" s="197">
        <f t="shared" si="35"/>
        <v>12151135.503553934</v>
      </c>
      <c r="HY14" s="197">
        <f t="shared" si="35"/>
        <v>12151135.503553934</v>
      </c>
      <c r="HZ14" s="197">
        <f t="shared" si="35"/>
        <v>12151135.503553934</v>
      </c>
      <c r="IA14" s="197">
        <f t="shared" si="35"/>
        <v>12151135.503553934</v>
      </c>
      <c r="IB14" s="197">
        <f t="shared" si="35"/>
        <v>12151135.503553934</v>
      </c>
      <c r="IC14" s="197">
        <f t="shared" si="35"/>
        <v>12151135.503553934</v>
      </c>
      <c r="ID14" s="197">
        <f t="shared" si="35"/>
        <v>12151135.503553934</v>
      </c>
      <c r="IE14" s="197">
        <f t="shared" si="35"/>
        <v>12151135.503553934</v>
      </c>
      <c r="IF14" s="197">
        <f t="shared" si="35"/>
        <v>12151135.503553934</v>
      </c>
      <c r="IG14" s="197">
        <f t="shared" si="35"/>
        <v>12151135.503553934</v>
      </c>
      <c r="IH14" s="197">
        <f t="shared" si="35"/>
        <v>12151135.503553934</v>
      </c>
      <c r="II14" s="197">
        <f t="shared" si="35"/>
        <v>12151135.503553934</v>
      </c>
      <c r="IJ14" s="197">
        <f t="shared" si="35"/>
        <v>12151135.503553934</v>
      </c>
      <c r="IK14" s="197">
        <f t="shared" si="35"/>
        <v>12151135.503553934</v>
      </c>
      <c r="IL14" s="197">
        <f t="shared" si="35"/>
        <v>12151135.503553934</v>
      </c>
      <c r="IM14" s="197">
        <f t="shared" si="35"/>
        <v>12151135.503553934</v>
      </c>
      <c r="IN14" s="197">
        <f t="shared" si="35"/>
        <v>12151135.503553934</v>
      </c>
      <c r="IO14" s="197">
        <f t="shared" si="35"/>
        <v>12151135.503553934</v>
      </c>
      <c r="IP14" s="197">
        <f t="shared" si="35"/>
        <v>12151135.503553934</v>
      </c>
      <c r="IQ14" s="197">
        <f t="shared" si="35"/>
        <v>12151135.503553934</v>
      </c>
      <c r="IR14" s="197">
        <f t="shared" si="35"/>
        <v>12151135.503553934</v>
      </c>
      <c r="IS14" s="197">
        <f t="shared" si="35"/>
        <v>12151135.503553934</v>
      </c>
      <c r="IT14" s="197">
        <f t="shared" si="35"/>
        <v>12151135.503553934</v>
      </c>
      <c r="IU14" s="197">
        <f t="shared" si="35"/>
        <v>12151135.503553934</v>
      </c>
      <c r="IV14" s="197">
        <f t="shared" si="35"/>
        <v>12151135.503553934</v>
      </c>
      <c r="IW14" s="197">
        <f t="shared" si="35"/>
        <v>12151135.503553934</v>
      </c>
      <c r="IX14" s="197">
        <f t="shared" si="35"/>
        <v>12151135.503553934</v>
      </c>
      <c r="IY14" s="197">
        <f t="shared" si="35"/>
        <v>12151135.503553934</v>
      </c>
      <c r="IZ14" s="197">
        <f t="shared" si="35"/>
        <v>12151135.503553934</v>
      </c>
      <c r="JA14" s="197">
        <f t="shared" si="35"/>
        <v>12151135.503553934</v>
      </c>
      <c r="JB14" s="197">
        <f t="shared" si="35"/>
        <v>12151135.503553934</v>
      </c>
      <c r="JC14" s="197">
        <f t="shared" si="35"/>
        <v>12151135.503553934</v>
      </c>
      <c r="JD14" s="197">
        <f t="shared" si="35"/>
        <v>12151135.503553934</v>
      </c>
      <c r="JE14" s="197">
        <f t="shared" ref="JE14:LD14" si="36">JE10-JE12</f>
        <v>12151135.503553934</v>
      </c>
      <c r="JF14" s="197">
        <f t="shared" si="36"/>
        <v>12151135.503553934</v>
      </c>
      <c r="JG14" s="197">
        <f t="shared" si="36"/>
        <v>12151135.503553934</v>
      </c>
      <c r="JH14" s="197">
        <f t="shared" si="36"/>
        <v>12151135.503553934</v>
      </c>
      <c r="JI14" s="197">
        <f t="shared" si="36"/>
        <v>12151135.503553934</v>
      </c>
      <c r="JJ14" s="197">
        <f t="shared" si="36"/>
        <v>12151135.503553934</v>
      </c>
      <c r="JK14" s="197">
        <f t="shared" si="36"/>
        <v>12151135.503553934</v>
      </c>
      <c r="JL14" s="197">
        <f t="shared" si="36"/>
        <v>12151135.503553934</v>
      </c>
      <c r="JM14" s="197">
        <f t="shared" si="36"/>
        <v>12151135.503553934</v>
      </c>
      <c r="JN14" s="197">
        <f t="shared" si="36"/>
        <v>12151135.503553934</v>
      </c>
      <c r="JO14" s="197">
        <f t="shared" si="36"/>
        <v>12151135.503553934</v>
      </c>
      <c r="JP14" s="197">
        <f t="shared" si="36"/>
        <v>12151135.503553934</v>
      </c>
      <c r="JQ14" s="197">
        <f t="shared" si="36"/>
        <v>12151135.503553934</v>
      </c>
      <c r="JR14" s="197">
        <f t="shared" si="36"/>
        <v>12151135.503553934</v>
      </c>
      <c r="JS14" s="197">
        <f t="shared" si="36"/>
        <v>12151135.503553934</v>
      </c>
      <c r="JT14" s="197">
        <f t="shared" si="36"/>
        <v>12151135.503553934</v>
      </c>
      <c r="JU14" s="197">
        <f t="shared" si="36"/>
        <v>12151135.503553934</v>
      </c>
      <c r="JV14" s="197">
        <f t="shared" si="36"/>
        <v>12151135.503553934</v>
      </c>
      <c r="JW14" s="197">
        <f t="shared" si="36"/>
        <v>12151135.503553934</v>
      </c>
      <c r="JX14" s="197">
        <f t="shared" si="36"/>
        <v>12151135.503553934</v>
      </c>
      <c r="JY14" s="197">
        <f t="shared" si="36"/>
        <v>12151135.503553934</v>
      </c>
      <c r="JZ14" s="197">
        <f t="shared" si="36"/>
        <v>12151135.503553934</v>
      </c>
      <c r="KA14" s="197">
        <f t="shared" si="36"/>
        <v>12151135.503553934</v>
      </c>
      <c r="KB14" s="197">
        <f t="shared" si="36"/>
        <v>12151135.503553934</v>
      </c>
      <c r="KC14" s="197">
        <f t="shared" si="36"/>
        <v>12151135.503553934</v>
      </c>
      <c r="KD14" s="197">
        <f t="shared" si="36"/>
        <v>12151135.503553934</v>
      </c>
      <c r="KE14" s="197">
        <f t="shared" si="36"/>
        <v>12151135.503553934</v>
      </c>
      <c r="KF14" s="197">
        <f t="shared" si="36"/>
        <v>12151135.503553934</v>
      </c>
      <c r="KG14" s="197">
        <f t="shared" si="36"/>
        <v>12151135.503553934</v>
      </c>
      <c r="KH14" s="197">
        <f t="shared" si="36"/>
        <v>12151135.503553934</v>
      </c>
      <c r="KI14" s="197">
        <f t="shared" si="36"/>
        <v>12151135.503553934</v>
      </c>
      <c r="KJ14" s="197">
        <f t="shared" si="36"/>
        <v>12151135.503553934</v>
      </c>
      <c r="KK14" s="197">
        <f t="shared" si="36"/>
        <v>12151135.503553934</v>
      </c>
      <c r="KL14" s="197">
        <f t="shared" si="36"/>
        <v>12151135.503553934</v>
      </c>
      <c r="KM14" s="197">
        <f t="shared" si="36"/>
        <v>12151135.503553934</v>
      </c>
      <c r="KN14" s="197">
        <f t="shared" si="36"/>
        <v>12151135.503553934</v>
      </c>
      <c r="KO14" s="197">
        <f t="shared" si="36"/>
        <v>12151135.503553934</v>
      </c>
      <c r="KP14" s="197">
        <f t="shared" si="36"/>
        <v>12151135.503553934</v>
      </c>
      <c r="KQ14" s="197">
        <f t="shared" si="36"/>
        <v>12151135.503553934</v>
      </c>
      <c r="KR14" s="197">
        <f t="shared" si="36"/>
        <v>12151135.503553934</v>
      </c>
      <c r="KS14" s="197">
        <f t="shared" si="36"/>
        <v>12151135.503553934</v>
      </c>
      <c r="KT14" s="197">
        <f t="shared" si="36"/>
        <v>12151135.503553934</v>
      </c>
      <c r="KU14" s="197">
        <f t="shared" si="36"/>
        <v>12151135.503553934</v>
      </c>
      <c r="KV14" s="197">
        <f t="shared" si="36"/>
        <v>12151135.503553934</v>
      </c>
      <c r="KW14" s="197">
        <f t="shared" si="36"/>
        <v>12151135.503553934</v>
      </c>
      <c r="KX14" s="197">
        <f t="shared" si="36"/>
        <v>12151135.503553934</v>
      </c>
      <c r="KY14" s="197">
        <f t="shared" si="36"/>
        <v>12151135.503553934</v>
      </c>
      <c r="KZ14" s="197">
        <f t="shared" si="36"/>
        <v>12151135.503553934</v>
      </c>
      <c r="LA14" s="197">
        <f t="shared" si="36"/>
        <v>12151135.503553934</v>
      </c>
      <c r="LB14" s="197">
        <f t="shared" si="36"/>
        <v>12151135.503553934</v>
      </c>
      <c r="LC14" s="197">
        <f t="shared" si="36"/>
        <v>12151135.503553934</v>
      </c>
      <c r="LD14" s="197">
        <f t="shared" si="36"/>
        <v>12151135.503553934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30"/>
      <c r="B17" s="185" t="s">
        <v>753</v>
      </c>
      <c r="C17" s="363">
        <f>C3-D17</f>
        <v>194168.72705621272</v>
      </c>
      <c r="D17" s="186">
        <f>SUM(F17:LD17)</f>
        <v>59800831.272943787</v>
      </c>
      <c r="E17" s="196"/>
      <c r="F17" s="204">
        <f>SUMIFS('Expenditure Breakdown'!$U$6:$U$384, 'Expenditure Breakdown'!$T$6:$T$384, "&gt;="&amp;F1,'Expenditure Breakdown'!$T$6:$T$384, "&lt;"&amp;G1)</f>
        <v>0</v>
      </c>
      <c r="G17" s="204">
        <f>SUMIFS('Expenditure Breakdown'!$U$6:$U$384, 'Expenditure Breakdown'!$T$6:$T$384, "&gt;="&amp;G1,'Expenditure Breakdown'!$T$6:$T$384, "&lt;"&amp;H1)</f>
        <v>0</v>
      </c>
      <c r="H17" s="204">
        <f>SUMIFS('Expenditure Breakdown'!$U$6:$U$384, 'Expenditure Breakdown'!$T$6:$T$384, "&gt;="&amp;H1,'Expenditure Breakdown'!$T$6:$T$384, "&lt;"&amp;I1)</f>
        <v>0</v>
      </c>
      <c r="I17" s="204">
        <f>SUMIFS('Expenditure Breakdown'!$U$6:$U$384, 'Expenditure Breakdown'!$T$6:$T$384, "&gt;="&amp;I1,'Expenditure Breakdown'!$T$6:$T$384, "&lt;"&amp;J1)</f>
        <v>0</v>
      </c>
      <c r="J17" s="204">
        <f>SUMIFS('Expenditure Breakdown'!$U$6:$U$384, 'Expenditure Breakdown'!$T$6:$T$384, "&gt;="&amp;J1,'Expenditure Breakdown'!$T$6:$T$384, "&lt;"&amp;K1)</f>
        <v>0</v>
      </c>
      <c r="K17" s="204">
        <f>SUMIFS('Expenditure Breakdown'!$U$6:$U$384, 'Expenditure Breakdown'!$T$6:$T$384, "&gt;="&amp;K1,'Expenditure Breakdown'!$T$6:$T$384, "&lt;"&amp;L1)</f>
        <v>0</v>
      </c>
      <c r="L17" s="204">
        <f>SUMIFS('Expenditure Breakdown'!$U$6:$U$384, 'Expenditure Breakdown'!$T$6:$T$384, "&gt;="&amp;L1,'Expenditure Breakdown'!$T$6:$T$384, "&lt;"&amp;M1)</f>
        <v>0</v>
      </c>
      <c r="M17" s="204">
        <f>SUMIFS('Expenditure Breakdown'!$U$6:$U$384, 'Expenditure Breakdown'!$T$6:$T$384, "&gt;="&amp;M1,'Expenditure Breakdown'!$T$6:$T$384, "&lt;"&amp;N1)</f>
        <v>0</v>
      </c>
      <c r="N17" s="204">
        <f>SUMIFS('Expenditure Breakdown'!$U$6:$U$384, 'Expenditure Breakdown'!$T$6:$T$384, "&gt;="&amp;N1,'Expenditure Breakdown'!$T$6:$T$384, "&lt;"&amp;O1)</f>
        <v>0</v>
      </c>
      <c r="O17" s="204">
        <f>SUMIFS('Expenditure Breakdown'!$U$6:$U$384, 'Expenditure Breakdown'!$T$6:$T$384, "&gt;="&amp;O1,'Expenditure Breakdown'!$T$6:$T$384, "&lt;"&amp;P1)</f>
        <v>0</v>
      </c>
      <c r="P17" s="204">
        <f>SUMIFS('Expenditure Breakdown'!$U$6:$U$384, 'Expenditure Breakdown'!$T$6:$T$384, "&gt;="&amp;P1,'Expenditure Breakdown'!$T$6:$T$384, "&lt;"&amp;Q1)</f>
        <v>0</v>
      </c>
      <c r="Q17" s="204">
        <f>SUMIFS('Expenditure Breakdown'!$U$6:$U$384, 'Expenditure Breakdown'!$T$6:$T$384, "&gt;="&amp;Q1,'Expenditure Breakdown'!$T$6:$T$384, "&lt;"&amp;R1)</f>
        <v>0</v>
      </c>
      <c r="R17" s="204">
        <f>SUMIFS('Expenditure Breakdown'!$U$6:$U$384, 'Expenditure Breakdown'!$T$6:$T$384, "&gt;="&amp;R1,'Expenditure Breakdown'!$T$6:$T$384, "&lt;"&amp;S1)</f>
        <v>0</v>
      </c>
      <c r="S17" s="204">
        <f>SUMIFS('Expenditure Breakdown'!$U$6:$U$384, 'Expenditure Breakdown'!$T$6:$T$384, "&gt;="&amp;S1,'Expenditure Breakdown'!$T$6:$T$384, "&lt;"&amp;T1)</f>
        <v>0</v>
      </c>
      <c r="T17" s="204">
        <f>SUMIFS('Expenditure Breakdown'!$U$6:$U$384, 'Expenditure Breakdown'!$T$6:$T$384, "&gt;="&amp;T1,'Expenditure Breakdown'!$T$6:$T$384, "&lt;"&amp;U1)</f>
        <v>0</v>
      </c>
      <c r="U17" s="204">
        <f>SUMIFS('Expenditure Breakdown'!$U$6:$U$384, 'Expenditure Breakdown'!$T$6:$T$384, "&gt;="&amp;U1,'Expenditure Breakdown'!$T$6:$T$384, "&lt;"&amp;V1)</f>
        <v>0</v>
      </c>
      <c r="V17" s="204">
        <f>SUMIFS('Expenditure Breakdown'!$U$6:$U$384, 'Expenditure Breakdown'!$T$6:$T$384, "&gt;="&amp;V1,'Expenditure Breakdown'!$T$6:$T$384, "&lt;"&amp;W1)</f>
        <v>0</v>
      </c>
      <c r="W17" s="204">
        <f>SUMIFS('Expenditure Breakdown'!$U$6:$U$384, 'Expenditure Breakdown'!$T$6:$T$384, "&gt;="&amp;W1,'Expenditure Breakdown'!$T$6:$T$384, "&lt;"&amp;X1)</f>
        <v>0</v>
      </c>
      <c r="X17" s="204">
        <f>SUMIFS('Expenditure Breakdown'!$U$6:$U$384, 'Expenditure Breakdown'!$T$6:$T$384, "&gt;="&amp;X1,'Expenditure Breakdown'!$T$6:$T$384, "&lt;"&amp;Y1)</f>
        <v>0</v>
      </c>
      <c r="Y17" s="204">
        <f>SUMIFS('Expenditure Breakdown'!$U$6:$U$384, 'Expenditure Breakdown'!$T$6:$T$384, "&gt;="&amp;Y1,'Expenditure Breakdown'!$T$6:$T$384, "&lt;"&amp;Z1)</f>
        <v>0</v>
      </c>
      <c r="Z17" s="204">
        <f>SUMIFS('Expenditure Breakdown'!$U$6:$U$384, 'Expenditure Breakdown'!$T$6:$T$384, "&gt;="&amp;Z1,'Expenditure Breakdown'!$T$6:$T$384, "&lt;"&amp;AA1)</f>
        <v>0</v>
      </c>
      <c r="AA17" s="204">
        <f>SUMIFS('Expenditure Breakdown'!$U$6:$U$384, 'Expenditure Breakdown'!$T$6:$T$384, "&gt;="&amp;AA1,'Expenditure Breakdown'!$T$6:$T$384, "&lt;"&amp;AB1)</f>
        <v>0</v>
      </c>
      <c r="AB17" s="204">
        <f>SUMIFS('Expenditure Breakdown'!$U$6:$U$384, 'Expenditure Breakdown'!$T$6:$T$384, "&gt;="&amp;AB1,'Expenditure Breakdown'!$T$6:$T$384, "&lt;"&amp;AC1)</f>
        <v>0</v>
      </c>
      <c r="AC17" s="204">
        <f>SUMIFS('Expenditure Breakdown'!$U$6:$U$384, 'Expenditure Breakdown'!$T$6:$T$384, "&gt;="&amp;AC1,'Expenditure Breakdown'!$T$6:$T$384, "&lt;"&amp;AD1)</f>
        <v>8815197.7094932552</v>
      </c>
      <c r="AD17" s="204">
        <f>SUMIFS('Expenditure Breakdown'!$U$6:$U$384, 'Expenditure Breakdown'!$T$6:$T$384, "&gt;="&amp;AD1,'Expenditure Breakdown'!$T$6:$T$384, "&lt;"&amp;AE1)</f>
        <v>0</v>
      </c>
      <c r="AE17" s="204">
        <f>SUMIFS('Expenditure Breakdown'!$U$6:$U$384, 'Expenditure Breakdown'!$T$6:$T$384, "&gt;="&amp;AE1,'Expenditure Breakdown'!$T$6:$T$384, "&lt;"&amp;AF1)</f>
        <v>0</v>
      </c>
      <c r="AF17" s="204">
        <f>SUMIFS('Expenditure Breakdown'!$U$6:$U$384, 'Expenditure Breakdown'!$T$6:$T$384, "&gt;="&amp;AF1,'Expenditure Breakdown'!$T$6:$T$384, "&lt;"&amp;AG1)</f>
        <v>0</v>
      </c>
      <c r="AG17" s="204">
        <f>SUMIFS('Expenditure Breakdown'!$U$6:$U$384, 'Expenditure Breakdown'!$T$6:$T$384, "&gt;="&amp;AG1,'Expenditure Breakdown'!$T$6:$T$384, "&lt;"&amp;AH1)</f>
        <v>25270274.790430568</v>
      </c>
      <c r="AH17" s="204">
        <f>SUMIFS('Expenditure Breakdown'!$U$6:$U$384, 'Expenditure Breakdown'!$T$6:$T$384, "&gt;="&amp;AH1,'Expenditure Breakdown'!$T$6:$T$384, "&lt;"&amp;AI1)</f>
        <v>0</v>
      </c>
      <c r="AI17" s="204">
        <f>SUMIFS('Expenditure Breakdown'!$U$6:$U$384, 'Expenditure Breakdown'!$T$6:$T$384, "&gt;="&amp;AI1,'Expenditure Breakdown'!$T$6:$T$384, "&lt;"&amp;AJ1)</f>
        <v>0</v>
      </c>
      <c r="AJ17" s="204">
        <f>SUMIFS('Expenditure Breakdown'!$U$6:$U$384, 'Expenditure Breakdown'!$T$6:$T$384, "&gt;="&amp;AJ1,'Expenditure Breakdown'!$T$6:$T$384, "&lt;"&amp;AK1)</f>
        <v>0</v>
      </c>
      <c r="AK17" s="204">
        <f>SUMIFS('Expenditure Breakdown'!$U$6:$U$384, 'Expenditure Breakdown'!$T$6:$T$384, "&gt;="&amp;AK1,'Expenditure Breakdown'!$T$6:$T$384, "&lt;"&amp;AL1)</f>
        <v>12183550.850430239</v>
      </c>
      <c r="AL17" s="204">
        <f>SUMIFS('Expenditure Breakdown'!$U$6:$U$384, 'Expenditure Breakdown'!$T$6:$T$384, "&gt;="&amp;AL1,'Expenditure Breakdown'!$T$6:$T$384, "&lt;"&amp;AM1)</f>
        <v>0</v>
      </c>
      <c r="AM17" s="204">
        <f>SUMIFS('Expenditure Breakdown'!$U$6:$U$384, 'Expenditure Breakdown'!$T$6:$T$384, "&gt;="&amp;AM1,'Expenditure Breakdown'!$T$6:$T$384, "&lt;"&amp;AN1)</f>
        <v>0</v>
      </c>
      <c r="AN17" s="204">
        <f>SUMIFS('Expenditure Breakdown'!$U$6:$U$384, 'Expenditure Breakdown'!$T$6:$T$384, "&gt;="&amp;AN1,'Expenditure Breakdown'!$T$6:$T$384, "&lt;"&amp;AO1)</f>
        <v>0</v>
      </c>
      <c r="AO17" s="204">
        <f>SUMIFS('Expenditure Breakdown'!$U$6:$U$384, 'Expenditure Breakdown'!$T$6:$T$384, "&gt;="&amp;AO1,'Expenditure Breakdown'!$T$6:$T$384, "&lt;"&amp;AP1)</f>
        <v>0</v>
      </c>
      <c r="AP17" s="204">
        <f>SUMIFS('Expenditure Breakdown'!$U$6:$U$384, 'Expenditure Breakdown'!$T$6:$T$384, "&gt;="&amp;AP1,'Expenditure Breakdown'!$T$6:$T$384, "&lt;"&amp;AQ1)</f>
        <v>4759.0838001852389</v>
      </c>
      <c r="AQ17" s="204">
        <f>SUMIFS('Expenditure Breakdown'!$U$6:$U$384, 'Expenditure Breakdown'!$T$6:$T$384, "&gt;="&amp;AQ1,'Expenditure Breakdown'!$T$6:$T$384, "&lt;"&amp;AR1)</f>
        <v>0</v>
      </c>
      <c r="AR17" s="204">
        <f>SUMIFS('Expenditure Breakdown'!$U$6:$U$384, 'Expenditure Breakdown'!$T$6:$T$384, "&gt;="&amp;AR1,'Expenditure Breakdown'!$T$6:$T$384, "&lt;"&amp;AS1)</f>
        <v>0</v>
      </c>
      <c r="AS17" s="204">
        <f>SUMIFS('Expenditure Breakdown'!$U$6:$U$384, 'Expenditure Breakdown'!$T$6:$T$384, "&gt;="&amp;AS1,'Expenditure Breakdown'!$T$6:$T$384, "&lt;"&amp;AT1)</f>
        <v>0</v>
      </c>
      <c r="AT17" s="204">
        <f>SUMIFS('Expenditure Breakdown'!$U$6:$U$384, 'Expenditure Breakdown'!$T$6:$T$384, "&gt;="&amp;AT1,'Expenditure Breakdown'!$T$6:$T$384, "&lt;"&amp;AU1)</f>
        <v>71787.336561695745</v>
      </c>
      <c r="AU17" s="204">
        <f>SUMIFS('Expenditure Breakdown'!$U$6:$U$384, 'Expenditure Breakdown'!$T$6:$T$384, "&gt;="&amp;AU1,'Expenditure Breakdown'!$T$6:$T$384, "&lt;"&amp;AV1)</f>
        <v>0</v>
      </c>
      <c r="AV17" s="204">
        <f>SUMIFS('Expenditure Breakdown'!$U$6:$U$384, 'Expenditure Breakdown'!$T$6:$T$384, "&gt;="&amp;AV1,'Expenditure Breakdown'!$T$6:$T$384, "&lt;"&amp;AW1)</f>
        <v>0</v>
      </c>
      <c r="AW17" s="204">
        <f>SUMIFS('Expenditure Breakdown'!$U$6:$U$384, 'Expenditure Breakdown'!$T$6:$T$384, "&gt;="&amp;AW1,'Expenditure Breakdown'!$T$6:$T$384, "&lt;"&amp;AX1)</f>
        <v>0</v>
      </c>
      <c r="AX17" s="204">
        <f>SUMIFS('Expenditure Breakdown'!$U$6:$U$384, 'Expenditure Breakdown'!$T$6:$T$384, "&gt;="&amp;AX1,'Expenditure Breakdown'!$T$6:$T$384, "&lt;"&amp;AY1)</f>
        <v>11651405.675580088</v>
      </c>
      <c r="AY17" s="204">
        <f>SUMIFS('Expenditure Breakdown'!$U$6:$U$384, 'Expenditure Breakdown'!$T$6:$T$384, "&gt;="&amp;AY1,'Expenditure Breakdown'!$T$6:$T$384, "&lt;"&amp;AZ1)</f>
        <v>0</v>
      </c>
      <c r="AZ17" s="204">
        <f>SUMIFS('Expenditure Breakdown'!$U$6:$U$384, 'Expenditure Breakdown'!$T$6:$T$384, "&gt;="&amp;AZ1,'Expenditure Breakdown'!$T$6:$T$384, "&lt;"&amp;BA1)</f>
        <v>0</v>
      </c>
      <c r="BA17" s="204">
        <f>SUMIFS('Expenditure Breakdown'!$U$6:$U$384, 'Expenditure Breakdown'!$T$6:$T$384, "&gt;="&amp;BA1,'Expenditure Breakdown'!$T$6:$T$384, "&lt;"&amp;BB1)</f>
        <v>0</v>
      </c>
      <c r="BB17" s="204">
        <f>SUMIFS('Expenditure Breakdown'!$U$6:$U$384, 'Expenditure Breakdown'!$T$6:$T$384, "&gt;="&amp;BB1,'Expenditure Breakdown'!$T$6:$T$384, "&lt;"&amp;BC1)</f>
        <v>0</v>
      </c>
      <c r="BC17" s="204">
        <f>SUMIFS('Expenditure Breakdown'!$U$6:$U$384, 'Expenditure Breakdown'!$T$6:$T$384, "&gt;="&amp;BC1,'Expenditure Breakdown'!$T$6:$T$384, "&lt;"&amp;BD1)</f>
        <v>22058.315908169272</v>
      </c>
      <c r="BD17" s="204">
        <f>SUMIFS('Expenditure Breakdown'!$U$6:$U$384, 'Expenditure Breakdown'!$T$6:$T$384, "&gt;="&amp;BD1,'Expenditure Breakdown'!$T$6:$T$384, "&lt;"&amp;BE1)</f>
        <v>0</v>
      </c>
      <c r="BE17" s="204">
        <f>SUMIFS('Expenditure Breakdown'!$U$6:$U$384, 'Expenditure Breakdown'!$T$6:$T$384, "&gt;="&amp;BE1,'Expenditure Breakdown'!$T$6:$T$384, "&lt;"&amp;BF1)</f>
        <v>0</v>
      </c>
      <c r="BF17" s="204">
        <f>SUMIFS('Expenditure Breakdown'!$U$6:$U$384, 'Expenditure Breakdown'!$T$6:$T$384, "&gt;="&amp;BF1,'Expenditure Breakdown'!$T$6:$T$384, "&lt;"&amp;BG1)</f>
        <v>0</v>
      </c>
      <c r="BG17" s="204">
        <f>SUMIFS('Expenditure Breakdown'!$U$6:$U$384, 'Expenditure Breakdown'!$T$6:$T$384, "&gt;="&amp;BG1,'Expenditure Breakdown'!$T$6:$T$384, "&lt;"&amp;BH1)</f>
        <v>673630.87507434597</v>
      </c>
      <c r="BH17" s="204">
        <f>SUMIFS('Expenditure Breakdown'!$U$6:$U$384, 'Expenditure Breakdown'!$T$6:$T$384, "&gt;="&amp;BH1,'Expenditure Breakdown'!$T$6:$T$384, "&lt;"&amp;BI1)</f>
        <v>0</v>
      </c>
      <c r="BI17" s="204">
        <f>SUMIFS('Expenditure Breakdown'!$U$6:$U$384, 'Expenditure Breakdown'!$T$6:$T$384, "&gt;="&amp;BI1,'Expenditure Breakdown'!$T$6:$T$384, "&lt;"&amp;BJ1)</f>
        <v>0</v>
      </c>
      <c r="BJ17" s="204">
        <f>SUMIFS('Expenditure Breakdown'!$U$6:$U$384, 'Expenditure Breakdown'!$T$6:$T$384, "&gt;="&amp;BJ1,'Expenditure Breakdown'!$T$6:$T$384, "&lt;"&amp;BK1)</f>
        <v>0</v>
      </c>
      <c r="BK17" s="204">
        <f>SUMIFS('Expenditure Breakdown'!$U$6:$U$384, 'Expenditure Breakdown'!$T$6:$T$384, "&gt;="&amp;BK1,'Expenditure Breakdown'!$T$6:$T$384, "&lt;"&amp;BL1)</f>
        <v>1108166.6356652447</v>
      </c>
      <c r="BL17" s="204">
        <f>SUMIFS('Expenditure Breakdown'!$U$6:$U$384, 'Expenditure Breakdown'!$T$6:$T$384, "&gt;="&amp;BL1,'Expenditure Breakdown'!$T$6:$T$384, "&lt;"&amp;BM1)</f>
        <v>0</v>
      </c>
      <c r="BM17" s="204">
        <f>SUMIFS('Expenditure Breakdown'!$U$6:$U$384, 'Expenditure Breakdown'!$T$6:$T$384, "&gt;="&amp;BM1,'Expenditure Breakdown'!$T$6:$T$384, "&lt;"&amp;BN1)</f>
        <v>0</v>
      </c>
      <c r="BN17" s="204">
        <f>SUMIFS('Expenditure Breakdown'!$U$6:$U$384, 'Expenditure Breakdown'!$T$6:$T$384, "&gt;="&amp;BN1,'Expenditure Breakdown'!$T$6:$T$384, "&lt;"&amp;BO1)</f>
        <v>0</v>
      </c>
      <c r="BO17" s="204">
        <f>SUMIFS('Expenditure Breakdown'!$U$6:$U$384, 'Expenditure Breakdown'!$T$6:$T$384, "&gt;="&amp;BO1,'Expenditure Breakdown'!$T$6:$T$384, "&lt;"&amp;BP1)</f>
        <v>0</v>
      </c>
      <c r="BP17" s="204">
        <f>SUMIFS('Expenditure Breakdown'!$U$6:$U$384, 'Expenditure Breakdown'!$T$6:$T$384, "&gt;="&amp;BP1,'Expenditure Breakdown'!$T$6:$T$384, "&lt;"&amp;BQ1)</f>
        <v>0</v>
      </c>
      <c r="BQ17" s="204">
        <f>SUMIFS('Expenditure Breakdown'!$U$6:$U$384, 'Expenditure Breakdown'!$T$6:$T$384, "&gt;="&amp;BQ1,'Expenditure Breakdown'!$T$6:$T$384, "&lt;"&amp;BR1)</f>
        <v>0</v>
      </c>
      <c r="BR17" s="204">
        <f>SUMIFS('Expenditure Breakdown'!$U$6:$U$384, 'Expenditure Breakdown'!$T$6:$T$384, "&gt;="&amp;BR1,'Expenditure Breakdown'!$T$6:$T$384, "&lt;"&amp;BS1)</f>
        <v>0</v>
      </c>
      <c r="BS17" s="204">
        <f>SUMIFS('Expenditure Breakdown'!$U$6:$U$384, 'Expenditure Breakdown'!$T$6:$T$384, "&gt;="&amp;BS1,'Expenditure Breakdown'!$T$6:$T$384, "&lt;"&amp;BT1)</f>
        <v>0</v>
      </c>
      <c r="BT17" s="204">
        <f>SUMIFS('Expenditure Breakdown'!$U$6:$U$384, 'Expenditure Breakdown'!$T$6:$T$384, "&gt;="&amp;BT1,'Expenditure Breakdown'!$T$6:$T$384, "&lt;"&amp;BU1)</f>
        <v>0</v>
      </c>
      <c r="BU17" s="204">
        <f>SUMIFS('Expenditure Breakdown'!$U$6:$U$384, 'Expenditure Breakdown'!$T$6:$T$384, "&gt;="&amp;BU1,'Expenditure Breakdown'!$T$6:$T$384, "&lt;"&amp;BV1)</f>
        <v>0</v>
      </c>
      <c r="BV17" s="204">
        <f>SUMIFS('Expenditure Breakdown'!$U$6:$U$384, 'Expenditure Breakdown'!$T$6:$T$384, "&gt;="&amp;BV1,'Expenditure Breakdown'!$T$6:$T$384, "&lt;"&amp;BW1)</f>
        <v>0</v>
      </c>
      <c r="BW17" s="204">
        <f>SUMIFS('Expenditure Breakdown'!$U$6:$U$384, 'Expenditure Breakdown'!$T$6:$T$384, "&gt;="&amp;BW1,'Expenditure Breakdown'!$T$6:$T$384, "&lt;"&amp;BX1)</f>
        <v>0</v>
      </c>
      <c r="BX17" s="204">
        <f>SUMIFS('Expenditure Breakdown'!$U$6:$U$384, 'Expenditure Breakdown'!$T$6:$T$384, "&gt;="&amp;BX1,'Expenditure Breakdown'!$T$6:$T$384, "&lt;"&amp;BY1)</f>
        <v>0</v>
      </c>
      <c r="BY17" s="204">
        <f>SUMIFS('Expenditure Breakdown'!$U$6:$U$384, 'Expenditure Breakdown'!$T$6:$T$384, "&gt;="&amp;BY1,'Expenditure Breakdown'!$T$6:$T$384, "&lt;"&amp;BZ1)</f>
        <v>0</v>
      </c>
      <c r="BZ17" s="204">
        <f>SUMIFS('Expenditure Breakdown'!$U$6:$U$384, 'Expenditure Breakdown'!$T$6:$T$384, "&gt;="&amp;BZ1,'Expenditure Breakdown'!$T$6:$T$384, "&lt;"&amp;CA1)</f>
        <v>0</v>
      </c>
      <c r="CA17" s="204">
        <f>SUMIFS('Expenditure Breakdown'!$U$6:$U$384, 'Expenditure Breakdown'!$T$6:$T$384, "&gt;="&amp;CA1,'Expenditure Breakdown'!$T$6:$T$384, "&lt;"&amp;CB1)</f>
        <v>0</v>
      </c>
      <c r="CB17" s="204">
        <f>SUMIFS('Expenditure Breakdown'!$U$6:$U$384, 'Expenditure Breakdown'!$T$6:$T$384, "&gt;="&amp;CB1,'Expenditure Breakdown'!$T$6:$T$384, "&lt;"&amp;CC1)</f>
        <v>0</v>
      </c>
      <c r="CC17" s="204">
        <f>SUMIFS('Expenditure Breakdown'!$U$6:$U$384, 'Expenditure Breakdown'!$T$6:$T$384, "&gt;="&amp;CC1,'Expenditure Breakdown'!$T$6:$T$384, "&lt;"&amp;CD1)</f>
        <v>0</v>
      </c>
      <c r="CD17" s="204">
        <f>SUMIFS('Expenditure Breakdown'!$U$6:$U$384, 'Expenditure Breakdown'!$T$6:$T$384, "&gt;="&amp;CD1,'Expenditure Breakdown'!$T$6:$T$384, "&lt;"&amp;CE1)</f>
        <v>0</v>
      </c>
      <c r="CE17" s="204">
        <f>SUMIFS('Expenditure Breakdown'!$U$6:$U$384, 'Expenditure Breakdown'!$T$6:$T$384, "&gt;="&amp;CE1,'Expenditure Breakdown'!$T$6:$T$384, "&lt;"&amp;CF1)</f>
        <v>0</v>
      </c>
      <c r="CF17" s="204">
        <f>SUMIFS('Expenditure Breakdown'!$U$6:$U$384, 'Expenditure Breakdown'!$T$6:$T$384, "&gt;="&amp;CF1,'Expenditure Breakdown'!$T$6:$T$384, "&lt;"&amp;CG1)</f>
        <v>0</v>
      </c>
      <c r="CG17" s="204">
        <f>SUMIFS('Expenditure Breakdown'!$U$6:$U$384, 'Expenditure Breakdown'!$T$6:$T$384, "&gt;="&amp;CG1,'Expenditure Breakdown'!$T$6:$T$384, "&lt;"&amp;CH1)</f>
        <v>0</v>
      </c>
      <c r="CH17" s="204">
        <f>SUMIFS('Expenditure Breakdown'!$U$6:$U$384, 'Expenditure Breakdown'!$T$6:$T$384, "&gt;="&amp;CH1,'Expenditure Breakdown'!$T$6:$T$384, "&lt;"&amp;CI1)</f>
        <v>0</v>
      </c>
      <c r="CI17" s="204">
        <f>SUMIFS('Expenditure Breakdown'!$U$6:$U$384, 'Expenditure Breakdown'!$T$6:$T$384, "&gt;="&amp;CI1,'Expenditure Breakdown'!$T$6:$T$384, "&lt;"&amp;CJ1)</f>
        <v>0</v>
      </c>
      <c r="CJ17" s="204">
        <f>SUMIFS('Expenditure Breakdown'!$U$6:$U$384, 'Expenditure Breakdown'!$T$6:$T$384, "&gt;="&amp;CJ1,'Expenditure Breakdown'!$T$6:$T$384, "&lt;"&amp;CK1)</f>
        <v>0</v>
      </c>
      <c r="CK17" s="204">
        <f>SUMIFS('Expenditure Breakdown'!$U$6:$U$384, 'Expenditure Breakdown'!$T$6:$T$384, "&gt;="&amp;CK1,'Expenditure Breakdown'!$T$6:$T$384, "&lt;"&amp;CL1)</f>
        <v>0</v>
      </c>
      <c r="CL17" s="204">
        <f>SUMIFS('Expenditure Breakdown'!$U$6:$U$384, 'Expenditure Breakdown'!$T$6:$T$384, "&gt;="&amp;CL1,'Expenditure Breakdown'!$T$6:$T$384, "&lt;"&amp;CM1)</f>
        <v>0</v>
      </c>
      <c r="CM17" s="204">
        <f>SUMIFS('Expenditure Breakdown'!$U$6:$U$384, 'Expenditure Breakdown'!$T$6:$T$384, "&gt;="&amp;CM1,'Expenditure Breakdown'!$T$6:$T$384, "&lt;"&amp;CN1)</f>
        <v>0</v>
      </c>
      <c r="CN17" s="204">
        <f>SUMIFS('Expenditure Breakdown'!$U$6:$U$384, 'Expenditure Breakdown'!$T$6:$T$384, "&gt;="&amp;CN1,'Expenditure Breakdown'!$T$6:$T$384, "&lt;"&amp;CO1)</f>
        <v>0</v>
      </c>
      <c r="CO17" s="204">
        <f>SUMIFS('Expenditure Breakdown'!$U$6:$U$384, 'Expenditure Breakdown'!$T$6:$T$384, "&gt;="&amp;CO1,'Expenditure Breakdown'!$T$6:$T$384, "&lt;"&amp;CP1)</f>
        <v>0</v>
      </c>
      <c r="CP17" s="204">
        <f>SUMIFS('Expenditure Breakdown'!$U$6:$U$384, 'Expenditure Breakdown'!$T$6:$T$384, "&gt;="&amp;CP1,'Expenditure Breakdown'!$T$6:$T$384, "&lt;"&amp;CQ1)</f>
        <v>0</v>
      </c>
      <c r="CQ17" s="204">
        <f>SUMIFS('Expenditure Breakdown'!$U$6:$U$384, 'Expenditure Breakdown'!$T$6:$T$384, "&gt;="&amp;CQ1,'Expenditure Breakdown'!$T$6:$T$384, "&lt;"&amp;CR1)</f>
        <v>0</v>
      </c>
      <c r="CR17" s="204">
        <f>SUMIFS('Expenditure Breakdown'!$U$6:$U$384, 'Expenditure Breakdown'!$T$6:$T$384, "&gt;="&amp;CR1,'Expenditure Breakdown'!$T$6:$T$384, "&lt;"&amp;CS1)</f>
        <v>0</v>
      </c>
      <c r="CS17" s="204">
        <f>SUMIFS('Expenditure Breakdown'!$U$6:$U$384, 'Expenditure Breakdown'!$T$6:$T$384, "&gt;="&amp;CS1,'Expenditure Breakdown'!$T$6:$T$384, "&lt;"&amp;CT1)</f>
        <v>0</v>
      </c>
      <c r="CT17" s="204">
        <f>SUMIFS('Expenditure Breakdown'!$U$6:$U$384, 'Expenditure Breakdown'!$T$6:$T$384, "&gt;="&amp;CT1,'Expenditure Breakdown'!$T$6:$T$384, "&lt;"&amp;CU1)</f>
        <v>0</v>
      </c>
      <c r="CU17" s="204">
        <f>SUMIFS('Expenditure Breakdown'!$U$6:$U$384, 'Expenditure Breakdown'!$T$6:$T$384, "&gt;="&amp;CU1,'Expenditure Breakdown'!$T$6:$T$384, "&lt;"&amp;CV1)</f>
        <v>0</v>
      </c>
      <c r="CV17" s="204">
        <f>SUMIFS('Expenditure Breakdown'!$U$6:$U$384, 'Expenditure Breakdown'!$T$6:$T$384, "&gt;="&amp;CV1,'Expenditure Breakdown'!$T$6:$T$384, "&lt;"&amp;CW1)</f>
        <v>0</v>
      </c>
      <c r="CW17" s="204">
        <f>SUMIFS('Expenditure Breakdown'!$U$6:$U$384, 'Expenditure Breakdown'!$T$6:$T$384, "&gt;="&amp;CW1,'Expenditure Breakdown'!$T$6:$T$384, "&lt;"&amp;CX1)</f>
        <v>0</v>
      </c>
      <c r="CX17" s="204">
        <f>SUMIFS('Expenditure Breakdown'!$U$6:$U$384, 'Expenditure Breakdown'!$T$6:$T$384, "&gt;="&amp;CX1,'Expenditure Breakdown'!$T$6:$T$384, "&lt;"&amp;CY1)</f>
        <v>0</v>
      </c>
      <c r="CY17" s="204">
        <f>SUMIFS('Expenditure Breakdown'!$U$6:$U$384, 'Expenditure Breakdown'!$T$6:$T$384, "&gt;="&amp;CY1,'Expenditure Breakdown'!$T$6:$T$384, "&lt;"&amp;CZ1)</f>
        <v>0</v>
      </c>
      <c r="CZ17" s="204">
        <f>SUMIFS('Expenditure Breakdown'!$U$6:$U$384, 'Expenditure Breakdown'!$T$6:$T$384, "&gt;="&amp;CZ1,'Expenditure Breakdown'!$T$6:$T$384, "&lt;"&amp;DA1)</f>
        <v>0</v>
      </c>
      <c r="DA17" s="204">
        <f>SUMIFS('Expenditure Breakdown'!$U$6:$U$384, 'Expenditure Breakdown'!$T$6:$T$384, "&gt;="&amp;DA1,'Expenditure Breakdown'!$T$6:$T$384, "&lt;"&amp;DB1)</f>
        <v>0</v>
      </c>
      <c r="DB17" s="204">
        <f>SUMIFS('Expenditure Breakdown'!$U$6:$U$384, 'Expenditure Breakdown'!$T$6:$T$384, "&gt;="&amp;DB1,'Expenditure Breakdown'!$T$6:$T$384, "&lt;"&amp;DC1)</f>
        <v>0</v>
      </c>
      <c r="DC17" s="204">
        <f>SUMIFS('Expenditure Breakdown'!$U$6:$U$384, 'Expenditure Breakdown'!$T$6:$T$384, "&gt;="&amp;DC1,'Expenditure Breakdown'!$T$6:$T$384, "&lt;"&amp;DD1)</f>
        <v>0</v>
      </c>
      <c r="DD17" s="204">
        <f>SUMIFS('Expenditure Breakdown'!$U$6:$U$384, 'Expenditure Breakdown'!$T$6:$T$384, "&gt;="&amp;DD1,'Expenditure Breakdown'!$T$6:$T$384, "&lt;"&amp;DE1)</f>
        <v>0</v>
      </c>
      <c r="DE17" s="204">
        <f>SUMIFS('Expenditure Breakdown'!$U$6:$U$384, 'Expenditure Breakdown'!$T$6:$T$384, "&gt;="&amp;DE1,'Expenditure Breakdown'!$T$6:$T$384, "&lt;"&amp;DF1)</f>
        <v>0</v>
      </c>
      <c r="DF17" s="204">
        <f>SUMIFS('Expenditure Breakdown'!$U$6:$U$384, 'Expenditure Breakdown'!$T$6:$T$384, "&gt;="&amp;DF1,'Expenditure Breakdown'!$T$6:$T$384, "&lt;"&amp;DG1)</f>
        <v>0</v>
      </c>
      <c r="DG17" s="204">
        <f>SUMIFS('Expenditure Breakdown'!$U$6:$U$384, 'Expenditure Breakdown'!$T$6:$T$384, "&gt;="&amp;DG1,'Expenditure Breakdown'!$T$6:$T$384, "&lt;"&amp;DH1)</f>
        <v>0</v>
      </c>
      <c r="DH17" s="204">
        <f>SUMIFS('Expenditure Breakdown'!$U$6:$U$384, 'Expenditure Breakdown'!$T$6:$T$384, "&gt;="&amp;DH1,'Expenditure Breakdown'!$T$6:$T$384, "&lt;"&amp;DI1)</f>
        <v>0</v>
      </c>
      <c r="DI17" s="204">
        <f>SUMIFS('Expenditure Breakdown'!$U$6:$U$384, 'Expenditure Breakdown'!$T$6:$T$384, "&gt;="&amp;DI1,'Expenditure Breakdown'!$T$6:$T$384, "&lt;"&amp;DJ1)</f>
        <v>0</v>
      </c>
      <c r="DJ17" s="204">
        <f>SUMIFS('Expenditure Breakdown'!$U$6:$U$384, 'Expenditure Breakdown'!$T$6:$T$384, "&gt;="&amp;DJ1,'Expenditure Breakdown'!$T$6:$T$384, "&lt;"&amp;DK1)</f>
        <v>0</v>
      </c>
      <c r="DK17" s="204">
        <f>SUMIFS('Expenditure Breakdown'!$U$6:$U$384, 'Expenditure Breakdown'!$T$6:$T$384, "&gt;="&amp;DK1,'Expenditure Breakdown'!$T$6:$T$384, "&lt;"&amp;DL1)</f>
        <v>0</v>
      </c>
      <c r="DL17" s="204">
        <f>SUMIFS('Expenditure Breakdown'!$U$6:$U$384, 'Expenditure Breakdown'!$T$6:$T$384, "&gt;="&amp;DL1,'Expenditure Breakdown'!$T$6:$T$384, "&lt;"&amp;DM1)</f>
        <v>0</v>
      </c>
      <c r="DM17" s="204">
        <f>SUMIFS('Expenditure Breakdown'!$U$6:$U$384, 'Expenditure Breakdown'!$T$6:$T$384, "&gt;="&amp;DM1,'Expenditure Breakdown'!$T$6:$T$384, "&lt;"&amp;DN1)</f>
        <v>0</v>
      </c>
      <c r="DN17" s="204">
        <f>SUMIFS('Expenditure Breakdown'!$U$6:$U$384, 'Expenditure Breakdown'!$T$6:$T$384, "&gt;="&amp;DN1,'Expenditure Breakdown'!$T$6:$T$384, "&lt;"&amp;DO1)</f>
        <v>0</v>
      </c>
      <c r="DO17" s="204">
        <f>SUMIFS('Expenditure Breakdown'!$U$6:$U$384, 'Expenditure Breakdown'!$T$6:$T$384, "&gt;="&amp;DO1,'Expenditure Breakdown'!$T$6:$T$384, "&lt;"&amp;DP1)</f>
        <v>0</v>
      </c>
      <c r="DP17" s="204">
        <f>SUMIFS('Expenditure Breakdown'!$U$6:$U$384, 'Expenditure Breakdown'!$T$6:$T$384, "&gt;="&amp;DP1,'Expenditure Breakdown'!$T$6:$T$384, "&lt;"&amp;DQ1)</f>
        <v>0</v>
      </c>
      <c r="DQ17" s="204">
        <f>SUMIFS('Expenditure Breakdown'!$U$6:$U$384, 'Expenditure Breakdown'!$T$6:$T$384, "&gt;="&amp;DQ1,'Expenditure Breakdown'!$T$6:$T$384, "&lt;"&amp;DR1)</f>
        <v>0</v>
      </c>
      <c r="DR17" s="204">
        <f>SUMIFS('Expenditure Breakdown'!$U$6:$U$384, 'Expenditure Breakdown'!$T$6:$T$384, "&gt;="&amp;DR1,'Expenditure Breakdown'!$T$6:$T$384, "&lt;"&amp;DS1)</f>
        <v>0</v>
      </c>
      <c r="DS17" s="204">
        <f>SUMIFS('Expenditure Breakdown'!$U$6:$U$384, 'Expenditure Breakdown'!$T$6:$T$384, "&gt;="&amp;DS1,'Expenditure Breakdown'!$T$6:$T$384, "&lt;"&amp;DT1)</f>
        <v>0</v>
      </c>
      <c r="DT17" s="204">
        <f>SUMIFS('Expenditure Breakdown'!$U$6:$U$384, 'Expenditure Breakdown'!$T$6:$T$384, "&gt;="&amp;DT1,'Expenditure Breakdown'!$T$6:$T$384, "&lt;"&amp;DU1)</f>
        <v>0</v>
      </c>
      <c r="DU17" s="204">
        <f>SUMIFS('Expenditure Breakdown'!$U$6:$U$384, 'Expenditure Breakdown'!$T$6:$T$384, "&gt;="&amp;DU1,'Expenditure Breakdown'!$T$6:$T$384, "&lt;"&amp;DV1)</f>
        <v>0</v>
      </c>
      <c r="DV17" s="204">
        <f>SUMIFS('Expenditure Breakdown'!$U$6:$U$384, 'Expenditure Breakdown'!$T$6:$T$384, "&gt;="&amp;DV1,'Expenditure Breakdown'!$T$6:$T$384, "&lt;"&amp;DW1)</f>
        <v>0</v>
      </c>
      <c r="DW17" s="204">
        <f>SUMIFS('Expenditure Breakdown'!$U$6:$U$384, 'Expenditure Breakdown'!$T$6:$T$384, "&gt;="&amp;DW1,'Expenditure Breakdown'!$T$6:$T$384, "&lt;"&amp;DX1)</f>
        <v>0</v>
      </c>
      <c r="DX17" s="204">
        <f>SUMIFS('Expenditure Breakdown'!$U$6:$U$384, 'Expenditure Breakdown'!$T$6:$T$384, "&gt;="&amp;DX1,'Expenditure Breakdown'!$T$6:$T$384, "&lt;"&amp;DY1)</f>
        <v>0</v>
      </c>
      <c r="DY17" s="204">
        <f>SUMIFS('Expenditure Breakdown'!$U$6:$U$384, 'Expenditure Breakdown'!$T$6:$T$384, "&gt;="&amp;DY1,'Expenditure Breakdown'!$T$6:$T$384, "&lt;"&amp;DZ1)</f>
        <v>0</v>
      </c>
      <c r="DZ17" s="204">
        <f>SUMIFS('Expenditure Breakdown'!$U$6:$U$384, 'Expenditure Breakdown'!$T$6:$T$384, "&gt;="&amp;DZ1,'Expenditure Breakdown'!$T$6:$T$384, "&lt;"&amp;EA1)</f>
        <v>0</v>
      </c>
      <c r="EA17" s="204">
        <f>SUMIFS('Expenditure Breakdown'!$U$6:$U$384, 'Expenditure Breakdown'!$T$6:$T$384, "&gt;="&amp;EA1,'Expenditure Breakdown'!$T$6:$T$384, "&lt;"&amp;EB1)</f>
        <v>0</v>
      </c>
      <c r="EB17" s="204">
        <f>SUMIFS('Expenditure Breakdown'!$U$6:$U$384, 'Expenditure Breakdown'!$T$6:$T$384, "&gt;="&amp;EB1,'Expenditure Breakdown'!$T$6:$T$384, "&lt;"&amp;EC1)</f>
        <v>0</v>
      </c>
      <c r="EC17" s="204">
        <f>SUMIFS('Expenditure Breakdown'!$U$6:$U$384, 'Expenditure Breakdown'!$T$6:$T$384, "&gt;="&amp;EC1,'Expenditure Breakdown'!$T$6:$T$384, "&lt;"&amp;ED1)</f>
        <v>0</v>
      </c>
      <c r="ED17" s="204">
        <f>SUMIFS('Expenditure Breakdown'!$U$6:$U$384, 'Expenditure Breakdown'!$T$6:$T$384, "&gt;="&amp;ED1,'Expenditure Breakdown'!$T$6:$T$384, "&lt;"&amp;EE1)</f>
        <v>0</v>
      </c>
      <c r="EE17" s="204">
        <f>SUMIFS('Expenditure Breakdown'!$U$6:$U$384, 'Expenditure Breakdown'!$T$6:$T$384, "&gt;="&amp;EE1,'Expenditure Breakdown'!$T$6:$T$384, "&lt;"&amp;EF1)</f>
        <v>0</v>
      </c>
      <c r="EF17" s="204">
        <f>SUMIFS('Expenditure Breakdown'!$U$6:$U$384, 'Expenditure Breakdown'!$T$6:$T$384, "&gt;="&amp;EF1,'Expenditure Breakdown'!$T$6:$T$384, "&lt;"&amp;EG1)</f>
        <v>0</v>
      </c>
      <c r="EG17" s="204">
        <f>SUMIFS('Expenditure Breakdown'!$U$6:$U$384, 'Expenditure Breakdown'!$T$6:$T$384, "&gt;="&amp;EG1,'Expenditure Breakdown'!$T$6:$T$384, "&lt;"&amp;EH1)</f>
        <v>0</v>
      </c>
      <c r="EH17" s="204">
        <f>SUMIFS('Expenditure Breakdown'!$U$6:$U$384, 'Expenditure Breakdown'!$T$6:$T$384, "&gt;="&amp;EH1,'Expenditure Breakdown'!$T$6:$T$384, "&lt;"&amp;EI1)</f>
        <v>0</v>
      </c>
      <c r="EI17" s="204">
        <f>SUMIFS('Expenditure Breakdown'!$U$6:$U$384, 'Expenditure Breakdown'!$T$6:$T$384, "&gt;="&amp;EI1,'Expenditure Breakdown'!$T$6:$T$384, "&lt;"&amp;EJ1)</f>
        <v>0</v>
      </c>
      <c r="EJ17" s="204">
        <f>SUMIFS('Expenditure Breakdown'!$U$6:$U$384, 'Expenditure Breakdown'!$T$6:$T$384, "&gt;="&amp;EJ1,'Expenditure Breakdown'!$T$6:$T$384, "&lt;"&amp;EK1)</f>
        <v>0</v>
      </c>
      <c r="EK17" s="204">
        <f>SUMIFS('Expenditure Breakdown'!$U$6:$U$384, 'Expenditure Breakdown'!$T$6:$T$384, "&gt;="&amp;EK1,'Expenditure Breakdown'!$T$6:$T$384, "&lt;"&amp;EL1)</f>
        <v>0</v>
      </c>
      <c r="EL17" s="204">
        <f>SUMIFS('Expenditure Breakdown'!$U$6:$U$384, 'Expenditure Breakdown'!$T$6:$T$384, "&gt;="&amp;EL1,'Expenditure Breakdown'!$T$6:$T$384, "&lt;"&amp;EM1)</f>
        <v>0</v>
      </c>
      <c r="EM17" s="204">
        <f>SUMIFS('Expenditure Breakdown'!$U$6:$U$384, 'Expenditure Breakdown'!$T$6:$T$384, "&gt;="&amp;EM1,'Expenditure Breakdown'!$T$6:$T$384, "&lt;"&amp;EN1)</f>
        <v>0</v>
      </c>
      <c r="EN17" s="204">
        <f>SUMIFS('Expenditure Breakdown'!$U$6:$U$384, 'Expenditure Breakdown'!$T$6:$T$384, "&gt;="&amp;EN1,'Expenditure Breakdown'!$T$6:$T$384, "&lt;"&amp;EO1)</f>
        <v>0</v>
      </c>
      <c r="EO17" s="204">
        <f>SUMIFS('Expenditure Breakdown'!$U$6:$U$384, 'Expenditure Breakdown'!$T$6:$T$384, "&gt;="&amp;EO1,'Expenditure Breakdown'!$T$6:$T$384, "&lt;"&amp;EP1)</f>
        <v>0</v>
      </c>
      <c r="EP17" s="204">
        <f>SUMIFS('Expenditure Breakdown'!$U$6:$U$384, 'Expenditure Breakdown'!$T$6:$T$384, "&gt;="&amp;EP1,'Expenditure Breakdown'!$T$6:$T$384, "&lt;"&amp;EQ1)</f>
        <v>0</v>
      </c>
      <c r="EQ17" s="204">
        <f>SUMIFS('Expenditure Breakdown'!$U$6:$U$384, 'Expenditure Breakdown'!$T$6:$T$384, "&gt;="&amp;EQ1,'Expenditure Breakdown'!$T$6:$T$384, "&lt;"&amp;ER1)</f>
        <v>0</v>
      </c>
      <c r="ER17" s="204">
        <f>SUMIFS('Expenditure Breakdown'!$U$6:$U$384, 'Expenditure Breakdown'!$T$6:$T$384, "&gt;="&amp;ER1,'Expenditure Breakdown'!$T$6:$T$384, "&lt;"&amp;ES1)</f>
        <v>0</v>
      </c>
      <c r="ES17" s="204">
        <f>SUMIFS('Expenditure Breakdown'!$U$6:$U$384, 'Expenditure Breakdown'!$T$6:$T$384, "&gt;="&amp;ES1,'Expenditure Breakdown'!$T$6:$T$384, "&lt;"&amp;ET1)</f>
        <v>0</v>
      </c>
      <c r="ET17" s="204">
        <f>SUMIFS('Expenditure Breakdown'!$U$6:$U$384, 'Expenditure Breakdown'!$T$6:$T$384, "&gt;="&amp;ET1,'Expenditure Breakdown'!$T$6:$T$384, "&lt;"&amp;EU1)</f>
        <v>0</v>
      </c>
      <c r="EU17" s="204">
        <f>SUMIFS('Expenditure Breakdown'!$U$6:$U$384, 'Expenditure Breakdown'!$T$6:$T$384, "&gt;="&amp;EU1,'Expenditure Breakdown'!$T$6:$T$384, "&lt;"&amp;EV1)</f>
        <v>0</v>
      </c>
      <c r="EV17" s="204">
        <f>SUMIFS('Expenditure Breakdown'!$U$6:$U$384, 'Expenditure Breakdown'!$T$6:$T$384, "&gt;="&amp;EV1,'Expenditure Breakdown'!$T$6:$T$384, "&lt;"&amp;EW1)</f>
        <v>0</v>
      </c>
      <c r="EW17" s="204">
        <f>SUMIFS('Expenditure Breakdown'!$U$6:$U$384, 'Expenditure Breakdown'!$T$6:$T$384, "&gt;="&amp;EW1,'Expenditure Breakdown'!$T$6:$T$384, "&lt;"&amp;EX1)</f>
        <v>0</v>
      </c>
      <c r="EX17" s="204">
        <f>SUMIFS('Expenditure Breakdown'!$U$6:$U$384, 'Expenditure Breakdown'!$T$6:$T$384, "&gt;="&amp;EX1,'Expenditure Breakdown'!$T$6:$T$384, "&lt;"&amp;EY1)</f>
        <v>0</v>
      </c>
      <c r="EY17" s="204">
        <f>SUMIFS('Expenditure Breakdown'!$U$6:$U$384, 'Expenditure Breakdown'!$T$6:$T$384, "&gt;="&amp;EY1,'Expenditure Breakdown'!$T$6:$T$384, "&lt;"&amp;EZ1)</f>
        <v>0</v>
      </c>
      <c r="EZ17" s="204">
        <f>SUMIFS('Expenditure Breakdown'!$U$6:$U$384, 'Expenditure Breakdown'!$T$6:$T$384, "&gt;="&amp;EZ1,'Expenditure Breakdown'!$T$6:$T$384, "&lt;"&amp;FA1)</f>
        <v>0</v>
      </c>
      <c r="FA17" s="204">
        <f>SUMIFS('Expenditure Breakdown'!$U$6:$U$384, 'Expenditure Breakdown'!$T$6:$T$384, "&gt;="&amp;FA1,'Expenditure Breakdown'!$T$6:$T$384, "&lt;"&amp;FB1)</f>
        <v>0</v>
      </c>
      <c r="FB17" s="204">
        <f>SUMIFS('Expenditure Breakdown'!$U$6:$U$384, 'Expenditure Breakdown'!$T$6:$T$384, "&gt;="&amp;FB1,'Expenditure Breakdown'!$T$6:$T$384, "&lt;"&amp;FC1)</f>
        <v>0</v>
      </c>
      <c r="FC17" s="204">
        <f>SUMIFS('Expenditure Breakdown'!$U$6:$U$384, 'Expenditure Breakdown'!$T$6:$T$384, "&gt;="&amp;FC1,'Expenditure Breakdown'!$T$6:$T$384, "&lt;"&amp;FD1)</f>
        <v>0</v>
      </c>
      <c r="FD17" s="204">
        <f>SUMIFS('Expenditure Breakdown'!$U$6:$U$384, 'Expenditure Breakdown'!$T$6:$T$384, "&gt;="&amp;FD1,'Expenditure Breakdown'!$T$6:$T$384, "&lt;"&amp;FE1)</f>
        <v>0</v>
      </c>
      <c r="FE17" s="204">
        <f>SUMIFS('Expenditure Breakdown'!$U$6:$U$384, 'Expenditure Breakdown'!$T$6:$T$384, "&gt;="&amp;FE1,'Expenditure Breakdown'!$T$6:$T$384, "&lt;"&amp;FF1)</f>
        <v>0</v>
      </c>
      <c r="FF17" s="204">
        <f>SUMIFS('Expenditure Breakdown'!$U$6:$U$384, 'Expenditure Breakdown'!$T$6:$T$384, "&gt;="&amp;FF1,'Expenditure Breakdown'!$T$6:$T$384, "&lt;"&amp;FG1)</f>
        <v>0</v>
      </c>
      <c r="FG17" s="204">
        <f>SUMIFS('Expenditure Breakdown'!$U$6:$U$384, 'Expenditure Breakdown'!$T$6:$T$384, "&gt;="&amp;FG1,'Expenditure Breakdown'!$T$6:$T$384, "&lt;"&amp;FH1)</f>
        <v>0</v>
      </c>
      <c r="FH17" s="204">
        <f>SUMIFS('Expenditure Breakdown'!$U$6:$U$384, 'Expenditure Breakdown'!$T$6:$T$384, "&gt;="&amp;FH1,'Expenditure Breakdown'!$T$6:$T$384, "&lt;"&amp;FI1)</f>
        <v>0</v>
      </c>
      <c r="FI17" s="204">
        <f>SUMIFS('Expenditure Breakdown'!$U$6:$U$384, 'Expenditure Breakdown'!$T$6:$T$384, "&gt;="&amp;FI1,'Expenditure Breakdown'!$T$6:$T$384, "&lt;"&amp;FJ1)</f>
        <v>0</v>
      </c>
      <c r="FJ17" s="204">
        <f>SUMIFS('Expenditure Breakdown'!$U$6:$U$384, 'Expenditure Breakdown'!$T$6:$T$384, "&gt;="&amp;FJ1,'Expenditure Breakdown'!$T$6:$T$384, "&lt;"&amp;FK1)</f>
        <v>0</v>
      </c>
      <c r="FK17" s="204">
        <f>SUMIFS('Expenditure Breakdown'!$U$6:$U$384, 'Expenditure Breakdown'!$T$6:$T$384, "&gt;="&amp;FK1,'Expenditure Breakdown'!$T$6:$T$384, "&lt;"&amp;FL1)</f>
        <v>0</v>
      </c>
      <c r="FL17" s="204">
        <f>SUMIFS('Expenditure Breakdown'!$U$6:$U$384, 'Expenditure Breakdown'!$T$6:$T$384, "&gt;="&amp;FL1,'Expenditure Breakdown'!$T$6:$T$384, "&lt;"&amp;FM1)</f>
        <v>0</v>
      </c>
      <c r="FM17" s="204">
        <f>SUMIFS('Expenditure Breakdown'!$U$6:$U$384, 'Expenditure Breakdown'!$T$6:$T$384, "&gt;="&amp;FM1,'Expenditure Breakdown'!$T$6:$T$384, "&lt;"&amp;FN1)</f>
        <v>0</v>
      </c>
      <c r="FN17" s="204">
        <f>SUMIFS('Expenditure Breakdown'!$U$6:$U$384, 'Expenditure Breakdown'!$T$6:$T$384, "&gt;="&amp;FN1,'Expenditure Breakdown'!$T$6:$T$384, "&lt;"&amp;FO1)</f>
        <v>0</v>
      </c>
      <c r="FO17" s="204">
        <f>SUMIFS('Expenditure Breakdown'!$U$6:$U$384, 'Expenditure Breakdown'!$T$6:$T$384, "&gt;="&amp;FO1,'Expenditure Breakdown'!$T$6:$T$384, "&lt;"&amp;FP1)</f>
        <v>0</v>
      </c>
      <c r="FP17" s="204">
        <f>SUMIFS('Expenditure Breakdown'!$U$6:$U$384, 'Expenditure Breakdown'!$T$6:$T$384, "&gt;="&amp;FP1,'Expenditure Breakdown'!$T$6:$T$384, "&lt;"&amp;FQ1)</f>
        <v>0</v>
      </c>
      <c r="FQ17" s="204">
        <f>SUMIFS('Expenditure Breakdown'!$U$6:$U$384, 'Expenditure Breakdown'!$T$6:$T$384, "&gt;="&amp;FQ1,'Expenditure Breakdown'!$T$6:$T$384, "&lt;"&amp;FR1)</f>
        <v>0</v>
      </c>
      <c r="FR17" s="204">
        <f>SUMIFS('Expenditure Breakdown'!$U$6:$U$384, 'Expenditure Breakdown'!$T$6:$T$384, "&gt;="&amp;FR1,'Expenditure Breakdown'!$T$6:$T$384, "&lt;"&amp;FS1)</f>
        <v>0</v>
      </c>
      <c r="FS17" s="204">
        <f>SUMIFS('Expenditure Breakdown'!$U$6:$U$384, 'Expenditure Breakdown'!$T$6:$T$384, "&gt;="&amp;FS1,'Expenditure Breakdown'!$T$6:$T$384, "&lt;"&amp;FT1)</f>
        <v>0</v>
      </c>
      <c r="FT17" s="204">
        <f>SUMIFS('Expenditure Breakdown'!$U$6:$U$384, 'Expenditure Breakdown'!$T$6:$T$384, "&gt;="&amp;FT1,'Expenditure Breakdown'!$T$6:$T$384, "&lt;"&amp;FU1)</f>
        <v>0</v>
      </c>
      <c r="FU17" s="204">
        <f>SUMIFS('Expenditure Breakdown'!$U$6:$U$384, 'Expenditure Breakdown'!$T$6:$T$384, "&gt;="&amp;FU1,'Expenditure Breakdown'!$T$6:$T$384, "&lt;"&amp;FV1)</f>
        <v>0</v>
      </c>
      <c r="FV17" s="204">
        <f>SUMIFS('Expenditure Breakdown'!$U$6:$U$384, 'Expenditure Breakdown'!$T$6:$T$384, "&gt;="&amp;FV1,'Expenditure Breakdown'!$T$6:$T$384, "&lt;"&amp;FW1)</f>
        <v>0</v>
      </c>
      <c r="FW17" s="204">
        <f>SUMIFS('Expenditure Breakdown'!$U$6:$U$384, 'Expenditure Breakdown'!$T$6:$T$384, "&gt;="&amp;FW1,'Expenditure Breakdown'!$T$6:$T$384, "&lt;"&amp;FX1)</f>
        <v>0</v>
      </c>
      <c r="FX17" s="204">
        <f>SUMIFS('Expenditure Breakdown'!$U$6:$U$384, 'Expenditure Breakdown'!$T$6:$T$384, "&gt;="&amp;FX1,'Expenditure Breakdown'!$T$6:$T$384, "&lt;"&amp;FY1)</f>
        <v>0</v>
      </c>
      <c r="FY17" s="204">
        <f>SUMIFS('Expenditure Breakdown'!$U$6:$U$384, 'Expenditure Breakdown'!$T$6:$T$384, "&gt;="&amp;FY1,'Expenditure Breakdown'!$T$6:$T$384, "&lt;"&amp;FZ1)</f>
        <v>0</v>
      </c>
      <c r="FZ17" s="204">
        <f>SUMIFS('Expenditure Breakdown'!$U$6:$U$384, 'Expenditure Breakdown'!$T$6:$T$384, "&gt;="&amp;FZ1,'Expenditure Breakdown'!$T$6:$T$384, "&lt;"&amp;GA1)</f>
        <v>0</v>
      </c>
      <c r="GA17" s="204">
        <f>SUMIFS('Expenditure Breakdown'!$U$6:$U$384, 'Expenditure Breakdown'!$T$6:$T$384, "&gt;="&amp;GA1,'Expenditure Breakdown'!$T$6:$T$384, "&lt;"&amp;GB1)</f>
        <v>0</v>
      </c>
      <c r="GB17" s="204">
        <f>SUMIFS('Expenditure Breakdown'!$U$6:$U$384, 'Expenditure Breakdown'!$T$6:$T$384, "&gt;="&amp;GB1,'Expenditure Breakdown'!$T$6:$T$384, "&lt;"&amp;GC1)</f>
        <v>0</v>
      </c>
      <c r="GC17" s="204">
        <f>SUMIFS('Expenditure Breakdown'!$U$6:$U$384, 'Expenditure Breakdown'!$T$6:$T$384, "&gt;="&amp;GC1,'Expenditure Breakdown'!$T$6:$T$384, "&lt;"&amp;GD1)</f>
        <v>0</v>
      </c>
      <c r="GD17" s="204">
        <f>SUMIFS('Expenditure Breakdown'!$U$6:$U$384, 'Expenditure Breakdown'!$T$6:$T$384, "&gt;="&amp;GD1,'Expenditure Breakdown'!$T$6:$T$384, "&lt;"&amp;GE1)</f>
        <v>0</v>
      </c>
      <c r="GE17" s="204">
        <f>SUMIFS('Expenditure Breakdown'!$U$6:$U$384, 'Expenditure Breakdown'!$T$6:$T$384, "&gt;="&amp;GE1,'Expenditure Breakdown'!$T$6:$T$384, "&lt;"&amp;GF1)</f>
        <v>0</v>
      </c>
      <c r="GF17" s="204">
        <f>SUMIFS('Expenditure Breakdown'!$U$6:$U$384, 'Expenditure Breakdown'!$T$6:$T$384, "&gt;="&amp;GF1,'Expenditure Breakdown'!$T$6:$T$384, "&lt;"&amp;GG1)</f>
        <v>0</v>
      </c>
      <c r="GG17" s="204">
        <f>SUMIFS('Expenditure Breakdown'!$U$6:$U$384, 'Expenditure Breakdown'!$T$6:$T$384, "&gt;="&amp;GG1,'Expenditure Breakdown'!$T$6:$T$384, "&lt;"&amp;GH1)</f>
        <v>0</v>
      </c>
      <c r="GH17" s="204">
        <f>SUMIFS('Expenditure Breakdown'!$U$6:$U$384, 'Expenditure Breakdown'!$T$6:$T$384, "&gt;="&amp;GH1,'Expenditure Breakdown'!$T$6:$T$384, "&lt;"&amp;GI1)</f>
        <v>0</v>
      </c>
      <c r="GI17" s="204">
        <f>SUMIFS('Expenditure Breakdown'!$U$6:$U$384, 'Expenditure Breakdown'!$T$6:$T$384, "&gt;="&amp;GI1,'Expenditure Breakdown'!$T$6:$T$384, "&lt;"&amp;GJ1)</f>
        <v>0</v>
      </c>
      <c r="GJ17" s="204">
        <f>SUMIFS('Expenditure Breakdown'!$U$6:$U$384, 'Expenditure Breakdown'!$T$6:$T$384, "&gt;="&amp;GJ1,'Expenditure Breakdown'!$T$6:$T$384, "&lt;"&amp;GK1)</f>
        <v>0</v>
      </c>
      <c r="GK17" s="204">
        <f>SUMIFS('Expenditure Breakdown'!$U$6:$U$384, 'Expenditure Breakdown'!$T$6:$T$384, "&gt;="&amp;GK1,'Expenditure Breakdown'!$T$6:$T$384, "&lt;"&amp;GL1)</f>
        <v>0</v>
      </c>
      <c r="GL17" s="204">
        <f>SUMIFS('Expenditure Breakdown'!$U$6:$U$384, 'Expenditure Breakdown'!$T$6:$T$384, "&gt;="&amp;GL1,'Expenditure Breakdown'!$T$6:$T$384, "&lt;"&amp;GM1)</f>
        <v>0</v>
      </c>
      <c r="GM17" s="204">
        <f>SUMIFS('Expenditure Breakdown'!$U$6:$U$384, 'Expenditure Breakdown'!$T$6:$T$384, "&gt;="&amp;GM1,'Expenditure Breakdown'!$T$6:$T$384, "&lt;"&amp;GN1)</f>
        <v>0</v>
      </c>
      <c r="GN17" s="204">
        <f>SUMIFS('Expenditure Breakdown'!$U$6:$U$384, 'Expenditure Breakdown'!$T$6:$T$384, "&gt;="&amp;GN1,'Expenditure Breakdown'!$T$6:$T$384, "&lt;"&amp;GO1)</f>
        <v>0</v>
      </c>
      <c r="GO17" s="204">
        <f>SUMIFS('Expenditure Breakdown'!$U$6:$U$384, 'Expenditure Breakdown'!$T$6:$T$384, "&gt;="&amp;GO1,'Expenditure Breakdown'!$T$6:$T$384, "&lt;"&amp;GP1)</f>
        <v>0</v>
      </c>
      <c r="GP17" s="204">
        <f>SUMIFS('Expenditure Breakdown'!$U$6:$U$384, 'Expenditure Breakdown'!$T$6:$T$384, "&gt;="&amp;GP1,'Expenditure Breakdown'!$T$6:$T$384, "&lt;"&amp;GQ1)</f>
        <v>0</v>
      </c>
      <c r="GQ17" s="204">
        <f>SUMIFS('Expenditure Breakdown'!$U$6:$U$384, 'Expenditure Breakdown'!$T$6:$T$384, "&gt;="&amp;GQ1,'Expenditure Breakdown'!$T$6:$T$384, "&lt;"&amp;GR1)</f>
        <v>0</v>
      </c>
      <c r="GR17" s="204">
        <f>SUMIFS('Expenditure Breakdown'!$U$6:$U$384, 'Expenditure Breakdown'!$T$6:$T$384, "&gt;="&amp;GR1,'Expenditure Breakdown'!$T$6:$T$384, "&lt;"&amp;GS1)</f>
        <v>0</v>
      </c>
      <c r="GS17" s="204">
        <f>SUMIFS('Expenditure Breakdown'!$U$6:$U$384, 'Expenditure Breakdown'!$T$6:$T$384, "&gt;="&amp;GS1,'Expenditure Breakdown'!$T$6:$T$384, "&lt;"&amp;GT1)</f>
        <v>0</v>
      </c>
      <c r="GT17" s="204">
        <f>SUMIFS('Expenditure Breakdown'!$U$6:$U$384, 'Expenditure Breakdown'!$T$6:$T$384, "&gt;="&amp;GT1,'Expenditure Breakdown'!$T$6:$T$384, "&lt;"&amp;GU1)</f>
        <v>0</v>
      </c>
      <c r="GU17" s="204">
        <f>SUMIFS('Expenditure Breakdown'!$U$6:$U$384, 'Expenditure Breakdown'!$T$6:$T$384, "&gt;="&amp;GU1,'Expenditure Breakdown'!$T$6:$T$384, "&lt;"&amp;GV1)</f>
        <v>0</v>
      </c>
      <c r="GV17" s="204">
        <f>SUMIFS('Expenditure Breakdown'!$U$6:$U$384, 'Expenditure Breakdown'!$T$6:$T$384, "&gt;="&amp;GV1,'Expenditure Breakdown'!$T$6:$T$384, "&lt;"&amp;GW1)</f>
        <v>0</v>
      </c>
      <c r="GW17" s="204">
        <f>SUMIFS('Expenditure Breakdown'!$U$6:$U$384, 'Expenditure Breakdown'!$T$6:$T$384, "&gt;="&amp;GW1,'Expenditure Breakdown'!$T$6:$T$384, "&lt;"&amp;GX1)</f>
        <v>0</v>
      </c>
      <c r="GX17" s="204">
        <f>SUMIFS('Expenditure Breakdown'!$U$6:$U$384, 'Expenditure Breakdown'!$T$6:$T$384, "&gt;="&amp;GX1,'Expenditure Breakdown'!$T$6:$T$384, "&lt;"&amp;GY1)</f>
        <v>0</v>
      </c>
      <c r="GY17" s="204">
        <f>SUMIFS('Expenditure Breakdown'!$U$6:$U$384, 'Expenditure Breakdown'!$T$6:$T$384, "&gt;="&amp;GY1,'Expenditure Breakdown'!$T$6:$T$384, "&lt;"&amp;GZ1)</f>
        <v>0</v>
      </c>
      <c r="GZ17" s="204">
        <f>SUMIFS('Expenditure Breakdown'!$U$6:$U$384, 'Expenditure Breakdown'!$T$6:$T$384, "&gt;="&amp;GZ1,'Expenditure Breakdown'!$T$6:$T$384, "&lt;"&amp;HA1)</f>
        <v>0</v>
      </c>
      <c r="HA17" s="204">
        <f>SUMIFS('Expenditure Breakdown'!$U$6:$U$384, 'Expenditure Breakdown'!$T$6:$T$384, "&gt;="&amp;HA1,'Expenditure Breakdown'!$T$6:$T$384, "&lt;"&amp;HB1)</f>
        <v>0</v>
      </c>
      <c r="HB17" s="204">
        <f>SUMIFS('Expenditure Breakdown'!$U$6:$U$384, 'Expenditure Breakdown'!$T$6:$T$384, "&gt;="&amp;HB1,'Expenditure Breakdown'!$T$6:$T$384, "&lt;"&amp;HC1)</f>
        <v>0</v>
      </c>
      <c r="HC17" s="204">
        <f>SUMIFS('Expenditure Breakdown'!$U$6:$U$384, 'Expenditure Breakdown'!$T$6:$T$384, "&gt;="&amp;HC1,'Expenditure Breakdown'!$T$6:$T$384, "&lt;"&amp;HD1)</f>
        <v>0</v>
      </c>
      <c r="HD17" s="204">
        <f>SUMIFS('Expenditure Breakdown'!$U$6:$U$384, 'Expenditure Breakdown'!$T$6:$T$384, "&gt;="&amp;HD1,'Expenditure Breakdown'!$T$6:$T$384, "&lt;"&amp;HE1)</f>
        <v>0</v>
      </c>
      <c r="HE17" s="204">
        <f>SUMIFS('Expenditure Breakdown'!$U$6:$U$384, 'Expenditure Breakdown'!$T$6:$T$384, "&gt;="&amp;HE1,'Expenditure Breakdown'!$T$6:$T$384, "&lt;"&amp;HF1)</f>
        <v>0</v>
      </c>
      <c r="HF17" s="204">
        <f>SUMIFS('Expenditure Breakdown'!$U$6:$U$384, 'Expenditure Breakdown'!$T$6:$T$384, "&gt;="&amp;HF1,'Expenditure Breakdown'!$T$6:$T$384, "&lt;"&amp;HG1)</f>
        <v>0</v>
      </c>
      <c r="HG17" s="204">
        <f>SUMIFS('Expenditure Breakdown'!$U$6:$U$384, 'Expenditure Breakdown'!$T$6:$T$384, "&gt;="&amp;HG1,'Expenditure Breakdown'!$T$6:$T$384, "&lt;"&amp;HH1)</f>
        <v>0</v>
      </c>
      <c r="HH17" s="204">
        <f>SUMIFS('Expenditure Breakdown'!$U$6:$U$384, 'Expenditure Breakdown'!$T$6:$T$384, "&gt;="&amp;HH1,'Expenditure Breakdown'!$T$6:$T$384, "&lt;"&amp;HI1)</f>
        <v>0</v>
      </c>
      <c r="HI17" s="204">
        <f>SUMIFS('Expenditure Breakdown'!$U$6:$U$384, 'Expenditure Breakdown'!$T$6:$T$384, "&gt;="&amp;HI1,'Expenditure Breakdown'!$T$6:$T$384, "&lt;"&amp;HJ1)</f>
        <v>0</v>
      </c>
      <c r="HJ17" s="204">
        <f>SUMIFS('Expenditure Breakdown'!$U$6:$U$384, 'Expenditure Breakdown'!$T$6:$T$384, "&gt;="&amp;HJ1,'Expenditure Breakdown'!$T$6:$T$384, "&lt;"&amp;HK1)</f>
        <v>0</v>
      </c>
      <c r="HK17" s="204">
        <f>SUMIFS('Expenditure Breakdown'!$U$6:$U$384, 'Expenditure Breakdown'!$T$6:$T$384, "&gt;="&amp;HK1,'Expenditure Breakdown'!$T$6:$T$384, "&lt;"&amp;HL1)</f>
        <v>0</v>
      </c>
      <c r="HL17" s="204">
        <f>SUMIFS('Expenditure Breakdown'!$U$6:$U$384, 'Expenditure Breakdown'!$T$6:$T$384, "&gt;="&amp;HL1,'Expenditure Breakdown'!$T$6:$T$384, "&lt;"&amp;HM1)</f>
        <v>0</v>
      </c>
      <c r="HM17" s="204">
        <f>SUMIFS('Expenditure Breakdown'!$U$6:$U$384, 'Expenditure Breakdown'!$T$6:$T$384, "&gt;="&amp;HM1,'Expenditure Breakdown'!$T$6:$T$384, "&lt;"&amp;HN1)</f>
        <v>0</v>
      </c>
      <c r="HN17" s="204">
        <f>SUMIFS('Expenditure Breakdown'!$U$6:$U$384, 'Expenditure Breakdown'!$T$6:$T$384, "&gt;="&amp;HN1,'Expenditure Breakdown'!$T$6:$T$384, "&lt;"&amp;HO1)</f>
        <v>0</v>
      </c>
      <c r="HO17" s="204">
        <f>SUMIFS('Expenditure Breakdown'!$U$6:$U$384, 'Expenditure Breakdown'!$T$6:$T$384, "&gt;="&amp;HO1,'Expenditure Breakdown'!$T$6:$T$384, "&lt;"&amp;HP1)</f>
        <v>0</v>
      </c>
      <c r="HP17" s="204">
        <f>SUMIFS('Expenditure Breakdown'!$U$6:$U$384, 'Expenditure Breakdown'!$T$6:$T$384, "&gt;="&amp;HP1,'Expenditure Breakdown'!$T$6:$T$384, "&lt;"&amp;HQ1)</f>
        <v>0</v>
      </c>
      <c r="HQ17" s="204">
        <f>SUMIFS('Expenditure Breakdown'!$U$6:$U$384, 'Expenditure Breakdown'!$T$6:$T$384, "&gt;="&amp;HQ1,'Expenditure Breakdown'!$T$6:$T$384, "&lt;"&amp;HR1)</f>
        <v>0</v>
      </c>
      <c r="HR17" s="204">
        <f>SUMIFS('Expenditure Breakdown'!$U$6:$U$384, 'Expenditure Breakdown'!$T$6:$T$384, "&gt;="&amp;HR1,'Expenditure Breakdown'!$T$6:$T$384, "&lt;"&amp;HS1)</f>
        <v>0</v>
      </c>
      <c r="HS17" s="204">
        <f>SUMIFS('Expenditure Breakdown'!$U$6:$U$384, 'Expenditure Breakdown'!$T$6:$T$384, "&gt;="&amp;HS1,'Expenditure Breakdown'!$T$6:$T$384, "&lt;"&amp;HT1)</f>
        <v>0</v>
      </c>
      <c r="HT17" s="204">
        <f>SUMIFS('Expenditure Breakdown'!$U$6:$U$384, 'Expenditure Breakdown'!$T$6:$T$384, "&gt;="&amp;HT1,'Expenditure Breakdown'!$T$6:$T$384, "&lt;"&amp;HU1)</f>
        <v>0</v>
      </c>
      <c r="HU17" s="204">
        <f>SUMIFS('Expenditure Breakdown'!$U$6:$U$384, 'Expenditure Breakdown'!$T$6:$T$384, "&gt;="&amp;HU1,'Expenditure Breakdown'!$T$6:$T$384, "&lt;"&amp;HV1)</f>
        <v>0</v>
      </c>
      <c r="HV17" s="204">
        <f>SUMIFS('Expenditure Breakdown'!$U$6:$U$384, 'Expenditure Breakdown'!$T$6:$T$384, "&gt;="&amp;HV1,'Expenditure Breakdown'!$T$6:$T$384, "&lt;"&amp;HW1)</f>
        <v>0</v>
      </c>
      <c r="HW17" s="204">
        <f>SUMIFS('Expenditure Breakdown'!$U$6:$U$384, 'Expenditure Breakdown'!$T$6:$T$384, "&gt;="&amp;HW1,'Expenditure Breakdown'!$T$6:$T$384, "&lt;"&amp;HX1)</f>
        <v>0</v>
      </c>
      <c r="HX17" s="204">
        <f>SUMIFS('Expenditure Breakdown'!$U$6:$U$384, 'Expenditure Breakdown'!$T$6:$T$384, "&gt;="&amp;HX1,'Expenditure Breakdown'!$T$6:$T$384, "&lt;"&amp;HY1)</f>
        <v>0</v>
      </c>
      <c r="HY17" s="204">
        <f>SUMIFS('Expenditure Breakdown'!$U$6:$U$384, 'Expenditure Breakdown'!$T$6:$T$384, "&gt;="&amp;HY1,'Expenditure Breakdown'!$T$6:$T$384, "&lt;"&amp;HZ1)</f>
        <v>0</v>
      </c>
      <c r="HZ17" s="204">
        <f>SUMIFS('Expenditure Breakdown'!$U$6:$U$384, 'Expenditure Breakdown'!$T$6:$T$384, "&gt;="&amp;HZ1,'Expenditure Breakdown'!$T$6:$T$384, "&lt;"&amp;IA1)</f>
        <v>0</v>
      </c>
      <c r="IA17" s="204">
        <f>SUMIFS('Expenditure Breakdown'!$U$6:$U$384, 'Expenditure Breakdown'!$T$6:$T$384, "&gt;="&amp;IA1,'Expenditure Breakdown'!$T$6:$T$384, "&lt;"&amp;IB1)</f>
        <v>0</v>
      </c>
      <c r="IB17" s="204">
        <f>SUMIFS('Expenditure Breakdown'!$U$6:$U$384, 'Expenditure Breakdown'!$T$6:$T$384, "&gt;="&amp;IB1,'Expenditure Breakdown'!$T$6:$T$384, "&lt;"&amp;IC1)</f>
        <v>0</v>
      </c>
      <c r="IC17" s="204">
        <f>SUMIFS('Expenditure Breakdown'!$U$6:$U$384, 'Expenditure Breakdown'!$T$6:$T$384, "&gt;="&amp;IC1,'Expenditure Breakdown'!$T$6:$T$384, "&lt;"&amp;ID1)</f>
        <v>0</v>
      </c>
      <c r="ID17" s="204">
        <f>SUMIFS('Expenditure Breakdown'!$U$6:$U$384, 'Expenditure Breakdown'!$T$6:$T$384, "&gt;="&amp;ID1,'Expenditure Breakdown'!$T$6:$T$384, "&lt;"&amp;IE1)</f>
        <v>0</v>
      </c>
      <c r="IE17" s="204">
        <f>SUMIFS('Expenditure Breakdown'!$U$6:$U$384, 'Expenditure Breakdown'!$T$6:$T$384, "&gt;="&amp;IE1,'Expenditure Breakdown'!$T$6:$T$384, "&lt;"&amp;IF1)</f>
        <v>0</v>
      </c>
      <c r="IF17" s="204">
        <f>SUMIFS('Expenditure Breakdown'!$U$6:$U$384, 'Expenditure Breakdown'!$T$6:$T$384, "&gt;="&amp;IF1,'Expenditure Breakdown'!$T$6:$T$384, "&lt;"&amp;IG1)</f>
        <v>0</v>
      </c>
      <c r="IG17" s="204">
        <f>SUMIFS('Expenditure Breakdown'!$U$6:$U$384, 'Expenditure Breakdown'!$T$6:$T$384, "&gt;="&amp;IG1,'Expenditure Breakdown'!$T$6:$T$384, "&lt;"&amp;IH1)</f>
        <v>0</v>
      </c>
      <c r="IH17" s="204">
        <f>SUMIFS('Expenditure Breakdown'!$U$6:$U$384, 'Expenditure Breakdown'!$T$6:$T$384, "&gt;="&amp;IH1,'Expenditure Breakdown'!$T$6:$T$384, "&lt;"&amp;II1)</f>
        <v>0</v>
      </c>
      <c r="II17" s="204">
        <f>SUMIFS('Expenditure Breakdown'!$U$6:$U$384, 'Expenditure Breakdown'!$T$6:$T$384, "&gt;="&amp;II1,'Expenditure Breakdown'!$T$6:$T$384, "&lt;"&amp;IJ1)</f>
        <v>0</v>
      </c>
      <c r="IJ17" s="204">
        <f>SUMIFS('Expenditure Breakdown'!$U$6:$U$384, 'Expenditure Breakdown'!$T$6:$T$384, "&gt;="&amp;IJ1,'Expenditure Breakdown'!$T$6:$T$384, "&lt;"&amp;IK1)</f>
        <v>0</v>
      </c>
      <c r="IK17" s="204">
        <f>SUMIFS('Expenditure Breakdown'!$U$6:$U$384, 'Expenditure Breakdown'!$T$6:$T$384, "&gt;="&amp;IK1,'Expenditure Breakdown'!$T$6:$T$384, "&lt;"&amp;IL1)</f>
        <v>0</v>
      </c>
      <c r="IL17" s="204">
        <f>SUMIFS('Expenditure Breakdown'!$U$6:$U$384, 'Expenditure Breakdown'!$T$6:$T$384, "&gt;="&amp;IL1,'Expenditure Breakdown'!$T$6:$T$384, "&lt;"&amp;IM1)</f>
        <v>0</v>
      </c>
      <c r="IM17" s="204">
        <f>SUMIFS('Expenditure Breakdown'!$U$6:$U$384, 'Expenditure Breakdown'!$T$6:$T$384, "&gt;="&amp;IM1,'Expenditure Breakdown'!$T$6:$T$384, "&lt;"&amp;IN1)</f>
        <v>0</v>
      </c>
      <c r="IN17" s="204">
        <f>SUMIFS('Expenditure Breakdown'!$U$6:$U$384, 'Expenditure Breakdown'!$T$6:$T$384, "&gt;="&amp;IN1,'Expenditure Breakdown'!$T$6:$T$384, "&lt;"&amp;IO1)</f>
        <v>0</v>
      </c>
      <c r="IO17" s="204">
        <f>SUMIFS('Expenditure Breakdown'!$U$6:$U$384, 'Expenditure Breakdown'!$T$6:$T$384, "&gt;="&amp;IO1,'Expenditure Breakdown'!$T$6:$T$384, "&lt;"&amp;IP1)</f>
        <v>0</v>
      </c>
      <c r="IP17" s="204">
        <f>SUMIFS('Expenditure Breakdown'!$U$6:$U$384, 'Expenditure Breakdown'!$T$6:$T$384, "&gt;="&amp;IP1,'Expenditure Breakdown'!$T$6:$T$384, "&lt;"&amp;IQ1)</f>
        <v>0</v>
      </c>
      <c r="IQ17" s="204">
        <f>SUMIFS('Expenditure Breakdown'!$U$6:$U$384, 'Expenditure Breakdown'!$T$6:$T$384, "&gt;="&amp;IQ1,'Expenditure Breakdown'!$T$6:$T$384, "&lt;"&amp;IR1)</f>
        <v>0</v>
      </c>
      <c r="IR17" s="204">
        <f>SUMIFS('Expenditure Breakdown'!$U$6:$U$384, 'Expenditure Breakdown'!$T$6:$T$384, "&gt;="&amp;IR1,'Expenditure Breakdown'!$T$6:$T$384, "&lt;"&amp;IS1)</f>
        <v>0</v>
      </c>
      <c r="IS17" s="204">
        <f>SUMIFS('Expenditure Breakdown'!$U$6:$U$384, 'Expenditure Breakdown'!$T$6:$T$384, "&gt;="&amp;IS1,'Expenditure Breakdown'!$T$6:$T$384, "&lt;"&amp;IT1)</f>
        <v>0</v>
      </c>
      <c r="IT17" s="204">
        <f>SUMIFS('Expenditure Breakdown'!$U$6:$U$384, 'Expenditure Breakdown'!$T$6:$T$384, "&gt;="&amp;IT1,'Expenditure Breakdown'!$T$6:$T$384, "&lt;"&amp;IU1)</f>
        <v>0</v>
      </c>
      <c r="IU17" s="204">
        <f>SUMIFS('Expenditure Breakdown'!$U$6:$U$384, 'Expenditure Breakdown'!$T$6:$T$384, "&gt;="&amp;IU1,'Expenditure Breakdown'!$T$6:$T$384, "&lt;"&amp;IV1)</f>
        <v>0</v>
      </c>
      <c r="IV17" s="204">
        <f>SUMIFS('Expenditure Breakdown'!$U$6:$U$384, 'Expenditure Breakdown'!$T$6:$T$384, "&gt;="&amp;IV1,'Expenditure Breakdown'!$T$6:$T$384, "&lt;"&amp;IW1)</f>
        <v>0</v>
      </c>
      <c r="IW17" s="204">
        <f>SUMIFS('Expenditure Breakdown'!$U$6:$U$384, 'Expenditure Breakdown'!$T$6:$T$384, "&gt;="&amp;IW1,'Expenditure Breakdown'!$T$6:$T$384, "&lt;"&amp;IX1)</f>
        <v>0</v>
      </c>
      <c r="IX17" s="204">
        <f>SUMIFS('Expenditure Breakdown'!$U$6:$U$384, 'Expenditure Breakdown'!$T$6:$T$384, "&gt;="&amp;IX1,'Expenditure Breakdown'!$T$6:$T$384, "&lt;"&amp;IY1)</f>
        <v>0</v>
      </c>
      <c r="IY17" s="204">
        <f>SUMIFS('Expenditure Breakdown'!$U$6:$U$384, 'Expenditure Breakdown'!$T$6:$T$384, "&gt;="&amp;IY1,'Expenditure Breakdown'!$T$6:$T$384, "&lt;"&amp;IZ1)</f>
        <v>0</v>
      </c>
      <c r="IZ17" s="204">
        <f>SUMIFS('Expenditure Breakdown'!$U$6:$U$384, 'Expenditure Breakdown'!$T$6:$T$384, "&gt;="&amp;IZ1,'Expenditure Breakdown'!$T$6:$T$384, "&lt;"&amp;JA1)</f>
        <v>0</v>
      </c>
      <c r="JA17" s="204">
        <f>SUMIFS('Expenditure Breakdown'!$U$6:$U$384, 'Expenditure Breakdown'!$T$6:$T$384, "&gt;="&amp;JA1,'Expenditure Breakdown'!$T$6:$T$384, "&lt;"&amp;JB1)</f>
        <v>0</v>
      </c>
      <c r="JB17" s="204">
        <f>SUMIFS('Expenditure Breakdown'!$U$6:$U$384, 'Expenditure Breakdown'!$T$6:$T$384, "&gt;="&amp;JB1,'Expenditure Breakdown'!$T$6:$T$384, "&lt;"&amp;JC1)</f>
        <v>0</v>
      </c>
      <c r="JC17" s="204">
        <f>SUMIFS('Expenditure Breakdown'!$U$6:$U$384, 'Expenditure Breakdown'!$T$6:$T$384, "&gt;="&amp;JC1,'Expenditure Breakdown'!$T$6:$T$384, "&lt;"&amp;JD1)</f>
        <v>0</v>
      </c>
      <c r="JD17" s="204">
        <f>SUMIFS('Expenditure Breakdown'!$U$6:$U$384, 'Expenditure Breakdown'!$T$6:$T$384, "&gt;="&amp;JD1,'Expenditure Breakdown'!$T$6:$T$384, "&lt;"&amp;JE1)</f>
        <v>0</v>
      </c>
      <c r="JE17" s="204">
        <f>SUMIFS('Expenditure Breakdown'!$U$6:$U$384, 'Expenditure Breakdown'!$T$6:$T$384, "&gt;="&amp;JE1,'Expenditure Breakdown'!$T$6:$T$384, "&lt;"&amp;JF1)</f>
        <v>0</v>
      </c>
      <c r="JF17" s="204">
        <f>SUMIFS('Expenditure Breakdown'!$U$6:$U$384, 'Expenditure Breakdown'!$T$6:$T$384, "&gt;="&amp;JF1,'Expenditure Breakdown'!$T$6:$T$384, "&lt;"&amp;JG1)</f>
        <v>0</v>
      </c>
      <c r="JG17" s="204">
        <f>SUMIFS('Expenditure Breakdown'!$U$6:$U$384, 'Expenditure Breakdown'!$T$6:$T$384, "&gt;="&amp;JG1,'Expenditure Breakdown'!$T$6:$T$384, "&lt;"&amp;JH1)</f>
        <v>0</v>
      </c>
      <c r="JH17" s="204">
        <f>SUMIFS('Expenditure Breakdown'!$U$6:$U$384, 'Expenditure Breakdown'!$T$6:$T$384, "&gt;="&amp;JH1,'Expenditure Breakdown'!$T$6:$T$384, "&lt;"&amp;JI1)</f>
        <v>0</v>
      </c>
      <c r="JI17" s="204">
        <f>SUMIFS('Expenditure Breakdown'!$U$6:$U$384, 'Expenditure Breakdown'!$T$6:$T$384, "&gt;="&amp;JI1,'Expenditure Breakdown'!$T$6:$T$384, "&lt;"&amp;JJ1)</f>
        <v>0</v>
      </c>
      <c r="JJ17" s="204">
        <f>SUMIFS('Expenditure Breakdown'!$U$6:$U$384, 'Expenditure Breakdown'!$T$6:$T$384, "&gt;="&amp;JJ1,'Expenditure Breakdown'!$T$6:$T$384, "&lt;"&amp;JK1)</f>
        <v>0</v>
      </c>
      <c r="JK17" s="204">
        <f>SUMIFS('Expenditure Breakdown'!$U$6:$U$384, 'Expenditure Breakdown'!$T$6:$T$384, "&gt;="&amp;JK1,'Expenditure Breakdown'!$T$6:$T$384, "&lt;"&amp;JL1)</f>
        <v>0</v>
      </c>
      <c r="JL17" s="204">
        <f>SUMIFS('Expenditure Breakdown'!$U$6:$U$384, 'Expenditure Breakdown'!$T$6:$T$384, "&gt;="&amp;JL1,'Expenditure Breakdown'!$T$6:$T$384, "&lt;"&amp;JM1)</f>
        <v>0</v>
      </c>
      <c r="JM17" s="204">
        <f>SUMIFS('Expenditure Breakdown'!$U$6:$U$384, 'Expenditure Breakdown'!$T$6:$T$384, "&gt;="&amp;JM1,'Expenditure Breakdown'!$T$6:$T$384, "&lt;"&amp;JN1)</f>
        <v>0</v>
      </c>
      <c r="JN17" s="204">
        <f>SUMIFS('Expenditure Breakdown'!$U$6:$U$384, 'Expenditure Breakdown'!$T$6:$T$384, "&gt;="&amp;JN1,'Expenditure Breakdown'!$T$6:$T$384, "&lt;"&amp;JO1)</f>
        <v>0</v>
      </c>
      <c r="JO17" s="204">
        <f>SUMIFS('Expenditure Breakdown'!$U$6:$U$384, 'Expenditure Breakdown'!$T$6:$T$384, "&gt;="&amp;JO1,'Expenditure Breakdown'!$T$6:$T$384, "&lt;"&amp;JP1)</f>
        <v>0</v>
      </c>
      <c r="JP17" s="204">
        <f>SUMIFS('Expenditure Breakdown'!$U$6:$U$384, 'Expenditure Breakdown'!$T$6:$T$384, "&gt;="&amp;JP1,'Expenditure Breakdown'!$T$6:$T$384, "&lt;"&amp;JQ1)</f>
        <v>0</v>
      </c>
      <c r="JQ17" s="204">
        <f>SUMIFS('Expenditure Breakdown'!$U$6:$U$384, 'Expenditure Breakdown'!$T$6:$T$384, "&gt;="&amp;JQ1,'Expenditure Breakdown'!$T$6:$T$384, "&lt;"&amp;JR1)</f>
        <v>0</v>
      </c>
      <c r="JR17" s="204">
        <f>SUMIFS('Expenditure Breakdown'!$U$6:$U$384, 'Expenditure Breakdown'!$T$6:$T$384, "&gt;="&amp;JR1,'Expenditure Breakdown'!$T$6:$T$384, "&lt;"&amp;JS1)</f>
        <v>0</v>
      </c>
      <c r="JS17" s="204">
        <f>SUMIFS('Expenditure Breakdown'!$U$6:$U$384, 'Expenditure Breakdown'!$T$6:$T$384, "&gt;="&amp;JS1,'Expenditure Breakdown'!$T$6:$T$384, "&lt;"&amp;JT1)</f>
        <v>0</v>
      </c>
      <c r="JT17" s="204">
        <f>SUMIFS('Expenditure Breakdown'!$U$6:$U$384, 'Expenditure Breakdown'!$T$6:$T$384, "&gt;="&amp;JT1,'Expenditure Breakdown'!$T$6:$T$384, "&lt;"&amp;JU1)</f>
        <v>0</v>
      </c>
      <c r="JU17" s="204">
        <f>SUMIFS('Expenditure Breakdown'!$U$6:$U$384, 'Expenditure Breakdown'!$T$6:$T$384, "&gt;="&amp;JU1,'Expenditure Breakdown'!$T$6:$T$384, "&lt;"&amp;JV1)</f>
        <v>0</v>
      </c>
      <c r="JV17" s="204">
        <f>SUMIFS('Expenditure Breakdown'!$U$6:$U$384, 'Expenditure Breakdown'!$T$6:$T$384, "&gt;="&amp;JV1,'Expenditure Breakdown'!$T$6:$T$384, "&lt;"&amp;JW1)</f>
        <v>0</v>
      </c>
      <c r="JW17" s="204">
        <f>SUMIFS('Expenditure Breakdown'!$U$6:$U$384, 'Expenditure Breakdown'!$T$6:$T$384, "&gt;="&amp;JW1,'Expenditure Breakdown'!$T$6:$T$384, "&lt;"&amp;JX1)</f>
        <v>0</v>
      </c>
      <c r="JX17" s="204">
        <f>SUMIFS('Expenditure Breakdown'!$U$6:$U$384, 'Expenditure Breakdown'!$T$6:$T$384, "&gt;="&amp;JX1,'Expenditure Breakdown'!$T$6:$T$384, "&lt;"&amp;JY1)</f>
        <v>0</v>
      </c>
      <c r="JY17" s="204">
        <f>SUMIFS('Expenditure Breakdown'!$U$6:$U$384, 'Expenditure Breakdown'!$T$6:$T$384, "&gt;="&amp;JY1,'Expenditure Breakdown'!$T$6:$T$384, "&lt;"&amp;JZ1)</f>
        <v>0</v>
      </c>
      <c r="JZ17" s="204">
        <f>SUMIFS('Expenditure Breakdown'!$U$6:$U$384, 'Expenditure Breakdown'!$T$6:$T$384, "&gt;="&amp;JZ1,'Expenditure Breakdown'!$T$6:$T$384, "&lt;"&amp;KA1)</f>
        <v>0</v>
      </c>
      <c r="KA17" s="204">
        <f>SUMIFS('Expenditure Breakdown'!$U$6:$U$384, 'Expenditure Breakdown'!$T$6:$T$384, "&gt;="&amp;KA1,'Expenditure Breakdown'!$T$6:$T$384, "&lt;"&amp;KB1)</f>
        <v>0</v>
      </c>
      <c r="KB17" s="204">
        <f>SUMIFS('Expenditure Breakdown'!$U$6:$U$384, 'Expenditure Breakdown'!$T$6:$T$384, "&gt;="&amp;KB1,'Expenditure Breakdown'!$T$6:$T$384, "&lt;"&amp;KC1)</f>
        <v>0</v>
      </c>
      <c r="KC17" s="204">
        <f>SUMIFS('Expenditure Breakdown'!$U$6:$U$384, 'Expenditure Breakdown'!$T$6:$T$384, "&gt;="&amp;KC1,'Expenditure Breakdown'!$T$6:$T$384, "&lt;"&amp;KD1)</f>
        <v>0</v>
      </c>
      <c r="KD17" s="204">
        <f>SUMIFS('Expenditure Breakdown'!$U$6:$U$384, 'Expenditure Breakdown'!$T$6:$T$384, "&gt;="&amp;KD1,'Expenditure Breakdown'!$T$6:$T$384, "&lt;"&amp;KE1)</f>
        <v>0</v>
      </c>
      <c r="KE17" s="204">
        <f>SUMIFS('Expenditure Breakdown'!$U$6:$U$384, 'Expenditure Breakdown'!$T$6:$T$384, "&gt;="&amp;KE1,'Expenditure Breakdown'!$T$6:$T$384, "&lt;"&amp;KF1)</f>
        <v>0</v>
      </c>
      <c r="KF17" s="204">
        <f>SUMIFS('Expenditure Breakdown'!$U$6:$U$384, 'Expenditure Breakdown'!$T$6:$T$384, "&gt;="&amp;KF1,'Expenditure Breakdown'!$T$6:$T$384, "&lt;"&amp;KG1)</f>
        <v>0</v>
      </c>
      <c r="KG17" s="204">
        <f>SUMIFS('Expenditure Breakdown'!$U$6:$U$384, 'Expenditure Breakdown'!$T$6:$T$384, "&gt;="&amp;KG1,'Expenditure Breakdown'!$T$6:$T$384, "&lt;"&amp;KH1)</f>
        <v>0</v>
      </c>
      <c r="KH17" s="204">
        <f>SUMIFS('Expenditure Breakdown'!$U$6:$U$384, 'Expenditure Breakdown'!$T$6:$T$384, "&gt;="&amp;KH1,'Expenditure Breakdown'!$T$6:$T$384, "&lt;"&amp;KI1)</f>
        <v>0</v>
      </c>
      <c r="KI17" s="204">
        <f>SUMIFS('Expenditure Breakdown'!$U$6:$U$384, 'Expenditure Breakdown'!$T$6:$T$384, "&gt;="&amp;KI1,'Expenditure Breakdown'!$T$6:$T$384, "&lt;"&amp;KJ1)</f>
        <v>0</v>
      </c>
      <c r="KJ17" s="204">
        <f>SUMIFS('Expenditure Breakdown'!$U$6:$U$384, 'Expenditure Breakdown'!$T$6:$T$384, "&gt;="&amp;KJ1,'Expenditure Breakdown'!$T$6:$T$384, "&lt;"&amp;KK1)</f>
        <v>0</v>
      </c>
      <c r="KK17" s="204">
        <f>SUMIFS('Expenditure Breakdown'!$U$6:$U$384, 'Expenditure Breakdown'!$T$6:$T$384, "&gt;="&amp;KK1,'Expenditure Breakdown'!$T$6:$T$384, "&lt;"&amp;KL1)</f>
        <v>0</v>
      </c>
      <c r="KL17" s="204">
        <f>SUMIFS('Expenditure Breakdown'!$U$6:$U$384, 'Expenditure Breakdown'!$T$6:$T$384, "&gt;="&amp;KL1,'Expenditure Breakdown'!$T$6:$T$384, "&lt;"&amp;KM1)</f>
        <v>0</v>
      </c>
      <c r="KM17" s="204">
        <f>SUMIFS('Expenditure Breakdown'!$U$6:$U$384, 'Expenditure Breakdown'!$T$6:$T$384, "&gt;="&amp;KM1,'Expenditure Breakdown'!$T$6:$T$384, "&lt;"&amp;KN1)</f>
        <v>0</v>
      </c>
      <c r="KN17" s="204">
        <f>SUMIFS('Expenditure Breakdown'!$U$6:$U$384, 'Expenditure Breakdown'!$T$6:$T$384, "&gt;="&amp;KN1,'Expenditure Breakdown'!$T$6:$T$384, "&lt;"&amp;KO1)</f>
        <v>0</v>
      </c>
      <c r="KO17" s="204">
        <f>SUMIFS('Expenditure Breakdown'!$U$6:$U$384, 'Expenditure Breakdown'!$T$6:$T$384, "&gt;="&amp;KO1,'Expenditure Breakdown'!$T$6:$T$384, "&lt;"&amp;KP1)</f>
        <v>0</v>
      </c>
      <c r="KP17" s="204">
        <f>SUMIFS('Expenditure Breakdown'!$U$6:$U$384, 'Expenditure Breakdown'!$T$6:$T$384, "&gt;="&amp;KP1,'Expenditure Breakdown'!$T$6:$T$384, "&lt;"&amp;KQ1)</f>
        <v>0</v>
      </c>
      <c r="KQ17" s="204">
        <f>SUMIFS('Expenditure Breakdown'!$U$6:$U$384, 'Expenditure Breakdown'!$T$6:$T$384, "&gt;="&amp;KQ1,'Expenditure Breakdown'!$T$6:$T$384, "&lt;"&amp;KR1)</f>
        <v>0</v>
      </c>
      <c r="KR17" s="204">
        <f>SUMIFS('Expenditure Breakdown'!$U$6:$U$384, 'Expenditure Breakdown'!$T$6:$T$384, "&gt;="&amp;KR1,'Expenditure Breakdown'!$T$6:$T$384, "&lt;"&amp;KS1)</f>
        <v>0</v>
      </c>
      <c r="KS17" s="204">
        <f>SUMIFS('Expenditure Breakdown'!$U$6:$U$384, 'Expenditure Breakdown'!$T$6:$T$384, "&gt;="&amp;KS1,'Expenditure Breakdown'!$T$6:$T$384, "&lt;"&amp;KT1)</f>
        <v>0</v>
      </c>
      <c r="KT17" s="204">
        <f>SUMIFS('Expenditure Breakdown'!$U$6:$U$384, 'Expenditure Breakdown'!$T$6:$T$384, "&gt;="&amp;KT1,'Expenditure Breakdown'!$T$6:$T$384, "&lt;"&amp;KU1)</f>
        <v>0</v>
      </c>
      <c r="KU17" s="204">
        <f>SUMIFS('Expenditure Breakdown'!$U$6:$U$384, 'Expenditure Breakdown'!$T$6:$T$384, "&gt;="&amp;KU1,'Expenditure Breakdown'!$T$6:$T$384, "&lt;"&amp;KV1)</f>
        <v>0</v>
      </c>
      <c r="KV17" s="204">
        <f>SUMIFS('Expenditure Breakdown'!$U$6:$U$384, 'Expenditure Breakdown'!$T$6:$T$384, "&gt;="&amp;KV1,'Expenditure Breakdown'!$T$6:$T$384, "&lt;"&amp;KW1)</f>
        <v>0</v>
      </c>
      <c r="KW17" s="204">
        <f>SUMIFS('Expenditure Breakdown'!$U$6:$U$384, 'Expenditure Breakdown'!$T$6:$T$384, "&gt;="&amp;KW1,'Expenditure Breakdown'!$T$6:$T$384, "&lt;"&amp;KX1)</f>
        <v>0</v>
      </c>
      <c r="KX17" s="204">
        <f>SUMIFS('Expenditure Breakdown'!$U$6:$U$384, 'Expenditure Breakdown'!$T$6:$T$384, "&gt;="&amp;KX1,'Expenditure Breakdown'!$T$6:$T$384, "&lt;"&amp;KY1)</f>
        <v>0</v>
      </c>
      <c r="KY17" s="204">
        <f>SUMIFS('Expenditure Breakdown'!$U$6:$U$384, 'Expenditure Breakdown'!$T$6:$T$384, "&gt;="&amp;KY1,'Expenditure Breakdown'!$T$6:$T$384, "&lt;"&amp;KZ1)</f>
        <v>0</v>
      </c>
      <c r="KZ17" s="204">
        <f>SUMIFS('Expenditure Breakdown'!$U$6:$U$384, 'Expenditure Breakdown'!$T$6:$T$384, "&gt;="&amp;KZ1,'Expenditure Breakdown'!$T$6:$T$384, "&lt;"&amp;LA1)</f>
        <v>0</v>
      </c>
      <c r="LA17" s="204">
        <f>SUMIFS('Expenditure Breakdown'!$U$6:$U$384, 'Expenditure Breakdown'!$T$6:$T$384, "&gt;="&amp;LA1,'Expenditure Breakdown'!$T$6:$T$384, "&lt;"&amp;LB1)</f>
        <v>0</v>
      </c>
      <c r="LB17" s="204">
        <f>SUMIFS('Expenditure Breakdown'!$U$6:$U$384, 'Expenditure Breakdown'!$T$6:$T$384, "&gt;="&amp;LB1,'Expenditure Breakdown'!$T$6:$T$384, "&lt;"&amp;LC1)</f>
        <v>0</v>
      </c>
      <c r="LC17" s="204">
        <f>SUMIFS('Expenditure Breakdown'!$U$6:$U$384, 'Expenditure Breakdown'!$T$6:$T$384, "&gt;="&amp;LC1,'Expenditure Breakdown'!$T$6:$T$384, "&lt;"&amp;LD1)</f>
        <v>0</v>
      </c>
      <c r="LD17" s="204">
        <f>SUMIFS('Expenditure Breakdown'!$U$6:$U$384, 'Expenditure Breakdown'!$T$6:$T$384, "&gt;="&amp;LD1,'Expenditure Breakdown'!$T$6:$T$384, "&lt;"&amp;#REF!)</f>
        <v>0</v>
      </c>
    </row>
    <row r="18" spans="1:316">
      <c r="A18" s="930"/>
      <c r="B18" s="185" t="s">
        <v>754</v>
      </c>
      <c r="C18" s="363">
        <f>D17-D18</f>
        <v>0</v>
      </c>
      <c r="D18" s="186">
        <f>MAX(F18:LD18)</f>
        <v>59800831.272943787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59800831.272943787</v>
      </c>
      <c r="BL18" s="204">
        <f t="shared" si="37"/>
        <v>59800831.272943787</v>
      </c>
      <c r="BM18" s="204">
        <f t="shared" si="37"/>
        <v>59800831.272943787</v>
      </c>
      <c r="BN18" s="204">
        <f t="shared" si="37"/>
        <v>59800831.272943787</v>
      </c>
      <c r="BO18" s="204">
        <f t="shared" si="37"/>
        <v>59800831.272943787</v>
      </c>
      <c r="BP18" s="204">
        <f t="shared" si="37"/>
        <v>59800831.272943787</v>
      </c>
      <c r="BQ18" s="204">
        <f t="shared" si="37"/>
        <v>59800831.272943787</v>
      </c>
      <c r="BR18" s="204">
        <f t="shared" si="37"/>
        <v>59800831.272943787</v>
      </c>
      <c r="BS18" s="204">
        <f t="shared" si="37"/>
        <v>59800831.272943787</v>
      </c>
      <c r="BT18" s="204">
        <f t="shared" si="37"/>
        <v>59800831.272943787</v>
      </c>
      <c r="BU18" s="204">
        <f t="shared" ref="BU18:EF18" si="38">BT18+BU17</f>
        <v>59800831.272943787</v>
      </c>
      <c r="BV18" s="204">
        <f t="shared" si="38"/>
        <v>59800831.272943787</v>
      </c>
      <c r="BW18" s="204">
        <f t="shared" si="38"/>
        <v>59800831.272943787</v>
      </c>
      <c r="BX18" s="204">
        <f t="shared" si="38"/>
        <v>59800831.272943787</v>
      </c>
      <c r="BY18" s="204">
        <f t="shared" si="38"/>
        <v>59800831.272943787</v>
      </c>
      <c r="BZ18" s="204">
        <f t="shared" si="38"/>
        <v>59800831.272943787</v>
      </c>
      <c r="CA18" s="204">
        <f t="shared" si="38"/>
        <v>59800831.272943787</v>
      </c>
      <c r="CB18" s="204">
        <f t="shared" si="38"/>
        <v>59800831.272943787</v>
      </c>
      <c r="CC18" s="204">
        <f t="shared" si="38"/>
        <v>59800831.272943787</v>
      </c>
      <c r="CD18" s="204">
        <f t="shared" si="38"/>
        <v>59800831.272943787</v>
      </c>
      <c r="CE18" s="204">
        <f t="shared" si="38"/>
        <v>59800831.272943787</v>
      </c>
      <c r="CF18" s="204">
        <f t="shared" si="38"/>
        <v>59800831.272943787</v>
      </c>
      <c r="CG18" s="204">
        <f t="shared" si="38"/>
        <v>59800831.272943787</v>
      </c>
      <c r="CH18" s="204">
        <f t="shared" si="38"/>
        <v>59800831.272943787</v>
      </c>
      <c r="CI18" s="204">
        <f t="shared" si="38"/>
        <v>59800831.272943787</v>
      </c>
      <c r="CJ18" s="204">
        <f t="shared" si="38"/>
        <v>59800831.272943787</v>
      </c>
      <c r="CK18" s="204">
        <f t="shared" si="38"/>
        <v>59800831.272943787</v>
      </c>
      <c r="CL18" s="204">
        <f t="shared" si="38"/>
        <v>59800831.272943787</v>
      </c>
      <c r="CM18" s="204">
        <f t="shared" si="38"/>
        <v>59800831.272943787</v>
      </c>
      <c r="CN18" s="204">
        <f t="shared" si="38"/>
        <v>59800831.272943787</v>
      </c>
      <c r="CO18" s="204">
        <f t="shared" si="38"/>
        <v>59800831.272943787</v>
      </c>
      <c r="CP18" s="204">
        <f t="shared" si="38"/>
        <v>59800831.272943787</v>
      </c>
      <c r="CQ18" s="204">
        <f t="shared" si="38"/>
        <v>59800831.272943787</v>
      </c>
      <c r="CR18" s="204">
        <f t="shared" si="38"/>
        <v>59800831.272943787</v>
      </c>
      <c r="CS18" s="204">
        <f t="shared" si="38"/>
        <v>59800831.272943787</v>
      </c>
      <c r="CT18" s="204">
        <f t="shared" si="38"/>
        <v>59800831.272943787</v>
      </c>
      <c r="CU18" s="204">
        <f t="shared" si="38"/>
        <v>59800831.272943787</v>
      </c>
      <c r="CV18" s="204">
        <f t="shared" si="38"/>
        <v>59800831.272943787</v>
      </c>
      <c r="CW18" s="204">
        <f t="shared" si="38"/>
        <v>59800831.272943787</v>
      </c>
      <c r="CX18" s="204">
        <f t="shared" si="38"/>
        <v>59800831.272943787</v>
      </c>
      <c r="CY18" s="204">
        <f t="shared" si="38"/>
        <v>59800831.272943787</v>
      </c>
      <c r="CZ18" s="204">
        <f t="shared" si="38"/>
        <v>59800831.272943787</v>
      </c>
      <c r="DA18" s="204">
        <f t="shared" si="38"/>
        <v>59800831.272943787</v>
      </c>
      <c r="DB18" s="204">
        <f t="shared" si="38"/>
        <v>59800831.272943787</v>
      </c>
      <c r="DC18" s="204">
        <f t="shared" si="38"/>
        <v>59800831.272943787</v>
      </c>
      <c r="DD18" s="204">
        <f t="shared" si="38"/>
        <v>59800831.272943787</v>
      </c>
      <c r="DE18" s="204">
        <f t="shared" si="38"/>
        <v>59800831.272943787</v>
      </c>
      <c r="DF18" s="204">
        <f t="shared" si="38"/>
        <v>59800831.272943787</v>
      </c>
      <c r="DG18" s="204">
        <f t="shared" si="38"/>
        <v>59800831.272943787</v>
      </c>
      <c r="DH18" s="204">
        <f t="shared" si="38"/>
        <v>59800831.272943787</v>
      </c>
      <c r="DI18" s="204">
        <f t="shared" si="38"/>
        <v>59800831.272943787</v>
      </c>
      <c r="DJ18" s="204">
        <f t="shared" si="38"/>
        <v>59800831.272943787</v>
      </c>
      <c r="DK18" s="204">
        <f t="shared" si="38"/>
        <v>59800831.272943787</v>
      </c>
      <c r="DL18" s="204">
        <f t="shared" si="38"/>
        <v>59800831.272943787</v>
      </c>
      <c r="DM18" s="204">
        <f t="shared" si="38"/>
        <v>59800831.272943787</v>
      </c>
      <c r="DN18" s="204">
        <f t="shared" si="38"/>
        <v>59800831.272943787</v>
      </c>
      <c r="DO18" s="204">
        <f t="shared" si="38"/>
        <v>59800831.272943787</v>
      </c>
      <c r="DP18" s="204">
        <f t="shared" si="38"/>
        <v>59800831.272943787</v>
      </c>
      <c r="DQ18" s="204">
        <f t="shared" si="38"/>
        <v>59800831.272943787</v>
      </c>
      <c r="DR18" s="204">
        <f t="shared" si="38"/>
        <v>59800831.272943787</v>
      </c>
      <c r="DS18" s="204">
        <f t="shared" si="38"/>
        <v>59800831.272943787</v>
      </c>
      <c r="DT18" s="204">
        <f t="shared" si="38"/>
        <v>59800831.272943787</v>
      </c>
      <c r="DU18" s="204">
        <f t="shared" si="38"/>
        <v>59800831.272943787</v>
      </c>
      <c r="DV18" s="204">
        <f t="shared" si="38"/>
        <v>59800831.272943787</v>
      </c>
      <c r="DW18" s="204">
        <f t="shared" si="38"/>
        <v>59800831.272943787</v>
      </c>
      <c r="DX18" s="204">
        <f t="shared" si="38"/>
        <v>59800831.272943787</v>
      </c>
      <c r="DY18" s="204">
        <f t="shared" si="38"/>
        <v>59800831.272943787</v>
      </c>
      <c r="DZ18" s="204">
        <f t="shared" si="38"/>
        <v>59800831.272943787</v>
      </c>
      <c r="EA18" s="204">
        <f t="shared" si="38"/>
        <v>59800831.272943787</v>
      </c>
      <c r="EB18" s="204">
        <f t="shared" si="38"/>
        <v>59800831.272943787</v>
      </c>
      <c r="EC18" s="204">
        <f t="shared" si="38"/>
        <v>59800831.272943787</v>
      </c>
      <c r="ED18" s="204">
        <f t="shared" si="38"/>
        <v>59800831.272943787</v>
      </c>
      <c r="EE18" s="204">
        <f t="shared" si="38"/>
        <v>59800831.272943787</v>
      </c>
      <c r="EF18" s="204">
        <f t="shared" si="38"/>
        <v>59800831.272943787</v>
      </c>
      <c r="EG18" s="204">
        <f t="shared" ref="EG18:GR18" si="39">EF18+EG17</f>
        <v>59800831.272943787</v>
      </c>
      <c r="EH18" s="204">
        <f t="shared" si="39"/>
        <v>59800831.272943787</v>
      </c>
      <c r="EI18" s="204">
        <f t="shared" si="39"/>
        <v>59800831.272943787</v>
      </c>
      <c r="EJ18" s="204">
        <f t="shared" si="39"/>
        <v>59800831.272943787</v>
      </c>
      <c r="EK18" s="204">
        <f t="shared" si="39"/>
        <v>59800831.272943787</v>
      </c>
      <c r="EL18" s="204">
        <f t="shared" si="39"/>
        <v>59800831.272943787</v>
      </c>
      <c r="EM18" s="204">
        <f t="shared" si="39"/>
        <v>59800831.272943787</v>
      </c>
      <c r="EN18" s="204">
        <f t="shared" si="39"/>
        <v>59800831.272943787</v>
      </c>
      <c r="EO18" s="204">
        <f t="shared" si="39"/>
        <v>59800831.272943787</v>
      </c>
      <c r="EP18" s="204">
        <f t="shared" si="39"/>
        <v>59800831.272943787</v>
      </c>
      <c r="EQ18" s="204">
        <f t="shared" si="39"/>
        <v>59800831.272943787</v>
      </c>
      <c r="ER18" s="204">
        <f t="shared" si="39"/>
        <v>59800831.272943787</v>
      </c>
      <c r="ES18" s="204">
        <f t="shared" si="39"/>
        <v>59800831.272943787</v>
      </c>
      <c r="ET18" s="204">
        <f t="shared" si="39"/>
        <v>59800831.272943787</v>
      </c>
      <c r="EU18" s="204">
        <f t="shared" si="39"/>
        <v>59800831.272943787</v>
      </c>
      <c r="EV18" s="204">
        <f t="shared" si="39"/>
        <v>59800831.272943787</v>
      </c>
      <c r="EW18" s="204">
        <f t="shared" si="39"/>
        <v>59800831.272943787</v>
      </c>
      <c r="EX18" s="204">
        <f t="shared" si="39"/>
        <v>59800831.272943787</v>
      </c>
      <c r="EY18" s="204">
        <f t="shared" si="39"/>
        <v>59800831.272943787</v>
      </c>
      <c r="EZ18" s="204">
        <f t="shared" si="39"/>
        <v>59800831.272943787</v>
      </c>
      <c r="FA18" s="204">
        <f t="shared" si="39"/>
        <v>59800831.272943787</v>
      </c>
      <c r="FB18" s="204">
        <f t="shared" si="39"/>
        <v>59800831.272943787</v>
      </c>
      <c r="FC18" s="204">
        <f t="shared" si="39"/>
        <v>59800831.272943787</v>
      </c>
      <c r="FD18" s="204">
        <f t="shared" si="39"/>
        <v>59800831.272943787</v>
      </c>
      <c r="FE18" s="204">
        <f t="shared" si="39"/>
        <v>59800831.272943787</v>
      </c>
      <c r="FF18" s="204">
        <f t="shared" si="39"/>
        <v>59800831.272943787</v>
      </c>
      <c r="FG18" s="204">
        <f t="shared" si="39"/>
        <v>59800831.272943787</v>
      </c>
      <c r="FH18" s="204">
        <f t="shared" si="39"/>
        <v>59800831.272943787</v>
      </c>
      <c r="FI18" s="204">
        <f t="shared" si="39"/>
        <v>59800831.272943787</v>
      </c>
      <c r="FJ18" s="204">
        <f t="shared" si="39"/>
        <v>59800831.272943787</v>
      </c>
      <c r="FK18" s="204">
        <f t="shared" si="39"/>
        <v>59800831.272943787</v>
      </c>
      <c r="FL18" s="204">
        <f t="shared" si="39"/>
        <v>59800831.272943787</v>
      </c>
      <c r="FM18" s="204">
        <f t="shared" si="39"/>
        <v>59800831.272943787</v>
      </c>
      <c r="FN18" s="204">
        <f t="shared" si="39"/>
        <v>59800831.272943787</v>
      </c>
      <c r="FO18" s="204">
        <f t="shared" si="39"/>
        <v>59800831.272943787</v>
      </c>
      <c r="FP18" s="204">
        <f t="shared" si="39"/>
        <v>59800831.272943787</v>
      </c>
      <c r="FQ18" s="204">
        <f t="shared" si="39"/>
        <v>59800831.272943787</v>
      </c>
      <c r="FR18" s="204">
        <f t="shared" si="39"/>
        <v>59800831.272943787</v>
      </c>
      <c r="FS18" s="204">
        <f t="shared" si="39"/>
        <v>59800831.272943787</v>
      </c>
      <c r="FT18" s="204">
        <f t="shared" si="39"/>
        <v>59800831.272943787</v>
      </c>
      <c r="FU18" s="204">
        <f t="shared" si="39"/>
        <v>59800831.272943787</v>
      </c>
      <c r="FV18" s="204">
        <f t="shared" si="39"/>
        <v>59800831.272943787</v>
      </c>
      <c r="FW18" s="204">
        <f t="shared" si="39"/>
        <v>59800831.272943787</v>
      </c>
      <c r="FX18" s="204">
        <f t="shared" si="39"/>
        <v>59800831.272943787</v>
      </c>
      <c r="FY18" s="204">
        <f t="shared" si="39"/>
        <v>59800831.272943787</v>
      </c>
      <c r="FZ18" s="204">
        <f t="shared" si="39"/>
        <v>59800831.272943787</v>
      </c>
      <c r="GA18" s="204">
        <f t="shared" si="39"/>
        <v>59800831.272943787</v>
      </c>
      <c r="GB18" s="204">
        <f t="shared" si="39"/>
        <v>59800831.272943787</v>
      </c>
      <c r="GC18" s="204">
        <f t="shared" si="39"/>
        <v>59800831.272943787</v>
      </c>
      <c r="GD18" s="204">
        <f t="shared" si="39"/>
        <v>59800831.272943787</v>
      </c>
      <c r="GE18" s="204">
        <f t="shared" si="39"/>
        <v>59800831.272943787</v>
      </c>
      <c r="GF18" s="204">
        <f t="shared" si="39"/>
        <v>59800831.272943787</v>
      </c>
      <c r="GG18" s="204">
        <f t="shared" si="39"/>
        <v>59800831.272943787</v>
      </c>
      <c r="GH18" s="204">
        <f t="shared" si="39"/>
        <v>59800831.272943787</v>
      </c>
      <c r="GI18" s="204">
        <f t="shared" si="39"/>
        <v>59800831.272943787</v>
      </c>
      <c r="GJ18" s="204">
        <f t="shared" si="39"/>
        <v>59800831.272943787</v>
      </c>
      <c r="GK18" s="204">
        <f t="shared" si="39"/>
        <v>59800831.272943787</v>
      </c>
      <c r="GL18" s="204">
        <f t="shared" si="39"/>
        <v>59800831.272943787</v>
      </c>
      <c r="GM18" s="204">
        <f t="shared" si="39"/>
        <v>59800831.272943787</v>
      </c>
      <c r="GN18" s="204">
        <f t="shared" si="39"/>
        <v>59800831.272943787</v>
      </c>
      <c r="GO18" s="204">
        <f t="shared" si="39"/>
        <v>59800831.272943787</v>
      </c>
      <c r="GP18" s="204">
        <f t="shared" si="39"/>
        <v>59800831.272943787</v>
      </c>
      <c r="GQ18" s="204">
        <f t="shared" si="39"/>
        <v>59800831.272943787</v>
      </c>
      <c r="GR18" s="204">
        <f t="shared" si="39"/>
        <v>59800831.272943787</v>
      </c>
      <c r="GS18" s="204">
        <f t="shared" ref="GS18:JD18" si="40">GR18+GS17</f>
        <v>59800831.272943787</v>
      </c>
      <c r="GT18" s="204">
        <f t="shared" si="40"/>
        <v>59800831.272943787</v>
      </c>
      <c r="GU18" s="204">
        <f t="shared" si="40"/>
        <v>59800831.272943787</v>
      </c>
      <c r="GV18" s="204">
        <f t="shared" si="40"/>
        <v>59800831.272943787</v>
      </c>
      <c r="GW18" s="204">
        <f t="shared" si="40"/>
        <v>59800831.272943787</v>
      </c>
      <c r="GX18" s="204">
        <f t="shared" si="40"/>
        <v>59800831.272943787</v>
      </c>
      <c r="GY18" s="204">
        <f t="shared" si="40"/>
        <v>59800831.272943787</v>
      </c>
      <c r="GZ18" s="204">
        <f t="shared" si="40"/>
        <v>59800831.272943787</v>
      </c>
      <c r="HA18" s="204">
        <f t="shared" si="40"/>
        <v>59800831.272943787</v>
      </c>
      <c r="HB18" s="204">
        <f t="shared" si="40"/>
        <v>59800831.272943787</v>
      </c>
      <c r="HC18" s="204">
        <f t="shared" si="40"/>
        <v>59800831.272943787</v>
      </c>
      <c r="HD18" s="204">
        <f t="shared" si="40"/>
        <v>59800831.272943787</v>
      </c>
      <c r="HE18" s="204">
        <f t="shared" si="40"/>
        <v>59800831.272943787</v>
      </c>
      <c r="HF18" s="204">
        <f t="shared" si="40"/>
        <v>59800831.272943787</v>
      </c>
      <c r="HG18" s="204">
        <f t="shared" si="40"/>
        <v>59800831.272943787</v>
      </c>
      <c r="HH18" s="204">
        <f t="shared" si="40"/>
        <v>59800831.272943787</v>
      </c>
      <c r="HI18" s="204">
        <f t="shared" si="40"/>
        <v>59800831.272943787</v>
      </c>
      <c r="HJ18" s="204">
        <f t="shared" si="40"/>
        <v>59800831.272943787</v>
      </c>
      <c r="HK18" s="204">
        <f t="shared" si="40"/>
        <v>59800831.272943787</v>
      </c>
      <c r="HL18" s="204">
        <f t="shared" si="40"/>
        <v>59800831.272943787</v>
      </c>
      <c r="HM18" s="204">
        <f t="shared" si="40"/>
        <v>59800831.272943787</v>
      </c>
      <c r="HN18" s="204">
        <f t="shared" si="40"/>
        <v>59800831.272943787</v>
      </c>
      <c r="HO18" s="204">
        <f t="shared" si="40"/>
        <v>59800831.272943787</v>
      </c>
      <c r="HP18" s="204">
        <f t="shared" si="40"/>
        <v>59800831.272943787</v>
      </c>
      <c r="HQ18" s="204">
        <f t="shared" si="40"/>
        <v>59800831.272943787</v>
      </c>
      <c r="HR18" s="204">
        <f t="shared" si="40"/>
        <v>59800831.272943787</v>
      </c>
      <c r="HS18" s="204">
        <f t="shared" si="40"/>
        <v>59800831.272943787</v>
      </c>
      <c r="HT18" s="204">
        <f t="shared" si="40"/>
        <v>59800831.272943787</v>
      </c>
      <c r="HU18" s="204">
        <f t="shared" si="40"/>
        <v>59800831.272943787</v>
      </c>
      <c r="HV18" s="204">
        <f t="shared" si="40"/>
        <v>59800831.272943787</v>
      </c>
      <c r="HW18" s="204">
        <f t="shared" si="40"/>
        <v>59800831.272943787</v>
      </c>
      <c r="HX18" s="204">
        <f t="shared" si="40"/>
        <v>59800831.272943787</v>
      </c>
      <c r="HY18" s="204">
        <f t="shared" si="40"/>
        <v>59800831.272943787</v>
      </c>
      <c r="HZ18" s="204">
        <f t="shared" si="40"/>
        <v>59800831.272943787</v>
      </c>
      <c r="IA18" s="204">
        <f t="shared" si="40"/>
        <v>59800831.272943787</v>
      </c>
      <c r="IB18" s="204">
        <f t="shared" si="40"/>
        <v>59800831.272943787</v>
      </c>
      <c r="IC18" s="204">
        <f t="shared" si="40"/>
        <v>59800831.272943787</v>
      </c>
      <c r="ID18" s="204">
        <f t="shared" si="40"/>
        <v>59800831.272943787</v>
      </c>
      <c r="IE18" s="204">
        <f t="shared" si="40"/>
        <v>59800831.272943787</v>
      </c>
      <c r="IF18" s="204">
        <f t="shared" si="40"/>
        <v>59800831.272943787</v>
      </c>
      <c r="IG18" s="204">
        <f t="shared" si="40"/>
        <v>59800831.272943787</v>
      </c>
      <c r="IH18" s="204">
        <f t="shared" si="40"/>
        <v>59800831.272943787</v>
      </c>
      <c r="II18" s="204">
        <f t="shared" si="40"/>
        <v>59800831.272943787</v>
      </c>
      <c r="IJ18" s="204">
        <f t="shared" si="40"/>
        <v>59800831.272943787</v>
      </c>
      <c r="IK18" s="204">
        <f t="shared" si="40"/>
        <v>59800831.272943787</v>
      </c>
      <c r="IL18" s="204">
        <f t="shared" si="40"/>
        <v>59800831.272943787</v>
      </c>
      <c r="IM18" s="204">
        <f t="shared" si="40"/>
        <v>59800831.272943787</v>
      </c>
      <c r="IN18" s="204">
        <f t="shared" si="40"/>
        <v>59800831.272943787</v>
      </c>
      <c r="IO18" s="204">
        <f t="shared" si="40"/>
        <v>59800831.272943787</v>
      </c>
      <c r="IP18" s="204">
        <f t="shared" si="40"/>
        <v>59800831.272943787</v>
      </c>
      <c r="IQ18" s="204">
        <f t="shared" si="40"/>
        <v>59800831.272943787</v>
      </c>
      <c r="IR18" s="204">
        <f t="shared" si="40"/>
        <v>59800831.272943787</v>
      </c>
      <c r="IS18" s="204">
        <f t="shared" si="40"/>
        <v>59800831.272943787</v>
      </c>
      <c r="IT18" s="204">
        <f t="shared" si="40"/>
        <v>59800831.272943787</v>
      </c>
      <c r="IU18" s="204">
        <f t="shared" si="40"/>
        <v>59800831.272943787</v>
      </c>
      <c r="IV18" s="204">
        <f t="shared" si="40"/>
        <v>59800831.272943787</v>
      </c>
      <c r="IW18" s="204">
        <f t="shared" si="40"/>
        <v>59800831.272943787</v>
      </c>
      <c r="IX18" s="204">
        <f t="shared" si="40"/>
        <v>59800831.272943787</v>
      </c>
      <c r="IY18" s="204">
        <f t="shared" si="40"/>
        <v>59800831.272943787</v>
      </c>
      <c r="IZ18" s="204">
        <f t="shared" si="40"/>
        <v>59800831.272943787</v>
      </c>
      <c r="JA18" s="204">
        <f t="shared" si="40"/>
        <v>59800831.272943787</v>
      </c>
      <c r="JB18" s="204">
        <f t="shared" si="40"/>
        <v>59800831.272943787</v>
      </c>
      <c r="JC18" s="204">
        <f t="shared" si="40"/>
        <v>59800831.272943787</v>
      </c>
      <c r="JD18" s="204">
        <f t="shared" si="40"/>
        <v>59800831.272943787</v>
      </c>
      <c r="JE18" s="204">
        <f t="shared" ref="JE18:LD18" si="41">JD18+JE17</f>
        <v>59800831.272943787</v>
      </c>
      <c r="JF18" s="204">
        <f t="shared" si="41"/>
        <v>59800831.272943787</v>
      </c>
      <c r="JG18" s="204">
        <f t="shared" si="41"/>
        <v>59800831.272943787</v>
      </c>
      <c r="JH18" s="204">
        <f t="shared" si="41"/>
        <v>59800831.272943787</v>
      </c>
      <c r="JI18" s="204">
        <f t="shared" si="41"/>
        <v>59800831.272943787</v>
      </c>
      <c r="JJ18" s="204">
        <f t="shared" si="41"/>
        <v>59800831.272943787</v>
      </c>
      <c r="JK18" s="204">
        <f t="shared" si="41"/>
        <v>59800831.272943787</v>
      </c>
      <c r="JL18" s="204">
        <f t="shared" si="41"/>
        <v>59800831.272943787</v>
      </c>
      <c r="JM18" s="204">
        <f t="shared" si="41"/>
        <v>59800831.272943787</v>
      </c>
      <c r="JN18" s="204">
        <f t="shared" si="41"/>
        <v>59800831.272943787</v>
      </c>
      <c r="JO18" s="204">
        <f t="shared" si="41"/>
        <v>59800831.272943787</v>
      </c>
      <c r="JP18" s="204">
        <f t="shared" si="41"/>
        <v>59800831.272943787</v>
      </c>
      <c r="JQ18" s="204">
        <f t="shared" si="41"/>
        <v>59800831.272943787</v>
      </c>
      <c r="JR18" s="204">
        <f t="shared" si="41"/>
        <v>59800831.272943787</v>
      </c>
      <c r="JS18" s="204">
        <f t="shared" si="41"/>
        <v>59800831.272943787</v>
      </c>
      <c r="JT18" s="204">
        <f t="shared" si="41"/>
        <v>59800831.272943787</v>
      </c>
      <c r="JU18" s="204">
        <f t="shared" si="41"/>
        <v>59800831.272943787</v>
      </c>
      <c r="JV18" s="204">
        <f t="shared" si="41"/>
        <v>59800831.272943787</v>
      </c>
      <c r="JW18" s="204">
        <f t="shared" si="41"/>
        <v>59800831.272943787</v>
      </c>
      <c r="JX18" s="204">
        <f t="shared" si="41"/>
        <v>59800831.272943787</v>
      </c>
      <c r="JY18" s="204">
        <f t="shared" si="41"/>
        <v>59800831.272943787</v>
      </c>
      <c r="JZ18" s="204">
        <f t="shared" si="41"/>
        <v>59800831.272943787</v>
      </c>
      <c r="KA18" s="204">
        <f t="shared" si="41"/>
        <v>59800831.272943787</v>
      </c>
      <c r="KB18" s="204">
        <f t="shared" si="41"/>
        <v>59800831.272943787</v>
      </c>
      <c r="KC18" s="204">
        <f t="shared" si="41"/>
        <v>59800831.272943787</v>
      </c>
      <c r="KD18" s="204">
        <f t="shared" si="41"/>
        <v>59800831.272943787</v>
      </c>
      <c r="KE18" s="204">
        <f t="shared" si="41"/>
        <v>59800831.272943787</v>
      </c>
      <c r="KF18" s="204">
        <f t="shared" si="41"/>
        <v>59800831.272943787</v>
      </c>
      <c r="KG18" s="204">
        <f t="shared" si="41"/>
        <v>59800831.272943787</v>
      </c>
      <c r="KH18" s="204">
        <f t="shared" si="41"/>
        <v>59800831.272943787</v>
      </c>
      <c r="KI18" s="204">
        <f t="shared" si="41"/>
        <v>59800831.272943787</v>
      </c>
      <c r="KJ18" s="204">
        <f t="shared" si="41"/>
        <v>59800831.272943787</v>
      </c>
      <c r="KK18" s="204">
        <f t="shared" si="41"/>
        <v>59800831.272943787</v>
      </c>
      <c r="KL18" s="204">
        <f t="shared" si="41"/>
        <v>59800831.272943787</v>
      </c>
      <c r="KM18" s="204">
        <f t="shared" si="41"/>
        <v>59800831.272943787</v>
      </c>
      <c r="KN18" s="204">
        <f t="shared" si="41"/>
        <v>59800831.272943787</v>
      </c>
      <c r="KO18" s="204">
        <f t="shared" si="41"/>
        <v>59800831.272943787</v>
      </c>
      <c r="KP18" s="204">
        <f t="shared" si="41"/>
        <v>59800831.272943787</v>
      </c>
      <c r="KQ18" s="204">
        <f t="shared" si="41"/>
        <v>59800831.272943787</v>
      </c>
      <c r="KR18" s="204">
        <f t="shared" si="41"/>
        <v>59800831.272943787</v>
      </c>
      <c r="KS18" s="204">
        <f t="shared" si="41"/>
        <v>59800831.272943787</v>
      </c>
      <c r="KT18" s="204">
        <f t="shared" si="41"/>
        <v>59800831.272943787</v>
      </c>
      <c r="KU18" s="204">
        <f t="shared" si="41"/>
        <v>59800831.272943787</v>
      </c>
      <c r="KV18" s="204">
        <f t="shared" si="41"/>
        <v>59800831.272943787</v>
      </c>
      <c r="KW18" s="204">
        <f t="shared" si="41"/>
        <v>59800831.272943787</v>
      </c>
      <c r="KX18" s="204">
        <f t="shared" si="41"/>
        <v>59800831.272943787</v>
      </c>
      <c r="KY18" s="204">
        <f t="shared" si="41"/>
        <v>59800831.272943787</v>
      </c>
      <c r="KZ18" s="204">
        <f t="shared" si="41"/>
        <v>59800831.272943787</v>
      </c>
      <c r="LA18" s="204">
        <f t="shared" si="41"/>
        <v>59800831.272943787</v>
      </c>
      <c r="LB18" s="204">
        <f t="shared" si="41"/>
        <v>59800831.272943787</v>
      </c>
      <c r="LC18" s="204">
        <f t="shared" si="41"/>
        <v>59800831.272943787</v>
      </c>
      <c r="LD18" s="204">
        <f t="shared" si="41"/>
        <v>59800831.272943787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21" priority="1" operator="greaterThan">
      <formula>0.1</formula>
    </cfRule>
  </conditionalFormatting>
  <conditionalFormatting sqref="D3">
    <cfRule type="cellIs" dxfId="20" priority="10" operator="notEqual">
      <formula>$C$3</formula>
    </cfRule>
  </conditionalFormatting>
  <conditionalFormatting sqref="D5">
    <cfRule type="cellIs" dxfId="19" priority="8" operator="notEqual">
      <formula>$C$5</formula>
    </cfRule>
  </conditionalFormatting>
  <conditionalFormatting sqref="D9">
    <cfRule type="cellIs" dxfId="18" priority="9" operator="notEqual">
      <formula>$C$9</formula>
    </cfRule>
  </conditionalFormatting>
  <conditionalFormatting sqref="D11">
    <cfRule type="cellIs" dxfId="17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4.25"/>
  <cols>
    <col min="1" max="1" width="39.42578125" style="354" bestFit="1" customWidth="1"/>
    <col min="2" max="2" width="17.140625" style="355" bestFit="1" customWidth="1"/>
    <col min="3" max="3" width="10.5703125" style="354" bestFit="1" customWidth="1"/>
    <col min="4" max="4" width="14.85546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5546875" style="354" bestFit="1" customWidth="1"/>
    <col min="12" max="12" width="13.140625" style="354" bestFit="1" customWidth="1"/>
    <col min="13" max="13" width="14.85546875" style="354" bestFit="1" customWidth="1"/>
    <col min="14" max="14" width="10.57031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755</v>
      </c>
      <c r="B3" s="433" t="s">
        <v>756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757</v>
      </c>
      <c r="B4" t="s">
        <v>758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759</v>
      </c>
      <c r="P4"/>
      <c r="Q4"/>
      <c r="R4"/>
      <c r="S4"/>
      <c r="T4"/>
    </row>
    <row r="5" spans="1:20">
      <c r="A5" s="434" t="s">
        <v>758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511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538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612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636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658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662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632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759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/>
  </sheetViews>
  <sheetFormatPr defaultRowHeight="14.25"/>
  <cols>
    <col min="1" max="1" width="9" bestFit="1" customWidth="1"/>
    <col min="2" max="2" width="18.140625" bestFit="1" customWidth="1"/>
    <col min="3" max="3" width="33" bestFit="1" customWidth="1"/>
    <col min="5" max="5" width="13.140625" bestFit="1" customWidth="1"/>
    <col min="6" max="7" width="14.5703125" bestFit="1" customWidth="1"/>
    <col min="8" max="8" width="19.85546875" bestFit="1" customWidth="1"/>
    <col min="9" max="9" width="23.42578125" bestFit="1" customWidth="1"/>
    <col min="10" max="10" width="34.85546875" bestFit="1" customWidth="1"/>
    <col min="11" max="11" width="9.140625" bestFit="1" customWidth="1"/>
    <col min="12" max="12" width="26.42578125" bestFit="1" customWidth="1"/>
    <col min="13" max="13" width="12" bestFit="1" customWidth="1"/>
  </cols>
  <sheetData>
    <row r="1" spans="1:13">
      <c r="A1" s="840" t="s">
        <v>760</v>
      </c>
    </row>
    <row r="3" spans="1:13">
      <c r="A3" t="s">
        <v>288</v>
      </c>
      <c r="B3" t="s">
        <v>296</v>
      </c>
      <c r="C3" t="s">
        <v>290</v>
      </c>
      <c r="D3" t="s">
        <v>291</v>
      </c>
      <c r="E3" t="s">
        <v>292</v>
      </c>
      <c r="F3" t="s">
        <v>297</v>
      </c>
      <c r="G3" t="s">
        <v>298</v>
      </c>
      <c r="H3" t="s">
        <v>89</v>
      </c>
      <c r="I3" t="s">
        <v>90</v>
      </c>
      <c r="J3" t="s">
        <v>299</v>
      </c>
      <c r="K3" t="s">
        <v>300</v>
      </c>
      <c r="L3" t="s">
        <v>294</v>
      </c>
      <c r="M3" t="s">
        <v>295</v>
      </c>
    </row>
    <row r="4" spans="1:13">
      <c r="A4">
        <v>13</v>
      </c>
      <c r="B4" t="s">
        <v>636</v>
      </c>
      <c r="C4" t="s">
        <v>651</v>
      </c>
      <c r="F4">
        <v>8737.26</v>
      </c>
      <c r="H4" t="s">
        <v>652</v>
      </c>
      <c r="I4" s="435">
        <v>46053</v>
      </c>
      <c r="J4">
        <v>9582.4818116154311</v>
      </c>
      <c r="L4" s="435">
        <v>46081</v>
      </c>
    </row>
    <row r="5" spans="1:13">
      <c r="A5">
        <v>13</v>
      </c>
      <c r="B5" t="s">
        <v>636</v>
      </c>
      <c r="C5" t="s">
        <v>649</v>
      </c>
      <c r="F5">
        <v>2843</v>
      </c>
      <c r="H5" t="s">
        <v>650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2578125" defaultRowHeight="14.25"/>
  <cols>
    <col min="1" max="1" width="21.85546875" bestFit="1" customWidth="1"/>
    <col min="2" max="2" width="17.140625" style="396" bestFit="1" customWidth="1"/>
    <col min="3" max="3" width="10.85546875" style="396" bestFit="1" customWidth="1"/>
    <col min="4" max="4" width="14.85546875" style="396" bestFit="1" customWidth="1"/>
    <col min="5" max="5" width="16" style="396" bestFit="1" customWidth="1"/>
    <col min="6" max="6" width="14.85546875" style="396" bestFit="1" customWidth="1"/>
    <col min="7" max="7" width="12.140625" style="396" bestFit="1" customWidth="1"/>
    <col min="8" max="8" width="13.140625" style="396" bestFit="1" customWidth="1"/>
    <col min="9" max="9" width="14.85546875" style="396" bestFit="1" customWidth="1"/>
    <col min="10" max="10" width="13.140625" bestFit="1" customWidth="1"/>
    <col min="11" max="11" width="4.85546875" bestFit="1" customWidth="1"/>
    <col min="12" max="13" width="14.85546875" bestFit="1" customWidth="1"/>
    <col min="14" max="14" width="13" bestFit="1" customWidth="1"/>
    <col min="15" max="15" width="16" bestFit="1" customWidth="1"/>
    <col min="16" max="16" width="10.140625" bestFit="1" customWidth="1"/>
    <col min="17" max="18" width="11.42578125" bestFit="1" customWidth="1"/>
    <col min="19" max="19" width="13.42578125" bestFit="1" customWidth="1"/>
  </cols>
  <sheetData>
    <row r="3" spans="1:16">
      <c r="A3" s="433" t="s">
        <v>761</v>
      </c>
      <c r="B3" s="433" t="s">
        <v>756</v>
      </c>
      <c r="C3"/>
      <c r="D3"/>
      <c r="E3"/>
      <c r="F3"/>
      <c r="G3"/>
      <c r="H3"/>
      <c r="I3"/>
    </row>
    <row r="4" spans="1:16">
      <c r="A4" s="433" t="s">
        <v>757</v>
      </c>
      <c r="B4" t="s">
        <v>758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759</v>
      </c>
    </row>
    <row r="5" spans="1:16">
      <c r="A5" s="434" t="s">
        <v>758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511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538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612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636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658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662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632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759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2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933" t="s">
        <v>762</v>
      </c>
      <c r="C2" s="933"/>
      <c r="D2" s="933"/>
      <c r="E2" s="933"/>
      <c r="H2" s="934" t="s">
        <v>763</v>
      </c>
      <c r="I2" s="935"/>
      <c r="J2" s="935"/>
      <c r="K2" s="935"/>
      <c r="L2" s="935"/>
      <c r="M2" s="935"/>
      <c r="N2" s="935"/>
      <c r="O2" s="936"/>
    </row>
    <row r="3" spans="2:15">
      <c r="B3" s="768"/>
      <c r="H3" s="937"/>
      <c r="I3" s="938"/>
      <c r="J3" s="938"/>
      <c r="K3" s="938"/>
      <c r="L3" s="938"/>
      <c r="M3" s="938"/>
      <c r="N3" s="938"/>
      <c r="O3" s="939"/>
    </row>
    <row r="4" spans="2:15">
      <c r="B4" s="769" t="s">
        <v>764</v>
      </c>
      <c r="C4" s="770" t="str">
        <f>'Project Plan'!E2</f>
        <v>Coega Steels Phase 2</v>
      </c>
      <c r="H4" s="937"/>
      <c r="I4" s="938"/>
      <c r="J4" s="938"/>
      <c r="K4" s="938"/>
      <c r="L4" s="938"/>
      <c r="M4" s="938"/>
      <c r="N4" s="938"/>
      <c r="O4" s="939"/>
    </row>
    <row r="5" spans="2:15">
      <c r="B5" s="769" t="s">
        <v>765</v>
      </c>
      <c r="C5" s="770" t="s">
        <v>766</v>
      </c>
      <c r="H5" s="937"/>
      <c r="I5" s="938"/>
      <c r="J5" s="938"/>
      <c r="K5" s="938"/>
      <c r="L5" s="938"/>
      <c r="M5" s="938"/>
      <c r="N5" s="938"/>
      <c r="O5" s="939"/>
    </row>
    <row r="6" spans="2:15">
      <c r="B6" s="769" t="s">
        <v>767</v>
      </c>
      <c r="C6" s="770" t="s">
        <v>768</v>
      </c>
      <c r="H6" s="937"/>
      <c r="I6" s="938"/>
      <c r="J6" s="938"/>
      <c r="K6" s="938"/>
      <c r="L6" s="938"/>
      <c r="M6" s="938"/>
      <c r="N6" s="938"/>
      <c r="O6" s="939"/>
    </row>
    <row r="7" spans="2:15">
      <c r="B7" s="769" t="s">
        <v>769</v>
      </c>
      <c r="C7" s="770" t="s">
        <v>770</v>
      </c>
      <c r="H7" s="937"/>
      <c r="I7" s="938"/>
      <c r="J7" s="938"/>
      <c r="K7" s="938"/>
      <c r="L7" s="938"/>
      <c r="M7" s="938"/>
      <c r="N7" s="938"/>
      <c r="O7" s="939"/>
    </row>
    <row r="8" spans="2:15">
      <c r="B8" s="768"/>
      <c r="H8" s="937"/>
      <c r="I8" s="938"/>
      <c r="J8" s="938"/>
      <c r="K8" s="938"/>
      <c r="L8" s="938"/>
      <c r="M8" s="938"/>
      <c r="N8" s="938"/>
      <c r="O8" s="939"/>
    </row>
    <row r="9" spans="2:15">
      <c r="B9" s="943" t="s">
        <v>771</v>
      </c>
      <c r="C9" s="943"/>
      <c r="D9" s="943"/>
      <c r="E9" s="943"/>
      <c r="H9" s="937"/>
      <c r="I9" s="938"/>
      <c r="J9" s="938"/>
      <c r="K9" s="938"/>
      <c r="L9" s="938"/>
      <c r="M9" s="938"/>
      <c r="N9" s="938"/>
      <c r="O9" s="939"/>
    </row>
    <row r="10" spans="2:15" ht="14.65" thickBot="1">
      <c r="B10" s="943" t="s">
        <v>772</v>
      </c>
      <c r="C10" s="943"/>
      <c r="D10" s="943"/>
      <c r="E10" s="943"/>
      <c r="H10" s="940"/>
      <c r="I10" s="941"/>
      <c r="J10" s="941"/>
      <c r="K10" s="941"/>
      <c r="L10" s="941"/>
      <c r="M10" s="941"/>
      <c r="N10" s="941"/>
      <c r="O10" s="942"/>
    </row>
    <row r="11" spans="2:15">
      <c r="B11" s="771" t="s">
        <v>773</v>
      </c>
      <c r="C11" s="931" t="s">
        <v>774</v>
      </c>
      <c r="D11" s="931"/>
      <c r="E11" s="931"/>
    </row>
    <row r="12" spans="2:15">
      <c r="B12" s="771" t="s">
        <v>775</v>
      </c>
      <c r="C12" s="931" t="s">
        <v>774</v>
      </c>
      <c r="D12" s="931"/>
      <c r="E12" s="931"/>
    </row>
    <row r="13" spans="2:15">
      <c r="B13" s="771" t="s">
        <v>776</v>
      </c>
      <c r="C13" s="931" t="s">
        <v>774</v>
      </c>
      <c r="D13" s="931"/>
      <c r="E13" s="931"/>
    </row>
    <row r="14" spans="2:15">
      <c r="B14" s="771" t="s">
        <v>777</v>
      </c>
      <c r="C14" s="931" t="s">
        <v>778</v>
      </c>
      <c r="D14" s="931"/>
      <c r="E14" s="931"/>
    </row>
    <row r="15" spans="2:15">
      <c r="B15" s="771" t="s">
        <v>779</v>
      </c>
      <c r="C15" s="931" t="s">
        <v>780</v>
      </c>
      <c r="D15" s="931"/>
      <c r="E15" s="931"/>
    </row>
    <row r="16" spans="2:15" ht="15" customHeight="1">
      <c r="B16" s="771" t="s">
        <v>781</v>
      </c>
      <c r="C16" s="931" t="s">
        <v>782</v>
      </c>
      <c r="D16" s="931"/>
      <c r="E16" s="931"/>
    </row>
    <row r="17" spans="2:5">
      <c r="B17" s="768"/>
    </row>
    <row r="18" spans="2:5">
      <c r="B18" s="932" t="s">
        <v>783</v>
      </c>
      <c r="C18" s="932"/>
      <c r="D18" s="932"/>
      <c r="E18" s="932"/>
    </row>
    <row r="19" spans="2:5">
      <c r="B19" s="771" t="s">
        <v>784</v>
      </c>
      <c r="C19" s="771" t="s">
        <v>785</v>
      </c>
      <c r="D19" s="771" t="s">
        <v>786</v>
      </c>
      <c r="E19" s="771" t="s">
        <v>787</v>
      </c>
    </row>
    <row r="20" spans="2:5" ht="15" customHeight="1">
      <c r="B20" s="771" t="s">
        <v>788</v>
      </c>
      <c r="C20" s="771" t="s">
        <v>789</v>
      </c>
      <c r="D20" s="772" t="s">
        <v>790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791</v>
      </c>
    </row>
    <row r="2" spans="1:4">
      <c r="A2" s="945"/>
      <c r="B2" s="945"/>
      <c r="C2" s="945"/>
      <c r="D2" s="71"/>
    </row>
    <row r="3" spans="1:4">
      <c r="A3" s="944" t="s">
        <v>792</v>
      </c>
      <c r="B3" s="944"/>
      <c r="C3" s="944"/>
      <c r="D3" s="111">
        <v>0.32</v>
      </c>
    </row>
    <row r="4" spans="1:4">
      <c r="A4" s="944" t="s">
        <v>729</v>
      </c>
      <c r="B4" s="944"/>
      <c r="C4" s="944"/>
      <c r="D4" s="111">
        <v>0.5</v>
      </c>
    </row>
    <row r="5" spans="1:4">
      <c r="A5" s="944" t="s">
        <v>741</v>
      </c>
      <c r="B5" s="944"/>
      <c r="C5" s="944"/>
      <c r="D5" s="111">
        <v>0.15</v>
      </c>
    </row>
    <row r="6" spans="1:4">
      <c r="A6" s="944" t="s">
        <v>793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946" t="s">
        <v>794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 ht="13.15">
      <c r="B4" s="92" t="s">
        <v>795</v>
      </c>
      <c r="C4" s="86"/>
      <c r="D4" s="90" t="s">
        <v>796</v>
      </c>
      <c r="E4" s="95"/>
      <c r="F4" s="90" t="s">
        <v>797</v>
      </c>
      <c r="H4" s="90" t="s">
        <v>798</v>
      </c>
      <c r="I4" s="95"/>
      <c r="J4" s="90" t="s">
        <v>799</v>
      </c>
      <c r="L4" s="90" t="s">
        <v>798</v>
      </c>
      <c r="M4" s="90"/>
      <c r="N4" s="90" t="s">
        <v>800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801</v>
      </c>
      <c r="H7" s="99"/>
      <c r="I7" s="95"/>
      <c r="J7" s="107" t="s">
        <v>801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802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803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804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801</v>
      </c>
      <c r="H15" s="99"/>
      <c r="I15" s="95"/>
      <c r="J15" s="107" t="s">
        <v>801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805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805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804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801</v>
      </c>
      <c r="H21" s="99"/>
      <c r="I21" s="95"/>
      <c r="J21" s="107" t="s">
        <v>801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186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804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801</v>
      </c>
      <c r="H27" s="99"/>
      <c r="I27" s="95"/>
      <c r="J27" s="107" t="s">
        <v>801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806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804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801</v>
      </c>
      <c r="H34" s="99"/>
      <c r="I34" s="95"/>
      <c r="J34" s="107" t="s">
        <v>801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807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808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809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810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811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812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813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814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7.649999999999999">
      <c r="B2" s="946" t="s">
        <v>815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 ht="13.15">
      <c r="B4" s="92" t="s">
        <v>795</v>
      </c>
      <c r="C4" s="86"/>
      <c r="D4" s="90" t="s">
        <v>796</v>
      </c>
      <c r="E4" s="95"/>
      <c r="F4" s="95"/>
      <c r="G4" s="90" t="s">
        <v>816</v>
      </c>
      <c r="H4" s="96"/>
      <c r="J4" s="90" t="s">
        <v>798</v>
      </c>
      <c r="L4" s="90" t="s">
        <v>817</v>
      </c>
      <c r="M4" s="96"/>
      <c r="O4" s="90" t="s">
        <v>798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818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813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795</v>
      </c>
      <c r="C18" s="86"/>
      <c r="D18" s="90" t="s">
        <v>796</v>
      </c>
      <c r="E18" s="95"/>
      <c r="F18" s="95"/>
      <c r="G18" s="90" t="s">
        <v>819</v>
      </c>
      <c r="H18" s="96"/>
      <c r="J18" s="90" t="s">
        <v>798</v>
      </c>
      <c r="L18" s="90" t="s">
        <v>820</v>
      </c>
      <c r="M18" s="96"/>
      <c r="O18" s="90" t="s">
        <v>798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821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822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823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824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825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813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826</v>
      </c>
      <c r="C32" s="103"/>
      <c r="D32" s="103"/>
    </row>
    <row r="33" spans="2:4" ht="13.15" thickTop="1"/>
    <row r="34" spans="2:4">
      <c r="B34" s="88" t="s">
        <v>796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827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828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829</v>
      </c>
      <c r="C3" s="72" t="s">
        <v>830</v>
      </c>
      <c r="D3" s="72" t="s">
        <v>831</v>
      </c>
      <c r="E3" s="78" t="s">
        <v>832</v>
      </c>
      <c r="F3" s="78" t="s">
        <v>833</v>
      </c>
      <c r="G3" s="78" t="s">
        <v>148</v>
      </c>
      <c r="H3" s="78" t="s">
        <v>834</v>
      </c>
      <c r="I3" s="78" t="s">
        <v>787</v>
      </c>
      <c r="J3" s="78" t="s">
        <v>835</v>
      </c>
    </row>
    <row r="4" spans="2:14">
      <c r="B4" s="76" t="s">
        <v>836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837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838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839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840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841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842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843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844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845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80E14791-5FA2-4D5D-B989-AC7D28FAC216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