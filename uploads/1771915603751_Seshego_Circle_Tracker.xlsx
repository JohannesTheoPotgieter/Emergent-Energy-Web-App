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97" documentId="13_ncr:1_{DFC80828-CF83-4F91-9EA8-0A631B151EBD}" xr6:coauthVersionLast="47" xr6:coauthVersionMax="47" xr10:uidLastSave="{E45C5969-B85F-4D66-9B95-5F1DD03987F0}"/>
  <bookViews>
    <workbookView xWindow="6705" yWindow="-16320" windowWidth="29040" windowHeight="15720" tabRatio="690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2" i="18" l="1"/>
  <c r="W109" i="18"/>
  <c r="W183" i="18"/>
  <c r="M56" i="2"/>
  <c r="M47" i="2"/>
  <c r="M42" i="2"/>
  <c r="M33" i="2"/>
  <c r="M23" i="2"/>
  <c r="U166" i="18"/>
  <c r="K48" i="2"/>
  <c r="N48" i="2"/>
  <c r="W181" i="18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/>
  <c r="W133" i="18"/>
  <c r="W28" i="18"/>
  <c r="W9" i="18"/>
  <c r="X174" i="18"/>
  <c r="H23" i="3"/>
  <c r="K28" i="2"/>
  <c r="W42" i="18"/>
  <c r="W75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H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K23" i="2" s="1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U145" i="18"/>
  <c r="J20" i="3"/>
  <c r="J11" i="3"/>
  <c r="G4" i="6"/>
  <c r="J19" i="3"/>
  <c r="J23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M9" i="2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N57" i="2"/>
  <c r="I39" i="2"/>
  <c r="K39" i="2"/>
  <c r="N39" i="2"/>
  <c r="N44" i="2"/>
  <c r="K42" i="2"/>
  <c r="J42" i="2"/>
  <c r="F5" i="3"/>
  <c r="D5" i="5"/>
  <c r="D6" i="5"/>
  <c r="D7" i="5"/>
  <c r="V51" i="18"/>
  <c r="V161" i="18"/>
  <c r="V145" i="18"/>
  <c r="U96" i="18"/>
  <c r="U100" i="18"/>
  <c r="H16" i="3"/>
  <c r="J16" i="3"/>
  <c r="U102" i="18"/>
  <c r="K54" i="2"/>
  <c r="I58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J5" i="3"/>
  <c r="H5" i="3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F5" i="5"/>
  <c r="H25" i="3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C11" i="6"/>
  <c r="F6" i="5"/>
  <c r="F7" i="5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K58" i="2" l="1"/>
  <c r="N58" i="2"/>
  <c r="N54" i="2"/>
  <c r="N53" i="2" s="1"/>
  <c r="K53" i="2"/>
  <c r="J53" i="2" s="1"/>
  <c r="J9" i="2"/>
  <c r="N51" i="2"/>
  <c r="N42" i="2"/>
  <c r="K47" i="2"/>
  <c r="J47" i="2" s="1"/>
  <c r="I59" i="2"/>
  <c r="J23" i="2"/>
  <c r="N23" i="2"/>
  <c r="N33" i="2"/>
  <c r="N11" i="2"/>
  <c r="N47" i="2"/>
  <c r="W114" i="18" l="1"/>
  <c r="I60" i="2"/>
  <c r="W116" i="18"/>
  <c r="W115" i="18"/>
  <c r="W113" i="18"/>
  <c r="W77" i="18"/>
  <c r="W43" i="18"/>
  <c r="W137" i="18"/>
  <c r="K59" i="2"/>
  <c r="W46" i="18" l="1"/>
  <c r="W140" i="18"/>
  <c r="W80" i="18"/>
  <c r="T116" i="18"/>
  <c r="W78" i="18"/>
  <c r="W138" i="18"/>
  <c r="W44" i="18"/>
  <c r="L11" i="6" s="1"/>
  <c r="T114" i="18"/>
  <c r="W139" i="18"/>
  <c r="IH11" i="6" s="1"/>
  <c r="T115" i="18"/>
  <c r="W79" i="18"/>
  <c r="W45" i="18"/>
  <c r="K60" i="2"/>
  <c r="I61" i="2" s="1"/>
  <c r="N59" i="2"/>
  <c r="GC11" i="6"/>
  <c r="GI11" i="6"/>
  <c r="DM11" i="6"/>
  <c r="FC11" i="6"/>
  <c r="HT11" i="6"/>
  <c r="EM11" i="6"/>
  <c r="AU11" i="6"/>
  <c r="HY11" i="6"/>
  <c r="II11" i="6"/>
  <c r="KK11" i="6"/>
  <c r="EC11" i="6"/>
  <c r="N11" i="6"/>
  <c r="EL11" i="6"/>
  <c r="KI11" i="6"/>
  <c r="KQ11" i="6"/>
  <c r="CK11" i="6"/>
  <c r="JS11" i="6"/>
  <c r="KD11" i="6"/>
  <c r="IS11" i="6"/>
  <c r="DF11" i="6"/>
  <c r="EZ11" i="6"/>
  <c r="IC11" i="6"/>
  <c r="FU11" i="6"/>
  <c r="GJ11" i="6"/>
  <c r="HI11" i="6"/>
  <c r="DO11" i="6"/>
  <c r="AM11" i="6"/>
  <c r="EV11" i="6"/>
  <c r="BA11" i="6"/>
  <c r="BN11" i="6"/>
  <c r="HP11" i="6"/>
  <c r="BK11" i="6"/>
  <c r="CV11" i="6"/>
  <c r="EJ11" i="6"/>
  <c r="JE11" i="6"/>
  <c r="JR11" i="6"/>
  <c r="JC11" i="6"/>
  <c r="CP11" i="6"/>
  <c r="HZ11" i="6"/>
  <c r="BL11" i="6"/>
  <c r="BQ11" i="6"/>
  <c r="CG11" i="6"/>
  <c r="JF11" i="6"/>
  <c r="EI11" i="6"/>
  <c r="IE11" i="6"/>
  <c r="F11" i="6"/>
  <c r="KO11" i="6"/>
  <c r="DS11" i="6"/>
  <c r="HN11" i="6"/>
  <c r="HR11" i="6"/>
  <c r="HQ11" i="6"/>
  <c r="I11" i="6"/>
  <c r="GT11" i="6"/>
  <c r="GX11" i="6"/>
  <c r="IQ11" i="6"/>
  <c r="GP11" i="6"/>
  <c r="IO11" i="6" l="1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/>
  <c r="I62" i="2"/>
  <c r="I56" i="2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D11" i="6" s="1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F12" i="6"/>
  <c r="AC17" i="6" l="1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N62" i="2"/>
  <c r="N56" i="2" s="1"/>
  <c r="N9" i="2" s="1"/>
  <c r="G12" i="6"/>
  <c r="F14" i="6"/>
  <c r="D17" i="6" l="1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<sst xmlns="http://schemas.openxmlformats.org/spreadsheetml/2006/main" count="1031" uniqueCount="598">
  <si>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</si>
  <si>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</si>
  <si>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</si>
  <si>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</si>
  <si>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</si>
  <si>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</si>
  <si>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</si>
  <si>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</si>
  <si>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</si>
  <si>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</si>
  <si>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</si>
  <si>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</si>
  <si>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</si>
  <si>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</si>
  <si>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</si>
  <si>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</si>
  <si>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</si>
  <si>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</si>
  <si>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</si>
  <si>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</si>
  <si>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</si>
  <si>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</si>
  <si>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</si>
  <si>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</si>
  <si>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</si>
  <si>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</si>
  <si>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</si>
  <si>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</si>
  <si>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</si>
  <si>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</si>
  <si>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</si>
  <si>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</si>
  <si>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</si>
  <si>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</si>
  <si>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</si>
  <si>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</si>
  <si>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</si>
  <si>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</si>
  <si>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</si>
  <si>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</si>
  <si>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</si>
  <si>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</si>
  <si>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</si>
  <si>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</si>
  <si>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</si>
  <si>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</si>
  <si>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</si>
  <si>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</si>
  <si>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</si>
  <si>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</si>
  <si>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</si>
  <si>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</si>
  <si>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</si>
  <si>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</si>
  <si>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</si>
  <si>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</si>
  <si>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</si>
  <si>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</si>
  <si>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</si>
  <si>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</si>
  <si>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</si>
  <si>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</si>
  <si>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</si>
  <si>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</si>
  <si>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</si>
  <si>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</si>
  <si>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</si>
  <si>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</si>
  <si>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</si>
  <si>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</si>
  <si>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</si>
  <si>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</si>
  <si>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</si>
  <si>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</si>
  <si>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</si>
  <si>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</si>
  <si>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</si>
  <si>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</si>
  <si>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</si>
  <si>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</si>
  <si>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</si>
  <si>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</si>
  <si>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</si>
  <si>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</si>
  <si>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</si>
  <si>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</si>
  <si>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</si>
  <si>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</si>
  <si>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</si>
  <si>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</si>
  <si>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</si>
  <si>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</si>
  <si>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</si>
  <si>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</si>
  <si>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</si>
  <si>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</si>
  <si>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</si>
  <si>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</si>
  <si>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</si>
  <si>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</si>
  <si>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</si>
  <si>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</si>
  <si>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</si>
  <si>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</si>
  <si>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</si>
  <si>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</si>
  <si>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</si>
  <si>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</si>
  <si>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</si>
  <si>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</si>
  <si>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</si>
  <si>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</si>
  <si>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</si>
  <si>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</si>
  <si>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</si>
  <si>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</si>
  <si>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</si>
  <si>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</si>
  <si>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</si>
  <si>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</si>
  <si>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</si>
  <si>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</si>
  <si>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</si>
  <si>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</si>
  <si>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</si>
  <si>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</si>
  <si>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</si>
  <si>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</si>
  <si>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</si>
  <si>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</si>
  <si>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</si>
  <si>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</si>
  <si>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</si>
  <si>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</si>
  <si>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</si>
  <si>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</si>
  <si>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</si>
  <si>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</si>
  <si>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</si>
  <si>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</si>
  <si>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</si>
  <si>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</si>
  <si>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</si>
  <si>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</si>
  <si>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</si>
  <si>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</si>
  <si>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</si>
  <si>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</si>
  <si>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</si>
  <si>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</si>
  <si>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</si>
  <si>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</si>
  <si>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</si>
  <si>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</si>
  <si>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</si>
  <si>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</si>
  <si>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</si>
  <si>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</si>
  <si>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</si>
  <si>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</si>
  <si>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</si>
  <si>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</si>
  <si>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</si>
  <si>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</si>
  <si>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</si>
  <si>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</si>
  <si>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</si>
  <si>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</si>
  <si>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</si>
  <si>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</si>
  <si>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</si>
  <si>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</si>
  <si>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</si>
  <si>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</si>
  <si>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</si>
  <si>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</si>
  <si>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AC kiosk delay TBC
AC Tie in delay. **RISK**
No Kiosk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</si>
  <si>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</si>
  <si>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</si>
  <si>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</si>
  <si>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</si>
  <si>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</si>
  <si>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</si>
  <si>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</si>
  <si>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</si>
  <si>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</si>
  <si>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</si>
  <si>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</si>
  <si>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</si>
  <si>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</si>
  <si>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</si>
  <si>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</si>
  <si>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</si>
  <si>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</si>
  <si>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</si>
  <si>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</si>
  <si>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</si>
  <si>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</si>
  <si>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</si>
  <si>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</si>
  <si>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</si>
  <si>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</si>
  <si>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</si>
  <si>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</si>
  <si>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</si>
  <si>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</si>
  <si>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</si>
  <si>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</si>
  <si>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</si>
  <si>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</si>
  <si>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</si>
  <si>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</si>
  <si>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</si>
  <si>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</si>
  <si>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</si>
  <si>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</si>
  <si>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</si>
  <si>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</si>
  <si>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</si>
  <si>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</si>
  <si>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</si>
  <si>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</si>
  <si>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</si>
  <si>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</si>
  <si>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</si>
  <si>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</si>
  <si>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</si>
  <si>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</si>
  <si>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</si>
  <si>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</si>
  <si>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</si>
  <si>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</si>
  <si>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</si>
  <si>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</si>
  <si>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</si>
  <si>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</si>
  <si>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</si>
  <si>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</si>
  <si>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</si>
  <si>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</si>
  <si>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</si>
  <si>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</si>
  <si>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</si>
  <si>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</si>
  <si>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</si>
  <si>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</si>
  <si>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</si>
  <si>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</si>
  <si>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</si>
  <si>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</si>
  <si>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</si>
  <si>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</si>
  <si>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</si>
  <si>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</si>
  <si>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</si>
  <si>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</si>
  <si>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</si>
  <si>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</si>
  <si>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</si>
  <si>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</si>
  <si>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</si>
  <si>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</si>
  <si>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</si>
  <si>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</si>
  <si>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</si>
  <si>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</si>
  <si>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</si>
  <si>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</si>
  <si>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</si>
  <si>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</si>
  <si>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</si>
  <si>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</si>
  <si>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</si>
  <si>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</si>
  <si>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</si>
  <si>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</si>
  <si>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</si>
  <si>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</si>
  <si>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</si>
  <si>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</si>
  <si>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</si>
  <si>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</si>
  <si>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</si>
  <si>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</si>
  <si>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</si>
  <si>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</si>
  <si>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</si>
  <si>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</si>
  <si>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</si>
  <si>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</si>
  <si>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</si>
  <si>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</si>
  <si>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</si>
  <si>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</si>
  <si>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</si>
  <si>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</si>
  <si>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</si>
  <si>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</si>
  <si>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</si>
  <si>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</si>
  <si>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</si>
  <si>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</si>
  <si>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</si>
  <si>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</si>
  <si>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</si>
  <si>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</si>
  <si>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</si>
  <si>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</si>
  <si>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</si>
  <si>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</si>
  <si>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</si>
  <si>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</si>
  <si>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</si>
  <si>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</si>
  <si>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</si>
  <si>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</si>
  <si>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</si>
  <si>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</si>
  <si>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</si>
  <si>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</si>
  <si>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</si>
  <si>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</si>
  <si>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</si>
  <si>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</si>
  <si>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</si>
  <si>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</si>
  <si>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</si>
  <si>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</si>
  <si>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</si>
  <si>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</si>
  <si>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</si>
  <si>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</si>
  <si>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</si>
  <si>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</si>
  <si>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</si>
  <si>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</si>
  <si>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</si>
  <si>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</si>
  <si>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</si>
  <si>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</si>
  <si>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</si>
  <si>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</si>
  <si>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</si>
  <si>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</si>
  <si>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</si>
  <si>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</si>
  <si>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</si>
  <si>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</si>
  <si>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</si>
  <si>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</si>
  <si>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</si>
  <si>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</si>
  <si>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</si>
  <si>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</si>
  <si>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</si>
  <si>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</si>
  <si>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</si>
  <si>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</si>
  <si>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</si>
  <si>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</si>
  <si>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</si>
  <si>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</si>
  <si>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</si>
  <si>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</si>
  <si>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</si>
  <si>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</si>
  <si>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</si>
  <si>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</si>
  <si>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</si>
  <si>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</si>
  <si>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</si>
  <si>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</si>
  <si>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</si>
  <si>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</si>
  <si>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</si>
  <si>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</si>
  <si>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</si>
  <si>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</si>
  <si>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</si>
  <si>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</si>
  <si>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</si>
  <si>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</si>
  <si>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</si>
  <si>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</si>
  <si>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</si>
  <si>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</si>
  <si>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</si>
  <si>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</si>
  <si>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</si>
  <si>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</si>
  <si>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</si>
  <si>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</si>
  <si>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</si>
  <si>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</si>
  <si>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</si>
  <si>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</si>
  <si>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</si>
  <si>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</si>
  <si>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</si>
  <si>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</si>
  <si>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</si>
  <si>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</si>
  <si>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</si>
  <si>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</si>
  <si>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</si>
  <si>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</si>
  <si>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</si>
  <si>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</si>
  <si>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</si>
  <si>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</si>
  <si>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</si>
  <si>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</si>
  <si>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</si>
  <si>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</si>
  <si>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</si>
  <si>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</si>
  <si>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</si>
  <si>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</si>
  <si>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</si>
  <si>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</si>
  <si>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</si>
  <si>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</si>
  <si>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</si>
  <si>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</si>
  <si>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</si>
  <si>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</si>
  <si>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</si>
  <si>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</si>
  <si>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</si>
  <si>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</si>
  <si>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</si>
  <si>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</si>
  <si>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</si>
  <si>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</si>
  <si>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</si>
  <si>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</si>
  <si>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</si>
  <si>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</si>
  <si>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</si>
  <si>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</si>
  <si>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</si>
  <si>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</si>
  <si>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</si>
  <si>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</si>
  <si>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</si>
  <si>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</si>
  <si>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</si>
  <si>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</si>
  <si>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</si>
  <si>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</si>
  <si>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</si>
  <si>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</si>
  <si>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</si>
  <si>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</si>
  <si>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</si>
  <si>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</si>
  <si>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</si>
  <si>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</si>
  <si>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</si>
  <si>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</si>
  <si>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</si>
  <si>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</si>
  <si>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</si>
  <si>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</si>
  <si>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</si>
  <si>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</si>
  <si>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</si>
  <si>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</si>
  <si>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</si>
  <si>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</si>
  <si>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</si>
  <si>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</si>
  <si>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</si>
  <si>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</si>
  <si>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</si>
  <si>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</si>
  <si>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</si>
  <si>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</si>
  <si>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</si>
  <si>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</si>
  <si>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</si>
  <si>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</si>
  <si>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</si>
  <si>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</si>
  <si>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</si>
  <si>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</si>
  <si>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</si>
  <si>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</si>
  <si>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</si>
  <si>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</si>
  <si>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</si>
  <si>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</si>
  <si>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</si>
  <si>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</si>
  <si>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</si>
  <si>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</si>
  <si>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</si>
  <si>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</si>
  <si>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</si>
  <si>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</si>
  <si>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</si>
  <si>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</si>
  <si>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</si>
  <si>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</si>
  <si>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</si>
  <si>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</si>
  <si>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</si>
  <si>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</si>
  <si>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</si>
  <si>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</si>
  <si>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</si>
  <si>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</si>
  <si>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</si>
  <si>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</si>
  <si>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</si>
  <si>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</si>
  <si>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</si>
  <si>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</si>
  <si>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</si>
  <si>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</si>
  <si>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</si>
  <si>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</si>
  <si>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</si>
  <si>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</si>
  <si>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</si>
  <si>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</si>
  <si>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</si>
  <si>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</si>
  <si>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</si>
  <si>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</si>
  <si>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</si>
  <si>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</si>
  <si>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</si>
  <si>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</si>
  <si>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</si>
  <si>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</si>
  <si>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</si>
  <si>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</si>
  <si>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</si>
  <si>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</si>
  <si>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</si>
  <si>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</si>
  <si>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</si>
  <si>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</si>
  <si>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</si>
  <si>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</si>
  <si>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</si>
  <si>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</si>
  <si>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</si>
  <si>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</si>
  <si>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</si>
  <si>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</si>
  <si>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</si>
  <si>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</si>
  <si>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</si>
  <si>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</si>
  <si>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</si>
  <si>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</si>
  <si>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</si>
  <si>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</si>
  <si>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</si>
  <si>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</si>
  <si>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</si>
  <si>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</si>
  <si>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</si>
  <si>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</si>
  <si>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</si>
  <si>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</si>
  <si>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</si>
  <si>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</si>
  <si>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</si>
  <si>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</si>
  <si>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</si>
  <si>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</si>
  <si>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</si>
  <si>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</si>
  <si>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</si>
  <si>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</si>
  <si>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</si>
  <si>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</si>
  <si>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</si>
  <si>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</si>
  <si>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</si>
  <si>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</si>
  <si>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</si>
  <si>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</si>
  <si>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</si>
  <si>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</si>
  <si>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</si>
  <si>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</si>
  <si>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</si>
  <si>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</si>
  <si>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</si>
  <si>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</si>
  <si>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</si>
  <si>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</si>
  <si>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</si>
  <si>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ETA 23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</si>
</sst>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6690934.8280000007</c:v>
                </c:pt>
                <c:pt idx="58">
                  <c:v>6690934.8280000007</c:v>
                </c:pt>
                <c:pt idx="59">
                  <c:v>6869735.8480000002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7433357.1679999996</c:v>
                </c:pt>
                <c:pt idx="63">
                  <c:v>7518507.6779999994</c:v>
                </c:pt>
                <c:pt idx="64">
                  <c:v>7518507.6779999994</c:v>
                </c:pt>
                <c:pt idx="65">
                  <c:v>7518507.6779999994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1547838.9319999991</c:v>
                </c:pt>
                <c:pt idx="58">
                  <c:v>1547838.9319999991</c:v>
                </c:pt>
                <c:pt idx="59">
                  <c:v>1369037.9119999995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2994987.182</c:v>
                </c:pt>
                <c:pt idx="63">
                  <c:v>2909836.6720000003</c:v>
                </c:pt>
                <c:pt idx="64">
                  <c:v>2909836.6720000003</c:v>
                </c:pt>
                <c:pt idx="65">
                  <c:v>2909836.6720000003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9446307.6960294805</c:v>
                </c:pt>
                <c:pt idx="58">
                  <c:v>9446307.6960294805</c:v>
                </c:pt>
                <c:pt idx="59">
                  <c:v>9446307.6960294805</c:v>
                </c:pt>
                <c:pt idx="60">
                  <c:v>9446307.6960294805</c:v>
                </c:pt>
                <c:pt idx="61">
                  <c:v>9446307.6960294805</c:v>
                </c:pt>
                <c:pt idx="62">
                  <c:v>10428344.337834528</c:v>
                </c:pt>
                <c:pt idx="63">
                  <c:v>10428344.337834528</c:v>
                </c:pt>
                <c:pt idx="64">
                  <c:v>10428344.337834528</c:v>
                </c:pt>
                <c:pt idx="65">
                  <c:v>10428344.337834528</c:v>
                </c:pt>
                <c:pt idx="66">
                  <c:v>10428344.337834528</c:v>
                </c:pt>
                <c:pt idx="67">
                  <c:v>10428344.337834528</c:v>
                </c:pt>
                <c:pt idx="68">
                  <c:v>10428344.337834528</c:v>
                </c:pt>
                <c:pt idx="69">
                  <c:v>10428344.337834528</c:v>
                </c:pt>
                <c:pt idx="70">
                  <c:v>10428344.337834528</c:v>
                </c:pt>
                <c:pt idx="71">
                  <c:v>10428344.337834528</c:v>
                </c:pt>
                <c:pt idx="72">
                  <c:v>10428344.337834528</c:v>
                </c:pt>
                <c:pt idx="73">
                  <c:v>10428344.337834528</c:v>
                </c:pt>
                <c:pt idx="74">
                  <c:v>10428344.337834528</c:v>
                </c:pt>
                <c:pt idx="75">
                  <c:v>10428344.337834528</c:v>
                </c:pt>
                <c:pt idx="76">
                  <c:v>10428344.337834528</c:v>
                </c:pt>
                <c:pt idx="77">
                  <c:v>10428344.337834528</c:v>
                </c:pt>
                <c:pt idx="78">
                  <c:v>10428344.337834528</c:v>
                </c:pt>
                <c:pt idx="79">
                  <c:v>10428344.337834528</c:v>
                </c:pt>
                <c:pt idx="80">
                  <c:v>10428344.337834528</c:v>
                </c:pt>
                <c:pt idx="81">
                  <c:v>10428344.337834528</c:v>
                </c:pt>
                <c:pt idx="82">
                  <c:v>10428344.337834528</c:v>
                </c:pt>
                <c:pt idx="83">
                  <c:v>10428344.337834528</c:v>
                </c:pt>
                <c:pt idx="84">
                  <c:v>10428344.337834528</c:v>
                </c:pt>
                <c:pt idx="85">
                  <c:v>10428344.337834528</c:v>
                </c:pt>
                <c:pt idx="86">
                  <c:v>10428344.337834528</c:v>
                </c:pt>
                <c:pt idx="87">
                  <c:v>10428344.337834528</c:v>
                </c:pt>
                <c:pt idx="88">
                  <c:v>10428344.337834528</c:v>
                </c:pt>
                <c:pt idx="89">
                  <c:v>10428344.337834528</c:v>
                </c:pt>
                <c:pt idx="90">
                  <c:v>10428344.337834528</c:v>
                </c:pt>
                <c:pt idx="91">
                  <c:v>10428344.337834528</c:v>
                </c:pt>
                <c:pt idx="92">
                  <c:v>10428344.337834528</c:v>
                </c:pt>
                <c:pt idx="93">
                  <c:v>10428344.337834528</c:v>
                </c:pt>
                <c:pt idx="94">
                  <c:v>10428344.337834528</c:v>
                </c:pt>
                <c:pt idx="95">
                  <c:v>10428344.337834528</c:v>
                </c:pt>
                <c:pt idx="96">
                  <c:v>10428344.337834528</c:v>
                </c:pt>
                <c:pt idx="97">
                  <c:v>10428344.337834528</c:v>
                </c:pt>
                <c:pt idx="98">
                  <c:v>10428344.337834528</c:v>
                </c:pt>
                <c:pt idx="99">
                  <c:v>10428344.337834528</c:v>
                </c:pt>
                <c:pt idx="100">
                  <c:v>10428344.337834528</c:v>
                </c:pt>
                <c:pt idx="101">
                  <c:v>10428344.337834528</c:v>
                </c:pt>
                <c:pt idx="102">
                  <c:v>10428344.337834528</c:v>
                </c:pt>
                <c:pt idx="103">
                  <c:v>10428344.337834528</c:v>
                </c:pt>
                <c:pt idx="104">
                  <c:v>10428344.337834528</c:v>
                </c:pt>
                <c:pt idx="105">
                  <c:v>10428344.337834528</c:v>
                </c:pt>
                <c:pt idx="106">
                  <c:v>10428344.337834528</c:v>
                </c:pt>
                <c:pt idx="107">
                  <c:v>10428344.337834528</c:v>
                </c:pt>
                <c:pt idx="108">
                  <c:v>10428344.337834528</c:v>
                </c:pt>
                <c:pt idx="109">
                  <c:v>10428344.337834528</c:v>
                </c:pt>
                <c:pt idx="110">
                  <c:v>10428344.337834528</c:v>
                </c:pt>
                <c:pt idx="111">
                  <c:v>10428344.337834528</c:v>
                </c:pt>
                <c:pt idx="112">
                  <c:v>10428344.337834528</c:v>
                </c:pt>
                <c:pt idx="113">
                  <c:v>10428344.337834528</c:v>
                </c:pt>
                <c:pt idx="114">
                  <c:v>10428344.337834528</c:v>
                </c:pt>
                <c:pt idx="115">
                  <c:v>10428344.337834528</c:v>
                </c:pt>
                <c:pt idx="116">
                  <c:v>10428344.337834528</c:v>
                </c:pt>
                <c:pt idx="117">
                  <c:v>10428344.337834528</c:v>
                </c:pt>
                <c:pt idx="118">
                  <c:v>10428344.337834528</c:v>
                </c:pt>
                <c:pt idx="119">
                  <c:v>10428344.337834528</c:v>
                </c:pt>
                <c:pt idx="120">
                  <c:v>10428344.337834528</c:v>
                </c:pt>
                <c:pt idx="121">
                  <c:v>10428344.337834528</c:v>
                </c:pt>
                <c:pt idx="122">
                  <c:v>10428344.337834528</c:v>
                </c:pt>
                <c:pt idx="123">
                  <c:v>10428344.337834528</c:v>
                </c:pt>
                <c:pt idx="124">
                  <c:v>10428344.337834528</c:v>
                </c:pt>
                <c:pt idx="125">
                  <c:v>10428344.337834528</c:v>
                </c:pt>
                <c:pt idx="126">
                  <c:v>10428344.337834528</c:v>
                </c:pt>
                <c:pt idx="127">
                  <c:v>10428344.337834528</c:v>
                </c:pt>
                <c:pt idx="128">
                  <c:v>10428344.337834528</c:v>
                </c:pt>
                <c:pt idx="129">
                  <c:v>10428344.337834528</c:v>
                </c:pt>
                <c:pt idx="130">
                  <c:v>10428344.337834528</c:v>
                </c:pt>
                <c:pt idx="131">
                  <c:v>10428344.337834528</c:v>
                </c:pt>
                <c:pt idx="132">
                  <c:v>10428344.337834528</c:v>
                </c:pt>
                <c:pt idx="133">
                  <c:v>10428344.337834528</c:v>
                </c:pt>
                <c:pt idx="134">
                  <c:v>10428344.337834528</c:v>
                </c:pt>
                <c:pt idx="135">
                  <c:v>10428344.337834528</c:v>
                </c:pt>
                <c:pt idx="136">
                  <c:v>10428344.337834528</c:v>
                </c:pt>
                <c:pt idx="137">
                  <c:v>10428344.337834528</c:v>
                </c:pt>
                <c:pt idx="138">
                  <c:v>10428344.337834528</c:v>
                </c:pt>
                <c:pt idx="139">
                  <c:v>10428344.337834528</c:v>
                </c:pt>
                <c:pt idx="140">
                  <c:v>10428344.337834528</c:v>
                </c:pt>
                <c:pt idx="141">
                  <c:v>10428344.337834528</c:v>
                </c:pt>
                <c:pt idx="142">
                  <c:v>10428344.337834528</c:v>
                </c:pt>
                <c:pt idx="143">
                  <c:v>10428344.337834528</c:v>
                </c:pt>
                <c:pt idx="144">
                  <c:v>10428344.337834528</c:v>
                </c:pt>
                <c:pt idx="145">
                  <c:v>10428344.337834528</c:v>
                </c:pt>
                <c:pt idx="146">
                  <c:v>10428344.337834528</c:v>
                </c:pt>
                <c:pt idx="147">
                  <c:v>10428344.337834528</c:v>
                </c:pt>
                <c:pt idx="148">
                  <c:v>10428344.337834528</c:v>
                </c:pt>
                <c:pt idx="149">
                  <c:v>10428344.337834528</c:v>
                </c:pt>
                <c:pt idx="150">
                  <c:v>10428344.337834528</c:v>
                </c:pt>
                <c:pt idx="151">
                  <c:v>10428344.337834528</c:v>
                </c:pt>
                <c:pt idx="152">
                  <c:v>10428344.337834528</c:v>
                </c:pt>
                <c:pt idx="153">
                  <c:v>10428344.337834528</c:v>
                </c:pt>
                <c:pt idx="154">
                  <c:v>10428344.337834528</c:v>
                </c:pt>
                <c:pt idx="155">
                  <c:v>10428344.337834528</c:v>
                </c:pt>
                <c:pt idx="156">
                  <c:v>10428344.337834528</c:v>
                </c:pt>
                <c:pt idx="157">
                  <c:v>10428344.337834528</c:v>
                </c:pt>
                <c:pt idx="158">
                  <c:v>10428344.337834528</c:v>
                </c:pt>
                <c:pt idx="159">
                  <c:v>10428344.337834528</c:v>
                </c:pt>
                <c:pt idx="160">
                  <c:v>10428344.337834528</c:v>
                </c:pt>
                <c:pt idx="161">
                  <c:v>10428344.337834528</c:v>
                </c:pt>
                <c:pt idx="162">
                  <c:v>10428344.337834528</c:v>
                </c:pt>
                <c:pt idx="163">
                  <c:v>10428344.337834528</c:v>
                </c:pt>
                <c:pt idx="164">
                  <c:v>10428344.337834528</c:v>
                </c:pt>
                <c:pt idx="165">
                  <c:v>10428344.337834528</c:v>
                </c:pt>
                <c:pt idx="166">
                  <c:v>10428344.337834528</c:v>
                </c:pt>
                <c:pt idx="167">
                  <c:v>10428344.337834528</c:v>
                </c:pt>
                <c:pt idx="168">
                  <c:v>10428344.337834528</c:v>
                </c:pt>
                <c:pt idx="169">
                  <c:v>10428344.337834528</c:v>
                </c:pt>
                <c:pt idx="170">
                  <c:v>10428344.337834528</c:v>
                </c:pt>
                <c:pt idx="171">
                  <c:v>10428344.337834528</c:v>
                </c:pt>
                <c:pt idx="172">
                  <c:v>10428344.337834528</c:v>
                </c:pt>
                <c:pt idx="173">
                  <c:v>10428344.337834528</c:v>
                </c:pt>
                <c:pt idx="174">
                  <c:v>10428344.337834528</c:v>
                </c:pt>
                <c:pt idx="175">
                  <c:v>10428344.337834528</c:v>
                </c:pt>
                <c:pt idx="176">
                  <c:v>10428344.337834528</c:v>
                </c:pt>
                <c:pt idx="177">
                  <c:v>10428344.337834528</c:v>
                </c:pt>
                <c:pt idx="178">
                  <c:v>10428344.337834528</c:v>
                </c:pt>
                <c:pt idx="179">
                  <c:v>10428344.337834528</c:v>
                </c:pt>
                <c:pt idx="180">
                  <c:v>10428344.337834528</c:v>
                </c:pt>
                <c:pt idx="181">
                  <c:v>10428344.337834528</c:v>
                </c:pt>
                <c:pt idx="182">
                  <c:v>10428344.337834528</c:v>
                </c:pt>
                <c:pt idx="183">
                  <c:v>10428344.337834528</c:v>
                </c:pt>
                <c:pt idx="184">
                  <c:v>10428344.337834528</c:v>
                </c:pt>
                <c:pt idx="185">
                  <c:v>10428344.337834528</c:v>
                </c:pt>
                <c:pt idx="186">
                  <c:v>10428344.337834528</c:v>
                </c:pt>
                <c:pt idx="187">
                  <c:v>10428344.337834528</c:v>
                </c:pt>
                <c:pt idx="188">
                  <c:v>10428344.337834528</c:v>
                </c:pt>
                <c:pt idx="189">
                  <c:v>10428344.337834528</c:v>
                </c:pt>
                <c:pt idx="190">
                  <c:v>10428344.337834528</c:v>
                </c:pt>
                <c:pt idx="191">
                  <c:v>10428344.337834528</c:v>
                </c:pt>
                <c:pt idx="192">
                  <c:v>10428344.337834528</c:v>
                </c:pt>
                <c:pt idx="193">
                  <c:v>10428344.337834528</c:v>
                </c:pt>
                <c:pt idx="194">
                  <c:v>10428344.337834528</c:v>
                </c:pt>
                <c:pt idx="195">
                  <c:v>10428344.337834528</c:v>
                </c:pt>
                <c:pt idx="196">
                  <c:v>10428344.337834528</c:v>
                </c:pt>
                <c:pt idx="197">
                  <c:v>10428344.337834528</c:v>
                </c:pt>
                <c:pt idx="198">
                  <c:v>10428344.337834528</c:v>
                </c:pt>
                <c:pt idx="199">
                  <c:v>10428344.337834528</c:v>
                </c:pt>
                <c:pt idx="200">
                  <c:v>10428344.337834528</c:v>
                </c:pt>
                <c:pt idx="201">
                  <c:v>10428344.337834528</c:v>
                </c:pt>
                <c:pt idx="202">
                  <c:v>10428344.337834528</c:v>
                </c:pt>
                <c:pt idx="203">
                  <c:v>10428344.337834528</c:v>
                </c:pt>
                <c:pt idx="204">
                  <c:v>10428344.337834528</c:v>
                </c:pt>
                <c:pt idx="205">
                  <c:v>10428344.337834528</c:v>
                </c:pt>
                <c:pt idx="206">
                  <c:v>10428344.337834528</c:v>
                </c:pt>
                <c:pt idx="207">
                  <c:v>10428344.337834528</c:v>
                </c:pt>
                <c:pt idx="208">
                  <c:v>10428344.337834528</c:v>
                </c:pt>
                <c:pt idx="209">
                  <c:v>10428344.337834528</c:v>
                </c:pt>
                <c:pt idx="210">
                  <c:v>10428344.337834528</c:v>
                </c:pt>
                <c:pt idx="211">
                  <c:v>10428344.337834528</c:v>
                </c:pt>
                <c:pt idx="212">
                  <c:v>10428344.337834528</c:v>
                </c:pt>
                <c:pt idx="213">
                  <c:v>10428344.337834528</c:v>
                </c:pt>
                <c:pt idx="214">
                  <c:v>10428344.337834528</c:v>
                </c:pt>
                <c:pt idx="215">
                  <c:v>10428344.337834528</c:v>
                </c:pt>
                <c:pt idx="216">
                  <c:v>10428344.337834528</c:v>
                </c:pt>
                <c:pt idx="217">
                  <c:v>10428344.337834528</c:v>
                </c:pt>
                <c:pt idx="218">
                  <c:v>10428344.337834528</c:v>
                </c:pt>
                <c:pt idx="219">
                  <c:v>10428344.337834528</c:v>
                </c:pt>
                <c:pt idx="220">
                  <c:v>10428344.337834528</c:v>
                </c:pt>
                <c:pt idx="221">
                  <c:v>10428344.337834528</c:v>
                </c:pt>
                <c:pt idx="222">
                  <c:v>10428344.337834528</c:v>
                </c:pt>
                <c:pt idx="223">
                  <c:v>10428344.337834528</c:v>
                </c:pt>
                <c:pt idx="224">
                  <c:v>10428344.337834528</c:v>
                </c:pt>
                <c:pt idx="225">
                  <c:v>10428344.337834528</c:v>
                </c:pt>
                <c:pt idx="226">
                  <c:v>10428344.337834528</c:v>
                </c:pt>
                <c:pt idx="227">
                  <c:v>10428344.337834528</c:v>
                </c:pt>
                <c:pt idx="228">
                  <c:v>10428344.337834528</c:v>
                </c:pt>
                <c:pt idx="229">
                  <c:v>10428344.337834528</c:v>
                </c:pt>
                <c:pt idx="230">
                  <c:v>10428344.337834528</c:v>
                </c:pt>
                <c:pt idx="231">
                  <c:v>10428344.337834528</c:v>
                </c:pt>
                <c:pt idx="232">
                  <c:v>10428344.337834528</c:v>
                </c:pt>
                <c:pt idx="233">
                  <c:v>10428344.337834528</c:v>
                </c:pt>
                <c:pt idx="234">
                  <c:v>10428344.337834528</c:v>
                </c:pt>
                <c:pt idx="235">
                  <c:v>10428344.337834528</c:v>
                </c:pt>
                <c:pt idx="236">
                  <c:v>10428344.337834528</c:v>
                </c:pt>
                <c:pt idx="237">
                  <c:v>10428344.337834528</c:v>
                </c:pt>
                <c:pt idx="238">
                  <c:v>10428344.337834528</c:v>
                </c:pt>
                <c:pt idx="239">
                  <c:v>10428344.337834528</c:v>
                </c:pt>
                <c:pt idx="240">
                  <c:v>10428344.337834528</c:v>
                </c:pt>
                <c:pt idx="241">
                  <c:v>10428344.337834528</c:v>
                </c:pt>
                <c:pt idx="242">
                  <c:v>10428344.337834528</c:v>
                </c:pt>
                <c:pt idx="243">
                  <c:v>10428344.337834528</c:v>
                </c:pt>
                <c:pt idx="244">
                  <c:v>10428344.337834528</c:v>
                </c:pt>
                <c:pt idx="245">
                  <c:v>10428344.337834528</c:v>
                </c:pt>
                <c:pt idx="246">
                  <c:v>10428344.337834528</c:v>
                </c:pt>
                <c:pt idx="247">
                  <c:v>10428344.337834528</c:v>
                </c:pt>
                <c:pt idx="248">
                  <c:v>10428344.337834528</c:v>
                </c:pt>
                <c:pt idx="249">
                  <c:v>10428344.337834528</c:v>
                </c:pt>
                <c:pt idx="250">
                  <c:v>10428344.337834528</c:v>
                </c:pt>
                <c:pt idx="251">
                  <c:v>10428344.337834528</c:v>
                </c:pt>
                <c:pt idx="252">
                  <c:v>10428344.337834528</c:v>
                </c:pt>
                <c:pt idx="253">
                  <c:v>10428344.337834528</c:v>
                </c:pt>
                <c:pt idx="254">
                  <c:v>10428344.337834528</c:v>
                </c:pt>
                <c:pt idx="255">
                  <c:v>10428344.337834528</c:v>
                </c:pt>
                <c:pt idx="256">
                  <c:v>10428344.337834528</c:v>
                </c:pt>
                <c:pt idx="257">
                  <c:v>10428344.337834528</c:v>
                </c:pt>
                <c:pt idx="258">
                  <c:v>10428344.337834528</c:v>
                </c:pt>
                <c:pt idx="259">
                  <c:v>10428344.337834528</c:v>
                </c:pt>
                <c:pt idx="260">
                  <c:v>10428344.337834528</c:v>
                </c:pt>
                <c:pt idx="261">
                  <c:v>10428344.337834528</c:v>
                </c:pt>
                <c:pt idx="262">
                  <c:v>10428344.337834528</c:v>
                </c:pt>
                <c:pt idx="263">
                  <c:v>10428344.337834528</c:v>
                </c:pt>
                <c:pt idx="264">
                  <c:v>10428344.337834528</c:v>
                </c:pt>
                <c:pt idx="265">
                  <c:v>10428344.337834528</c:v>
                </c:pt>
                <c:pt idx="266">
                  <c:v>10428344.337834528</c:v>
                </c:pt>
                <c:pt idx="267">
                  <c:v>10428344.337834528</c:v>
                </c:pt>
                <c:pt idx="268">
                  <c:v>10428344.337834528</c:v>
                </c:pt>
                <c:pt idx="269">
                  <c:v>10428344.337834528</c:v>
                </c:pt>
                <c:pt idx="270">
                  <c:v>10428344.337834528</c:v>
                </c:pt>
                <c:pt idx="271">
                  <c:v>10428344.337834528</c:v>
                </c:pt>
                <c:pt idx="272">
                  <c:v>10428344.337834528</c:v>
                </c:pt>
                <c:pt idx="273">
                  <c:v>10428344.337834528</c:v>
                </c:pt>
                <c:pt idx="274">
                  <c:v>10428344.337834528</c:v>
                </c:pt>
                <c:pt idx="275">
                  <c:v>10428344.337834528</c:v>
                </c:pt>
                <c:pt idx="276">
                  <c:v>10428344.337834528</c:v>
                </c:pt>
                <c:pt idx="277">
                  <c:v>10428344.337834528</c:v>
                </c:pt>
                <c:pt idx="278">
                  <c:v>10428344.337834528</c:v>
                </c:pt>
                <c:pt idx="279">
                  <c:v>10428344.337834528</c:v>
                </c:pt>
                <c:pt idx="280">
                  <c:v>10428344.337834528</c:v>
                </c:pt>
                <c:pt idx="281">
                  <c:v>10428344.337834528</c:v>
                </c:pt>
                <c:pt idx="282">
                  <c:v>10428344.337834528</c:v>
                </c:pt>
                <c:pt idx="283">
                  <c:v>10428344.337834528</c:v>
                </c:pt>
                <c:pt idx="284">
                  <c:v>10428344.337834528</c:v>
                </c:pt>
                <c:pt idx="285">
                  <c:v>10428344.337834528</c:v>
                </c:pt>
                <c:pt idx="286">
                  <c:v>10428344.337834528</c:v>
                </c:pt>
                <c:pt idx="287">
                  <c:v>10428344.337834528</c:v>
                </c:pt>
                <c:pt idx="288">
                  <c:v>10428344.337834528</c:v>
                </c:pt>
                <c:pt idx="289">
                  <c:v>10428344.337834528</c:v>
                </c:pt>
                <c:pt idx="290">
                  <c:v>10428344.337834528</c:v>
                </c:pt>
                <c:pt idx="291">
                  <c:v>10428344.337834528</c:v>
                </c:pt>
                <c:pt idx="292">
                  <c:v>10428344.337834528</c:v>
                </c:pt>
                <c:pt idx="293">
                  <c:v>10428344.337834528</c:v>
                </c:pt>
                <c:pt idx="294">
                  <c:v>10428344.337834528</c:v>
                </c:pt>
                <c:pt idx="295">
                  <c:v>10428344.337834528</c:v>
                </c:pt>
                <c:pt idx="296">
                  <c:v>10428344.337834528</c:v>
                </c:pt>
                <c:pt idx="297">
                  <c:v>10428344.337834528</c:v>
                </c:pt>
                <c:pt idx="298">
                  <c:v>10428344.337834528</c:v>
                </c:pt>
                <c:pt idx="299">
                  <c:v>10428344.337834528</c:v>
                </c:pt>
                <c:pt idx="300">
                  <c:v>10428344.337834528</c:v>
                </c:pt>
                <c:pt idx="301">
                  <c:v>10428344.337834528</c:v>
                </c:pt>
                <c:pt idx="302">
                  <c:v>10428344.337834528</c:v>
                </c:pt>
                <c:pt idx="303">
                  <c:v>10428344.337834528</c:v>
                </c:pt>
                <c:pt idx="304">
                  <c:v>10428344.337834528</c:v>
                </c:pt>
                <c:pt idx="305">
                  <c:v>10428344.337834528</c:v>
                </c:pt>
                <c:pt idx="306">
                  <c:v>10428344.337834528</c:v>
                </c:pt>
                <c:pt idx="307">
                  <c:v>10428344.337834528</c:v>
                </c:pt>
                <c:pt idx="308">
                  <c:v>10428344.337834528</c:v>
                </c:pt>
                <c:pt idx="309">
                  <c:v>10428344.337834528</c:v>
                </c:pt>
                <c:pt idx="310">
                  <c:v>10428344.337834528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2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26562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1" t="s">
        <v>57</v>
      </c>
      <c r="E47" s="791"/>
      <c r="F47" s="792"/>
      <c r="G47" s="67"/>
      <c r="I47" s="68"/>
      <c r="J47" s="68"/>
    </row>
    <row r="48" spans="1:49" ht="13.9" thickBot="1">
      <c r="C48" s="69">
        <v>44014</v>
      </c>
      <c r="D48" s="793"/>
      <c r="E48" s="793"/>
      <c r="F48" s="79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328125" customWidth="1"/>
    <col min="2" max="2" width="21.265625" customWidth="1"/>
    <col min="3" max="3" width="28.5976562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96" t="s">
        <v>58</v>
      </c>
      <c r="C2" s="796"/>
      <c r="D2" s="796"/>
      <c r="E2" s="796"/>
      <c r="H2" s="797" t="s">
        <v>59</v>
      </c>
      <c r="I2" s="798"/>
      <c r="J2" s="798"/>
      <c r="K2" s="798"/>
      <c r="L2" s="798"/>
      <c r="M2" s="798"/>
      <c r="N2" s="798"/>
      <c r="O2" s="799"/>
    </row>
    <row r="3" spans="2:15">
      <c r="B3" s="646"/>
      <c r="H3" s="800"/>
      <c r="I3" s="801"/>
      <c r="J3" s="801"/>
      <c r="K3" s="801"/>
      <c r="L3" s="801"/>
      <c r="M3" s="801"/>
      <c r="N3" s="801"/>
      <c r="O3" s="802"/>
    </row>
    <row r="4" spans="2:15">
      <c r="B4" s="647" t="s">
        <v>60</v>
      </c>
      <c r="C4" s="648" t="str">
        <f>'Project Plan'!E2</f>
        <v>Seshego Circle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47" t="s">
        <v>61</v>
      </c>
      <c r="C5" s="648" t="s">
        <v>62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47" t="s">
        <v>63</v>
      </c>
      <c r="C6" s="648" t="s">
        <v>64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47" t="s">
        <v>65</v>
      </c>
      <c r="C7" s="648" t="s">
        <v>66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46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67</v>
      </c>
      <c r="C9" s="806"/>
      <c r="D9" s="806"/>
      <c r="E9" s="806"/>
      <c r="H9" s="800"/>
      <c r="I9" s="801"/>
      <c r="J9" s="801"/>
      <c r="K9" s="801"/>
      <c r="L9" s="801"/>
      <c r="M9" s="801"/>
      <c r="N9" s="801"/>
      <c r="O9" s="802"/>
    </row>
    <row r="10" spans="2:15" ht="14.65" thickBot="1">
      <c r="B10" s="806" t="s">
        <v>68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49" t="s">
        <v>69</v>
      </c>
      <c r="C11" s="795"/>
      <c r="D11" s="795"/>
      <c r="E11" s="795"/>
    </row>
    <row r="12" spans="2:15">
      <c r="B12" s="649" t="s">
        <v>70</v>
      </c>
      <c r="C12" s="795"/>
      <c r="D12" s="795"/>
      <c r="E12" s="795"/>
    </row>
    <row r="13" spans="2:15">
      <c r="B13" s="649" t="s">
        <v>71</v>
      </c>
      <c r="C13" s="795"/>
      <c r="D13" s="795"/>
      <c r="E13" s="795"/>
    </row>
    <row r="14" spans="2:15">
      <c r="B14" s="649" t="s">
        <v>72</v>
      </c>
      <c r="C14" s="795"/>
      <c r="D14" s="795"/>
      <c r="E14" s="795"/>
    </row>
    <row r="15" spans="2:15">
      <c r="B15" s="649" t="s">
        <v>73</v>
      </c>
      <c r="C15" s="795"/>
      <c r="D15" s="795"/>
      <c r="E15" s="795"/>
    </row>
    <row r="16" spans="2:15" ht="15" customHeight="1">
      <c r="B16" s="649" t="s">
        <v>74</v>
      </c>
      <c r="C16" s="795"/>
      <c r="D16" s="795"/>
      <c r="E16" s="795"/>
    </row>
    <row r="17" spans="2:5">
      <c r="B17" s="646"/>
    </row>
    <row r="18" spans="2:5">
      <c r="B18" s="807" t="s">
        <v>75</v>
      </c>
      <c r="C18" s="807"/>
      <c r="D18" s="807"/>
      <c r="E18" s="807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328125" customWidth="1"/>
    <col min="2" max="2" width="21.265625" customWidth="1"/>
    <col min="3" max="3" width="28.5976562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96" t="s">
        <v>80</v>
      </c>
      <c r="C2" s="796"/>
      <c r="D2" s="796"/>
      <c r="E2" s="796"/>
      <c r="H2" s="797" t="s">
        <v>81</v>
      </c>
      <c r="I2" s="798"/>
      <c r="J2" s="798"/>
      <c r="K2" s="798"/>
      <c r="L2" s="798"/>
      <c r="M2" s="798"/>
      <c r="N2" s="798"/>
      <c r="O2" s="799"/>
    </row>
    <row r="3" spans="2:15">
      <c r="B3" s="646"/>
      <c r="H3" s="800"/>
      <c r="I3" s="801"/>
      <c r="J3" s="801"/>
      <c r="K3" s="801"/>
      <c r="L3" s="801"/>
      <c r="M3" s="801"/>
      <c r="N3" s="801"/>
      <c r="O3" s="802"/>
    </row>
    <row r="4" spans="2:15">
      <c r="B4" s="647" t="s">
        <v>60</v>
      </c>
      <c r="C4" s="648" t="str">
        <f>'Project Plan'!E2</f>
        <v>Seshego Circle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47" t="s">
        <v>82</v>
      </c>
      <c r="C5" s="648"/>
      <c r="H5" s="800"/>
      <c r="I5" s="801"/>
      <c r="J5" s="801"/>
      <c r="K5" s="801"/>
      <c r="L5" s="801"/>
      <c r="M5" s="801"/>
      <c r="N5" s="801"/>
      <c r="O5" s="802"/>
    </row>
    <row r="6" spans="2:15">
      <c r="B6" s="647" t="s">
        <v>63</v>
      </c>
      <c r="C6" s="648" t="s">
        <v>64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47" t="s">
        <v>83</v>
      </c>
      <c r="C7" s="648" t="str">
        <f>'Project Plan'!E5</f>
        <v>Eon Van Rensburg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47" t="s">
        <v>84</v>
      </c>
      <c r="C8" s="648"/>
      <c r="H8" s="800"/>
      <c r="I8" s="801"/>
      <c r="J8" s="801"/>
      <c r="K8" s="801"/>
      <c r="L8" s="801"/>
      <c r="M8" s="801"/>
      <c r="N8" s="801"/>
      <c r="O8" s="802"/>
    </row>
    <row r="9" spans="2:15">
      <c r="B9" s="646"/>
      <c r="H9" s="800"/>
      <c r="I9" s="801"/>
      <c r="J9" s="801"/>
      <c r="K9" s="801"/>
      <c r="L9" s="801"/>
      <c r="M9" s="801"/>
      <c r="N9" s="801"/>
      <c r="O9" s="802"/>
    </row>
    <row r="10" spans="2:15">
      <c r="B10" s="806" t="s">
        <v>67</v>
      </c>
      <c r="C10" s="806"/>
      <c r="D10" s="806"/>
      <c r="E10" s="806"/>
      <c r="H10" s="800"/>
      <c r="I10" s="801"/>
      <c r="J10" s="801"/>
      <c r="K10" s="801"/>
      <c r="L10" s="801"/>
      <c r="M10" s="801"/>
      <c r="N10" s="801"/>
      <c r="O10" s="802"/>
    </row>
    <row r="11" spans="2:15" ht="14.65" thickBot="1">
      <c r="B11" s="806" t="s">
        <v>68</v>
      </c>
      <c r="C11" s="806"/>
      <c r="D11" s="806"/>
      <c r="E11" s="806"/>
      <c r="H11" s="803"/>
      <c r="I11" s="804"/>
      <c r="J11" s="804"/>
      <c r="K11" s="804"/>
      <c r="L11" s="804"/>
      <c r="M11" s="804"/>
      <c r="N11" s="804"/>
      <c r="O11" s="805"/>
    </row>
    <row r="12" spans="2:15" ht="25.5">
      <c r="B12" s="649" t="s">
        <v>85</v>
      </c>
      <c r="C12" s="795"/>
      <c r="D12" s="795"/>
      <c r="E12" s="795"/>
    </row>
    <row r="13" spans="2:15">
      <c r="B13" s="649" t="s">
        <v>86</v>
      </c>
      <c r="C13" s="795"/>
      <c r="D13" s="795"/>
      <c r="E13" s="795"/>
    </row>
    <row r="14" spans="2:15">
      <c r="B14" s="649" t="s">
        <v>87</v>
      </c>
      <c r="C14" s="795"/>
      <c r="D14" s="795"/>
      <c r="E14" s="795"/>
    </row>
    <row r="15" spans="2:15">
      <c r="B15" s="649" t="s">
        <v>88</v>
      </c>
      <c r="C15" s="795"/>
      <c r="D15" s="795"/>
      <c r="E15" s="795"/>
    </row>
    <row r="16" spans="2:15" ht="25.5">
      <c r="B16" s="649" t="s">
        <v>89</v>
      </c>
      <c r="C16" s="795"/>
      <c r="D16" s="795"/>
      <c r="E16" s="795"/>
    </row>
    <row r="17" spans="2:5">
      <c r="B17" s="649" t="s">
        <v>90</v>
      </c>
      <c r="C17" s="795"/>
      <c r="D17" s="795"/>
      <c r="E17" s="795"/>
    </row>
    <row r="18" spans="2:5">
      <c r="B18" s="649" t="s">
        <v>91</v>
      </c>
      <c r="C18" s="795"/>
      <c r="D18" s="795"/>
      <c r="E18" s="795"/>
    </row>
    <row r="19" spans="2:5">
      <c r="B19" s="649" t="s">
        <v>92</v>
      </c>
      <c r="C19" s="795"/>
      <c r="D19" s="795"/>
      <c r="E19" s="795"/>
    </row>
    <row r="20" spans="2:5">
      <c r="B20" s="649" t="s">
        <v>93</v>
      </c>
      <c r="C20" s="795"/>
      <c r="D20" s="795"/>
      <c r="E20" s="795"/>
    </row>
    <row r="21" spans="2:5">
      <c r="B21" s="649" t="s">
        <v>94</v>
      </c>
      <c r="C21" s="795"/>
      <c r="D21" s="795"/>
      <c r="E21" s="795"/>
    </row>
    <row r="22" spans="2:5" ht="15" customHeight="1">
      <c r="B22" s="649" t="s">
        <v>74</v>
      </c>
      <c r="C22" s="795"/>
      <c r="D22" s="795"/>
      <c r="E22" s="795"/>
    </row>
    <row r="23" spans="2:5">
      <c r="B23" s="646"/>
    </row>
    <row r="24" spans="2:5">
      <c r="B24" s="807" t="s">
        <v>75</v>
      </c>
      <c r="C24" s="807"/>
      <c r="D24" s="807"/>
      <c r="E24" s="807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265625" bestFit="1" customWidth="1"/>
    <col min="10" max="10" width="14.265625" customWidth="1"/>
    <col min="11" max="11" width="77.3984375" customWidth="1"/>
  </cols>
  <sheetData>
    <row r="1" spans="2:15">
      <c r="B1" s="808"/>
      <c r="C1" s="809"/>
      <c r="D1" s="809"/>
      <c r="E1" s="809"/>
      <c r="F1" s="810" t="s">
        <v>95</v>
      </c>
      <c r="G1" s="810"/>
      <c r="H1" s="810"/>
      <c r="I1" s="810"/>
      <c r="J1" s="810"/>
      <c r="K1" s="811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265625" bestFit="1" customWidth="1"/>
    <col min="5" max="5" width="10.3984375" customWidth="1"/>
    <col min="6" max="6" width="33.73046875" customWidth="1"/>
  </cols>
  <sheetData>
    <row r="1" spans="2:10" ht="14.65" thickBot="1"/>
    <row r="2" spans="2:10" ht="15" thickTop="1" thickBot="1">
      <c r="B2" s="812" t="s">
        <v>163</v>
      </c>
      <c r="C2" s="813"/>
      <c r="D2" s="813"/>
      <c r="E2" s="813"/>
      <c r="F2" s="814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12" t="s">
        <v>170</v>
      </c>
      <c r="C16" s="813"/>
      <c r="D16" s="813"/>
      <c r="E16" s="813"/>
      <c r="F16" s="814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topLeftCell="A23" zoomScaleNormal="100" workbookViewId="0">
      <selection activeCell="O3" sqref="O3"/>
    </sheetView>
  </sheetViews>
  <sheetFormatPr defaultColWidth="8.3984375" defaultRowHeight="13.5"/>
  <cols>
    <col min="1" max="1" width="1.3984375" style="112" customWidth="1"/>
    <col min="2" max="2" width="6.3984375" style="172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3984375" style="169" customWidth="1"/>
    <col min="7" max="7" width="13.59765625" style="64" customWidth="1"/>
    <col min="8" max="8" width="1.398437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1.3984375" style="112" bestFit="1" customWidth="1"/>
    <col min="15" max="15" width="39.3984375" style="112" bestFit="1" customWidth="1"/>
    <col min="16" max="16" width="1.3984375" style="112" customWidth="1"/>
    <col min="17" max="17" width="5.2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46076</v>
      </c>
      <c r="O1" s="404">
        <f ca="1">TODAY()</f>
        <v>46076</v>
      </c>
      <c r="Q1" s="3"/>
    </row>
    <row r="2" spans="2:28" ht="13.9">
      <c r="B2" s="177"/>
      <c r="C2" s="178" t="s">
        <v>0</v>
      </c>
      <c r="D2" s="179"/>
      <c r="E2" s="815" t="s">
        <v>173</v>
      </c>
      <c r="F2" s="816"/>
      <c r="G2" s="816"/>
      <c r="H2" s="817"/>
      <c r="N2" s="405">
        <v>0</v>
      </c>
      <c r="O2" s="405" t="s">
        <v>174</v>
      </c>
    </row>
    <row r="3" spans="2:28" s="112" customFormat="1" ht="41.6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31" t="s">
        <v>176</v>
      </c>
      <c r="Q3" s="3"/>
    </row>
    <row r="4" spans="2:28" s="112" customFormat="1" ht="13.9">
      <c r="B4" s="180"/>
      <c r="C4" s="181" t="s">
        <v>177</v>
      </c>
      <c r="D4" s="179"/>
      <c r="E4" s="818" t="s">
        <v>178</v>
      </c>
      <c r="F4" s="819"/>
      <c r="G4" s="819"/>
      <c r="H4" s="820"/>
      <c r="J4" s="641" t="s">
        <v>179</v>
      </c>
      <c r="K4" s="642">
        <v>45961</v>
      </c>
      <c r="Q4" s="3"/>
    </row>
    <row r="5" spans="2:28" s="112" customFormat="1" ht="13.9">
      <c r="B5" s="180"/>
      <c r="C5" s="181" t="s">
        <v>180</v>
      </c>
      <c r="D5" s="179"/>
      <c r="E5" s="818" t="s">
        <v>181</v>
      </c>
      <c r="F5" s="819"/>
      <c r="G5" s="819"/>
      <c r="H5" s="820"/>
      <c r="J5" s="113"/>
      <c r="Q5" s="3"/>
    </row>
    <row r="6" spans="2:28" ht="13.9">
      <c r="B6" s="185"/>
      <c r="C6" s="186" t="s">
        <v>182</v>
      </c>
      <c r="D6" s="179"/>
      <c r="E6" s="821">
        <v>10428344.3461792</v>
      </c>
      <c r="F6" s="822"/>
      <c r="G6" s="822"/>
      <c r="H6" s="823"/>
    </row>
    <row r="7" spans="2:28" s="112" customFormat="1" ht="13.9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827" t="s">
        <v>185</v>
      </c>
      <c r="C8" s="828" t="s">
        <v>186</v>
      </c>
      <c r="D8" s="216"/>
      <c r="E8" s="826" t="s">
        <v>187</v>
      </c>
      <c r="F8" s="238" t="s">
        <v>188</v>
      </c>
      <c r="G8" s="826" t="s">
        <v>189</v>
      </c>
      <c r="H8" s="239"/>
      <c r="I8" s="826" t="s">
        <v>190</v>
      </c>
      <c r="J8" s="238" t="s">
        <v>188</v>
      </c>
      <c r="K8" s="826" t="s">
        <v>191</v>
      </c>
      <c r="M8" s="411" t="s">
        <v>102</v>
      </c>
      <c r="N8" s="411" t="s">
        <v>102</v>
      </c>
      <c r="O8" s="824" t="s">
        <v>192</v>
      </c>
      <c r="Z8" s="112"/>
      <c r="AA8" s="112"/>
      <c r="AB8" s="112"/>
    </row>
    <row r="9" spans="2:28" ht="13.9">
      <c r="B9" s="827"/>
      <c r="C9" s="828"/>
      <c r="D9" s="216"/>
      <c r="E9" s="826"/>
      <c r="F9" s="126">
        <f>G51-E19</f>
        <v>60</v>
      </c>
      <c r="G9" s="826"/>
      <c r="H9" s="239"/>
      <c r="I9" s="826"/>
      <c r="J9" s="127">
        <f>K51-I19</f>
        <v>141</v>
      </c>
      <c r="K9" s="826"/>
      <c r="M9" s="363">
        <f>AVERAGE(M11,M18,M23,M33,M42,M47,M56,M53)</f>
        <v>0.63339990601503759</v>
      </c>
      <c r="N9" s="363">
        <f ca="1">AVERAGE(N11,N18,N23,N33,N42,N47,N56,N53)</f>
        <v>0.63839285714285721</v>
      </c>
      <c r="O9" s="825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78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151</v>
      </c>
      <c r="K23" s="247">
        <f>MAX(K24:K31)</f>
        <v>46080</v>
      </c>
      <c r="M23" s="362">
        <f>(J24*M24+J25*M25+J26*M26+J27*M27+J31*M31+J28*M28+J29*M29+J30*M30)/SUM(J24:J31)</f>
        <v>0.92434210526315785</v>
      </c>
      <c r="N23" s="362">
        <f ca="1">(J24*N24+J25*N25+J26*N26+J27*N27+J31*N31+J28*N28+J29*N29+J30*N30)/SUM(J24:J31)</f>
        <v>0.96428571428571419</v>
      </c>
      <c r="O23" s="119"/>
      <c r="P23" s="112"/>
      <c r="Q23" s="123"/>
      <c r="R23" s="118"/>
      <c r="S23" s="121">
        <f>S19/5</f>
        <v>15.6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87.179487179487182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223</v>
      </c>
      <c r="C29" s="707" t="s">
        <v>224</v>
      </c>
      <c r="D29" s="708"/>
      <c r="E29" s="709"/>
      <c r="F29" s="710"/>
      <c r="G29" s="709"/>
      <c r="H29" s="711"/>
      <c r="I29" s="709">
        <v>46056</v>
      </c>
      <c r="J29" s="710">
        <v>15</v>
      </c>
      <c r="K29" s="709">
        <f>WORKDAY.INTL(I29,J29,1,Data!$C$3:$C$45)</f>
        <v>46077</v>
      </c>
      <c r="L29" s="712"/>
      <c r="M29" s="713">
        <v>0.75</v>
      </c>
      <c r="N29" s="255">
        <f ca="1">_xlfn.LET(
  _xlpm.s,VALUE($I29),
  _xlpm.e,VALUE($K29),
  IF(OR(_xlpm.s="",_xlpm.e=""),"", IF(_xlpm.e&lt;=_xlpm.s, IF(TODAY()&gt;=_xlpm.e,1,0), MAX(0,MIN(1,(TODAY()-_xlpm.s)/(_xlpm.e-_xlpm.s)))))
)</f>
        <v>0.95238095238095233</v>
      </c>
      <c r="O29" s="714" t="s">
        <v>597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46079</v>
      </c>
      <c r="J30" s="252">
        <v>1</v>
      </c>
      <c r="K30" s="251">
        <f>WORKDAY.INTL(I30,J30,1,Data!$C$3:$C$45)</f>
        <v>46080</v>
      </c>
      <c r="M30" s="255">
        <v>0</v>
      </c>
      <c r="N30" s="255">
        <f t="shared" ca="1" si="1"/>
        <v>0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46079</v>
      </c>
      <c r="J31" s="252">
        <v>1</v>
      </c>
      <c r="K31" s="251">
        <f>WORKDAY.INTL(I31,J31,1,Data!$C$3:$C$45)</f>
        <v>46080</v>
      </c>
      <c r="M31" s="255">
        <v>0</v>
      </c>
      <c r="N31" s="255">
        <f t="shared" ca="1" si="1"/>
        <v>0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9" t="s">
        <v>245</v>
      </c>
      <c r="C44" s="706" t="s">
        <v>246</v>
      </c>
      <c r="D44" s="720"/>
      <c r="E44" s="721">
        <f>G36-7</f>
        <v>45951</v>
      </c>
      <c r="F44" s="722">
        <v>20</v>
      </c>
      <c r="G44" s="723">
        <f>WORKDAY.INTL(E44,F44,1,Data!$C$3:$C$45)</f>
        <v>45979</v>
      </c>
      <c r="H44" s="724"/>
      <c r="I44" s="721">
        <f>K36-2</f>
        <v>45965</v>
      </c>
      <c r="J44" s="722">
        <v>12</v>
      </c>
      <c r="K44" s="723">
        <f>WORKDAY.INTL(I44,J44,1,Data!$C$3:$C$45)</f>
        <v>45981</v>
      </c>
      <c r="M44" s="725">
        <v>1</v>
      </c>
      <c r="N44" s="725">
        <f t="shared" ca="1" si="3"/>
        <v>1</v>
      </c>
      <c r="O44" s="705"/>
      <c r="Q44" s="124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</row>
    <row r="45" spans="2:28" s="112" customFormat="1" ht="13.9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46080</v>
      </c>
      <c r="J47" s="248">
        <f>K47-I47</f>
        <v>4</v>
      </c>
      <c r="K47" s="247">
        <f>MAX(K49:K51)</f>
        <v>46084</v>
      </c>
      <c r="L47" s="114"/>
      <c r="M47" s="362">
        <f>(J49*M49+J51*M51+J48*M48+J50*M50)/SUM(J48:J51)</f>
        <v>0.14285714285714285</v>
      </c>
      <c r="N47" s="362">
        <f ca="1">(J49*N49+J51*N51+J48*N48+J50*N50)/SUM(J48:J51)</f>
        <v>0.14285714285714285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249</v>
      </c>
      <c r="C48" s="727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46080</v>
      </c>
      <c r="J49" s="252">
        <v>2</v>
      </c>
      <c r="K49" s="254">
        <f>WORKDAY.INTL(I49,J49,1,Data!$C$3:$C$45)</f>
        <v>46084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 ht="13.9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v>46080</v>
      </c>
      <c r="J50" s="252">
        <v>2</v>
      </c>
      <c r="K50" s="254">
        <f>WORKDAY.INTL(I50,J50,1,Data!$C$3:$C$45)</f>
        <v>46084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/>
      <c r="Y50" s="24"/>
    </row>
    <row r="51" spans="2:28" ht="13.9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46081</v>
      </c>
      <c r="J51" s="252">
        <v>2</v>
      </c>
      <c r="K51" s="254">
        <f>WORKDAY.INTL(I51,J51,1,Data!$C$3:$C$45)</f>
        <v>46084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46082</v>
      </c>
      <c r="J53" s="248">
        <f>K53-I53</f>
        <v>1</v>
      </c>
      <c r="K53" s="247">
        <f>MAX(K54)</f>
        <v>46083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46082</v>
      </c>
      <c r="J54" s="252">
        <v>1</v>
      </c>
      <c r="K54" s="254">
        <f>WORKDAY.INTL(I54,J54,1,Data!$C$3:$C$45)</f>
        <v>46083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259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46082</v>
      </c>
      <c r="J56" s="248">
        <f>K56-I56</f>
        <v>16</v>
      </c>
      <c r="K56" s="247">
        <f>MAX(K57:K62)</f>
        <v>46098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260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46082</v>
      </c>
      <c r="J57" s="252">
        <v>1</v>
      </c>
      <c r="K57" s="254">
        <f>WORKDAY.INTL(I57,J57,1,Data!$C$3:$C$45)</f>
        <v>46083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261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46083</v>
      </c>
      <c r="J58" s="252">
        <v>5</v>
      </c>
      <c r="K58" s="254">
        <f>WORKDAY.INTL(I58,J58,1,Data!$C$3:$C$45)</f>
        <v>46090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262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46084</v>
      </c>
      <c r="J59" s="252">
        <v>5</v>
      </c>
      <c r="K59" s="254">
        <f>WORKDAY.INTL(I59,J59,1,Data!$C$3:$C$45)</f>
        <v>46091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263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46090</v>
      </c>
      <c r="J60" s="252">
        <v>1</v>
      </c>
      <c r="K60" s="254">
        <f>WORKDAY.INTL(I60,J60,1,Data!$C$3:$C$45)</f>
        <v>46091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264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46091</v>
      </c>
      <c r="J61" s="252">
        <v>1</v>
      </c>
      <c r="K61" s="254">
        <f>WORKDAY.INTL(I61,J61,1,Data!$C$3:$C$45)</f>
        <v>46092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265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46091</v>
      </c>
      <c r="J62" s="252">
        <v>5</v>
      </c>
      <c r="K62" s="254">
        <f>WORKDAY.INTL(I62,J62,1,Data!$C$3:$C$45)</f>
        <v>46098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3984375" defaultRowHeight="14.25"/>
  <cols>
    <col min="1" max="1" width="5.265625" style="93" customWidth="1"/>
    <col min="2" max="2" width="5.265625" style="131" customWidth="1"/>
    <col min="3" max="4" width="23.1328125" style="129" customWidth="1"/>
    <col min="5" max="5" width="6.59765625" style="129" customWidth="1"/>
    <col min="6" max="6" width="16.3984375" style="129" customWidth="1"/>
    <col min="7" max="7" width="4.3984375" style="129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6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6.59765625" style="129" customWidth="1"/>
    <col min="17" max="17" width="5.265625" style="129" customWidth="1"/>
    <col min="18" max="18" width="112.3984375" style="129" bestFit="1" customWidth="1"/>
    <col min="19" max="19" width="4.3984375" style="129" customWidth="1"/>
    <col min="20" max="20" width="14.265625" style="129" customWidth="1"/>
    <col min="21" max="21" width="10.3984375" style="93" bestFit="1" customWidth="1"/>
    <col min="22" max="23" width="8.3984375" style="93"/>
    <col min="24" max="24" width="5.265625" style="93" bestFit="1" customWidth="1"/>
    <col min="25" max="25" width="14.265625" style="93" bestFit="1" customWidth="1"/>
    <col min="26" max="26" width="8.3984375" style="93"/>
    <col min="27" max="27" width="14.26562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267</v>
      </c>
      <c r="F3" s="125" t="s">
        <v>268</v>
      </c>
      <c r="J3" s="142"/>
      <c r="L3" s="409" t="s">
        <v>269</v>
      </c>
      <c r="N3" s="409" t="s">
        <v>270</v>
      </c>
      <c r="S3" s="142"/>
    </row>
    <row r="4" spans="1:21" s="93" customFormat="1" ht="13.15">
      <c r="B4" s="353">
        <v>1</v>
      </c>
      <c r="C4" s="354" t="s">
        <v>271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272</v>
      </c>
      <c r="Q4" s="130"/>
      <c r="S4" s="142"/>
    </row>
    <row r="5" spans="1:21" s="93" customFormat="1" ht="15" customHeight="1">
      <c r="B5" s="353">
        <v>2</v>
      </c>
      <c r="C5" s="354" t="s">
        <v>273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274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275</v>
      </c>
      <c r="S6" s="142"/>
    </row>
    <row r="7" spans="1:21" s="93" customFormat="1" ht="15" customHeight="1" thickBot="1">
      <c r="B7" s="353">
        <v>4</v>
      </c>
      <c r="C7" s="354" t="s">
        <v>276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277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185</v>
      </c>
      <c r="C12" s="133" t="s">
        <v>278</v>
      </c>
      <c r="D12" s="134"/>
      <c r="E12" s="132" t="s">
        <v>279</v>
      </c>
      <c r="F12" s="132" t="s">
        <v>280</v>
      </c>
      <c r="H12" s="358" t="s">
        <v>281</v>
      </c>
      <c r="J12" s="142"/>
      <c r="L12" s="167" t="s">
        <v>282</v>
      </c>
      <c r="M12" s="135"/>
      <c r="N12" s="167" t="s">
        <v>283</v>
      </c>
      <c r="O12" s="129"/>
      <c r="P12" s="167" t="s">
        <v>284</v>
      </c>
      <c r="R12" s="378" t="s">
        <v>285</v>
      </c>
      <c r="S12" s="142"/>
    </row>
    <row r="13" spans="1:21" s="93" customFormat="1" ht="13.15">
      <c r="B13" s="353">
        <v>1</v>
      </c>
      <c r="C13" s="831" t="s">
        <v>286</v>
      </c>
      <c r="D13" s="832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287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831" t="s">
        <v>286</v>
      </c>
      <c r="D14" s="832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287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831" t="s">
        <v>288</v>
      </c>
      <c r="D15" s="832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289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831" t="s">
        <v>290</v>
      </c>
      <c r="D16" s="832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829" t="s">
        <v>291</v>
      </c>
      <c r="D17" s="830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829"/>
      <c r="D18" s="830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829"/>
      <c r="D19" s="830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831" t="s">
        <v>292</v>
      </c>
      <c r="D20" s="832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293</v>
      </c>
      <c r="C24" s="146" t="s">
        <v>294</v>
      </c>
      <c r="D24" s="146"/>
      <c r="F24" s="147"/>
    </row>
    <row r="25" spans="2:19" s="93" customFormat="1" ht="12.75">
      <c r="C25" s="148" t="s">
        <v>295</v>
      </c>
      <c r="D25" s="149"/>
      <c r="F25" s="150"/>
    </row>
    <row r="26" spans="2:19" s="93" customFormat="1" ht="12.75">
      <c r="C26" s="148" t="s">
        <v>296</v>
      </c>
      <c r="D26" s="149"/>
      <c r="L26" s="675"/>
    </row>
    <row r="27" spans="2:19" s="93" customFormat="1" ht="12.75">
      <c r="C27" s="151" t="s">
        <v>297</v>
      </c>
      <c r="D27" s="152"/>
    </row>
    <row r="28" spans="2:19" s="93" customFormat="1" ht="12.75">
      <c r="C28" s="153" t="s">
        <v>298</v>
      </c>
      <c r="D28" s="149"/>
    </row>
    <row r="29" spans="2:19" s="93" customFormat="1" ht="12.75">
      <c r="B29" s="117"/>
      <c r="C29" s="153" t="s">
        <v>299</v>
      </c>
      <c r="D29" s="149"/>
    </row>
    <row r="30" spans="2:19" s="93" customFormat="1" ht="12.75">
      <c r="B30" s="117"/>
      <c r="C30" s="93" t="s">
        <v>300</v>
      </c>
    </row>
    <row r="31" spans="2:19" s="93" customFormat="1" ht="27.75" customHeight="1">
      <c r="B31" s="117"/>
      <c r="C31" s="154" t="s">
        <v>301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278</v>
      </c>
      <c r="D41" s="134"/>
      <c r="E41" s="132" t="s">
        <v>279</v>
      </c>
      <c r="F41" s="132" t="s">
        <v>280</v>
      </c>
    </row>
    <row r="42" spans="2:6" s="93" customFormat="1" ht="12.75" hidden="1" customHeight="1">
      <c r="B42" s="155">
        <v>1</v>
      </c>
      <c r="C42" s="156" t="s">
        <v>302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303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304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305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306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307</v>
      </c>
      <c r="F2" s="83" t="s">
        <v>308</v>
      </c>
    </row>
    <row r="3" spans="3:8">
      <c r="C3" s="79">
        <v>45658</v>
      </c>
      <c r="D3" s="73" t="s">
        <v>309</v>
      </c>
      <c r="F3" s="81" t="s">
        <v>310</v>
      </c>
    </row>
    <row r="4" spans="3:8">
      <c r="C4" s="79">
        <v>45737</v>
      </c>
      <c r="D4" s="73" t="s">
        <v>311</v>
      </c>
      <c r="F4" s="81" t="s">
        <v>312</v>
      </c>
    </row>
    <row r="5" spans="3:8">
      <c r="C5" s="79">
        <v>45765</v>
      </c>
      <c r="D5" s="73" t="s">
        <v>313</v>
      </c>
      <c r="F5" s="81" t="s">
        <v>314</v>
      </c>
    </row>
    <row r="6" spans="3:8" ht="13.15" thickBot="1">
      <c r="C6" s="79">
        <v>45768</v>
      </c>
      <c r="D6" s="73" t="s">
        <v>315</v>
      </c>
      <c r="F6" s="82" t="s">
        <v>316</v>
      </c>
    </row>
    <row r="7" spans="3:8">
      <c r="C7" s="79">
        <v>45774</v>
      </c>
      <c r="D7" s="73" t="s">
        <v>317</v>
      </c>
    </row>
    <row r="8" spans="3:8">
      <c r="C8" s="79">
        <v>45765</v>
      </c>
      <c r="D8" s="73" t="s">
        <v>318</v>
      </c>
    </row>
    <row r="9" spans="3:8">
      <c r="C9" s="79">
        <v>45778</v>
      </c>
      <c r="D9" s="73" t="s">
        <v>319</v>
      </c>
    </row>
    <row r="10" spans="3:8">
      <c r="C10" s="79">
        <v>45824</v>
      </c>
      <c r="D10" s="73" t="s">
        <v>320</v>
      </c>
    </row>
    <row r="11" spans="3:8">
      <c r="C11" s="79">
        <v>45878</v>
      </c>
      <c r="D11" s="73" t="s">
        <v>321</v>
      </c>
    </row>
    <row r="12" spans="3:8">
      <c r="C12" s="79">
        <v>45924</v>
      </c>
      <c r="D12" s="73" t="s">
        <v>322</v>
      </c>
    </row>
    <row r="13" spans="3:8">
      <c r="C13" s="79">
        <v>46007</v>
      </c>
      <c r="D13" s="73" t="s">
        <v>323</v>
      </c>
      <c r="F13" s="85"/>
      <c r="H13" s="73" t="s">
        <v>324</v>
      </c>
    </row>
    <row r="14" spans="3:8">
      <c r="C14" s="79">
        <v>46008</v>
      </c>
      <c r="D14" s="73" t="s">
        <v>325</v>
      </c>
      <c r="F14" s="85"/>
    </row>
    <row r="15" spans="3:8">
      <c r="C15" s="79">
        <v>46009</v>
      </c>
      <c r="D15" s="73" t="s">
        <v>325</v>
      </c>
      <c r="F15" s="85"/>
    </row>
    <row r="16" spans="3:8">
      <c r="C16" s="79">
        <v>46010</v>
      </c>
      <c r="D16" s="73" t="s">
        <v>325</v>
      </c>
      <c r="F16" s="85"/>
    </row>
    <row r="17" spans="3:6">
      <c r="C17" s="79">
        <v>46011</v>
      </c>
      <c r="D17" s="73" t="s">
        <v>325</v>
      </c>
      <c r="F17" s="85"/>
    </row>
    <row r="18" spans="3:6">
      <c r="C18" s="79">
        <v>46012</v>
      </c>
      <c r="D18" s="73" t="s">
        <v>325</v>
      </c>
      <c r="F18" s="85"/>
    </row>
    <row r="19" spans="3:6">
      <c r="C19" s="79">
        <v>46013</v>
      </c>
      <c r="D19" s="73" t="s">
        <v>325</v>
      </c>
      <c r="F19" s="85"/>
    </row>
    <row r="20" spans="3:6">
      <c r="C20" s="79">
        <v>46014</v>
      </c>
      <c r="D20" s="73" t="s">
        <v>325</v>
      </c>
      <c r="F20" s="85"/>
    </row>
    <row r="21" spans="3:6">
      <c r="C21" s="79">
        <v>46015</v>
      </c>
      <c r="D21" s="73" t="s">
        <v>325</v>
      </c>
      <c r="F21" s="85"/>
    </row>
    <row r="22" spans="3:6">
      <c r="C22" s="79">
        <v>46016</v>
      </c>
      <c r="D22" s="73" t="s">
        <v>325</v>
      </c>
      <c r="F22" s="85"/>
    </row>
    <row r="23" spans="3:6">
      <c r="C23" s="79">
        <v>46017</v>
      </c>
      <c r="D23" s="73" t="s">
        <v>325</v>
      </c>
      <c r="F23" s="85"/>
    </row>
    <row r="24" spans="3:6">
      <c r="C24" s="79">
        <v>46018</v>
      </c>
      <c r="D24" s="73" t="s">
        <v>325</v>
      </c>
      <c r="F24" s="85"/>
    </row>
    <row r="25" spans="3:6">
      <c r="C25" s="79">
        <v>46019</v>
      </c>
      <c r="D25" s="73" t="s">
        <v>325</v>
      </c>
      <c r="F25" s="85"/>
    </row>
    <row r="26" spans="3:6">
      <c r="C26" s="79">
        <v>46020</v>
      </c>
      <c r="D26" s="73" t="s">
        <v>325</v>
      </c>
      <c r="F26" s="85"/>
    </row>
    <row r="27" spans="3:6">
      <c r="C27" s="79">
        <v>46021</v>
      </c>
      <c r="D27" s="73" t="s">
        <v>325</v>
      </c>
      <c r="F27" s="85"/>
    </row>
    <row r="28" spans="3:6">
      <c r="C28" s="79">
        <v>46022</v>
      </c>
      <c r="D28" s="73" t="s">
        <v>325</v>
      </c>
      <c r="F28" s="85"/>
    </row>
    <row r="29" spans="3:6">
      <c r="C29" s="79">
        <v>46023</v>
      </c>
      <c r="D29" s="73" t="s">
        <v>325</v>
      </c>
      <c r="F29" s="85"/>
    </row>
    <row r="30" spans="3:6">
      <c r="C30" s="79">
        <v>46024</v>
      </c>
      <c r="D30" s="73" t="s">
        <v>325</v>
      </c>
      <c r="F30" s="85"/>
    </row>
    <row r="31" spans="3:6">
      <c r="C31" s="79">
        <v>46025</v>
      </c>
      <c r="D31" s="73" t="s">
        <v>325</v>
      </c>
      <c r="F31" s="85"/>
    </row>
    <row r="32" spans="3:6">
      <c r="C32" s="79">
        <v>46026</v>
      </c>
      <c r="D32" s="73" t="s">
        <v>325</v>
      </c>
      <c r="F32" s="85"/>
    </row>
    <row r="33" spans="3:6">
      <c r="C33" s="79">
        <v>46027</v>
      </c>
      <c r="D33" s="73" t="s">
        <v>325</v>
      </c>
      <c r="F33" s="85"/>
    </row>
    <row r="34" spans="3:6">
      <c r="C34" s="79">
        <v>46028</v>
      </c>
      <c r="D34" s="73" t="s">
        <v>325</v>
      </c>
      <c r="F34" s="85"/>
    </row>
    <row r="35" spans="3:6">
      <c r="C35" s="79">
        <v>46029</v>
      </c>
      <c r="D35" s="73" t="s">
        <v>325</v>
      </c>
      <c r="F35" s="85"/>
    </row>
    <row r="36" spans="3:6">
      <c r="C36" s="79">
        <v>46030</v>
      </c>
      <c r="D36" s="73" t="s">
        <v>325</v>
      </c>
      <c r="F36" s="85"/>
    </row>
    <row r="37" spans="3:6">
      <c r="C37" s="79">
        <v>46031</v>
      </c>
      <c r="D37" s="73" t="s">
        <v>325</v>
      </c>
      <c r="F37" s="85"/>
    </row>
    <row r="38" spans="3:6">
      <c r="C38" s="79">
        <v>46032</v>
      </c>
      <c r="D38" s="73" t="s">
        <v>325</v>
      </c>
      <c r="F38" s="85"/>
    </row>
    <row r="39" spans="3:6">
      <c r="C39" s="79">
        <v>46033</v>
      </c>
      <c r="D39" s="73" t="s">
        <v>325</v>
      </c>
      <c r="F39" s="85"/>
    </row>
    <row r="40" spans="3:6">
      <c r="C40" s="79">
        <v>46034</v>
      </c>
      <c r="D40" s="73" t="s">
        <v>325</v>
      </c>
      <c r="F40" s="85"/>
    </row>
    <row r="41" spans="3:6">
      <c r="C41" s="79">
        <v>46035</v>
      </c>
      <c r="D41" s="73" t="s">
        <v>325</v>
      </c>
      <c r="F41" s="85"/>
    </row>
    <row r="42" spans="3:6">
      <c r="C42" s="79">
        <v>46036</v>
      </c>
      <c r="D42" s="73" t="s">
        <v>325</v>
      </c>
      <c r="F42" s="85"/>
    </row>
    <row r="43" spans="3:6">
      <c r="C43" s="79">
        <v>46037</v>
      </c>
      <c r="D43" s="73" t="s">
        <v>325</v>
      </c>
      <c r="F43" s="85"/>
    </row>
    <row r="44" spans="3:6">
      <c r="C44" s="79">
        <v>46038</v>
      </c>
      <c r="D44" s="73" t="s">
        <v>325</v>
      </c>
      <c r="F44" s="85"/>
    </row>
    <row r="45" spans="3:6">
      <c r="C45" s="79">
        <v>46016</v>
      </c>
      <c r="D45" s="73" t="s">
        <v>326</v>
      </c>
    </row>
    <row r="46" spans="3:6" ht="13.15" thickBot="1">
      <c r="C46" s="80">
        <v>46017</v>
      </c>
      <c r="D46" s="73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1328125" style="24" customWidth="1"/>
    <col min="13" max="16384" width="8.39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328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33"/>
      <c r="C4" s="833"/>
      <c r="D4" s="833"/>
      <c r="E4" s="413"/>
      <c r="F4" s="221" t="s">
        <v>267</v>
      </c>
      <c r="G4" s="216"/>
      <c r="H4" s="221" t="s">
        <v>268</v>
      </c>
      <c r="I4" s="216"/>
      <c r="J4" s="222" t="s">
        <v>329</v>
      </c>
      <c r="K4" s="112"/>
      <c r="L4" s="112"/>
    </row>
    <row r="5" spans="1:12" ht="14.25" thickBot="1">
      <c r="A5" s="216"/>
      <c r="B5" s="834" t="s">
        <v>330</v>
      </c>
      <c r="C5" s="834"/>
      <c r="D5" s="834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185</v>
      </c>
      <c r="C7" s="227"/>
      <c r="D7" s="226" t="s">
        <v>140</v>
      </c>
      <c r="E7" s="227"/>
      <c r="F7" s="228" t="s">
        <v>331</v>
      </c>
      <c r="G7" s="229"/>
      <c r="H7" s="228" t="s">
        <v>332</v>
      </c>
      <c r="I7" s="229"/>
      <c r="J7" s="228" t="s">
        <v>333</v>
      </c>
      <c r="K7" s="173"/>
      <c r="L7" s="115" t="s">
        <v>334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zoomScale="85" zoomScaleNormal="85" workbookViewId="0">
      <pane ySplit="4" topLeftCell="A150" activePane="bottomLeft" state="frozen"/>
      <selection activeCell="X33" sqref="X33"/>
      <selection pane="bottomLeft" activeCell="R170" sqref="R170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3984375" style="24" hidden="1" customWidth="1"/>
    <col min="8" max="8" width="17.3984375" style="541" hidden="1" customWidth="1"/>
    <col min="9" max="9" width="22.3984375" style="351" hidden="1" customWidth="1"/>
    <col min="10" max="10" width="22.3984375" style="351" bestFit="1" customWidth="1"/>
    <col min="11" max="12" width="5.265625" style="112" customWidth="1"/>
    <col min="13" max="13" width="25.59765625" style="112" customWidth="1"/>
    <col min="14" max="14" width="73.265625" style="112" bestFit="1" customWidth="1"/>
    <col min="15" max="15" width="15.73046875" style="112" customWidth="1"/>
    <col min="16" max="17" width="17.3984375" style="112" customWidth="1"/>
    <col min="18" max="18" width="40.3984375" style="112" bestFit="1" customWidth="1"/>
    <col min="19" max="19" width="32.3984375" style="112" bestFit="1" customWidth="1"/>
    <col min="20" max="21" width="17.3984375" style="541" customWidth="1"/>
    <col min="22" max="22" width="17.3984375" style="112" customWidth="1"/>
    <col min="23" max="23" width="17.3984375" style="541" customWidth="1"/>
    <col min="24" max="24" width="21.265625" style="112" customWidth="1"/>
    <col min="25" max="25" width="29.3984375" style="112" bestFit="1" customWidth="1"/>
    <col min="26" max="26" width="24.39843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4" t="s">
        <v>336</v>
      </c>
      <c r="C2" s="785"/>
      <c r="D2" s="785"/>
      <c r="E2" s="785"/>
      <c r="F2" s="785"/>
      <c r="G2" s="785"/>
      <c r="H2" s="502"/>
      <c r="I2" s="259">
        <f>SUM(I6:I186)</f>
        <v>9590676.1310892869</v>
      </c>
      <c r="J2" s="259">
        <f>SUM(J6:J186)</f>
        <v>12428344.346179174</v>
      </c>
      <c r="L2" s="786" t="s">
        <v>337</v>
      </c>
      <c r="M2" s="787"/>
      <c r="N2" s="787"/>
      <c r="O2" s="787"/>
      <c r="P2" s="787"/>
      <c r="Q2" s="787"/>
      <c r="R2" s="788" t="s">
        <v>338</v>
      </c>
      <c r="S2" s="789"/>
      <c r="T2" s="789"/>
      <c r="U2" s="789"/>
      <c r="V2" s="789"/>
      <c r="W2" s="790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339</v>
      </c>
      <c r="C4" s="261" t="s">
        <v>340</v>
      </c>
      <c r="D4" s="261" t="s">
        <v>341</v>
      </c>
      <c r="E4" s="261" t="s">
        <v>342</v>
      </c>
      <c r="F4" s="465" t="s">
        <v>343</v>
      </c>
      <c r="G4" s="262" t="s">
        <v>344</v>
      </c>
      <c r="H4" s="639" t="s">
        <v>345</v>
      </c>
      <c r="I4" s="263" t="s">
        <v>346</v>
      </c>
      <c r="J4" s="263" t="str">
        <f>IF(J2-'Revenue Tracking'!D4&gt;=0, "Total Revenue", "ERROR on REV" )</f>
        <v>Total Revenue</v>
      </c>
      <c r="K4" s="166"/>
      <c r="L4" s="260" t="s">
        <v>339</v>
      </c>
      <c r="M4" s="261" t="s">
        <v>347</v>
      </c>
      <c r="N4" s="261" t="s">
        <v>341</v>
      </c>
      <c r="O4" s="261" t="s">
        <v>342</v>
      </c>
      <c r="P4" s="465" t="s">
        <v>343</v>
      </c>
      <c r="Q4" s="373" t="s">
        <v>348</v>
      </c>
      <c r="R4" s="614" t="s">
        <v>349</v>
      </c>
      <c r="S4" s="615" t="s">
        <v>282</v>
      </c>
      <c r="T4" s="639" t="s">
        <v>283</v>
      </c>
      <c r="U4" s="640" t="s">
        <v>350</v>
      </c>
      <c r="V4" s="373" t="s">
        <v>351</v>
      </c>
      <c r="W4" s="639" t="s">
        <v>345</v>
      </c>
      <c r="X4" s="480" t="s">
        <v>346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352</v>
      </c>
      <c r="D6" s="283" t="s">
        <v>353</v>
      </c>
      <c r="E6" s="284"/>
      <c r="F6" s="437"/>
      <c r="G6" s="391">
        <f>D187</f>
        <v>2857717.17</v>
      </c>
      <c r="H6" s="565">
        <v>46022</v>
      </c>
      <c r="I6" s="732">
        <f>SUM(G6:G11)</f>
        <v>2857717.17</v>
      </c>
      <c r="J6" s="732">
        <f>F187</f>
        <v>3072814.1612903224</v>
      </c>
      <c r="K6" s="388"/>
      <c r="L6" s="282">
        <v>1</v>
      </c>
      <c r="M6" s="417" t="s">
        <v>354</v>
      </c>
      <c r="N6" s="283" t="s">
        <v>355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356</v>
      </c>
      <c r="T6" s="662">
        <v>45961</v>
      </c>
      <c r="U6" s="669">
        <v>1729623.9294687072</v>
      </c>
      <c r="V6" s="744">
        <f>J6-SUM(U6:U11)</f>
        <v>0</v>
      </c>
      <c r="W6" s="692">
        <v>46003</v>
      </c>
      <c r="X6" s="735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357</v>
      </c>
      <c r="E7" s="390"/>
      <c r="F7" s="459"/>
      <c r="G7" s="316"/>
      <c r="H7" s="566"/>
      <c r="I7" s="733"/>
      <c r="J7" s="733"/>
      <c r="K7" s="289"/>
      <c r="L7" s="312">
        <v>1</v>
      </c>
      <c r="M7" s="314" t="s">
        <v>354</v>
      </c>
      <c r="N7" s="389" t="s">
        <v>358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359</v>
      </c>
      <c r="T7" s="659">
        <v>45961</v>
      </c>
      <c r="U7" s="669">
        <v>1343190.2318216152</v>
      </c>
      <c r="V7" s="745"/>
      <c r="W7" s="693">
        <v>46009</v>
      </c>
      <c r="X7" s="73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3"/>
      <c r="J8" s="733"/>
      <c r="K8" s="289"/>
      <c r="L8" s="312">
        <v>1</v>
      </c>
      <c r="M8" s="314" t="s">
        <v>354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45"/>
      <c r="W8" s="566"/>
      <c r="X8" s="73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3"/>
      <c r="J9" s="733"/>
      <c r="K9" s="289"/>
      <c r="L9" s="312">
        <v>1</v>
      </c>
      <c r="M9" s="314" t="s">
        <v>354</v>
      </c>
      <c r="N9" s="485" t="s">
        <v>360</v>
      </c>
      <c r="O9" s="544">
        <v>2</v>
      </c>
      <c r="P9" s="444"/>
      <c r="Q9" s="386">
        <v>4136.3999999999996</v>
      </c>
      <c r="R9" s="583" t="s">
        <v>361</v>
      </c>
      <c r="S9" s="619" t="s">
        <v>362</v>
      </c>
      <c r="T9" s="667">
        <v>46053</v>
      </c>
      <c r="U9" s="669">
        <v>0</v>
      </c>
      <c r="V9" s="745"/>
      <c r="W9" s="567">
        <f>T9+60</f>
        <v>46113</v>
      </c>
      <c r="X9" s="73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3"/>
      <c r="J10" s="733"/>
      <c r="K10" s="289"/>
      <c r="L10" s="312">
        <v>1</v>
      </c>
      <c r="M10" s="314" t="s">
        <v>354</v>
      </c>
      <c r="N10" s="485" t="s">
        <v>363</v>
      </c>
      <c r="O10" s="544">
        <v>7</v>
      </c>
      <c r="P10" s="444"/>
      <c r="Q10" s="386">
        <v>10677.4</v>
      </c>
      <c r="R10" s="583"/>
      <c r="S10" s="619" t="s">
        <v>364</v>
      </c>
      <c r="T10" s="667">
        <v>46053</v>
      </c>
      <c r="U10" s="669">
        <v>0</v>
      </c>
      <c r="V10" s="745"/>
      <c r="W10" s="567">
        <v>46097</v>
      </c>
      <c r="X10" s="736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4"/>
      <c r="J11" s="734"/>
      <c r="K11" s="290"/>
      <c r="L11" s="317">
        <v>1</v>
      </c>
      <c r="M11" s="419" t="s">
        <v>354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46"/>
      <c r="W11" s="568"/>
      <c r="X11" s="737"/>
      <c r="Y11" s="598" t="s">
        <v>365</v>
      </c>
      <c r="Z11" s="599" t="s">
        <v>366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367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368</v>
      </c>
      <c r="E13" s="366">
        <v>11</v>
      </c>
      <c r="F13" s="457"/>
      <c r="G13" s="297">
        <f>D188</f>
        <v>770000</v>
      </c>
      <c r="H13" s="570">
        <f>H6</f>
        <v>46022</v>
      </c>
      <c r="I13" s="752">
        <f>SUM(G13:G19)</f>
        <v>770000</v>
      </c>
      <c r="J13" s="752">
        <f>F188</f>
        <v>827956.98924731184</v>
      </c>
      <c r="K13" s="298"/>
      <c r="L13" s="294">
        <v>2</v>
      </c>
      <c r="M13" s="420" t="s">
        <v>369</v>
      </c>
      <c r="N13" s="320" t="s">
        <v>370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75">
        <f>J13-SUM(U13:U19)</f>
        <v>0</v>
      </c>
      <c r="W13" s="694">
        <f>W6</f>
        <v>46003</v>
      </c>
      <c r="X13" s="755">
        <f>SUM(Q13:Q19)</f>
        <v>757573.93799999997</v>
      </c>
      <c r="Y13" s="600" t="s">
        <v>371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53"/>
      <c r="J14" s="753"/>
      <c r="K14" s="302"/>
      <c r="L14" s="299">
        <v>2</v>
      </c>
      <c r="M14" s="426" t="s">
        <v>369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76"/>
      <c r="W14" s="571"/>
      <c r="X14" s="756"/>
      <c r="Y14" s="600" t="s">
        <v>372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53"/>
      <c r="J15" s="753"/>
      <c r="K15" s="302"/>
      <c r="L15" s="299">
        <v>2</v>
      </c>
      <c r="M15" s="426" t="s">
        <v>369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76"/>
      <c r="W15" s="571"/>
      <c r="X15" s="756"/>
      <c r="Y15" s="600" t="s">
        <v>373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53"/>
      <c r="J16" s="753"/>
      <c r="K16" s="302"/>
      <c r="L16" s="299">
        <v>2</v>
      </c>
      <c r="M16" s="426" t="s">
        <v>369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76"/>
      <c r="W16" s="571"/>
      <c r="X16" s="756"/>
      <c r="Y16" s="600" t="s">
        <v>374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53"/>
      <c r="J17" s="753"/>
      <c r="K17" s="302"/>
      <c r="L17" s="299">
        <v>2</v>
      </c>
      <c r="M17" s="426" t="s">
        <v>369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76"/>
      <c r="W17" s="571"/>
      <c r="X17" s="756"/>
      <c r="Y17" s="600" t="s">
        <v>375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53"/>
      <c r="J18" s="753"/>
      <c r="K18" s="302"/>
      <c r="L18" s="299">
        <v>2</v>
      </c>
      <c r="M18" s="426" t="s">
        <v>369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76"/>
      <c r="W18" s="571"/>
      <c r="X18" s="756"/>
      <c r="Y18" s="600" t="s">
        <v>376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54"/>
      <c r="J19" s="754"/>
      <c r="K19" s="307"/>
      <c r="L19" s="395">
        <v>2</v>
      </c>
      <c r="M19" s="421" t="s">
        <v>369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7"/>
      <c r="W19" s="572"/>
      <c r="X19" s="757"/>
      <c r="Y19" s="600" t="s">
        <v>377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378</v>
      </c>
      <c r="D21" s="328" t="s">
        <v>379</v>
      </c>
      <c r="E21" s="284"/>
      <c r="F21" s="437"/>
      <c r="G21" s="285">
        <f>D189</f>
        <v>1105818.21</v>
      </c>
      <c r="H21" s="573">
        <f>E21+30</f>
        <v>30</v>
      </c>
      <c r="I21" s="732">
        <f>SUM(G21:G29)</f>
        <v>1105818.21</v>
      </c>
      <c r="J21" s="732">
        <f>F189</f>
        <v>1189051.8387096773</v>
      </c>
      <c r="K21" s="286"/>
      <c r="L21" s="282">
        <v>3</v>
      </c>
      <c r="M21" s="422" t="s">
        <v>380</v>
      </c>
      <c r="N21" s="328" t="s">
        <v>381</v>
      </c>
      <c r="O21" s="542"/>
      <c r="P21" s="437"/>
      <c r="Q21" s="285">
        <v>40621.449999999997</v>
      </c>
      <c r="R21" s="589" t="s">
        <v>382</v>
      </c>
      <c r="S21" s="625" t="s">
        <v>383</v>
      </c>
      <c r="T21" s="666">
        <v>45961</v>
      </c>
      <c r="U21" s="669">
        <v>142264.21881568199</v>
      </c>
      <c r="V21" s="744">
        <f>J21-SUM(U21:U29)</f>
        <v>0</v>
      </c>
      <c r="W21" s="695">
        <v>46003</v>
      </c>
      <c r="X21" s="735">
        <f>SUM(Q21:Q29)</f>
        <v>365443.07999999996</v>
      </c>
      <c r="Y21" s="600" t="s">
        <v>384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33"/>
      <c r="J22" s="733"/>
      <c r="K22" s="289"/>
      <c r="L22" s="312">
        <v>3</v>
      </c>
      <c r="M22" s="423" t="s">
        <v>380</v>
      </c>
      <c r="N22" s="329"/>
      <c r="O22" s="543"/>
      <c r="P22" s="459"/>
      <c r="Q22" s="316">
        <v>45778.95</v>
      </c>
      <c r="R22" s="582"/>
      <c r="S22" s="618" t="s">
        <v>385</v>
      </c>
      <c r="T22" s="644">
        <v>45961</v>
      </c>
      <c r="U22" s="669">
        <v>160326.78695497487</v>
      </c>
      <c r="V22" s="745"/>
      <c r="W22" s="693">
        <v>46009</v>
      </c>
      <c r="X22" s="736"/>
      <c r="Y22" s="600" t="s">
        <v>306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33"/>
      <c r="J23" s="733"/>
      <c r="K23" s="289"/>
      <c r="L23" s="312">
        <v>3</v>
      </c>
      <c r="M23" s="423" t="s">
        <v>380</v>
      </c>
      <c r="N23" s="329"/>
      <c r="O23" s="543"/>
      <c r="P23" s="459"/>
      <c r="Q23" s="316">
        <v>50931.199999999997</v>
      </c>
      <c r="R23" s="582"/>
      <c r="S23" s="618" t="s">
        <v>386</v>
      </c>
      <c r="T23" s="644">
        <v>45961</v>
      </c>
      <c r="U23" s="669">
        <v>178370.96857313716</v>
      </c>
      <c r="V23" s="745"/>
      <c r="W23" s="693">
        <v>46003</v>
      </c>
      <c r="X23" s="736"/>
      <c r="Y23" s="600" t="s">
        <v>387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33"/>
      <c r="J24" s="733"/>
      <c r="K24" s="289"/>
      <c r="L24" s="312">
        <v>3</v>
      </c>
      <c r="M24" s="423" t="s">
        <v>380</v>
      </c>
      <c r="N24" s="385"/>
      <c r="O24" s="544"/>
      <c r="P24" s="444"/>
      <c r="Q24" s="386">
        <v>202184.62</v>
      </c>
      <c r="R24" s="583"/>
      <c r="S24" s="619" t="s">
        <v>388</v>
      </c>
      <c r="T24" s="667">
        <v>45961</v>
      </c>
      <c r="U24" s="669">
        <v>708089.8643658834</v>
      </c>
      <c r="V24" s="745"/>
      <c r="W24" s="680">
        <v>46003</v>
      </c>
      <c r="X24" s="736"/>
      <c r="Y24" s="605" t="s">
        <v>389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33"/>
      <c r="J25" s="733"/>
      <c r="K25" s="289"/>
      <c r="L25" s="312">
        <v>3</v>
      </c>
      <c r="M25" s="423" t="s">
        <v>380</v>
      </c>
      <c r="N25" s="385" t="s">
        <v>390</v>
      </c>
      <c r="O25" s="544"/>
      <c r="P25" s="444"/>
      <c r="Q25" s="386">
        <v>71394.92</v>
      </c>
      <c r="R25" s="583" t="s">
        <v>391</v>
      </c>
      <c r="S25" s="619" t="s">
        <v>392</v>
      </c>
      <c r="T25" s="667">
        <v>45991</v>
      </c>
      <c r="U25" s="669">
        <v>0</v>
      </c>
      <c r="V25" s="745"/>
      <c r="W25" s="535">
        <v>45989</v>
      </c>
      <c r="X25" s="736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33"/>
      <c r="J26" s="733"/>
      <c r="K26" s="289"/>
      <c r="L26" s="312">
        <v>3</v>
      </c>
      <c r="M26" s="423" t="s">
        <v>380</v>
      </c>
      <c r="N26" s="385"/>
      <c r="O26" s="544"/>
      <c r="P26" s="444"/>
      <c r="Q26" s="386">
        <v>-67046.2</v>
      </c>
      <c r="R26" s="583"/>
      <c r="S26" s="619" t="s">
        <v>393</v>
      </c>
      <c r="T26" s="667">
        <v>46053</v>
      </c>
      <c r="U26" s="669">
        <v>0</v>
      </c>
      <c r="V26" s="745"/>
      <c r="W26" s="680">
        <v>46059</v>
      </c>
      <c r="X26" s="736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33"/>
      <c r="J27" s="733"/>
      <c r="K27" s="289"/>
      <c r="L27" s="312">
        <v>3</v>
      </c>
      <c r="M27" s="423" t="s">
        <v>380</v>
      </c>
      <c r="N27" s="385" t="s">
        <v>394</v>
      </c>
      <c r="O27" s="544"/>
      <c r="P27" s="444"/>
      <c r="Q27" s="386">
        <v>2283.6999999999998</v>
      </c>
      <c r="R27" s="583" t="s">
        <v>395</v>
      </c>
      <c r="S27" s="619" t="s">
        <v>396</v>
      </c>
      <c r="T27" s="667">
        <v>46081</v>
      </c>
      <c r="U27" s="669"/>
      <c r="V27" s="745"/>
      <c r="W27" s="680">
        <v>46059</v>
      </c>
      <c r="X27" s="736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33"/>
      <c r="J28" s="733"/>
      <c r="K28" s="289"/>
      <c r="L28" s="312">
        <v>3</v>
      </c>
      <c r="M28" s="423" t="s">
        <v>380</v>
      </c>
      <c r="N28" s="385" t="s">
        <v>397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45"/>
      <c r="W28" s="567">
        <f>T28</f>
        <v>46081</v>
      </c>
      <c r="X28" s="736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34"/>
      <c r="J29" s="734"/>
      <c r="K29" s="290"/>
      <c r="L29" s="317">
        <v>3</v>
      </c>
      <c r="M29" s="424" t="s">
        <v>380</v>
      </c>
      <c r="N29" s="330" t="s">
        <v>398</v>
      </c>
      <c r="O29" s="545"/>
      <c r="P29" s="460"/>
      <c r="Q29" s="331">
        <v>15556.95</v>
      </c>
      <c r="R29" s="584" t="s">
        <v>399</v>
      </c>
      <c r="S29" s="619" t="s">
        <v>400</v>
      </c>
      <c r="T29" s="703">
        <v>46053</v>
      </c>
      <c r="U29" s="686">
        <v>0</v>
      </c>
      <c r="V29" s="746"/>
      <c r="W29" s="704">
        <v>46045</v>
      </c>
      <c r="X29" s="737"/>
      <c r="Y29" s="606" t="s">
        <v>401</v>
      </c>
      <c r="Z29" s="607" t="s">
        <v>402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371</v>
      </c>
      <c r="D31" s="295" t="s">
        <v>403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52">
        <f>SUM(G31:G49)</f>
        <v>1117490.1000000001</v>
      </c>
      <c r="J31" s="752">
        <f>F190</f>
        <v>1201602.2580645164</v>
      </c>
      <c r="K31" s="298"/>
      <c r="L31" s="294">
        <v>4</v>
      </c>
      <c r="M31" s="425" t="s">
        <v>404</v>
      </c>
      <c r="N31" s="295" t="s">
        <v>405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75">
        <f>J31-SUM(U31:U49)</f>
        <v>0</v>
      </c>
      <c r="W31" s="696">
        <f>W6</f>
        <v>46003</v>
      </c>
      <c r="X31" s="755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406</v>
      </c>
      <c r="E32" s="394"/>
      <c r="F32" s="453"/>
      <c r="G32" s="634">
        <f>D190-G31</f>
        <v>675888.10000000009</v>
      </c>
      <c r="H32" s="570">
        <v>46022</v>
      </c>
      <c r="I32" s="753"/>
      <c r="J32" s="753"/>
      <c r="K32" s="302"/>
      <c r="L32" s="299">
        <v>4</v>
      </c>
      <c r="M32" s="426" t="s">
        <v>404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76"/>
      <c r="W32" s="696">
        <f>W7</f>
        <v>46009</v>
      </c>
      <c r="X32" s="756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53"/>
      <c r="J33" s="753"/>
      <c r="K33" s="302"/>
      <c r="L33" s="299">
        <v>4</v>
      </c>
      <c r="M33" s="426" t="s">
        <v>404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76"/>
      <c r="W33" s="571"/>
      <c r="X33" s="756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53"/>
      <c r="J34" s="753"/>
      <c r="K34" s="302"/>
      <c r="L34" s="299">
        <v>4</v>
      </c>
      <c r="M34" s="426" t="s">
        <v>404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76"/>
      <c r="W34" s="571"/>
      <c r="X34" s="756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53"/>
      <c r="J35" s="753"/>
      <c r="K35" s="302"/>
      <c r="L35" s="299">
        <v>4</v>
      </c>
      <c r="M35" s="426" t="s">
        <v>404</v>
      </c>
      <c r="N35" s="408" t="s">
        <v>407</v>
      </c>
      <c r="O35" s="559">
        <f>Z31</f>
        <v>169665.2</v>
      </c>
      <c r="P35" s="560">
        <v>0.1</v>
      </c>
      <c r="Q35" s="301">
        <f>$O$35*P35</f>
        <v>16966.52</v>
      </c>
      <c r="R35" s="773"/>
      <c r="S35" s="623" t="str">
        <f>S105</f>
        <v>JA Electrical - Inv 1104</v>
      </c>
      <c r="T35" s="674">
        <f>T105</f>
        <v>45961</v>
      </c>
      <c r="U35" s="684">
        <v>28570.632008815413</v>
      </c>
      <c r="V35" s="776"/>
      <c r="W35" s="689">
        <f t="shared" ref="W35:W37" si="3">W105</f>
        <v>45967</v>
      </c>
      <c r="X35" s="756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53"/>
      <c r="J36" s="753"/>
      <c r="K36" s="302"/>
      <c r="L36" s="299">
        <v>4</v>
      </c>
      <c r="M36" s="426" t="s">
        <v>404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778"/>
      <c r="S36" s="623" t="str">
        <f>S106</f>
        <v>JA Electrical - Inv 1105</v>
      </c>
      <c r="T36" s="674">
        <f>T106</f>
        <v>45961</v>
      </c>
      <c r="U36" s="684">
        <v>42855.948013223126</v>
      </c>
      <c r="V36" s="776"/>
      <c r="W36" s="689">
        <f t="shared" si="3"/>
        <v>45967</v>
      </c>
      <c r="X36" s="756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53"/>
      <c r="J37" s="753"/>
      <c r="K37" s="302"/>
      <c r="L37" s="299">
        <v>4</v>
      </c>
      <c r="M37" s="426" t="s">
        <v>404</v>
      </c>
      <c r="N37" s="408" t="s">
        <v>408</v>
      </c>
      <c r="O37" s="548"/>
      <c r="P37" s="560">
        <v>0.1</v>
      </c>
      <c r="Q37" s="301">
        <f t="shared" si="4"/>
        <v>16966.52</v>
      </c>
      <c r="R37" s="778"/>
      <c r="S37" s="623" t="s">
        <v>409</v>
      </c>
      <c r="T37" s="660">
        <f t="shared" ref="T37:T42" si="5">T107</f>
        <v>46022</v>
      </c>
      <c r="U37" s="684">
        <v>28570.632008815413</v>
      </c>
      <c r="V37" s="776"/>
      <c r="W37" s="689">
        <f t="shared" si="3"/>
        <v>46003</v>
      </c>
      <c r="X37" s="756"/>
      <c r="Y37" s="608" t="s">
        <v>410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53"/>
      <c r="J38" s="753"/>
      <c r="K38" s="302"/>
      <c r="L38" s="299">
        <v>4</v>
      </c>
      <c r="M38" s="426" t="s">
        <v>404</v>
      </c>
      <c r="N38" s="408" t="s">
        <v>408</v>
      </c>
      <c r="O38" s="548"/>
      <c r="P38" s="717">
        <f>P108</f>
        <v>7.4999999999999997E-2</v>
      </c>
      <c r="Q38" s="301">
        <f t="shared" si="4"/>
        <v>12724.890000000001</v>
      </c>
      <c r="R38" s="778"/>
      <c r="S38" s="623" t="s">
        <v>411</v>
      </c>
      <c r="T38" s="674">
        <f t="shared" si="5"/>
        <v>46053</v>
      </c>
      <c r="U38" s="684">
        <v>21427.974006611563</v>
      </c>
      <c r="V38" s="776"/>
      <c r="W38" s="689">
        <f>W72</f>
        <v>46066</v>
      </c>
      <c r="X38" s="756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53"/>
      <c r="J39" s="753"/>
      <c r="K39" s="302"/>
      <c r="L39" s="299">
        <v>4</v>
      </c>
      <c r="M39" s="426" t="s">
        <v>404</v>
      </c>
      <c r="N39" s="408" t="s">
        <v>408</v>
      </c>
      <c r="O39" s="548"/>
      <c r="P39" s="717">
        <f>P109</f>
        <v>2.5000000000000001E-2</v>
      </c>
      <c r="Q39" s="301">
        <f t="shared" ref="Q39" si="6">$O$35*P39</f>
        <v>4241.63</v>
      </c>
      <c r="R39" s="778"/>
      <c r="S39" s="623"/>
      <c r="T39" s="523">
        <f t="shared" si="5"/>
        <v>46081</v>
      </c>
      <c r="U39" s="508">
        <f t="shared" si="2"/>
        <v>7142.6580022038534</v>
      </c>
      <c r="V39" s="776"/>
      <c r="W39" s="571">
        <f>W73</f>
        <v>46080</v>
      </c>
      <c r="X39" s="756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53"/>
      <c r="J40" s="753"/>
      <c r="K40" s="302"/>
      <c r="L40" s="299">
        <v>4</v>
      </c>
      <c r="M40" s="426" t="s">
        <v>404</v>
      </c>
      <c r="N40" s="408" t="s">
        <v>412</v>
      </c>
      <c r="O40" s="548"/>
      <c r="P40" s="560">
        <v>0.2</v>
      </c>
      <c r="Q40" s="301">
        <f t="shared" si="4"/>
        <v>33933.040000000001</v>
      </c>
      <c r="R40" s="778"/>
      <c r="S40" s="623" t="s">
        <v>409</v>
      </c>
      <c r="T40" s="660">
        <f t="shared" si="5"/>
        <v>46022</v>
      </c>
      <c r="U40" s="684">
        <v>57141.264017630827</v>
      </c>
      <c r="V40" s="776"/>
      <c r="W40" s="689">
        <f>W110</f>
        <v>46003</v>
      </c>
      <c r="X40" s="756"/>
      <c r="Y40" s="608" t="s">
        <v>413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53"/>
      <c r="J41" s="753"/>
      <c r="K41" s="302"/>
      <c r="L41" s="299">
        <v>4</v>
      </c>
      <c r="M41" s="426" t="s">
        <v>404</v>
      </c>
      <c r="N41" s="408" t="s">
        <v>412</v>
      </c>
      <c r="O41" s="548"/>
      <c r="P41" s="717">
        <f>P111</f>
        <v>2.5000000000000001E-2</v>
      </c>
      <c r="Q41" s="301">
        <f t="shared" si="4"/>
        <v>4241.63</v>
      </c>
      <c r="R41" s="778"/>
      <c r="S41" s="623" t="s">
        <v>411</v>
      </c>
      <c r="T41" s="674">
        <f t="shared" si="5"/>
        <v>46053</v>
      </c>
      <c r="U41" s="684">
        <v>7142.6580022038534</v>
      </c>
      <c r="V41" s="776"/>
      <c r="W41" s="689">
        <f>W76</f>
        <v>46066</v>
      </c>
      <c r="X41" s="756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53"/>
      <c r="J42" s="753"/>
      <c r="K42" s="302"/>
      <c r="L42" s="299">
        <v>4</v>
      </c>
      <c r="M42" s="426" t="s">
        <v>404</v>
      </c>
      <c r="N42" s="408" t="s">
        <v>412</v>
      </c>
      <c r="O42" s="548"/>
      <c r="P42" s="717">
        <f>P112</f>
        <v>2.5000000000000001E-2</v>
      </c>
      <c r="Q42" s="301">
        <f t="shared" si="4"/>
        <v>4241.63</v>
      </c>
      <c r="R42" s="778"/>
      <c r="S42" s="623"/>
      <c r="T42" s="523">
        <f t="shared" si="5"/>
        <v>46081</v>
      </c>
      <c r="U42" s="508">
        <f t="shared" si="2"/>
        <v>7142.6580022038534</v>
      </c>
      <c r="V42" s="776"/>
      <c r="W42" s="571">
        <f>W112</f>
        <v>46080</v>
      </c>
      <c r="X42" s="756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53"/>
      <c r="J43" s="753"/>
      <c r="K43" s="302"/>
      <c r="L43" s="299">
        <v>4</v>
      </c>
      <c r="M43" s="426" t="s">
        <v>404</v>
      </c>
      <c r="N43" s="408" t="s">
        <v>414</v>
      </c>
      <c r="O43" s="548"/>
      <c r="P43" s="560">
        <v>0.1</v>
      </c>
      <c r="Q43" s="301">
        <f t="shared" si="4"/>
        <v>16966.52</v>
      </c>
      <c r="R43" s="778"/>
      <c r="S43" s="623"/>
      <c r="T43" s="523">
        <v>46081</v>
      </c>
      <c r="U43" s="508">
        <f t="shared" si="2"/>
        <v>28570.632008815413</v>
      </c>
      <c r="V43" s="776"/>
      <c r="W43" s="571">
        <f t="shared" ref="W43:W46" si="8">W113</f>
        <v>46091</v>
      </c>
      <c r="X43" s="756"/>
      <c r="Y43" s="608" t="s">
        <v>415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53"/>
      <c r="J44" s="753"/>
      <c r="K44" s="302"/>
      <c r="L44" s="299">
        <v>4</v>
      </c>
      <c r="M44" s="426" t="s">
        <v>404</v>
      </c>
      <c r="N44" s="408" t="s">
        <v>416</v>
      </c>
      <c r="O44" s="548"/>
      <c r="P44" s="560">
        <v>0.1</v>
      </c>
      <c r="Q44" s="301">
        <f t="shared" si="4"/>
        <v>16966.52</v>
      </c>
      <c r="R44" s="778"/>
      <c r="S44" s="623"/>
      <c r="T44" s="523">
        <f t="shared" ref="T44:T46" si="9">T114</f>
        <v>46112</v>
      </c>
      <c r="U44" s="508">
        <f t="shared" si="2"/>
        <v>28570.632008815413</v>
      </c>
      <c r="V44" s="776"/>
      <c r="W44" s="571">
        <f t="shared" si="8"/>
        <v>46097</v>
      </c>
      <c r="X44" s="756"/>
      <c r="Y44" s="608" t="s">
        <v>384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53"/>
      <c r="J45" s="753"/>
      <c r="K45" s="302"/>
      <c r="L45" s="299">
        <v>4</v>
      </c>
      <c r="M45" s="426" t="s">
        <v>404</v>
      </c>
      <c r="N45" s="408" t="s">
        <v>417</v>
      </c>
      <c r="O45" s="548"/>
      <c r="P45" s="560">
        <v>0.05</v>
      </c>
      <c r="Q45" s="301">
        <f t="shared" si="4"/>
        <v>8483.26</v>
      </c>
      <c r="R45" s="778"/>
      <c r="S45" s="623"/>
      <c r="T45" s="523">
        <f t="shared" si="9"/>
        <v>46112</v>
      </c>
      <c r="U45" s="508">
        <f t="shared" si="2"/>
        <v>14285.316004407707</v>
      </c>
      <c r="V45" s="776"/>
      <c r="W45" s="571">
        <f t="shared" si="8"/>
        <v>46097</v>
      </c>
      <c r="X45" s="756"/>
      <c r="Y45" s="608" t="s">
        <v>306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53"/>
      <c r="J46" s="753"/>
      <c r="K46" s="302"/>
      <c r="L46" s="299">
        <v>4</v>
      </c>
      <c r="M46" s="426" t="s">
        <v>404</v>
      </c>
      <c r="N46" s="408" t="s">
        <v>418</v>
      </c>
      <c r="O46" s="548"/>
      <c r="P46" s="560">
        <v>0.05</v>
      </c>
      <c r="Q46" s="301">
        <f t="shared" si="4"/>
        <v>8483.26</v>
      </c>
      <c r="R46" s="774"/>
      <c r="S46" s="623"/>
      <c r="T46" s="523">
        <f t="shared" si="9"/>
        <v>46112</v>
      </c>
      <c r="U46" s="508">
        <f t="shared" si="2"/>
        <v>14285.316004407707</v>
      </c>
      <c r="V46" s="776"/>
      <c r="W46" s="571">
        <f t="shared" si="8"/>
        <v>46120</v>
      </c>
      <c r="X46" s="756"/>
      <c r="Y46" s="611" t="s">
        <v>389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53"/>
      <c r="J47" s="753"/>
      <c r="K47" s="302"/>
      <c r="L47" s="299">
        <v>4</v>
      </c>
      <c r="M47" s="426" t="s">
        <v>404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76"/>
      <c r="W47" s="571"/>
      <c r="X47" s="756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53"/>
      <c r="J48" s="753"/>
      <c r="K48" s="302"/>
      <c r="L48" s="299">
        <v>4</v>
      </c>
      <c r="M48" s="426" t="s">
        <v>404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76"/>
      <c r="W48" s="571"/>
      <c r="X48" s="756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54"/>
      <c r="J49" s="754"/>
      <c r="K49" s="307"/>
      <c r="L49" s="303">
        <v>4</v>
      </c>
      <c r="M49" s="427" t="s">
        <v>404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77"/>
      <c r="W49" s="572"/>
      <c r="X49" s="757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419</v>
      </c>
      <c r="D51" s="328" t="s">
        <v>420</v>
      </c>
      <c r="E51" s="284"/>
      <c r="F51" s="437"/>
      <c r="G51" s="285">
        <f>D192-G52</f>
        <v>34000</v>
      </c>
      <c r="H51" s="573">
        <v>45900</v>
      </c>
      <c r="I51" s="732">
        <f>SUM(G51:G61)</f>
        <v>49000</v>
      </c>
      <c r="J51" s="732">
        <f>F192</f>
        <v>52688.172043010753</v>
      </c>
      <c r="K51" s="286"/>
      <c r="L51" s="282">
        <v>5</v>
      </c>
      <c r="M51" s="422" t="s">
        <v>421</v>
      </c>
      <c r="N51" s="328" t="s">
        <v>422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44">
        <f>J51-SUM(U51:U61)</f>
        <v>4.039382423798088E-3</v>
      </c>
      <c r="W51" s="697">
        <f>W6</f>
        <v>46003</v>
      </c>
      <c r="X51" s="735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423</v>
      </c>
      <c r="E52" s="451"/>
      <c r="F52" s="452"/>
      <c r="G52" s="316">
        <v>15000</v>
      </c>
      <c r="H52" s="566">
        <v>45900</v>
      </c>
      <c r="I52" s="733"/>
      <c r="J52" s="733"/>
      <c r="K52" s="289"/>
      <c r="L52" s="287">
        <v>5</v>
      </c>
      <c r="M52" s="428" t="s">
        <v>421</v>
      </c>
      <c r="N52" s="288" t="s">
        <v>424</v>
      </c>
      <c r="O52" s="550"/>
      <c r="P52" s="452"/>
      <c r="Q52" s="316">
        <v>27301</v>
      </c>
      <c r="R52" s="635" t="s">
        <v>425</v>
      </c>
      <c r="S52" s="618" t="s">
        <v>426</v>
      </c>
      <c r="T52" s="679">
        <v>45961</v>
      </c>
      <c r="U52" s="668">
        <v>9478.9399762657522</v>
      </c>
      <c r="V52" s="745"/>
      <c r="W52" s="693">
        <v>45989</v>
      </c>
      <c r="X52" s="736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33"/>
      <c r="J53" s="733"/>
      <c r="K53" s="289"/>
      <c r="L53" s="287">
        <v>5</v>
      </c>
      <c r="M53" s="428" t="s">
        <v>421</v>
      </c>
      <c r="N53" s="314" t="s">
        <v>162</v>
      </c>
      <c r="O53" s="543"/>
      <c r="P53" s="459"/>
      <c r="Q53" s="316">
        <v>11169</v>
      </c>
      <c r="R53" s="582"/>
      <c r="S53" s="618" t="s">
        <v>427</v>
      </c>
      <c r="T53" s="644">
        <v>45930</v>
      </c>
      <c r="U53" s="668">
        <v>7261.7211113769454</v>
      </c>
      <c r="V53" s="745"/>
      <c r="W53" s="534">
        <v>45900</v>
      </c>
      <c r="X53" s="736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33"/>
      <c r="J54" s="733"/>
      <c r="K54" s="289"/>
      <c r="L54" s="287">
        <v>5</v>
      </c>
      <c r="M54" s="428" t="s">
        <v>421</v>
      </c>
      <c r="N54" s="314" t="s">
        <v>428</v>
      </c>
      <c r="O54" s="543"/>
      <c r="P54" s="459"/>
      <c r="Q54" s="316">
        <v>335.86</v>
      </c>
      <c r="R54" s="582"/>
      <c r="S54" s="619" t="s">
        <v>429</v>
      </c>
      <c r="T54" s="644">
        <v>45991</v>
      </c>
      <c r="U54" s="668">
        <v>0</v>
      </c>
      <c r="V54" s="745"/>
      <c r="W54" s="534">
        <v>46022</v>
      </c>
      <c r="X54" s="736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33"/>
      <c r="J55" s="733"/>
      <c r="K55" s="289"/>
      <c r="L55" s="312">
        <v>5</v>
      </c>
      <c r="M55" s="428" t="s">
        <v>421</v>
      </c>
      <c r="N55" s="314" t="s">
        <v>430</v>
      </c>
      <c r="O55" s="543"/>
      <c r="P55" s="459"/>
      <c r="Q55" s="316">
        <v>44000</v>
      </c>
      <c r="R55" s="582" t="s">
        <v>431</v>
      </c>
      <c r="S55" s="618" t="s">
        <v>432</v>
      </c>
      <c r="T55" s="644">
        <v>45930</v>
      </c>
      <c r="U55" s="668">
        <v>28607.371197115732</v>
      </c>
      <c r="V55" s="745"/>
      <c r="W55" s="534">
        <v>45900</v>
      </c>
      <c r="X55" s="736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33"/>
      <c r="J56" s="733"/>
      <c r="K56" s="289"/>
      <c r="L56" s="312">
        <v>5</v>
      </c>
      <c r="M56" s="428" t="s">
        <v>421</v>
      </c>
      <c r="N56" s="387" t="s">
        <v>433</v>
      </c>
      <c r="O56" s="544"/>
      <c r="P56" s="444"/>
      <c r="Q56" s="386">
        <f>-1*Q55</f>
        <v>-44000</v>
      </c>
      <c r="R56" s="583"/>
      <c r="S56" s="619" t="s">
        <v>434</v>
      </c>
      <c r="T56" s="679">
        <v>45961</v>
      </c>
      <c r="U56" s="668">
        <v>0</v>
      </c>
      <c r="V56" s="745"/>
      <c r="W56" s="680">
        <f>T56</f>
        <v>45961</v>
      </c>
      <c r="X56" s="736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33"/>
      <c r="J57" s="733"/>
      <c r="K57" s="289"/>
      <c r="L57" s="312">
        <v>5</v>
      </c>
      <c r="M57" s="428" t="s">
        <v>421</v>
      </c>
      <c r="N57" s="387" t="s">
        <v>435</v>
      </c>
      <c r="O57" s="544"/>
      <c r="P57" s="444"/>
      <c r="Q57" s="386">
        <v>40000</v>
      </c>
      <c r="R57" s="583" t="s">
        <v>436</v>
      </c>
      <c r="S57" s="619" t="s">
        <v>437</v>
      </c>
      <c r="T57" s="644">
        <v>45991</v>
      </c>
      <c r="U57" s="668">
        <v>0</v>
      </c>
      <c r="V57" s="745"/>
      <c r="W57" s="680">
        <v>46021</v>
      </c>
      <c r="X57" s="736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33"/>
      <c r="J58" s="733"/>
      <c r="K58" s="289"/>
      <c r="L58" s="312">
        <v>5</v>
      </c>
      <c r="M58" s="428" t="s">
        <v>421</v>
      </c>
      <c r="N58" s="387" t="s">
        <v>438</v>
      </c>
      <c r="O58" s="544"/>
      <c r="P58" s="444"/>
      <c r="Q58" s="386">
        <v>285.58999999999997</v>
      </c>
      <c r="R58" s="583"/>
      <c r="S58" s="619" t="s">
        <v>439</v>
      </c>
      <c r="T58" s="644">
        <v>45991</v>
      </c>
      <c r="U58" s="668">
        <v>0</v>
      </c>
      <c r="V58" s="745"/>
      <c r="W58" s="680">
        <v>46021</v>
      </c>
      <c r="X58" s="736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33"/>
      <c r="J59" s="733"/>
      <c r="K59" s="289"/>
      <c r="L59" s="312">
        <v>5</v>
      </c>
      <c r="M59" s="428" t="s">
        <v>421</v>
      </c>
      <c r="N59" s="387" t="s">
        <v>440</v>
      </c>
      <c r="O59" s="544"/>
      <c r="P59" s="444"/>
      <c r="Q59" s="386">
        <v>3575.5</v>
      </c>
      <c r="R59" s="583" t="s">
        <v>441</v>
      </c>
      <c r="S59" s="619" t="s">
        <v>442</v>
      </c>
      <c r="T59" s="644">
        <v>45930</v>
      </c>
      <c r="U59" s="668">
        <v>2324.6739935292567</v>
      </c>
      <c r="V59" s="745"/>
      <c r="W59" s="535">
        <v>45876</v>
      </c>
      <c r="X59" s="736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33"/>
      <c r="J60" s="733"/>
      <c r="K60" s="289"/>
      <c r="L60" s="312">
        <v>5</v>
      </c>
      <c r="M60" s="428" t="s">
        <v>421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45"/>
      <c r="W60" s="567"/>
      <c r="X60" s="736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34"/>
      <c r="J61" s="734"/>
      <c r="K61" s="290"/>
      <c r="L61" s="317">
        <v>5</v>
      </c>
      <c r="M61" s="424" t="s">
        <v>421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46"/>
      <c r="W61" s="568"/>
      <c r="X61" s="737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367</v>
      </c>
      <c r="D63" s="296" t="s">
        <v>443</v>
      </c>
      <c r="E63" s="475"/>
      <c r="F63" s="457"/>
      <c r="G63" s="297">
        <f>D191</f>
        <v>1511034.3</v>
      </c>
      <c r="H63" s="570">
        <v>45900</v>
      </c>
      <c r="I63" s="752">
        <f>SUM(G63:G83)</f>
        <v>1511034.3</v>
      </c>
      <c r="J63" s="752">
        <f>F191</f>
        <v>1624768.0645161292</v>
      </c>
      <c r="K63" s="298"/>
      <c r="L63" s="294">
        <v>6</v>
      </c>
      <c r="M63" s="431" t="s">
        <v>444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75">
        <f>J63-SUM(U63:U83)</f>
        <v>5.3090509027242661E-5</v>
      </c>
      <c r="W63" s="570"/>
      <c r="X63" s="755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53"/>
      <c r="J64" s="753"/>
      <c r="K64" s="302"/>
      <c r="L64" s="299">
        <v>6</v>
      </c>
      <c r="M64" s="429" t="s">
        <v>444</v>
      </c>
      <c r="N64" s="443" t="s">
        <v>154</v>
      </c>
      <c r="O64" s="548"/>
      <c r="P64" s="453"/>
      <c r="Q64" s="322">
        <v>354929.22</v>
      </c>
      <c r="R64" s="587" t="s">
        <v>445</v>
      </c>
      <c r="S64" s="623" t="s">
        <v>446</v>
      </c>
      <c r="T64" s="674">
        <v>45991</v>
      </c>
      <c r="U64" s="684">
        <v>983356.53922919161</v>
      </c>
      <c r="V64" s="776"/>
      <c r="W64" s="676">
        <f>T64+30</f>
        <v>46021</v>
      </c>
      <c r="X64" s="756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53"/>
      <c r="J65" s="753"/>
      <c r="K65" s="302"/>
      <c r="L65" s="299">
        <v>6</v>
      </c>
      <c r="M65" s="429" t="s">
        <v>444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76"/>
      <c r="W65" s="571"/>
      <c r="X65" s="756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53"/>
      <c r="J66" s="753"/>
      <c r="K66" s="302"/>
      <c r="L66" s="299">
        <v>6</v>
      </c>
      <c r="M66" s="429" t="s">
        <v>444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76"/>
      <c r="W66" s="571"/>
      <c r="X66" s="756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53"/>
      <c r="J67" s="753"/>
      <c r="K67" s="302"/>
      <c r="L67" s="299">
        <v>6</v>
      </c>
      <c r="M67" s="429" t="s">
        <v>444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76"/>
      <c r="W67" s="571"/>
      <c r="X67" s="756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53"/>
      <c r="J68" s="753"/>
      <c r="K68" s="302"/>
      <c r="L68" s="299">
        <v>6</v>
      </c>
      <c r="M68" s="429" t="s">
        <v>444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76"/>
      <c r="W68" s="571"/>
      <c r="X68" s="756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53"/>
      <c r="J69" s="753"/>
      <c r="K69" s="302"/>
      <c r="L69" s="299">
        <v>6</v>
      </c>
      <c r="M69" s="429" t="s">
        <v>444</v>
      </c>
      <c r="N69" s="408" t="s">
        <v>407</v>
      </c>
      <c r="O69" s="559">
        <f>Z30</f>
        <v>231508.8</v>
      </c>
      <c r="P69" s="560">
        <v>0.1</v>
      </c>
      <c r="Q69" s="301">
        <f>$O$69*P69</f>
        <v>23150.880000000001</v>
      </c>
      <c r="R69" s="773"/>
      <c r="S69" s="623" t="str">
        <f>S105</f>
        <v>JA Electrical - Inv 1104</v>
      </c>
      <c r="T69" s="674">
        <f>T105</f>
        <v>45961</v>
      </c>
      <c r="U69" s="684">
        <v>64141.152528693783</v>
      </c>
      <c r="V69" s="776"/>
      <c r="W69" s="689">
        <f t="shared" ref="W69:W71" si="12">W105</f>
        <v>45967</v>
      </c>
      <c r="X69" s="756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53"/>
      <c r="J70" s="753"/>
      <c r="K70" s="302"/>
      <c r="L70" s="299">
        <v>6</v>
      </c>
      <c r="M70" s="430" t="s">
        <v>444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778"/>
      <c r="S70" s="623" t="str">
        <f>S106</f>
        <v>JA Electrical - Inv 1105</v>
      </c>
      <c r="T70" s="674">
        <f>T106</f>
        <v>45961</v>
      </c>
      <c r="U70" s="684">
        <v>96211.72879304066</v>
      </c>
      <c r="V70" s="776"/>
      <c r="W70" s="689">
        <f t="shared" si="12"/>
        <v>45967</v>
      </c>
      <c r="X70" s="756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53"/>
      <c r="J71" s="753"/>
      <c r="K71" s="302"/>
      <c r="L71" s="299">
        <v>6</v>
      </c>
      <c r="M71" s="430" t="s">
        <v>444</v>
      </c>
      <c r="N71" s="408" t="s">
        <v>408</v>
      </c>
      <c r="O71" s="548"/>
      <c r="P71" s="560">
        <v>0.1</v>
      </c>
      <c r="Q71" s="301">
        <v>23150.78</v>
      </c>
      <c r="R71" s="778"/>
      <c r="S71" s="623" t="s">
        <v>409</v>
      </c>
      <c r="T71" s="660">
        <f>T107</f>
        <v>46022</v>
      </c>
      <c r="U71" s="684">
        <v>64141.287346352467</v>
      </c>
      <c r="V71" s="776"/>
      <c r="W71" s="689">
        <f t="shared" si="12"/>
        <v>46003</v>
      </c>
      <c r="X71" s="756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53"/>
      <c r="J72" s="753"/>
      <c r="K72" s="302"/>
      <c r="L72" s="299" t="s">
        <v>447</v>
      </c>
      <c r="M72" s="430" t="s">
        <v>444</v>
      </c>
      <c r="N72" s="408" t="s">
        <v>408</v>
      </c>
      <c r="O72" s="548"/>
      <c r="P72" s="717">
        <f>P108</f>
        <v>7.4999999999999997E-2</v>
      </c>
      <c r="Q72" s="301">
        <f>$O$69*P72</f>
        <v>17363.16</v>
      </c>
      <c r="R72" s="778"/>
      <c r="S72" s="623" t="s">
        <v>411</v>
      </c>
      <c r="T72" s="674">
        <f>T108</f>
        <v>46053</v>
      </c>
      <c r="U72" s="684">
        <v>48105.880802646541</v>
      </c>
      <c r="V72" s="776"/>
      <c r="W72" s="689">
        <f>W108</f>
        <v>46066</v>
      </c>
      <c r="X72" s="756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53"/>
      <c r="J73" s="753"/>
      <c r="K73" s="302"/>
      <c r="L73" s="299" t="s">
        <v>447</v>
      </c>
      <c r="M73" s="430" t="s">
        <v>444</v>
      </c>
      <c r="N73" s="408" t="s">
        <v>408</v>
      </c>
      <c r="O73" s="548"/>
      <c r="P73" s="717">
        <f>P109</f>
        <v>2.5000000000000001E-2</v>
      </c>
      <c r="Q73" s="301">
        <f>$O$69*P73</f>
        <v>5787.72</v>
      </c>
      <c r="R73" s="778"/>
      <c r="S73" s="623"/>
      <c r="T73" s="523">
        <f>T109</f>
        <v>46081</v>
      </c>
      <c r="U73" s="508">
        <f t="shared" si="11"/>
        <v>16035.293600882182</v>
      </c>
      <c r="V73" s="776"/>
      <c r="W73" s="571">
        <f>W109</f>
        <v>46080</v>
      </c>
      <c r="X73" s="756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53"/>
      <c r="J74" s="753"/>
      <c r="K74" s="302"/>
      <c r="L74" s="299">
        <v>6</v>
      </c>
      <c r="M74" s="430" t="s">
        <v>444</v>
      </c>
      <c r="N74" s="408" t="s">
        <v>412</v>
      </c>
      <c r="O74" s="548"/>
      <c r="P74" s="560">
        <v>0.2</v>
      </c>
      <c r="Q74" s="301">
        <v>46301.66</v>
      </c>
      <c r="R74" s="778"/>
      <c r="S74" s="623" t="s">
        <v>409</v>
      </c>
      <c r="T74" s="660">
        <f>T110</f>
        <v>46022</v>
      </c>
      <c r="U74" s="684">
        <v>128282.07174988119</v>
      </c>
      <c r="V74" s="776"/>
      <c r="W74" s="689">
        <f>W110</f>
        <v>46003</v>
      </c>
      <c r="X74" s="756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53"/>
      <c r="J75" s="753"/>
      <c r="K75" s="302"/>
      <c r="L75" s="299">
        <v>6</v>
      </c>
      <c r="M75" s="430" t="s">
        <v>444</v>
      </c>
      <c r="N75" s="408" t="s">
        <v>412</v>
      </c>
      <c r="O75" s="548"/>
      <c r="P75" s="717">
        <f>P111</f>
        <v>2.5000000000000001E-2</v>
      </c>
      <c r="Q75" s="301">
        <f>$O$69*P75</f>
        <v>5787.72</v>
      </c>
      <c r="R75" s="778"/>
      <c r="S75" s="623"/>
      <c r="T75" s="523">
        <f>T112</f>
        <v>46081</v>
      </c>
      <c r="U75" s="508">
        <f t="shared" si="11"/>
        <v>16035.293600882182</v>
      </c>
      <c r="V75" s="776"/>
      <c r="W75" s="571">
        <f>W112</f>
        <v>46080</v>
      </c>
      <c r="X75" s="756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53"/>
      <c r="J76" s="753"/>
      <c r="K76" s="302"/>
      <c r="L76" s="299">
        <v>6</v>
      </c>
      <c r="M76" s="430" t="s">
        <v>444</v>
      </c>
      <c r="N76" s="408" t="s">
        <v>412</v>
      </c>
      <c r="O76" s="548"/>
      <c r="P76" s="717">
        <f>P112</f>
        <v>2.5000000000000001E-2</v>
      </c>
      <c r="Q76" s="301">
        <f>$O$69*P76</f>
        <v>5787.72</v>
      </c>
      <c r="R76" s="778"/>
      <c r="S76" s="623" t="s">
        <v>411</v>
      </c>
      <c r="T76" s="674">
        <f>T111</f>
        <v>46053</v>
      </c>
      <c r="U76" s="684">
        <v>16035.293600882182</v>
      </c>
      <c r="V76" s="776"/>
      <c r="W76" s="689">
        <f>W111</f>
        <v>46066</v>
      </c>
      <c r="X76" s="756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53"/>
      <c r="J77" s="753"/>
      <c r="K77" s="302"/>
      <c r="L77" s="299">
        <v>6</v>
      </c>
      <c r="M77" s="430" t="s">
        <v>444</v>
      </c>
      <c r="N77" s="408" t="s">
        <v>414</v>
      </c>
      <c r="O77" s="548"/>
      <c r="P77" s="560">
        <v>0.1</v>
      </c>
      <c r="Q77" s="301">
        <f t="shared" si="13"/>
        <v>23150.880000000001</v>
      </c>
      <c r="R77" s="778"/>
      <c r="S77" s="623"/>
      <c r="T77" s="523">
        <v>46081</v>
      </c>
      <c r="U77" s="508">
        <f t="shared" si="11"/>
        <v>64141.174403528727</v>
      </c>
      <c r="V77" s="776"/>
      <c r="W77" s="571">
        <f t="shared" ref="W77:W80" si="15">W113</f>
        <v>46091</v>
      </c>
      <c r="X77" s="756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53"/>
      <c r="J78" s="753"/>
      <c r="K78" s="302"/>
      <c r="L78" s="299">
        <v>6</v>
      </c>
      <c r="M78" s="430" t="s">
        <v>444</v>
      </c>
      <c r="N78" s="408" t="s">
        <v>416</v>
      </c>
      <c r="O78" s="548"/>
      <c r="P78" s="560">
        <v>0.1</v>
      </c>
      <c r="Q78" s="301">
        <f t="shared" si="13"/>
        <v>23150.880000000001</v>
      </c>
      <c r="R78" s="778"/>
      <c r="S78" s="627"/>
      <c r="T78" s="523">
        <f t="shared" ref="T78:T80" si="16">T114</f>
        <v>46112</v>
      </c>
      <c r="U78" s="513">
        <f t="shared" si="11"/>
        <v>64141.174403528727</v>
      </c>
      <c r="V78" s="776"/>
      <c r="W78" s="571">
        <f t="shared" si="15"/>
        <v>46097</v>
      </c>
      <c r="X78" s="756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53"/>
      <c r="J79" s="753"/>
      <c r="K79" s="302"/>
      <c r="L79" s="299">
        <v>6</v>
      </c>
      <c r="M79" s="430" t="s">
        <v>444</v>
      </c>
      <c r="N79" s="408" t="s">
        <v>417</v>
      </c>
      <c r="O79" s="548"/>
      <c r="P79" s="560">
        <v>0.05</v>
      </c>
      <c r="Q79" s="301">
        <f t="shared" si="13"/>
        <v>11575.44</v>
      </c>
      <c r="R79" s="778"/>
      <c r="S79" s="627"/>
      <c r="T79" s="523">
        <f t="shared" si="16"/>
        <v>46112</v>
      </c>
      <c r="U79" s="513">
        <f t="shared" si="11"/>
        <v>32070.587201764363</v>
      </c>
      <c r="V79" s="776"/>
      <c r="W79" s="571">
        <f t="shared" si="15"/>
        <v>46097</v>
      </c>
      <c r="X79" s="756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53"/>
      <c r="J80" s="753"/>
      <c r="K80" s="302"/>
      <c r="L80" s="299">
        <v>6</v>
      </c>
      <c r="M80" s="430" t="s">
        <v>444</v>
      </c>
      <c r="N80" s="408" t="s">
        <v>418</v>
      </c>
      <c r="O80" s="548"/>
      <c r="P80" s="560">
        <v>0.05</v>
      </c>
      <c r="Q80" s="301">
        <f t="shared" si="13"/>
        <v>11575.44</v>
      </c>
      <c r="R80" s="774"/>
      <c r="S80" s="627"/>
      <c r="T80" s="523">
        <f t="shared" si="16"/>
        <v>46112</v>
      </c>
      <c r="U80" s="513">
        <f t="shared" si="11"/>
        <v>32070.587201764363</v>
      </c>
      <c r="V80" s="776"/>
      <c r="W80" s="571">
        <f t="shared" si="15"/>
        <v>46120</v>
      </c>
      <c r="X80" s="756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53"/>
      <c r="J81" s="753"/>
      <c r="K81" s="302"/>
      <c r="L81" s="299">
        <v>6</v>
      </c>
      <c r="M81" s="430" t="s">
        <v>444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76"/>
      <c r="W81" s="574"/>
      <c r="X81" s="756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53"/>
      <c r="J82" s="753"/>
      <c r="K82" s="302"/>
      <c r="L82" s="299">
        <v>6</v>
      </c>
      <c r="M82" s="430" t="s">
        <v>444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76"/>
      <c r="W82" s="574"/>
      <c r="X82" s="756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54"/>
      <c r="J83" s="754"/>
      <c r="K83" s="307"/>
      <c r="L83" s="303">
        <v>6</v>
      </c>
      <c r="M83" s="432" t="s">
        <v>444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77"/>
      <c r="W83" s="572"/>
      <c r="X83" s="757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448</v>
      </c>
      <c r="D85" s="381"/>
      <c r="E85" s="462"/>
      <c r="F85" s="468"/>
      <c r="G85" s="382"/>
      <c r="H85" s="576"/>
      <c r="I85" s="732">
        <f>SUM(G85:G92)</f>
        <v>0</v>
      </c>
      <c r="J85" s="732">
        <f>F196</f>
        <v>0</v>
      </c>
      <c r="K85" s="286"/>
      <c r="L85" s="380">
        <v>7</v>
      </c>
      <c r="M85" s="310" t="s">
        <v>449</v>
      </c>
      <c r="N85" s="381"/>
      <c r="O85" s="553"/>
      <c r="P85" s="468"/>
      <c r="Q85" s="382"/>
      <c r="R85" s="779"/>
      <c r="S85" s="629"/>
      <c r="T85" s="528"/>
      <c r="U85" s="643"/>
      <c r="V85" s="781">
        <f>J85-SUM(U85:U92)</f>
        <v>0</v>
      </c>
      <c r="W85" s="576"/>
      <c r="X85" s="735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33"/>
      <c r="J86" s="733"/>
      <c r="K86" s="289"/>
      <c r="L86" s="383">
        <v>7</v>
      </c>
      <c r="M86" s="384" t="s">
        <v>449</v>
      </c>
      <c r="N86" s="385"/>
      <c r="O86" s="544"/>
      <c r="P86" s="444"/>
      <c r="Q86" s="386"/>
      <c r="R86" s="780"/>
      <c r="S86" s="619"/>
      <c r="T86" s="519"/>
      <c r="U86" s="504"/>
      <c r="V86" s="782"/>
      <c r="W86" s="567"/>
      <c r="X86" s="736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33"/>
      <c r="J87" s="733"/>
      <c r="K87" s="289"/>
      <c r="L87" s="383">
        <v>7</v>
      </c>
      <c r="M87" s="384" t="s">
        <v>449</v>
      </c>
      <c r="N87" s="385"/>
      <c r="O87" s="544"/>
      <c r="P87" s="444"/>
      <c r="Q87" s="386"/>
      <c r="R87" s="583"/>
      <c r="S87" s="619"/>
      <c r="T87" s="519"/>
      <c r="U87" s="504"/>
      <c r="V87" s="782"/>
      <c r="W87" s="567"/>
      <c r="X87" s="736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33"/>
      <c r="J88" s="733"/>
      <c r="K88" s="289"/>
      <c r="L88" s="383">
        <v>7</v>
      </c>
      <c r="M88" s="384" t="s">
        <v>449</v>
      </c>
      <c r="N88" s="385"/>
      <c r="O88" s="406"/>
      <c r="P88" s="444"/>
      <c r="Q88" s="386"/>
      <c r="R88" s="583"/>
      <c r="S88" s="619"/>
      <c r="T88" s="519"/>
      <c r="U88" s="504"/>
      <c r="V88" s="782"/>
      <c r="W88" s="567"/>
      <c r="X88" s="736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33"/>
      <c r="J89" s="733"/>
      <c r="K89" s="289"/>
      <c r="L89" s="383">
        <v>7</v>
      </c>
      <c r="M89" s="384" t="s">
        <v>449</v>
      </c>
      <c r="N89" s="385"/>
      <c r="O89" s="406"/>
      <c r="P89" s="444"/>
      <c r="Q89" s="386"/>
      <c r="R89" s="583"/>
      <c r="S89" s="619"/>
      <c r="T89" s="519"/>
      <c r="U89" s="504"/>
      <c r="V89" s="782"/>
      <c r="W89" s="567"/>
      <c r="X89" s="736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33"/>
      <c r="J90" s="733"/>
      <c r="K90" s="289"/>
      <c r="L90" s="383">
        <v>7</v>
      </c>
      <c r="M90" s="384" t="s">
        <v>449</v>
      </c>
      <c r="N90" s="385"/>
      <c r="O90" s="406"/>
      <c r="P90" s="444"/>
      <c r="Q90" s="386"/>
      <c r="R90" s="583"/>
      <c r="S90" s="619"/>
      <c r="T90" s="519"/>
      <c r="U90" s="504"/>
      <c r="V90" s="782"/>
      <c r="W90" s="567"/>
      <c r="X90" s="736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33"/>
      <c r="J91" s="733"/>
      <c r="K91" s="289"/>
      <c r="L91" s="383">
        <v>7</v>
      </c>
      <c r="M91" s="384" t="s">
        <v>449</v>
      </c>
      <c r="N91" s="385"/>
      <c r="O91" s="544"/>
      <c r="P91" s="444"/>
      <c r="Q91" s="386"/>
      <c r="R91" s="583"/>
      <c r="S91" s="619"/>
      <c r="T91" s="519"/>
      <c r="U91" s="504"/>
      <c r="V91" s="782"/>
      <c r="W91" s="567"/>
      <c r="X91" s="736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34"/>
      <c r="J92" s="734"/>
      <c r="K92" s="290"/>
      <c r="L92" s="317">
        <v>7</v>
      </c>
      <c r="M92" s="338" t="s">
        <v>449</v>
      </c>
      <c r="N92" s="330"/>
      <c r="O92" s="545"/>
      <c r="P92" s="460"/>
      <c r="Q92" s="331"/>
      <c r="R92" s="584"/>
      <c r="S92" s="620"/>
      <c r="T92" s="520"/>
      <c r="U92" s="505"/>
      <c r="V92" s="783"/>
      <c r="W92" s="568"/>
      <c r="X92" s="737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450</v>
      </c>
      <c r="D94" s="334"/>
      <c r="E94" s="463"/>
      <c r="F94" s="416"/>
      <c r="G94" s="335"/>
      <c r="H94" s="570"/>
      <c r="I94" s="752">
        <f>SUM(G94:G102)</f>
        <v>300000</v>
      </c>
      <c r="J94" s="752">
        <f>F194+F195</f>
        <v>322580.6451612903</v>
      </c>
      <c r="K94" s="298"/>
      <c r="L94" s="333">
        <v>8</v>
      </c>
      <c r="M94" s="425" t="s">
        <v>451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9">
        <f>(Q94/$X$94*$J$94)</f>
        <v>0</v>
      </c>
      <c r="V94" s="764">
        <f>J94-SUM(U94:U102)</f>
        <v>3.5152828204445541E-3</v>
      </c>
      <c r="W94" s="570"/>
      <c r="X94" s="755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452</v>
      </c>
      <c r="E95" s="415"/>
      <c r="F95" s="461"/>
      <c r="G95" s="325">
        <v>300000</v>
      </c>
      <c r="H95" s="571">
        <v>45900</v>
      </c>
      <c r="I95" s="753"/>
      <c r="J95" s="753"/>
      <c r="K95" s="302"/>
      <c r="L95" s="323">
        <v>8</v>
      </c>
      <c r="M95" s="433" t="s">
        <v>451</v>
      </c>
      <c r="N95" s="336"/>
      <c r="O95" s="415"/>
      <c r="P95" s="461"/>
      <c r="Q95" s="325"/>
      <c r="R95" s="587"/>
      <c r="S95" s="623"/>
      <c r="T95" s="523"/>
      <c r="U95" s="684">
        <v>0</v>
      </c>
      <c r="V95" s="765"/>
      <c r="W95" s="571"/>
      <c r="X95" s="756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53"/>
      <c r="J96" s="753"/>
      <c r="K96" s="302"/>
      <c r="L96" s="323">
        <v>8</v>
      </c>
      <c r="M96" s="433" t="s">
        <v>451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65"/>
      <c r="W96" s="571"/>
      <c r="X96" s="756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53"/>
      <c r="J97" s="753"/>
      <c r="K97" s="302"/>
      <c r="L97" s="323">
        <v>8</v>
      </c>
      <c r="M97" s="433" t="s">
        <v>451</v>
      </c>
      <c r="N97" s="336" t="s">
        <v>453</v>
      </c>
      <c r="O97" s="664">
        <v>232956</v>
      </c>
      <c r="P97" s="665">
        <v>0.75</v>
      </c>
      <c r="Q97" s="325">
        <f>$O$97*P97</f>
        <v>174717</v>
      </c>
      <c r="R97" s="773" t="s">
        <v>454</v>
      </c>
      <c r="S97" s="623" t="s">
        <v>455</v>
      </c>
      <c r="T97" s="671">
        <v>45961</v>
      </c>
      <c r="U97" s="684">
        <v>200089.18963861017</v>
      </c>
      <c r="V97" s="765"/>
      <c r="W97" s="676">
        <v>45946</v>
      </c>
      <c r="X97" s="756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53"/>
      <c r="J98" s="753"/>
      <c r="K98" s="302"/>
      <c r="L98" s="323">
        <v>8</v>
      </c>
      <c r="M98" s="433" t="s">
        <v>451</v>
      </c>
      <c r="N98" s="336"/>
      <c r="O98" s="551"/>
      <c r="P98" s="665">
        <v>0.25</v>
      </c>
      <c r="Q98" s="325">
        <f>$O$97*P98</f>
        <v>58239</v>
      </c>
      <c r="R98" s="774"/>
      <c r="S98" s="623" t="s">
        <v>456</v>
      </c>
      <c r="T98" s="674">
        <v>45961</v>
      </c>
      <c r="U98" s="684">
        <v>66696.396546203396</v>
      </c>
      <c r="V98" s="765"/>
      <c r="W98" s="676">
        <v>46009</v>
      </c>
      <c r="X98" s="756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53"/>
      <c r="J99" s="753"/>
      <c r="K99" s="302"/>
      <c r="L99" s="323">
        <v>8</v>
      </c>
      <c r="M99" s="433" t="s">
        <v>451</v>
      </c>
      <c r="N99" s="336" t="s">
        <v>457</v>
      </c>
      <c r="O99" s="551"/>
      <c r="P99" s="461"/>
      <c r="Q99" s="325">
        <v>48720</v>
      </c>
      <c r="R99" s="587" t="s">
        <v>458</v>
      </c>
      <c r="S99" s="623" t="s">
        <v>459</v>
      </c>
      <c r="T99" s="674">
        <v>46022</v>
      </c>
      <c r="U99" s="684">
        <v>55795.055461193893</v>
      </c>
      <c r="V99" s="765"/>
      <c r="W99" s="689">
        <v>46066</v>
      </c>
      <c r="X99" s="756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53"/>
      <c r="J100" s="753"/>
      <c r="K100" s="302"/>
      <c r="L100" s="323">
        <v>8</v>
      </c>
      <c r="M100" s="433" t="s">
        <v>451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65"/>
      <c r="W100" s="571"/>
      <c r="X100" s="756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53"/>
      <c r="J101" s="753"/>
      <c r="K101" s="302"/>
      <c r="L101" s="323">
        <v>8</v>
      </c>
      <c r="M101" s="433" t="s">
        <v>451</v>
      </c>
      <c r="N101" s="336" t="s">
        <v>460</v>
      </c>
      <c r="O101" s="551"/>
      <c r="P101" s="461"/>
      <c r="Q101" s="325">
        <v>10150</v>
      </c>
      <c r="R101" s="591" t="s">
        <v>461</v>
      </c>
      <c r="S101" s="627" t="s">
        <v>411</v>
      </c>
      <c r="T101" s="718">
        <v>46053</v>
      </c>
      <c r="U101" s="728">
        <v>0</v>
      </c>
      <c r="V101" s="765"/>
      <c r="W101" s="730">
        <v>46066</v>
      </c>
      <c r="X101" s="756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54"/>
      <c r="J102" s="754"/>
      <c r="K102" s="307"/>
      <c r="L102" s="303">
        <v>8</v>
      </c>
      <c r="M102" s="432" t="s">
        <v>451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66"/>
      <c r="W102" s="572"/>
      <c r="X102" s="757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462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463</v>
      </c>
      <c r="D104" s="328" t="s">
        <v>464</v>
      </c>
      <c r="E104" s="315"/>
      <c r="F104" s="437"/>
      <c r="G104" s="613">
        <f>D200</f>
        <v>340042.5</v>
      </c>
      <c r="H104" s="573">
        <v>45900</v>
      </c>
      <c r="I104" s="758">
        <f>SUM(G104:G119)</f>
        <v>1060132.5</v>
      </c>
      <c r="J104" s="732">
        <f>F200+F201</f>
        <v>1204696.0227272727</v>
      </c>
      <c r="K104" s="289"/>
      <c r="L104" s="312">
        <v>9</v>
      </c>
      <c r="M104" s="423" t="s">
        <v>465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44">
        <f>J104-SUM(U104:U119)</f>
        <v>4.0053608827292919E-3</v>
      </c>
      <c r="W104" s="573"/>
      <c r="X104" s="761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466</v>
      </c>
      <c r="E105" s="315"/>
      <c r="F105" s="459"/>
      <c r="G105" s="613">
        <f>D201</f>
        <v>720090</v>
      </c>
      <c r="H105" s="566">
        <v>45900</v>
      </c>
      <c r="I105" s="759"/>
      <c r="J105" s="733"/>
      <c r="K105" s="289"/>
      <c r="L105" s="312">
        <v>9</v>
      </c>
      <c r="M105" s="423" t="s">
        <v>465</v>
      </c>
      <c r="N105" s="329" t="s">
        <v>407</v>
      </c>
      <c r="O105" s="562">
        <f>Z33+Z32</f>
        <v>1105292.2</v>
      </c>
      <c r="P105" s="563">
        <v>0.1</v>
      </c>
      <c r="Q105" s="316">
        <f>$O$105*P105</f>
        <v>110529.22</v>
      </c>
      <c r="R105" s="770"/>
      <c r="S105" s="618" t="s">
        <v>467</v>
      </c>
      <c r="T105" s="667">
        <v>45961</v>
      </c>
      <c r="U105" s="669">
        <v>120469.60227272725</v>
      </c>
      <c r="V105" s="745"/>
      <c r="W105" s="534">
        <v>45967</v>
      </c>
      <c r="X105" s="762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59"/>
      <c r="J106" s="733"/>
      <c r="K106" s="289"/>
      <c r="L106" s="383">
        <v>9</v>
      </c>
      <c r="M106" s="501" t="s">
        <v>465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771"/>
      <c r="S106" s="619" t="s">
        <v>468</v>
      </c>
      <c r="T106" s="667">
        <v>45961</v>
      </c>
      <c r="U106" s="669">
        <v>180704.40340909085</v>
      </c>
      <c r="V106" s="745"/>
      <c r="W106" s="535">
        <v>45967</v>
      </c>
      <c r="X106" s="762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59"/>
      <c r="J107" s="733"/>
      <c r="K107" s="289"/>
      <c r="L107" s="383">
        <v>9</v>
      </c>
      <c r="M107" s="501" t="s">
        <v>465</v>
      </c>
      <c r="N107" s="385" t="s">
        <v>408</v>
      </c>
      <c r="O107" s="544"/>
      <c r="P107" s="561">
        <v>0.1</v>
      </c>
      <c r="Q107" s="316">
        <f t="shared" si="19"/>
        <v>110529.22</v>
      </c>
      <c r="R107" s="771"/>
      <c r="S107" s="619" t="s">
        <v>409</v>
      </c>
      <c r="T107" s="702">
        <v>46022</v>
      </c>
      <c r="U107" s="669">
        <v>120469.60227272728</v>
      </c>
      <c r="V107" s="745"/>
      <c r="W107" s="535">
        <v>46003</v>
      </c>
      <c r="X107" s="762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59"/>
      <c r="J108" s="733"/>
      <c r="K108" s="289"/>
      <c r="L108" s="383">
        <v>9</v>
      </c>
      <c r="M108" s="501" t="s">
        <v>465</v>
      </c>
      <c r="N108" s="385" t="s">
        <v>408</v>
      </c>
      <c r="O108" s="544"/>
      <c r="P108" s="716">
        <v>7.4999999999999997E-2</v>
      </c>
      <c r="Q108" s="316">
        <v>82896.92</v>
      </c>
      <c r="R108" s="771"/>
      <c r="S108" s="619" t="s">
        <v>411</v>
      </c>
      <c r="T108" s="667">
        <v>46053</v>
      </c>
      <c r="U108" s="669">
        <v>90352.196336766719</v>
      </c>
      <c r="V108" s="745"/>
      <c r="W108" s="535">
        <v>46066</v>
      </c>
      <c r="X108" s="762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59"/>
      <c r="J109" s="733"/>
      <c r="K109" s="289"/>
      <c r="L109" s="383">
        <v>9</v>
      </c>
      <c r="M109" s="501" t="s">
        <v>465</v>
      </c>
      <c r="N109" s="385" t="s">
        <v>408</v>
      </c>
      <c r="O109" s="544"/>
      <c r="P109" s="716">
        <v>2.5000000000000001E-2</v>
      </c>
      <c r="Q109" s="316">
        <v>27632.31</v>
      </c>
      <c r="R109" s="771"/>
      <c r="S109" s="619"/>
      <c r="T109" s="519">
        <v>46081</v>
      </c>
      <c r="U109" s="504">
        <f t="shared" si="18"/>
        <v>30117.405745370306</v>
      </c>
      <c r="V109" s="745"/>
      <c r="W109" s="567">
        <f>W108+14</f>
        <v>46080</v>
      </c>
      <c r="X109" s="762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59"/>
      <c r="J110" s="733"/>
      <c r="K110" s="289"/>
      <c r="L110" s="383">
        <v>9</v>
      </c>
      <c r="M110" s="501" t="s">
        <v>465</v>
      </c>
      <c r="N110" s="385" t="s">
        <v>412</v>
      </c>
      <c r="O110" s="544"/>
      <c r="P110" s="561">
        <v>0.2</v>
      </c>
      <c r="Q110" s="316">
        <f>$O$105*P110</f>
        <v>221058.44</v>
      </c>
      <c r="R110" s="771"/>
      <c r="S110" s="619" t="s">
        <v>409</v>
      </c>
      <c r="T110" s="702">
        <v>46022</v>
      </c>
      <c r="U110" s="669">
        <v>240939.20454545456</v>
      </c>
      <c r="V110" s="745"/>
      <c r="W110" s="535">
        <v>46003</v>
      </c>
      <c r="X110" s="762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59"/>
      <c r="J111" s="733"/>
      <c r="K111" s="289"/>
      <c r="L111" s="383">
        <v>9</v>
      </c>
      <c r="M111" s="501" t="s">
        <v>465</v>
      </c>
      <c r="N111" s="385" t="s">
        <v>412</v>
      </c>
      <c r="O111" s="544"/>
      <c r="P111" s="716">
        <v>2.5000000000000001E-2</v>
      </c>
      <c r="Q111" s="316">
        <f>$O$105*P111</f>
        <v>27632.305</v>
      </c>
      <c r="R111" s="771"/>
      <c r="S111" s="619" t="s">
        <v>411</v>
      </c>
      <c r="T111" s="667">
        <v>46053</v>
      </c>
      <c r="U111" s="669">
        <v>30117.400295698208</v>
      </c>
      <c r="V111" s="745"/>
      <c r="W111" s="535">
        <v>46066</v>
      </c>
      <c r="X111" s="762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59"/>
      <c r="J112" s="733"/>
      <c r="K112" s="289"/>
      <c r="L112" s="383">
        <v>9</v>
      </c>
      <c r="M112" s="501" t="s">
        <v>465</v>
      </c>
      <c r="N112" s="385" t="s">
        <v>412</v>
      </c>
      <c r="O112" s="544"/>
      <c r="P112" s="716">
        <v>2.5000000000000001E-2</v>
      </c>
      <c r="Q112" s="316">
        <f t="shared" si="19"/>
        <v>27632.305</v>
      </c>
      <c r="R112" s="771"/>
      <c r="S112" s="619"/>
      <c r="T112" s="519">
        <v>46081</v>
      </c>
      <c r="U112" s="504">
        <f t="shared" si="18"/>
        <v>30117.400295698208</v>
      </c>
      <c r="V112" s="745"/>
      <c r="W112" s="567">
        <f>W111+14</f>
        <v>46080</v>
      </c>
      <c r="X112" s="762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59"/>
      <c r="J113" s="733"/>
      <c r="K113" s="289"/>
      <c r="L113" s="383">
        <v>9</v>
      </c>
      <c r="M113" s="501" t="s">
        <v>465</v>
      </c>
      <c r="N113" s="385" t="s">
        <v>414</v>
      </c>
      <c r="O113" s="544"/>
      <c r="P113" s="561">
        <v>0.1</v>
      </c>
      <c r="Q113" s="316">
        <f t="shared" si="19"/>
        <v>110529.22</v>
      </c>
      <c r="R113" s="771"/>
      <c r="S113" s="619"/>
      <c r="T113" s="519">
        <v>46081</v>
      </c>
      <c r="U113" s="504">
        <f t="shared" si="18"/>
        <v>120469.60118279283</v>
      </c>
      <c r="V113" s="745"/>
      <c r="W113" s="567">
        <f>'Project Plan'!K47+7</f>
        <v>46091</v>
      </c>
      <c r="X113" s="762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59"/>
      <c r="J114" s="733"/>
      <c r="K114" s="289"/>
      <c r="L114" s="383">
        <v>9</v>
      </c>
      <c r="M114" s="501" t="s">
        <v>465</v>
      </c>
      <c r="N114" s="385" t="s">
        <v>416</v>
      </c>
      <c r="O114" s="544"/>
      <c r="P114" s="561">
        <v>0.1</v>
      </c>
      <c r="Q114" s="316">
        <f t="shared" si="19"/>
        <v>110529.22</v>
      </c>
      <c r="R114" s="771"/>
      <c r="S114" s="619"/>
      <c r="T114" s="519">
        <f t="shared" si="17"/>
        <v>46112</v>
      </c>
      <c r="U114" s="504">
        <f t="shared" si="18"/>
        <v>120469.60118279283</v>
      </c>
      <c r="V114" s="745"/>
      <c r="W114" s="567">
        <f>'Project Plan'!K58+7</f>
        <v>46097</v>
      </c>
      <c r="X114" s="762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59"/>
      <c r="J115" s="733"/>
      <c r="K115" s="289"/>
      <c r="L115" s="383">
        <v>9</v>
      </c>
      <c r="M115" s="501" t="s">
        <v>465</v>
      </c>
      <c r="N115" s="385" t="s">
        <v>417</v>
      </c>
      <c r="O115" s="544"/>
      <c r="P115" s="561">
        <v>0.05</v>
      </c>
      <c r="Q115" s="316">
        <f t="shared" si="19"/>
        <v>55264.61</v>
      </c>
      <c r="R115" s="771"/>
      <c r="S115" s="619"/>
      <c r="T115" s="519">
        <f t="shared" si="17"/>
        <v>46112</v>
      </c>
      <c r="U115" s="504">
        <f t="shared" si="18"/>
        <v>60234.800591396415</v>
      </c>
      <c r="V115" s="745"/>
      <c r="W115" s="567">
        <f>'Project Plan'!K58+7</f>
        <v>46097</v>
      </c>
      <c r="X115" s="762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59"/>
      <c r="J116" s="733"/>
      <c r="K116" s="289"/>
      <c r="L116" s="383">
        <v>9</v>
      </c>
      <c r="M116" s="501" t="s">
        <v>465</v>
      </c>
      <c r="N116" s="385" t="s">
        <v>418</v>
      </c>
      <c r="O116" s="544"/>
      <c r="P116" s="561">
        <v>0.05</v>
      </c>
      <c r="Q116" s="316">
        <f t="shared" si="19"/>
        <v>55264.61</v>
      </c>
      <c r="R116" s="772"/>
      <c r="S116" s="619"/>
      <c r="T116" s="519">
        <f>IF(W116&gt;1,EOMONTH(W116,-1),"")</f>
        <v>46112</v>
      </c>
      <c r="U116" s="504">
        <f t="shared" si="18"/>
        <v>60234.800591396415</v>
      </c>
      <c r="V116" s="745"/>
      <c r="W116" s="567">
        <f>'Project Plan'!K58+30</f>
        <v>46120</v>
      </c>
      <c r="X116" s="762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59"/>
      <c r="J117" s="733"/>
      <c r="K117" s="289"/>
      <c r="L117" s="383">
        <v>9</v>
      </c>
      <c r="M117" s="501" t="s">
        <v>465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45"/>
      <c r="W117" s="567"/>
      <c r="X117" s="762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59"/>
      <c r="J118" s="733"/>
      <c r="K118" s="289"/>
      <c r="L118" s="383">
        <v>9</v>
      </c>
      <c r="M118" s="501" t="s">
        <v>465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45"/>
      <c r="W118" s="567"/>
      <c r="X118" s="762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60"/>
      <c r="J119" s="734"/>
      <c r="K119" s="365"/>
      <c r="L119" s="317">
        <v>9</v>
      </c>
      <c r="M119" s="441" t="s">
        <v>465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46"/>
      <c r="W119" s="568"/>
      <c r="X119" s="763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469</v>
      </c>
      <c r="D121" s="271" t="s">
        <v>374</v>
      </c>
      <c r="E121" s="272"/>
      <c r="F121" s="470"/>
      <c r="G121" s="339">
        <f>D204</f>
        <v>8500</v>
      </c>
      <c r="H121" s="577">
        <v>45900</v>
      </c>
      <c r="I121" s="738">
        <f>SUM(G121:G143)</f>
        <v>184440.46666666665</v>
      </c>
      <c r="J121" s="738">
        <f>F204+F207+F208+F206</f>
        <v>209591.43939393942</v>
      </c>
      <c r="K121" s="340"/>
      <c r="L121" s="270">
        <v>10</v>
      </c>
      <c r="M121" s="434" t="s">
        <v>470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47">
        <f>J121-SUM(U121:U143)</f>
        <v>-3.4785436873789877E-3</v>
      </c>
      <c r="W121" s="577"/>
      <c r="X121" s="741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375</v>
      </c>
      <c r="E122" s="343"/>
      <c r="F122" s="471"/>
      <c r="G122" s="344">
        <f>D208</f>
        <v>70393.8</v>
      </c>
      <c r="H122" s="578">
        <v>45900</v>
      </c>
      <c r="I122" s="739"/>
      <c r="J122" s="739"/>
      <c r="K122" s="273"/>
      <c r="L122" s="341">
        <v>10</v>
      </c>
      <c r="M122" s="435" t="s">
        <v>470</v>
      </c>
      <c r="N122" s="342" t="s">
        <v>471</v>
      </c>
      <c r="O122" s="557"/>
      <c r="P122" s="471"/>
      <c r="Q122" s="344">
        <f>20700/1.15</f>
        <v>18000</v>
      </c>
      <c r="R122" s="767" t="s">
        <v>472</v>
      </c>
      <c r="S122" s="631" t="s">
        <v>473</v>
      </c>
      <c r="T122" s="663">
        <v>45961</v>
      </c>
      <c r="U122" s="687">
        <v>12469.742943475689</v>
      </c>
      <c r="V122" s="748"/>
      <c r="W122" s="678">
        <v>45946</v>
      </c>
      <c r="X122" s="742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39"/>
      <c r="J123" s="739"/>
      <c r="K123" s="273"/>
      <c r="L123" s="341">
        <v>11</v>
      </c>
      <c r="M123" s="435" t="s">
        <v>470</v>
      </c>
      <c r="N123" s="342" t="s">
        <v>474</v>
      </c>
      <c r="O123" s="557"/>
      <c r="P123" s="471"/>
      <c r="Q123" s="344">
        <v>18000</v>
      </c>
      <c r="R123" s="769"/>
      <c r="S123" s="631" t="s">
        <v>473</v>
      </c>
      <c r="T123" s="677">
        <v>45961</v>
      </c>
      <c r="U123" s="687">
        <v>12469.742943475689</v>
      </c>
      <c r="V123" s="748"/>
      <c r="W123" s="678">
        <f>T123</f>
        <v>45961</v>
      </c>
      <c r="X123" s="742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39"/>
      <c r="J124" s="739"/>
      <c r="K124" s="273"/>
      <c r="L124" s="341">
        <v>12</v>
      </c>
      <c r="M124" s="435" t="s">
        <v>470</v>
      </c>
      <c r="N124" s="342" t="s">
        <v>475</v>
      </c>
      <c r="O124" s="557"/>
      <c r="P124" s="471"/>
      <c r="Q124" s="344">
        <v>60000</v>
      </c>
      <c r="R124" s="595"/>
      <c r="S124" s="631" t="s">
        <v>476</v>
      </c>
      <c r="T124" s="663">
        <v>45991</v>
      </c>
      <c r="U124" s="687">
        <v>38348.821150162417</v>
      </c>
      <c r="V124" s="748"/>
      <c r="W124" s="690">
        <v>45989</v>
      </c>
      <c r="X124" s="742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39"/>
      <c r="J125" s="739"/>
      <c r="K125" s="273"/>
      <c r="L125" s="341">
        <v>12</v>
      </c>
      <c r="M125" s="435" t="s">
        <v>470</v>
      </c>
      <c r="N125" s="342" t="s">
        <v>477</v>
      </c>
      <c r="O125" s="557"/>
      <c r="P125" s="471"/>
      <c r="Q125" s="344">
        <v>10000</v>
      </c>
      <c r="R125" s="595" t="s">
        <v>478</v>
      </c>
      <c r="S125" s="631" t="s">
        <v>479</v>
      </c>
      <c r="T125" s="663">
        <v>46022</v>
      </c>
      <c r="U125" s="687">
        <v>6927.6372583925622</v>
      </c>
      <c r="V125" s="748"/>
      <c r="W125" s="690">
        <v>46003</v>
      </c>
      <c r="X125" s="742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39"/>
      <c r="J126" s="739"/>
      <c r="K126" s="273"/>
      <c r="L126" s="341">
        <v>13</v>
      </c>
      <c r="M126" s="435" t="s">
        <v>470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48"/>
      <c r="W126" s="578"/>
      <c r="X126" s="742"/>
      <c r="Y126" s="482"/>
    </row>
    <row r="127" spans="1:25" ht="14.25" customHeight="1">
      <c r="B127" s="341">
        <v>10</v>
      </c>
      <c r="C127" s="342"/>
      <c r="D127" s="342" t="s">
        <v>480</v>
      </c>
      <c r="E127" s="343"/>
      <c r="F127" s="471"/>
      <c r="G127" s="344">
        <f>D207</f>
        <v>72000</v>
      </c>
      <c r="H127" s="578">
        <v>45900</v>
      </c>
      <c r="I127" s="739"/>
      <c r="J127" s="739"/>
      <c r="K127" s="273"/>
      <c r="L127" s="341">
        <v>10</v>
      </c>
      <c r="M127" s="435" t="s">
        <v>470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48"/>
      <c r="W127" s="578"/>
      <c r="X127" s="742"/>
      <c r="Y127" s="482"/>
    </row>
    <row r="128" spans="1:25" ht="14.25" customHeight="1">
      <c r="B128" s="341">
        <v>10</v>
      </c>
      <c r="C128" s="342"/>
      <c r="D128" s="342" t="s">
        <v>376</v>
      </c>
      <c r="E128" s="343"/>
      <c r="F128" s="471"/>
      <c r="G128" s="344">
        <f>D206</f>
        <v>33546.666666666664</v>
      </c>
      <c r="H128" s="578">
        <v>45900</v>
      </c>
      <c r="I128" s="739"/>
      <c r="J128" s="739"/>
      <c r="K128" s="273"/>
      <c r="L128" s="341">
        <v>10</v>
      </c>
      <c r="M128" s="435" t="s">
        <v>470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48"/>
      <c r="W128" s="578"/>
      <c r="X128" s="742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39"/>
      <c r="J129" s="739"/>
      <c r="K129" s="273"/>
      <c r="L129" s="341">
        <v>10</v>
      </c>
      <c r="M129" s="435" t="s">
        <v>470</v>
      </c>
      <c r="N129" s="342" t="s">
        <v>407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67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48"/>
      <c r="W129" s="537">
        <f t="shared" ref="W129:W140" si="21">W105</f>
        <v>45967</v>
      </c>
      <c r="X129" s="742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39"/>
      <c r="J130" s="739"/>
      <c r="K130" s="273"/>
      <c r="L130" s="341">
        <v>10</v>
      </c>
      <c r="M130" s="435" t="s">
        <v>470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768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48"/>
      <c r="W130" s="537">
        <f t="shared" si="21"/>
        <v>45967</v>
      </c>
      <c r="X130" s="742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39"/>
      <c r="J131" s="739"/>
      <c r="K131" s="273"/>
      <c r="L131" s="341">
        <v>10</v>
      </c>
      <c r="M131" s="435" t="s">
        <v>470</v>
      </c>
      <c r="N131" s="342" t="s">
        <v>408</v>
      </c>
      <c r="O131" s="557"/>
      <c r="P131" s="564">
        <v>0.1</v>
      </c>
      <c r="Q131" s="344">
        <f t="shared" si="22"/>
        <v>19654.400000000001</v>
      </c>
      <c r="R131" s="768"/>
      <c r="S131" s="632" t="s">
        <v>409</v>
      </c>
      <c r="T131" s="691">
        <f t="shared" ref="T131:T140" si="23">T107</f>
        <v>46022</v>
      </c>
      <c r="U131" s="687">
        <v>16832.875373135081</v>
      </c>
      <c r="V131" s="748"/>
      <c r="W131" s="537">
        <f t="shared" si="21"/>
        <v>46003</v>
      </c>
      <c r="X131" s="742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39"/>
      <c r="J132" s="739"/>
      <c r="K132" s="273"/>
      <c r="L132" s="341">
        <v>10</v>
      </c>
      <c r="M132" s="435" t="s">
        <v>470</v>
      </c>
      <c r="N132" s="342" t="s">
        <v>408</v>
      </c>
      <c r="O132" s="557"/>
      <c r="P132" s="715">
        <f>P108</f>
        <v>7.4999999999999997E-2</v>
      </c>
      <c r="Q132" s="344">
        <f>O129*P132</f>
        <v>14740.8</v>
      </c>
      <c r="R132" s="768"/>
      <c r="S132" s="632" t="s">
        <v>411</v>
      </c>
      <c r="T132" s="673">
        <f t="shared" si="23"/>
        <v>46053</v>
      </c>
      <c r="U132" s="687">
        <v>16832.875373135081</v>
      </c>
      <c r="V132" s="748"/>
      <c r="W132" s="537">
        <f t="shared" si="21"/>
        <v>46066</v>
      </c>
      <c r="X132" s="742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39"/>
      <c r="J133" s="739"/>
      <c r="K133" s="273"/>
      <c r="L133" s="341">
        <v>10</v>
      </c>
      <c r="M133" s="435" t="s">
        <v>470</v>
      </c>
      <c r="N133" s="342" t="s">
        <v>408</v>
      </c>
      <c r="O133" s="557"/>
      <c r="P133" s="715">
        <f>P109</f>
        <v>2.5000000000000001E-2</v>
      </c>
      <c r="Q133" s="344">
        <f t="shared" si="22"/>
        <v>4913.6000000000004</v>
      </c>
      <c r="R133" s="768"/>
      <c r="S133" s="632"/>
      <c r="T133" s="532">
        <f t="shared" si="23"/>
        <v>46081</v>
      </c>
      <c r="U133" s="516">
        <f t="shared" si="20"/>
        <v>3403.9638432837701</v>
      </c>
      <c r="V133" s="748"/>
      <c r="W133" s="579">
        <f t="shared" si="21"/>
        <v>46080</v>
      </c>
      <c r="X133" s="742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39"/>
      <c r="J134" s="739"/>
      <c r="K134" s="273"/>
      <c r="L134" s="341">
        <v>10</v>
      </c>
      <c r="M134" s="435" t="s">
        <v>470</v>
      </c>
      <c r="N134" s="342" t="s">
        <v>412</v>
      </c>
      <c r="O134" s="557"/>
      <c r="P134" s="564">
        <v>0.2</v>
      </c>
      <c r="Q134" s="344">
        <v>39308.699999999997</v>
      </c>
      <c r="R134" s="768"/>
      <c r="S134" s="632" t="s">
        <v>409</v>
      </c>
      <c r="T134" s="691">
        <f t="shared" si="23"/>
        <v>46022</v>
      </c>
      <c r="U134" s="687">
        <v>27231.641469897571</v>
      </c>
      <c r="V134" s="748"/>
      <c r="W134" s="537">
        <f t="shared" si="21"/>
        <v>46003</v>
      </c>
      <c r="X134" s="742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39"/>
      <c r="J135" s="739"/>
      <c r="K135" s="273"/>
      <c r="L135" s="341">
        <v>10</v>
      </c>
      <c r="M135" s="435" t="s">
        <v>470</v>
      </c>
      <c r="N135" s="342" t="s">
        <v>412</v>
      </c>
      <c r="O135" s="557"/>
      <c r="P135" s="715">
        <f>P111</f>
        <v>2.5000000000000001E-2</v>
      </c>
      <c r="Q135" s="344">
        <f>O129*P135</f>
        <v>4913.6000000000004</v>
      </c>
      <c r="R135" s="768"/>
      <c r="S135" s="632" t="s">
        <v>411</v>
      </c>
      <c r="T135" s="673">
        <f t="shared" si="23"/>
        <v>46053</v>
      </c>
      <c r="U135" s="687">
        <v>16832.875373135081</v>
      </c>
      <c r="V135" s="748"/>
      <c r="W135" s="537">
        <f t="shared" si="21"/>
        <v>46066</v>
      </c>
      <c r="X135" s="742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39"/>
      <c r="J136" s="739"/>
      <c r="K136" s="273"/>
      <c r="L136" s="341">
        <v>10</v>
      </c>
      <c r="M136" s="435" t="s">
        <v>470</v>
      </c>
      <c r="N136" s="342" t="s">
        <v>412</v>
      </c>
      <c r="O136" s="557"/>
      <c r="P136" s="715">
        <f>P112</f>
        <v>2.5000000000000001E-2</v>
      </c>
      <c r="Q136" s="344">
        <f t="shared" si="22"/>
        <v>4913.6000000000004</v>
      </c>
      <c r="R136" s="768"/>
      <c r="S136" s="632"/>
      <c r="T136" s="532">
        <f t="shared" si="23"/>
        <v>46081</v>
      </c>
      <c r="U136" s="516">
        <f t="shared" si="20"/>
        <v>3403.9638432837701</v>
      </c>
      <c r="V136" s="748"/>
      <c r="W136" s="579">
        <f t="shared" si="21"/>
        <v>46080</v>
      </c>
      <c r="X136" s="742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39"/>
      <c r="J137" s="739"/>
      <c r="K137" s="273"/>
      <c r="L137" s="341">
        <v>10</v>
      </c>
      <c r="M137" s="435" t="s">
        <v>470</v>
      </c>
      <c r="N137" s="342" t="s">
        <v>414</v>
      </c>
      <c r="O137" s="557"/>
      <c r="P137" s="564">
        <v>0.1</v>
      </c>
      <c r="Q137" s="344">
        <f t="shared" si="22"/>
        <v>19654.400000000001</v>
      </c>
      <c r="R137" s="768"/>
      <c r="S137" s="632"/>
      <c r="T137" s="532">
        <f t="shared" si="23"/>
        <v>46081</v>
      </c>
      <c r="U137" s="516">
        <f t="shared" si="20"/>
        <v>13615.85537313508</v>
      </c>
      <c r="V137" s="748"/>
      <c r="W137" s="579">
        <f t="shared" si="21"/>
        <v>46091</v>
      </c>
      <c r="X137" s="742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39"/>
      <c r="J138" s="739"/>
      <c r="K138" s="273"/>
      <c r="L138" s="341">
        <v>10</v>
      </c>
      <c r="M138" s="435" t="s">
        <v>470</v>
      </c>
      <c r="N138" s="342" t="s">
        <v>416</v>
      </c>
      <c r="O138" s="557"/>
      <c r="P138" s="564">
        <v>0.1</v>
      </c>
      <c r="Q138" s="344">
        <f t="shared" si="22"/>
        <v>19654.400000000001</v>
      </c>
      <c r="R138" s="768"/>
      <c r="S138" s="632"/>
      <c r="T138" s="532">
        <v>46081</v>
      </c>
      <c r="U138" s="516">
        <f t="shared" si="20"/>
        <v>13615.85537313508</v>
      </c>
      <c r="V138" s="748"/>
      <c r="W138" s="579">
        <f t="shared" si="21"/>
        <v>46097</v>
      </c>
      <c r="X138" s="742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39"/>
      <c r="J139" s="739"/>
      <c r="K139" s="273"/>
      <c r="L139" s="341">
        <v>10</v>
      </c>
      <c r="M139" s="435" t="s">
        <v>470</v>
      </c>
      <c r="N139" s="342" t="s">
        <v>417</v>
      </c>
      <c r="O139" s="557"/>
      <c r="P139" s="564">
        <v>0.05</v>
      </c>
      <c r="Q139" s="344">
        <f t="shared" si="22"/>
        <v>9827.2000000000007</v>
      </c>
      <c r="R139" s="768"/>
      <c r="S139" s="632"/>
      <c r="T139" s="532">
        <f t="shared" si="23"/>
        <v>46112</v>
      </c>
      <c r="U139" s="516">
        <f t="shared" si="20"/>
        <v>6807.9276865675401</v>
      </c>
      <c r="V139" s="748"/>
      <c r="W139" s="579">
        <f t="shared" si="21"/>
        <v>46097</v>
      </c>
      <c r="X139" s="742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39"/>
      <c r="J140" s="739"/>
      <c r="K140" s="273"/>
      <c r="L140" s="341">
        <v>10</v>
      </c>
      <c r="M140" s="435" t="s">
        <v>470</v>
      </c>
      <c r="N140" s="342" t="s">
        <v>418</v>
      </c>
      <c r="O140" s="557"/>
      <c r="P140" s="564">
        <v>0.05</v>
      </c>
      <c r="Q140" s="344">
        <f t="shared" si="22"/>
        <v>9827.2000000000007</v>
      </c>
      <c r="R140" s="769"/>
      <c r="S140" s="632"/>
      <c r="T140" s="532">
        <f t="shared" si="23"/>
        <v>46112</v>
      </c>
      <c r="U140" s="516">
        <f t="shared" si="20"/>
        <v>6807.9276865675401</v>
      </c>
      <c r="V140" s="748"/>
      <c r="W140" s="579">
        <f t="shared" si="21"/>
        <v>46120</v>
      </c>
      <c r="X140" s="742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39"/>
      <c r="J141" s="739"/>
      <c r="K141" s="273"/>
      <c r="L141" s="341">
        <v>10</v>
      </c>
      <c r="M141" s="435" t="s">
        <v>470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48"/>
      <c r="W141" s="579"/>
      <c r="X141" s="742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39"/>
      <c r="J142" s="739"/>
      <c r="K142" s="273"/>
      <c r="L142" s="341">
        <v>10</v>
      </c>
      <c r="M142" s="435" t="s">
        <v>470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48"/>
      <c r="W142" s="579"/>
      <c r="X142" s="742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40"/>
      <c r="J143" s="740"/>
      <c r="K143" s="276"/>
      <c r="L143" s="274">
        <v>10</v>
      </c>
      <c r="M143" s="436" t="s">
        <v>470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49"/>
      <c r="W143" s="580"/>
      <c r="X143" s="743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481</v>
      </c>
      <c r="D145" s="352" t="s">
        <v>482</v>
      </c>
      <c r="E145" s="284"/>
      <c r="F145" s="437"/>
      <c r="G145" s="285">
        <v>34004.250000000007</v>
      </c>
      <c r="H145" s="573">
        <v>45900</v>
      </c>
      <c r="I145" s="732">
        <f>SUM(G145:G149)</f>
        <v>182012.75000000003</v>
      </c>
      <c r="J145" s="732">
        <f>F203</f>
        <v>206832.67045454547</v>
      </c>
      <c r="K145" s="286"/>
      <c r="L145" s="282">
        <v>11</v>
      </c>
      <c r="M145" s="352" t="s">
        <v>483</v>
      </c>
      <c r="N145" s="352" t="s">
        <v>482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44">
        <f>J145-SUM(U145:U149)</f>
        <v>2.1007240866310894E-4</v>
      </c>
      <c r="W145" s="573">
        <v>46112</v>
      </c>
      <c r="X145" s="735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484</v>
      </c>
      <c r="E146" s="315"/>
      <c r="F146" s="459"/>
      <c r="G146" s="316">
        <v>68008.500000000015</v>
      </c>
      <c r="H146" s="534">
        <v>45900</v>
      </c>
      <c r="I146" s="733"/>
      <c r="J146" s="733"/>
      <c r="K146" s="289"/>
      <c r="L146" s="312">
        <v>11</v>
      </c>
      <c r="M146" s="389" t="s">
        <v>483</v>
      </c>
      <c r="N146" s="314" t="s">
        <v>484</v>
      </c>
      <c r="O146" s="315"/>
      <c r="P146" s="459"/>
      <c r="Q146" s="316">
        <v>9019.6</v>
      </c>
      <c r="R146" s="635"/>
      <c r="S146" s="618" t="s">
        <v>485</v>
      </c>
      <c r="T146" s="644">
        <v>45930</v>
      </c>
      <c r="U146" s="669">
        <v>14096.219464915206</v>
      </c>
      <c r="V146" s="745"/>
      <c r="W146" s="534">
        <v>45757</v>
      </c>
      <c r="X146" s="736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33"/>
      <c r="J147" s="733"/>
      <c r="K147" s="289"/>
      <c r="L147" s="312">
        <v>11</v>
      </c>
      <c r="M147" s="389" t="s">
        <v>483</v>
      </c>
      <c r="N147" s="314" t="s">
        <v>486</v>
      </c>
      <c r="O147" s="315"/>
      <c r="P147" s="459"/>
      <c r="Q147" s="316">
        <v>9620</v>
      </c>
      <c r="R147" s="582"/>
      <c r="S147" s="618" t="s">
        <v>487</v>
      </c>
      <c r="T147" s="644">
        <v>45930</v>
      </c>
      <c r="U147" s="669">
        <v>15034.550451514953</v>
      </c>
      <c r="V147" s="745"/>
      <c r="W147" s="534">
        <v>45723</v>
      </c>
      <c r="X147" s="736"/>
      <c r="Y147" s="482"/>
    </row>
    <row r="148" spans="1:25" ht="15" customHeight="1">
      <c r="B148" s="312">
        <v>11</v>
      </c>
      <c r="C148" s="387"/>
      <c r="D148" s="387" t="s">
        <v>488</v>
      </c>
      <c r="E148" s="406"/>
      <c r="F148" s="444"/>
      <c r="G148" s="386">
        <v>80000</v>
      </c>
      <c r="H148" s="567">
        <v>45900</v>
      </c>
      <c r="I148" s="733"/>
      <c r="J148" s="733"/>
      <c r="K148" s="289"/>
      <c r="L148" s="312">
        <v>11</v>
      </c>
      <c r="M148" s="389" t="s">
        <v>483</v>
      </c>
      <c r="N148" s="387" t="s">
        <v>488</v>
      </c>
      <c r="O148" s="406"/>
      <c r="P148" s="444"/>
      <c r="Q148" s="386">
        <v>79700</v>
      </c>
      <c r="R148" s="583" t="s">
        <v>489</v>
      </c>
      <c r="S148" s="619" t="s">
        <v>490</v>
      </c>
      <c r="T148" s="644">
        <v>45930</v>
      </c>
      <c r="U148" s="669">
        <f>124558.593657562-1152.58</f>
        <v>123406.013657562</v>
      </c>
      <c r="V148" s="745"/>
      <c r="W148" s="567">
        <v>45716</v>
      </c>
      <c r="X148" s="736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34"/>
      <c r="J149" s="734"/>
      <c r="K149" s="290"/>
      <c r="L149" s="317">
        <v>11</v>
      </c>
      <c r="M149" s="419" t="s">
        <v>483</v>
      </c>
      <c r="N149" s="318" t="s">
        <v>491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46"/>
      <c r="W149" s="568">
        <v>46142</v>
      </c>
      <c r="X149" s="737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492</v>
      </c>
      <c r="D151" s="271"/>
      <c r="E151" s="272"/>
      <c r="F151" s="470"/>
      <c r="G151" s="339"/>
      <c r="H151" s="577"/>
      <c r="I151" s="738">
        <f>SUM(G151:G152)</f>
        <v>0</v>
      </c>
      <c r="J151" s="738">
        <v>0</v>
      </c>
      <c r="K151" s="750"/>
      <c r="L151" s="270">
        <v>12</v>
      </c>
      <c r="M151" s="271" t="s">
        <v>493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41">
        <f>SUM(Q151:Q152)</f>
        <v>0</v>
      </c>
      <c r="Y151" s="482"/>
    </row>
    <row r="152" spans="1:25" ht="15" customHeight="1" thickBot="1">
      <c r="B152" s="274">
        <v>12</v>
      </c>
      <c r="C152" s="345" t="s">
        <v>492</v>
      </c>
      <c r="D152" s="345"/>
      <c r="E152" s="346"/>
      <c r="F152" s="472"/>
      <c r="G152" s="275"/>
      <c r="H152" s="580"/>
      <c r="I152" s="740"/>
      <c r="J152" s="740"/>
      <c r="K152" s="751"/>
      <c r="L152" s="274">
        <v>12</v>
      </c>
      <c r="M152" s="345" t="s">
        <v>493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43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494</v>
      </c>
      <c r="D154" s="352" t="s">
        <v>495</v>
      </c>
      <c r="E154" s="284"/>
      <c r="F154" s="437"/>
      <c r="G154" s="285">
        <v>110470.56870833333</v>
      </c>
      <c r="H154" s="573">
        <v>45900</v>
      </c>
      <c r="I154" s="732">
        <f>SUM(G154:G158)</f>
        <v>429230.63442261907</v>
      </c>
      <c r="J154" s="732">
        <f>F202</f>
        <v>487762.08457115805</v>
      </c>
      <c r="K154" s="286"/>
      <c r="L154" s="282">
        <v>13</v>
      </c>
      <c r="M154" s="352" t="s">
        <v>496</v>
      </c>
      <c r="N154" s="352" t="s">
        <v>497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44">
        <f>J154-SUM(U154:U159)</f>
        <v>0</v>
      </c>
      <c r="W154" s="573">
        <v>46142</v>
      </c>
      <c r="X154" s="735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498</v>
      </c>
      <c r="E155" s="315"/>
      <c r="F155" s="459"/>
      <c r="G155" s="316">
        <v>77714.28571428571</v>
      </c>
      <c r="H155" s="566">
        <v>45900</v>
      </c>
      <c r="I155" s="733"/>
      <c r="J155" s="733"/>
      <c r="K155" s="289"/>
      <c r="L155" s="312">
        <v>13</v>
      </c>
      <c r="M155" s="389" t="s">
        <v>496</v>
      </c>
      <c r="N155" s="314" t="s">
        <v>498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45"/>
      <c r="W155" s="566"/>
      <c r="X155" s="736"/>
      <c r="Y155" s="482"/>
    </row>
    <row r="156" spans="1:25" ht="15.75" customHeight="1">
      <c r="B156" s="312">
        <v>13</v>
      </c>
      <c r="C156" s="314"/>
      <c r="D156" s="314" t="s">
        <v>499</v>
      </c>
      <c r="E156" s="315"/>
      <c r="F156" s="459"/>
      <c r="G156" s="316">
        <v>136000</v>
      </c>
      <c r="H156" s="566">
        <v>45900</v>
      </c>
      <c r="I156" s="733"/>
      <c r="J156" s="733"/>
      <c r="K156" s="289"/>
      <c r="L156" s="312">
        <v>13</v>
      </c>
      <c r="M156" s="389" t="s">
        <v>496</v>
      </c>
      <c r="N156" s="314" t="s">
        <v>499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45"/>
      <c r="W156" s="566"/>
      <c r="X156" s="736"/>
      <c r="Y156" s="482"/>
    </row>
    <row r="157" spans="1:25" ht="15.75" customHeight="1">
      <c r="B157" s="312">
        <v>13</v>
      </c>
      <c r="C157" s="314"/>
      <c r="D157" s="314" t="s">
        <v>500</v>
      </c>
      <c r="E157" s="315"/>
      <c r="F157" s="459"/>
      <c r="G157" s="316">
        <v>52000</v>
      </c>
      <c r="H157" s="566">
        <v>45900</v>
      </c>
      <c r="I157" s="733"/>
      <c r="J157" s="733"/>
      <c r="K157" s="289"/>
      <c r="L157" s="312">
        <v>13</v>
      </c>
      <c r="M157" s="389" t="s">
        <v>496</v>
      </c>
      <c r="N157" s="314" t="s">
        <v>500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45"/>
      <c r="W157" s="566"/>
      <c r="X157" s="736"/>
      <c r="Y157" s="482"/>
    </row>
    <row r="158" spans="1:25" ht="15.75" customHeight="1">
      <c r="B158" s="312">
        <v>13</v>
      </c>
      <c r="C158" s="314"/>
      <c r="D158" s="314" t="s">
        <v>501</v>
      </c>
      <c r="E158" s="315"/>
      <c r="F158" s="459"/>
      <c r="G158" s="316">
        <v>53045.780000000006</v>
      </c>
      <c r="H158" s="566">
        <v>45900</v>
      </c>
      <c r="I158" s="733"/>
      <c r="J158" s="733"/>
      <c r="K158" s="289"/>
      <c r="L158" s="312">
        <v>13</v>
      </c>
      <c r="M158" s="389" t="s">
        <v>496</v>
      </c>
      <c r="N158" s="314" t="s">
        <v>501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45"/>
      <c r="W158" s="566"/>
      <c r="X158" s="736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34"/>
      <c r="J159" s="734"/>
      <c r="K159" s="365"/>
      <c r="L159" s="317">
        <v>13</v>
      </c>
      <c r="M159" s="419" t="s">
        <v>496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46"/>
      <c r="W159" s="568"/>
      <c r="X159" s="737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502</v>
      </c>
      <c r="D161" s="271" t="s">
        <v>503</v>
      </c>
      <c r="E161" s="272"/>
      <c r="F161" s="470"/>
      <c r="G161" s="339">
        <f>D213</f>
        <v>23800</v>
      </c>
      <c r="H161" s="537">
        <v>45905</v>
      </c>
      <c r="I161" s="738">
        <f>SUM(G161:G172)</f>
        <v>23800</v>
      </c>
      <c r="J161" s="738">
        <f>F213</f>
        <v>28000</v>
      </c>
      <c r="K161" s="340"/>
      <c r="L161" s="270">
        <v>14</v>
      </c>
      <c r="M161" s="434" t="s">
        <v>504</v>
      </c>
      <c r="N161" s="271" t="s">
        <v>505</v>
      </c>
      <c r="O161" s="556"/>
      <c r="P161" s="470"/>
      <c r="Q161" s="339">
        <v>13986.749999999998</v>
      </c>
      <c r="R161" s="594"/>
      <c r="S161" s="636" t="s">
        <v>506</v>
      </c>
      <c r="T161" s="645">
        <v>45930</v>
      </c>
      <c r="U161" s="670">
        <v>16326.887799201642</v>
      </c>
      <c r="V161" s="747">
        <f>J161-SUM(U161:U172)</f>
        <v>0</v>
      </c>
      <c r="W161" s="537">
        <v>45905</v>
      </c>
      <c r="X161" s="741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39"/>
      <c r="J162" s="739"/>
      <c r="K162" s="273"/>
      <c r="L162" s="341">
        <v>14</v>
      </c>
      <c r="M162" s="435" t="s">
        <v>504</v>
      </c>
      <c r="N162" s="342" t="s">
        <v>505</v>
      </c>
      <c r="O162" s="557"/>
      <c r="P162" s="471"/>
      <c r="Q162" s="344">
        <v>10587.7</v>
      </c>
      <c r="R162" s="596"/>
      <c r="S162" s="630" t="s">
        <v>506</v>
      </c>
      <c r="T162" s="681">
        <v>45961</v>
      </c>
      <c r="U162" s="687">
        <v>3732.1066782460925</v>
      </c>
      <c r="V162" s="748"/>
      <c r="W162" s="682">
        <v>45967</v>
      </c>
      <c r="X162" s="742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39"/>
      <c r="J163" s="739"/>
      <c r="K163" s="273"/>
      <c r="L163" s="341">
        <v>14</v>
      </c>
      <c r="M163" s="435" t="s">
        <v>504</v>
      </c>
      <c r="N163" s="342" t="s">
        <v>505</v>
      </c>
      <c r="O163" s="557"/>
      <c r="P163" s="471"/>
      <c r="Q163" s="344">
        <v>5515.35</v>
      </c>
      <c r="R163" s="596"/>
      <c r="S163" s="630" t="s">
        <v>506</v>
      </c>
      <c r="T163" s="681">
        <v>45991</v>
      </c>
      <c r="U163" s="687">
        <v>3279.4745358867531</v>
      </c>
      <c r="V163" s="748"/>
      <c r="W163" s="682">
        <v>45996</v>
      </c>
      <c r="X163" s="742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39"/>
      <c r="J164" s="739"/>
      <c r="K164" s="273"/>
      <c r="L164" s="341">
        <v>14</v>
      </c>
      <c r="M164" s="435" t="s">
        <v>504</v>
      </c>
      <c r="N164" s="342" t="s">
        <v>505</v>
      </c>
      <c r="O164" s="557"/>
      <c r="P164" s="471"/>
      <c r="Q164" s="344">
        <v>0</v>
      </c>
      <c r="R164" s="596"/>
      <c r="S164" s="630" t="s">
        <v>506</v>
      </c>
      <c r="T164" s="681">
        <v>46022</v>
      </c>
      <c r="U164" s="701">
        <v>0</v>
      </c>
      <c r="V164" s="748"/>
      <c r="W164" s="682">
        <v>46022</v>
      </c>
      <c r="X164" s="742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39"/>
      <c r="J165" s="739"/>
      <c r="K165" s="273"/>
      <c r="L165" s="341">
        <v>14</v>
      </c>
      <c r="M165" s="435" t="s">
        <v>504</v>
      </c>
      <c r="N165" s="342" t="s">
        <v>505</v>
      </c>
      <c r="O165" s="557"/>
      <c r="P165" s="471"/>
      <c r="Q165" s="344">
        <v>0</v>
      </c>
      <c r="R165" s="596"/>
      <c r="S165" s="630" t="s">
        <v>506</v>
      </c>
      <c r="T165" s="681">
        <v>46053</v>
      </c>
      <c r="U165" s="683">
        <v>0</v>
      </c>
      <c r="V165" s="748"/>
      <c r="W165" s="682">
        <v>46058</v>
      </c>
      <c r="X165" s="742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39"/>
      <c r="J166" s="739"/>
      <c r="K166" s="273"/>
      <c r="L166" s="341">
        <v>14</v>
      </c>
      <c r="M166" s="435" t="s">
        <v>504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48"/>
      <c r="W166" s="579">
        <v>46093</v>
      </c>
      <c r="X166" s="742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39"/>
      <c r="J167" s="739"/>
      <c r="K167" s="273"/>
      <c r="L167" s="341">
        <v>14</v>
      </c>
      <c r="M167" s="435" t="s">
        <v>504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48"/>
      <c r="W167" s="579"/>
      <c r="X167" s="742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39"/>
      <c r="J168" s="739"/>
      <c r="K168" s="273"/>
      <c r="L168" s="341">
        <v>14</v>
      </c>
      <c r="M168" s="435" t="s">
        <v>504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48"/>
      <c r="W168" s="579"/>
      <c r="X168" s="742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39"/>
      <c r="J169" s="739"/>
      <c r="K169" s="273"/>
      <c r="L169" s="341">
        <v>14</v>
      </c>
      <c r="M169" s="435" t="s">
        <v>504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48"/>
      <c r="W169" s="579"/>
      <c r="X169" s="742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39"/>
      <c r="J170" s="739"/>
      <c r="K170" s="273"/>
      <c r="L170" s="341">
        <v>14</v>
      </c>
      <c r="M170" s="435" t="s">
        <v>504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48"/>
      <c r="W170" s="579"/>
      <c r="X170" s="742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39"/>
      <c r="J171" s="739"/>
      <c r="K171" s="273"/>
      <c r="L171" s="341">
        <v>14</v>
      </c>
      <c r="M171" s="435" t="s">
        <v>504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48"/>
      <c r="W171" s="579"/>
      <c r="X171" s="742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40"/>
      <c r="J172" s="740"/>
      <c r="K172" s="276"/>
      <c r="L172" s="274">
        <v>14</v>
      </c>
      <c r="M172" s="436" t="s">
        <v>504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49"/>
      <c r="W172" s="580"/>
      <c r="X172" s="743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507</v>
      </c>
      <c r="D174" s="283"/>
      <c r="E174" s="284"/>
      <c r="F174" s="437"/>
      <c r="G174" s="285"/>
      <c r="H174" s="573"/>
      <c r="I174" s="732">
        <f>SUM(G174:G185)</f>
        <v>0</v>
      </c>
      <c r="J174" s="732">
        <f>F210</f>
        <v>2000000</v>
      </c>
      <c r="K174" s="286"/>
      <c r="L174" s="282">
        <v>15</v>
      </c>
      <c r="M174" s="352" t="s">
        <v>508</v>
      </c>
      <c r="N174" s="283"/>
      <c r="O174" s="284"/>
      <c r="P174" s="437"/>
      <c r="Q174" s="285"/>
      <c r="R174" s="589"/>
      <c r="S174" s="625"/>
      <c r="T174" s="525"/>
      <c r="U174" s="511"/>
      <c r="V174" s="744">
        <v>0</v>
      </c>
      <c r="W174" s="573"/>
      <c r="X174" s="735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33"/>
      <c r="J175" s="733"/>
      <c r="K175" s="289"/>
      <c r="L175" s="312">
        <v>15</v>
      </c>
      <c r="M175" s="389" t="s">
        <v>508</v>
      </c>
      <c r="N175" s="314"/>
      <c r="O175" s="543"/>
      <c r="P175" s="459"/>
      <c r="Q175" s="316"/>
      <c r="R175" s="582"/>
      <c r="S175" s="618"/>
      <c r="T175" s="518"/>
      <c r="U175" s="503"/>
      <c r="V175" s="745"/>
      <c r="W175" s="566"/>
      <c r="X175" s="736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33"/>
      <c r="J176" s="733"/>
      <c r="K176" s="289"/>
      <c r="L176" s="312">
        <v>15</v>
      </c>
      <c r="M176" s="389" t="s">
        <v>508</v>
      </c>
      <c r="N176" s="314" t="s">
        <v>509</v>
      </c>
      <c r="O176" s="543"/>
      <c r="P176" s="459"/>
      <c r="Q176" s="316">
        <v>56132.72</v>
      </c>
      <c r="R176" s="582" t="s">
        <v>510</v>
      </c>
      <c r="S176" s="618" t="s">
        <v>511</v>
      </c>
      <c r="T176" s="644">
        <v>46022</v>
      </c>
      <c r="U176" s="503"/>
      <c r="V176" s="745"/>
      <c r="W176" s="534">
        <v>46058</v>
      </c>
      <c r="X176" s="736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33"/>
      <c r="J177" s="733"/>
      <c r="K177" s="289"/>
      <c r="L177" s="312">
        <v>15</v>
      </c>
      <c r="M177" s="389" t="s">
        <v>508</v>
      </c>
      <c r="N177" s="314" t="s">
        <v>512</v>
      </c>
      <c r="O177" s="543"/>
      <c r="P177" s="459"/>
      <c r="Q177" s="316">
        <v>54437.33</v>
      </c>
      <c r="R177" s="582" t="s">
        <v>513</v>
      </c>
      <c r="S177" s="618" t="s">
        <v>411</v>
      </c>
      <c r="T177" s="644">
        <v>46053</v>
      </c>
      <c r="U177" s="503"/>
      <c r="V177" s="745"/>
      <c r="W177" s="534">
        <f>W179</f>
        <v>46066</v>
      </c>
      <c r="X177" s="736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33"/>
      <c r="J178" s="733"/>
      <c r="K178" s="289"/>
      <c r="L178" s="312">
        <v>15</v>
      </c>
      <c r="M178" s="389" t="s">
        <v>508</v>
      </c>
      <c r="N178" s="314"/>
      <c r="O178" s="543"/>
      <c r="P178" s="459"/>
      <c r="Q178" s="316"/>
      <c r="R178" s="582"/>
      <c r="S178" s="618"/>
      <c r="T178" s="644"/>
      <c r="U178" s="503"/>
      <c r="V178" s="745"/>
      <c r="W178" s="566"/>
      <c r="X178" s="736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33"/>
      <c r="J179" s="733"/>
      <c r="K179" s="289"/>
      <c r="L179" s="312">
        <v>15</v>
      </c>
      <c r="M179" s="389" t="s">
        <v>508</v>
      </c>
      <c r="N179" s="314" t="s">
        <v>514</v>
      </c>
      <c r="O179" s="543"/>
      <c r="P179" s="459"/>
      <c r="Q179" s="316">
        <v>95838</v>
      </c>
      <c r="R179" s="582"/>
      <c r="S179" s="618" t="s">
        <v>411</v>
      </c>
      <c r="T179" s="644">
        <v>46053</v>
      </c>
      <c r="U179" s="503"/>
      <c r="V179" s="745"/>
      <c r="W179" s="534">
        <v>46066</v>
      </c>
      <c r="X179" s="736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33"/>
      <c r="J180" s="733"/>
      <c r="K180" s="289"/>
      <c r="L180" s="312">
        <v>15</v>
      </c>
      <c r="M180" s="389" t="s">
        <v>508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45"/>
      <c r="W180" s="566"/>
      <c r="X180" s="736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33"/>
      <c r="J181" s="733"/>
      <c r="K181" s="289"/>
      <c r="L181" s="312">
        <v>15</v>
      </c>
      <c r="M181" s="389" t="s">
        <v>508</v>
      </c>
      <c r="N181" s="314" t="s">
        <v>515</v>
      </c>
      <c r="O181" s="543"/>
      <c r="P181" s="459"/>
      <c r="Q181" s="316">
        <v>21393.95</v>
      </c>
      <c r="R181" s="582" t="s">
        <v>516</v>
      </c>
      <c r="S181" s="618"/>
      <c r="T181" s="518">
        <v>46112</v>
      </c>
      <c r="U181" s="503"/>
      <c r="V181" s="745"/>
      <c r="W181" s="566">
        <f>T181</f>
        <v>46112</v>
      </c>
      <c r="X181" s="736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33"/>
      <c r="J182" s="733"/>
      <c r="K182" s="289"/>
      <c r="L182" s="312">
        <v>15</v>
      </c>
      <c r="M182" s="389" t="s">
        <v>508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45"/>
      <c r="W182" s="566"/>
      <c r="X182" s="736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33"/>
      <c r="J183" s="733"/>
      <c r="K183" s="289"/>
      <c r="L183" s="312">
        <v>15</v>
      </c>
      <c r="M183" s="389" t="s">
        <v>508</v>
      </c>
      <c r="N183" s="314" t="s">
        <v>517</v>
      </c>
      <c r="O183" s="543"/>
      <c r="P183" s="459"/>
      <c r="Q183" s="316">
        <v>237957.79</v>
      </c>
      <c r="R183" s="582" t="s">
        <v>518</v>
      </c>
      <c r="S183" s="618"/>
      <c r="T183" s="518">
        <v>46112</v>
      </c>
      <c r="U183" s="503"/>
      <c r="V183" s="745"/>
      <c r="W183" s="566">
        <f>T183</f>
        <v>46112</v>
      </c>
      <c r="X183" s="736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33"/>
      <c r="J184" s="733"/>
      <c r="K184" s="289"/>
      <c r="L184" s="312">
        <v>15</v>
      </c>
      <c r="M184" s="389" t="s">
        <v>508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45"/>
      <c r="W184" s="566"/>
      <c r="X184" s="736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34"/>
      <c r="J185" s="734"/>
      <c r="K185" s="290"/>
      <c r="L185" s="317">
        <v>15</v>
      </c>
      <c r="M185" s="419" t="s">
        <v>508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46"/>
      <c r="W185" s="568"/>
      <c r="X185" s="737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519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520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521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406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443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420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522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523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524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525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526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527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528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529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530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531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532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533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534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535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536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537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524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538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539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2"/>
  </cols>
  <sheetData>
    <row r="1" spans="1:794">
      <c r="D1" s="188" t="s">
        <v>540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5" t="s">
        <v>541</v>
      </c>
      <c r="B2" s="193"/>
      <c r="C2" s="194" t="s">
        <v>351</v>
      </c>
      <c r="D2" s="194" t="s">
        <v>351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6" t="s">
        <v>271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6"/>
      <c r="B4" s="196" t="s">
        <v>542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6"/>
      <c r="B5" s="200" t="s">
        <v>273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6"/>
      <c r="B6" s="200" t="s">
        <v>543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6"/>
      <c r="B7" s="205" t="s">
        <v>544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5" t="s">
        <v>268</v>
      </c>
      <c r="B8" s="193"/>
      <c r="C8" s="194" t="s">
        <v>351</v>
      </c>
      <c r="D8" s="194" t="s">
        <v>351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10" t="s">
        <v>545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6"/>
      <c r="B10" s="210" t="s">
        <v>546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6"/>
      <c r="B11" s="213" t="s">
        <v>547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88888.005000000005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178801.02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297492.39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140354.30432724001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6"/>
      <c r="B12" s="213" t="s">
        <v>548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6690934.8280000007</v>
      </c>
      <c r="BL12" s="215">
        <f t="shared" si="26"/>
        <v>6690934.8280000007</v>
      </c>
      <c r="BM12" s="215">
        <f t="shared" si="26"/>
        <v>6869735.8480000002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7433357.1679999996</v>
      </c>
      <c r="BQ12" s="215">
        <f t="shared" si="26"/>
        <v>7518507.6779999994</v>
      </c>
      <c r="BR12" s="215">
        <f t="shared" si="26"/>
        <v>7518507.6779999994</v>
      </c>
      <c r="BS12" s="215">
        <f t="shared" si="26"/>
        <v>7518507.6779999994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36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5" t="s">
        <v>549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1547838.9319999991</v>
      </c>
      <c r="BL14" s="208">
        <f t="shared" si="32"/>
        <v>1547838.9319999991</v>
      </c>
      <c r="BM14" s="208">
        <f t="shared" si="32"/>
        <v>1369037.9119999995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2994987.182</v>
      </c>
      <c r="BQ14" s="208">
        <f t="shared" si="32"/>
        <v>2909836.6720000003</v>
      </c>
      <c r="BR14" s="208">
        <f t="shared" si="32"/>
        <v>2909836.6720000003</v>
      </c>
      <c r="BS14" s="208">
        <f t="shared" si="32"/>
        <v>2909836.6720000003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351</v>
      </c>
      <c r="D16" s="194" t="s">
        <v>351</v>
      </c>
    </row>
    <row r="17" spans="1:316">
      <c r="A17" s="837"/>
      <c r="B17" s="196" t="s">
        <v>550</v>
      </c>
      <c r="C17" s="374">
        <f>C3-D17</f>
        <v>8.3446726202964783E-3</v>
      </c>
      <c r="D17" s="197">
        <f>SUM(F17:LD17)</f>
        <v>10428344.337834528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358473.28626188077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982036.64180504798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7"/>
      <c r="B18" s="196" t="s">
        <v>551</v>
      </c>
      <c r="C18" s="374">
        <f>D17-D18</f>
        <v>0</v>
      </c>
      <c r="D18" s="197">
        <f>MAX(F18:LD18)</f>
        <v>10428344.337834528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9446307.6960294805</v>
      </c>
      <c r="BL18" s="215">
        <f t="shared" si="37"/>
        <v>9446307.6960294805</v>
      </c>
      <c r="BM18" s="215">
        <f t="shared" si="37"/>
        <v>9446307.6960294805</v>
      </c>
      <c r="BN18" s="215">
        <f t="shared" si="37"/>
        <v>9446307.6960294805</v>
      </c>
      <c r="BO18" s="215">
        <f t="shared" si="37"/>
        <v>9446307.6960294805</v>
      </c>
      <c r="BP18" s="215">
        <f t="shared" si="37"/>
        <v>10428344.337834528</v>
      </c>
      <c r="BQ18" s="215">
        <f t="shared" si="37"/>
        <v>10428344.337834528</v>
      </c>
      <c r="BR18" s="215">
        <f t="shared" si="37"/>
        <v>10428344.337834528</v>
      </c>
      <c r="BS18" s="215">
        <f t="shared" si="37"/>
        <v>10428344.337834528</v>
      </c>
      <c r="BT18" s="215">
        <f t="shared" si="37"/>
        <v>10428344.337834528</v>
      </c>
      <c r="BU18" s="215">
        <f t="shared" ref="BU18:EF18" si="38">BT18+BU17</f>
        <v>10428344.337834528</v>
      </c>
      <c r="BV18" s="215">
        <f t="shared" si="38"/>
        <v>10428344.337834528</v>
      </c>
      <c r="BW18" s="215">
        <f t="shared" si="38"/>
        <v>10428344.337834528</v>
      </c>
      <c r="BX18" s="215">
        <f t="shared" si="38"/>
        <v>10428344.337834528</v>
      </c>
      <c r="BY18" s="215">
        <f t="shared" si="38"/>
        <v>10428344.337834528</v>
      </c>
      <c r="BZ18" s="215">
        <f t="shared" si="38"/>
        <v>10428344.337834528</v>
      </c>
      <c r="CA18" s="215">
        <f t="shared" si="38"/>
        <v>10428344.337834528</v>
      </c>
      <c r="CB18" s="215">
        <f t="shared" si="38"/>
        <v>10428344.337834528</v>
      </c>
      <c r="CC18" s="215">
        <f t="shared" si="38"/>
        <v>10428344.337834528</v>
      </c>
      <c r="CD18" s="215">
        <f t="shared" si="38"/>
        <v>10428344.337834528</v>
      </c>
      <c r="CE18" s="215">
        <f t="shared" si="38"/>
        <v>10428344.337834528</v>
      </c>
      <c r="CF18" s="215">
        <f t="shared" si="38"/>
        <v>10428344.337834528</v>
      </c>
      <c r="CG18" s="215">
        <f t="shared" si="38"/>
        <v>10428344.337834528</v>
      </c>
      <c r="CH18" s="215">
        <f t="shared" si="38"/>
        <v>10428344.337834528</v>
      </c>
      <c r="CI18" s="215">
        <f t="shared" si="38"/>
        <v>10428344.337834528</v>
      </c>
      <c r="CJ18" s="215">
        <f t="shared" si="38"/>
        <v>10428344.337834528</v>
      </c>
      <c r="CK18" s="215">
        <f t="shared" si="38"/>
        <v>10428344.337834528</v>
      </c>
      <c r="CL18" s="215">
        <f t="shared" si="38"/>
        <v>10428344.337834528</v>
      </c>
      <c r="CM18" s="215">
        <f t="shared" si="38"/>
        <v>10428344.337834528</v>
      </c>
      <c r="CN18" s="215">
        <f t="shared" si="38"/>
        <v>10428344.337834528</v>
      </c>
      <c r="CO18" s="215">
        <f t="shared" si="38"/>
        <v>10428344.337834528</v>
      </c>
      <c r="CP18" s="215">
        <f t="shared" si="38"/>
        <v>10428344.337834528</v>
      </c>
      <c r="CQ18" s="215">
        <f t="shared" si="38"/>
        <v>10428344.337834528</v>
      </c>
      <c r="CR18" s="215">
        <f t="shared" si="38"/>
        <v>10428344.337834528</v>
      </c>
      <c r="CS18" s="215">
        <f t="shared" si="38"/>
        <v>10428344.337834528</v>
      </c>
      <c r="CT18" s="215">
        <f t="shared" si="38"/>
        <v>10428344.337834528</v>
      </c>
      <c r="CU18" s="215">
        <f t="shared" si="38"/>
        <v>10428344.337834528</v>
      </c>
      <c r="CV18" s="215">
        <f t="shared" si="38"/>
        <v>10428344.337834528</v>
      </c>
      <c r="CW18" s="215">
        <f t="shared" si="38"/>
        <v>10428344.337834528</v>
      </c>
      <c r="CX18" s="215">
        <f t="shared" si="38"/>
        <v>10428344.337834528</v>
      </c>
      <c r="CY18" s="215">
        <f t="shared" si="38"/>
        <v>10428344.337834528</v>
      </c>
      <c r="CZ18" s="215">
        <f t="shared" si="38"/>
        <v>10428344.337834528</v>
      </c>
      <c r="DA18" s="215">
        <f t="shared" si="38"/>
        <v>10428344.337834528</v>
      </c>
      <c r="DB18" s="215">
        <f t="shared" si="38"/>
        <v>10428344.337834528</v>
      </c>
      <c r="DC18" s="215">
        <f t="shared" si="38"/>
        <v>10428344.337834528</v>
      </c>
      <c r="DD18" s="215">
        <f t="shared" si="38"/>
        <v>10428344.337834528</v>
      </c>
      <c r="DE18" s="215">
        <f t="shared" si="38"/>
        <v>10428344.337834528</v>
      </c>
      <c r="DF18" s="215">
        <f t="shared" si="38"/>
        <v>10428344.337834528</v>
      </c>
      <c r="DG18" s="215">
        <f t="shared" si="38"/>
        <v>10428344.337834528</v>
      </c>
      <c r="DH18" s="215">
        <f t="shared" si="38"/>
        <v>10428344.337834528</v>
      </c>
      <c r="DI18" s="215">
        <f t="shared" si="38"/>
        <v>10428344.337834528</v>
      </c>
      <c r="DJ18" s="215">
        <f t="shared" si="38"/>
        <v>10428344.337834528</v>
      </c>
      <c r="DK18" s="215">
        <f t="shared" si="38"/>
        <v>10428344.337834528</v>
      </c>
      <c r="DL18" s="215">
        <f t="shared" si="38"/>
        <v>10428344.337834528</v>
      </c>
      <c r="DM18" s="215">
        <f t="shared" si="38"/>
        <v>10428344.337834528</v>
      </c>
      <c r="DN18" s="215">
        <f t="shared" si="38"/>
        <v>10428344.337834528</v>
      </c>
      <c r="DO18" s="215">
        <f t="shared" si="38"/>
        <v>10428344.337834528</v>
      </c>
      <c r="DP18" s="215">
        <f t="shared" si="38"/>
        <v>10428344.337834528</v>
      </c>
      <c r="DQ18" s="215">
        <f t="shared" si="38"/>
        <v>10428344.337834528</v>
      </c>
      <c r="DR18" s="215">
        <f t="shared" si="38"/>
        <v>10428344.337834528</v>
      </c>
      <c r="DS18" s="215">
        <f t="shared" si="38"/>
        <v>10428344.337834528</v>
      </c>
      <c r="DT18" s="215">
        <f t="shared" si="38"/>
        <v>10428344.337834528</v>
      </c>
      <c r="DU18" s="215">
        <f t="shared" si="38"/>
        <v>10428344.337834528</v>
      </c>
      <c r="DV18" s="215">
        <f t="shared" si="38"/>
        <v>10428344.337834528</v>
      </c>
      <c r="DW18" s="215">
        <f t="shared" si="38"/>
        <v>10428344.337834528</v>
      </c>
      <c r="DX18" s="215">
        <f t="shared" si="38"/>
        <v>10428344.337834528</v>
      </c>
      <c r="DY18" s="215">
        <f t="shared" si="38"/>
        <v>10428344.337834528</v>
      </c>
      <c r="DZ18" s="215">
        <f t="shared" si="38"/>
        <v>10428344.337834528</v>
      </c>
      <c r="EA18" s="215">
        <f t="shared" si="38"/>
        <v>10428344.337834528</v>
      </c>
      <c r="EB18" s="215">
        <f t="shared" si="38"/>
        <v>10428344.337834528</v>
      </c>
      <c r="EC18" s="215">
        <f t="shared" si="38"/>
        <v>10428344.337834528</v>
      </c>
      <c r="ED18" s="215">
        <f t="shared" si="38"/>
        <v>10428344.337834528</v>
      </c>
      <c r="EE18" s="215">
        <f t="shared" si="38"/>
        <v>10428344.337834528</v>
      </c>
      <c r="EF18" s="215">
        <f t="shared" si="38"/>
        <v>10428344.337834528</v>
      </c>
      <c r="EG18" s="215">
        <f t="shared" ref="EG18:GR18" si="39">EF18+EG17</f>
        <v>10428344.337834528</v>
      </c>
      <c r="EH18" s="215">
        <f t="shared" si="39"/>
        <v>10428344.337834528</v>
      </c>
      <c r="EI18" s="215">
        <f t="shared" si="39"/>
        <v>10428344.337834528</v>
      </c>
      <c r="EJ18" s="215">
        <f t="shared" si="39"/>
        <v>10428344.337834528</v>
      </c>
      <c r="EK18" s="215">
        <f t="shared" si="39"/>
        <v>10428344.337834528</v>
      </c>
      <c r="EL18" s="215">
        <f t="shared" si="39"/>
        <v>10428344.337834528</v>
      </c>
      <c r="EM18" s="215">
        <f t="shared" si="39"/>
        <v>10428344.337834528</v>
      </c>
      <c r="EN18" s="215">
        <f t="shared" si="39"/>
        <v>10428344.337834528</v>
      </c>
      <c r="EO18" s="215">
        <f t="shared" si="39"/>
        <v>10428344.337834528</v>
      </c>
      <c r="EP18" s="215">
        <f t="shared" si="39"/>
        <v>10428344.337834528</v>
      </c>
      <c r="EQ18" s="215">
        <f t="shared" si="39"/>
        <v>10428344.337834528</v>
      </c>
      <c r="ER18" s="215">
        <f t="shared" si="39"/>
        <v>10428344.337834528</v>
      </c>
      <c r="ES18" s="215">
        <f t="shared" si="39"/>
        <v>10428344.337834528</v>
      </c>
      <c r="ET18" s="215">
        <f t="shared" si="39"/>
        <v>10428344.337834528</v>
      </c>
      <c r="EU18" s="215">
        <f t="shared" si="39"/>
        <v>10428344.337834528</v>
      </c>
      <c r="EV18" s="215">
        <f t="shared" si="39"/>
        <v>10428344.337834528</v>
      </c>
      <c r="EW18" s="215">
        <f t="shared" si="39"/>
        <v>10428344.337834528</v>
      </c>
      <c r="EX18" s="215">
        <f t="shared" si="39"/>
        <v>10428344.337834528</v>
      </c>
      <c r="EY18" s="215">
        <f t="shared" si="39"/>
        <v>10428344.337834528</v>
      </c>
      <c r="EZ18" s="215">
        <f t="shared" si="39"/>
        <v>10428344.337834528</v>
      </c>
      <c r="FA18" s="215">
        <f t="shared" si="39"/>
        <v>10428344.337834528</v>
      </c>
      <c r="FB18" s="215">
        <f t="shared" si="39"/>
        <v>10428344.337834528</v>
      </c>
      <c r="FC18" s="215">
        <f t="shared" si="39"/>
        <v>10428344.337834528</v>
      </c>
      <c r="FD18" s="215">
        <f t="shared" si="39"/>
        <v>10428344.337834528</v>
      </c>
      <c r="FE18" s="215">
        <f t="shared" si="39"/>
        <v>10428344.337834528</v>
      </c>
      <c r="FF18" s="215">
        <f t="shared" si="39"/>
        <v>10428344.337834528</v>
      </c>
      <c r="FG18" s="215">
        <f t="shared" si="39"/>
        <v>10428344.337834528</v>
      </c>
      <c r="FH18" s="215">
        <f t="shared" si="39"/>
        <v>10428344.337834528</v>
      </c>
      <c r="FI18" s="215">
        <f t="shared" si="39"/>
        <v>10428344.337834528</v>
      </c>
      <c r="FJ18" s="215">
        <f t="shared" si="39"/>
        <v>10428344.337834528</v>
      </c>
      <c r="FK18" s="215">
        <f t="shared" si="39"/>
        <v>10428344.337834528</v>
      </c>
      <c r="FL18" s="215">
        <f t="shared" si="39"/>
        <v>10428344.337834528</v>
      </c>
      <c r="FM18" s="215">
        <f t="shared" si="39"/>
        <v>10428344.337834528</v>
      </c>
      <c r="FN18" s="215">
        <f t="shared" si="39"/>
        <v>10428344.337834528</v>
      </c>
      <c r="FO18" s="215">
        <f t="shared" si="39"/>
        <v>10428344.337834528</v>
      </c>
      <c r="FP18" s="215">
        <f t="shared" si="39"/>
        <v>10428344.337834528</v>
      </c>
      <c r="FQ18" s="215">
        <f t="shared" si="39"/>
        <v>10428344.337834528</v>
      </c>
      <c r="FR18" s="215">
        <f t="shared" si="39"/>
        <v>10428344.337834528</v>
      </c>
      <c r="FS18" s="215">
        <f t="shared" si="39"/>
        <v>10428344.337834528</v>
      </c>
      <c r="FT18" s="215">
        <f t="shared" si="39"/>
        <v>10428344.337834528</v>
      </c>
      <c r="FU18" s="215">
        <f t="shared" si="39"/>
        <v>10428344.337834528</v>
      </c>
      <c r="FV18" s="215">
        <f t="shared" si="39"/>
        <v>10428344.337834528</v>
      </c>
      <c r="FW18" s="215">
        <f t="shared" si="39"/>
        <v>10428344.337834528</v>
      </c>
      <c r="FX18" s="215">
        <f t="shared" si="39"/>
        <v>10428344.337834528</v>
      </c>
      <c r="FY18" s="215">
        <f t="shared" si="39"/>
        <v>10428344.337834528</v>
      </c>
      <c r="FZ18" s="215">
        <f t="shared" si="39"/>
        <v>10428344.337834528</v>
      </c>
      <c r="GA18" s="215">
        <f t="shared" si="39"/>
        <v>10428344.337834528</v>
      </c>
      <c r="GB18" s="215">
        <f t="shared" si="39"/>
        <v>10428344.337834528</v>
      </c>
      <c r="GC18" s="215">
        <f t="shared" si="39"/>
        <v>10428344.337834528</v>
      </c>
      <c r="GD18" s="215">
        <f t="shared" si="39"/>
        <v>10428344.337834528</v>
      </c>
      <c r="GE18" s="215">
        <f t="shared" si="39"/>
        <v>10428344.337834528</v>
      </c>
      <c r="GF18" s="215">
        <f t="shared" si="39"/>
        <v>10428344.337834528</v>
      </c>
      <c r="GG18" s="215">
        <f t="shared" si="39"/>
        <v>10428344.337834528</v>
      </c>
      <c r="GH18" s="215">
        <f t="shared" si="39"/>
        <v>10428344.337834528</v>
      </c>
      <c r="GI18" s="215">
        <f t="shared" si="39"/>
        <v>10428344.337834528</v>
      </c>
      <c r="GJ18" s="215">
        <f t="shared" si="39"/>
        <v>10428344.337834528</v>
      </c>
      <c r="GK18" s="215">
        <f t="shared" si="39"/>
        <v>10428344.337834528</v>
      </c>
      <c r="GL18" s="215">
        <f t="shared" si="39"/>
        <v>10428344.337834528</v>
      </c>
      <c r="GM18" s="215">
        <f t="shared" si="39"/>
        <v>10428344.337834528</v>
      </c>
      <c r="GN18" s="215">
        <f t="shared" si="39"/>
        <v>10428344.337834528</v>
      </c>
      <c r="GO18" s="215">
        <f t="shared" si="39"/>
        <v>10428344.337834528</v>
      </c>
      <c r="GP18" s="215">
        <f t="shared" si="39"/>
        <v>10428344.337834528</v>
      </c>
      <c r="GQ18" s="215">
        <f t="shared" si="39"/>
        <v>10428344.337834528</v>
      </c>
      <c r="GR18" s="215">
        <f t="shared" si="39"/>
        <v>10428344.337834528</v>
      </c>
      <c r="GS18" s="215">
        <f t="shared" ref="GS18:JD18" si="40">GR18+GS17</f>
        <v>10428344.337834528</v>
      </c>
      <c r="GT18" s="215">
        <f t="shared" si="40"/>
        <v>10428344.337834528</v>
      </c>
      <c r="GU18" s="215">
        <f t="shared" si="40"/>
        <v>10428344.337834528</v>
      </c>
      <c r="GV18" s="215">
        <f t="shared" si="40"/>
        <v>10428344.337834528</v>
      </c>
      <c r="GW18" s="215">
        <f t="shared" si="40"/>
        <v>10428344.337834528</v>
      </c>
      <c r="GX18" s="215">
        <f t="shared" si="40"/>
        <v>10428344.337834528</v>
      </c>
      <c r="GY18" s="215">
        <f t="shared" si="40"/>
        <v>10428344.337834528</v>
      </c>
      <c r="GZ18" s="215">
        <f t="shared" si="40"/>
        <v>10428344.337834528</v>
      </c>
      <c r="HA18" s="215">
        <f t="shared" si="40"/>
        <v>10428344.337834528</v>
      </c>
      <c r="HB18" s="215">
        <f t="shared" si="40"/>
        <v>10428344.337834528</v>
      </c>
      <c r="HC18" s="215">
        <f t="shared" si="40"/>
        <v>10428344.337834528</v>
      </c>
      <c r="HD18" s="215">
        <f t="shared" si="40"/>
        <v>10428344.337834528</v>
      </c>
      <c r="HE18" s="215">
        <f t="shared" si="40"/>
        <v>10428344.337834528</v>
      </c>
      <c r="HF18" s="215">
        <f t="shared" si="40"/>
        <v>10428344.337834528</v>
      </c>
      <c r="HG18" s="215">
        <f t="shared" si="40"/>
        <v>10428344.337834528</v>
      </c>
      <c r="HH18" s="215">
        <f t="shared" si="40"/>
        <v>10428344.337834528</v>
      </c>
      <c r="HI18" s="215">
        <f t="shared" si="40"/>
        <v>10428344.337834528</v>
      </c>
      <c r="HJ18" s="215">
        <f t="shared" si="40"/>
        <v>10428344.337834528</v>
      </c>
      <c r="HK18" s="215">
        <f t="shared" si="40"/>
        <v>10428344.337834528</v>
      </c>
      <c r="HL18" s="215">
        <f t="shared" si="40"/>
        <v>10428344.337834528</v>
      </c>
      <c r="HM18" s="215">
        <f t="shared" si="40"/>
        <v>10428344.337834528</v>
      </c>
      <c r="HN18" s="215">
        <f t="shared" si="40"/>
        <v>10428344.337834528</v>
      </c>
      <c r="HO18" s="215">
        <f t="shared" si="40"/>
        <v>10428344.337834528</v>
      </c>
      <c r="HP18" s="215">
        <f t="shared" si="40"/>
        <v>10428344.337834528</v>
      </c>
      <c r="HQ18" s="215">
        <f t="shared" si="40"/>
        <v>10428344.337834528</v>
      </c>
      <c r="HR18" s="215">
        <f t="shared" si="40"/>
        <v>10428344.337834528</v>
      </c>
      <c r="HS18" s="215">
        <f t="shared" si="40"/>
        <v>10428344.337834528</v>
      </c>
      <c r="HT18" s="215">
        <f t="shared" si="40"/>
        <v>10428344.337834528</v>
      </c>
      <c r="HU18" s="215">
        <f t="shared" si="40"/>
        <v>10428344.337834528</v>
      </c>
      <c r="HV18" s="215">
        <f t="shared" si="40"/>
        <v>10428344.337834528</v>
      </c>
      <c r="HW18" s="215">
        <f t="shared" si="40"/>
        <v>10428344.337834528</v>
      </c>
      <c r="HX18" s="215">
        <f t="shared" si="40"/>
        <v>10428344.337834528</v>
      </c>
      <c r="HY18" s="215">
        <f t="shared" si="40"/>
        <v>10428344.337834528</v>
      </c>
      <c r="HZ18" s="215">
        <f t="shared" si="40"/>
        <v>10428344.337834528</v>
      </c>
      <c r="IA18" s="215">
        <f t="shared" si="40"/>
        <v>10428344.337834528</v>
      </c>
      <c r="IB18" s="215">
        <f t="shared" si="40"/>
        <v>10428344.337834528</v>
      </c>
      <c r="IC18" s="215">
        <f t="shared" si="40"/>
        <v>10428344.337834528</v>
      </c>
      <c r="ID18" s="215">
        <f t="shared" si="40"/>
        <v>10428344.337834528</v>
      </c>
      <c r="IE18" s="215">
        <f t="shared" si="40"/>
        <v>10428344.337834528</v>
      </c>
      <c r="IF18" s="215">
        <f t="shared" si="40"/>
        <v>10428344.337834528</v>
      </c>
      <c r="IG18" s="215">
        <f t="shared" si="40"/>
        <v>10428344.337834528</v>
      </c>
      <c r="IH18" s="215">
        <f t="shared" si="40"/>
        <v>10428344.337834528</v>
      </c>
      <c r="II18" s="215">
        <f t="shared" si="40"/>
        <v>10428344.337834528</v>
      </c>
      <c r="IJ18" s="215">
        <f t="shared" si="40"/>
        <v>10428344.337834528</v>
      </c>
      <c r="IK18" s="215">
        <f t="shared" si="40"/>
        <v>10428344.337834528</v>
      </c>
      <c r="IL18" s="215">
        <f t="shared" si="40"/>
        <v>10428344.337834528</v>
      </c>
      <c r="IM18" s="215">
        <f t="shared" si="40"/>
        <v>10428344.337834528</v>
      </c>
      <c r="IN18" s="215">
        <f t="shared" si="40"/>
        <v>10428344.337834528</v>
      </c>
      <c r="IO18" s="215">
        <f t="shared" si="40"/>
        <v>10428344.337834528</v>
      </c>
      <c r="IP18" s="215">
        <f t="shared" si="40"/>
        <v>10428344.337834528</v>
      </c>
      <c r="IQ18" s="215">
        <f t="shared" si="40"/>
        <v>10428344.337834528</v>
      </c>
      <c r="IR18" s="215">
        <f t="shared" si="40"/>
        <v>10428344.337834528</v>
      </c>
      <c r="IS18" s="215">
        <f t="shared" si="40"/>
        <v>10428344.337834528</v>
      </c>
      <c r="IT18" s="215">
        <f t="shared" si="40"/>
        <v>10428344.337834528</v>
      </c>
      <c r="IU18" s="215">
        <f t="shared" si="40"/>
        <v>10428344.337834528</v>
      </c>
      <c r="IV18" s="215">
        <f t="shared" si="40"/>
        <v>10428344.337834528</v>
      </c>
      <c r="IW18" s="215">
        <f t="shared" si="40"/>
        <v>10428344.337834528</v>
      </c>
      <c r="IX18" s="215">
        <f t="shared" si="40"/>
        <v>10428344.337834528</v>
      </c>
      <c r="IY18" s="215">
        <f t="shared" si="40"/>
        <v>10428344.337834528</v>
      </c>
      <c r="IZ18" s="215">
        <f t="shared" si="40"/>
        <v>10428344.337834528</v>
      </c>
      <c r="JA18" s="215">
        <f t="shared" si="40"/>
        <v>10428344.337834528</v>
      </c>
      <c r="JB18" s="215">
        <f t="shared" si="40"/>
        <v>10428344.337834528</v>
      </c>
      <c r="JC18" s="215">
        <f t="shared" si="40"/>
        <v>10428344.337834528</v>
      </c>
      <c r="JD18" s="215">
        <f t="shared" si="40"/>
        <v>10428344.337834528</v>
      </c>
      <c r="JE18" s="215">
        <f t="shared" ref="JE18:LD18" si="41">JD18+JE17</f>
        <v>10428344.337834528</v>
      </c>
      <c r="JF18" s="215">
        <f t="shared" si="41"/>
        <v>10428344.337834528</v>
      </c>
      <c r="JG18" s="215">
        <f t="shared" si="41"/>
        <v>10428344.337834528</v>
      </c>
      <c r="JH18" s="215">
        <f t="shared" si="41"/>
        <v>10428344.337834528</v>
      </c>
      <c r="JI18" s="215">
        <f t="shared" si="41"/>
        <v>10428344.337834528</v>
      </c>
      <c r="JJ18" s="215">
        <f t="shared" si="41"/>
        <v>10428344.337834528</v>
      </c>
      <c r="JK18" s="215">
        <f t="shared" si="41"/>
        <v>10428344.337834528</v>
      </c>
      <c r="JL18" s="215">
        <f t="shared" si="41"/>
        <v>10428344.337834528</v>
      </c>
      <c r="JM18" s="215">
        <f t="shared" si="41"/>
        <v>10428344.337834528</v>
      </c>
      <c r="JN18" s="215">
        <f t="shared" si="41"/>
        <v>10428344.337834528</v>
      </c>
      <c r="JO18" s="215">
        <f t="shared" si="41"/>
        <v>10428344.337834528</v>
      </c>
      <c r="JP18" s="215">
        <f t="shared" si="41"/>
        <v>10428344.337834528</v>
      </c>
      <c r="JQ18" s="215">
        <f t="shared" si="41"/>
        <v>10428344.337834528</v>
      </c>
      <c r="JR18" s="215">
        <f t="shared" si="41"/>
        <v>10428344.337834528</v>
      </c>
      <c r="JS18" s="215">
        <f t="shared" si="41"/>
        <v>10428344.337834528</v>
      </c>
      <c r="JT18" s="215">
        <f t="shared" si="41"/>
        <v>10428344.337834528</v>
      </c>
      <c r="JU18" s="215">
        <f t="shared" si="41"/>
        <v>10428344.337834528</v>
      </c>
      <c r="JV18" s="215">
        <f t="shared" si="41"/>
        <v>10428344.337834528</v>
      </c>
      <c r="JW18" s="215">
        <f t="shared" si="41"/>
        <v>10428344.337834528</v>
      </c>
      <c r="JX18" s="215">
        <f t="shared" si="41"/>
        <v>10428344.337834528</v>
      </c>
      <c r="JY18" s="215">
        <f t="shared" si="41"/>
        <v>10428344.337834528</v>
      </c>
      <c r="JZ18" s="215">
        <f t="shared" si="41"/>
        <v>10428344.337834528</v>
      </c>
      <c r="KA18" s="215">
        <f t="shared" si="41"/>
        <v>10428344.337834528</v>
      </c>
      <c r="KB18" s="215">
        <f t="shared" si="41"/>
        <v>10428344.337834528</v>
      </c>
      <c r="KC18" s="215">
        <f t="shared" si="41"/>
        <v>10428344.337834528</v>
      </c>
      <c r="KD18" s="215">
        <f t="shared" si="41"/>
        <v>10428344.337834528</v>
      </c>
      <c r="KE18" s="215">
        <f t="shared" si="41"/>
        <v>10428344.337834528</v>
      </c>
      <c r="KF18" s="215">
        <f t="shared" si="41"/>
        <v>10428344.337834528</v>
      </c>
      <c r="KG18" s="215">
        <f t="shared" si="41"/>
        <v>10428344.337834528</v>
      </c>
      <c r="KH18" s="215">
        <f t="shared" si="41"/>
        <v>10428344.337834528</v>
      </c>
      <c r="KI18" s="215">
        <f t="shared" si="41"/>
        <v>10428344.337834528</v>
      </c>
      <c r="KJ18" s="215">
        <f t="shared" si="41"/>
        <v>10428344.337834528</v>
      </c>
      <c r="KK18" s="215">
        <f t="shared" si="41"/>
        <v>10428344.337834528</v>
      </c>
      <c r="KL18" s="215">
        <f t="shared" si="41"/>
        <v>10428344.337834528</v>
      </c>
      <c r="KM18" s="215">
        <f t="shared" si="41"/>
        <v>10428344.337834528</v>
      </c>
      <c r="KN18" s="215">
        <f t="shared" si="41"/>
        <v>10428344.337834528</v>
      </c>
      <c r="KO18" s="215">
        <f t="shared" si="41"/>
        <v>10428344.337834528</v>
      </c>
      <c r="KP18" s="215">
        <f t="shared" si="41"/>
        <v>10428344.337834528</v>
      </c>
      <c r="KQ18" s="215">
        <f t="shared" si="41"/>
        <v>10428344.337834528</v>
      </c>
      <c r="KR18" s="215">
        <f t="shared" si="41"/>
        <v>10428344.337834528</v>
      </c>
      <c r="KS18" s="215">
        <f t="shared" si="41"/>
        <v>10428344.337834528</v>
      </c>
      <c r="KT18" s="215">
        <f t="shared" si="41"/>
        <v>10428344.337834528</v>
      </c>
      <c r="KU18" s="215">
        <f t="shared" si="41"/>
        <v>10428344.337834528</v>
      </c>
      <c r="KV18" s="215">
        <f t="shared" si="41"/>
        <v>10428344.337834528</v>
      </c>
      <c r="KW18" s="215">
        <f t="shared" si="41"/>
        <v>10428344.337834528</v>
      </c>
      <c r="KX18" s="215">
        <f t="shared" si="41"/>
        <v>10428344.337834528</v>
      </c>
      <c r="KY18" s="215">
        <f t="shared" si="41"/>
        <v>10428344.337834528</v>
      </c>
      <c r="KZ18" s="215">
        <f t="shared" si="41"/>
        <v>10428344.337834528</v>
      </c>
      <c r="LA18" s="215">
        <f t="shared" si="41"/>
        <v>10428344.337834528</v>
      </c>
      <c r="LB18" s="215">
        <f t="shared" si="41"/>
        <v>10428344.337834528</v>
      </c>
      <c r="LC18" s="215">
        <f t="shared" si="41"/>
        <v>10428344.337834528</v>
      </c>
      <c r="LD18" s="215">
        <f t="shared" si="41"/>
        <v>10428344.337834528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59765625" defaultRowHeight="14.25"/>
  <cols>
    <col min="1" max="1" width="39.3984375" style="367" bestFit="1" customWidth="1"/>
    <col min="2" max="2" width="17.265625" style="368" bestFit="1" customWidth="1"/>
    <col min="3" max="3" width="13.1328125" style="367" bestFit="1" customWidth="1"/>
    <col min="4" max="5" width="14.86328125" style="367" bestFit="1" customWidth="1"/>
    <col min="6" max="6" width="13.1328125" style="367" bestFit="1" customWidth="1"/>
    <col min="7" max="7" width="4.86328125" style="367" bestFit="1" customWidth="1"/>
    <col min="8" max="10" width="13.1328125" style="367" bestFit="1" customWidth="1"/>
    <col min="11" max="12" width="16" style="367" bestFit="1" customWidth="1"/>
    <col min="13" max="13" width="14.265625" style="367" bestFit="1" customWidth="1"/>
    <col min="14" max="14" width="13.59765625" style="367" bestFit="1" customWidth="1"/>
    <col min="15" max="18" width="11.3984375" style="367" bestFit="1" customWidth="1"/>
    <col min="19" max="19" width="13.59765625" style="367" bestFit="1" customWidth="1"/>
    <col min="20" max="16384" width="12.5976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552</v>
      </c>
      <c r="B3" s="446" t="s">
        <v>553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554</v>
      </c>
      <c r="B4" t="s">
        <v>555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556</v>
      </c>
      <c r="L4"/>
      <c r="M4"/>
      <c r="N4"/>
      <c r="O4"/>
      <c r="P4"/>
      <c r="Q4"/>
      <c r="R4"/>
      <c r="S4"/>
      <c r="T4"/>
    </row>
    <row r="5" spans="1:20">
      <c r="A5" s="447" t="s">
        <v>555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354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369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380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404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421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444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451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465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470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483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496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504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508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493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449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556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3984375" defaultRowHeight="14.25"/>
  <cols>
    <col min="1" max="1" width="21.86328125" bestFit="1" customWidth="1"/>
    <col min="2" max="2" width="17.265625" style="407" bestFit="1" customWidth="1"/>
    <col min="3" max="3" width="13.1328125" style="407" bestFit="1" customWidth="1"/>
    <col min="4" max="4" width="14.86328125" style="407" bestFit="1" customWidth="1"/>
    <col min="5" max="6" width="13.1328125" style="407" bestFit="1" customWidth="1"/>
    <col min="7" max="7" width="13.59765625" style="407" bestFit="1" customWidth="1"/>
    <col min="8" max="9" width="13.1328125" style="407" bestFit="1" customWidth="1"/>
    <col min="10" max="10" width="13.1328125" bestFit="1" customWidth="1"/>
    <col min="11" max="12" width="14.863281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446" t="s">
        <v>557</v>
      </c>
      <c r="B3" s="446" t="s">
        <v>553</v>
      </c>
      <c r="C3"/>
      <c r="D3"/>
      <c r="E3"/>
      <c r="F3"/>
      <c r="G3"/>
      <c r="H3"/>
      <c r="I3"/>
    </row>
    <row r="4" spans="1:11">
      <c r="A4" s="446" t="s">
        <v>554</v>
      </c>
      <c r="B4" t="s">
        <v>555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556</v>
      </c>
    </row>
    <row r="5" spans="1:11">
      <c r="A5" s="447" t="s">
        <v>555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354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369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380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404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421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444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451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465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470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483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496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504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508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493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556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558</v>
      </c>
    </row>
    <row r="2" spans="1:4">
      <c r="A2" s="839"/>
      <c r="B2" s="839"/>
      <c r="C2" s="839"/>
      <c r="D2" s="71"/>
    </row>
    <row r="3" spans="1:4">
      <c r="A3" s="838" t="s">
        <v>559</v>
      </c>
      <c r="B3" s="838"/>
      <c r="C3" s="838"/>
      <c r="D3" s="111">
        <v>0.32</v>
      </c>
    </row>
    <row r="4" spans="1:4">
      <c r="A4" s="838" t="s">
        <v>527</v>
      </c>
      <c r="B4" s="838"/>
      <c r="C4" s="838"/>
      <c r="D4" s="111">
        <v>0.5</v>
      </c>
    </row>
    <row r="5" spans="1:4">
      <c r="A5" s="838" t="s">
        <v>538</v>
      </c>
      <c r="B5" s="838"/>
      <c r="C5" s="838"/>
      <c r="D5" s="111">
        <v>0.15</v>
      </c>
    </row>
    <row r="6" spans="1:4">
      <c r="A6" s="838" t="s">
        <v>560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26562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40" t="s">
        <v>561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97</v>
      </c>
      <c r="C4" s="86"/>
      <c r="D4" s="90" t="s">
        <v>562</v>
      </c>
      <c r="E4" s="95"/>
      <c r="F4" s="90" t="s">
        <v>563</v>
      </c>
      <c r="H4" s="90" t="s">
        <v>564</v>
      </c>
      <c r="I4" s="95"/>
      <c r="J4" s="90" t="s">
        <v>565</v>
      </c>
      <c r="L4" s="90" t="s">
        <v>564</v>
      </c>
      <c r="M4" s="90"/>
      <c r="N4" s="90" t="s">
        <v>566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567</v>
      </c>
      <c r="H7" s="99"/>
      <c r="I7" s="95"/>
      <c r="J7" s="107" t="s">
        <v>567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567</v>
      </c>
      <c r="H15" s="99"/>
      <c r="I15" s="95"/>
      <c r="J15" s="107" t="s">
        <v>567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567</v>
      </c>
      <c r="H21" s="99"/>
      <c r="I21" s="95"/>
      <c r="J21" s="107" t="s">
        <v>567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567</v>
      </c>
      <c r="H27" s="99"/>
      <c r="I27" s="95"/>
      <c r="J27" s="107" t="s">
        <v>567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567</v>
      </c>
      <c r="H34" s="99"/>
      <c r="I34" s="95"/>
      <c r="J34" s="107" t="s">
        <v>567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26562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265625" style="88" bestFit="1" customWidth="1"/>
    <col min="16" max="16384" width="9.3984375" style="88"/>
  </cols>
  <sheetData>
    <row r="2" spans="2:15" s="94" customFormat="1" ht="17.649999999999999">
      <c r="B2" s="840" t="s">
        <v>581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97</v>
      </c>
      <c r="C4" s="86"/>
      <c r="D4" s="90" t="s">
        <v>562</v>
      </c>
      <c r="E4" s="95"/>
      <c r="F4" s="95"/>
      <c r="G4" s="90" t="s">
        <v>582</v>
      </c>
      <c r="H4" s="96"/>
      <c r="J4" s="90" t="s">
        <v>564</v>
      </c>
      <c r="L4" s="90" t="s">
        <v>583</v>
      </c>
      <c r="M4" s="96"/>
      <c r="O4" s="90" t="s">
        <v>564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562</v>
      </c>
      <c r="E18" s="95"/>
      <c r="F18" s="95"/>
      <c r="G18" s="90" t="s">
        <v>585</v>
      </c>
      <c r="H18" s="96"/>
      <c r="J18" s="90" t="s">
        <v>564</v>
      </c>
      <c r="L18" s="90" t="s">
        <v>586</v>
      </c>
      <c r="M18" s="96"/>
      <c r="O18" s="90" t="s">
        <v>564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592</v>
      </c>
      <c r="C32" s="103"/>
      <c r="D32" s="103"/>
    </row>
    <row r="33" spans="2:4" ht="13.15" thickTop="1"/>
    <row r="34" spans="2:4">
      <c r="B34" s="88" t="s">
        <v>562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42" t="str">
        <f>D15</f>
        <v>Seshego Circle</v>
      </c>
      <c r="C1" s="842"/>
      <c r="D1" s="842"/>
      <c r="E1" s="841" t="s">
        <v>594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595</v>
      </c>
      <c r="D3" s="72" t="s">
        <v>596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2026-02-23T09:08:49Z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