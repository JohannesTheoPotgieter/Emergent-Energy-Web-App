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0" documentId="13_ncr:1_{1E996938-B962-4070-B04B-D138D75EB19F}" xr6:coauthVersionLast="47" xr6:coauthVersionMax="47" xr10:uidLastSave="{00000000-0000-0000-0000-000000000000}"/>
  <bookViews>
    <workbookView xWindow="-28920" yWindow="720" windowWidth="29040" windowHeight="15720" tabRatio="71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D236" i="18"/>
  <c r="D237" i="18"/>
  <c r="E237" i="18"/>
  <c r="D4" i="5"/>
  <c r="X52" i="18" l="1"/>
  <c r="X82" i="18"/>
  <c r="X67" i="18"/>
  <c r="X36" i="18"/>
  <c r="X21" i="18"/>
  <c r="X6" i="18"/>
  <c r="J82" i="18"/>
  <c r="I82" i="18"/>
  <c r="J67" i="18"/>
  <c r="I67" i="18"/>
  <c r="J52" i="18"/>
  <c r="I52" i="18"/>
  <c r="J36" i="18"/>
  <c r="I36" i="18"/>
  <c r="J21" i="18"/>
  <c r="J6" i="18"/>
  <c r="I21" i="18"/>
  <c r="G52" i="18"/>
  <c r="G6" i="18"/>
  <c r="I6" i="18" s="1"/>
  <c r="I22" i="2"/>
  <c r="I17" i="2"/>
  <c r="I19" i="2" s="1"/>
  <c r="K19" i="2" s="1"/>
  <c r="E22" i="2"/>
  <c r="G22" i="2" s="1"/>
  <c r="E17" i="2"/>
  <c r="G17" i="2" s="1"/>
  <c r="I12" i="2"/>
  <c r="E12" i="2"/>
  <c r="H12" i="14"/>
  <c r="U12" i="18" l="1"/>
  <c r="U65" i="18"/>
  <c r="U11" i="18"/>
  <c r="U64" i="18"/>
  <c r="U63" i="18"/>
  <c r="U9" i="18"/>
  <c r="U62" i="18"/>
  <c r="U8" i="18"/>
  <c r="U61" i="18"/>
  <c r="U7" i="18"/>
  <c r="U6" i="18"/>
  <c r="U59" i="18"/>
  <c r="U58" i="18"/>
  <c r="U57" i="18"/>
  <c r="U55" i="18"/>
  <c r="U54" i="18"/>
  <c r="U53" i="18"/>
  <c r="U52" i="18"/>
  <c r="U19" i="18"/>
  <c r="U18" i="18"/>
  <c r="U17" i="18"/>
  <c r="U16" i="18"/>
  <c r="U15" i="18"/>
  <c r="U14" i="18"/>
  <c r="U13" i="18"/>
  <c r="U10" i="18"/>
  <c r="U56" i="18"/>
  <c r="U60" i="18"/>
  <c r="I24" i="2"/>
  <c r="K24" i="2" s="1"/>
  <c r="K22" i="2"/>
  <c r="K17" i="2"/>
  <c r="E23" i="2"/>
  <c r="E24" i="2"/>
  <c r="G24" i="2" s="1"/>
  <c r="E18" i="2"/>
  <c r="E19" i="2"/>
  <c r="G19" i="2" s="1"/>
  <c r="K12" i="2"/>
  <c r="I14" i="2"/>
  <c r="K14" i="2" s="1"/>
  <c r="I23" i="2" l="1"/>
  <c r="I18" i="2"/>
  <c r="E25" i="2"/>
  <c r="G23" i="2"/>
  <c r="G18" i="2"/>
  <c r="E20" i="2"/>
  <c r="G20" i="2" s="1"/>
  <c r="I13" i="2"/>
  <c r="E14" i="2"/>
  <c r="G14" i="2" s="1"/>
  <c r="M11" i="2"/>
  <c r="M9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E13" i="2" s="1"/>
  <c r="G13" i="2" s="1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53" i="5"/>
  <c r="E54" i="5"/>
  <c r="E28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I25" i="2" l="1"/>
  <c r="K25" i="2" s="1"/>
  <c r="K23" i="2"/>
  <c r="I20" i="2"/>
  <c r="K20" i="2" s="1"/>
  <c r="K18" i="2"/>
  <c r="G25" i="2"/>
  <c r="G21" i="2" s="1"/>
  <c r="E21" i="2"/>
  <c r="E16" i="2" s="1"/>
  <c r="H17" i="3"/>
  <c r="I15" i="2"/>
  <c r="K15" i="2" s="1"/>
  <c r="K13" i="2"/>
  <c r="N12" i="2"/>
  <c r="N14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E15" i="2"/>
  <c r="G15" i="2" s="1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I21" i="2" l="1"/>
  <c r="I16" i="2" s="1"/>
  <c r="K21" i="2"/>
  <c r="K16" i="2" s="1"/>
  <c r="F21" i="2"/>
  <c r="G16" i="2"/>
  <c r="F16" i="2" s="1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G18" i="6"/>
  <c r="J22" i="3"/>
  <c r="J17" i="3"/>
  <c r="F14" i="6"/>
  <c r="F28" i="5"/>
  <c r="F4" i="5" s="1"/>
  <c r="J13" i="3"/>
  <c r="J10" i="3"/>
  <c r="J19" i="3"/>
  <c r="H5" i="3"/>
  <c r="H12" i="6"/>
  <c r="H4" i="6"/>
  <c r="J16" i="2" l="1"/>
  <c r="J21" i="2"/>
  <c r="G7" i="6"/>
  <c r="G14" i="6"/>
  <c r="H18" i="6"/>
  <c r="I18" i="6" s="1"/>
  <c r="J18" i="6" s="1"/>
  <c r="K11" i="2"/>
  <c r="I11" i="2"/>
  <c r="N15" i="2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E11" i="2"/>
  <c r="F54" i="5"/>
  <c r="F49" i="5" s="1"/>
  <c r="F5" i="5"/>
  <c r="H25" i="3"/>
  <c r="H14" i="6"/>
  <c r="C9" i="6"/>
  <c r="I4" i="6"/>
  <c r="H7" i="6"/>
  <c r="F52" i="5" l="1"/>
  <c r="F48" i="5"/>
  <c r="F50" i="5"/>
  <c r="F51" i="5"/>
  <c r="K18" i="6"/>
  <c r="L18" i="6" s="1"/>
  <c r="J11" i="2"/>
  <c r="N25" i="2"/>
  <c r="L10" i="6"/>
  <c r="I14" i="6"/>
  <c r="J12" i="6"/>
  <c r="J14" i="6" s="1"/>
  <c r="F11" i="2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53" i="5" l="1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L14" i="6" l="1"/>
  <c r="N17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8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N19" i="2" l="1"/>
  <c r="W37" i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N20" i="2" l="1"/>
  <c r="X36" i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22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N23" i="2"/>
  <c r="N24" i="2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<sst xmlns="http://schemas.openxmlformats.org/spreadsheetml/2006/main" count="563" uniqueCount="290">
  <si>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</si>
  <si>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</si>
  <si>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</si>
  <si>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</si>
  <si>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</si>
  <si>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</si>
  <si>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</si>
  <si>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</si>
  <si>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</si>
  <si>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</si>
  <si>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</si>
  <si>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</si>
  <si>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</si>
  <si>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</si>
  <si>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</si>
  <si>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</si>
  <si>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</si>
  <si>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</si>
  <si>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</si>
  <si>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</si>
  <si>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</si>
  <si>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</si>
  <si>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</si>
  <si>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</si>
  <si>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</si>
  <si>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</si>
  <si>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</si>
  <si>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</si>
  <si>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</si>
  <si>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</si>
  <si>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</si>
  <si>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</si>
  <si>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</si>
  <si>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</si>
  <si>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</si>
  <si>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</si>
  <si>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</si>
  <si>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</si>
  <si>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</si>
  <si>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</si>
  <si>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</si>
  <si>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</si>
  <si>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</si>
  <si>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</si>
  <si>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</si>
  <si>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</si>
  <si>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</si>
  <si>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</si>
  <si>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</si>
  <si>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</si>
  <si>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</si>
  <si>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</si>
  <si>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</si>
  <si>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</si>
  <si>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</si>
  <si>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</si>
  <si>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</si>
  <si>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</si>
  <si>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</si>
  <si>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</si>
  <si>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</si>
  <si>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</si>
  <si>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</si>
  <si>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</si>
  <si>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</si>
  <si>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</si>
  <si>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</si>
  <si>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</si>
  <si>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</si>
  <si>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</si>
  <si>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</si>
  <si>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</si>
  <si>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</si>
  <si>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</si>
  <si>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</si>
  <si>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</si>
  <si>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</si>
  <si>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</si>
  <si>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</si>
  <si>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</si>
  <si>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</si>
  <si>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</si>
  <si>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</si>
  <si>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</si>
  <si>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</si>
  <si>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1.1</t>
  </si>
  <si>
    <t>PD Handover</t>
  </si>
  <si>
    <t>1.2</t>
  </si>
  <si>
    <t>1.3</t>
  </si>
  <si>
    <t>Material Procurement</t>
  </si>
  <si>
    <t>1.4</t>
  </si>
  <si>
    <t>Site Establishment</t>
  </si>
  <si>
    <t>Construction</t>
  </si>
  <si>
    <t>System Energised</t>
  </si>
  <si>
    <t>O&amp;M Monitoring</t>
  </si>
  <si>
    <t>Red Team Inspection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</si>
  <si>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</si>
  <si>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</si>
  <si>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</si>
  <si>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</si>
  <si>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</si>
  <si>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</si>
  <si>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</si>
  <si>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</si>
  <si>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</si>
  <si>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</si>
  <si>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</si>
  <si>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</si>
  <si>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End Date - PC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</si>
  <si>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</si>
  <si>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</si>
  <si>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</si>
  <si>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</si>
  <si>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</si>
  <si>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</si>
  <si>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</si>
  <si>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</si>
  <si>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</si>
  <si>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</si>
  <si>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</si>
  <si>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</si>
  <si>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</si>
  <si>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</si>
  <si>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</si>
  <si>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</si>
  <si>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</si>
  <si>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</si>
  <si>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</si>
  <si>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</si>
  <si>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</si>
  <si>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</si>
  <si>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</si>
  <si>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</si>
  <si>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</si>
  <si>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</si>
  <si>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</si>
  <si>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</si>
  <si>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</si>
  <si>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</si>
  <si>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</si>
  <si>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</si>
  <si>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</si>
  <si>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</si>
  <si>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</si>
  <si>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</si>
  <si>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</si>
  <si>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</si>
  <si>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</si>
  <si>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</si>
  <si>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</si>
  <si>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</si>
  <si>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</si>
  <si>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</si>
  <si>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</si>
  <si>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</si>
  <si>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</si>
  <si>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</si>
  <si>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</si>
  <si>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</si>
  <si>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</si>
  <si>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</si>
  <si>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</si>
  <si>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</si>
  <si>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</si>
  <si>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</si>
  <si>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</si>
  <si>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</si>
  <si>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</si>
  <si>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</si>
  <si>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</si>
  <si>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</si>
  <si>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</si>
  <si>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</si>
  <si>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</si>
  <si>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</si>
  <si>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</si>
  <si>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</si>
  <si>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AC Equipment</t>
  </si>
  <si>
    <t>Inverters</t>
  </si>
  <si>
    <t>DC Equipment</t>
  </si>
  <si>
    <t>AC Labour</t>
  </si>
  <si>
    <t>DC Labour</t>
  </si>
  <si>
    <t>Offloading</t>
  </si>
  <si>
    <t>Storage</t>
  </si>
  <si>
    <t>Telehandler</t>
  </si>
  <si>
    <t>Router</t>
  </si>
  <si>
    <t>Only services to be capture below, products above</t>
  </si>
  <si>
    <t>Travel</t>
  </si>
  <si>
    <t>Services</t>
  </si>
  <si>
    <t>Expenses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</si>
  <si>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</si>
  <si>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</si>
  <si>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</si>
  <si>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</si>
  <si>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</si>
  <si>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</si>
  <si>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</si>
  <si>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</si>
  <si>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</si>
  <si>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</si>
  <si>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</si>
  <si>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</si>
  <si>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</si>
  <si>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</si>
  <si>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</si>
  <si>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</si>
  <si>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</si>
  <si>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</si>
  <si>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</si>
  <si>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</si>
  <si>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</si>
  <si>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</si>
  <si>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</si>
  <si>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</si>
  <si>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</si>
  <si>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</si>
  <si>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</si>
  <si>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</si>
  <si>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</si>
  <si>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</si>
  <si>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</si>
  <si>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</si>
  <si>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</si>
  <si>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</si>
  <si>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</si>
  <si>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</si>
  <si>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</si>
  <si>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</si>
  <si>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</si>
  <si>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</si>
  <si>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</si>
  <si>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</si>
  <si>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</si>
  <si>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</si>
  <si>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</si>
  <si>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</si>
  <si>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</si>
  <si>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</si>
  <si>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</si>
  <si>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</si>
  <si>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</si>
  <si>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</si>
  <si>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</si>
  <si>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</si>
  <si>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</si>
  <si>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</si>
  <si>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</si>
  <si>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</si>
  <si>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</si>
  <si>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</si>
  <si>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</si>
  <si>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</si>
  <si>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</si>
  <si>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</si>
  <si>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</si>
  <si>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</si>
  <si>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</si>
  <si>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</si>
  <si>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</si>
  <si>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</si>
  <si>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</si>
  <si>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</si>
  <si>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Expected Status</t>
  </si>
  <si>
    <t>1. Products - Magic Co</t>
  </si>
  <si>
    <t>2. Services - Magic Co</t>
  </si>
  <si>
    <t>1. Products - Project Name 2</t>
  </si>
  <si>
    <t>1. Products - Project Name 3</t>
  </si>
  <si>
    <t>2. Services - Project Name 2</t>
  </si>
  <si>
    <t>2. Services - Project Name 3</t>
  </si>
  <si>
    <t>Magic Company - Deposit</t>
  </si>
  <si>
    <t>Magic Company - Balance</t>
  </si>
  <si>
    <t>Project Name 2 - Milestone 1</t>
  </si>
  <si>
    <t>Project Name 2 - Milestone 2</t>
  </si>
  <si>
    <t>Project Name 3 - Milestone 1</t>
  </si>
  <si>
    <t>Project Name 3 - Milestone 2</t>
  </si>
  <si>
    <t>Project Activities - Magic Co</t>
  </si>
  <si>
    <t>Project Activities - Project Name 2</t>
  </si>
  <si>
    <t>Project Activities - Project Name 3</t>
  </si>
  <si>
    <t>Magic Co</t>
  </si>
  <si>
    <t>Project Name</t>
  </si>
  <si>
    <t>Project Value</t>
  </si>
  <si>
    <t>Expenditure</t>
  </si>
  <si>
    <t>Revenue</t>
  </si>
  <si>
    <t>Profit</t>
  </si>
  <si>
    <t>Margin</t>
  </si>
  <si>
    <t>Project Name 2</t>
  </si>
  <si>
    <t>Project Name 3</t>
  </si>
  <si>
    <t>COS</t>
  </si>
  <si>
    <t>REV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</si>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</sst>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6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8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8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1" xfId="0" applyFont="1" applyFill="1" applyBorder="1" applyAlignment="1" applyProtection="1">
      <alignment horizont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68" fontId="13" fillId="11" borderId="83" xfId="0" applyNumberFormat="1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8" fontId="13" fillId="11" borderId="18" xfId="0" applyNumberFormat="1" applyFont="1" applyFill="1" applyBorder="1" applyAlignment="1" applyProtection="1">
      <alignment horizontal="center"/>
      <protection locked="0"/>
    </xf>
    <xf numFmtId="168" fontId="13" fillId="11" borderId="83" xfId="0" applyNumberFormat="1" applyFont="1" applyFill="1" applyBorder="1" applyAlignment="1" applyProtection="1">
      <alignment horizontal="center" vertical="center"/>
      <protection locked="0"/>
    </xf>
    <xf numFmtId="168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8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68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7" fontId="6" fillId="13" borderId="3" xfId="3" applyFont="1" applyFill="1" applyBorder="1" applyAlignment="1" applyProtection="1">
      <alignment horizontal="center"/>
      <protection locked="0"/>
    </xf>
    <xf numFmtId="168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8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8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8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8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7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8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7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7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2" xfId="0" applyFont="1" applyBorder="1" applyAlignment="1" applyProtection="1">
      <alignment horizontal="center"/>
      <protection locked="0"/>
    </xf>
    <xf numFmtId="9" fontId="30" fillId="0" borderId="33" xfId="0" applyNumberFormat="1" applyFont="1" applyBorder="1" applyAlignment="1" applyProtection="1">
      <alignment horizontal="center"/>
      <protection locked="0"/>
    </xf>
    <xf numFmtId="167" fontId="30" fillId="0" borderId="93" xfId="0" applyNumberFormat="1" applyFont="1" applyBorder="1" applyProtection="1"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7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25" fillId="0" borderId="42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7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7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3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3" xfId="0" applyFont="1" applyFill="1" applyBorder="1" applyProtection="1">
      <protection locked="0"/>
    </xf>
    <xf numFmtId="167" fontId="5" fillId="7" borderId="27" xfId="3" applyFont="1" applyFill="1" applyBorder="1" applyProtection="1">
      <protection locked="0"/>
    </xf>
    <xf numFmtId="167" fontId="5" fillId="7" borderId="2" xfId="3" applyFont="1" applyFill="1" applyBorder="1" applyProtection="1">
      <protection locked="0"/>
    </xf>
    <xf numFmtId="168" fontId="7" fillId="11" borderId="50" xfId="0" applyNumberFormat="1" applyFont="1" applyFill="1" applyBorder="1" applyAlignment="1" applyProtection="1">
      <alignment vertical="center"/>
      <protection locked="0"/>
    </xf>
    <xf numFmtId="168" fontId="7" fillId="11" borderId="14" xfId="0" applyNumberFormat="1" applyFont="1" applyFill="1" applyBorder="1" applyAlignment="1" applyProtection="1">
      <alignment vertical="center"/>
      <protection locked="0"/>
    </xf>
    <xf numFmtId="168" fontId="7" fillId="11" borderId="18" xfId="0" applyNumberFormat="1" applyFont="1" applyFill="1" applyBorder="1" applyAlignment="1" applyProtection="1">
      <alignment vertical="center"/>
      <protection locked="0"/>
    </xf>
    <xf numFmtId="168" fontId="7" fillId="13" borderId="18" xfId="0" applyNumberFormat="1" applyFont="1" applyFill="1" applyBorder="1" applyAlignment="1" applyProtection="1">
      <alignment vertical="center"/>
      <protection locked="0"/>
    </xf>
    <xf numFmtId="168" fontId="7" fillId="13" borderId="14" xfId="0" applyNumberFormat="1" applyFont="1" applyFill="1" applyBorder="1" applyAlignment="1" applyProtection="1">
      <alignment vertical="center"/>
      <protection locked="0"/>
    </xf>
    <xf numFmtId="168" fontId="7" fillId="11" borderId="0" xfId="0" applyNumberFormat="1" applyFont="1" applyFill="1" applyAlignment="1" applyProtection="1">
      <alignment vertical="center"/>
      <protection locked="0"/>
    </xf>
    <xf numFmtId="168" fontId="7" fillId="11" borderId="8" xfId="0" applyNumberFormat="1" applyFont="1" applyFill="1" applyBorder="1" applyAlignment="1" applyProtection="1">
      <alignment vertical="center"/>
      <protection locked="0"/>
    </xf>
    <xf numFmtId="168" fontId="7" fillId="13" borderId="0" xfId="0" applyNumberFormat="1" applyFont="1" applyFill="1" applyAlignment="1" applyProtection="1">
      <alignment vertical="center"/>
      <protection locked="0"/>
    </xf>
    <xf numFmtId="168" fontId="7" fillId="13" borderId="8" xfId="0" applyNumberFormat="1" applyFont="1" applyFill="1" applyBorder="1" applyAlignment="1" applyProtection="1">
      <alignment vertical="center"/>
      <protection locked="0"/>
    </xf>
    <xf numFmtId="0" fontId="13" fillId="11" borderId="83" xfId="0" applyFont="1" applyFill="1" applyBorder="1" applyAlignment="1" applyProtection="1">
      <alignment horizont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92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30" fillId="0" borderId="54" xfId="0" applyFont="1" applyBorder="1" applyAlignment="1" applyProtection="1">
      <alignment horizontal="left"/>
      <protection locked="0"/>
    </xf>
    <xf numFmtId="0" fontId="30" fillId="0" borderId="92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7" fontId="11" fillId="7" borderId="2" xfId="3" applyFont="1" applyFill="1" applyBorder="1" applyAlignment="1" applyProtection="1">
      <alignment horizontal="center"/>
      <protection locked="0"/>
    </xf>
    <xf numFmtId="167" fontId="11" fillId="7" borderId="91" xfId="3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1255</c:v>
                </c:pt>
                <c:pt idx="52">
                  <c:v>1255</c:v>
                </c:pt>
                <c:pt idx="53">
                  <c:v>7510</c:v>
                </c:pt>
                <c:pt idx="54">
                  <c:v>7510</c:v>
                </c:pt>
                <c:pt idx="55">
                  <c:v>7510</c:v>
                </c:pt>
                <c:pt idx="56">
                  <c:v>7510</c:v>
                </c:pt>
                <c:pt idx="57">
                  <c:v>7510</c:v>
                </c:pt>
                <c:pt idx="58">
                  <c:v>7510</c:v>
                </c:pt>
                <c:pt idx="59">
                  <c:v>7510</c:v>
                </c:pt>
                <c:pt idx="60">
                  <c:v>7510</c:v>
                </c:pt>
                <c:pt idx="61">
                  <c:v>7510</c:v>
                </c:pt>
                <c:pt idx="62">
                  <c:v>7510</c:v>
                </c:pt>
                <c:pt idx="63">
                  <c:v>7510</c:v>
                </c:pt>
                <c:pt idx="64">
                  <c:v>7510</c:v>
                </c:pt>
                <c:pt idx="65">
                  <c:v>7510</c:v>
                </c:pt>
                <c:pt idx="66">
                  <c:v>7510</c:v>
                </c:pt>
                <c:pt idx="67">
                  <c:v>7510</c:v>
                </c:pt>
                <c:pt idx="68">
                  <c:v>7510</c:v>
                </c:pt>
                <c:pt idx="69">
                  <c:v>7510</c:v>
                </c:pt>
                <c:pt idx="70">
                  <c:v>7510</c:v>
                </c:pt>
                <c:pt idx="71">
                  <c:v>7510</c:v>
                </c:pt>
                <c:pt idx="72">
                  <c:v>7510</c:v>
                </c:pt>
                <c:pt idx="73">
                  <c:v>7510</c:v>
                </c:pt>
                <c:pt idx="74">
                  <c:v>7510</c:v>
                </c:pt>
                <c:pt idx="75">
                  <c:v>7510</c:v>
                </c:pt>
                <c:pt idx="76">
                  <c:v>7510</c:v>
                </c:pt>
                <c:pt idx="77">
                  <c:v>7510</c:v>
                </c:pt>
                <c:pt idx="78">
                  <c:v>7510</c:v>
                </c:pt>
                <c:pt idx="79">
                  <c:v>7510</c:v>
                </c:pt>
                <c:pt idx="80">
                  <c:v>7510</c:v>
                </c:pt>
                <c:pt idx="81">
                  <c:v>7510</c:v>
                </c:pt>
                <c:pt idx="82">
                  <c:v>7510</c:v>
                </c:pt>
                <c:pt idx="83">
                  <c:v>7510</c:v>
                </c:pt>
                <c:pt idx="84">
                  <c:v>7510</c:v>
                </c:pt>
                <c:pt idx="85">
                  <c:v>7510</c:v>
                </c:pt>
                <c:pt idx="86">
                  <c:v>7510</c:v>
                </c:pt>
                <c:pt idx="87">
                  <c:v>7510</c:v>
                </c:pt>
                <c:pt idx="88">
                  <c:v>7510</c:v>
                </c:pt>
                <c:pt idx="89">
                  <c:v>7510</c:v>
                </c:pt>
                <c:pt idx="90">
                  <c:v>7510</c:v>
                </c:pt>
                <c:pt idx="91">
                  <c:v>7510</c:v>
                </c:pt>
                <c:pt idx="92">
                  <c:v>7510</c:v>
                </c:pt>
                <c:pt idx="93">
                  <c:v>7510</c:v>
                </c:pt>
                <c:pt idx="94">
                  <c:v>7510</c:v>
                </c:pt>
                <c:pt idx="95">
                  <c:v>7510</c:v>
                </c:pt>
                <c:pt idx="96">
                  <c:v>7510</c:v>
                </c:pt>
                <c:pt idx="97">
                  <c:v>7510</c:v>
                </c:pt>
                <c:pt idx="98">
                  <c:v>7510</c:v>
                </c:pt>
                <c:pt idx="99">
                  <c:v>7510</c:v>
                </c:pt>
                <c:pt idx="100">
                  <c:v>7510</c:v>
                </c:pt>
                <c:pt idx="101">
                  <c:v>7510</c:v>
                </c:pt>
                <c:pt idx="102">
                  <c:v>7510</c:v>
                </c:pt>
                <c:pt idx="103">
                  <c:v>7510</c:v>
                </c:pt>
                <c:pt idx="104">
                  <c:v>7510</c:v>
                </c:pt>
                <c:pt idx="105">
                  <c:v>7510</c:v>
                </c:pt>
                <c:pt idx="106">
                  <c:v>7510</c:v>
                </c:pt>
                <c:pt idx="107">
                  <c:v>7510</c:v>
                </c:pt>
                <c:pt idx="108">
                  <c:v>7510</c:v>
                </c:pt>
                <c:pt idx="109">
                  <c:v>7510</c:v>
                </c:pt>
                <c:pt idx="110">
                  <c:v>7510</c:v>
                </c:pt>
                <c:pt idx="111">
                  <c:v>7510</c:v>
                </c:pt>
                <c:pt idx="112">
                  <c:v>7510</c:v>
                </c:pt>
                <c:pt idx="113">
                  <c:v>7510</c:v>
                </c:pt>
                <c:pt idx="114">
                  <c:v>7510</c:v>
                </c:pt>
                <c:pt idx="115">
                  <c:v>7510</c:v>
                </c:pt>
                <c:pt idx="116">
                  <c:v>7510</c:v>
                </c:pt>
                <c:pt idx="117">
                  <c:v>7510</c:v>
                </c:pt>
                <c:pt idx="118">
                  <c:v>7510</c:v>
                </c:pt>
                <c:pt idx="119">
                  <c:v>7510</c:v>
                </c:pt>
                <c:pt idx="120">
                  <c:v>7510</c:v>
                </c:pt>
                <c:pt idx="121">
                  <c:v>7510</c:v>
                </c:pt>
                <c:pt idx="122">
                  <c:v>7510</c:v>
                </c:pt>
                <c:pt idx="123">
                  <c:v>7510</c:v>
                </c:pt>
                <c:pt idx="124">
                  <c:v>7510</c:v>
                </c:pt>
                <c:pt idx="125">
                  <c:v>7510</c:v>
                </c:pt>
                <c:pt idx="126">
                  <c:v>7510</c:v>
                </c:pt>
                <c:pt idx="127">
                  <c:v>7510</c:v>
                </c:pt>
                <c:pt idx="128">
                  <c:v>7510</c:v>
                </c:pt>
                <c:pt idx="129">
                  <c:v>7510</c:v>
                </c:pt>
                <c:pt idx="130">
                  <c:v>7510</c:v>
                </c:pt>
                <c:pt idx="131">
                  <c:v>7510</c:v>
                </c:pt>
                <c:pt idx="132">
                  <c:v>7510</c:v>
                </c:pt>
                <c:pt idx="133">
                  <c:v>7510</c:v>
                </c:pt>
                <c:pt idx="134">
                  <c:v>7510</c:v>
                </c:pt>
                <c:pt idx="135">
                  <c:v>7510</c:v>
                </c:pt>
                <c:pt idx="136">
                  <c:v>7510</c:v>
                </c:pt>
                <c:pt idx="137">
                  <c:v>7510</c:v>
                </c:pt>
                <c:pt idx="138">
                  <c:v>7510</c:v>
                </c:pt>
                <c:pt idx="139">
                  <c:v>7510</c:v>
                </c:pt>
                <c:pt idx="140">
                  <c:v>7510</c:v>
                </c:pt>
                <c:pt idx="141">
                  <c:v>7510</c:v>
                </c:pt>
                <c:pt idx="142">
                  <c:v>7510</c:v>
                </c:pt>
                <c:pt idx="143">
                  <c:v>7510</c:v>
                </c:pt>
                <c:pt idx="144">
                  <c:v>7510</c:v>
                </c:pt>
                <c:pt idx="145">
                  <c:v>7510</c:v>
                </c:pt>
                <c:pt idx="146">
                  <c:v>7510</c:v>
                </c:pt>
                <c:pt idx="147">
                  <c:v>7510</c:v>
                </c:pt>
                <c:pt idx="148">
                  <c:v>7510</c:v>
                </c:pt>
                <c:pt idx="149">
                  <c:v>7510</c:v>
                </c:pt>
                <c:pt idx="150">
                  <c:v>7510</c:v>
                </c:pt>
                <c:pt idx="151">
                  <c:v>7510</c:v>
                </c:pt>
                <c:pt idx="152">
                  <c:v>7510</c:v>
                </c:pt>
                <c:pt idx="153">
                  <c:v>7510</c:v>
                </c:pt>
                <c:pt idx="154">
                  <c:v>7510</c:v>
                </c:pt>
                <c:pt idx="155">
                  <c:v>7510</c:v>
                </c:pt>
                <c:pt idx="156">
                  <c:v>7510</c:v>
                </c:pt>
                <c:pt idx="157">
                  <c:v>7510</c:v>
                </c:pt>
                <c:pt idx="158">
                  <c:v>7510</c:v>
                </c:pt>
                <c:pt idx="159">
                  <c:v>7510</c:v>
                </c:pt>
                <c:pt idx="160">
                  <c:v>7510</c:v>
                </c:pt>
                <c:pt idx="161">
                  <c:v>7510</c:v>
                </c:pt>
                <c:pt idx="162">
                  <c:v>7510</c:v>
                </c:pt>
                <c:pt idx="163">
                  <c:v>7510</c:v>
                </c:pt>
                <c:pt idx="164">
                  <c:v>7510</c:v>
                </c:pt>
                <c:pt idx="165">
                  <c:v>7510</c:v>
                </c:pt>
                <c:pt idx="166">
                  <c:v>7510</c:v>
                </c:pt>
                <c:pt idx="167">
                  <c:v>7510</c:v>
                </c:pt>
                <c:pt idx="168">
                  <c:v>7510</c:v>
                </c:pt>
                <c:pt idx="169">
                  <c:v>7510</c:v>
                </c:pt>
                <c:pt idx="170">
                  <c:v>7510</c:v>
                </c:pt>
                <c:pt idx="171">
                  <c:v>7510</c:v>
                </c:pt>
                <c:pt idx="172">
                  <c:v>7510</c:v>
                </c:pt>
                <c:pt idx="173">
                  <c:v>7510</c:v>
                </c:pt>
                <c:pt idx="174">
                  <c:v>7510</c:v>
                </c:pt>
                <c:pt idx="175">
                  <c:v>7510</c:v>
                </c:pt>
                <c:pt idx="176">
                  <c:v>7510</c:v>
                </c:pt>
                <c:pt idx="177">
                  <c:v>7510</c:v>
                </c:pt>
                <c:pt idx="178">
                  <c:v>7510</c:v>
                </c:pt>
                <c:pt idx="179">
                  <c:v>7510</c:v>
                </c:pt>
                <c:pt idx="180">
                  <c:v>7510</c:v>
                </c:pt>
                <c:pt idx="181">
                  <c:v>7510</c:v>
                </c:pt>
                <c:pt idx="182">
                  <c:v>7510</c:v>
                </c:pt>
                <c:pt idx="183">
                  <c:v>7510</c:v>
                </c:pt>
                <c:pt idx="184">
                  <c:v>7510</c:v>
                </c:pt>
                <c:pt idx="185">
                  <c:v>7510</c:v>
                </c:pt>
                <c:pt idx="186">
                  <c:v>7510</c:v>
                </c:pt>
                <c:pt idx="187">
                  <c:v>7510</c:v>
                </c:pt>
                <c:pt idx="188">
                  <c:v>7510</c:v>
                </c:pt>
                <c:pt idx="189">
                  <c:v>7510</c:v>
                </c:pt>
                <c:pt idx="190">
                  <c:v>7510</c:v>
                </c:pt>
                <c:pt idx="191">
                  <c:v>7510</c:v>
                </c:pt>
                <c:pt idx="192">
                  <c:v>7510</c:v>
                </c:pt>
                <c:pt idx="193">
                  <c:v>7510</c:v>
                </c:pt>
                <c:pt idx="194">
                  <c:v>7510</c:v>
                </c:pt>
                <c:pt idx="195">
                  <c:v>7510</c:v>
                </c:pt>
                <c:pt idx="196">
                  <c:v>7510</c:v>
                </c:pt>
                <c:pt idx="197">
                  <c:v>7510</c:v>
                </c:pt>
                <c:pt idx="198">
                  <c:v>7510</c:v>
                </c:pt>
                <c:pt idx="199">
                  <c:v>7510</c:v>
                </c:pt>
                <c:pt idx="200">
                  <c:v>7510</c:v>
                </c:pt>
                <c:pt idx="201">
                  <c:v>7510</c:v>
                </c:pt>
                <c:pt idx="202">
                  <c:v>7510</c:v>
                </c:pt>
                <c:pt idx="203">
                  <c:v>7510</c:v>
                </c:pt>
                <c:pt idx="204">
                  <c:v>7510</c:v>
                </c:pt>
                <c:pt idx="205">
                  <c:v>7510</c:v>
                </c:pt>
                <c:pt idx="206">
                  <c:v>7510</c:v>
                </c:pt>
                <c:pt idx="207">
                  <c:v>7510</c:v>
                </c:pt>
                <c:pt idx="208">
                  <c:v>7510</c:v>
                </c:pt>
                <c:pt idx="209">
                  <c:v>7510</c:v>
                </c:pt>
                <c:pt idx="210">
                  <c:v>7510</c:v>
                </c:pt>
                <c:pt idx="211">
                  <c:v>7510</c:v>
                </c:pt>
                <c:pt idx="212">
                  <c:v>7510</c:v>
                </c:pt>
                <c:pt idx="213">
                  <c:v>7510</c:v>
                </c:pt>
                <c:pt idx="214">
                  <c:v>7510</c:v>
                </c:pt>
                <c:pt idx="215">
                  <c:v>7510</c:v>
                </c:pt>
                <c:pt idx="216">
                  <c:v>7510</c:v>
                </c:pt>
                <c:pt idx="217">
                  <c:v>7510</c:v>
                </c:pt>
                <c:pt idx="218">
                  <c:v>7510</c:v>
                </c:pt>
                <c:pt idx="219">
                  <c:v>7510</c:v>
                </c:pt>
                <c:pt idx="220">
                  <c:v>7510</c:v>
                </c:pt>
                <c:pt idx="221">
                  <c:v>7510</c:v>
                </c:pt>
                <c:pt idx="222">
                  <c:v>7510</c:v>
                </c:pt>
                <c:pt idx="223">
                  <c:v>7510</c:v>
                </c:pt>
                <c:pt idx="224">
                  <c:v>7510</c:v>
                </c:pt>
                <c:pt idx="225">
                  <c:v>7510</c:v>
                </c:pt>
                <c:pt idx="226">
                  <c:v>7510</c:v>
                </c:pt>
                <c:pt idx="227">
                  <c:v>7510</c:v>
                </c:pt>
                <c:pt idx="228">
                  <c:v>7510</c:v>
                </c:pt>
                <c:pt idx="229">
                  <c:v>7510</c:v>
                </c:pt>
                <c:pt idx="230">
                  <c:v>7510</c:v>
                </c:pt>
                <c:pt idx="231">
                  <c:v>7510</c:v>
                </c:pt>
                <c:pt idx="232">
                  <c:v>7510</c:v>
                </c:pt>
                <c:pt idx="233">
                  <c:v>7510</c:v>
                </c:pt>
                <c:pt idx="234">
                  <c:v>7510</c:v>
                </c:pt>
                <c:pt idx="235">
                  <c:v>7510</c:v>
                </c:pt>
                <c:pt idx="236">
                  <c:v>7510</c:v>
                </c:pt>
                <c:pt idx="237">
                  <c:v>7510</c:v>
                </c:pt>
                <c:pt idx="238">
                  <c:v>7510</c:v>
                </c:pt>
                <c:pt idx="239">
                  <c:v>7510</c:v>
                </c:pt>
                <c:pt idx="240">
                  <c:v>7510</c:v>
                </c:pt>
                <c:pt idx="241">
                  <c:v>7510</c:v>
                </c:pt>
                <c:pt idx="242">
                  <c:v>7510</c:v>
                </c:pt>
                <c:pt idx="243">
                  <c:v>7510</c:v>
                </c:pt>
                <c:pt idx="244">
                  <c:v>7510</c:v>
                </c:pt>
                <c:pt idx="245">
                  <c:v>7510</c:v>
                </c:pt>
                <c:pt idx="246">
                  <c:v>7510</c:v>
                </c:pt>
                <c:pt idx="247">
                  <c:v>7510</c:v>
                </c:pt>
                <c:pt idx="248">
                  <c:v>7510</c:v>
                </c:pt>
                <c:pt idx="249">
                  <c:v>7510</c:v>
                </c:pt>
                <c:pt idx="250">
                  <c:v>7510</c:v>
                </c:pt>
                <c:pt idx="251">
                  <c:v>7510</c:v>
                </c:pt>
                <c:pt idx="252">
                  <c:v>7510</c:v>
                </c:pt>
                <c:pt idx="253">
                  <c:v>7510</c:v>
                </c:pt>
                <c:pt idx="254">
                  <c:v>7510</c:v>
                </c:pt>
                <c:pt idx="255">
                  <c:v>7510</c:v>
                </c:pt>
                <c:pt idx="256">
                  <c:v>7510</c:v>
                </c:pt>
                <c:pt idx="257">
                  <c:v>7510</c:v>
                </c:pt>
                <c:pt idx="258">
                  <c:v>7510</c:v>
                </c:pt>
                <c:pt idx="259">
                  <c:v>7510</c:v>
                </c:pt>
                <c:pt idx="260">
                  <c:v>7510</c:v>
                </c:pt>
                <c:pt idx="261">
                  <c:v>7510</c:v>
                </c:pt>
                <c:pt idx="262">
                  <c:v>7510</c:v>
                </c:pt>
                <c:pt idx="263">
                  <c:v>7510</c:v>
                </c:pt>
                <c:pt idx="264">
                  <c:v>7510</c:v>
                </c:pt>
                <c:pt idx="265">
                  <c:v>7510</c:v>
                </c:pt>
                <c:pt idx="266">
                  <c:v>7510</c:v>
                </c:pt>
                <c:pt idx="267">
                  <c:v>7510</c:v>
                </c:pt>
                <c:pt idx="268">
                  <c:v>7510</c:v>
                </c:pt>
                <c:pt idx="269">
                  <c:v>7510</c:v>
                </c:pt>
                <c:pt idx="270">
                  <c:v>7510</c:v>
                </c:pt>
                <c:pt idx="271">
                  <c:v>7510</c:v>
                </c:pt>
                <c:pt idx="272">
                  <c:v>7510</c:v>
                </c:pt>
                <c:pt idx="273">
                  <c:v>7510</c:v>
                </c:pt>
                <c:pt idx="274">
                  <c:v>7510</c:v>
                </c:pt>
                <c:pt idx="275">
                  <c:v>7510</c:v>
                </c:pt>
                <c:pt idx="276">
                  <c:v>7510</c:v>
                </c:pt>
                <c:pt idx="277">
                  <c:v>7510</c:v>
                </c:pt>
                <c:pt idx="278">
                  <c:v>7510</c:v>
                </c:pt>
                <c:pt idx="279">
                  <c:v>7510</c:v>
                </c:pt>
                <c:pt idx="280">
                  <c:v>7510</c:v>
                </c:pt>
                <c:pt idx="281">
                  <c:v>7510</c:v>
                </c:pt>
                <c:pt idx="282">
                  <c:v>7510</c:v>
                </c:pt>
                <c:pt idx="283">
                  <c:v>7510</c:v>
                </c:pt>
                <c:pt idx="284">
                  <c:v>7510</c:v>
                </c:pt>
                <c:pt idx="285">
                  <c:v>7510</c:v>
                </c:pt>
                <c:pt idx="286">
                  <c:v>7510</c:v>
                </c:pt>
                <c:pt idx="287">
                  <c:v>7510</c:v>
                </c:pt>
                <c:pt idx="288">
                  <c:v>7510</c:v>
                </c:pt>
                <c:pt idx="289">
                  <c:v>7510</c:v>
                </c:pt>
                <c:pt idx="290">
                  <c:v>7510</c:v>
                </c:pt>
                <c:pt idx="291">
                  <c:v>7510</c:v>
                </c:pt>
                <c:pt idx="292">
                  <c:v>7510</c:v>
                </c:pt>
                <c:pt idx="293">
                  <c:v>7510</c:v>
                </c:pt>
                <c:pt idx="294">
                  <c:v>7510</c:v>
                </c:pt>
                <c:pt idx="295">
                  <c:v>7510</c:v>
                </c:pt>
                <c:pt idx="296">
                  <c:v>7510</c:v>
                </c:pt>
                <c:pt idx="297">
                  <c:v>7510</c:v>
                </c:pt>
                <c:pt idx="298">
                  <c:v>7510</c:v>
                </c:pt>
                <c:pt idx="299">
                  <c:v>7510</c:v>
                </c:pt>
                <c:pt idx="300">
                  <c:v>7510</c:v>
                </c:pt>
                <c:pt idx="301">
                  <c:v>7510</c:v>
                </c:pt>
                <c:pt idx="302">
                  <c:v>7510</c:v>
                </c:pt>
                <c:pt idx="303">
                  <c:v>7510</c:v>
                </c:pt>
                <c:pt idx="304">
                  <c:v>7510</c:v>
                </c:pt>
                <c:pt idx="305">
                  <c:v>7510</c:v>
                </c:pt>
                <c:pt idx="306">
                  <c:v>7510</c:v>
                </c:pt>
                <c:pt idx="307">
                  <c:v>7510</c:v>
                </c:pt>
                <c:pt idx="308">
                  <c:v>7510</c:v>
                </c:pt>
                <c:pt idx="309">
                  <c:v>7510</c:v>
                </c:pt>
                <c:pt idx="310">
                  <c:v>7510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7100</c:v>
                </c:pt>
                <c:pt idx="54">
                  <c:v>7100</c:v>
                </c:pt>
                <c:pt idx="55">
                  <c:v>7100</c:v>
                </c:pt>
                <c:pt idx="56">
                  <c:v>7100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8.575335185182" createdVersion="8" refreshedVersion="8" minRefreshableVersion="3" recordCount="227" xr:uid="{D37A5069-1A2D-4864-A726-735BFBE61275}">
  <cacheSource type="worksheet">
    <worksheetSource ref="L4:X231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25">
        <m/>
        <s v="1. Products - Magic Co"/>
        <s v="1. Products - Project Name 2"/>
        <s v="1. Products - Project Name 3"/>
        <s v="2. Services - Magic Co"/>
        <s v="2. Services - Project Name 2"/>
        <s v="2. Services - Project Name 3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25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2-01T00:00:00" count="12">
        <m/>
        <d v="2026-01-31T00:00:00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1-18T00:00:00"/>
    </cacheField>
    <cacheField name="Total COS" numFmtId="0">
      <sharedItems containsString="0" containsBlank="1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1-17T00:00:00"/>
    <n v="2500"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m/>
    <m/>
    <m/>
    <n v="0"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m/>
    <m/>
    <m/>
    <m/>
    <m/>
    <m/>
    <x v="0"/>
    <m/>
    <m/>
    <m/>
    <n v="0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4"/>
    <s v="Travel"/>
    <m/>
    <m/>
    <n v="2500"/>
    <m/>
    <m/>
    <x v="1"/>
    <n v="3550"/>
    <m/>
    <d v="2026-01-17T00:00:00"/>
    <n v="2500"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5"/>
    <m/>
    <m/>
    <m/>
    <m/>
    <m/>
    <m/>
    <x v="0"/>
    <m/>
    <m/>
    <m/>
    <n v="0"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6"/>
    <m/>
    <m/>
    <m/>
    <m/>
    <m/>
    <m/>
    <x v="0"/>
    <m/>
    <m/>
    <m/>
    <n v="0"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m="1" x="4"/>
        <item m="1" x="7"/>
        <item m="1" x="8"/>
        <item m="1" x="11"/>
        <item m="1" x="2"/>
        <item m="1" x="3"/>
        <item m="1" x="5"/>
        <item x="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m="1" x="2"/>
        <item m="1" x="3"/>
        <item m="1" x="4"/>
        <item m="1" x="5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2" t="s">
        <v>57</v>
      </c>
      <c r="E47" s="772"/>
      <c r="F47" s="773"/>
      <c r="G47" s="67"/>
      <c r="I47" s="68"/>
      <c r="J47" s="68"/>
    </row>
    <row r="48" spans="1:49" ht="14.5" thickBot="1">
      <c r="C48" s="69">
        <v>44014</v>
      </c>
      <c r="D48" s="774"/>
      <c r="E48" s="774"/>
      <c r="F48" s="7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776" t="s">
        <v>58</v>
      </c>
      <c r="C2" s="777"/>
      <c r="D2" s="777"/>
      <c r="E2" s="777"/>
      <c r="F2" s="7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6" t="s">
        <v>69</v>
      </c>
      <c r="C16" s="777"/>
      <c r="D16" s="777"/>
      <c r="E16" s="777"/>
      <c r="F16" s="7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194"/>
  <sheetViews>
    <sheetView tabSelected="1" zoomScaleNormal="100" workbookViewId="0">
      <selection activeCell="E12" sqref="E12"/>
    </sheetView>
  </sheetViews>
  <sheetFormatPr defaultColWidth="8.54296875" defaultRowHeight="14"/>
  <cols>
    <col min="1" max="1" width="1.453125" style="112" customWidth="1"/>
    <col min="2" max="2" width="6.453125" style="168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08984375" style="165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45312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453125" style="3" customWidth="1"/>
    <col min="19" max="26" width="8.453125" style="112"/>
    <col min="27" max="16384" width="8.5429687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46070</v>
      </c>
      <c r="P1" s="393">
        <f ca="1">TODAY()</f>
        <v>46070</v>
      </c>
      <c r="R1" s="3"/>
    </row>
    <row r="2" spans="2:29" hidden="1">
      <c r="B2" s="173"/>
      <c r="C2" s="174" t="s">
        <v>0</v>
      </c>
      <c r="D2" s="175"/>
      <c r="E2" s="761"/>
      <c r="F2" s="762"/>
      <c r="G2" s="762"/>
      <c r="H2" s="763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764"/>
      <c r="F4" s="765"/>
      <c r="G4" s="765"/>
      <c r="H4" s="766"/>
      <c r="J4" s="113"/>
      <c r="R4" s="3"/>
    </row>
    <row r="5" spans="2:29" s="112" customFormat="1" hidden="1">
      <c r="B5" s="176"/>
      <c r="C5" s="177" t="s">
        <v>75</v>
      </c>
      <c r="D5" s="175"/>
      <c r="E5" s="764"/>
      <c r="F5" s="765"/>
      <c r="G5" s="765"/>
      <c r="H5" s="766"/>
      <c r="J5" s="113"/>
      <c r="R5" s="3"/>
    </row>
    <row r="6" spans="2:29" hidden="1">
      <c r="B6" s="181"/>
      <c r="C6" s="182" t="s">
        <v>76</v>
      </c>
      <c r="D6" s="175"/>
      <c r="E6" s="767"/>
      <c r="F6" s="768"/>
      <c r="G6" s="768"/>
      <c r="H6" s="769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758" t="s">
        <v>77</v>
      </c>
      <c r="C8" s="759" t="s">
        <v>78</v>
      </c>
      <c r="D8" s="211"/>
      <c r="E8" s="760" t="s">
        <v>79</v>
      </c>
      <c r="F8" s="233" t="s">
        <v>80</v>
      </c>
      <c r="G8" s="760" t="s">
        <v>81</v>
      </c>
      <c r="H8" s="234"/>
      <c r="I8" s="760" t="s">
        <v>82</v>
      </c>
      <c r="J8" s="233" t="s">
        <v>80</v>
      </c>
      <c r="K8" s="760" t="s">
        <v>83</v>
      </c>
      <c r="M8" s="400" t="s">
        <v>60</v>
      </c>
      <c r="N8" s="608" t="s">
        <v>262</v>
      </c>
      <c r="P8" s="770" t="s">
        <v>84</v>
      </c>
      <c r="AA8" s="112"/>
      <c r="AB8" s="112"/>
      <c r="AC8" s="112"/>
    </row>
    <row r="9" spans="2:29">
      <c r="B9" s="758"/>
      <c r="C9" s="759"/>
      <c r="D9" s="211"/>
      <c r="E9" s="760"/>
      <c r="F9" s="122"/>
      <c r="G9" s="760"/>
      <c r="H9" s="234"/>
      <c r="I9" s="760"/>
      <c r="J9" s="123"/>
      <c r="K9" s="760"/>
      <c r="M9" s="349">
        <f>AVERAGE(M11)</f>
        <v>0</v>
      </c>
      <c r="N9" s="606"/>
      <c r="O9" s="363"/>
      <c r="P9" s="771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5" thickBot="1">
      <c r="B11" s="710">
        <v>1</v>
      </c>
      <c r="C11" s="711" t="s">
        <v>275</v>
      </c>
      <c r="D11" s="215"/>
      <c r="E11" s="712">
        <f ca="1">MIN(E12:E25)</f>
        <v>46070</v>
      </c>
      <c r="F11" s="713">
        <f ca="1">G11-E11</f>
        <v>3</v>
      </c>
      <c r="G11" s="712">
        <f ca="1">MAX(G12:G25)</f>
        <v>46073</v>
      </c>
      <c r="H11" s="216"/>
      <c r="I11" s="712">
        <f ca="1">MIN(I12:I25)</f>
        <v>46070</v>
      </c>
      <c r="J11" s="713">
        <f ca="1">K11-I11</f>
        <v>3</v>
      </c>
      <c r="K11" s="712">
        <f ca="1">MAX(K12:K25)</f>
        <v>46073</v>
      </c>
      <c r="M11" s="607">
        <f>AVERAGE(M12:M25)</f>
        <v>0</v>
      </c>
      <c r="N11" s="607"/>
      <c r="O11" s="364">
        <f ca="1">M11*J11</f>
        <v>0</v>
      </c>
      <c r="P11" s="118"/>
      <c r="Q11" s="112"/>
      <c r="R11" s="119"/>
    </row>
    <row r="12" spans="2:29" s="112" customFormat="1">
      <c r="B12" s="714" t="s">
        <v>85</v>
      </c>
      <c r="C12" s="715" t="s">
        <v>86</v>
      </c>
      <c r="D12" s="716"/>
      <c r="E12" s="717">
        <f ca="1">TODAY()</f>
        <v>46070</v>
      </c>
      <c r="F12" s="718">
        <v>1</v>
      </c>
      <c r="G12" s="717">
        <f ca="1">WORKDAY.INTL(E12,F12,1,Data!$C$3:$C$14)</f>
        <v>46071</v>
      </c>
      <c r="H12" s="719"/>
      <c r="I12" s="717">
        <f ca="1">TODAY()</f>
        <v>46070</v>
      </c>
      <c r="J12" s="718">
        <v>1</v>
      </c>
      <c r="K12" s="717">
        <f ca="1">WORKDAY.INTL(I12,J12,1,Data!$C$3:$C$14)</f>
        <v>46071</v>
      </c>
      <c r="L12" s="720"/>
      <c r="M12" s="721">
        <v>0</v>
      </c>
      <c r="N12" s="722">
        <f ca="1">_xlfn.LET(
  _xlpm.s,VALUE($I12),
  _xlpm.e,VALUE($K12),
  IF(OR(_xlpm.s="",_xlpm.e=""),"", IF(_xlpm.e&lt;=_xlpm.s, IF(TODAY()&gt;=_xlpm.e,1,0), MAX(0,MIN(1,(TODAY()-_xlpm.s)/(_xlpm.e-_xlpm.s)))))
)</f>
        <v>0</v>
      </c>
      <c r="O12" s="366"/>
      <c r="P12" s="120"/>
      <c r="R12" s="3"/>
    </row>
    <row r="13" spans="2:29" s="112" customFormat="1">
      <c r="B13" s="723" t="s">
        <v>87</v>
      </c>
      <c r="C13" s="240" t="s">
        <v>58</v>
      </c>
      <c r="D13" s="211"/>
      <c r="E13" s="241">
        <f ca="1">WORKDAY.INTL(G12,0,1,Data!$C$3:$C$14)</f>
        <v>46071</v>
      </c>
      <c r="F13" s="242">
        <v>2</v>
      </c>
      <c r="G13" s="241">
        <f ca="1">WORKDAY.INTL(E13,F13,1,Data!$C$3:$C$14)</f>
        <v>46073</v>
      </c>
      <c r="H13" s="234"/>
      <c r="I13" s="241">
        <f ca="1">WORKDAY.INTL(K12,0,1,Data!$C$3:$C$14)</f>
        <v>46071</v>
      </c>
      <c r="J13" s="242">
        <v>2</v>
      </c>
      <c r="K13" s="241">
        <f ca="1">WORKDAY.INTL(I13,J13,1,Data!$C$3:$C$14)</f>
        <v>46073</v>
      </c>
      <c r="M13" s="243">
        <v>0</v>
      </c>
      <c r="N13" s="724">
        <f t="shared" ref="N13:N25" ca="1" si="0">_xlfn.LET(
  _xlpm.s,VALUE($I13),
  _xlpm.e,VALUE($K13),
  IF(OR(_xlpm.s="",_xlpm.e=""),"", IF(_xlpm.e&lt;=_xlpm.s, IF(TODAY()&gt;=_xlpm.e,1,0), MAX(0,MIN(1,(TODAY()-_xlpm.s)/(_xlpm.e-_xlpm.s)))))
)</f>
        <v>0</v>
      </c>
      <c r="O13" s="365"/>
      <c r="P13" s="120"/>
      <c r="R13" s="3"/>
    </row>
    <row r="14" spans="2:29" s="112" customFormat="1">
      <c r="B14" s="723" t="s">
        <v>88</v>
      </c>
      <c r="C14" s="240" t="s">
        <v>89</v>
      </c>
      <c r="D14" s="211"/>
      <c r="E14" s="241">
        <f ca="1">WORKDAY.INTL(E12,0,1,Data!$C$3:$C$14)</f>
        <v>46070</v>
      </c>
      <c r="F14" s="242">
        <v>1</v>
      </c>
      <c r="G14" s="241">
        <f ca="1">WORKDAY.INTL(E14,F14,1,Data!$C$3:$C$14)</f>
        <v>46071</v>
      </c>
      <c r="H14" s="234"/>
      <c r="I14" s="241">
        <f ca="1">WORKDAY.INTL(I12,0,1,Data!$C$3:$C$14)</f>
        <v>46070</v>
      </c>
      <c r="J14" s="242">
        <v>1</v>
      </c>
      <c r="K14" s="241">
        <f ca="1">WORKDAY.INTL(I14,J14,1,Data!$C$3:$C$14)</f>
        <v>46071</v>
      </c>
      <c r="M14" s="243">
        <v>0</v>
      </c>
      <c r="N14" s="724">
        <f t="shared" ca="1" si="0"/>
        <v>0</v>
      </c>
      <c r="O14" s="365"/>
      <c r="P14" s="120"/>
      <c r="R14" s="3"/>
    </row>
    <row r="15" spans="2:29" s="112" customFormat="1" ht="14.5" thickBot="1">
      <c r="B15" s="725" t="s">
        <v>90</v>
      </c>
      <c r="C15" s="726" t="s">
        <v>91</v>
      </c>
      <c r="D15" s="727"/>
      <c r="E15" s="728">
        <f ca="1">WORKDAY.INTL(E13,0,1,Data!$C$3:$C$14)</f>
        <v>46071</v>
      </c>
      <c r="F15" s="729">
        <v>1</v>
      </c>
      <c r="G15" s="728">
        <f ca="1">WORKDAY.INTL(E15,F15,1,Data!$C$3:$C$14)</f>
        <v>46072</v>
      </c>
      <c r="H15" s="730"/>
      <c r="I15" s="728">
        <f ca="1">WORKDAY.INTL(I13,0,1,Data!$C$3:$C$14)</f>
        <v>46071</v>
      </c>
      <c r="J15" s="729">
        <v>1</v>
      </c>
      <c r="K15" s="728">
        <f ca="1">WORKDAY.INTL(I15,J15,1,Data!$C$3:$C$14)</f>
        <v>46072</v>
      </c>
      <c r="L15" s="731"/>
      <c r="M15" s="732">
        <v>0</v>
      </c>
      <c r="N15" s="733">
        <f t="shared" ca="1" si="0"/>
        <v>0</v>
      </c>
      <c r="O15" s="365"/>
      <c r="P15" s="120"/>
      <c r="R15" s="3"/>
    </row>
    <row r="16" spans="2:29" s="112" customFormat="1" ht="14.5" thickBot="1">
      <c r="B16" s="710">
        <v>1</v>
      </c>
      <c r="C16" s="711" t="s">
        <v>276</v>
      </c>
      <c r="D16" s="211"/>
      <c r="E16" s="712">
        <f ca="1">MIN(E17:E30)</f>
        <v>46070</v>
      </c>
      <c r="F16" s="713">
        <f ca="1">G16-E16</f>
        <v>3</v>
      </c>
      <c r="G16" s="712">
        <f ca="1">MAX(G17:G30)</f>
        <v>46073</v>
      </c>
      <c r="H16" s="234"/>
      <c r="I16" s="712">
        <f ca="1">MIN(I17:I30)</f>
        <v>46070</v>
      </c>
      <c r="J16" s="713">
        <f ca="1">K16-I16</f>
        <v>3</v>
      </c>
      <c r="K16" s="712">
        <f ca="1">MAX(K17:K30)</f>
        <v>46073</v>
      </c>
      <c r="M16" s="734"/>
      <c r="N16" s="734"/>
      <c r="O16" s="365"/>
      <c r="P16" s="120"/>
      <c r="R16" s="3"/>
    </row>
    <row r="17" spans="2:18" s="112" customFormat="1">
      <c r="B17" s="714" t="s">
        <v>85</v>
      </c>
      <c r="C17" s="715" t="s">
        <v>92</v>
      </c>
      <c r="D17" s="716"/>
      <c r="E17" s="717">
        <f ca="1">TODAY()</f>
        <v>46070</v>
      </c>
      <c r="F17" s="718">
        <v>1</v>
      </c>
      <c r="G17" s="717">
        <f ca="1">WORKDAY.INTL(E17,F17,1,Data!$C$3:$C$14)</f>
        <v>46071</v>
      </c>
      <c r="H17" s="719"/>
      <c r="I17" s="717">
        <f ca="1">TODAY()</f>
        <v>46070</v>
      </c>
      <c r="J17" s="718">
        <v>1</v>
      </c>
      <c r="K17" s="717">
        <f ca="1">WORKDAY.INTL(I17,J17,1,Data!$C$3:$C$14)</f>
        <v>46071</v>
      </c>
      <c r="L17" s="720"/>
      <c r="M17" s="721">
        <v>0</v>
      </c>
      <c r="N17" s="722">
        <f t="shared" ca="1" si="0"/>
        <v>0</v>
      </c>
      <c r="O17" s="365"/>
      <c r="P17" s="120"/>
      <c r="R17" s="3"/>
    </row>
    <row r="18" spans="2:18" s="112" customFormat="1">
      <c r="B18" s="723" t="s">
        <v>87</v>
      </c>
      <c r="C18" s="240" t="s">
        <v>93</v>
      </c>
      <c r="D18" s="211"/>
      <c r="E18" s="241">
        <f ca="1">WORKDAY.INTL(G17,0,1,Data!$C$3:$C$14)</f>
        <v>46071</v>
      </c>
      <c r="F18" s="242">
        <v>2</v>
      </c>
      <c r="G18" s="241">
        <f ca="1">WORKDAY.INTL(E18,F18,1,Data!$C$3:$C$14)</f>
        <v>46073</v>
      </c>
      <c r="H18" s="234"/>
      <c r="I18" s="241">
        <f ca="1">WORKDAY.INTL(K17,0,1,Data!$C$3:$C$14)</f>
        <v>46071</v>
      </c>
      <c r="J18" s="242">
        <v>2</v>
      </c>
      <c r="K18" s="241">
        <f ca="1">WORKDAY.INTL(I18,J18,1,Data!$C$3:$C$14)</f>
        <v>46073</v>
      </c>
      <c r="M18" s="243">
        <v>0</v>
      </c>
      <c r="N18" s="724">
        <f t="shared" ca="1" si="0"/>
        <v>0</v>
      </c>
      <c r="O18" s="365"/>
      <c r="P18" s="120"/>
      <c r="R18" s="3"/>
    </row>
    <row r="19" spans="2:18" s="112" customFormat="1">
      <c r="B19" s="723" t="s">
        <v>88</v>
      </c>
      <c r="C19" s="240" t="s">
        <v>94</v>
      </c>
      <c r="D19" s="211"/>
      <c r="E19" s="241">
        <f ca="1">WORKDAY.INTL(E17,0,1,Data!$C$3:$C$14)</f>
        <v>46070</v>
      </c>
      <c r="F19" s="242">
        <v>1</v>
      </c>
      <c r="G19" s="241">
        <f ca="1">WORKDAY.INTL(E19,F19,1,Data!$C$3:$C$14)</f>
        <v>46071</v>
      </c>
      <c r="H19" s="234"/>
      <c r="I19" s="241">
        <f ca="1">WORKDAY.INTL(I17,0,1,Data!$C$3:$C$14)</f>
        <v>46070</v>
      </c>
      <c r="J19" s="242">
        <v>1</v>
      </c>
      <c r="K19" s="241">
        <f ca="1">WORKDAY.INTL(I19,J19,1,Data!$C$3:$C$14)</f>
        <v>46071</v>
      </c>
      <c r="M19" s="243">
        <v>0</v>
      </c>
      <c r="N19" s="724">
        <f t="shared" ca="1" si="0"/>
        <v>0</v>
      </c>
      <c r="O19" s="365"/>
      <c r="P19" s="120"/>
      <c r="R19" s="3"/>
    </row>
    <row r="20" spans="2:18" s="112" customFormat="1" ht="14.5" thickBot="1">
      <c r="B20" s="725" t="s">
        <v>90</v>
      </c>
      <c r="C20" s="726" t="s">
        <v>95</v>
      </c>
      <c r="D20" s="727"/>
      <c r="E20" s="728">
        <f ca="1">WORKDAY.INTL(E18,0,1,Data!$C$3:$C$14)</f>
        <v>46071</v>
      </c>
      <c r="F20" s="729">
        <v>1</v>
      </c>
      <c r="G20" s="728">
        <f ca="1">WORKDAY.INTL(E20,F20,1,Data!$C$3:$C$14)</f>
        <v>46072</v>
      </c>
      <c r="H20" s="730"/>
      <c r="I20" s="728">
        <f ca="1">WORKDAY.INTL(I18,0,1,Data!$C$3:$C$14)</f>
        <v>46071</v>
      </c>
      <c r="J20" s="729">
        <v>1</v>
      </c>
      <c r="K20" s="728">
        <f ca="1">WORKDAY.INTL(I20,J20,1,Data!$C$3:$C$14)</f>
        <v>46072</v>
      </c>
      <c r="L20" s="731"/>
      <c r="M20" s="732">
        <v>0</v>
      </c>
      <c r="N20" s="733">
        <f t="shared" ca="1" si="0"/>
        <v>0</v>
      </c>
      <c r="O20" s="365"/>
      <c r="P20" s="120"/>
      <c r="R20" s="3"/>
    </row>
    <row r="21" spans="2:18" s="112" customFormat="1" ht="14.5" thickBot="1">
      <c r="B21" s="710">
        <v>1</v>
      </c>
      <c r="C21" s="711" t="s">
        <v>277</v>
      </c>
      <c r="D21" s="211"/>
      <c r="E21" s="712">
        <f ca="1">MIN(E22:E35)</f>
        <v>46070</v>
      </c>
      <c r="F21" s="713">
        <f ca="1">G21-E21</f>
        <v>3</v>
      </c>
      <c r="G21" s="712">
        <f ca="1">MAX(G22:G35)</f>
        <v>46073</v>
      </c>
      <c r="H21" s="234"/>
      <c r="I21" s="712">
        <f ca="1">MIN(I22:I35)</f>
        <v>46070</v>
      </c>
      <c r="J21" s="713">
        <f ca="1">K21-I21</f>
        <v>3</v>
      </c>
      <c r="K21" s="712">
        <f ca="1">MAX(K22:K35)</f>
        <v>46073</v>
      </c>
      <c r="M21" s="734"/>
      <c r="N21" s="734"/>
      <c r="O21" s="365"/>
      <c r="P21" s="120"/>
      <c r="R21" s="3"/>
    </row>
    <row r="22" spans="2:18" s="112" customFormat="1">
      <c r="B22" s="714" t="s">
        <v>85</v>
      </c>
      <c r="C22" s="715" t="s">
        <v>96</v>
      </c>
      <c r="D22" s="716"/>
      <c r="E22" s="717">
        <f ca="1">TODAY()</f>
        <v>46070</v>
      </c>
      <c r="F22" s="718">
        <v>1</v>
      </c>
      <c r="G22" s="717">
        <f ca="1">WORKDAY.INTL(E22,F22,1,Data!$C$3:$C$14)</f>
        <v>46071</v>
      </c>
      <c r="H22" s="719"/>
      <c r="I22" s="717">
        <f ca="1">TODAY()</f>
        <v>46070</v>
      </c>
      <c r="J22" s="718">
        <v>1</v>
      </c>
      <c r="K22" s="717">
        <f ca="1">WORKDAY.INTL(I22,J22,1,Data!$C$3:$C$14)</f>
        <v>46071</v>
      </c>
      <c r="L22" s="720"/>
      <c r="M22" s="721">
        <v>0</v>
      </c>
      <c r="N22" s="722">
        <f t="shared" ca="1" si="0"/>
        <v>0</v>
      </c>
      <c r="O22" s="365"/>
      <c r="P22" s="120"/>
      <c r="R22" s="3"/>
    </row>
    <row r="23" spans="2:18" s="112" customFormat="1">
      <c r="B23" s="723" t="s">
        <v>87</v>
      </c>
      <c r="C23" s="240" t="s">
        <v>97</v>
      </c>
      <c r="D23" s="211"/>
      <c r="E23" s="241">
        <f ca="1">WORKDAY.INTL(G22,0,1,Data!$C$3:$C$14)</f>
        <v>46071</v>
      </c>
      <c r="F23" s="242">
        <v>2</v>
      </c>
      <c r="G23" s="241">
        <f ca="1">WORKDAY.INTL(E23,F23,1,Data!$C$3:$C$14)</f>
        <v>46073</v>
      </c>
      <c r="H23" s="234"/>
      <c r="I23" s="241">
        <f ca="1">WORKDAY.INTL(K22,0,1,Data!$C$3:$C$14)</f>
        <v>46071</v>
      </c>
      <c r="J23" s="242">
        <v>2</v>
      </c>
      <c r="K23" s="241">
        <f ca="1">WORKDAY.INTL(I23,J23,1,Data!$C$3:$C$14)</f>
        <v>46073</v>
      </c>
      <c r="M23" s="243">
        <v>0</v>
      </c>
      <c r="N23" s="724">
        <f t="shared" ca="1" si="0"/>
        <v>0</v>
      </c>
      <c r="O23" s="365"/>
      <c r="P23" s="120"/>
      <c r="R23" s="3"/>
    </row>
    <row r="24" spans="2:18" s="112" customFormat="1">
      <c r="B24" s="723" t="s">
        <v>88</v>
      </c>
      <c r="C24" s="240" t="s">
        <v>98</v>
      </c>
      <c r="D24" s="211"/>
      <c r="E24" s="241">
        <f ca="1">WORKDAY.INTL(E22,0,1,Data!$C$3:$C$14)</f>
        <v>46070</v>
      </c>
      <c r="F24" s="242">
        <v>1</v>
      </c>
      <c r="G24" s="241">
        <f ca="1">WORKDAY.INTL(E24,F24,1,Data!$C$3:$C$14)</f>
        <v>46071</v>
      </c>
      <c r="H24" s="234"/>
      <c r="I24" s="241">
        <f ca="1">WORKDAY.INTL(I22,0,1,Data!$C$3:$C$14)</f>
        <v>46070</v>
      </c>
      <c r="J24" s="242">
        <v>1</v>
      </c>
      <c r="K24" s="241">
        <f ca="1">WORKDAY.INTL(I24,J24,1,Data!$C$3:$C$14)</f>
        <v>46071</v>
      </c>
      <c r="M24" s="243">
        <v>0</v>
      </c>
      <c r="N24" s="724">
        <f t="shared" ca="1" si="0"/>
        <v>0</v>
      </c>
      <c r="O24" s="365"/>
      <c r="P24" s="120"/>
      <c r="R24" s="3"/>
    </row>
    <row r="25" spans="2:18" s="112" customFormat="1" ht="14.5" thickBot="1">
      <c r="B25" s="725" t="s">
        <v>90</v>
      </c>
      <c r="C25" s="726" t="s">
        <v>99</v>
      </c>
      <c r="D25" s="727"/>
      <c r="E25" s="728">
        <f ca="1">WORKDAY.INTL(E23,0,1,Data!$C$3:$C$14)</f>
        <v>46071</v>
      </c>
      <c r="F25" s="729">
        <v>1</v>
      </c>
      <c r="G25" s="728">
        <f ca="1">WORKDAY.INTL(E25,F25,1,Data!$C$3:$C$14)</f>
        <v>46072</v>
      </c>
      <c r="H25" s="730"/>
      <c r="I25" s="728">
        <f ca="1">WORKDAY.INTL(I23,0,1,Data!$C$3:$C$14)</f>
        <v>46071</v>
      </c>
      <c r="J25" s="729">
        <v>1</v>
      </c>
      <c r="K25" s="728">
        <f ca="1">WORKDAY.INTL(I25,J25,1,Data!$C$3:$C$14)</f>
        <v>46072</v>
      </c>
      <c r="L25" s="731"/>
      <c r="M25" s="732">
        <v>0</v>
      </c>
      <c r="N25" s="733">
        <f t="shared" ca="1" si="0"/>
        <v>0</v>
      </c>
      <c r="O25" s="365"/>
      <c r="P25" s="120"/>
      <c r="R25" s="3"/>
    </row>
    <row r="26" spans="2:18" s="112" customFormat="1" ht="4.5" customHeight="1">
      <c r="B26" s="235"/>
      <c r="C26" s="211"/>
      <c r="D26" s="211"/>
      <c r="E26" s="735"/>
      <c r="F26" s="735"/>
      <c r="G26" s="736"/>
      <c r="H26" s="234"/>
      <c r="I26" s="735"/>
      <c r="J26" s="735"/>
      <c r="K26" s="736"/>
      <c r="O26" s="175"/>
      <c r="R26" s="3"/>
    </row>
    <row r="27" spans="2:18" s="3" customFormat="1">
      <c r="B27" s="166"/>
      <c r="E27" s="167"/>
      <c r="F27" s="109"/>
      <c r="J27" s="109"/>
    </row>
    <row r="28" spans="2:18">
      <c r="B28" s="164"/>
      <c r="C28" s="112"/>
      <c r="E28" s="112"/>
      <c r="G28" s="113"/>
    </row>
    <row r="29" spans="2:18">
      <c r="B29" s="164"/>
      <c r="C29" s="112"/>
      <c r="E29" s="112"/>
      <c r="G29" s="113"/>
    </row>
    <row r="30" spans="2:18">
      <c r="B30" s="164"/>
      <c r="C30" s="112"/>
      <c r="E30" s="112"/>
      <c r="G30" s="113"/>
    </row>
    <row r="31" spans="2:18">
      <c r="B31" s="164"/>
      <c r="C31" s="112"/>
      <c r="E31" s="112"/>
      <c r="G31" s="113"/>
    </row>
    <row r="32" spans="2:18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Q1048576 O8:Q26 M1:Q7" name="Range1"/>
    <protectedRange algorithmName="SHA-512" hashValue="0fHuZEaiYGK5sqlV/38Hfc0T7yH0tOTbdy5iYtX6c3lYp4VF2ar7IMEIVGfLLUnhvJzWsmOZSDZnUiLySCBxdg==" saltValue="oeJbzSFL5Q9rgT2MjiMjew==" spinCount="100000" sqref="M8:N26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5"/>
  <sheetViews>
    <sheetView zoomScaleNormal="100" workbookViewId="0">
      <selection activeCell="H4" sqref="H4"/>
    </sheetView>
  </sheetViews>
  <sheetFormatPr defaultColWidth="8.54296875" defaultRowHeight="14.5"/>
  <cols>
    <col min="1" max="1" width="5.453125" style="93" customWidth="1"/>
    <col min="2" max="2" width="5.453125" style="127" customWidth="1"/>
    <col min="3" max="4" width="23.453125" style="125" customWidth="1"/>
    <col min="5" max="5" width="6.54296875" style="125" customWidth="1"/>
    <col min="6" max="6" width="16.453125" style="125" customWidth="1"/>
    <col min="7" max="7" width="4.453125" style="125" customWidth="1"/>
    <col min="8" max="8" width="15.453125" style="125" customWidth="1"/>
    <col min="9" max="9" width="1.54296875" style="125" customWidth="1"/>
    <col min="10" max="10" width="3.54296875" style="93" customWidth="1"/>
    <col min="11" max="11" width="1.54296875" style="172" customWidth="1"/>
    <col min="12" max="12" width="29.453125" style="93" customWidth="1"/>
    <col min="13" max="13" width="1.54296875" style="125" customWidth="1"/>
    <col min="14" max="14" width="29.453125" style="125" customWidth="1"/>
    <col min="15" max="15" width="1.453125" style="93" customWidth="1"/>
    <col min="16" max="16" width="17" style="125" customWidth="1"/>
    <col min="17" max="17" width="5.453125" style="125" customWidth="1"/>
    <col min="18" max="18" width="112" style="125" bestFit="1" customWidth="1"/>
    <col min="19" max="19" width="4.453125" style="125" customWidth="1"/>
    <col min="20" max="20" width="14.453125" style="125" customWidth="1"/>
    <col min="21" max="21" width="10.0898437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54296875" style="125"/>
    <col min="29" max="29" width="12.453125" style="125" bestFit="1" customWidth="1"/>
    <col min="30" max="16384" width="8.5429687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100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">
      <c r="B3" s="117"/>
      <c r="D3" s="121" t="s">
        <v>101</v>
      </c>
      <c r="F3" s="121" t="s">
        <v>102</v>
      </c>
      <c r="J3" s="138"/>
      <c r="L3" s="398" t="s">
        <v>103</v>
      </c>
      <c r="N3" s="398" t="s">
        <v>104</v>
      </c>
      <c r="S3" s="138"/>
    </row>
    <row r="4" spans="1:21" s="93" customFormat="1" ht="13">
      <c r="B4" s="340">
        <v>1</v>
      </c>
      <c r="C4" s="341" t="s">
        <v>282</v>
      </c>
      <c r="D4" s="342">
        <f>'Expenditure Breakdown'!D234</f>
        <v>12510</v>
      </c>
      <c r="E4" s="343"/>
      <c r="F4" s="342">
        <f>F28</f>
        <v>12510</v>
      </c>
      <c r="J4" s="138"/>
      <c r="L4" s="367"/>
      <c r="N4" s="367" t="s">
        <v>106</v>
      </c>
      <c r="Q4" s="126"/>
      <c r="S4" s="138"/>
    </row>
    <row r="5" spans="1:21" s="93" customFormat="1" ht="15" customHeight="1">
      <c r="B5" s="340">
        <v>2</v>
      </c>
      <c r="C5" s="341" t="s">
        <v>281</v>
      </c>
      <c r="D5" s="342">
        <f>+'Expenditure Tracking'!F5</f>
        <v>10008</v>
      </c>
      <c r="E5" s="343"/>
      <c r="F5" s="342">
        <f>+'Expenditure Tracking'!H5</f>
        <v>5000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283</v>
      </c>
      <c r="D6" s="342">
        <f>+D4-D5</f>
        <v>2502</v>
      </c>
      <c r="E6" s="343"/>
      <c r="F6" s="342">
        <f>+F4-F5</f>
        <v>7510</v>
      </c>
      <c r="H6" s="116"/>
      <c r="J6" s="138"/>
      <c r="L6" s="367"/>
      <c r="N6" s="367" t="s">
        <v>108</v>
      </c>
      <c r="S6" s="138"/>
    </row>
    <row r="7" spans="1:21" s="93" customFormat="1" ht="15" customHeight="1" thickBot="1">
      <c r="B7" s="340">
        <v>4</v>
      </c>
      <c r="C7" s="341" t="s">
        <v>284</v>
      </c>
      <c r="D7" s="344">
        <f>D6/D4</f>
        <v>0.2</v>
      </c>
      <c r="E7" s="343"/>
      <c r="F7" s="344">
        <f>F6/F4</f>
        <v>0.6003197442046363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">
      <c r="B10" s="124" t="s">
        <v>109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5" thickBot="1">
      <c r="B12" s="693" t="s">
        <v>77</v>
      </c>
      <c r="C12" s="694" t="s">
        <v>110</v>
      </c>
      <c r="D12" s="695"/>
      <c r="E12" s="693" t="s">
        <v>111</v>
      </c>
      <c r="F12" s="693" t="s">
        <v>112</v>
      </c>
      <c r="H12" s="345" t="s">
        <v>113</v>
      </c>
      <c r="J12" s="138"/>
      <c r="L12" s="163" t="s">
        <v>114</v>
      </c>
      <c r="M12" s="131"/>
      <c r="N12" s="163" t="s">
        <v>115</v>
      </c>
      <c r="O12" s="125"/>
      <c r="P12" s="163" t="s">
        <v>116</v>
      </c>
      <c r="R12" s="370" t="s">
        <v>117</v>
      </c>
      <c r="S12" s="138"/>
    </row>
    <row r="13" spans="1:21" s="93" customFormat="1" ht="13">
      <c r="B13" s="696">
        <v>1</v>
      </c>
      <c r="C13" s="781" t="s">
        <v>269</v>
      </c>
      <c r="D13" s="782"/>
      <c r="E13" s="697"/>
      <c r="F13" s="698">
        <f>12510*0.5</f>
        <v>6255</v>
      </c>
      <c r="G13" s="134"/>
      <c r="H13" s="135">
        <v>46022</v>
      </c>
      <c r="J13" s="138"/>
      <c r="L13" s="356"/>
      <c r="M13" s="355"/>
      <c r="N13" s="135"/>
      <c r="O13" s="125"/>
      <c r="P13" s="136">
        <v>46022</v>
      </c>
      <c r="R13" s="171"/>
      <c r="S13" s="138"/>
    </row>
    <row r="14" spans="1:21" s="93" customFormat="1" ht="12.5">
      <c r="B14" s="699">
        <v>2</v>
      </c>
      <c r="C14" s="783" t="s">
        <v>270</v>
      </c>
      <c r="D14" s="784"/>
      <c r="E14" s="132"/>
      <c r="F14" s="700">
        <f>12510*0.5</f>
        <v>6255</v>
      </c>
      <c r="G14" s="343"/>
      <c r="H14" s="135">
        <v>46053</v>
      </c>
      <c r="J14" s="138"/>
      <c r="L14" s="356"/>
      <c r="N14" s="135"/>
      <c r="O14" s="125"/>
      <c r="P14" s="136">
        <v>46053</v>
      </c>
      <c r="R14" s="371"/>
      <c r="S14" s="138"/>
    </row>
    <row r="15" spans="1:21" s="93" customFormat="1" ht="12.5">
      <c r="B15" s="701">
        <v>3</v>
      </c>
      <c r="C15" s="783"/>
      <c r="D15" s="784"/>
      <c r="E15" s="132"/>
      <c r="F15" s="700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3" thickBot="1">
      <c r="B16" s="702">
        <v>4</v>
      </c>
      <c r="C16" s="779"/>
      <c r="D16" s="780"/>
      <c r="E16" s="703"/>
      <c r="F16" s="704"/>
      <c r="G16" s="343"/>
      <c r="H16" s="135"/>
      <c r="J16" s="138"/>
      <c r="L16" s="356"/>
      <c r="M16" s="125"/>
      <c r="N16" s="135"/>
      <c r="O16" s="125"/>
      <c r="P16" s="136"/>
      <c r="R16" s="371"/>
      <c r="S16" s="138"/>
    </row>
    <row r="17" spans="2:19" s="93" customFormat="1" ht="13" thickBot="1">
      <c r="B17" s="705"/>
      <c r="C17" s="785"/>
      <c r="D17" s="786"/>
      <c r="E17" s="706"/>
      <c r="F17" s="707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2.5">
      <c r="B18" s="696">
        <v>6</v>
      </c>
      <c r="C18" s="787" t="s">
        <v>271</v>
      </c>
      <c r="D18" s="788"/>
      <c r="E18" s="697"/>
      <c r="F18" s="698"/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2.5">
      <c r="B19" s="701">
        <v>7</v>
      </c>
      <c r="C19" s="789" t="s">
        <v>272</v>
      </c>
      <c r="D19" s="790"/>
      <c r="E19" s="132"/>
      <c r="F19" s="700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2.5">
      <c r="B20" s="701">
        <v>8</v>
      </c>
      <c r="C20" s="789"/>
      <c r="D20" s="790"/>
      <c r="E20" s="132"/>
      <c r="F20" s="700"/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3" thickBot="1">
      <c r="B21" s="702">
        <v>9</v>
      </c>
      <c r="C21" s="791"/>
      <c r="D21" s="792"/>
      <c r="E21" s="703"/>
      <c r="F21" s="704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3" thickBot="1">
      <c r="B22" s="705"/>
      <c r="C22" s="785"/>
      <c r="D22" s="786"/>
      <c r="E22" s="706"/>
      <c r="F22" s="707"/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2.5">
      <c r="B23" s="696">
        <v>11</v>
      </c>
      <c r="C23" s="787" t="s">
        <v>273</v>
      </c>
      <c r="D23" s="788"/>
      <c r="E23" s="697"/>
      <c r="F23" s="698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2.5">
      <c r="B24" s="708">
        <v>12</v>
      </c>
      <c r="C24" s="789" t="s">
        <v>274</v>
      </c>
      <c r="D24" s="790"/>
      <c r="E24" s="132"/>
      <c r="F24" s="700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2.5">
      <c r="B25" s="701">
        <v>13</v>
      </c>
      <c r="C25" s="789"/>
      <c r="D25" s="790"/>
      <c r="E25" s="132"/>
      <c r="F25" s="700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3" thickBot="1">
      <c r="B26" s="709">
        <v>14</v>
      </c>
      <c r="C26" s="779"/>
      <c r="D26" s="780"/>
      <c r="E26" s="703"/>
      <c r="F26" s="704"/>
      <c r="G26" s="343"/>
      <c r="H26" s="135"/>
      <c r="J26" s="138"/>
      <c r="L26" s="356"/>
      <c r="M26" s="134"/>
      <c r="N26" s="135"/>
      <c r="O26" s="125"/>
      <c r="P26" s="136"/>
      <c r="R26" s="371"/>
      <c r="S26" s="138"/>
    </row>
    <row r="27" spans="2:19" s="93" customFormat="1" ht="9" customHeight="1">
      <c r="B27" s="117"/>
      <c r="E27" s="137"/>
      <c r="F27" s="116"/>
      <c r="H27" s="346"/>
      <c r="J27" s="138"/>
      <c r="S27" s="138"/>
    </row>
    <row r="28" spans="2:19" s="93" customFormat="1" ht="13">
      <c r="B28" s="117"/>
      <c r="E28" s="347">
        <f>SUM(E13:E26)</f>
        <v>0</v>
      </c>
      <c r="F28" s="348">
        <f>SUM(F13:F26)</f>
        <v>12510</v>
      </c>
      <c r="J28" s="138"/>
      <c r="S28" s="138"/>
    </row>
    <row r="29" spans="2:19" s="138" customFormat="1" ht="25.5" customHeight="1">
      <c r="B29" s="139"/>
      <c r="F29" s="140"/>
    </row>
    <row r="30" spans="2:19" s="93" customFormat="1" ht="24.75" customHeight="1">
      <c r="B30" s="141" t="s">
        <v>118</v>
      </c>
      <c r="C30" s="142" t="s">
        <v>119</v>
      </c>
      <c r="D30" s="142"/>
      <c r="F30" s="143"/>
    </row>
    <row r="31" spans="2:19" s="93" customFormat="1" ht="12.5">
      <c r="C31" s="144" t="s">
        <v>120</v>
      </c>
      <c r="D31" s="145"/>
      <c r="F31" s="146"/>
    </row>
    <row r="32" spans="2:19" s="93" customFormat="1" ht="12.5">
      <c r="C32" s="144" t="s">
        <v>121</v>
      </c>
      <c r="D32" s="145"/>
    </row>
    <row r="33" spans="2:6" s="93" customFormat="1" ht="12.5">
      <c r="C33" s="147" t="s">
        <v>122</v>
      </c>
      <c r="D33" s="148"/>
    </row>
    <row r="34" spans="2:6" s="93" customFormat="1" ht="12.5">
      <c r="C34" s="149" t="s">
        <v>123</v>
      </c>
      <c r="D34" s="145"/>
    </row>
    <row r="35" spans="2:6" s="93" customFormat="1" ht="12.5">
      <c r="B35" s="117"/>
      <c r="C35" s="149" t="s">
        <v>124</v>
      </c>
      <c r="D35" s="145"/>
    </row>
    <row r="36" spans="2:6" s="93" customFormat="1" ht="12.5">
      <c r="B36" s="117"/>
      <c r="C36" s="93" t="s">
        <v>125</v>
      </c>
    </row>
    <row r="37" spans="2:6" s="93" customFormat="1" ht="27.75" customHeight="1">
      <c r="B37" s="117"/>
      <c r="C37" s="150" t="s">
        <v>126</v>
      </c>
      <c r="D37" s="150"/>
      <c r="F37" s="146"/>
    </row>
    <row r="38" spans="2:6" s="93" customFormat="1" ht="12.5">
      <c r="B38" s="117"/>
      <c r="F38" s="143"/>
    </row>
    <row r="39" spans="2:6" s="93" customFormat="1" ht="12.5">
      <c r="B39" s="117"/>
      <c r="F39" s="143"/>
    </row>
    <row r="40" spans="2:6" s="93" customFormat="1" ht="12.5">
      <c r="B40" s="117"/>
      <c r="F40" s="143"/>
    </row>
    <row r="41" spans="2:6" s="93" customFormat="1" ht="12.5">
      <c r="B41" s="117"/>
      <c r="F41" s="143"/>
    </row>
    <row r="42" spans="2:6" s="93" customFormat="1" ht="12.5">
      <c r="B42" s="117"/>
    </row>
    <row r="43" spans="2:6" s="93" customFormat="1" ht="12.5">
      <c r="B43" s="117"/>
    </row>
    <row r="44" spans="2:6" s="93" customFormat="1" ht="12.5">
      <c r="B44" s="117"/>
    </row>
    <row r="45" spans="2:6" s="93" customFormat="1" ht="12.75" hidden="1" customHeight="1">
      <c r="B45" s="117"/>
    </row>
    <row r="46" spans="2:6" s="93" customFormat="1" ht="12.75" hidden="1" customHeight="1">
      <c r="B46" s="117"/>
    </row>
    <row r="47" spans="2:6" s="93" customFormat="1" ht="13.5" hidden="1" customHeight="1">
      <c r="B47" s="128" t="s">
        <v>77</v>
      </c>
      <c r="C47" s="129" t="s">
        <v>110</v>
      </c>
      <c r="D47" s="130"/>
      <c r="E47" s="128" t="s">
        <v>111</v>
      </c>
      <c r="F47" s="128" t="s">
        <v>112</v>
      </c>
    </row>
    <row r="48" spans="2:6" s="93" customFormat="1" ht="12.75" hidden="1" customHeight="1">
      <c r="B48" s="151">
        <v>1</v>
      </c>
      <c r="C48" s="152" t="s">
        <v>127</v>
      </c>
      <c r="D48" s="152"/>
      <c r="E48" s="132">
        <v>0.35</v>
      </c>
      <c r="F48" s="133">
        <f>$F$54*E48</f>
        <v>4378.5</v>
      </c>
    </row>
    <row r="49" spans="2:6" s="93" customFormat="1" ht="12.75" hidden="1" customHeight="1">
      <c r="B49" s="151">
        <v>2</v>
      </c>
      <c r="C49" s="152" t="s">
        <v>128</v>
      </c>
      <c r="D49" s="152"/>
      <c r="E49" s="132">
        <v>0.3</v>
      </c>
      <c r="F49" s="133">
        <f t="shared" ref="F49:F52" si="0">$F$54*E49</f>
        <v>3753</v>
      </c>
    </row>
    <row r="50" spans="2:6" s="93" customFormat="1" ht="12.75" hidden="1" customHeight="1">
      <c r="B50" s="151">
        <v>3</v>
      </c>
      <c r="C50" s="152" t="s">
        <v>129</v>
      </c>
      <c r="D50" s="152"/>
      <c r="E50" s="132">
        <v>0.2</v>
      </c>
      <c r="F50" s="133">
        <f t="shared" si="0"/>
        <v>2502</v>
      </c>
    </row>
    <row r="51" spans="2:6" s="93" customFormat="1" ht="12.75" hidden="1" customHeight="1">
      <c r="B51" s="151">
        <v>4</v>
      </c>
      <c r="C51" s="152" t="s">
        <v>130</v>
      </c>
      <c r="D51" s="152"/>
      <c r="E51" s="132">
        <v>0.1</v>
      </c>
      <c r="F51" s="133">
        <f t="shared" si="0"/>
        <v>1251</v>
      </c>
    </row>
    <row r="52" spans="2:6" s="93" customFormat="1" ht="13.5" hidden="1" customHeight="1" thickBot="1">
      <c r="B52" s="153">
        <v>5</v>
      </c>
      <c r="C52" s="154" t="s">
        <v>54</v>
      </c>
      <c r="D52" s="154"/>
      <c r="E52" s="155">
        <v>0.05</v>
      </c>
      <c r="F52" s="156">
        <f t="shared" si="0"/>
        <v>625.5</v>
      </c>
    </row>
    <row r="53" spans="2:6" s="93" customFormat="1" ht="13.5" hidden="1" customHeight="1" thickBot="1">
      <c r="B53" s="157"/>
      <c r="C53" s="158" t="s">
        <v>131</v>
      </c>
      <c r="D53" s="158"/>
      <c r="E53" s="159">
        <f>SUM(E48:E52)</f>
        <v>0.99999999999999989</v>
      </c>
      <c r="F53" s="160">
        <f>SUM(F48:F52)</f>
        <v>12510</v>
      </c>
    </row>
    <row r="54" spans="2:6" s="93" customFormat="1" ht="12.75" hidden="1" customHeight="1">
      <c r="B54" s="117"/>
      <c r="E54" s="137">
        <f>SUM(E48:E52)</f>
        <v>0.99999999999999989</v>
      </c>
      <c r="F54" s="116">
        <f>F28</f>
        <v>12510</v>
      </c>
    </row>
    <row r="55" spans="2:6" s="93" customFormat="1" ht="12.75" hidden="1" customHeight="1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  <row r="221" spans="2:2" s="93" customFormat="1" ht="12.5">
      <c r="B221" s="117"/>
    </row>
    <row r="222" spans="2:2" s="93" customFormat="1" ht="12.5">
      <c r="B222" s="117"/>
    </row>
    <row r="223" spans="2:2" s="93" customFormat="1" ht="12.5">
      <c r="B223" s="117"/>
    </row>
    <row r="224" spans="2:2" s="93" customFormat="1" ht="12.5">
      <c r="B224" s="117"/>
    </row>
    <row r="225" spans="2:2" s="93" customFormat="1" ht="12.5">
      <c r="B225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6 P12:P26" name="Range1"/>
  </protectedRanges>
  <mergeCells count="14">
    <mergeCell ref="C26:D26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4:D24"/>
  </mergeCells>
  <conditionalFormatting sqref="F28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542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132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5" thickBot="1">
      <c r="A4" s="211"/>
      <c r="B4" s="793"/>
      <c r="C4" s="793"/>
      <c r="D4" s="793"/>
      <c r="E4" s="402"/>
      <c r="F4" s="216" t="s">
        <v>101</v>
      </c>
      <c r="G4" s="211"/>
      <c r="H4" s="216" t="s">
        <v>102</v>
      </c>
      <c r="I4" s="211"/>
      <c r="J4" s="217" t="s">
        <v>133</v>
      </c>
      <c r="K4" s="112"/>
      <c r="L4" s="112"/>
    </row>
    <row r="5" spans="1:12" ht="14.5" thickBot="1">
      <c r="A5" s="211"/>
      <c r="B5" s="794" t="s">
        <v>134</v>
      </c>
      <c r="C5" s="794"/>
      <c r="D5" s="794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6.5" thickBot="1">
      <c r="A7" s="211"/>
      <c r="B7" s="221" t="s">
        <v>77</v>
      </c>
      <c r="C7" s="222"/>
      <c r="D7" s="221" t="s">
        <v>135</v>
      </c>
      <c r="E7" s="222"/>
      <c r="F7" s="223" t="s">
        <v>136</v>
      </c>
      <c r="G7" s="224"/>
      <c r="H7" s="223" t="s">
        <v>137</v>
      </c>
      <c r="I7" s="224"/>
      <c r="J7" s="223" t="s">
        <v>138</v>
      </c>
      <c r="K7" s="169"/>
      <c r="L7" s="115" t="s">
        <v>139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Breakdown'!L52</f>
        <v>2</v>
      </c>
      <c r="C10" s="214"/>
      <c r="D10" s="226" t="str">
        <f>'Expenditure Breakdown'!M52</f>
        <v>2. Services - Magic Co</v>
      </c>
      <c r="E10" s="86"/>
      <c r="F10" s="227">
        <f>'Expenditure Breakdown'!I52</f>
        <v>7168</v>
      </c>
      <c r="G10" s="86"/>
      <c r="H10" s="227">
        <f>'Expenditure Breakdown'!X52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Breakdown'!L98</f>
        <v>0</v>
      </c>
      <c r="C11" s="214"/>
      <c r="D11" s="226">
        <f>'Expenditure Breakdown'!M98</f>
        <v>0</v>
      </c>
      <c r="E11" s="229"/>
      <c r="F11" s="227">
        <f>'Expenditure Breakdown'!I98</f>
        <v>0</v>
      </c>
      <c r="G11" s="86"/>
      <c r="H11" s="227">
        <f>'Expenditure Breakdown'!X98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Breakdown'!L105</f>
        <v>0</v>
      </c>
      <c r="C12" s="214"/>
      <c r="D12" s="226">
        <f>'Expenditure Breakdown'!M105</f>
        <v>0</v>
      </c>
      <c r="E12" s="229"/>
      <c r="F12" s="227">
        <f>'Expenditure Breakdown'!I105</f>
        <v>0</v>
      </c>
      <c r="G12" s="86"/>
      <c r="H12" s="227">
        <f>'Expenditure Breakdown'!X105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Breakdown'!L121</f>
        <v>0</v>
      </c>
      <c r="C13" s="214"/>
      <c r="D13" s="226">
        <f>'Expenditure Breakdown'!M121</f>
        <v>0</v>
      </c>
      <c r="E13" s="229"/>
      <c r="F13" s="227">
        <f>'Expenditure Breakdown'!I121</f>
        <v>0</v>
      </c>
      <c r="G13" s="86"/>
      <c r="H13" s="227">
        <f>'Expenditure Breakdown'!X121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Breakdown'!L129</f>
        <v>0</v>
      </c>
      <c r="C14" s="214"/>
      <c r="D14" s="226">
        <f>'Expenditure Breakdown'!M129</f>
        <v>0</v>
      </c>
      <c r="E14" s="229"/>
      <c r="F14" s="227">
        <f>'Expenditure Breakdown'!I129</f>
        <v>0</v>
      </c>
      <c r="G14" s="86"/>
      <c r="H14" s="227">
        <f>'Expenditure Breakdown'!X129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Breakdown'!L143</f>
        <v>0</v>
      </c>
      <c r="C15" s="214"/>
      <c r="D15" s="226">
        <f>'Expenditure Breakdown'!M143</f>
        <v>0</v>
      </c>
      <c r="E15" s="229"/>
      <c r="F15" s="227">
        <f>'Expenditure Breakdown'!I143</f>
        <v>0</v>
      </c>
      <c r="G15" s="86"/>
      <c r="H15" s="227">
        <f>'Expenditure Breakdown'!X143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Breakdown'!L152</f>
        <v>0</v>
      </c>
      <c r="C16" s="214"/>
      <c r="D16" s="226">
        <f>'Expenditure Breakdown'!M152</f>
        <v>0</v>
      </c>
      <c r="E16" s="229"/>
      <c r="F16" s="227">
        <f>'Expenditure Breakdown'!I152</f>
        <v>0</v>
      </c>
      <c r="G16" s="86"/>
      <c r="H16" s="227">
        <f>'Expenditure Breakdown'!X152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Breakdown'!L162</f>
        <v>0</v>
      </c>
      <c r="C17" s="214"/>
      <c r="D17" s="226">
        <f>'Expenditure Breakdown'!M162</f>
        <v>0</v>
      </c>
      <c r="E17" s="229"/>
      <c r="F17" s="227">
        <f>'Expenditure Breakdown'!I162</f>
        <v>0</v>
      </c>
      <c r="G17" s="86"/>
      <c r="H17" s="227">
        <f>'Expenditure Breakdown'!X162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Breakdown'!L175</f>
        <v>0</v>
      </c>
      <c r="C18" s="214"/>
      <c r="D18" s="226">
        <f>'Expenditure Breakdown'!M175</f>
        <v>0</v>
      </c>
      <c r="E18" s="86"/>
      <c r="F18" s="227">
        <f>'Expenditure Breakdown'!I175</f>
        <v>0</v>
      </c>
      <c r="G18" s="86"/>
      <c r="H18" s="227">
        <f>'Expenditure Breakdown'!X175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Breakdown'!L191</f>
        <v>0</v>
      </c>
      <c r="C19" s="214"/>
      <c r="D19" s="226">
        <f>'Expenditure Breakdown'!M191</f>
        <v>0</v>
      </c>
      <c r="E19" s="86"/>
      <c r="F19" s="227">
        <f>'Expenditure Breakdown'!I191</f>
        <v>0</v>
      </c>
      <c r="G19" s="86"/>
      <c r="H19" s="227">
        <f>'Expenditure Breakdown'!X191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Breakdown'!L197</f>
        <v>0</v>
      </c>
      <c r="C20" s="214"/>
      <c r="D20" s="226">
        <f>'Expenditure Breakdown'!M197</f>
        <v>0</v>
      </c>
      <c r="E20" s="86"/>
      <c r="F20" s="227">
        <f>'Expenditure Breakdown'!I197</f>
        <v>0</v>
      </c>
      <c r="G20" s="86"/>
      <c r="H20" s="227">
        <f>'Expenditure Breakdown'!X197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Breakdown'!L200</f>
        <v>0</v>
      </c>
      <c r="C21" s="214"/>
      <c r="D21" s="226">
        <f>'Expenditure Breakdown'!M201</f>
        <v>0</v>
      </c>
      <c r="E21" s="86"/>
      <c r="F21" s="227">
        <f>'Expenditure Breakdown'!I200</f>
        <v>0</v>
      </c>
      <c r="G21" s="86"/>
      <c r="H21" s="227">
        <f>'Expenditure Breakdown'!X200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Breakdown'!L207</f>
        <v>0</v>
      </c>
      <c r="C22" s="214"/>
      <c r="D22" s="226">
        <f>'Expenditure Breakdown'!M207</f>
        <v>0</v>
      </c>
      <c r="E22" s="86"/>
      <c r="F22" s="227">
        <f>'Expenditure Breakdown'!I207</f>
        <v>0</v>
      </c>
      <c r="G22" s="86"/>
      <c r="H22" s="227">
        <f>'Expenditure Breakdown'!X207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Breakdown'!L220</f>
        <v>0</v>
      </c>
      <c r="C23" s="214"/>
      <c r="D23" s="226">
        <f>'Expenditure Breakdown'!M220</f>
        <v>0</v>
      </c>
      <c r="E23" s="86"/>
      <c r="F23" s="227">
        <f>'Expenditure Breakdown'!I220</f>
        <v>0</v>
      </c>
      <c r="G23" s="86"/>
      <c r="H23" s="227">
        <f>'Expenditure Breakdown'!X220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140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0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141</v>
      </c>
      <c r="F2" s="83" t="s">
        <v>142</v>
      </c>
    </row>
    <row r="3" spans="3:8">
      <c r="C3" s="79">
        <v>45658</v>
      </c>
      <c r="D3" s="73" t="s">
        <v>143</v>
      </c>
      <c r="F3" s="81" t="s">
        <v>144</v>
      </c>
    </row>
    <row r="4" spans="3:8">
      <c r="C4" s="79">
        <v>45737</v>
      </c>
      <c r="D4" s="73" t="s">
        <v>145</v>
      </c>
      <c r="F4" s="81" t="s">
        <v>146</v>
      </c>
    </row>
    <row r="5" spans="3:8">
      <c r="C5" s="79">
        <v>45765</v>
      </c>
      <c r="D5" s="73" t="s">
        <v>147</v>
      </c>
      <c r="F5" s="81" t="s">
        <v>148</v>
      </c>
    </row>
    <row r="6" spans="3:8" ht="13" thickBot="1">
      <c r="C6" s="79">
        <v>45768</v>
      </c>
      <c r="D6" s="73" t="s">
        <v>149</v>
      </c>
      <c r="F6" s="82" t="s">
        <v>150</v>
      </c>
    </row>
    <row r="7" spans="3:8">
      <c r="C7" s="79">
        <v>45774</v>
      </c>
      <c r="D7" s="73" t="s">
        <v>151</v>
      </c>
    </row>
    <row r="8" spans="3:8">
      <c r="C8" s="79">
        <v>45765</v>
      </c>
      <c r="D8" s="73" t="s">
        <v>152</v>
      </c>
    </row>
    <row r="9" spans="3:8">
      <c r="C9" s="79">
        <v>45778</v>
      </c>
      <c r="D9" s="73" t="s">
        <v>153</v>
      </c>
    </row>
    <row r="10" spans="3:8">
      <c r="C10" s="79">
        <v>45824</v>
      </c>
      <c r="D10" s="73" t="s">
        <v>154</v>
      </c>
    </row>
    <row r="11" spans="3:8">
      <c r="C11" s="79">
        <v>45878</v>
      </c>
      <c r="D11" s="73" t="s">
        <v>155</v>
      </c>
    </row>
    <row r="12" spans="3:8">
      <c r="C12" s="79">
        <v>45924</v>
      </c>
      <c r="D12" s="73" t="s">
        <v>156</v>
      </c>
    </row>
    <row r="13" spans="3:8">
      <c r="C13" s="79">
        <v>46007</v>
      </c>
      <c r="D13" s="73" t="s">
        <v>157</v>
      </c>
      <c r="F13" s="85"/>
      <c r="H13" s="73" t="s">
        <v>158</v>
      </c>
    </row>
    <row r="14" spans="3:8">
      <c r="C14" s="79">
        <v>46016</v>
      </c>
      <c r="D14" s="73" t="s">
        <v>159</v>
      </c>
    </row>
    <row r="15" spans="3:8" ht="13" thickBot="1">
      <c r="C15" s="80">
        <v>46017</v>
      </c>
      <c r="D15" s="73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C1" zoomScale="85" zoomScaleNormal="85" workbookViewId="0">
      <pane ySplit="4" topLeftCell="A5" activePane="bottomLeft" state="frozen"/>
      <selection activeCell="X33" sqref="X33"/>
      <selection pane="bottomLeft" activeCell="G20" sqref="G20"/>
    </sheetView>
  </sheetViews>
  <sheetFormatPr defaultColWidth="9.453125" defaultRowHeight="14"/>
  <cols>
    <col min="1" max="1" width="2.453125" style="112" customWidth="1"/>
    <col min="2" max="2" width="6.453125" style="24" customWidth="1"/>
    <col min="3" max="3" width="32.54296875" style="24" bestFit="1" customWidth="1"/>
    <col min="4" max="4" width="20.453125" style="24" bestFit="1" customWidth="1"/>
    <col min="5" max="5" width="16.7265625" style="70" customWidth="1"/>
    <col min="6" max="6" width="16.90625" style="458" customWidth="1"/>
    <col min="7" max="8" width="17.08984375" style="24" customWidth="1"/>
    <col min="9" max="9" width="22.08984375" style="338" customWidth="1"/>
    <col min="10" max="10" width="22.453125" style="338" customWidth="1"/>
    <col min="11" max="12" width="5.453125" style="112" customWidth="1"/>
    <col min="13" max="13" width="31.453125" style="112" customWidth="1"/>
    <col min="14" max="14" width="48.08984375" style="112" customWidth="1"/>
    <col min="15" max="15" width="15.54296875" style="112" customWidth="1"/>
    <col min="16" max="16" width="17.54296875" style="112" customWidth="1"/>
    <col min="17" max="17" width="17.08984375" style="112" customWidth="1"/>
    <col min="18" max="18" width="40.453125" style="112" bestFit="1" customWidth="1"/>
    <col min="19" max="19" width="32" style="112" customWidth="1"/>
    <col min="20" max="21" width="17.08984375" style="528" customWidth="1"/>
    <col min="22" max="22" width="17.08984375" style="112" customWidth="1"/>
    <col min="23" max="23" width="17.08984375" style="528" customWidth="1"/>
    <col min="24" max="24" width="21.453125" style="112" customWidth="1"/>
    <col min="25" max="25" width="29.08984375" style="112" bestFit="1" customWidth="1"/>
    <col min="26" max="26" width="24.90625" style="112" bestFit="1" customWidth="1"/>
    <col min="27" max="76" width="17.54296875" style="112" customWidth="1"/>
    <col min="77" max="16384" width="9.453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04" t="s">
        <v>161</v>
      </c>
      <c r="C2" s="805"/>
      <c r="D2" s="805"/>
      <c r="E2" s="805"/>
      <c r="F2" s="805"/>
      <c r="G2" s="805"/>
      <c r="H2" s="484"/>
      <c r="I2" s="247">
        <f>SUM(I6:I232)</f>
        <v>10008</v>
      </c>
      <c r="J2" s="247">
        <f>SUM(J6:J232)</f>
        <v>12510</v>
      </c>
      <c r="L2" s="806" t="s">
        <v>162</v>
      </c>
      <c r="M2" s="807"/>
      <c r="N2" s="807"/>
      <c r="O2" s="807"/>
      <c r="P2" s="807"/>
      <c r="Q2" s="807"/>
      <c r="R2" s="808" t="s">
        <v>163</v>
      </c>
      <c r="S2" s="809"/>
      <c r="T2" s="809"/>
      <c r="U2" s="809"/>
      <c r="V2" s="809"/>
      <c r="W2" s="810"/>
      <c r="X2" s="462">
        <f>SUM(X6:X232)</f>
        <v>5000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.5" thickBot="1">
      <c r="A4" s="162"/>
      <c r="B4" s="248" t="s">
        <v>164</v>
      </c>
      <c r="C4" s="249" t="s">
        <v>165</v>
      </c>
      <c r="D4" s="249" t="s">
        <v>166</v>
      </c>
      <c r="E4" s="249" t="s">
        <v>167</v>
      </c>
      <c r="F4" s="449" t="s">
        <v>168</v>
      </c>
      <c r="G4" s="250" t="s">
        <v>169</v>
      </c>
      <c r="H4" s="359" t="s">
        <v>170</v>
      </c>
      <c r="I4" s="251" t="s">
        <v>171</v>
      </c>
      <c r="J4" s="251" t="s">
        <v>289</v>
      </c>
      <c r="K4" s="162"/>
      <c r="L4" s="248" t="s">
        <v>164</v>
      </c>
      <c r="M4" s="249" t="s">
        <v>172</v>
      </c>
      <c r="N4" s="249" t="s">
        <v>166</v>
      </c>
      <c r="O4" s="249" t="s">
        <v>167</v>
      </c>
      <c r="P4" s="449" t="s">
        <v>168</v>
      </c>
      <c r="Q4" s="361" t="s">
        <v>173</v>
      </c>
      <c r="R4" s="472" t="s">
        <v>174</v>
      </c>
      <c r="S4" s="360" t="s">
        <v>114</v>
      </c>
      <c r="T4" s="756" t="s">
        <v>115</v>
      </c>
      <c r="U4" s="757" t="s">
        <v>175</v>
      </c>
      <c r="V4" s="361" t="s">
        <v>176</v>
      </c>
      <c r="W4" s="756" t="s">
        <v>170</v>
      </c>
      <c r="X4" s="464" t="s">
        <v>171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263</v>
      </c>
      <c r="D6" s="271"/>
      <c r="E6" s="272"/>
      <c r="F6" s="421"/>
      <c r="G6" s="614">
        <f>D236</f>
        <v>2840</v>
      </c>
      <c r="H6" s="617">
        <v>46029</v>
      </c>
      <c r="I6" s="795">
        <f>SUM(G6:G19)</f>
        <v>2840</v>
      </c>
      <c r="J6" s="795">
        <f>E236</f>
        <v>3550</v>
      </c>
      <c r="K6" s="380"/>
      <c r="L6" s="270">
        <v>1</v>
      </c>
      <c r="M6" s="683" t="s">
        <v>263</v>
      </c>
      <c r="N6" s="271" t="s">
        <v>185</v>
      </c>
      <c r="O6" s="529"/>
      <c r="P6" s="421"/>
      <c r="Q6" s="614">
        <v>2500</v>
      </c>
      <c r="R6" s="621"/>
      <c r="S6" s="622"/>
      <c r="T6" s="615">
        <v>46053</v>
      </c>
      <c r="U6" s="634">
        <f>(Q6/$X$6*$J$6)</f>
        <v>3550</v>
      </c>
      <c r="V6" s="811"/>
      <c r="W6" s="615">
        <v>46039</v>
      </c>
      <c r="X6" s="795">
        <f>SUM(Q6:Q19)</f>
        <v>2500</v>
      </c>
    </row>
    <row r="7" spans="1:76" ht="15" customHeight="1">
      <c r="B7" s="300">
        <v>1</v>
      </c>
      <c r="C7" s="674" t="s">
        <v>263</v>
      </c>
      <c r="D7" s="381"/>
      <c r="E7" s="382"/>
      <c r="F7" s="443"/>
      <c r="G7" s="304"/>
      <c r="H7" s="508"/>
      <c r="I7" s="796"/>
      <c r="J7" s="796"/>
      <c r="K7" s="277"/>
      <c r="L7" s="300">
        <v>1</v>
      </c>
      <c r="M7" s="302" t="s">
        <v>263</v>
      </c>
      <c r="N7" s="381"/>
      <c r="O7" s="530"/>
      <c r="P7" s="428"/>
      <c r="Q7" s="304"/>
      <c r="R7" s="566"/>
      <c r="S7" s="623"/>
      <c r="T7" s="501"/>
      <c r="U7" s="485">
        <f t="shared" ref="U7:U18" si="0">(Q7/$X$6*$J$6)</f>
        <v>0</v>
      </c>
      <c r="V7" s="812"/>
      <c r="W7" s="501"/>
      <c r="X7" s="796"/>
    </row>
    <row r="8" spans="1:76" ht="15" customHeight="1">
      <c r="B8" s="300">
        <v>1</v>
      </c>
      <c r="C8" s="674" t="s">
        <v>263</v>
      </c>
      <c r="D8" s="381"/>
      <c r="E8" s="382"/>
      <c r="F8" s="443"/>
      <c r="G8" s="304"/>
      <c r="H8" s="508"/>
      <c r="I8" s="796"/>
      <c r="J8" s="796"/>
      <c r="K8" s="277"/>
      <c r="L8" s="300">
        <v>1</v>
      </c>
      <c r="M8" s="302" t="s">
        <v>263</v>
      </c>
      <c r="N8" s="468"/>
      <c r="O8" s="531"/>
      <c r="P8" s="428"/>
      <c r="Q8" s="304"/>
      <c r="R8" s="566"/>
      <c r="S8" s="623"/>
      <c r="T8" s="501"/>
      <c r="U8" s="485">
        <f t="shared" si="0"/>
        <v>0</v>
      </c>
      <c r="V8" s="812"/>
      <c r="W8" s="501"/>
      <c r="X8" s="796"/>
    </row>
    <row r="9" spans="1:76" ht="15" customHeight="1">
      <c r="B9" s="300">
        <v>1</v>
      </c>
      <c r="C9" s="674" t="s">
        <v>263</v>
      </c>
      <c r="D9" s="381"/>
      <c r="E9" s="382"/>
      <c r="F9" s="443"/>
      <c r="G9" s="304"/>
      <c r="H9" s="508"/>
      <c r="I9" s="796"/>
      <c r="J9" s="796"/>
      <c r="K9" s="277"/>
      <c r="L9" s="300">
        <v>1</v>
      </c>
      <c r="M9" s="302" t="s">
        <v>263</v>
      </c>
      <c r="N9" s="468"/>
      <c r="O9" s="531"/>
      <c r="P9" s="428"/>
      <c r="Q9" s="304"/>
      <c r="R9" s="566"/>
      <c r="S9" s="623"/>
      <c r="T9" s="501"/>
      <c r="U9" s="485">
        <f t="shared" si="0"/>
        <v>0</v>
      </c>
      <c r="V9" s="812"/>
      <c r="W9" s="501"/>
      <c r="X9" s="796"/>
    </row>
    <row r="10" spans="1:76" ht="15" customHeight="1">
      <c r="B10" s="300">
        <v>1</v>
      </c>
      <c r="C10" s="674" t="s">
        <v>263</v>
      </c>
      <c r="D10" s="381"/>
      <c r="E10" s="382"/>
      <c r="F10" s="443"/>
      <c r="G10" s="304"/>
      <c r="H10" s="508"/>
      <c r="I10" s="796"/>
      <c r="J10" s="796"/>
      <c r="K10" s="277"/>
      <c r="L10" s="300">
        <v>1</v>
      </c>
      <c r="M10" s="302" t="s">
        <v>263</v>
      </c>
      <c r="N10" s="468"/>
      <c r="O10" s="531"/>
      <c r="P10" s="428"/>
      <c r="Q10" s="304"/>
      <c r="R10" s="566"/>
      <c r="S10" s="623"/>
      <c r="T10" s="501"/>
      <c r="U10" s="485">
        <f t="shared" si="0"/>
        <v>0</v>
      </c>
      <c r="V10" s="812"/>
      <c r="W10" s="501"/>
      <c r="X10" s="796"/>
    </row>
    <row r="11" spans="1:76" ht="15" customHeight="1">
      <c r="B11" s="300">
        <v>1</v>
      </c>
      <c r="C11" s="674" t="s">
        <v>263</v>
      </c>
      <c r="D11" s="381"/>
      <c r="E11" s="382"/>
      <c r="F11" s="443"/>
      <c r="G11" s="304"/>
      <c r="H11" s="508"/>
      <c r="I11" s="796"/>
      <c r="J11" s="796"/>
      <c r="K11" s="277"/>
      <c r="L11" s="300">
        <v>1</v>
      </c>
      <c r="M11" s="302" t="s">
        <v>263</v>
      </c>
      <c r="N11" s="468"/>
      <c r="O11" s="531"/>
      <c r="P11" s="428"/>
      <c r="Q11" s="304"/>
      <c r="R11" s="566"/>
      <c r="S11" s="623"/>
      <c r="T11" s="501"/>
      <c r="U11" s="485">
        <f t="shared" si="0"/>
        <v>0</v>
      </c>
      <c r="V11" s="812"/>
      <c r="W11" s="501"/>
      <c r="X11" s="796"/>
    </row>
    <row r="12" spans="1:76" ht="15" customHeight="1">
      <c r="B12" s="300">
        <v>1</v>
      </c>
      <c r="C12" s="674" t="s">
        <v>263</v>
      </c>
      <c r="D12" s="381"/>
      <c r="E12" s="382"/>
      <c r="F12" s="443"/>
      <c r="G12" s="304"/>
      <c r="H12" s="508"/>
      <c r="I12" s="796"/>
      <c r="J12" s="796"/>
      <c r="K12" s="277"/>
      <c r="L12" s="300">
        <v>1</v>
      </c>
      <c r="M12" s="302" t="s">
        <v>263</v>
      </c>
      <c r="N12" s="468"/>
      <c r="O12" s="531"/>
      <c r="P12" s="428"/>
      <c r="Q12" s="304"/>
      <c r="R12" s="566"/>
      <c r="S12" s="623"/>
      <c r="T12" s="501"/>
      <c r="U12" s="485">
        <f t="shared" si="0"/>
        <v>0</v>
      </c>
      <c r="V12" s="812"/>
      <c r="W12" s="501"/>
      <c r="X12" s="796"/>
    </row>
    <row r="13" spans="1:76" ht="15" customHeight="1">
      <c r="B13" s="300">
        <v>1</v>
      </c>
      <c r="C13" s="674" t="s">
        <v>263</v>
      </c>
      <c r="D13" s="381"/>
      <c r="E13" s="382"/>
      <c r="F13" s="443"/>
      <c r="G13" s="304"/>
      <c r="H13" s="508"/>
      <c r="I13" s="796"/>
      <c r="J13" s="796"/>
      <c r="K13" s="277"/>
      <c r="L13" s="300">
        <v>1</v>
      </c>
      <c r="M13" s="302" t="s">
        <v>263</v>
      </c>
      <c r="N13" s="468"/>
      <c r="O13" s="531"/>
      <c r="P13" s="428"/>
      <c r="Q13" s="304"/>
      <c r="R13" s="566"/>
      <c r="S13" s="623"/>
      <c r="T13" s="501"/>
      <c r="U13" s="485">
        <f t="shared" si="0"/>
        <v>0</v>
      </c>
      <c r="V13" s="812"/>
      <c r="W13" s="501"/>
      <c r="X13" s="796"/>
    </row>
    <row r="14" spans="1:76" ht="15" customHeight="1">
      <c r="B14" s="300">
        <v>1</v>
      </c>
      <c r="C14" s="674" t="s">
        <v>263</v>
      </c>
      <c r="D14" s="381"/>
      <c r="E14" s="382"/>
      <c r="F14" s="443"/>
      <c r="G14" s="304"/>
      <c r="H14" s="508"/>
      <c r="I14" s="796"/>
      <c r="J14" s="796"/>
      <c r="K14" s="277"/>
      <c r="L14" s="300">
        <v>1</v>
      </c>
      <c r="M14" s="302" t="s">
        <v>263</v>
      </c>
      <c r="N14" s="468"/>
      <c r="O14" s="531"/>
      <c r="P14" s="428"/>
      <c r="Q14" s="304"/>
      <c r="R14" s="566"/>
      <c r="S14" s="623"/>
      <c r="T14" s="501"/>
      <c r="U14" s="485">
        <f t="shared" si="0"/>
        <v>0</v>
      </c>
      <c r="V14" s="812"/>
      <c r="W14" s="501"/>
      <c r="X14" s="796"/>
    </row>
    <row r="15" spans="1:76" ht="15" customHeight="1">
      <c r="B15" s="300">
        <v>1</v>
      </c>
      <c r="C15" s="674" t="s">
        <v>263</v>
      </c>
      <c r="D15" s="381"/>
      <c r="E15" s="382"/>
      <c r="F15" s="443"/>
      <c r="G15" s="304"/>
      <c r="H15" s="508"/>
      <c r="I15" s="796"/>
      <c r="J15" s="796"/>
      <c r="K15" s="277"/>
      <c r="L15" s="300">
        <v>1</v>
      </c>
      <c r="M15" s="302" t="s">
        <v>263</v>
      </c>
      <c r="N15" s="468"/>
      <c r="O15" s="531"/>
      <c r="P15" s="428"/>
      <c r="Q15" s="304"/>
      <c r="R15" s="566"/>
      <c r="S15" s="623"/>
      <c r="T15" s="501"/>
      <c r="U15" s="485">
        <f t="shared" si="0"/>
        <v>0</v>
      </c>
      <c r="V15" s="812"/>
      <c r="W15" s="501"/>
      <c r="X15" s="796"/>
    </row>
    <row r="16" spans="1:76" ht="15" customHeight="1">
      <c r="B16" s="300">
        <v>1</v>
      </c>
      <c r="C16" s="674" t="s">
        <v>263</v>
      </c>
      <c r="D16" s="381"/>
      <c r="E16" s="382"/>
      <c r="F16" s="443"/>
      <c r="G16" s="304"/>
      <c r="H16" s="508"/>
      <c r="I16" s="796"/>
      <c r="J16" s="796"/>
      <c r="K16" s="277"/>
      <c r="L16" s="300">
        <v>1</v>
      </c>
      <c r="M16" s="302" t="s">
        <v>263</v>
      </c>
      <c r="N16" s="468"/>
      <c r="O16" s="531"/>
      <c r="P16" s="428"/>
      <c r="Q16" s="304"/>
      <c r="R16" s="566"/>
      <c r="S16" s="623"/>
      <c r="T16" s="501"/>
      <c r="U16" s="485">
        <f t="shared" si="0"/>
        <v>0</v>
      </c>
      <c r="V16" s="812"/>
      <c r="W16" s="501"/>
      <c r="X16" s="796"/>
    </row>
    <row r="17" spans="2:25" ht="15" customHeight="1">
      <c r="B17" s="300">
        <v>1</v>
      </c>
      <c r="C17" s="674" t="s">
        <v>263</v>
      </c>
      <c r="D17" s="381"/>
      <c r="E17" s="382"/>
      <c r="F17" s="443"/>
      <c r="G17" s="304"/>
      <c r="H17" s="508"/>
      <c r="I17" s="796"/>
      <c r="J17" s="796"/>
      <c r="K17" s="277"/>
      <c r="L17" s="300">
        <v>1</v>
      </c>
      <c r="M17" s="302" t="s">
        <v>263</v>
      </c>
      <c r="N17" s="468"/>
      <c r="O17" s="531"/>
      <c r="P17" s="428"/>
      <c r="Q17" s="304"/>
      <c r="R17" s="566"/>
      <c r="S17" s="623"/>
      <c r="T17" s="501"/>
      <c r="U17" s="485">
        <f t="shared" si="0"/>
        <v>0</v>
      </c>
      <c r="V17" s="812"/>
      <c r="W17" s="501"/>
      <c r="X17" s="796"/>
    </row>
    <row r="18" spans="2:25" ht="15" customHeight="1">
      <c r="B18" s="300">
        <v>1</v>
      </c>
      <c r="C18" s="674" t="s">
        <v>263</v>
      </c>
      <c r="D18" s="381"/>
      <c r="E18" s="382"/>
      <c r="F18" s="443"/>
      <c r="G18" s="304"/>
      <c r="H18" s="508"/>
      <c r="I18" s="796"/>
      <c r="J18" s="796"/>
      <c r="K18" s="277"/>
      <c r="L18" s="300">
        <v>1</v>
      </c>
      <c r="M18" s="302" t="s">
        <v>263</v>
      </c>
      <c r="N18" s="468"/>
      <c r="O18" s="531"/>
      <c r="P18" s="428"/>
      <c r="Q18" s="304"/>
      <c r="R18" s="566"/>
      <c r="S18" s="623"/>
      <c r="T18" s="501"/>
      <c r="U18" s="485">
        <f t="shared" si="0"/>
        <v>0</v>
      </c>
      <c r="V18" s="812"/>
      <c r="W18" s="501"/>
      <c r="X18" s="796"/>
    </row>
    <row r="19" spans="2:25" ht="15" customHeight="1" thickBot="1">
      <c r="B19" s="305">
        <v>1</v>
      </c>
      <c r="C19" s="675" t="s">
        <v>263</v>
      </c>
      <c r="D19" s="405"/>
      <c r="E19" s="383"/>
      <c r="F19" s="444"/>
      <c r="G19" s="319"/>
      <c r="H19" s="649"/>
      <c r="I19" s="797"/>
      <c r="J19" s="797"/>
      <c r="K19" s="277"/>
      <c r="L19" s="305">
        <v>1</v>
      </c>
      <c r="M19" s="306" t="s">
        <v>263</v>
      </c>
      <c r="N19" s="405"/>
      <c r="O19" s="532"/>
      <c r="P19" s="444"/>
      <c r="Q19" s="319"/>
      <c r="R19" s="568"/>
      <c r="S19" s="624"/>
      <c r="T19" s="503"/>
      <c r="U19" s="487">
        <f>(Q19/$X$6*$J$6)</f>
        <v>0</v>
      </c>
      <c r="V19" s="812"/>
      <c r="W19" s="503"/>
      <c r="X19" s="797"/>
    </row>
    <row r="20" spans="2:25" ht="15" customHeight="1" thickBot="1">
      <c r="B20" s="651"/>
      <c r="C20" s="676"/>
      <c r="D20" s="610"/>
      <c r="E20" s="611"/>
      <c r="F20" s="612"/>
      <c r="G20" s="613"/>
      <c r="H20" s="616"/>
      <c r="I20" s="746"/>
      <c r="J20" s="748"/>
      <c r="K20" s="277"/>
      <c r="L20" s="625"/>
      <c r="M20" s="684"/>
      <c r="N20" s="610"/>
      <c r="O20" s="620"/>
      <c r="P20" s="612"/>
      <c r="Q20" s="613"/>
      <c r="R20" s="626"/>
      <c r="S20" s="627"/>
      <c r="T20" s="632"/>
      <c r="U20" s="633"/>
      <c r="V20" s="812"/>
      <c r="W20" s="616"/>
      <c r="X20" s="751"/>
      <c r="Y20" s="466"/>
    </row>
    <row r="21" spans="2:25" ht="15" customHeight="1">
      <c r="B21" s="270">
        <v>1</v>
      </c>
      <c r="C21" s="677" t="s">
        <v>265</v>
      </c>
      <c r="D21" s="339"/>
      <c r="E21" s="652"/>
      <c r="F21" s="421"/>
      <c r="G21" s="273"/>
      <c r="H21" s="617"/>
      <c r="I21" s="795">
        <f>SUM(G21:G34)</f>
        <v>0</v>
      </c>
      <c r="J21" s="795">
        <f>E242</f>
        <v>0</v>
      </c>
      <c r="K21" s="277"/>
      <c r="L21" s="270">
        <v>1</v>
      </c>
      <c r="M21" s="271" t="s">
        <v>265</v>
      </c>
      <c r="N21" s="628"/>
      <c r="O21" s="540"/>
      <c r="P21" s="452"/>
      <c r="Q21" s="273"/>
      <c r="R21" s="629"/>
      <c r="S21" s="630"/>
      <c r="T21" s="617"/>
      <c r="U21" s="755"/>
      <c r="V21" s="812"/>
      <c r="W21" s="617"/>
      <c r="X21" s="795">
        <f>SUM(Q21:Q34)</f>
        <v>0</v>
      </c>
      <c r="Y21" s="466"/>
    </row>
    <row r="22" spans="2:25" ht="15" customHeight="1">
      <c r="B22" s="300">
        <v>1</v>
      </c>
      <c r="C22" s="674" t="s">
        <v>265</v>
      </c>
      <c r="D22" s="381"/>
      <c r="E22" s="382"/>
      <c r="F22" s="443"/>
      <c r="G22" s="304"/>
      <c r="H22" s="508"/>
      <c r="I22" s="796"/>
      <c r="J22" s="796"/>
      <c r="K22" s="277"/>
      <c r="L22" s="300">
        <v>1</v>
      </c>
      <c r="M22" s="302" t="s">
        <v>265</v>
      </c>
      <c r="N22" s="468"/>
      <c r="O22" s="531"/>
      <c r="P22" s="428"/>
      <c r="Q22" s="304"/>
      <c r="R22" s="566"/>
      <c r="S22" s="585"/>
      <c r="T22" s="501"/>
      <c r="U22" s="485"/>
      <c r="V22" s="812"/>
      <c r="W22" s="501"/>
      <c r="X22" s="796"/>
      <c r="Y22" s="466"/>
    </row>
    <row r="23" spans="2:25" ht="15" customHeight="1">
      <c r="B23" s="300">
        <v>1</v>
      </c>
      <c r="C23" s="674" t="s">
        <v>265</v>
      </c>
      <c r="D23" s="381"/>
      <c r="E23" s="382"/>
      <c r="F23" s="443"/>
      <c r="G23" s="304"/>
      <c r="H23" s="508"/>
      <c r="I23" s="796"/>
      <c r="J23" s="796"/>
      <c r="K23" s="277"/>
      <c r="L23" s="300">
        <v>1</v>
      </c>
      <c r="M23" s="302" t="s">
        <v>265</v>
      </c>
      <c r="N23" s="468"/>
      <c r="O23" s="531"/>
      <c r="P23" s="428"/>
      <c r="Q23" s="304"/>
      <c r="R23" s="566"/>
      <c r="S23" s="585"/>
      <c r="T23" s="501"/>
      <c r="U23" s="485"/>
      <c r="V23" s="812"/>
      <c r="W23" s="501"/>
      <c r="X23" s="796"/>
      <c r="Y23" s="466"/>
    </row>
    <row r="24" spans="2:25" ht="15" customHeight="1">
      <c r="B24" s="300">
        <v>1</v>
      </c>
      <c r="C24" s="674" t="s">
        <v>265</v>
      </c>
      <c r="D24" s="381"/>
      <c r="E24" s="382"/>
      <c r="F24" s="443"/>
      <c r="G24" s="304"/>
      <c r="H24" s="508"/>
      <c r="I24" s="796"/>
      <c r="J24" s="796"/>
      <c r="K24" s="277"/>
      <c r="L24" s="300">
        <v>1</v>
      </c>
      <c r="M24" s="302" t="s">
        <v>265</v>
      </c>
      <c r="N24" s="468"/>
      <c r="O24" s="531"/>
      <c r="P24" s="428"/>
      <c r="Q24" s="304"/>
      <c r="R24" s="566"/>
      <c r="S24" s="585"/>
      <c r="T24" s="501"/>
      <c r="U24" s="485"/>
      <c r="V24" s="812"/>
      <c r="W24" s="501"/>
      <c r="X24" s="796"/>
      <c r="Y24" s="466"/>
    </row>
    <row r="25" spans="2:25" ht="15" customHeight="1">
      <c r="B25" s="300">
        <v>1</v>
      </c>
      <c r="C25" s="674" t="s">
        <v>265</v>
      </c>
      <c r="D25" s="381"/>
      <c r="E25" s="382"/>
      <c r="F25" s="443"/>
      <c r="G25" s="304"/>
      <c r="H25" s="508"/>
      <c r="I25" s="796"/>
      <c r="J25" s="796"/>
      <c r="K25" s="277"/>
      <c r="L25" s="300">
        <v>1</v>
      </c>
      <c r="M25" s="302" t="s">
        <v>265</v>
      </c>
      <c r="N25" s="468"/>
      <c r="O25" s="531"/>
      <c r="P25" s="428"/>
      <c r="Q25" s="304"/>
      <c r="R25" s="566"/>
      <c r="S25" s="585"/>
      <c r="T25" s="501"/>
      <c r="U25" s="485"/>
      <c r="V25" s="812"/>
      <c r="W25" s="501"/>
      <c r="X25" s="796"/>
      <c r="Y25" s="466"/>
    </row>
    <row r="26" spans="2:25" ht="15" customHeight="1">
      <c r="B26" s="300">
        <v>1</v>
      </c>
      <c r="C26" s="674" t="s">
        <v>265</v>
      </c>
      <c r="D26" s="381"/>
      <c r="E26" s="382"/>
      <c r="F26" s="443"/>
      <c r="G26" s="304"/>
      <c r="H26" s="508"/>
      <c r="I26" s="796"/>
      <c r="J26" s="796"/>
      <c r="K26" s="277"/>
      <c r="L26" s="300">
        <v>1</v>
      </c>
      <c r="M26" s="302" t="s">
        <v>265</v>
      </c>
      <c r="N26" s="468"/>
      <c r="O26" s="531"/>
      <c r="P26" s="428"/>
      <c r="Q26" s="304"/>
      <c r="R26" s="566"/>
      <c r="S26" s="585"/>
      <c r="T26" s="501"/>
      <c r="U26" s="485"/>
      <c r="V26" s="812"/>
      <c r="W26" s="501"/>
      <c r="X26" s="796"/>
      <c r="Y26" s="466"/>
    </row>
    <row r="27" spans="2:25" ht="15" customHeight="1">
      <c r="B27" s="300">
        <v>1</v>
      </c>
      <c r="C27" s="674" t="s">
        <v>265</v>
      </c>
      <c r="D27" s="381"/>
      <c r="E27" s="382"/>
      <c r="F27" s="443"/>
      <c r="G27" s="304"/>
      <c r="H27" s="508"/>
      <c r="I27" s="796"/>
      <c r="J27" s="796"/>
      <c r="K27" s="277"/>
      <c r="L27" s="300">
        <v>1</v>
      </c>
      <c r="M27" s="302" t="s">
        <v>265</v>
      </c>
      <c r="N27" s="468"/>
      <c r="O27" s="531"/>
      <c r="P27" s="428"/>
      <c r="Q27" s="304"/>
      <c r="R27" s="566"/>
      <c r="S27" s="585"/>
      <c r="T27" s="501"/>
      <c r="U27" s="485"/>
      <c r="V27" s="812"/>
      <c r="W27" s="501"/>
      <c r="X27" s="796"/>
      <c r="Y27" s="466"/>
    </row>
    <row r="28" spans="2:25" ht="15" customHeight="1">
      <c r="B28" s="300">
        <v>1</v>
      </c>
      <c r="C28" s="674" t="s">
        <v>265</v>
      </c>
      <c r="D28" s="381"/>
      <c r="E28" s="382"/>
      <c r="F28" s="443"/>
      <c r="G28" s="304"/>
      <c r="H28" s="508"/>
      <c r="I28" s="796"/>
      <c r="J28" s="796"/>
      <c r="K28" s="277"/>
      <c r="L28" s="300">
        <v>1</v>
      </c>
      <c r="M28" s="302" t="s">
        <v>265</v>
      </c>
      <c r="N28" s="468"/>
      <c r="O28" s="531"/>
      <c r="P28" s="428"/>
      <c r="Q28" s="304"/>
      <c r="R28" s="566"/>
      <c r="S28" s="585"/>
      <c r="T28" s="501"/>
      <c r="U28" s="485"/>
      <c r="V28" s="812"/>
      <c r="W28" s="501"/>
      <c r="X28" s="796"/>
      <c r="Y28" s="466"/>
    </row>
    <row r="29" spans="2:25" ht="15" customHeight="1">
      <c r="B29" s="300">
        <v>1</v>
      </c>
      <c r="C29" s="674" t="s">
        <v>265</v>
      </c>
      <c r="D29" s="381"/>
      <c r="E29" s="382"/>
      <c r="F29" s="443"/>
      <c r="G29" s="304"/>
      <c r="H29" s="508"/>
      <c r="I29" s="796"/>
      <c r="J29" s="796"/>
      <c r="K29" s="277"/>
      <c r="L29" s="300">
        <v>1</v>
      </c>
      <c r="M29" s="302" t="s">
        <v>265</v>
      </c>
      <c r="N29" s="468"/>
      <c r="O29" s="531"/>
      <c r="P29" s="428"/>
      <c r="Q29" s="304"/>
      <c r="R29" s="566"/>
      <c r="S29" s="585"/>
      <c r="T29" s="501"/>
      <c r="U29" s="485"/>
      <c r="V29" s="812"/>
      <c r="W29" s="501"/>
      <c r="X29" s="796"/>
      <c r="Y29" s="466"/>
    </row>
    <row r="30" spans="2:25" ht="15" customHeight="1">
      <c r="B30" s="300">
        <v>1</v>
      </c>
      <c r="C30" s="674" t="s">
        <v>265</v>
      </c>
      <c r="D30" s="381"/>
      <c r="E30" s="382"/>
      <c r="F30" s="443"/>
      <c r="G30" s="304"/>
      <c r="H30" s="508"/>
      <c r="I30" s="796"/>
      <c r="J30" s="796"/>
      <c r="K30" s="277"/>
      <c r="L30" s="300">
        <v>1</v>
      </c>
      <c r="M30" s="302" t="s">
        <v>265</v>
      </c>
      <c r="N30" s="468"/>
      <c r="O30" s="531"/>
      <c r="P30" s="428"/>
      <c r="Q30" s="304"/>
      <c r="R30" s="566"/>
      <c r="S30" s="585"/>
      <c r="T30" s="501"/>
      <c r="U30" s="485"/>
      <c r="V30" s="812"/>
      <c r="W30" s="501"/>
      <c r="X30" s="796"/>
      <c r="Y30" s="466"/>
    </row>
    <row r="31" spans="2:25" ht="15" customHeight="1">
      <c r="B31" s="300">
        <v>1</v>
      </c>
      <c r="C31" s="674" t="s">
        <v>265</v>
      </c>
      <c r="D31" s="381"/>
      <c r="E31" s="382"/>
      <c r="F31" s="443"/>
      <c r="G31" s="304"/>
      <c r="H31" s="508"/>
      <c r="I31" s="796"/>
      <c r="J31" s="796"/>
      <c r="K31" s="277"/>
      <c r="L31" s="300">
        <v>1</v>
      </c>
      <c r="M31" s="302" t="s">
        <v>265</v>
      </c>
      <c r="N31" s="468"/>
      <c r="O31" s="531"/>
      <c r="P31" s="428"/>
      <c r="Q31" s="304"/>
      <c r="R31" s="566"/>
      <c r="S31" s="585"/>
      <c r="T31" s="501"/>
      <c r="U31" s="485"/>
      <c r="V31" s="812"/>
      <c r="W31" s="501"/>
      <c r="X31" s="796"/>
      <c r="Y31" s="466"/>
    </row>
    <row r="32" spans="2:25" ht="15" customHeight="1">
      <c r="B32" s="300">
        <v>1</v>
      </c>
      <c r="C32" s="674" t="s">
        <v>265</v>
      </c>
      <c r="D32" s="381"/>
      <c r="E32" s="382"/>
      <c r="F32" s="443"/>
      <c r="G32" s="304"/>
      <c r="H32" s="508"/>
      <c r="I32" s="796"/>
      <c r="J32" s="796"/>
      <c r="K32" s="277"/>
      <c r="L32" s="300">
        <v>1</v>
      </c>
      <c r="M32" s="302" t="s">
        <v>265</v>
      </c>
      <c r="N32" s="468"/>
      <c r="O32" s="531"/>
      <c r="P32" s="428"/>
      <c r="Q32" s="304"/>
      <c r="R32" s="566"/>
      <c r="S32" s="585"/>
      <c r="T32" s="501"/>
      <c r="U32" s="485"/>
      <c r="V32" s="812"/>
      <c r="W32" s="501"/>
      <c r="X32" s="796"/>
      <c r="Y32" s="466"/>
    </row>
    <row r="33" spans="2:25" ht="15" customHeight="1">
      <c r="B33" s="300">
        <v>1</v>
      </c>
      <c r="C33" s="674" t="s">
        <v>265</v>
      </c>
      <c r="D33" s="381"/>
      <c r="E33" s="382"/>
      <c r="F33" s="443"/>
      <c r="G33" s="304"/>
      <c r="H33" s="508"/>
      <c r="I33" s="796"/>
      <c r="J33" s="796"/>
      <c r="K33" s="277"/>
      <c r="L33" s="300">
        <v>1</v>
      </c>
      <c r="M33" s="302" t="s">
        <v>265</v>
      </c>
      <c r="N33" s="468"/>
      <c r="O33" s="531"/>
      <c r="P33" s="428"/>
      <c r="Q33" s="304"/>
      <c r="R33" s="566"/>
      <c r="S33" s="585"/>
      <c r="T33" s="501"/>
      <c r="U33" s="485"/>
      <c r="V33" s="812"/>
      <c r="W33" s="501"/>
      <c r="X33" s="796"/>
      <c r="Y33" s="466"/>
    </row>
    <row r="34" spans="2:25" ht="15" customHeight="1" thickBot="1">
      <c r="B34" s="305">
        <v>1</v>
      </c>
      <c r="C34" s="675" t="s">
        <v>265</v>
      </c>
      <c r="D34" s="405"/>
      <c r="E34" s="383"/>
      <c r="F34" s="444"/>
      <c r="G34" s="319"/>
      <c r="H34" s="649"/>
      <c r="I34" s="797"/>
      <c r="J34" s="797"/>
      <c r="K34" s="277"/>
      <c r="L34" s="305">
        <v>1</v>
      </c>
      <c r="M34" s="306" t="s">
        <v>265</v>
      </c>
      <c r="N34" s="405"/>
      <c r="O34" s="532"/>
      <c r="P34" s="444"/>
      <c r="Q34" s="319"/>
      <c r="R34" s="568"/>
      <c r="S34" s="587"/>
      <c r="T34" s="503"/>
      <c r="U34" s="487"/>
      <c r="V34" s="812"/>
      <c r="W34" s="503"/>
      <c r="X34" s="797"/>
      <c r="Y34" s="466"/>
    </row>
    <row r="35" spans="2:25" ht="15" customHeight="1" thickBot="1">
      <c r="B35" s="651"/>
      <c r="C35" s="676"/>
      <c r="D35" s="610"/>
      <c r="E35" s="611"/>
      <c r="F35" s="612"/>
      <c r="G35" s="613"/>
      <c r="H35" s="616"/>
      <c r="I35" s="746"/>
      <c r="J35" s="748"/>
      <c r="K35" s="277"/>
      <c r="L35" s="625"/>
      <c r="M35" s="684"/>
      <c r="N35" s="610"/>
      <c r="O35" s="620"/>
      <c r="P35" s="612"/>
      <c r="Q35" s="613"/>
      <c r="R35" s="626"/>
      <c r="S35" s="627"/>
      <c r="T35" s="632"/>
      <c r="U35" s="633"/>
      <c r="V35" s="812"/>
      <c r="W35" s="616"/>
      <c r="X35" s="751"/>
      <c r="Y35" s="466"/>
    </row>
    <row r="36" spans="2:25" ht="15" customHeight="1">
      <c r="B36" s="270">
        <v>1</v>
      </c>
      <c r="C36" s="677" t="s">
        <v>266</v>
      </c>
      <c r="D36" s="339"/>
      <c r="E36" s="652"/>
      <c r="F36" s="421"/>
      <c r="G36" s="273"/>
      <c r="H36" s="617"/>
      <c r="I36" s="795">
        <f>SUM(G36:G49)</f>
        <v>0</v>
      </c>
      <c r="J36" s="795">
        <f>E248</f>
        <v>0</v>
      </c>
      <c r="K36" s="277"/>
      <c r="L36" s="270">
        <v>1</v>
      </c>
      <c r="M36" s="271" t="s">
        <v>266</v>
      </c>
      <c r="N36" s="628"/>
      <c r="O36" s="540"/>
      <c r="P36" s="452"/>
      <c r="Q36" s="273"/>
      <c r="R36" s="629"/>
      <c r="S36" s="630"/>
      <c r="T36" s="617"/>
      <c r="U36" s="631"/>
      <c r="V36" s="812"/>
      <c r="W36" s="617"/>
      <c r="X36" s="795">
        <f>SUM(Q36:Q49)</f>
        <v>0</v>
      </c>
      <c r="Y36" s="466"/>
    </row>
    <row r="37" spans="2:25" ht="15" customHeight="1">
      <c r="B37" s="300">
        <v>1</v>
      </c>
      <c r="C37" s="674" t="s">
        <v>266</v>
      </c>
      <c r="D37" s="381"/>
      <c r="E37" s="382"/>
      <c r="F37" s="443"/>
      <c r="G37" s="304"/>
      <c r="H37" s="508"/>
      <c r="I37" s="796"/>
      <c r="J37" s="796"/>
      <c r="K37" s="277"/>
      <c r="L37" s="300">
        <v>1</v>
      </c>
      <c r="M37" s="302" t="s">
        <v>266</v>
      </c>
      <c r="N37" s="468"/>
      <c r="O37" s="531"/>
      <c r="P37" s="428"/>
      <c r="Q37" s="304"/>
      <c r="R37" s="566"/>
      <c r="S37" s="585"/>
      <c r="T37" s="501"/>
      <c r="U37" s="485"/>
      <c r="V37" s="812"/>
      <c r="W37" s="501"/>
      <c r="X37" s="796"/>
      <c r="Y37" s="466"/>
    </row>
    <row r="38" spans="2:25" ht="15" customHeight="1">
      <c r="B38" s="300">
        <v>1</v>
      </c>
      <c r="C38" s="674" t="s">
        <v>266</v>
      </c>
      <c r="D38" s="381"/>
      <c r="E38" s="382"/>
      <c r="F38" s="443"/>
      <c r="G38" s="304"/>
      <c r="H38" s="508"/>
      <c r="I38" s="796"/>
      <c r="J38" s="796"/>
      <c r="K38" s="277"/>
      <c r="L38" s="300">
        <v>1</v>
      </c>
      <c r="M38" s="302" t="s">
        <v>266</v>
      </c>
      <c r="N38" s="468"/>
      <c r="O38" s="531"/>
      <c r="P38" s="428"/>
      <c r="Q38" s="304"/>
      <c r="R38" s="566"/>
      <c r="S38" s="585"/>
      <c r="T38" s="501"/>
      <c r="U38" s="485"/>
      <c r="V38" s="812"/>
      <c r="W38" s="501"/>
      <c r="X38" s="796"/>
      <c r="Y38" s="466"/>
    </row>
    <row r="39" spans="2:25" ht="15" customHeight="1">
      <c r="B39" s="300">
        <v>1</v>
      </c>
      <c r="C39" s="674" t="s">
        <v>266</v>
      </c>
      <c r="D39" s="381"/>
      <c r="E39" s="382"/>
      <c r="F39" s="443"/>
      <c r="G39" s="304"/>
      <c r="H39" s="508"/>
      <c r="I39" s="796"/>
      <c r="J39" s="796"/>
      <c r="K39" s="277"/>
      <c r="L39" s="300">
        <v>1</v>
      </c>
      <c r="M39" s="302" t="s">
        <v>266</v>
      </c>
      <c r="N39" s="468"/>
      <c r="O39" s="531"/>
      <c r="P39" s="428"/>
      <c r="Q39" s="304"/>
      <c r="R39" s="566"/>
      <c r="S39" s="585"/>
      <c r="T39" s="501"/>
      <c r="U39" s="485"/>
      <c r="V39" s="812"/>
      <c r="W39" s="501"/>
      <c r="X39" s="796"/>
      <c r="Y39" s="466"/>
    </row>
    <row r="40" spans="2:25" ht="15" customHeight="1">
      <c r="B40" s="300">
        <v>1</v>
      </c>
      <c r="C40" s="674" t="s">
        <v>266</v>
      </c>
      <c r="D40" s="381"/>
      <c r="E40" s="382"/>
      <c r="F40" s="443"/>
      <c r="G40" s="304"/>
      <c r="H40" s="508"/>
      <c r="I40" s="796"/>
      <c r="J40" s="796"/>
      <c r="K40" s="277"/>
      <c r="L40" s="300">
        <v>1</v>
      </c>
      <c r="M40" s="302" t="s">
        <v>266</v>
      </c>
      <c r="N40" s="468"/>
      <c r="O40" s="531"/>
      <c r="P40" s="428"/>
      <c r="Q40" s="304"/>
      <c r="R40" s="566"/>
      <c r="S40" s="585"/>
      <c r="T40" s="501"/>
      <c r="U40" s="485"/>
      <c r="V40" s="812"/>
      <c r="W40" s="501"/>
      <c r="X40" s="796"/>
      <c r="Y40" s="466"/>
    </row>
    <row r="41" spans="2:25" ht="15" customHeight="1">
      <c r="B41" s="300">
        <v>1</v>
      </c>
      <c r="C41" s="674" t="s">
        <v>266</v>
      </c>
      <c r="D41" s="381"/>
      <c r="E41" s="382"/>
      <c r="F41" s="443"/>
      <c r="G41" s="304"/>
      <c r="H41" s="508"/>
      <c r="I41" s="796"/>
      <c r="J41" s="796"/>
      <c r="K41" s="277"/>
      <c r="L41" s="300">
        <v>1</v>
      </c>
      <c r="M41" s="302" t="s">
        <v>266</v>
      </c>
      <c r="N41" s="468"/>
      <c r="O41" s="531"/>
      <c r="P41" s="428"/>
      <c r="Q41" s="304"/>
      <c r="R41" s="566"/>
      <c r="S41" s="585"/>
      <c r="T41" s="501"/>
      <c r="U41" s="485"/>
      <c r="V41" s="812"/>
      <c r="W41" s="501"/>
      <c r="X41" s="796"/>
      <c r="Y41" s="466"/>
    </row>
    <row r="42" spans="2:25" ht="15" customHeight="1">
      <c r="B42" s="300">
        <v>1</v>
      </c>
      <c r="C42" s="674" t="s">
        <v>266</v>
      </c>
      <c r="D42" s="381"/>
      <c r="E42" s="382"/>
      <c r="F42" s="443"/>
      <c r="G42" s="304"/>
      <c r="H42" s="508"/>
      <c r="I42" s="796"/>
      <c r="J42" s="796"/>
      <c r="K42" s="277"/>
      <c r="L42" s="300">
        <v>1</v>
      </c>
      <c r="M42" s="302" t="s">
        <v>266</v>
      </c>
      <c r="N42" s="468"/>
      <c r="O42" s="531"/>
      <c r="P42" s="428"/>
      <c r="Q42" s="304"/>
      <c r="R42" s="566"/>
      <c r="S42" s="585"/>
      <c r="T42" s="501"/>
      <c r="U42" s="485"/>
      <c r="V42" s="812"/>
      <c r="W42" s="501"/>
      <c r="X42" s="796"/>
      <c r="Y42" s="466"/>
    </row>
    <row r="43" spans="2:25" ht="15" customHeight="1">
      <c r="B43" s="300">
        <v>1</v>
      </c>
      <c r="C43" s="674" t="s">
        <v>266</v>
      </c>
      <c r="D43" s="381"/>
      <c r="E43" s="382"/>
      <c r="F43" s="443"/>
      <c r="G43" s="304"/>
      <c r="H43" s="508"/>
      <c r="I43" s="796"/>
      <c r="J43" s="796"/>
      <c r="K43" s="277"/>
      <c r="L43" s="300">
        <v>1</v>
      </c>
      <c r="M43" s="302" t="s">
        <v>266</v>
      </c>
      <c r="N43" s="468"/>
      <c r="O43" s="531"/>
      <c r="P43" s="428"/>
      <c r="Q43" s="304"/>
      <c r="R43" s="566"/>
      <c r="S43" s="585"/>
      <c r="T43" s="501"/>
      <c r="U43" s="485"/>
      <c r="V43" s="812"/>
      <c r="W43" s="501"/>
      <c r="X43" s="796"/>
      <c r="Y43" s="466"/>
    </row>
    <row r="44" spans="2:25" ht="15" customHeight="1">
      <c r="B44" s="300">
        <v>1</v>
      </c>
      <c r="C44" s="674" t="s">
        <v>266</v>
      </c>
      <c r="D44" s="381"/>
      <c r="E44" s="382"/>
      <c r="F44" s="443"/>
      <c r="G44" s="304"/>
      <c r="H44" s="508"/>
      <c r="I44" s="796"/>
      <c r="J44" s="796"/>
      <c r="K44" s="277"/>
      <c r="L44" s="300">
        <v>1</v>
      </c>
      <c r="M44" s="302" t="s">
        <v>266</v>
      </c>
      <c r="N44" s="468"/>
      <c r="O44" s="531"/>
      <c r="P44" s="428"/>
      <c r="Q44" s="304"/>
      <c r="R44" s="566"/>
      <c r="S44" s="585"/>
      <c r="T44" s="501"/>
      <c r="U44" s="485"/>
      <c r="V44" s="812"/>
      <c r="W44" s="501"/>
      <c r="X44" s="796"/>
      <c r="Y44" s="466"/>
    </row>
    <row r="45" spans="2:25" ht="15" customHeight="1">
      <c r="B45" s="300">
        <v>1</v>
      </c>
      <c r="C45" s="674" t="s">
        <v>266</v>
      </c>
      <c r="D45" s="381"/>
      <c r="E45" s="382"/>
      <c r="F45" s="443"/>
      <c r="G45" s="304"/>
      <c r="H45" s="508"/>
      <c r="I45" s="796"/>
      <c r="J45" s="796"/>
      <c r="K45" s="277"/>
      <c r="L45" s="300">
        <v>1</v>
      </c>
      <c r="M45" s="302" t="s">
        <v>266</v>
      </c>
      <c r="N45" s="468"/>
      <c r="O45" s="531"/>
      <c r="P45" s="428"/>
      <c r="Q45" s="304"/>
      <c r="R45" s="566"/>
      <c r="S45" s="585"/>
      <c r="T45" s="501"/>
      <c r="U45" s="485"/>
      <c r="V45" s="812"/>
      <c r="W45" s="501"/>
      <c r="X45" s="796"/>
      <c r="Y45" s="466"/>
    </row>
    <row r="46" spans="2:25" ht="15" customHeight="1">
      <c r="B46" s="300">
        <v>1</v>
      </c>
      <c r="C46" s="674" t="s">
        <v>266</v>
      </c>
      <c r="D46" s="381"/>
      <c r="E46" s="382"/>
      <c r="F46" s="443"/>
      <c r="G46" s="304"/>
      <c r="H46" s="508"/>
      <c r="I46" s="796"/>
      <c r="J46" s="796"/>
      <c r="K46" s="277"/>
      <c r="L46" s="300">
        <v>1</v>
      </c>
      <c r="M46" s="302" t="s">
        <v>266</v>
      </c>
      <c r="N46" s="468"/>
      <c r="O46" s="531"/>
      <c r="P46" s="428"/>
      <c r="Q46" s="304"/>
      <c r="R46" s="566"/>
      <c r="S46" s="585"/>
      <c r="T46" s="501"/>
      <c r="U46" s="485"/>
      <c r="V46" s="812"/>
      <c r="W46" s="501"/>
      <c r="X46" s="796"/>
      <c r="Y46" s="466"/>
    </row>
    <row r="47" spans="2:25" ht="15" customHeight="1">
      <c r="B47" s="300">
        <v>1</v>
      </c>
      <c r="C47" s="674" t="s">
        <v>266</v>
      </c>
      <c r="D47" s="381"/>
      <c r="E47" s="382"/>
      <c r="F47" s="443"/>
      <c r="G47" s="304"/>
      <c r="H47" s="508"/>
      <c r="I47" s="796"/>
      <c r="J47" s="796"/>
      <c r="K47" s="277"/>
      <c r="L47" s="300">
        <v>1</v>
      </c>
      <c r="M47" s="302" t="s">
        <v>266</v>
      </c>
      <c r="N47" s="468"/>
      <c r="O47" s="531"/>
      <c r="P47" s="428"/>
      <c r="Q47" s="378"/>
      <c r="R47" s="567"/>
      <c r="S47" s="586"/>
      <c r="T47" s="502"/>
      <c r="U47" s="486"/>
      <c r="V47" s="812"/>
      <c r="W47" s="502"/>
      <c r="X47" s="796"/>
      <c r="Y47" s="466"/>
    </row>
    <row r="48" spans="2:25" ht="15" customHeight="1">
      <c r="B48" s="300">
        <v>1</v>
      </c>
      <c r="C48" s="674" t="s">
        <v>266</v>
      </c>
      <c r="D48" s="381"/>
      <c r="E48" s="382"/>
      <c r="F48" s="443"/>
      <c r="G48" s="304"/>
      <c r="H48" s="508"/>
      <c r="I48" s="796"/>
      <c r="J48" s="796"/>
      <c r="K48" s="277"/>
      <c r="L48" s="300">
        <v>1</v>
      </c>
      <c r="M48" s="302" t="s">
        <v>266</v>
      </c>
      <c r="N48" s="468"/>
      <c r="O48" s="531"/>
      <c r="P48" s="428"/>
      <c r="Q48" s="378"/>
      <c r="R48" s="567"/>
      <c r="S48" s="586"/>
      <c r="T48" s="502"/>
      <c r="U48" s="486"/>
      <c r="V48" s="812"/>
      <c r="W48" s="502"/>
      <c r="X48" s="796"/>
      <c r="Y48" s="466"/>
    </row>
    <row r="49" spans="1:25" ht="15" customHeight="1" thickBot="1">
      <c r="B49" s="305">
        <v>1</v>
      </c>
      <c r="C49" s="675" t="s">
        <v>266</v>
      </c>
      <c r="D49" s="405"/>
      <c r="E49" s="383"/>
      <c r="F49" s="444"/>
      <c r="G49" s="319"/>
      <c r="H49" s="649"/>
      <c r="I49" s="797"/>
      <c r="J49" s="797"/>
      <c r="K49" s="277"/>
      <c r="L49" s="305">
        <v>1</v>
      </c>
      <c r="M49" s="306" t="s">
        <v>266</v>
      </c>
      <c r="N49" s="405"/>
      <c r="O49" s="532"/>
      <c r="P49" s="444"/>
      <c r="Q49" s="319"/>
      <c r="R49" s="568"/>
      <c r="S49" s="587"/>
      <c r="T49" s="503"/>
      <c r="U49" s="487"/>
      <c r="V49" s="812"/>
      <c r="W49" s="503"/>
      <c r="X49" s="797"/>
      <c r="Y49" s="466"/>
    </row>
    <row r="50" spans="1:25" ht="15" customHeight="1" thickBot="1">
      <c r="B50" s="645"/>
      <c r="C50" s="678"/>
      <c r="D50" s="640"/>
      <c r="E50" s="641"/>
      <c r="F50" s="642"/>
      <c r="G50" s="643"/>
      <c r="H50" s="558"/>
      <c r="I50" s="747"/>
      <c r="J50" s="747"/>
      <c r="K50" s="278"/>
      <c r="L50" s="645"/>
      <c r="M50" s="678"/>
      <c r="N50" s="640"/>
      <c r="O50" s="646"/>
      <c r="P50" s="642"/>
      <c r="Q50" s="643"/>
      <c r="R50" s="647"/>
      <c r="S50" s="648"/>
      <c r="T50" s="649"/>
      <c r="U50" s="650"/>
      <c r="V50" s="813"/>
      <c r="W50" s="644"/>
      <c r="X50" s="752"/>
      <c r="Y50" s="466"/>
    </row>
    <row r="51" spans="1:25" ht="14.5" thickBot="1">
      <c r="A51" s="24"/>
      <c r="B51" s="265"/>
      <c r="C51" s="266"/>
      <c r="D51" s="267"/>
      <c r="E51" s="280"/>
      <c r="F51" s="440"/>
      <c r="G51" s="268"/>
      <c r="H51" s="554"/>
      <c r="I51" s="269"/>
      <c r="J51" s="269"/>
      <c r="K51" s="24"/>
      <c r="L51" s="265"/>
      <c r="M51" s="685"/>
      <c r="N51" s="267"/>
      <c r="O51" s="533"/>
      <c r="P51" s="440"/>
      <c r="Q51" s="268"/>
      <c r="R51" s="569"/>
      <c r="S51" s="588"/>
      <c r="T51" s="504"/>
      <c r="U51" s="488"/>
      <c r="V51" s="479"/>
      <c r="W51" s="554"/>
      <c r="X51" s="338"/>
      <c r="Y51" s="466"/>
    </row>
    <row r="52" spans="1:25" ht="14.25" customHeight="1">
      <c r="B52" s="282">
        <v>2</v>
      </c>
      <c r="C52" s="308" t="s">
        <v>264</v>
      </c>
      <c r="D52" s="308"/>
      <c r="E52" s="352"/>
      <c r="F52" s="441"/>
      <c r="G52" s="285">
        <f>D237</f>
        <v>7168</v>
      </c>
      <c r="H52" s="636">
        <v>46029</v>
      </c>
      <c r="I52" s="798">
        <f>SUM(G52:G65)</f>
        <v>7168</v>
      </c>
      <c r="J52" s="798">
        <f>E237</f>
        <v>8960</v>
      </c>
      <c r="K52" s="286"/>
      <c r="L52" s="282">
        <v>2</v>
      </c>
      <c r="M52" s="686" t="s">
        <v>264</v>
      </c>
      <c r="N52" s="308" t="s">
        <v>187</v>
      </c>
      <c r="O52" s="534"/>
      <c r="P52" s="441"/>
      <c r="Q52" s="285">
        <v>2500</v>
      </c>
      <c r="R52" s="662"/>
      <c r="S52" s="663"/>
      <c r="T52" s="636">
        <v>46053</v>
      </c>
      <c r="U52" s="664">
        <f>(Q52/$X$6*$J$6)</f>
        <v>3550</v>
      </c>
      <c r="V52" s="814"/>
      <c r="W52" s="636">
        <v>46039</v>
      </c>
      <c r="X52" s="798">
        <f>SUM(Q52:Q65)</f>
        <v>2500</v>
      </c>
    </row>
    <row r="53" spans="1:25" ht="14.25" customHeight="1">
      <c r="B53" s="287">
        <v>2</v>
      </c>
      <c r="C53" s="679" t="s">
        <v>264</v>
      </c>
      <c r="D53" s="397"/>
      <c r="E53" s="469"/>
      <c r="F53" s="437"/>
      <c r="G53" s="461"/>
      <c r="H53" s="506"/>
      <c r="I53" s="799"/>
      <c r="J53" s="799"/>
      <c r="K53" s="290"/>
      <c r="L53" s="287">
        <v>2</v>
      </c>
      <c r="M53" s="679" t="s">
        <v>264</v>
      </c>
      <c r="N53" s="397"/>
      <c r="O53" s="535"/>
      <c r="P53" s="437"/>
      <c r="Q53" s="461"/>
      <c r="R53" s="571"/>
      <c r="S53" s="590"/>
      <c r="T53" s="506"/>
      <c r="U53" s="490">
        <f t="shared" ref="U53:U64" si="1">(Q53/$X$6*$J$6)</f>
        <v>0</v>
      </c>
      <c r="V53" s="815"/>
      <c r="W53" s="506"/>
      <c r="X53" s="799"/>
    </row>
    <row r="54" spans="1:25" ht="14.25" customHeight="1">
      <c r="B54" s="287">
        <v>2</v>
      </c>
      <c r="C54" s="679" t="s">
        <v>264</v>
      </c>
      <c r="D54" s="397"/>
      <c r="E54" s="469"/>
      <c r="F54" s="437"/>
      <c r="G54" s="461"/>
      <c r="H54" s="506"/>
      <c r="I54" s="799"/>
      <c r="J54" s="799"/>
      <c r="K54" s="290"/>
      <c r="L54" s="287">
        <v>2</v>
      </c>
      <c r="M54" s="679" t="s">
        <v>264</v>
      </c>
      <c r="N54" s="397"/>
      <c r="O54" s="535"/>
      <c r="P54" s="437"/>
      <c r="Q54" s="461"/>
      <c r="R54" s="571"/>
      <c r="S54" s="590"/>
      <c r="T54" s="506"/>
      <c r="U54" s="490">
        <f t="shared" si="1"/>
        <v>0</v>
      </c>
      <c r="V54" s="815"/>
      <c r="W54" s="506"/>
      <c r="X54" s="799"/>
    </row>
    <row r="55" spans="1:25" ht="14.25" customHeight="1">
      <c r="B55" s="287">
        <v>2</v>
      </c>
      <c r="C55" s="679" t="s">
        <v>264</v>
      </c>
      <c r="D55" s="397"/>
      <c r="E55" s="469"/>
      <c r="F55" s="437"/>
      <c r="G55" s="461"/>
      <c r="H55" s="506"/>
      <c r="I55" s="799"/>
      <c r="J55" s="799"/>
      <c r="K55" s="290"/>
      <c r="L55" s="287">
        <v>2</v>
      </c>
      <c r="M55" s="679" t="s">
        <v>264</v>
      </c>
      <c r="N55" s="397"/>
      <c r="O55" s="535"/>
      <c r="P55" s="437"/>
      <c r="Q55" s="461"/>
      <c r="R55" s="571"/>
      <c r="S55" s="590"/>
      <c r="T55" s="506"/>
      <c r="U55" s="490">
        <f t="shared" si="1"/>
        <v>0</v>
      </c>
      <c r="V55" s="815"/>
      <c r="W55" s="506"/>
      <c r="X55" s="799"/>
    </row>
    <row r="56" spans="1:25" ht="14.25" customHeight="1">
      <c r="B56" s="287">
        <v>2</v>
      </c>
      <c r="C56" s="679" t="s">
        <v>264</v>
      </c>
      <c r="D56" s="397"/>
      <c r="E56" s="469"/>
      <c r="F56" s="437"/>
      <c r="G56" s="461"/>
      <c r="H56" s="505"/>
      <c r="I56" s="799"/>
      <c r="J56" s="799"/>
      <c r="K56" s="290"/>
      <c r="L56" s="287">
        <v>2</v>
      </c>
      <c r="M56" s="679" t="s">
        <v>264</v>
      </c>
      <c r="N56" s="397"/>
      <c r="O56" s="535"/>
      <c r="P56" s="437"/>
      <c r="Q56" s="461"/>
      <c r="R56" s="571"/>
      <c r="S56" s="590"/>
      <c r="T56" s="506"/>
      <c r="U56" s="490">
        <f t="shared" si="1"/>
        <v>0</v>
      </c>
      <c r="V56" s="815"/>
      <c r="W56" s="506"/>
      <c r="X56" s="799"/>
    </row>
    <row r="57" spans="1:25" ht="14.25" customHeight="1">
      <c r="B57" s="287">
        <v>2</v>
      </c>
      <c r="C57" s="679" t="s">
        <v>264</v>
      </c>
      <c r="D57" s="397"/>
      <c r="E57" s="469"/>
      <c r="F57" s="437"/>
      <c r="G57" s="461"/>
      <c r="H57" s="506"/>
      <c r="I57" s="799"/>
      <c r="J57" s="799"/>
      <c r="K57" s="290"/>
      <c r="L57" s="287">
        <v>2</v>
      </c>
      <c r="M57" s="679" t="s">
        <v>264</v>
      </c>
      <c r="N57" s="397"/>
      <c r="O57" s="535"/>
      <c r="P57" s="437"/>
      <c r="Q57" s="461"/>
      <c r="R57" s="571"/>
      <c r="S57" s="590"/>
      <c r="T57" s="506"/>
      <c r="U57" s="490">
        <f t="shared" si="1"/>
        <v>0</v>
      </c>
      <c r="V57" s="815"/>
      <c r="W57" s="506"/>
      <c r="X57" s="799"/>
    </row>
    <row r="58" spans="1:25" ht="14.25" customHeight="1">
      <c r="B58" s="287">
        <v>2</v>
      </c>
      <c r="C58" s="679" t="s">
        <v>264</v>
      </c>
      <c r="D58" s="397"/>
      <c r="E58" s="469"/>
      <c r="F58" s="437"/>
      <c r="G58" s="461"/>
      <c r="H58" s="506"/>
      <c r="I58" s="799"/>
      <c r="J58" s="799"/>
      <c r="K58" s="290"/>
      <c r="L58" s="287">
        <v>2</v>
      </c>
      <c r="M58" s="679" t="s">
        <v>264</v>
      </c>
      <c r="N58" s="397"/>
      <c r="O58" s="535"/>
      <c r="P58" s="437"/>
      <c r="Q58" s="461"/>
      <c r="R58" s="571"/>
      <c r="S58" s="590"/>
      <c r="T58" s="506"/>
      <c r="U58" s="490">
        <f t="shared" si="1"/>
        <v>0</v>
      </c>
      <c r="V58" s="815"/>
      <c r="W58" s="506"/>
      <c r="X58" s="799"/>
    </row>
    <row r="59" spans="1:25" ht="14.25" customHeight="1">
      <c r="B59" s="287">
        <v>2</v>
      </c>
      <c r="C59" s="679" t="s">
        <v>264</v>
      </c>
      <c r="D59" s="397"/>
      <c r="E59" s="469"/>
      <c r="F59" s="437"/>
      <c r="G59" s="461"/>
      <c r="H59" s="506"/>
      <c r="I59" s="799"/>
      <c r="J59" s="799"/>
      <c r="K59" s="290"/>
      <c r="L59" s="287">
        <v>2</v>
      </c>
      <c r="M59" s="679" t="s">
        <v>264</v>
      </c>
      <c r="N59" s="397"/>
      <c r="O59" s="535"/>
      <c r="P59" s="437"/>
      <c r="Q59" s="461"/>
      <c r="R59" s="571"/>
      <c r="S59" s="590"/>
      <c r="T59" s="506"/>
      <c r="U59" s="490">
        <f t="shared" si="1"/>
        <v>0</v>
      </c>
      <c r="V59" s="815"/>
      <c r="W59" s="506"/>
      <c r="X59" s="799"/>
    </row>
    <row r="60" spans="1:25" ht="14.25" customHeight="1">
      <c r="B60" s="287">
        <v>2</v>
      </c>
      <c r="C60" s="679" t="s">
        <v>264</v>
      </c>
      <c r="D60" s="397"/>
      <c r="E60" s="469"/>
      <c r="F60" s="437"/>
      <c r="G60" s="461"/>
      <c r="H60" s="505"/>
      <c r="I60" s="799"/>
      <c r="J60" s="799"/>
      <c r="K60" s="290"/>
      <c r="L60" s="287">
        <v>2</v>
      </c>
      <c r="M60" s="679" t="s">
        <v>264</v>
      </c>
      <c r="N60" s="397"/>
      <c r="O60" s="535"/>
      <c r="P60" s="437"/>
      <c r="Q60" s="461"/>
      <c r="R60" s="571"/>
      <c r="S60" s="590"/>
      <c r="T60" s="506"/>
      <c r="U60" s="490">
        <f t="shared" si="1"/>
        <v>0</v>
      </c>
      <c r="V60" s="815"/>
      <c r="W60" s="506"/>
      <c r="X60" s="799"/>
    </row>
    <row r="61" spans="1:25" ht="14.25" customHeight="1">
      <c r="B61" s="287">
        <v>2</v>
      </c>
      <c r="C61" s="679" t="s">
        <v>264</v>
      </c>
      <c r="D61" s="397"/>
      <c r="E61" s="469"/>
      <c r="F61" s="437"/>
      <c r="G61" s="461"/>
      <c r="H61" s="506"/>
      <c r="I61" s="799"/>
      <c r="J61" s="799"/>
      <c r="K61" s="290"/>
      <c r="L61" s="287">
        <v>2</v>
      </c>
      <c r="M61" s="679" t="s">
        <v>264</v>
      </c>
      <c r="N61" s="397"/>
      <c r="O61" s="535"/>
      <c r="P61" s="437"/>
      <c r="Q61" s="461"/>
      <c r="R61" s="571"/>
      <c r="S61" s="590"/>
      <c r="T61" s="506"/>
      <c r="U61" s="490">
        <f t="shared" si="1"/>
        <v>0</v>
      </c>
      <c r="V61" s="815"/>
      <c r="W61" s="506"/>
      <c r="X61" s="799"/>
    </row>
    <row r="62" spans="1:25" ht="14.25" customHeight="1">
      <c r="B62" s="287">
        <v>2</v>
      </c>
      <c r="C62" s="679" t="s">
        <v>264</v>
      </c>
      <c r="D62" s="397"/>
      <c r="E62" s="469"/>
      <c r="F62" s="437"/>
      <c r="G62" s="461"/>
      <c r="H62" s="506"/>
      <c r="I62" s="799"/>
      <c r="J62" s="799"/>
      <c r="K62" s="290"/>
      <c r="L62" s="287">
        <v>2</v>
      </c>
      <c r="M62" s="679" t="s">
        <v>264</v>
      </c>
      <c r="N62" s="397"/>
      <c r="O62" s="535"/>
      <c r="P62" s="437"/>
      <c r="Q62" s="461"/>
      <c r="R62" s="571"/>
      <c r="S62" s="590"/>
      <c r="T62" s="506"/>
      <c r="U62" s="490">
        <f t="shared" si="1"/>
        <v>0</v>
      </c>
      <c r="V62" s="815"/>
      <c r="W62" s="506"/>
      <c r="X62" s="799"/>
    </row>
    <row r="63" spans="1:25" ht="14.25" customHeight="1">
      <c r="B63" s="287">
        <v>2</v>
      </c>
      <c r="C63" s="679" t="s">
        <v>264</v>
      </c>
      <c r="D63" s="397"/>
      <c r="E63" s="469"/>
      <c r="F63" s="437"/>
      <c r="G63" s="461"/>
      <c r="H63" s="506"/>
      <c r="I63" s="799"/>
      <c r="J63" s="799"/>
      <c r="K63" s="290"/>
      <c r="L63" s="287">
        <v>2</v>
      </c>
      <c r="M63" s="679" t="s">
        <v>264</v>
      </c>
      <c r="N63" s="397"/>
      <c r="O63" s="535"/>
      <c r="P63" s="437"/>
      <c r="Q63" s="461"/>
      <c r="R63" s="571"/>
      <c r="S63" s="590"/>
      <c r="T63" s="506"/>
      <c r="U63" s="490">
        <f t="shared" si="1"/>
        <v>0</v>
      </c>
      <c r="V63" s="815"/>
      <c r="W63" s="506"/>
      <c r="X63" s="799"/>
    </row>
    <row r="64" spans="1:25" ht="14.25" customHeight="1">
      <c r="B64" s="287">
        <v>2</v>
      </c>
      <c r="C64" s="679" t="s">
        <v>264</v>
      </c>
      <c r="D64" s="397"/>
      <c r="E64" s="469"/>
      <c r="F64" s="437"/>
      <c r="G64" s="461"/>
      <c r="H64" s="505"/>
      <c r="I64" s="799"/>
      <c r="J64" s="799"/>
      <c r="K64" s="290"/>
      <c r="L64" s="287">
        <v>2</v>
      </c>
      <c r="M64" s="679" t="s">
        <v>264</v>
      </c>
      <c r="N64" s="397"/>
      <c r="O64" s="535"/>
      <c r="P64" s="437"/>
      <c r="Q64" s="461"/>
      <c r="R64" s="571"/>
      <c r="S64" s="590"/>
      <c r="T64" s="506"/>
      <c r="U64" s="490">
        <f t="shared" si="1"/>
        <v>0</v>
      </c>
      <c r="V64" s="815"/>
      <c r="W64" s="506"/>
      <c r="X64" s="799"/>
    </row>
    <row r="65" spans="2:25" ht="14.25" customHeight="1" thickBot="1">
      <c r="B65" s="291">
        <v>2</v>
      </c>
      <c r="C65" s="680" t="s">
        <v>264</v>
      </c>
      <c r="D65" s="637"/>
      <c r="E65" s="638"/>
      <c r="F65" s="451"/>
      <c r="G65" s="639"/>
      <c r="H65" s="507"/>
      <c r="I65" s="800"/>
      <c r="J65" s="800"/>
      <c r="K65" s="290"/>
      <c r="L65" s="291">
        <v>2</v>
      </c>
      <c r="M65" s="680" t="s">
        <v>264</v>
      </c>
      <c r="N65" s="637"/>
      <c r="O65" s="536"/>
      <c r="P65" s="451"/>
      <c r="Q65" s="639"/>
      <c r="R65" s="572"/>
      <c r="S65" s="591"/>
      <c r="T65" s="507"/>
      <c r="U65" s="491">
        <f>(Q65/$X$6*$J$6)</f>
        <v>0</v>
      </c>
      <c r="V65" s="815"/>
      <c r="W65" s="507"/>
      <c r="X65" s="800"/>
    </row>
    <row r="66" spans="2:25" ht="14.25" customHeight="1" thickBot="1">
      <c r="B66" s="653"/>
      <c r="C66" s="681"/>
      <c r="D66" s="654"/>
      <c r="E66" s="655"/>
      <c r="F66" s="656"/>
      <c r="G66" s="657"/>
      <c r="H66" s="658"/>
      <c r="I66" s="749"/>
      <c r="J66" s="749"/>
      <c r="K66" s="290"/>
      <c r="L66" s="653"/>
      <c r="M66" s="681"/>
      <c r="N66" s="654"/>
      <c r="O66" s="665"/>
      <c r="P66" s="656"/>
      <c r="Q66" s="657"/>
      <c r="R66" s="666"/>
      <c r="S66" s="667"/>
      <c r="T66" s="668"/>
      <c r="U66" s="669"/>
      <c r="V66" s="815"/>
      <c r="W66" s="658"/>
      <c r="X66" s="753"/>
      <c r="Y66" s="466"/>
    </row>
    <row r="67" spans="2:25" ht="14.25" customHeight="1">
      <c r="B67" s="282">
        <v>2</v>
      </c>
      <c r="C67" s="682" t="s">
        <v>267</v>
      </c>
      <c r="D67" s="283"/>
      <c r="E67" s="659"/>
      <c r="F67" s="441"/>
      <c r="G67" s="660"/>
      <c r="H67" s="636"/>
      <c r="I67" s="798">
        <f>SUM(G67:G80)</f>
        <v>0</v>
      </c>
      <c r="J67" s="798">
        <f>E243</f>
        <v>0</v>
      </c>
      <c r="K67" s="290"/>
      <c r="L67" s="282">
        <v>2</v>
      </c>
      <c r="M67" s="682" t="s">
        <v>267</v>
      </c>
      <c r="N67" s="283"/>
      <c r="O67" s="534"/>
      <c r="P67" s="441"/>
      <c r="Q67" s="660"/>
      <c r="R67" s="662"/>
      <c r="S67" s="663"/>
      <c r="T67" s="636"/>
      <c r="U67" s="664"/>
      <c r="V67" s="815"/>
      <c r="W67" s="636"/>
      <c r="X67" s="798">
        <f>SUM(Q67:Q80)</f>
        <v>0</v>
      </c>
      <c r="Y67" s="466"/>
    </row>
    <row r="68" spans="2:25" ht="14.25" customHeight="1">
      <c r="B68" s="287">
        <v>2</v>
      </c>
      <c r="C68" s="679" t="s">
        <v>267</v>
      </c>
      <c r="D68" s="397"/>
      <c r="E68" s="469"/>
      <c r="F68" s="437"/>
      <c r="G68" s="461"/>
      <c r="H68" s="505"/>
      <c r="I68" s="799"/>
      <c r="J68" s="799"/>
      <c r="K68" s="290"/>
      <c r="L68" s="287">
        <v>2</v>
      </c>
      <c r="M68" s="679" t="s">
        <v>267</v>
      </c>
      <c r="N68" s="397"/>
      <c r="O68" s="535"/>
      <c r="P68" s="437"/>
      <c r="Q68" s="461"/>
      <c r="R68" s="571"/>
      <c r="S68" s="590"/>
      <c r="T68" s="506"/>
      <c r="U68" s="490"/>
      <c r="V68" s="815"/>
      <c r="W68" s="506"/>
      <c r="X68" s="799"/>
      <c r="Y68" s="466"/>
    </row>
    <row r="69" spans="2:25" ht="14.25" customHeight="1">
      <c r="B69" s="287">
        <v>2</v>
      </c>
      <c r="C69" s="679" t="s">
        <v>267</v>
      </c>
      <c r="D69" s="397"/>
      <c r="E69" s="469"/>
      <c r="F69" s="437"/>
      <c r="G69" s="461"/>
      <c r="H69" s="506"/>
      <c r="I69" s="799"/>
      <c r="J69" s="799"/>
      <c r="K69" s="290"/>
      <c r="L69" s="287">
        <v>2</v>
      </c>
      <c r="M69" s="679" t="s">
        <v>267</v>
      </c>
      <c r="N69" s="397"/>
      <c r="O69" s="535"/>
      <c r="P69" s="437"/>
      <c r="Q69" s="461"/>
      <c r="R69" s="571"/>
      <c r="S69" s="590"/>
      <c r="T69" s="506"/>
      <c r="U69" s="490"/>
      <c r="V69" s="815"/>
      <c r="W69" s="506"/>
      <c r="X69" s="799"/>
      <c r="Y69" s="466"/>
    </row>
    <row r="70" spans="2:25" ht="14.25" customHeight="1">
      <c r="B70" s="287">
        <v>2</v>
      </c>
      <c r="C70" s="679" t="s">
        <v>267</v>
      </c>
      <c r="D70" s="397"/>
      <c r="E70" s="469"/>
      <c r="F70" s="437"/>
      <c r="G70" s="461"/>
      <c r="H70" s="506"/>
      <c r="I70" s="799"/>
      <c r="J70" s="799"/>
      <c r="K70" s="290"/>
      <c r="L70" s="287">
        <v>2</v>
      </c>
      <c r="M70" s="679" t="s">
        <v>267</v>
      </c>
      <c r="N70" s="397"/>
      <c r="O70" s="535"/>
      <c r="P70" s="437"/>
      <c r="Q70" s="461"/>
      <c r="R70" s="571"/>
      <c r="S70" s="590"/>
      <c r="T70" s="506"/>
      <c r="U70" s="490"/>
      <c r="V70" s="815"/>
      <c r="W70" s="506"/>
      <c r="X70" s="799"/>
      <c r="Y70" s="466"/>
    </row>
    <row r="71" spans="2:25" ht="14.25" customHeight="1">
      <c r="B71" s="287">
        <v>2</v>
      </c>
      <c r="C71" s="679" t="s">
        <v>267</v>
      </c>
      <c r="D71" s="397"/>
      <c r="E71" s="469"/>
      <c r="F71" s="437"/>
      <c r="G71" s="461"/>
      <c r="H71" s="506"/>
      <c r="I71" s="799"/>
      <c r="J71" s="799"/>
      <c r="K71" s="290"/>
      <c r="L71" s="287">
        <v>2</v>
      </c>
      <c r="M71" s="679" t="s">
        <v>267</v>
      </c>
      <c r="N71" s="397"/>
      <c r="O71" s="535"/>
      <c r="P71" s="437"/>
      <c r="Q71" s="461"/>
      <c r="R71" s="571"/>
      <c r="S71" s="590"/>
      <c r="T71" s="506"/>
      <c r="U71" s="490"/>
      <c r="V71" s="815"/>
      <c r="W71" s="506"/>
      <c r="X71" s="799"/>
      <c r="Y71" s="466"/>
    </row>
    <row r="72" spans="2:25" ht="14.25" customHeight="1">
      <c r="B72" s="287">
        <v>2</v>
      </c>
      <c r="C72" s="679" t="s">
        <v>267</v>
      </c>
      <c r="D72" s="397"/>
      <c r="E72" s="469"/>
      <c r="F72" s="437"/>
      <c r="G72" s="461"/>
      <c r="H72" s="505"/>
      <c r="I72" s="799"/>
      <c r="J72" s="799"/>
      <c r="K72" s="290"/>
      <c r="L72" s="287">
        <v>2</v>
      </c>
      <c r="M72" s="679" t="s">
        <v>267</v>
      </c>
      <c r="N72" s="397"/>
      <c r="O72" s="535"/>
      <c r="P72" s="437"/>
      <c r="Q72" s="461"/>
      <c r="R72" s="571"/>
      <c r="S72" s="590"/>
      <c r="T72" s="506"/>
      <c r="U72" s="490"/>
      <c r="V72" s="815"/>
      <c r="W72" s="506"/>
      <c r="X72" s="799"/>
      <c r="Y72" s="466"/>
    </row>
    <row r="73" spans="2:25" ht="14.25" customHeight="1">
      <c r="B73" s="287">
        <v>2</v>
      </c>
      <c r="C73" s="679" t="s">
        <v>267</v>
      </c>
      <c r="D73" s="397"/>
      <c r="E73" s="469"/>
      <c r="F73" s="437"/>
      <c r="G73" s="461"/>
      <c r="H73" s="506"/>
      <c r="I73" s="799"/>
      <c r="J73" s="799"/>
      <c r="K73" s="290"/>
      <c r="L73" s="287">
        <v>2</v>
      </c>
      <c r="M73" s="679" t="s">
        <v>267</v>
      </c>
      <c r="N73" s="397"/>
      <c r="O73" s="535"/>
      <c r="P73" s="437"/>
      <c r="Q73" s="461"/>
      <c r="R73" s="571"/>
      <c r="S73" s="590"/>
      <c r="T73" s="506"/>
      <c r="U73" s="490"/>
      <c r="V73" s="815"/>
      <c r="W73" s="506"/>
      <c r="X73" s="799"/>
      <c r="Y73" s="466"/>
    </row>
    <row r="74" spans="2:25" ht="14.25" customHeight="1">
      <c r="B74" s="287">
        <v>2</v>
      </c>
      <c r="C74" s="679" t="s">
        <v>267</v>
      </c>
      <c r="D74" s="397"/>
      <c r="E74" s="469"/>
      <c r="F74" s="437"/>
      <c r="G74" s="461"/>
      <c r="H74" s="506"/>
      <c r="I74" s="799"/>
      <c r="J74" s="799"/>
      <c r="K74" s="290"/>
      <c r="L74" s="287">
        <v>2</v>
      </c>
      <c r="M74" s="679" t="s">
        <v>267</v>
      </c>
      <c r="N74" s="397"/>
      <c r="O74" s="535"/>
      <c r="P74" s="437"/>
      <c r="Q74" s="461"/>
      <c r="R74" s="571"/>
      <c r="S74" s="590"/>
      <c r="T74" s="506"/>
      <c r="U74" s="490"/>
      <c r="V74" s="815"/>
      <c r="W74" s="506"/>
      <c r="X74" s="799"/>
      <c r="Y74" s="466"/>
    </row>
    <row r="75" spans="2:25" ht="14.25" customHeight="1">
      <c r="B75" s="287">
        <v>2</v>
      </c>
      <c r="C75" s="679" t="s">
        <v>267</v>
      </c>
      <c r="D75" s="397"/>
      <c r="E75" s="469"/>
      <c r="F75" s="437"/>
      <c r="G75" s="461"/>
      <c r="H75" s="506"/>
      <c r="I75" s="799"/>
      <c r="J75" s="799"/>
      <c r="K75" s="290"/>
      <c r="L75" s="287">
        <v>2</v>
      </c>
      <c r="M75" s="679" t="s">
        <v>267</v>
      </c>
      <c r="N75" s="397"/>
      <c r="O75" s="535"/>
      <c r="P75" s="437"/>
      <c r="Q75" s="461"/>
      <c r="R75" s="571"/>
      <c r="S75" s="590"/>
      <c r="T75" s="506"/>
      <c r="U75" s="490"/>
      <c r="V75" s="815"/>
      <c r="W75" s="506"/>
      <c r="X75" s="799"/>
      <c r="Y75" s="466"/>
    </row>
    <row r="76" spans="2:25" ht="14.25" customHeight="1">
      <c r="B76" s="287">
        <v>2</v>
      </c>
      <c r="C76" s="679" t="s">
        <v>267</v>
      </c>
      <c r="D76" s="397"/>
      <c r="E76" s="469"/>
      <c r="F76" s="437"/>
      <c r="G76" s="461"/>
      <c r="H76" s="505"/>
      <c r="I76" s="799"/>
      <c r="J76" s="799"/>
      <c r="K76" s="290"/>
      <c r="L76" s="287">
        <v>2</v>
      </c>
      <c r="M76" s="679" t="s">
        <v>267</v>
      </c>
      <c r="N76" s="397"/>
      <c r="O76" s="535"/>
      <c r="P76" s="437"/>
      <c r="Q76" s="461"/>
      <c r="R76" s="571"/>
      <c r="S76" s="590"/>
      <c r="T76" s="506"/>
      <c r="U76" s="490"/>
      <c r="V76" s="815"/>
      <c r="W76" s="506"/>
      <c r="X76" s="799"/>
      <c r="Y76" s="466"/>
    </row>
    <row r="77" spans="2:25" ht="14.25" customHeight="1">
      <c r="B77" s="287">
        <v>2</v>
      </c>
      <c r="C77" s="679" t="s">
        <v>267</v>
      </c>
      <c r="D77" s="397"/>
      <c r="E77" s="469"/>
      <c r="F77" s="437"/>
      <c r="G77" s="461"/>
      <c r="H77" s="506"/>
      <c r="I77" s="799"/>
      <c r="J77" s="799"/>
      <c r="K77" s="290"/>
      <c r="L77" s="287">
        <v>2</v>
      </c>
      <c r="M77" s="679" t="s">
        <v>267</v>
      </c>
      <c r="N77" s="397"/>
      <c r="O77" s="535"/>
      <c r="P77" s="437"/>
      <c r="Q77" s="461"/>
      <c r="R77" s="571"/>
      <c r="S77" s="590"/>
      <c r="T77" s="506"/>
      <c r="U77" s="490"/>
      <c r="V77" s="815"/>
      <c r="W77" s="506"/>
      <c r="X77" s="799"/>
      <c r="Y77" s="466"/>
    </row>
    <row r="78" spans="2:25" ht="14" customHeight="1">
      <c r="B78" s="287">
        <v>2</v>
      </c>
      <c r="C78" s="679" t="s">
        <v>267</v>
      </c>
      <c r="D78" s="397"/>
      <c r="E78" s="469"/>
      <c r="F78" s="437"/>
      <c r="G78" s="461"/>
      <c r="H78" s="506"/>
      <c r="I78" s="799"/>
      <c r="J78" s="799"/>
      <c r="K78" s="290"/>
      <c r="L78" s="287">
        <v>2</v>
      </c>
      <c r="M78" s="679" t="s">
        <v>267</v>
      </c>
      <c r="N78" s="397"/>
      <c r="O78" s="535"/>
      <c r="P78" s="437"/>
      <c r="Q78" s="461"/>
      <c r="R78" s="571"/>
      <c r="S78" s="590"/>
      <c r="T78" s="506"/>
      <c r="U78" s="490"/>
      <c r="V78" s="815"/>
      <c r="W78" s="506"/>
      <c r="X78" s="799"/>
      <c r="Y78" s="466"/>
    </row>
    <row r="79" spans="2:25" ht="14.25" customHeight="1">
      <c r="B79" s="287">
        <v>2</v>
      </c>
      <c r="C79" s="679" t="s">
        <v>267</v>
      </c>
      <c r="D79" s="397"/>
      <c r="E79" s="469"/>
      <c r="F79" s="437"/>
      <c r="G79" s="461"/>
      <c r="H79" s="506"/>
      <c r="I79" s="799"/>
      <c r="J79" s="799"/>
      <c r="K79" s="290"/>
      <c r="L79" s="287">
        <v>2</v>
      </c>
      <c r="M79" s="679" t="s">
        <v>267</v>
      </c>
      <c r="N79" s="397"/>
      <c r="O79" s="535"/>
      <c r="P79" s="437"/>
      <c r="Q79" s="461"/>
      <c r="R79" s="571"/>
      <c r="S79" s="590"/>
      <c r="T79" s="506"/>
      <c r="U79" s="490"/>
      <c r="V79" s="815"/>
      <c r="W79" s="506"/>
      <c r="X79" s="799"/>
      <c r="Y79" s="466"/>
    </row>
    <row r="80" spans="2:25" ht="14.25" customHeight="1" thickBot="1">
      <c r="B80" s="291">
        <v>2</v>
      </c>
      <c r="C80" s="680" t="s">
        <v>267</v>
      </c>
      <c r="D80" s="637"/>
      <c r="E80" s="638"/>
      <c r="F80" s="451"/>
      <c r="G80" s="639"/>
      <c r="H80" s="661"/>
      <c r="I80" s="800"/>
      <c r="J80" s="800"/>
      <c r="K80" s="290"/>
      <c r="L80" s="291">
        <v>2</v>
      </c>
      <c r="M80" s="680" t="s">
        <v>267</v>
      </c>
      <c r="N80" s="637"/>
      <c r="O80" s="536"/>
      <c r="P80" s="451"/>
      <c r="Q80" s="639"/>
      <c r="R80" s="572"/>
      <c r="S80" s="591"/>
      <c r="T80" s="507"/>
      <c r="U80" s="491"/>
      <c r="V80" s="815"/>
      <c r="W80" s="507"/>
      <c r="X80" s="800"/>
      <c r="Y80" s="466"/>
    </row>
    <row r="81" spans="2:25" ht="14" customHeight="1" thickBot="1">
      <c r="B81" s="653"/>
      <c r="C81" s="681"/>
      <c r="D81" s="654"/>
      <c r="E81" s="655"/>
      <c r="F81" s="656"/>
      <c r="G81" s="657"/>
      <c r="H81" s="658"/>
      <c r="I81" s="749"/>
      <c r="J81" s="749"/>
      <c r="K81" s="290"/>
      <c r="L81" s="653"/>
      <c r="M81" s="681"/>
      <c r="N81" s="654"/>
      <c r="O81" s="665"/>
      <c r="P81" s="656"/>
      <c r="Q81" s="657"/>
      <c r="R81" s="666"/>
      <c r="S81" s="667"/>
      <c r="T81" s="668"/>
      <c r="U81" s="669"/>
      <c r="V81" s="815"/>
      <c r="W81" s="658"/>
      <c r="X81" s="753"/>
      <c r="Y81" s="466"/>
    </row>
    <row r="82" spans="2:25" ht="14" customHeight="1">
      <c r="B82" s="282">
        <v>2</v>
      </c>
      <c r="C82" s="682" t="s">
        <v>268</v>
      </c>
      <c r="D82" s="283"/>
      <c r="E82" s="659"/>
      <c r="F82" s="441"/>
      <c r="G82" s="660"/>
      <c r="H82" s="636"/>
      <c r="I82" s="798">
        <f>SUM(G82:G95)</f>
        <v>0</v>
      </c>
      <c r="J82" s="798">
        <f>E249</f>
        <v>0</v>
      </c>
      <c r="K82" s="290"/>
      <c r="L82" s="282">
        <v>2</v>
      </c>
      <c r="M82" s="682" t="s">
        <v>268</v>
      </c>
      <c r="N82" s="283"/>
      <c r="O82" s="534"/>
      <c r="P82" s="441"/>
      <c r="Q82" s="660"/>
      <c r="R82" s="662"/>
      <c r="S82" s="663"/>
      <c r="T82" s="636"/>
      <c r="U82" s="664"/>
      <c r="V82" s="815"/>
      <c r="W82" s="636"/>
      <c r="X82" s="798">
        <f>SUM(Q82:Q95)</f>
        <v>0</v>
      </c>
      <c r="Y82" s="466"/>
    </row>
    <row r="83" spans="2:25" ht="14" customHeight="1">
      <c r="B83" s="287">
        <v>2</v>
      </c>
      <c r="C83" s="679" t="s">
        <v>268</v>
      </c>
      <c r="D83" s="397"/>
      <c r="E83" s="469"/>
      <c r="F83" s="437"/>
      <c r="G83" s="635"/>
      <c r="H83" s="505"/>
      <c r="I83" s="799"/>
      <c r="J83" s="799"/>
      <c r="K83" s="290"/>
      <c r="L83" s="287">
        <v>2</v>
      </c>
      <c r="M83" s="679" t="s">
        <v>268</v>
      </c>
      <c r="N83" s="397"/>
      <c r="O83" s="535"/>
      <c r="P83" s="437"/>
      <c r="Q83" s="461"/>
      <c r="R83" s="571"/>
      <c r="S83" s="590"/>
      <c r="T83" s="506"/>
      <c r="U83" s="490"/>
      <c r="V83" s="815"/>
      <c r="W83" s="506"/>
      <c r="X83" s="799"/>
      <c r="Y83" s="466"/>
    </row>
    <row r="84" spans="2:25" ht="14" customHeight="1">
      <c r="B84" s="287">
        <v>2</v>
      </c>
      <c r="C84" s="679" t="s">
        <v>268</v>
      </c>
      <c r="D84" s="397"/>
      <c r="E84" s="469"/>
      <c r="F84" s="437"/>
      <c r="G84" s="635"/>
      <c r="H84" s="505"/>
      <c r="I84" s="799"/>
      <c r="J84" s="799"/>
      <c r="K84" s="290"/>
      <c r="L84" s="287">
        <v>2</v>
      </c>
      <c r="M84" s="679" t="s">
        <v>268</v>
      </c>
      <c r="N84" s="397"/>
      <c r="O84" s="535"/>
      <c r="P84" s="437"/>
      <c r="Q84" s="461"/>
      <c r="R84" s="571"/>
      <c r="S84" s="590"/>
      <c r="T84" s="506"/>
      <c r="U84" s="490"/>
      <c r="V84" s="815"/>
      <c r="W84" s="506"/>
      <c r="X84" s="799"/>
      <c r="Y84" s="466"/>
    </row>
    <row r="85" spans="2:25" ht="14" customHeight="1">
      <c r="B85" s="287">
        <v>2</v>
      </c>
      <c r="C85" s="679" t="s">
        <v>268</v>
      </c>
      <c r="D85" s="397"/>
      <c r="E85" s="469"/>
      <c r="F85" s="437"/>
      <c r="G85" s="635"/>
      <c r="H85" s="505"/>
      <c r="I85" s="799"/>
      <c r="J85" s="799"/>
      <c r="K85" s="290"/>
      <c r="L85" s="287">
        <v>2</v>
      </c>
      <c r="M85" s="679" t="s">
        <v>268</v>
      </c>
      <c r="N85" s="397"/>
      <c r="O85" s="535"/>
      <c r="P85" s="437"/>
      <c r="Q85" s="461"/>
      <c r="R85" s="571"/>
      <c r="S85" s="590"/>
      <c r="T85" s="506"/>
      <c r="U85" s="490"/>
      <c r="V85" s="815"/>
      <c r="W85" s="506"/>
      <c r="X85" s="799"/>
      <c r="Y85" s="466"/>
    </row>
    <row r="86" spans="2:25" ht="14" customHeight="1">
      <c r="B86" s="287">
        <v>2</v>
      </c>
      <c r="C86" s="679" t="s">
        <v>268</v>
      </c>
      <c r="D86" s="397"/>
      <c r="E86" s="469"/>
      <c r="F86" s="437"/>
      <c r="G86" s="635"/>
      <c r="H86" s="505"/>
      <c r="I86" s="799"/>
      <c r="J86" s="799"/>
      <c r="K86" s="290"/>
      <c r="L86" s="287">
        <v>2</v>
      </c>
      <c r="M86" s="679" t="s">
        <v>268</v>
      </c>
      <c r="N86" s="397"/>
      <c r="O86" s="535"/>
      <c r="P86" s="437"/>
      <c r="Q86" s="461"/>
      <c r="R86" s="571"/>
      <c r="S86" s="590"/>
      <c r="T86" s="506"/>
      <c r="U86" s="490"/>
      <c r="V86" s="815"/>
      <c r="W86" s="506"/>
      <c r="X86" s="799"/>
      <c r="Y86" s="466"/>
    </row>
    <row r="87" spans="2:25" ht="14" customHeight="1">
      <c r="B87" s="287">
        <v>2</v>
      </c>
      <c r="C87" s="679" t="s">
        <v>268</v>
      </c>
      <c r="D87" s="397"/>
      <c r="E87" s="469"/>
      <c r="F87" s="437"/>
      <c r="G87" s="635"/>
      <c r="H87" s="505"/>
      <c r="I87" s="799"/>
      <c r="J87" s="799"/>
      <c r="K87" s="290"/>
      <c r="L87" s="287">
        <v>2</v>
      </c>
      <c r="M87" s="679" t="s">
        <v>268</v>
      </c>
      <c r="N87" s="397"/>
      <c r="O87" s="535"/>
      <c r="P87" s="437"/>
      <c r="Q87" s="461"/>
      <c r="R87" s="571"/>
      <c r="S87" s="590"/>
      <c r="T87" s="506"/>
      <c r="U87" s="490"/>
      <c r="V87" s="815"/>
      <c r="W87" s="506"/>
      <c r="X87" s="799"/>
      <c r="Y87" s="466"/>
    </row>
    <row r="88" spans="2:25" ht="14" customHeight="1">
      <c r="B88" s="287">
        <v>2</v>
      </c>
      <c r="C88" s="679" t="s">
        <v>268</v>
      </c>
      <c r="D88" s="397"/>
      <c r="E88" s="469"/>
      <c r="F88" s="437"/>
      <c r="G88" s="635"/>
      <c r="H88" s="505"/>
      <c r="I88" s="799"/>
      <c r="J88" s="799"/>
      <c r="K88" s="290"/>
      <c r="L88" s="287">
        <v>2</v>
      </c>
      <c r="M88" s="679" t="s">
        <v>268</v>
      </c>
      <c r="N88" s="397"/>
      <c r="O88" s="535"/>
      <c r="P88" s="437"/>
      <c r="Q88" s="461"/>
      <c r="R88" s="571"/>
      <c r="S88" s="590"/>
      <c r="T88" s="506"/>
      <c r="U88" s="490"/>
      <c r="V88" s="815"/>
      <c r="W88" s="506"/>
      <c r="X88" s="799"/>
      <c r="Y88" s="466"/>
    </row>
    <row r="89" spans="2:25" ht="14.25" customHeight="1">
      <c r="B89" s="287">
        <v>2</v>
      </c>
      <c r="C89" s="679" t="s">
        <v>268</v>
      </c>
      <c r="D89" s="397"/>
      <c r="E89" s="469"/>
      <c r="F89" s="437"/>
      <c r="G89" s="461"/>
      <c r="H89" s="506"/>
      <c r="I89" s="799"/>
      <c r="J89" s="799"/>
      <c r="K89" s="290"/>
      <c r="L89" s="287">
        <v>2</v>
      </c>
      <c r="M89" s="679" t="s">
        <v>268</v>
      </c>
      <c r="N89" s="397"/>
      <c r="O89" s="535"/>
      <c r="P89" s="437"/>
      <c r="Q89" s="461"/>
      <c r="R89" s="571"/>
      <c r="S89" s="590"/>
      <c r="T89" s="506"/>
      <c r="U89" s="490"/>
      <c r="V89" s="815"/>
      <c r="W89" s="506"/>
      <c r="X89" s="799"/>
      <c r="Y89" s="466"/>
    </row>
    <row r="90" spans="2:25" ht="14.25" customHeight="1">
      <c r="B90" s="287">
        <v>2</v>
      </c>
      <c r="C90" s="679" t="s">
        <v>268</v>
      </c>
      <c r="D90" s="397"/>
      <c r="E90" s="469"/>
      <c r="F90" s="437"/>
      <c r="G90" s="461"/>
      <c r="H90" s="506"/>
      <c r="I90" s="799"/>
      <c r="J90" s="799"/>
      <c r="K90" s="290"/>
      <c r="L90" s="287">
        <v>2</v>
      </c>
      <c r="M90" s="679" t="s">
        <v>268</v>
      </c>
      <c r="N90" s="397"/>
      <c r="O90" s="535"/>
      <c r="P90" s="437"/>
      <c r="Q90" s="461"/>
      <c r="R90" s="571"/>
      <c r="S90" s="590"/>
      <c r="T90" s="506"/>
      <c r="U90" s="490"/>
      <c r="V90" s="815"/>
      <c r="W90" s="506"/>
      <c r="X90" s="799"/>
      <c r="Y90" s="466"/>
    </row>
    <row r="91" spans="2:25" ht="14.25" customHeight="1">
      <c r="B91" s="287">
        <v>2</v>
      </c>
      <c r="C91" s="679" t="s">
        <v>268</v>
      </c>
      <c r="D91" s="397"/>
      <c r="E91" s="469"/>
      <c r="F91" s="437"/>
      <c r="G91" s="461"/>
      <c r="H91" s="505"/>
      <c r="I91" s="799"/>
      <c r="J91" s="799"/>
      <c r="K91" s="290"/>
      <c r="L91" s="287">
        <v>2</v>
      </c>
      <c r="M91" s="679" t="s">
        <v>268</v>
      </c>
      <c r="N91" s="397"/>
      <c r="O91" s="535"/>
      <c r="P91" s="437"/>
      <c r="Q91" s="461"/>
      <c r="R91" s="571"/>
      <c r="S91" s="590"/>
      <c r="T91" s="506"/>
      <c r="U91" s="490"/>
      <c r="V91" s="815"/>
      <c r="W91" s="506"/>
      <c r="X91" s="799"/>
      <c r="Y91" s="466"/>
    </row>
    <row r="92" spans="2:25" ht="14.25" customHeight="1">
      <c r="B92" s="287">
        <v>2</v>
      </c>
      <c r="C92" s="679" t="s">
        <v>268</v>
      </c>
      <c r="D92" s="397"/>
      <c r="E92" s="469"/>
      <c r="F92" s="437"/>
      <c r="G92" s="461"/>
      <c r="H92" s="506"/>
      <c r="I92" s="799"/>
      <c r="J92" s="799"/>
      <c r="K92" s="290"/>
      <c r="L92" s="287">
        <v>2</v>
      </c>
      <c r="M92" s="679" t="s">
        <v>268</v>
      </c>
      <c r="N92" s="397"/>
      <c r="O92" s="535"/>
      <c r="P92" s="437"/>
      <c r="Q92" s="461"/>
      <c r="R92" s="571"/>
      <c r="S92" s="590"/>
      <c r="T92" s="506"/>
      <c r="U92" s="490"/>
      <c r="V92" s="815"/>
      <c r="W92" s="506"/>
      <c r="X92" s="799"/>
      <c r="Y92" s="466"/>
    </row>
    <row r="93" spans="2:25" ht="14.25" customHeight="1">
      <c r="B93" s="287">
        <v>2</v>
      </c>
      <c r="C93" s="679" t="s">
        <v>268</v>
      </c>
      <c r="D93" s="397"/>
      <c r="E93" s="469"/>
      <c r="F93" s="437"/>
      <c r="G93" s="461"/>
      <c r="H93" s="506"/>
      <c r="I93" s="799"/>
      <c r="J93" s="799"/>
      <c r="K93" s="290"/>
      <c r="L93" s="287">
        <v>2</v>
      </c>
      <c r="M93" s="679" t="s">
        <v>268</v>
      </c>
      <c r="N93" s="397"/>
      <c r="O93" s="535"/>
      <c r="P93" s="437"/>
      <c r="Q93" s="461"/>
      <c r="R93" s="571"/>
      <c r="S93" s="590"/>
      <c r="T93" s="506"/>
      <c r="U93" s="490"/>
      <c r="V93" s="815"/>
      <c r="W93" s="506"/>
      <c r="X93" s="799"/>
      <c r="Y93" s="466"/>
    </row>
    <row r="94" spans="2:25" ht="14.25" customHeight="1">
      <c r="B94" s="287">
        <v>2</v>
      </c>
      <c r="C94" s="679" t="s">
        <v>268</v>
      </c>
      <c r="D94" s="397"/>
      <c r="E94" s="469"/>
      <c r="F94" s="437"/>
      <c r="G94" s="461"/>
      <c r="H94" s="506"/>
      <c r="I94" s="799"/>
      <c r="J94" s="799"/>
      <c r="K94" s="290"/>
      <c r="L94" s="287">
        <v>2</v>
      </c>
      <c r="M94" s="679" t="s">
        <v>268</v>
      </c>
      <c r="N94" s="397"/>
      <c r="O94" s="535"/>
      <c r="P94" s="437"/>
      <c r="Q94" s="461"/>
      <c r="R94" s="571"/>
      <c r="S94" s="590"/>
      <c r="T94" s="506"/>
      <c r="U94" s="490"/>
      <c r="V94" s="815"/>
      <c r="W94" s="506"/>
      <c r="X94" s="799"/>
      <c r="Y94" s="466"/>
    </row>
    <row r="95" spans="2:25" ht="14.25" customHeight="1" thickBot="1">
      <c r="B95" s="291">
        <v>2</v>
      </c>
      <c r="C95" s="680" t="s">
        <v>268</v>
      </c>
      <c r="D95" s="637"/>
      <c r="E95" s="638"/>
      <c r="F95" s="451"/>
      <c r="G95" s="639"/>
      <c r="H95" s="661"/>
      <c r="I95" s="800"/>
      <c r="J95" s="800"/>
      <c r="K95" s="290"/>
      <c r="L95" s="291">
        <v>2</v>
      </c>
      <c r="M95" s="680" t="s">
        <v>268</v>
      </c>
      <c r="N95" s="637"/>
      <c r="O95" s="536"/>
      <c r="P95" s="451"/>
      <c r="Q95" s="639"/>
      <c r="R95" s="572"/>
      <c r="S95" s="591"/>
      <c r="T95" s="507"/>
      <c r="U95" s="491"/>
      <c r="V95" s="815"/>
      <c r="W95" s="507"/>
      <c r="X95" s="800"/>
      <c r="Y95" s="466"/>
    </row>
    <row r="96" spans="2:25" ht="15" customHeight="1" thickBot="1">
      <c r="B96" s="385"/>
      <c r="C96" s="386"/>
      <c r="D96" s="386"/>
      <c r="E96" s="387"/>
      <c r="F96" s="451"/>
      <c r="G96" s="388"/>
      <c r="H96" s="555"/>
      <c r="I96" s="750"/>
      <c r="J96" s="750"/>
      <c r="K96" s="295"/>
      <c r="L96" s="385"/>
      <c r="M96" s="687"/>
      <c r="N96" s="386"/>
      <c r="O96" s="536"/>
      <c r="P96" s="451"/>
      <c r="Q96" s="388"/>
      <c r="R96" s="670"/>
      <c r="S96" s="671"/>
      <c r="T96" s="661"/>
      <c r="U96" s="672"/>
      <c r="V96" s="816"/>
      <c r="W96" s="673"/>
      <c r="X96" s="754"/>
      <c r="Y96" s="466"/>
    </row>
    <row r="97" spans="1:25" ht="14.5" thickBot="1">
      <c r="A97" s="24"/>
      <c r="B97" s="279"/>
      <c r="C97" s="266"/>
      <c r="D97" s="266"/>
      <c r="E97" s="280"/>
      <c r="F97" s="440"/>
      <c r="G97" s="281"/>
      <c r="H97" s="554"/>
      <c r="I97" s="269"/>
      <c r="J97" s="269"/>
      <c r="K97" s="24"/>
      <c r="L97" s="279"/>
      <c r="M97" s="266"/>
      <c r="N97" s="266"/>
      <c r="O97" s="533"/>
      <c r="P97" s="440"/>
      <c r="Q97" s="281"/>
      <c r="R97" s="569"/>
      <c r="S97" s="588"/>
      <c r="T97" s="504"/>
      <c r="U97" s="492"/>
      <c r="V97" s="475"/>
      <c r="W97" s="554"/>
      <c r="X97" s="338"/>
      <c r="Y97" s="466"/>
    </row>
    <row r="98" spans="1:25" ht="14.25" hidden="1" customHeight="1">
      <c r="B98" s="270"/>
      <c r="C98" s="298"/>
      <c r="D98" s="316"/>
      <c r="E98" s="272"/>
      <c r="F98" s="421"/>
      <c r="G98" s="273"/>
      <c r="H98" s="558"/>
      <c r="I98" s="795"/>
      <c r="J98" s="795"/>
      <c r="K98" s="274"/>
      <c r="L98" s="270"/>
      <c r="M98" s="406"/>
      <c r="N98" s="316"/>
      <c r="O98" s="529"/>
      <c r="P98" s="421"/>
      <c r="Q98" s="273"/>
      <c r="R98" s="573"/>
      <c r="S98" s="592"/>
      <c r="T98" s="508"/>
      <c r="U98" s="493"/>
      <c r="V98" s="811"/>
      <c r="W98" s="558"/>
      <c r="X98" s="817"/>
      <c r="Y98" s="466"/>
    </row>
    <row r="99" spans="1:25" ht="14.25" hidden="1" customHeight="1">
      <c r="B99" s="300"/>
      <c r="C99" s="301"/>
      <c r="D99" s="317"/>
      <c r="E99" s="303"/>
      <c r="F99" s="443"/>
      <c r="G99" s="304"/>
      <c r="H99" s="551"/>
      <c r="I99" s="796"/>
      <c r="J99" s="796"/>
      <c r="K99" s="277"/>
      <c r="L99" s="300"/>
      <c r="M99" s="407"/>
      <c r="N99" s="317"/>
      <c r="O99" s="530"/>
      <c r="P99" s="443"/>
      <c r="Q99" s="304"/>
      <c r="R99" s="566"/>
      <c r="S99" s="585"/>
      <c r="T99" s="501"/>
      <c r="U99" s="485"/>
      <c r="V99" s="812"/>
      <c r="W99" s="551"/>
      <c r="X99" s="818"/>
      <c r="Y99" s="466"/>
    </row>
    <row r="100" spans="1:25" ht="14.25" hidden="1" customHeight="1">
      <c r="B100" s="300"/>
      <c r="C100" s="301"/>
      <c r="D100" s="317"/>
      <c r="E100" s="303"/>
      <c r="F100" s="443"/>
      <c r="G100" s="304"/>
      <c r="H100" s="551"/>
      <c r="I100" s="796"/>
      <c r="J100" s="796"/>
      <c r="K100" s="277"/>
      <c r="L100" s="300"/>
      <c r="M100" s="407"/>
      <c r="N100" s="317"/>
      <c r="O100" s="530"/>
      <c r="P100" s="443"/>
      <c r="Q100" s="304"/>
      <c r="R100" s="566"/>
      <c r="S100" s="585"/>
      <c r="T100" s="501"/>
      <c r="U100" s="485"/>
      <c r="V100" s="812"/>
      <c r="W100" s="551"/>
      <c r="X100" s="818"/>
      <c r="Y100" s="466"/>
    </row>
    <row r="101" spans="1:25" ht="14.25" hidden="1" customHeight="1">
      <c r="B101" s="300"/>
      <c r="C101" s="376"/>
      <c r="D101" s="377"/>
      <c r="E101" s="395"/>
      <c r="F101" s="428"/>
      <c r="G101" s="378"/>
      <c r="H101" s="552"/>
      <c r="I101" s="796"/>
      <c r="J101" s="796"/>
      <c r="K101" s="277"/>
      <c r="L101" s="300"/>
      <c r="M101" s="407"/>
      <c r="N101" s="377"/>
      <c r="O101" s="531"/>
      <c r="P101" s="428"/>
      <c r="Q101" s="378"/>
      <c r="R101" s="567"/>
      <c r="S101" s="586"/>
      <c r="T101" s="502"/>
      <c r="U101" s="486"/>
      <c r="V101" s="812"/>
      <c r="W101" s="552"/>
      <c r="X101" s="818"/>
      <c r="Y101" s="466"/>
    </row>
    <row r="102" spans="1:25" ht="14.25" hidden="1" customHeight="1">
      <c r="B102" s="300"/>
      <c r="C102" s="376"/>
      <c r="D102" s="377"/>
      <c r="E102" s="395"/>
      <c r="F102" s="428"/>
      <c r="G102" s="378"/>
      <c r="H102" s="552"/>
      <c r="I102" s="796"/>
      <c r="J102" s="796"/>
      <c r="K102" s="277"/>
      <c r="L102" s="300"/>
      <c r="M102" s="407"/>
      <c r="N102" s="377"/>
      <c r="O102" s="531"/>
      <c r="P102" s="428"/>
      <c r="Q102" s="378"/>
      <c r="R102" s="567"/>
      <c r="S102" s="586"/>
      <c r="T102" s="502"/>
      <c r="U102" s="486"/>
      <c r="V102" s="812"/>
      <c r="W102" s="552"/>
      <c r="X102" s="818"/>
      <c r="Y102" s="466"/>
    </row>
    <row r="103" spans="1:25" ht="15" hidden="1" customHeight="1" thickBot="1">
      <c r="B103" s="305"/>
      <c r="C103" s="326"/>
      <c r="D103" s="318"/>
      <c r="E103" s="307"/>
      <c r="F103" s="444"/>
      <c r="G103" s="319"/>
      <c r="H103" s="553"/>
      <c r="I103" s="797"/>
      <c r="J103" s="797"/>
      <c r="K103" s="278"/>
      <c r="L103" s="305"/>
      <c r="M103" s="408"/>
      <c r="N103" s="318"/>
      <c r="O103" s="532"/>
      <c r="P103" s="444"/>
      <c r="Q103" s="319"/>
      <c r="R103" s="568"/>
      <c r="S103" s="587"/>
      <c r="T103" s="503"/>
      <c r="U103" s="487"/>
      <c r="V103" s="813"/>
      <c r="W103" s="553"/>
      <c r="X103" s="819"/>
      <c r="Y103" s="466"/>
    </row>
    <row r="104" spans="1:25" ht="14.5" hidden="1" thickBot="1">
      <c r="A104" s="24"/>
      <c r="B104" s="279"/>
      <c r="C104" s="296"/>
      <c r="D104" s="297"/>
      <c r="E104" s="280"/>
      <c r="F104" s="440"/>
      <c r="G104" s="281"/>
      <c r="H104" s="554"/>
      <c r="I104" s="269"/>
      <c r="J104" s="269"/>
      <c r="K104" s="24"/>
      <c r="L104" s="279"/>
      <c r="M104" s="296"/>
      <c r="N104" s="297"/>
      <c r="O104" s="533"/>
      <c r="P104" s="440"/>
      <c r="Q104" s="281"/>
      <c r="R104" s="569"/>
      <c r="S104" s="588"/>
      <c r="T104" s="504"/>
      <c r="U104" s="492"/>
      <c r="V104" s="475"/>
      <c r="W104" s="554"/>
      <c r="X104" s="338"/>
      <c r="Y104" s="466"/>
    </row>
    <row r="105" spans="1:25" ht="14.25" hidden="1" customHeight="1">
      <c r="B105" s="282"/>
      <c r="C105" s="283"/>
      <c r="D105" s="283"/>
      <c r="E105" s="352"/>
      <c r="F105" s="441"/>
      <c r="G105" s="285"/>
      <c r="H105" s="555"/>
      <c r="I105" s="798"/>
      <c r="J105" s="798"/>
      <c r="K105" s="286"/>
      <c r="L105" s="282"/>
      <c r="M105" s="409"/>
      <c r="N105" s="283"/>
      <c r="O105" s="525"/>
      <c r="P105" s="441"/>
      <c r="Q105" s="285"/>
      <c r="R105" s="570"/>
      <c r="S105" s="589"/>
      <c r="T105" s="505"/>
      <c r="U105" s="489"/>
      <c r="V105" s="814"/>
      <c r="W105" s="555"/>
      <c r="X105" s="801"/>
      <c r="Y105" s="466"/>
    </row>
    <row r="106" spans="1:25" ht="14.25" hidden="1" customHeight="1">
      <c r="B106" s="309"/>
      <c r="C106" s="397"/>
      <c r="D106" s="397"/>
      <c r="E106" s="384"/>
      <c r="F106" s="437"/>
      <c r="G106" s="527"/>
      <c r="H106" s="556"/>
      <c r="I106" s="799"/>
      <c r="J106" s="799"/>
      <c r="K106" s="290"/>
      <c r="L106" s="287"/>
      <c r="M106" s="410"/>
      <c r="N106" s="397"/>
      <c r="O106" s="526"/>
      <c r="P106" s="437"/>
      <c r="Q106" s="289"/>
      <c r="R106" s="571"/>
      <c r="S106" s="590"/>
      <c r="T106" s="506"/>
      <c r="U106" s="490"/>
      <c r="V106" s="815"/>
      <c r="W106" s="556"/>
      <c r="X106" s="802"/>
      <c r="Y106" s="466"/>
    </row>
    <row r="107" spans="1:25" ht="14.25" hidden="1" customHeight="1">
      <c r="B107" s="309"/>
      <c r="C107" s="397"/>
      <c r="D107" s="397"/>
      <c r="E107" s="384"/>
      <c r="F107" s="437"/>
      <c r="G107" s="289"/>
      <c r="H107" s="556"/>
      <c r="I107" s="799"/>
      <c r="J107" s="799"/>
      <c r="K107" s="290"/>
      <c r="L107" s="287"/>
      <c r="M107" s="410"/>
      <c r="N107" s="397"/>
      <c r="O107" s="526"/>
      <c r="P107" s="437"/>
      <c r="Q107" s="289"/>
      <c r="R107" s="571"/>
      <c r="S107" s="590"/>
      <c r="T107" s="506"/>
      <c r="U107" s="490"/>
      <c r="V107" s="815"/>
      <c r="W107" s="556"/>
      <c r="X107" s="802"/>
      <c r="Y107" s="466"/>
    </row>
    <row r="108" spans="1:25" ht="14.25" hidden="1" customHeight="1">
      <c r="B108" s="309"/>
      <c r="C108" s="397"/>
      <c r="D108" s="397"/>
      <c r="E108" s="384"/>
      <c r="F108" s="437"/>
      <c r="G108" s="289"/>
      <c r="H108" s="556"/>
      <c r="I108" s="799"/>
      <c r="J108" s="799"/>
      <c r="K108" s="290"/>
      <c r="L108" s="287"/>
      <c r="M108" s="410"/>
      <c r="N108" s="397"/>
      <c r="O108" s="535"/>
      <c r="P108" s="437"/>
      <c r="Q108" s="289"/>
      <c r="R108" s="571"/>
      <c r="S108" s="590"/>
      <c r="T108" s="506"/>
      <c r="U108" s="490"/>
      <c r="V108" s="815"/>
      <c r="W108" s="556"/>
      <c r="X108" s="802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799"/>
      <c r="J109" s="799"/>
      <c r="K109" s="290"/>
      <c r="L109" s="287"/>
      <c r="M109" s="410"/>
      <c r="N109" s="397"/>
      <c r="O109" s="545"/>
      <c r="P109" s="546"/>
      <c r="Q109" s="289"/>
      <c r="R109" s="571"/>
      <c r="S109" s="590"/>
      <c r="T109" s="506"/>
      <c r="U109" s="490"/>
      <c r="V109" s="815"/>
      <c r="W109" s="556"/>
      <c r="X109" s="802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799"/>
      <c r="J110" s="799"/>
      <c r="K110" s="290"/>
      <c r="L110" s="287"/>
      <c r="M110" s="410"/>
      <c r="N110" s="397"/>
      <c r="O110" s="535"/>
      <c r="P110" s="546"/>
      <c r="Q110" s="289"/>
      <c r="R110" s="571"/>
      <c r="S110" s="590"/>
      <c r="T110" s="506"/>
      <c r="U110" s="490"/>
      <c r="V110" s="815"/>
      <c r="W110" s="556"/>
      <c r="X110" s="802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799"/>
      <c r="J111" s="799"/>
      <c r="K111" s="290"/>
      <c r="L111" s="287"/>
      <c r="M111" s="410"/>
      <c r="N111" s="397"/>
      <c r="O111" s="535"/>
      <c r="P111" s="546"/>
      <c r="Q111" s="289"/>
      <c r="R111" s="571"/>
      <c r="S111" s="590"/>
      <c r="T111" s="506"/>
      <c r="U111" s="490"/>
      <c r="V111" s="815"/>
      <c r="W111" s="556"/>
      <c r="X111" s="802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799"/>
      <c r="J112" s="799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15"/>
      <c r="W112" s="556"/>
      <c r="X112" s="802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799"/>
      <c r="J113" s="799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15"/>
      <c r="W113" s="556"/>
      <c r="X113" s="802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799"/>
      <c r="J114" s="799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15"/>
      <c r="W114" s="556"/>
      <c r="X114" s="802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799"/>
      <c r="J115" s="799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15"/>
      <c r="W115" s="556"/>
      <c r="X115" s="802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799"/>
      <c r="J116" s="799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15"/>
      <c r="W116" s="556"/>
      <c r="X116" s="802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799"/>
      <c r="J117" s="799"/>
      <c r="K117" s="290"/>
      <c r="L117" s="287"/>
      <c r="M117" s="410"/>
      <c r="N117" s="397"/>
      <c r="O117" s="535"/>
      <c r="P117" s="437"/>
      <c r="Q117" s="289"/>
      <c r="R117" s="571"/>
      <c r="S117" s="590"/>
      <c r="T117" s="506"/>
      <c r="U117" s="490"/>
      <c r="V117" s="815"/>
      <c r="W117" s="556"/>
      <c r="X117" s="802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799"/>
      <c r="J118" s="799"/>
      <c r="K118" s="290"/>
      <c r="L118" s="287"/>
      <c r="M118" s="410"/>
      <c r="N118" s="397"/>
      <c r="O118" s="535"/>
      <c r="P118" s="437"/>
      <c r="Q118" s="289"/>
      <c r="R118" s="571"/>
      <c r="S118" s="590"/>
      <c r="T118" s="506"/>
      <c r="U118" s="490"/>
      <c r="V118" s="815"/>
      <c r="W118" s="556"/>
      <c r="X118" s="802"/>
      <c r="Y118" s="466"/>
    </row>
    <row r="119" spans="1:25" ht="15" hidden="1" customHeight="1" thickBot="1">
      <c r="B119" s="291"/>
      <c r="C119" s="314"/>
      <c r="D119" s="314"/>
      <c r="E119" s="387"/>
      <c r="F119" s="439"/>
      <c r="G119" s="294"/>
      <c r="H119" s="557"/>
      <c r="I119" s="800"/>
      <c r="J119" s="800"/>
      <c r="K119" s="295"/>
      <c r="L119" s="291"/>
      <c r="M119" s="411"/>
      <c r="N119" s="314"/>
      <c r="O119" s="536"/>
      <c r="P119" s="439"/>
      <c r="Q119" s="294"/>
      <c r="R119" s="572"/>
      <c r="S119" s="591"/>
      <c r="T119" s="507"/>
      <c r="U119" s="491"/>
      <c r="V119" s="816"/>
      <c r="W119" s="557"/>
      <c r="X119" s="803"/>
      <c r="Y119" s="466"/>
    </row>
    <row r="120" spans="1:25" ht="14.5" hidden="1" thickBot="1">
      <c r="A120" s="24"/>
      <c r="B120" s="265"/>
      <c r="C120" s="266"/>
      <c r="D120" s="297"/>
      <c r="E120" s="280"/>
      <c r="F120" s="440"/>
      <c r="G120" s="281"/>
      <c r="H120" s="554"/>
      <c r="I120" s="269"/>
      <c r="J120" s="269"/>
      <c r="K120" s="24"/>
      <c r="L120" s="265"/>
      <c r="M120" s="266"/>
      <c r="N120" s="297"/>
      <c r="O120" s="533"/>
      <c r="P120" s="440"/>
      <c r="Q120" s="281"/>
      <c r="R120" s="574"/>
      <c r="S120" s="593"/>
      <c r="T120" s="504"/>
      <c r="U120" s="494"/>
      <c r="V120" s="478"/>
      <c r="W120" s="554"/>
      <c r="X120" s="338"/>
      <c r="Y120" s="466"/>
    </row>
    <row r="121" spans="1:25" ht="14.25" hidden="1" customHeight="1">
      <c r="B121" s="270"/>
      <c r="C121" s="298"/>
      <c r="D121" s="316"/>
      <c r="E121" s="272"/>
      <c r="F121" s="421"/>
      <c r="G121" s="273"/>
      <c r="H121" s="558"/>
      <c r="I121" s="795"/>
      <c r="J121" s="795"/>
      <c r="K121" s="274"/>
      <c r="L121" s="270"/>
      <c r="M121" s="406"/>
      <c r="N121" s="316"/>
      <c r="O121" s="529"/>
      <c r="P121" s="421"/>
      <c r="Q121" s="273"/>
      <c r="R121" s="573"/>
      <c r="S121" s="592"/>
      <c r="T121" s="508"/>
      <c r="U121" s="493"/>
      <c r="V121" s="811"/>
      <c r="W121" s="558"/>
      <c r="X121" s="817"/>
      <c r="Y121" s="466"/>
    </row>
    <row r="122" spans="1:25" ht="14.25" hidden="1" customHeight="1">
      <c r="B122" s="275"/>
      <c r="C122" s="299"/>
      <c r="D122" s="302"/>
      <c r="E122" s="435"/>
      <c r="F122" s="436"/>
      <c r="G122" s="304"/>
      <c r="H122" s="517"/>
      <c r="I122" s="796"/>
      <c r="J122" s="796"/>
      <c r="K122" s="277"/>
      <c r="L122" s="275"/>
      <c r="M122" s="412"/>
      <c r="N122" s="276"/>
      <c r="O122" s="537"/>
      <c r="P122" s="436"/>
      <c r="Q122" s="304"/>
      <c r="R122" s="566"/>
      <c r="S122" s="585"/>
      <c r="T122" s="501"/>
      <c r="U122" s="485"/>
      <c r="V122" s="812"/>
      <c r="W122" s="551"/>
      <c r="X122" s="818"/>
      <c r="Y122" s="466"/>
    </row>
    <row r="123" spans="1:25" ht="14.25" hidden="1" customHeight="1">
      <c r="B123" s="275"/>
      <c r="C123" s="299"/>
      <c r="D123" s="302"/>
      <c r="E123" s="303"/>
      <c r="F123" s="443"/>
      <c r="G123" s="304"/>
      <c r="H123" s="551"/>
      <c r="I123" s="796"/>
      <c r="J123" s="796"/>
      <c r="K123" s="277"/>
      <c r="L123" s="275"/>
      <c r="M123" s="412"/>
      <c r="N123" s="302"/>
      <c r="O123" s="530"/>
      <c r="P123" s="443"/>
      <c r="Q123" s="304"/>
      <c r="R123" s="566"/>
      <c r="S123" s="585"/>
      <c r="T123" s="501"/>
      <c r="U123" s="485"/>
      <c r="V123" s="812"/>
      <c r="W123" s="551"/>
      <c r="X123" s="818"/>
      <c r="Y123" s="466"/>
    </row>
    <row r="124" spans="1:25" ht="14.25" hidden="1" customHeight="1">
      <c r="B124" s="300"/>
      <c r="C124" s="301"/>
      <c r="D124" s="302"/>
      <c r="E124" s="303"/>
      <c r="F124" s="443"/>
      <c r="G124" s="304"/>
      <c r="H124" s="551"/>
      <c r="I124" s="796"/>
      <c r="J124" s="796"/>
      <c r="K124" s="277"/>
      <c r="L124" s="300"/>
      <c r="M124" s="412"/>
      <c r="N124" s="302"/>
      <c r="O124" s="530"/>
      <c r="P124" s="443"/>
      <c r="Q124" s="304"/>
      <c r="R124" s="566"/>
      <c r="S124" s="585"/>
      <c r="T124" s="501"/>
      <c r="U124" s="485"/>
      <c r="V124" s="812"/>
      <c r="W124" s="551"/>
      <c r="X124" s="818"/>
      <c r="Y124" s="466"/>
    </row>
    <row r="125" spans="1:25" ht="14.25" hidden="1" customHeight="1">
      <c r="B125" s="375"/>
      <c r="C125" s="376"/>
      <c r="D125" s="379"/>
      <c r="E125" s="395"/>
      <c r="F125" s="428"/>
      <c r="G125" s="378"/>
      <c r="H125" s="552"/>
      <c r="I125" s="796"/>
      <c r="J125" s="796"/>
      <c r="K125" s="277"/>
      <c r="L125" s="300"/>
      <c r="M125" s="412"/>
      <c r="N125" s="379"/>
      <c r="O125" s="531"/>
      <c r="P125" s="428"/>
      <c r="Q125" s="378"/>
      <c r="R125" s="567"/>
      <c r="S125" s="586"/>
      <c r="T125" s="502"/>
      <c r="U125" s="486"/>
      <c r="V125" s="812"/>
      <c r="W125" s="552"/>
      <c r="X125" s="818"/>
      <c r="Y125" s="466"/>
    </row>
    <row r="126" spans="1:25" ht="14.25" hidden="1" customHeight="1">
      <c r="B126" s="375"/>
      <c r="C126" s="376"/>
      <c r="D126" s="379"/>
      <c r="E126" s="395"/>
      <c r="F126" s="428"/>
      <c r="G126" s="378"/>
      <c r="H126" s="552"/>
      <c r="I126" s="796"/>
      <c r="J126" s="796"/>
      <c r="K126" s="277"/>
      <c r="L126" s="300"/>
      <c r="M126" s="412"/>
      <c r="N126" s="379"/>
      <c r="O126" s="531"/>
      <c r="P126" s="428"/>
      <c r="Q126" s="378"/>
      <c r="R126" s="567"/>
      <c r="S126" s="586"/>
      <c r="T126" s="502"/>
      <c r="U126" s="486"/>
      <c r="V126" s="812"/>
      <c r="W126" s="552"/>
      <c r="X126" s="818"/>
      <c r="Y126" s="466"/>
    </row>
    <row r="127" spans="1:25" ht="15" hidden="1" customHeight="1" thickBot="1">
      <c r="B127" s="305"/>
      <c r="C127" s="326"/>
      <c r="D127" s="306"/>
      <c r="E127" s="307"/>
      <c r="F127" s="444"/>
      <c r="G127" s="319"/>
      <c r="H127" s="553"/>
      <c r="I127" s="797"/>
      <c r="J127" s="797"/>
      <c r="K127" s="278"/>
      <c r="L127" s="305"/>
      <c r="M127" s="408"/>
      <c r="N127" s="306"/>
      <c r="O127" s="532"/>
      <c r="P127" s="444"/>
      <c r="Q127" s="319"/>
      <c r="R127" s="568"/>
      <c r="S127" s="587"/>
      <c r="T127" s="503"/>
      <c r="U127" s="487"/>
      <c r="V127" s="813"/>
      <c r="W127" s="553"/>
      <c r="X127" s="819"/>
      <c r="Y127" s="466"/>
    </row>
    <row r="128" spans="1:25" ht="14.5" hidden="1" thickBot="1">
      <c r="A128" s="24"/>
      <c r="B128" s="279"/>
      <c r="C128" s="296"/>
      <c r="D128" s="267"/>
      <c r="E128" s="280"/>
      <c r="F128" s="440"/>
      <c r="G128" s="281"/>
      <c r="H128" s="554"/>
      <c r="I128" s="315"/>
      <c r="J128" s="315"/>
      <c r="K128" s="24"/>
      <c r="L128" s="279"/>
      <c r="M128" s="296"/>
      <c r="N128" s="267"/>
      <c r="O128" s="533"/>
      <c r="P128" s="440"/>
      <c r="Q128" s="281"/>
      <c r="R128" s="569"/>
      <c r="S128" s="588"/>
      <c r="T128" s="504"/>
      <c r="U128" s="492"/>
      <c r="V128" s="475"/>
      <c r="W128" s="554"/>
      <c r="X128" s="467"/>
      <c r="Y128" s="466"/>
    </row>
    <row r="129" spans="1:25" ht="14.25" hidden="1" customHeight="1">
      <c r="B129" s="282"/>
      <c r="C129" s="283"/>
      <c r="D129" s="284"/>
      <c r="E129" s="459"/>
      <c r="F129" s="441"/>
      <c r="G129" s="285"/>
      <c r="H129" s="519"/>
      <c r="I129" s="798"/>
      <c r="J129" s="798"/>
      <c r="K129" s="286"/>
      <c r="L129" s="282"/>
      <c r="M129" s="415"/>
      <c r="N129" s="284"/>
      <c r="O129" s="602"/>
      <c r="P129" s="605"/>
      <c r="Q129" s="285"/>
      <c r="R129" s="823"/>
      <c r="S129" s="589"/>
      <c r="T129" s="505"/>
      <c r="U129" s="489"/>
      <c r="V129" s="814"/>
      <c r="W129" s="555"/>
      <c r="X129" s="801"/>
      <c r="Y129" s="466"/>
    </row>
    <row r="130" spans="1:25" ht="14.25" hidden="1" customHeight="1">
      <c r="B130" s="287"/>
      <c r="C130" s="397"/>
      <c r="D130" s="427"/>
      <c r="E130" s="384"/>
      <c r="F130" s="437"/>
      <c r="G130" s="310"/>
      <c r="H130" s="520"/>
      <c r="I130" s="799"/>
      <c r="J130" s="799"/>
      <c r="K130" s="290"/>
      <c r="L130" s="287"/>
      <c r="M130" s="413"/>
      <c r="N130" s="427"/>
      <c r="O130" s="535"/>
      <c r="P130" s="546"/>
      <c r="Q130" s="310"/>
      <c r="R130" s="824"/>
      <c r="S130" s="590"/>
      <c r="T130" s="506"/>
      <c r="U130" s="490"/>
      <c r="V130" s="815"/>
      <c r="W130" s="556"/>
      <c r="X130" s="802"/>
      <c r="Y130" s="466"/>
    </row>
    <row r="131" spans="1:25" ht="14.25" hidden="1" customHeight="1">
      <c r="B131" s="287"/>
      <c r="C131" s="434"/>
      <c r="D131" s="288"/>
      <c r="E131" s="389"/>
      <c r="F131" s="438"/>
      <c r="G131" s="310"/>
      <c r="H131" s="520"/>
      <c r="I131" s="799"/>
      <c r="J131" s="799"/>
      <c r="K131" s="290"/>
      <c r="L131" s="287"/>
      <c r="M131" s="413"/>
      <c r="N131" s="397"/>
      <c r="O131" s="545"/>
      <c r="P131" s="546"/>
      <c r="Q131" s="289"/>
      <c r="R131" s="824"/>
      <c r="S131" s="590"/>
      <c r="T131" s="506"/>
      <c r="U131" s="490"/>
      <c r="V131" s="815"/>
      <c r="W131" s="556"/>
      <c r="X131" s="802"/>
      <c r="Y131" s="466"/>
    </row>
    <row r="132" spans="1:25" ht="14.25" hidden="1" customHeight="1">
      <c r="B132" s="287"/>
      <c r="C132" s="390"/>
      <c r="D132" s="288"/>
      <c r="E132" s="389"/>
      <c r="F132" s="438"/>
      <c r="G132" s="310"/>
      <c r="H132" s="520"/>
      <c r="I132" s="799"/>
      <c r="J132" s="799"/>
      <c r="K132" s="290"/>
      <c r="L132" s="287"/>
      <c r="M132" s="414"/>
      <c r="N132" s="397"/>
      <c r="O132" s="535"/>
      <c r="P132" s="546"/>
      <c r="Q132" s="289"/>
      <c r="R132" s="825"/>
      <c r="S132" s="590"/>
      <c r="T132" s="506"/>
      <c r="U132" s="490"/>
      <c r="V132" s="815"/>
      <c r="W132" s="556"/>
      <c r="X132" s="802"/>
      <c r="Y132" s="466"/>
    </row>
    <row r="133" spans="1:25" ht="14.25" hidden="1" customHeight="1">
      <c r="B133" s="287"/>
      <c r="C133" s="390"/>
      <c r="D133" s="288"/>
      <c r="E133" s="389"/>
      <c r="F133" s="438"/>
      <c r="G133" s="310"/>
      <c r="H133" s="556"/>
      <c r="I133" s="799"/>
      <c r="J133" s="799"/>
      <c r="K133" s="290"/>
      <c r="L133" s="287"/>
      <c r="M133" s="414"/>
      <c r="N133" s="397"/>
      <c r="O133" s="535"/>
      <c r="P133" s="546"/>
      <c r="Q133" s="289"/>
      <c r="R133" s="571"/>
      <c r="S133" s="590"/>
      <c r="T133" s="506"/>
      <c r="U133" s="490"/>
      <c r="V133" s="815"/>
      <c r="W133" s="556"/>
      <c r="X133" s="802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56"/>
      <c r="I134" s="799"/>
      <c r="J134" s="799"/>
      <c r="K134" s="290"/>
      <c r="L134" s="287"/>
      <c r="M134" s="414"/>
      <c r="N134" s="397"/>
      <c r="O134" s="535"/>
      <c r="P134" s="546"/>
      <c r="Q134" s="289"/>
      <c r="R134" s="571"/>
      <c r="S134" s="590"/>
      <c r="T134" s="506"/>
      <c r="U134" s="490"/>
      <c r="V134" s="815"/>
      <c r="W134" s="556"/>
      <c r="X134" s="802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799"/>
      <c r="J135" s="799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15"/>
      <c r="W135" s="556"/>
      <c r="X135" s="802"/>
      <c r="Y135" s="466"/>
    </row>
    <row r="136" spans="1:25" ht="14.25" hidden="1" customHeight="1">
      <c r="B136" s="287"/>
      <c r="C136" s="481"/>
      <c r="D136" s="324"/>
      <c r="E136" s="403"/>
      <c r="F136" s="445"/>
      <c r="G136" s="310"/>
      <c r="H136" s="556"/>
      <c r="I136" s="799"/>
      <c r="J136" s="799"/>
      <c r="K136" s="290"/>
      <c r="L136" s="287"/>
      <c r="M136" s="414"/>
      <c r="N136" s="397"/>
      <c r="O136" s="535"/>
      <c r="P136" s="546"/>
      <c r="Q136" s="289"/>
      <c r="R136" s="575"/>
      <c r="S136" s="594"/>
      <c r="T136" s="509"/>
      <c r="U136" s="495"/>
      <c r="V136" s="815"/>
      <c r="W136" s="556"/>
      <c r="X136" s="802"/>
      <c r="Y136" s="466"/>
    </row>
    <row r="137" spans="1:25" ht="14.25" hidden="1" customHeight="1">
      <c r="B137" s="287"/>
      <c r="C137" s="481"/>
      <c r="D137" s="324"/>
      <c r="E137" s="403"/>
      <c r="F137" s="445"/>
      <c r="G137" s="310"/>
      <c r="H137" s="556"/>
      <c r="I137" s="799"/>
      <c r="J137" s="799"/>
      <c r="K137" s="290"/>
      <c r="L137" s="287"/>
      <c r="M137" s="414"/>
      <c r="N137" s="397"/>
      <c r="O137" s="535"/>
      <c r="P137" s="546"/>
      <c r="Q137" s="289"/>
      <c r="R137" s="575"/>
      <c r="S137" s="594"/>
      <c r="T137" s="509"/>
      <c r="U137" s="495"/>
      <c r="V137" s="815"/>
      <c r="W137" s="556"/>
      <c r="X137" s="802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799"/>
      <c r="J138" s="799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15"/>
      <c r="W138" s="556"/>
      <c r="X138" s="802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9"/>
      <c r="I139" s="799"/>
      <c r="J139" s="799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15"/>
      <c r="W139" s="559"/>
      <c r="X139" s="802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9"/>
      <c r="I140" s="799"/>
      <c r="J140" s="799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15"/>
      <c r="W140" s="559"/>
      <c r="X140" s="802"/>
      <c r="Y140" s="466"/>
    </row>
    <row r="141" spans="1:25" ht="15" hidden="1" customHeight="1" thickBot="1">
      <c r="B141" s="291"/>
      <c r="C141" s="391"/>
      <c r="D141" s="293"/>
      <c r="E141" s="442"/>
      <c r="F141" s="439"/>
      <c r="G141" s="294"/>
      <c r="H141" s="557"/>
      <c r="I141" s="800"/>
      <c r="J141" s="800"/>
      <c r="K141" s="295"/>
      <c r="L141" s="291"/>
      <c r="M141" s="416"/>
      <c r="N141" s="293"/>
      <c r="O141" s="539"/>
      <c r="P141" s="439"/>
      <c r="Q141" s="294"/>
      <c r="R141" s="572"/>
      <c r="S141" s="591"/>
      <c r="T141" s="507"/>
      <c r="U141" s="491"/>
      <c r="V141" s="816"/>
      <c r="W141" s="557"/>
      <c r="X141" s="803"/>
      <c r="Y141" s="466"/>
    </row>
    <row r="142" spans="1:25" ht="14.5" hidden="1" thickBot="1">
      <c r="A142" s="24"/>
      <c r="B142" s="279"/>
      <c r="C142" s="320"/>
      <c r="D142" s="297"/>
      <c r="E142" s="280"/>
      <c r="F142" s="440"/>
      <c r="G142" s="281"/>
      <c r="H142" s="560"/>
      <c r="I142" s="269"/>
      <c r="J142" s="269"/>
      <c r="K142" s="24"/>
      <c r="L142" s="279"/>
      <c r="M142" s="320"/>
      <c r="N142" s="297"/>
      <c r="O142" s="533"/>
      <c r="P142" s="440"/>
      <c r="Q142" s="281"/>
      <c r="R142" s="576"/>
      <c r="S142" s="595"/>
      <c r="T142" s="510"/>
      <c r="U142" s="496"/>
      <c r="V142" s="470"/>
      <c r="W142" s="560"/>
      <c r="X142" s="338"/>
      <c r="Y142" s="466"/>
    </row>
    <row r="143" spans="1:25" ht="14.25" hidden="1" customHeight="1">
      <c r="B143" s="372"/>
      <c r="C143" s="298"/>
      <c r="D143" s="373"/>
      <c r="E143" s="446"/>
      <c r="F143" s="452"/>
      <c r="G143" s="374"/>
      <c r="H143" s="561"/>
      <c r="I143" s="795"/>
      <c r="J143" s="795"/>
      <c r="K143" s="274"/>
      <c r="L143" s="372"/>
      <c r="M143" s="298"/>
      <c r="N143" s="373"/>
      <c r="O143" s="540"/>
      <c r="P143" s="452"/>
      <c r="Q143" s="374"/>
      <c r="R143" s="577"/>
      <c r="S143" s="596"/>
      <c r="T143" s="511"/>
      <c r="U143" s="524"/>
      <c r="V143" s="820"/>
      <c r="W143" s="561"/>
      <c r="X143" s="817"/>
      <c r="Y143" s="466"/>
    </row>
    <row r="144" spans="1:25" ht="14.25" hidden="1" customHeight="1">
      <c r="B144" s="375"/>
      <c r="C144" s="376"/>
      <c r="D144" s="377"/>
      <c r="E144" s="395"/>
      <c r="F144" s="428"/>
      <c r="G144" s="378"/>
      <c r="H144" s="552"/>
      <c r="I144" s="796"/>
      <c r="J144" s="796"/>
      <c r="K144" s="277"/>
      <c r="L144" s="375"/>
      <c r="M144" s="376"/>
      <c r="N144" s="377"/>
      <c r="O144" s="531"/>
      <c r="P144" s="428"/>
      <c r="Q144" s="378"/>
      <c r="R144" s="567"/>
      <c r="S144" s="586"/>
      <c r="T144" s="502"/>
      <c r="U144" s="486"/>
      <c r="V144" s="821"/>
      <c r="W144" s="552"/>
      <c r="X144" s="818"/>
      <c r="Y144" s="466"/>
    </row>
    <row r="145" spans="1:25" ht="14.25" hidden="1" customHeight="1">
      <c r="B145" s="375"/>
      <c r="C145" s="376"/>
      <c r="D145" s="377"/>
      <c r="E145" s="395"/>
      <c r="F145" s="428"/>
      <c r="G145" s="378"/>
      <c r="H145" s="552"/>
      <c r="I145" s="796"/>
      <c r="J145" s="796"/>
      <c r="K145" s="277"/>
      <c r="L145" s="375"/>
      <c r="M145" s="376"/>
      <c r="N145" s="377"/>
      <c r="O145" s="531"/>
      <c r="P145" s="428"/>
      <c r="Q145" s="378"/>
      <c r="R145" s="567"/>
      <c r="S145" s="586"/>
      <c r="T145" s="502"/>
      <c r="U145" s="486"/>
      <c r="V145" s="821"/>
      <c r="W145" s="552"/>
      <c r="X145" s="818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796"/>
      <c r="J146" s="796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21"/>
      <c r="W146" s="552"/>
      <c r="X146" s="818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796"/>
      <c r="J147" s="796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21"/>
      <c r="W147" s="552"/>
      <c r="X147" s="818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796"/>
      <c r="J148" s="796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21"/>
      <c r="W148" s="552"/>
      <c r="X148" s="818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796"/>
      <c r="J149" s="796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21"/>
      <c r="W149" s="552"/>
      <c r="X149" s="818"/>
      <c r="Y149" s="466"/>
    </row>
    <row r="150" spans="1:25" ht="15" hidden="1" customHeight="1" thickBot="1">
      <c r="B150" s="305"/>
      <c r="C150" s="326"/>
      <c r="D150" s="318"/>
      <c r="E150" s="307"/>
      <c r="F150" s="444"/>
      <c r="G150" s="319"/>
      <c r="H150" s="553"/>
      <c r="I150" s="797"/>
      <c r="J150" s="797"/>
      <c r="K150" s="278"/>
      <c r="L150" s="305"/>
      <c r="M150" s="326"/>
      <c r="N150" s="318"/>
      <c r="O150" s="532"/>
      <c r="P150" s="444"/>
      <c r="Q150" s="319"/>
      <c r="R150" s="568"/>
      <c r="S150" s="587"/>
      <c r="T150" s="503"/>
      <c r="U150" s="487"/>
      <c r="V150" s="822"/>
      <c r="W150" s="553"/>
      <c r="X150" s="819"/>
      <c r="Y150" s="466"/>
    </row>
    <row r="151" spans="1:25" ht="14.5" hidden="1" thickBot="1">
      <c r="A151" s="24"/>
      <c r="B151" s="279"/>
      <c r="C151" s="320"/>
      <c r="D151" s="297"/>
      <c r="E151" s="280"/>
      <c r="F151" s="440"/>
      <c r="G151" s="281"/>
      <c r="H151" s="554"/>
      <c r="I151" s="269"/>
      <c r="J151" s="269"/>
      <c r="K151" s="24"/>
      <c r="L151" s="279"/>
      <c r="M151" s="320"/>
      <c r="N151" s="297"/>
      <c r="O151" s="533"/>
      <c r="P151" s="440"/>
      <c r="Q151" s="281"/>
      <c r="R151" s="569"/>
      <c r="S151" s="588"/>
      <c r="T151" s="504"/>
      <c r="U151" s="492"/>
      <c r="V151" s="475"/>
      <c r="W151" s="554"/>
      <c r="X151" s="338"/>
      <c r="Y151" s="466"/>
    </row>
    <row r="152" spans="1:25" ht="14.25" hidden="1" customHeight="1">
      <c r="B152" s="321"/>
      <c r="C152" s="283"/>
      <c r="D152" s="322"/>
      <c r="E152" s="447"/>
      <c r="F152" s="404"/>
      <c r="G152" s="323"/>
      <c r="H152" s="519"/>
      <c r="I152" s="798"/>
      <c r="J152" s="798"/>
      <c r="K152" s="286"/>
      <c r="L152" s="321"/>
      <c r="M152" s="409"/>
      <c r="N152" s="322"/>
      <c r="O152" s="404"/>
      <c r="P152" s="603"/>
      <c r="Q152" s="323"/>
      <c r="R152" s="823"/>
      <c r="S152" s="589"/>
      <c r="T152" s="505"/>
      <c r="U152" s="489"/>
      <c r="V152" s="841"/>
      <c r="W152" s="555"/>
      <c r="X152" s="801"/>
      <c r="Y152" s="466"/>
    </row>
    <row r="153" spans="1:25" ht="14.25" hidden="1" customHeight="1">
      <c r="B153" s="311"/>
      <c r="C153" s="312"/>
      <c r="D153" s="324"/>
      <c r="E153" s="403"/>
      <c r="F153" s="445"/>
      <c r="G153" s="313"/>
      <c r="H153" s="520"/>
      <c r="I153" s="799"/>
      <c r="J153" s="799"/>
      <c r="K153" s="290"/>
      <c r="L153" s="311"/>
      <c r="M153" s="417"/>
      <c r="N153" s="324"/>
      <c r="O153" s="538"/>
      <c r="P153" s="604"/>
      <c r="Q153" s="313"/>
      <c r="R153" s="824"/>
      <c r="S153" s="590"/>
      <c r="T153" s="506"/>
      <c r="U153" s="490"/>
      <c r="V153" s="842"/>
      <c r="W153" s="556"/>
      <c r="X153" s="802"/>
      <c r="Y153" s="466"/>
    </row>
    <row r="154" spans="1:25" ht="14.25" hidden="1" customHeight="1">
      <c r="B154" s="311"/>
      <c r="C154" s="312"/>
      <c r="D154" s="324"/>
      <c r="E154" s="403"/>
      <c r="F154" s="445"/>
      <c r="G154" s="313"/>
      <c r="H154" s="520"/>
      <c r="I154" s="799"/>
      <c r="J154" s="799"/>
      <c r="K154" s="290"/>
      <c r="L154" s="311"/>
      <c r="M154" s="417"/>
      <c r="N154" s="324"/>
      <c r="O154" s="538"/>
      <c r="P154" s="604"/>
      <c r="Q154" s="313"/>
      <c r="R154" s="824"/>
      <c r="S154" s="590"/>
      <c r="T154" s="506"/>
      <c r="U154" s="490"/>
      <c r="V154" s="842"/>
      <c r="W154" s="556"/>
      <c r="X154" s="802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799"/>
      <c r="J155" s="799"/>
      <c r="K155" s="290"/>
      <c r="L155" s="311"/>
      <c r="M155" s="417"/>
      <c r="N155" s="324"/>
      <c r="O155" s="538"/>
      <c r="P155" s="604"/>
      <c r="Q155" s="313"/>
      <c r="R155" s="825"/>
      <c r="S155" s="590"/>
      <c r="T155" s="506"/>
      <c r="U155" s="490"/>
      <c r="V155" s="842"/>
      <c r="W155" s="556"/>
      <c r="X155" s="802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56"/>
      <c r="I156" s="799"/>
      <c r="J156" s="799"/>
      <c r="K156" s="290"/>
      <c r="L156" s="311"/>
      <c r="M156" s="417"/>
      <c r="N156" s="324"/>
      <c r="O156" s="538"/>
      <c r="P156" s="445"/>
      <c r="Q156" s="313"/>
      <c r="R156" s="571"/>
      <c r="S156" s="590"/>
      <c r="T156" s="506"/>
      <c r="U156" s="490"/>
      <c r="V156" s="842"/>
      <c r="W156" s="556"/>
      <c r="X156" s="802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799"/>
      <c r="J157" s="799"/>
      <c r="K157" s="290"/>
      <c r="L157" s="311"/>
      <c r="M157" s="417"/>
      <c r="N157" s="324"/>
      <c r="O157" s="538"/>
      <c r="P157" s="445"/>
      <c r="Q157" s="313"/>
      <c r="R157" s="571"/>
      <c r="S157" s="590"/>
      <c r="T157" s="506"/>
      <c r="U157" s="490"/>
      <c r="V157" s="842"/>
      <c r="W157" s="556"/>
      <c r="X157" s="802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20"/>
      <c r="I158" s="799"/>
      <c r="J158" s="799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42"/>
      <c r="W158" s="556"/>
      <c r="X158" s="802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1"/>
      <c r="I159" s="799"/>
      <c r="J159" s="799"/>
      <c r="K159" s="290"/>
      <c r="L159" s="311"/>
      <c r="M159" s="417"/>
      <c r="N159" s="324"/>
      <c r="O159" s="538"/>
      <c r="P159" s="445"/>
      <c r="Q159" s="313"/>
      <c r="R159" s="575"/>
      <c r="S159" s="594"/>
      <c r="T159" s="509"/>
      <c r="U159" s="495"/>
      <c r="V159" s="842"/>
      <c r="W159" s="559"/>
      <c r="X159" s="802"/>
      <c r="Y159" s="466"/>
    </row>
    <row r="160" spans="1:25" ht="15" hidden="1" customHeight="1" thickBot="1">
      <c r="B160" s="311"/>
      <c r="C160" s="292"/>
      <c r="D160" s="293"/>
      <c r="E160" s="442"/>
      <c r="F160" s="439"/>
      <c r="G160" s="294"/>
      <c r="H160" s="557"/>
      <c r="I160" s="800"/>
      <c r="J160" s="800"/>
      <c r="K160" s="295"/>
      <c r="L160" s="291"/>
      <c r="M160" s="416"/>
      <c r="N160" s="293"/>
      <c r="O160" s="539"/>
      <c r="P160" s="439"/>
      <c r="Q160" s="294"/>
      <c r="R160" s="572"/>
      <c r="S160" s="591"/>
      <c r="T160" s="507"/>
      <c r="U160" s="491"/>
      <c r="V160" s="843"/>
      <c r="W160" s="557"/>
      <c r="X160" s="803"/>
      <c r="Y160" s="466"/>
    </row>
    <row r="161" spans="1:25" ht="22.5" hidden="1" customHeight="1" thickBot="1">
      <c r="A161" s="24"/>
      <c r="B161" s="325"/>
      <c r="C161" s="161"/>
      <c r="D161" s="161"/>
      <c r="E161" s="161"/>
      <c r="F161" s="453"/>
      <c r="G161" s="161"/>
      <c r="H161" s="522"/>
      <c r="I161" s="423"/>
      <c r="J161" s="424"/>
      <c r="K161" s="161" t="s">
        <v>186</v>
      </c>
      <c r="L161" s="325"/>
      <c r="M161" s="161"/>
      <c r="N161" s="161"/>
      <c r="O161" s="541"/>
      <c r="P161" s="453"/>
      <c r="Q161" s="161"/>
      <c r="R161" s="578"/>
      <c r="S161" s="325"/>
      <c r="T161" s="512"/>
      <c r="U161" s="477"/>
      <c r="V161" s="477"/>
      <c r="W161" s="522"/>
      <c r="X161" s="423"/>
      <c r="Y161" s="466"/>
    </row>
    <row r="162" spans="1:25" ht="15" hidden="1" customHeight="1">
      <c r="B162" s="300"/>
      <c r="C162" s="426"/>
      <c r="D162" s="316"/>
      <c r="E162" s="303"/>
      <c r="F162" s="421"/>
      <c r="G162" s="584"/>
      <c r="H162" s="558"/>
      <c r="I162" s="832"/>
      <c r="J162" s="795"/>
      <c r="K162" s="277"/>
      <c r="L162" s="300"/>
      <c r="M162" s="407"/>
      <c r="N162" s="316"/>
      <c r="O162" s="530"/>
      <c r="P162" s="421"/>
      <c r="Q162" s="304"/>
      <c r="R162" s="573"/>
      <c r="S162" s="592"/>
      <c r="T162" s="508"/>
      <c r="U162" s="493"/>
      <c r="V162" s="811"/>
      <c r="W162" s="558"/>
      <c r="X162" s="835"/>
      <c r="Y162" s="466"/>
    </row>
    <row r="163" spans="1:25" ht="15" hidden="1" customHeight="1">
      <c r="B163" s="300"/>
      <c r="C163" s="426"/>
      <c r="D163" s="317"/>
      <c r="E163" s="303"/>
      <c r="F163" s="443"/>
      <c r="G163" s="304"/>
      <c r="H163" s="517"/>
      <c r="I163" s="833"/>
      <c r="J163" s="796"/>
      <c r="K163" s="277"/>
      <c r="L163" s="300"/>
      <c r="M163" s="407"/>
      <c r="N163" s="317"/>
      <c r="O163" s="548"/>
      <c r="P163" s="549"/>
      <c r="Q163" s="304"/>
      <c r="R163" s="844"/>
      <c r="S163" s="585"/>
      <c r="T163" s="502"/>
      <c r="U163" s="485"/>
      <c r="V163" s="812"/>
      <c r="W163" s="551"/>
      <c r="X163" s="836"/>
      <c r="Y163" s="466"/>
    </row>
    <row r="164" spans="1:25" ht="15" hidden="1" customHeight="1">
      <c r="B164" s="375"/>
      <c r="C164" s="482"/>
      <c r="D164" s="377"/>
      <c r="E164" s="395"/>
      <c r="F164" s="428"/>
      <c r="G164" s="378"/>
      <c r="H164" s="518"/>
      <c r="I164" s="833"/>
      <c r="J164" s="796"/>
      <c r="K164" s="277"/>
      <c r="L164" s="375"/>
      <c r="M164" s="483"/>
      <c r="N164" s="317"/>
      <c r="O164" s="531"/>
      <c r="P164" s="547"/>
      <c r="Q164" s="304"/>
      <c r="R164" s="845"/>
      <c r="S164" s="585"/>
      <c r="T164" s="502"/>
      <c r="U164" s="486"/>
      <c r="V164" s="812"/>
      <c r="W164" s="552"/>
      <c r="X164" s="836"/>
      <c r="Y164" s="466"/>
    </row>
    <row r="165" spans="1:25" ht="15" hidden="1" customHeight="1">
      <c r="B165" s="375"/>
      <c r="C165" s="482"/>
      <c r="D165" s="377"/>
      <c r="E165" s="395"/>
      <c r="F165" s="428"/>
      <c r="G165" s="378"/>
      <c r="H165" s="518"/>
      <c r="I165" s="833"/>
      <c r="J165" s="796"/>
      <c r="K165" s="277"/>
      <c r="L165" s="375"/>
      <c r="M165" s="483"/>
      <c r="N165" s="377"/>
      <c r="O165" s="531"/>
      <c r="P165" s="547"/>
      <c r="Q165" s="304"/>
      <c r="R165" s="845"/>
      <c r="S165" s="585"/>
      <c r="T165" s="502"/>
      <c r="U165" s="486"/>
      <c r="V165" s="812"/>
      <c r="W165" s="552"/>
      <c r="X165" s="836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833"/>
      <c r="J166" s="796"/>
      <c r="K166" s="277"/>
      <c r="L166" s="375"/>
      <c r="M166" s="483"/>
      <c r="N166" s="377"/>
      <c r="O166" s="531"/>
      <c r="P166" s="547"/>
      <c r="Q166" s="304"/>
      <c r="R166" s="846"/>
      <c r="S166" s="586"/>
      <c r="T166" s="502"/>
      <c r="U166" s="486"/>
      <c r="V166" s="812"/>
      <c r="W166" s="552"/>
      <c r="X166" s="836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52"/>
      <c r="I167" s="833"/>
      <c r="J167" s="796"/>
      <c r="K167" s="277"/>
      <c r="L167" s="375"/>
      <c r="M167" s="483"/>
      <c r="N167" s="377"/>
      <c r="O167" s="531"/>
      <c r="P167" s="547"/>
      <c r="Q167" s="304"/>
      <c r="R167" s="567"/>
      <c r="S167" s="586"/>
      <c r="T167" s="502"/>
      <c r="U167" s="486"/>
      <c r="V167" s="812"/>
      <c r="W167" s="552"/>
      <c r="X167" s="836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52"/>
      <c r="I168" s="833"/>
      <c r="J168" s="796"/>
      <c r="K168" s="277"/>
      <c r="L168" s="375"/>
      <c r="M168" s="483"/>
      <c r="N168" s="377"/>
      <c r="O168" s="531"/>
      <c r="P168" s="547"/>
      <c r="Q168" s="304"/>
      <c r="R168" s="567"/>
      <c r="S168" s="586"/>
      <c r="T168" s="502"/>
      <c r="U168" s="486"/>
      <c r="V168" s="812"/>
      <c r="W168" s="552"/>
      <c r="X168" s="836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833"/>
      <c r="J169" s="796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812"/>
      <c r="W169" s="552"/>
      <c r="X169" s="836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833"/>
      <c r="J170" s="796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812"/>
      <c r="W170" s="552"/>
      <c r="X170" s="836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833"/>
      <c r="J171" s="796"/>
      <c r="K171" s="277"/>
      <c r="L171" s="375"/>
      <c r="M171" s="483"/>
      <c r="N171" s="377"/>
      <c r="O171" s="531"/>
      <c r="P171" s="428"/>
      <c r="Q171" s="378"/>
      <c r="R171" s="567"/>
      <c r="S171" s="586"/>
      <c r="T171" s="502"/>
      <c r="U171" s="486"/>
      <c r="V171" s="812"/>
      <c r="W171" s="552"/>
      <c r="X171" s="836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833"/>
      <c r="J172" s="796"/>
      <c r="K172" s="277"/>
      <c r="L172" s="375"/>
      <c r="M172" s="483"/>
      <c r="N172" s="377"/>
      <c r="O172" s="531"/>
      <c r="P172" s="428"/>
      <c r="Q172" s="378"/>
      <c r="R172" s="567"/>
      <c r="S172" s="586"/>
      <c r="T172" s="502"/>
      <c r="U172" s="486"/>
      <c r="V172" s="812"/>
      <c r="W172" s="552"/>
      <c r="X172" s="836"/>
      <c r="Y172" s="466"/>
    </row>
    <row r="173" spans="1:25" ht="15" hidden="1" customHeight="1" thickBot="1">
      <c r="B173" s="305"/>
      <c r="C173" s="422"/>
      <c r="D173" s="318"/>
      <c r="E173" s="307"/>
      <c r="F173" s="444"/>
      <c r="G173" s="319"/>
      <c r="H173" s="553"/>
      <c r="I173" s="834"/>
      <c r="J173" s="797"/>
      <c r="K173" s="351"/>
      <c r="L173" s="305"/>
      <c r="M173" s="425"/>
      <c r="N173" s="318"/>
      <c r="O173" s="532"/>
      <c r="P173" s="444"/>
      <c r="Q173" s="319"/>
      <c r="R173" s="568"/>
      <c r="S173" s="587"/>
      <c r="T173" s="503"/>
      <c r="U173" s="487"/>
      <c r="V173" s="813"/>
      <c r="W173" s="553"/>
      <c r="X173" s="837"/>
      <c r="Y173" s="466"/>
    </row>
    <row r="174" spans="1:25" ht="14.5" hidden="1" thickBot="1">
      <c r="A174" s="24"/>
      <c r="B174" s="279"/>
      <c r="C174" s="296"/>
      <c r="D174" s="297"/>
      <c r="E174" s="280"/>
      <c r="F174" s="440"/>
      <c r="G174" s="281"/>
      <c r="H174" s="554"/>
      <c r="I174" s="269"/>
      <c r="J174" s="392"/>
      <c r="K174" s="24"/>
      <c r="L174" s="279"/>
      <c r="M174" s="296"/>
      <c r="N174" s="297"/>
      <c r="O174" s="533"/>
      <c r="P174" s="440"/>
      <c r="Q174" s="281"/>
      <c r="R174" s="569"/>
      <c r="S174" s="588"/>
      <c r="T174" s="504"/>
      <c r="U174" s="492"/>
      <c r="V174" s="475"/>
      <c r="W174" s="554"/>
      <c r="X174" s="338"/>
      <c r="Y174" s="466"/>
    </row>
    <row r="175" spans="1:25" ht="14.25" hidden="1" customHeight="1">
      <c r="B175" s="258"/>
      <c r="C175" s="259"/>
      <c r="D175" s="259"/>
      <c r="E175" s="260"/>
      <c r="F175" s="454"/>
      <c r="G175" s="327"/>
      <c r="H175" s="562"/>
      <c r="I175" s="826"/>
      <c r="J175" s="826"/>
      <c r="K175" s="328"/>
      <c r="L175" s="258"/>
      <c r="M175" s="418"/>
      <c r="N175" s="259"/>
      <c r="O175" s="542"/>
      <c r="P175" s="454"/>
      <c r="Q175" s="327"/>
      <c r="R175" s="579"/>
      <c r="S175" s="597"/>
      <c r="T175" s="513"/>
      <c r="U175" s="497"/>
      <c r="V175" s="838"/>
      <c r="W175" s="562"/>
      <c r="X175" s="829"/>
      <c r="Y175" s="466"/>
    </row>
    <row r="176" spans="1:25" ht="14.25" hidden="1" customHeight="1">
      <c r="B176" s="329"/>
      <c r="C176" s="330"/>
      <c r="D176" s="330"/>
      <c r="E176" s="331"/>
      <c r="F176" s="455"/>
      <c r="G176" s="332"/>
      <c r="H176" s="563"/>
      <c r="I176" s="827"/>
      <c r="J176" s="827"/>
      <c r="K176" s="261"/>
      <c r="L176" s="329"/>
      <c r="M176" s="419"/>
      <c r="N176" s="330"/>
      <c r="O176" s="543"/>
      <c r="P176" s="455"/>
      <c r="Q176" s="332"/>
      <c r="R176" s="580"/>
      <c r="S176" s="598"/>
      <c r="T176" s="514"/>
      <c r="U176" s="498"/>
      <c r="V176" s="839"/>
      <c r="W176" s="563"/>
      <c r="X176" s="830"/>
      <c r="Y176" s="466"/>
    </row>
    <row r="177" spans="1:25" ht="14.25" hidden="1" customHeight="1">
      <c r="B177" s="329"/>
      <c r="C177" s="330"/>
      <c r="D177" s="330"/>
      <c r="E177" s="331"/>
      <c r="F177" s="455"/>
      <c r="G177" s="332"/>
      <c r="H177" s="563"/>
      <c r="I177" s="827"/>
      <c r="J177" s="827"/>
      <c r="K177" s="261"/>
      <c r="L177" s="329"/>
      <c r="M177" s="419"/>
      <c r="N177" s="330"/>
      <c r="O177" s="543"/>
      <c r="P177" s="455"/>
      <c r="Q177" s="332"/>
      <c r="R177" s="580"/>
      <c r="S177" s="598"/>
      <c r="T177" s="514"/>
      <c r="U177" s="498"/>
      <c r="V177" s="839"/>
      <c r="W177" s="563"/>
      <c r="X177" s="830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827"/>
      <c r="J178" s="827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39"/>
      <c r="W178" s="563"/>
      <c r="X178" s="830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4"/>
      <c r="I179" s="827"/>
      <c r="J179" s="827"/>
      <c r="K179" s="261"/>
      <c r="L179" s="329"/>
      <c r="M179" s="419"/>
      <c r="N179" s="330"/>
      <c r="O179" s="583"/>
      <c r="P179" s="550"/>
      <c r="Q179" s="332"/>
      <c r="R179" s="581"/>
      <c r="S179" s="599"/>
      <c r="T179" s="515"/>
      <c r="U179" s="499"/>
      <c r="V179" s="839"/>
      <c r="W179" s="564"/>
      <c r="X179" s="830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4"/>
      <c r="I180" s="827"/>
      <c r="J180" s="827"/>
      <c r="K180" s="261"/>
      <c r="L180" s="329"/>
      <c r="M180" s="419"/>
      <c r="N180" s="330"/>
      <c r="O180" s="543"/>
      <c r="P180" s="550"/>
      <c r="Q180" s="332"/>
      <c r="R180" s="581"/>
      <c r="S180" s="599"/>
      <c r="T180" s="515"/>
      <c r="U180" s="499"/>
      <c r="V180" s="839"/>
      <c r="W180" s="564"/>
      <c r="X180" s="830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827"/>
      <c r="J181" s="827"/>
      <c r="K181" s="261"/>
      <c r="L181" s="329"/>
      <c r="M181" s="419"/>
      <c r="N181" s="330"/>
      <c r="O181" s="543"/>
      <c r="P181" s="550"/>
      <c r="Q181" s="332"/>
      <c r="R181" s="581"/>
      <c r="S181" s="599"/>
      <c r="T181" s="515"/>
      <c r="U181" s="499"/>
      <c r="V181" s="839"/>
      <c r="W181" s="564"/>
      <c r="X181" s="830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827"/>
      <c r="J182" s="827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39"/>
      <c r="W182" s="564"/>
      <c r="X182" s="830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827"/>
      <c r="J183" s="827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39"/>
      <c r="W183" s="564"/>
      <c r="X183" s="830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827"/>
      <c r="J184" s="827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39"/>
      <c r="W184" s="564"/>
      <c r="X184" s="830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827"/>
      <c r="J185" s="827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39"/>
      <c r="W185" s="564"/>
      <c r="X185" s="830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827"/>
      <c r="J186" s="827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39"/>
      <c r="W186" s="564"/>
      <c r="X186" s="830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827"/>
      <c r="J187" s="827"/>
      <c r="K187" s="261"/>
      <c r="L187" s="329"/>
      <c r="M187" s="419"/>
      <c r="N187" s="330"/>
      <c r="O187" s="543"/>
      <c r="P187" s="455"/>
      <c r="Q187" s="332"/>
      <c r="R187" s="581"/>
      <c r="S187" s="599"/>
      <c r="T187" s="515"/>
      <c r="U187" s="499"/>
      <c r="V187" s="839"/>
      <c r="W187" s="564"/>
      <c r="X187" s="830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827"/>
      <c r="J188" s="827"/>
      <c r="K188" s="261"/>
      <c r="L188" s="329"/>
      <c r="M188" s="419"/>
      <c r="N188" s="330"/>
      <c r="O188" s="543"/>
      <c r="P188" s="455"/>
      <c r="Q188" s="332"/>
      <c r="R188" s="581"/>
      <c r="S188" s="599"/>
      <c r="T188" s="515"/>
      <c r="U188" s="499"/>
      <c r="V188" s="839"/>
      <c r="W188" s="564"/>
      <c r="X188" s="830"/>
      <c r="Y188" s="466"/>
    </row>
    <row r="189" spans="1:25" ht="15" hidden="1" customHeight="1" thickBot="1">
      <c r="B189" s="262"/>
      <c r="C189" s="333"/>
      <c r="D189" s="333"/>
      <c r="E189" s="334"/>
      <c r="F189" s="456"/>
      <c r="G189" s="263"/>
      <c r="H189" s="565"/>
      <c r="I189" s="828"/>
      <c r="J189" s="828"/>
      <c r="K189" s="264"/>
      <c r="L189" s="262"/>
      <c r="M189" s="420"/>
      <c r="N189" s="333"/>
      <c r="O189" s="544"/>
      <c r="P189" s="456"/>
      <c r="Q189" s="263"/>
      <c r="R189" s="582"/>
      <c r="S189" s="600"/>
      <c r="T189" s="516"/>
      <c r="U189" s="500"/>
      <c r="V189" s="840"/>
      <c r="W189" s="565"/>
      <c r="X189" s="831"/>
      <c r="Y189" s="466"/>
    </row>
    <row r="190" spans="1:25" ht="14.5" hidden="1" thickBot="1">
      <c r="A190" s="24"/>
      <c r="B190" s="265"/>
      <c r="C190" s="266"/>
      <c r="D190" s="266"/>
      <c r="E190" s="280"/>
      <c r="F190" s="440"/>
      <c r="G190" s="268"/>
      <c r="H190" s="554"/>
      <c r="I190" s="269"/>
      <c r="J190" s="392"/>
      <c r="K190" s="24"/>
      <c r="L190" s="265"/>
      <c r="M190" s="266"/>
      <c r="N190" s="266"/>
      <c r="O190" s="533"/>
      <c r="P190" s="440"/>
      <c r="Q190" s="268"/>
      <c r="R190" s="574"/>
      <c r="S190" s="593"/>
      <c r="T190" s="504"/>
      <c r="U190" s="488"/>
      <c r="V190" s="476"/>
      <c r="W190" s="554"/>
      <c r="X190" s="338"/>
      <c r="Y190" s="466"/>
    </row>
    <row r="191" spans="1:25" ht="14.25" hidden="1" customHeight="1">
      <c r="B191" s="270"/>
      <c r="C191" s="271"/>
      <c r="D191" s="339"/>
      <c r="E191" s="272"/>
      <c r="F191" s="421"/>
      <c r="G191" s="273"/>
      <c r="H191" s="558"/>
      <c r="I191" s="795"/>
      <c r="J191" s="795"/>
      <c r="K191" s="274"/>
      <c r="L191" s="270"/>
      <c r="M191" s="339"/>
      <c r="N191" s="339"/>
      <c r="O191" s="529"/>
      <c r="P191" s="421"/>
      <c r="Q191" s="273"/>
      <c r="R191" s="573"/>
      <c r="S191" s="592"/>
      <c r="T191" s="508"/>
      <c r="U191" s="493"/>
      <c r="V191" s="811"/>
      <c r="W191" s="558"/>
      <c r="X191" s="817"/>
      <c r="Y191" s="466"/>
    </row>
    <row r="192" spans="1:25" ht="15" hidden="1" customHeight="1">
      <c r="B192" s="300"/>
      <c r="C192" s="302"/>
      <c r="D192" s="302"/>
      <c r="E192" s="303"/>
      <c r="F192" s="443"/>
      <c r="G192" s="304"/>
      <c r="H192" s="551"/>
      <c r="I192" s="796"/>
      <c r="J192" s="796"/>
      <c r="K192" s="277"/>
      <c r="L192" s="300"/>
      <c r="M192" s="381"/>
      <c r="N192" s="302"/>
      <c r="O192" s="530"/>
      <c r="P192" s="443"/>
      <c r="Q192" s="304"/>
      <c r="R192" s="566"/>
      <c r="S192" s="585"/>
      <c r="T192" s="501"/>
      <c r="U192" s="485"/>
      <c r="V192" s="812"/>
      <c r="W192" s="551"/>
      <c r="X192" s="818"/>
      <c r="Y192" s="466"/>
    </row>
    <row r="193" spans="1:25" ht="15" hidden="1" customHeight="1">
      <c r="B193" s="300"/>
      <c r="C193" s="302"/>
      <c r="D193" s="302"/>
      <c r="E193" s="303"/>
      <c r="F193" s="443"/>
      <c r="G193" s="304"/>
      <c r="H193" s="551"/>
      <c r="I193" s="796"/>
      <c r="J193" s="796"/>
      <c r="K193" s="277"/>
      <c r="L193" s="300"/>
      <c r="M193" s="381"/>
      <c r="N193" s="302"/>
      <c r="O193" s="530"/>
      <c r="P193" s="443"/>
      <c r="Q193" s="304"/>
      <c r="R193" s="566"/>
      <c r="S193" s="585"/>
      <c r="T193" s="501"/>
      <c r="U193" s="485"/>
      <c r="V193" s="812"/>
      <c r="W193" s="551"/>
      <c r="X193" s="818"/>
      <c r="Y193" s="466"/>
    </row>
    <row r="194" spans="1:25" ht="15" hidden="1" customHeight="1">
      <c r="B194" s="300"/>
      <c r="C194" s="379"/>
      <c r="D194" s="379"/>
      <c r="E194" s="395"/>
      <c r="F194" s="428"/>
      <c r="G194" s="378"/>
      <c r="H194" s="552"/>
      <c r="I194" s="796"/>
      <c r="J194" s="796"/>
      <c r="K194" s="277"/>
      <c r="L194" s="300"/>
      <c r="M194" s="381"/>
      <c r="N194" s="379"/>
      <c r="O194" s="531"/>
      <c r="P194" s="428"/>
      <c r="Q194" s="378"/>
      <c r="R194" s="567"/>
      <c r="S194" s="586"/>
      <c r="T194" s="502"/>
      <c r="U194" s="486"/>
      <c r="V194" s="812"/>
      <c r="W194" s="552"/>
      <c r="X194" s="818"/>
      <c r="Y194" s="466"/>
    </row>
    <row r="195" spans="1:25" ht="15" hidden="1" customHeight="1" thickBot="1">
      <c r="B195" s="305"/>
      <c r="C195" s="306"/>
      <c r="D195" s="306"/>
      <c r="E195" s="307"/>
      <c r="F195" s="444"/>
      <c r="G195" s="319"/>
      <c r="H195" s="553"/>
      <c r="I195" s="797"/>
      <c r="J195" s="797"/>
      <c r="K195" s="278"/>
      <c r="L195" s="305"/>
      <c r="M195" s="405"/>
      <c r="N195" s="306"/>
      <c r="O195" s="532"/>
      <c r="P195" s="444"/>
      <c r="Q195" s="319"/>
      <c r="R195" s="568"/>
      <c r="S195" s="587"/>
      <c r="T195" s="503"/>
      <c r="U195" s="487"/>
      <c r="V195" s="813"/>
      <c r="W195" s="553"/>
      <c r="X195" s="819"/>
      <c r="Y195" s="466"/>
    </row>
    <row r="196" spans="1:25" ht="15" hidden="1" customHeight="1" thickBot="1">
      <c r="A196" s="24"/>
      <c r="B196" s="279"/>
      <c r="C196" s="266"/>
      <c r="D196" s="266"/>
      <c r="E196" s="280"/>
      <c r="F196" s="440"/>
      <c r="G196" s="281"/>
      <c r="H196" s="554"/>
      <c r="I196" s="269"/>
      <c r="J196" s="269"/>
      <c r="K196" s="24"/>
      <c r="L196" s="279"/>
      <c r="M196" s="266"/>
      <c r="N196" s="266"/>
      <c r="O196" s="533"/>
      <c r="P196" s="440"/>
      <c r="Q196" s="281"/>
      <c r="R196" s="569"/>
      <c r="S196" s="588"/>
      <c r="T196" s="504"/>
      <c r="U196" s="492"/>
      <c r="V196" s="475"/>
      <c r="W196" s="554"/>
      <c r="X196" s="338"/>
      <c r="Y196" s="466"/>
    </row>
    <row r="197" spans="1:25" hidden="1">
      <c r="B197" s="258"/>
      <c r="C197" s="259"/>
      <c r="D197" s="259"/>
      <c r="E197" s="260"/>
      <c r="F197" s="454"/>
      <c r="G197" s="327"/>
      <c r="H197" s="562"/>
      <c r="I197" s="826"/>
      <c r="J197" s="826"/>
      <c r="K197" s="847"/>
      <c r="L197" s="258"/>
      <c r="M197" s="259"/>
      <c r="N197" s="259"/>
      <c r="O197" s="542"/>
      <c r="P197" s="454"/>
      <c r="Q197" s="327"/>
      <c r="R197" s="579"/>
      <c r="S197" s="597"/>
      <c r="T197" s="513"/>
      <c r="U197" s="497"/>
      <c r="V197" s="474"/>
      <c r="W197" s="562"/>
      <c r="X197" s="829"/>
      <c r="Y197" s="466"/>
    </row>
    <row r="198" spans="1:25" ht="15" hidden="1" customHeight="1" thickBot="1">
      <c r="B198" s="262"/>
      <c r="C198" s="333"/>
      <c r="D198" s="333"/>
      <c r="E198" s="334"/>
      <c r="F198" s="456"/>
      <c r="G198" s="263"/>
      <c r="H198" s="565"/>
      <c r="I198" s="828"/>
      <c r="J198" s="828"/>
      <c r="K198" s="848"/>
      <c r="L198" s="262"/>
      <c r="M198" s="333"/>
      <c r="N198" s="333"/>
      <c r="O198" s="544"/>
      <c r="P198" s="456"/>
      <c r="Q198" s="263"/>
      <c r="R198" s="582"/>
      <c r="S198" s="600"/>
      <c r="T198" s="516"/>
      <c r="U198" s="500"/>
      <c r="V198" s="473"/>
      <c r="W198" s="565"/>
      <c r="X198" s="831"/>
      <c r="Y198" s="466"/>
    </row>
    <row r="199" spans="1:25" ht="14.5" hidden="1" thickBot="1">
      <c r="A199" s="24"/>
      <c r="B199" s="279"/>
      <c r="C199" s="266"/>
      <c r="D199" s="266"/>
      <c r="E199" s="280"/>
      <c r="F199" s="440"/>
      <c r="G199" s="281"/>
      <c r="H199" s="554"/>
      <c r="I199" s="315"/>
      <c r="J199" s="315"/>
      <c r="K199" s="24"/>
      <c r="L199" s="279"/>
      <c r="M199" s="266"/>
      <c r="N199" s="266"/>
      <c r="O199" s="533"/>
      <c r="P199" s="440"/>
      <c r="Q199" s="281"/>
      <c r="R199" s="569"/>
      <c r="S199" s="588"/>
      <c r="T199" s="504"/>
      <c r="U199" s="492"/>
      <c r="V199" s="475"/>
      <c r="W199" s="554"/>
      <c r="X199" s="467"/>
      <c r="Y199" s="466"/>
    </row>
    <row r="200" spans="1:25" ht="15.75" hidden="1" customHeight="1">
      <c r="B200" s="270"/>
      <c r="C200" s="271"/>
      <c r="D200" s="339"/>
      <c r="E200" s="272"/>
      <c r="F200" s="421"/>
      <c r="G200" s="273"/>
      <c r="H200" s="558"/>
      <c r="I200" s="795"/>
      <c r="J200" s="795"/>
      <c r="K200" s="274"/>
      <c r="L200" s="270"/>
      <c r="M200" s="339"/>
      <c r="N200" s="339"/>
      <c r="O200" s="529"/>
      <c r="P200" s="421"/>
      <c r="Q200" s="273"/>
      <c r="R200" s="573"/>
      <c r="S200" s="592"/>
      <c r="T200" s="508"/>
      <c r="U200" s="493"/>
      <c r="V200" s="811"/>
      <c r="W200" s="558"/>
      <c r="X200" s="817"/>
      <c r="Y200" s="466"/>
    </row>
    <row r="201" spans="1:25" ht="15.75" hidden="1" customHeight="1">
      <c r="B201" s="300"/>
      <c r="C201" s="302"/>
      <c r="D201" s="302"/>
      <c r="E201" s="303"/>
      <c r="F201" s="443"/>
      <c r="G201" s="304"/>
      <c r="H201" s="551"/>
      <c r="I201" s="796"/>
      <c r="J201" s="796"/>
      <c r="K201" s="277"/>
      <c r="L201" s="300"/>
      <c r="M201" s="381"/>
      <c r="N201" s="302"/>
      <c r="O201" s="530"/>
      <c r="P201" s="443"/>
      <c r="Q201" s="304"/>
      <c r="R201" s="566"/>
      <c r="S201" s="585"/>
      <c r="T201" s="501"/>
      <c r="U201" s="485"/>
      <c r="V201" s="812"/>
      <c r="W201" s="551"/>
      <c r="X201" s="818"/>
      <c r="Y201" s="466"/>
    </row>
    <row r="202" spans="1:25" ht="15.75" hidden="1" customHeight="1">
      <c r="B202" s="300"/>
      <c r="C202" s="302"/>
      <c r="D202" s="302"/>
      <c r="E202" s="303"/>
      <c r="F202" s="443"/>
      <c r="G202" s="304"/>
      <c r="H202" s="551"/>
      <c r="I202" s="796"/>
      <c r="J202" s="796"/>
      <c r="K202" s="277"/>
      <c r="L202" s="300"/>
      <c r="M202" s="381"/>
      <c r="N202" s="302"/>
      <c r="O202" s="530"/>
      <c r="P202" s="443"/>
      <c r="Q202" s="304"/>
      <c r="R202" s="566"/>
      <c r="S202" s="585"/>
      <c r="T202" s="501"/>
      <c r="U202" s="485"/>
      <c r="V202" s="812"/>
      <c r="W202" s="551"/>
      <c r="X202" s="818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796"/>
      <c r="J203" s="796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812"/>
      <c r="W203" s="551"/>
      <c r="X203" s="818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796"/>
      <c r="J204" s="796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812"/>
      <c r="W204" s="551"/>
      <c r="X204" s="818"/>
      <c r="Y204" s="466"/>
    </row>
    <row r="205" spans="1:25" ht="15.75" hidden="1" customHeight="1" thickBot="1">
      <c r="B205" s="305"/>
      <c r="C205" s="306"/>
      <c r="D205" s="306"/>
      <c r="E205" s="307"/>
      <c r="F205" s="444"/>
      <c r="G205" s="319"/>
      <c r="H205" s="553"/>
      <c r="I205" s="797"/>
      <c r="J205" s="797"/>
      <c r="K205" s="351"/>
      <c r="L205" s="305"/>
      <c r="M205" s="405"/>
      <c r="N205" s="306"/>
      <c r="O205" s="532"/>
      <c r="P205" s="444"/>
      <c r="Q205" s="319"/>
      <c r="R205" s="568"/>
      <c r="S205" s="587"/>
      <c r="T205" s="503"/>
      <c r="U205" s="487"/>
      <c r="V205" s="813"/>
      <c r="W205" s="553"/>
      <c r="X205" s="819"/>
      <c r="Y205" s="466"/>
    </row>
    <row r="206" spans="1:25" ht="14.5" hidden="1" thickBot="1">
      <c r="A206" s="24"/>
      <c r="B206" s="279"/>
      <c r="C206" s="266"/>
      <c r="D206" s="266"/>
      <c r="E206" s="280"/>
      <c r="F206" s="440"/>
      <c r="G206" s="281"/>
      <c r="H206" s="554"/>
      <c r="I206" s="269"/>
      <c r="J206" s="269"/>
      <c r="K206" s="24"/>
      <c r="L206" s="279"/>
      <c r="M206" s="266"/>
      <c r="N206" s="266"/>
      <c r="O206" s="533"/>
      <c r="P206" s="440"/>
      <c r="Q206" s="281"/>
      <c r="R206" s="569"/>
      <c r="S206" s="588"/>
      <c r="T206" s="504"/>
      <c r="U206" s="492"/>
      <c r="V206" s="475"/>
      <c r="W206" s="554"/>
      <c r="X206" s="467"/>
      <c r="Y206" s="466"/>
    </row>
    <row r="207" spans="1:25" ht="14.25" hidden="1" customHeight="1">
      <c r="B207" s="258"/>
      <c r="C207" s="259"/>
      <c r="D207" s="259"/>
      <c r="E207" s="260"/>
      <c r="F207" s="454"/>
      <c r="G207" s="327"/>
      <c r="H207" s="601"/>
      <c r="I207" s="826"/>
      <c r="J207" s="826"/>
      <c r="K207" s="328"/>
      <c r="L207" s="258"/>
      <c r="M207" s="418"/>
      <c r="N207" s="259"/>
      <c r="O207" s="542"/>
      <c r="P207" s="454"/>
      <c r="Q207" s="327"/>
      <c r="R207" s="579"/>
      <c r="S207" s="597"/>
      <c r="T207" s="513"/>
      <c r="U207" s="497"/>
      <c r="V207" s="838"/>
      <c r="W207" s="562"/>
      <c r="X207" s="829"/>
      <c r="Y207" s="466"/>
    </row>
    <row r="208" spans="1:25" ht="14.25" hidden="1" customHeight="1">
      <c r="B208" s="329"/>
      <c r="C208" s="330"/>
      <c r="D208" s="330"/>
      <c r="E208" s="331"/>
      <c r="F208" s="455"/>
      <c r="G208" s="332"/>
      <c r="H208" s="523"/>
      <c r="I208" s="827"/>
      <c r="J208" s="827"/>
      <c r="K208" s="261"/>
      <c r="L208" s="329"/>
      <c r="M208" s="419"/>
      <c r="N208" s="330"/>
      <c r="O208" s="543"/>
      <c r="P208" s="455"/>
      <c r="Q208" s="332"/>
      <c r="R208" s="581"/>
      <c r="S208" s="597"/>
      <c r="T208" s="515"/>
      <c r="U208" s="499"/>
      <c r="V208" s="839"/>
      <c r="W208" s="564"/>
      <c r="X208" s="830"/>
      <c r="Y208" s="466"/>
    </row>
    <row r="209" spans="1:25" ht="14.25" hidden="1" customHeight="1">
      <c r="B209" s="329"/>
      <c r="C209" s="330"/>
      <c r="D209" s="330"/>
      <c r="E209" s="331"/>
      <c r="F209" s="455"/>
      <c r="G209" s="332"/>
      <c r="H209" s="523"/>
      <c r="I209" s="827"/>
      <c r="J209" s="827"/>
      <c r="K209" s="261"/>
      <c r="L209" s="329"/>
      <c r="M209" s="419"/>
      <c r="N209" s="330"/>
      <c r="O209" s="543"/>
      <c r="P209" s="455"/>
      <c r="Q209" s="332"/>
      <c r="R209" s="581"/>
      <c r="S209" s="597"/>
      <c r="T209" s="515"/>
      <c r="U209" s="499"/>
      <c r="V209" s="839"/>
      <c r="W209" s="564"/>
      <c r="X209" s="830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64"/>
      <c r="I210" s="827"/>
      <c r="J210" s="827"/>
      <c r="K210" s="261"/>
      <c r="L210" s="329"/>
      <c r="M210" s="419"/>
      <c r="N210" s="330"/>
      <c r="O210" s="543"/>
      <c r="P210" s="455"/>
      <c r="Q210" s="332"/>
      <c r="R210" s="581"/>
      <c r="S210" s="599"/>
      <c r="T210" s="515"/>
      <c r="U210" s="499"/>
      <c r="V210" s="839"/>
      <c r="W210" s="564"/>
      <c r="X210" s="830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64"/>
      <c r="I211" s="827"/>
      <c r="J211" s="827"/>
      <c r="K211" s="261"/>
      <c r="L211" s="329"/>
      <c r="M211" s="419"/>
      <c r="N211" s="330"/>
      <c r="O211" s="543"/>
      <c r="P211" s="455"/>
      <c r="Q211" s="332"/>
      <c r="R211" s="581"/>
      <c r="S211" s="599"/>
      <c r="T211" s="515"/>
      <c r="U211" s="499"/>
      <c r="V211" s="839"/>
      <c r="W211" s="564"/>
      <c r="X211" s="830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827"/>
      <c r="J212" s="827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39"/>
      <c r="W212" s="564"/>
      <c r="X212" s="830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827"/>
      <c r="J213" s="827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39"/>
      <c r="W213" s="564"/>
      <c r="X213" s="830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827"/>
      <c r="J214" s="827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39"/>
      <c r="W214" s="564"/>
      <c r="X214" s="830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827"/>
      <c r="J215" s="827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39"/>
      <c r="W215" s="564"/>
      <c r="X215" s="830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827"/>
      <c r="J216" s="827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39"/>
      <c r="W216" s="564"/>
      <c r="X216" s="830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827"/>
      <c r="J217" s="827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39"/>
      <c r="W217" s="564"/>
      <c r="X217" s="830"/>
      <c r="Y217" s="466"/>
    </row>
    <row r="218" spans="1:25" ht="15" hidden="1" customHeight="1" thickBot="1">
      <c r="B218" s="262"/>
      <c r="C218" s="333"/>
      <c r="D218" s="333"/>
      <c r="E218" s="334"/>
      <c r="F218" s="456"/>
      <c r="G218" s="263"/>
      <c r="H218" s="565"/>
      <c r="I218" s="828"/>
      <c r="J218" s="828"/>
      <c r="K218" s="264"/>
      <c r="L218" s="262"/>
      <c r="M218" s="420"/>
      <c r="N218" s="333"/>
      <c r="O218" s="544"/>
      <c r="P218" s="456"/>
      <c r="Q218" s="263"/>
      <c r="R218" s="582"/>
      <c r="S218" s="600"/>
      <c r="T218" s="516"/>
      <c r="U218" s="500"/>
      <c r="V218" s="840"/>
      <c r="W218" s="565"/>
      <c r="X218" s="831"/>
      <c r="Y218" s="466"/>
    </row>
    <row r="219" spans="1:25" ht="14.5" hidden="1" thickBot="1">
      <c r="A219" s="24"/>
      <c r="B219" s="279"/>
      <c r="C219" s="266"/>
      <c r="D219" s="266"/>
      <c r="E219" s="280"/>
      <c r="F219" s="440"/>
      <c r="G219" s="281"/>
      <c r="H219" s="554"/>
      <c r="I219" s="335"/>
      <c r="J219" s="335"/>
      <c r="K219" s="24"/>
      <c r="L219" s="279"/>
      <c r="M219" s="266"/>
      <c r="N219" s="266"/>
      <c r="O219" s="533"/>
      <c r="P219" s="440"/>
      <c r="Q219" s="281"/>
      <c r="R219" s="569"/>
      <c r="S219" s="588"/>
      <c r="T219" s="504"/>
      <c r="U219" s="492"/>
      <c r="V219" s="475"/>
      <c r="W219" s="554"/>
      <c r="X219" s="471"/>
      <c r="Y219" s="466"/>
    </row>
    <row r="220" spans="1:25" hidden="1">
      <c r="B220" s="270"/>
      <c r="C220" s="271"/>
      <c r="D220" s="271"/>
      <c r="E220" s="272"/>
      <c r="F220" s="421"/>
      <c r="G220" s="273"/>
      <c r="H220" s="558"/>
      <c r="I220" s="795"/>
      <c r="J220" s="795"/>
      <c r="K220" s="274"/>
      <c r="L220" s="270"/>
      <c r="M220" s="339"/>
      <c r="N220" s="271"/>
      <c r="O220" s="529"/>
      <c r="P220" s="421"/>
      <c r="Q220" s="273"/>
      <c r="R220" s="573"/>
      <c r="S220" s="592"/>
      <c r="T220" s="508"/>
      <c r="U220" s="493"/>
      <c r="V220" s="811"/>
      <c r="W220" s="558"/>
      <c r="X220" s="817"/>
      <c r="Y220" s="466"/>
    </row>
    <row r="221" spans="1:25" hidden="1">
      <c r="B221" s="300"/>
      <c r="C221" s="302"/>
      <c r="D221" s="302"/>
      <c r="E221" s="303"/>
      <c r="F221" s="443"/>
      <c r="G221" s="304"/>
      <c r="H221" s="551"/>
      <c r="I221" s="796"/>
      <c r="J221" s="796"/>
      <c r="K221" s="277"/>
      <c r="L221" s="300"/>
      <c r="M221" s="381"/>
      <c r="N221" s="302"/>
      <c r="O221" s="530"/>
      <c r="P221" s="443"/>
      <c r="Q221" s="304"/>
      <c r="R221" s="566"/>
      <c r="S221" s="585"/>
      <c r="T221" s="501"/>
      <c r="U221" s="485"/>
      <c r="V221" s="812"/>
      <c r="W221" s="551"/>
      <c r="X221" s="818"/>
      <c r="Y221" s="466"/>
    </row>
    <row r="222" spans="1:25" hidden="1">
      <c r="B222" s="300"/>
      <c r="C222" s="302"/>
      <c r="D222" s="302"/>
      <c r="E222" s="303"/>
      <c r="F222" s="443"/>
      <c r="G222" s="304"/>
      <c r="H222" s="551"/>
      <c r="I222" s="796"/>
      <c r="J222" s="796"/>
      <c r="K222" s="277"/>
      <c r="L222" s="300"/>
      <c r="M222" s="381"/>
      <c r="N222" s="302"/>
      <c r="O222" s="530"/>
      <c r="P222" s="443"/>
      <c r="Q222" s="304"/>
      <c r="R222" s="566"/>
      <c r="S222" s="585"/>
      <c r="T222" s="501"/>
      <c r="U222" s="485"/>
      <c r="V222" s="812"/>
      <c r="W222" s="551"/>
      <c r="X222" s="818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796"/>
      <c r="J223" s="796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812"/>
      <c r="W223" s="551"/>
      <c r="X223" s="818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796"/>
      <c r="J224" s="796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812"/>
      <c r="W224" s="551"/>
      <c r="X224" s="818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796"/>
      <c r="J225" s="796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812"/>
      <c r="W225" s="551"/>
      <c r="X225" s="818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796"/>
      <c r="J226" s="796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812"/>
      <c r="W226" s="551"/>
      <c r="X226" s="818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796"/>
      <c r="J227" s="796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812"/>
      <c r="W227" s="551"/>
      <c r="X227" s="818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796"/>
      <c r="J228" s="796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812"/>
      <c r="W228" s="551"/>
      <c r="X228" s="818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796"/>
      <c r="J229" s="796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812"/>
      <c r="W229" s="551"/>
      <c r="X229" s="818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796"/>
      <c r="J230" s="796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812"/>
      <c r="W230" s="551"/>
      <c r="X230" s="818"/>
      <c r="Y230" s="466"/>
    </row>
    <row r="231" spans="1:25" ht="15" hidden="1" customHeight="1" thickBot="1">
      <c r="B231" s="305"/>
      <c r="C231" s="306"/>
      <c r="D231" s="306"/>
      <c r="E231" s="307"/>
      <c r="F231" s="444"/>
      <c r="G231" s="319"/>
      <c r="H231" s="553"/>
      <c r="I231" s="797"/>
      <c r="J231" s="797"/>
      <c r="K231" s="278"/>
      <c r="L231" s="305"/>
      <c r="M231" s="405"/>
      <c r="N231" s="306"/>
      <c r="O231" s="532"/>
      <c r="P231" s="444"/>
      <c r="Q231" s="319"/>
      <c r="R231" s="568"/>
      <c r="S231" s="587"/>
      <c r="T231" s="503"/>
      <c r="U231" s="487"/>
      <c r="V231" s="813"/>
      <c r="W231" s="553"/>
      <c r="X231" s="819"/>
      <c r="Y231" s="466"/>
    </row>
    <row r="232" spans="1:25" s="3" customFormat="1" ht="14.5" thickBot="1">
      <c r="B232" s="109"/>
      <c r="E232" s="4"/>
      <c r="F232" s="457"/>
      <c r="G232" s="5"/>
      <c r="H232" s="5"/>
      <c r="I232" s="336"/>
      <c r="J232" s="336"/>
      <c r="L232" s="109"/>
      <c r="O232" s="4"/>
      <c r="P232" s="457"/>
      <c r="Q232" s="337"/>
      <c r="R232" s="337"/>
      <c r="S232" s="337"/>
      <c r="T232" s="337"/>
      <c r="U232" s="337"/>
      <c r="V232" s="337"/>
      <c r="W232" s="337"/>
      <c r="X232" s="337"/>
    </row>
    <row r="233" spans="1:25">
      <c r="A233" s="688"/>
      <c r="B233" s="688"/>
      <c r="C233" s="739" t="s">
        <v>279</v>
      </c>
      <c r="D233" s="849" t="s">
        <v>278</v>
      </c>
      <c r="E233" s="850"/>
      <c r="F233" s="688"/>
      <c r="G233" s="688"/>
      <c r="H233" s="688"/>
      <c r="I233" s="691"/>
      <c r="J233" s="691"/>
      <c r="K233" s="688"/>
    </row>
    <row r="234" spans="1:25">
      <c r="A234" s="688"/>
      <c r="B234" s="688"/>
      <c r="C234" s="740" t="s">
        <v>280</v>
      </c>
      <c r="D234" s="851">
        <v>12510</v>
      </c>
      <c r="E234" s="852"/>
      <c r="F234" s="688"/>
      <c r="G234" s="688"/>
      <c r="H234" s="688"/>
      <c r="I234" s="691"/>
      <c r="J234" s="691"/>
      <c r="K234" s="688"/>
    </row>
    <row r="235" spans="1:25" ht="14.5" thickBot="1">
      <c r="A235" s="688"/>
      <c r="B235" s="688"/>
      <c r="C235" s="741"/>
      <c r="D235" s="742" t="s">
        <v>287</v>
      </c>
      <c r="E235" s="743" t="s">
        <v>288</v>
      </c>
      <c r="F235" s="688"/>
      <c r="G235" s="688"/>
      <c r="H235" s="688"/>
      <c r="I235" s="691"/>
      <c r="J235" s="691"/>
      <c r="K235" s="688"/>
    </row>
    <row r="236" spans="1:25">
      <c r="A236" s="688"/>
      <c r="B236" s="688"/>
      <c r="C236" s="738" t="s">
        <v>209</v>
      </c>
      <c r="D236" s="744">
        <f>E236*0.8</f>
        <v>2840</v>
      </c>
      <c r="E236" s="744">
        <v>3550</v>
      </c>
      <c r="F236" s="690"/>
      <c r="G236" s="688"/>
      <c r="H236" s="688"/>
      <c r="I236" s="692"/>
      <c r="J236" s="692"/>
      <c r="K236" s="688"/>
    </row>
    <row r="237" spans="1:25" s="112" customFormat="1">
      <c r="A237" s="688"/>
      <c r="B237" s="688"/>
      <c r="C237" s="737" t="s">
        <v>188</v>
      </c>
      <c r="D237" s="745">
        <f>E237*0.8</f>
        <v>7168</v>
      </c>
      <c r="E237" s="745">
        <f>712.5+7500+747.5</f>
        <v>8960</v>
      </c>
      <c r="F237" s="690"/>
      <c r="G237" s="688"/>
      <c r="H237" s="688"/>
      <c r="I237" s="691"/>
      <c r="J237" s="691"/>
      <c r="K237" s="688"/>
      <c r="T237" s="528"/>
      <c r="U237" s="528"/>
      <c r="W237" s="528"/>
    </row>
    <row r="238" spans="1:25" s="112" customFormat="1" ht="14.5" thickBot="1">
      <c r="A238" s="688"/>
      <c r="B238" s="688"/>
      <c r="C238" s="688"/>
      <c r="D238" s="688"/>
      <c r="E238" s="689"/>
      <c r="F238" s="690"/>
      <c r="G238" s="688"/>
      <c r="H238" s="688"/>
      <c r="I238" s="691"/>
      <c r="J238" s="691"/>
      <c r="K238" s="688"/>
      <c r="T238" s="528"/>
      <c r="U238" s="528"/>
      <c r="W238" s="528"/>
    </row>
    <row r="239" spans="1:25" s="112" customFormat="1">
      <c r="A239" s="688"/>
      <c r="B239" s="688"/>
      <c r="C239" s="739" t="s">
        <v>279</v>
      </c>
      <c r="D239" s="849" t="s">
        <v>285</v>
      </c>
      <c r="E239" s="850"/>
      <c r="F239" s="690"/>
      <c r="G239" s="688"/>
      <c r="H239" s="688"/>
      <c r="I239" s="691"/>
      <c r="J239" s="691"/>
      <c r="K239" s="688"/>
      <c r="T239" s="528"/>
      <c r="U239" s="528"/>
      <c r="W239" s="528"/>
    </row>
    <row r="240" spans="1:25" s="112" customFormat="1">
      <c r="A240" s="688"/>
      <c r="B240" s="688"/>
      <c r="C240" s="740" t="s">
        <v>280</v>
      </c>
      <c r="D240" s="851">
        <v>200000</v>
      </c>
      <c r="E240" s="852"/>
      <c r="F240" s="690"/>
      <c r="G240" s="688"/>
      <c r="H240" s="688"/>
      <c r="I240" s="691"/>
      <c r="J240" s="691"/>
      <c r="K240" s="688"/>
      <c r="T240" s="528"/>
      <c r="U240" s="528"/>
      <c r="W240" s="528"/>
    </row>
    <row r="241" spans="1:23" s="112" customFormat="1" ht="14.5" thickBot="1">
      <c r="A241" s="688"/>
      <c r="B241" s="688"/>
      <c r="C241" s="741"/>
      <c r="D241" s="742" t="s">
        <v>287</v>
      </c>
      <c r="E241" s="743" t="s">
        <v>288</v>
      </c>
      <c r="F241" s="690"/>
      <c r="G241" s="688"/>
      <c r="H241" s="688"/>
      <c r="I241" s="691"/>
      <c r="J241" s="691"/>
      <c r="K241" s="688"/>
      <c r="T241" s="528"/>
      <c r="U241" s="528"/>
      <c r="W241" s="528"/>
    </row>
    <row r="242" spans="1:23" s="112" customFormat="1">
      <c r="C242" s="738" t="s">
        <v>209</v>
      </c>
      <c r="D242" s="744"/>
      <c r="E242" s="744"/>
      <c r="F242" s="448"/>
      <c r="I242" s="245"/>
      <c r="J242" s="245"/>
      <c r="T242" s="528"/>
      <c r="U242" s="528"/>
      <c r="W242" s="528"/>
    </row>
    <row r="243" spans="1:23" s="112" customFormat="1">
      <c r="C243" s="737" t="s">
        <v>188</v>
      </c>
      <c r="D243" s="745"/>
      <c r="E243" s="745"/>
      <c r="F243" s="448"/>
      <c r="I243" s="245"/>
      <c r="J243" s="245"/>
      <c r="T243" s="528"/>
      <c r="U243" s="528"/>
      <c r="W243" s="528"/>
    </row>
    <row r="244" spans="1:23" s="112" customFormat="1" ht="14.5" thickBot="1">
      <c r="E244" s="162"/>
      <c r="F244" s="448"/>
      <c r="I244" s="245"/>
      <c r="J244" s="245"/>
      <c r="T244" s="528"/>
      <c r="U244" s="528"/>
      <c r="W244" s="528"/>
    </row>
    <row r="245" spans="1:23" s="112" customFormat="1">
      <c r="C245" s="739" t="s">
        <v>279</v>
      </c>
      <c r="D245" s="849" t="s">
        <v>286</v>
      </c>
      <c r="E245" s="850"/>
      <c r="F245" s="448"/>
      <c r="I245" s="245"/>
      <c r="J245" s="245"/>
      <c r="T245" s="528"/>
      <c r="U245" s="528"/>
      <c r="W245" s="528"/>
    </row>
    <row r="246" spans="1:23" s="112" customFormat="1">
      <c r="C246" s="740" t="s">
        <v>280</v>
      </c>
      <c r="D246" s="851">
        <v>300000</v>
      </c>
      <c r="E246" s="852"/>
      <c r="F246" s="448"/>
      <c r="I246" s="245"/>
      <c r="J246" s="245"/>
      <c r="T246" s="528"/>
      <c r="U246" s="528"/>
      <c r="W246" s="528"/>
    </row>
    <row r="247" spans="1:23" s="112" customFormat="1" ht="14.5" thickBot="1">
      <c r="C247" s="741"/>
      <c r="D247" s="742" t="s">
        <v>287</v>
      </c>
      <c r="E247" s="743" t="s">
        <v>288</v>
      </c>
      <c r="F247" s="448"/>
      <c r="I247" s="245"/>
      <c r="J247" s="245"/>
      <c r="T247" s="528"/>
      <c r="U247" s="528"/>
      <c r="W247" s="528"/>
    </row>
    <row r="248" spans="1:23" s="112" customFormat="1">
      <c r="C248" s="738" t="s">
        <v>209</v>
      </c>
      <c r="D248" s="744"/>
      <c r="E248" s="744"/>
      <c r="F248" s="448"/>
      <c r="I248" s="245"/>
      <c r="J248" s="245"/>
      <c r="T248" s="528"/>
      <c r="U248" s="528"/>
      <c r="W248" s="528"/>
    </row>
    <row r="249" spans="1:23" s="112" customFormat="1">
      <c r="C249" s="737" t="s">
        <v>188</v>
      </c>
      <c r="D249" s="745"/>
      <c r="E249" s="745"/>
      <c r="F249" s="448"/>
      <c r="I249" s="245"/>
      <c r="J249" s="245"/>
      <c r="T249" s="528"/>
      <c r="U249" s="528"/>
      <c r="W249" s="528"/>
    </row>
    <row r="250" spans="1:23" s="112" customFormat="1">
      <c r="E250" s="162"/>
      <c r="F250" s="448"/>
      <c r="I250" s="245"/>
      <c r="J250" s="245"/>
      <c r="T250" s="528"/>
      <c r="U250" s="528"/>
      <c r="W250" s="528"/>
    </row>
    <row r="251" spans="1:23" s="112" customFormat="1">
      <c r="E251" s="162"/>
      <c r="F251" s="448"/>
      <c r="I251" s="245"/>
      <c r="J251" s="245"/>
      <c r="T251" s="528"/>
      <c r="U251" s="528"/>
      <c r="W251" s="528"/>
    </row>
    <row r="252" spans="1:23" s="112" customForma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E253" s="162"/>
      <c r="F253" s="448"/>
      <c r="I253" s="245"/>
      <c r="J253" s="245"/>
      <c r="T253" s="528"/>
      <c r="U253" s="528"/>
      <c r="W253" s="528"/>
    </row>
    <row r="254" spans="1:23" s="112" customFormat="1">
      <c r="E254" s="162"/>
      <c r="F254" s="448"/>
      <c r="I254" s="245"/>
      <c r="J254" s="245"/>
      <c r="T254" s="528"/>
      <c r="U254" s="528"/>
      <c r="W254" s="528"/>
    </row>
    <row r="255" spans="1:23" s="112" customFormat="1">
      <c r="E255" s="162"/>
      <c r="F255" s="448"/>
      <c r="I255" s="245"/>
      <c r="J255" s="245"/>
      <c r="T255" s="528"/>
      <c r="U255" s="528"/>
      <c r="W255" s="528"/>
    </row>
    <row r="256" spans="1:23" s="112" customFormat="1">
      <c r="E256" s="162"/>
      <c r="F256" s="448"/>
      <c r="I256" s="245"/>
      <c r="J256" s="245"/>
      <c r="T256" s="528"/>
      <c r="U256" s="528"/>
      <c r="W256" s="528"/>
    </row>
    <row r="257" spans="5:23" s="112" customFormat="1">
      <c r="E257" s="162"/>
      <c r="F257" s="448"/>
      <c r="I257" s="245"/>
      <c r="J257" s="245"/>
      <c r="T257" s="528"/>
      <c r="U257" s="528"/>
      <c r="W257" s="528"/>
    </row>
    <row r="258" spans="5:23" s="112" customFormat="1">
      <c r="E258" s="162"/>
      <c r="F258" s="448"/>
      <c r="I258" s="245"/>
      <c r="J258" s="245"/>
      <c r="T258" s="528"/>
      <c r="U258" s="528"/>
      <c r="W258" s="528"/>
    </row>
    <row r="259" spans="5:23" s="112" customFormat="1">
      <c r="E259" s="162"/>
      <c r="F259" s="448"/>
      <c r="I259" s="245"/>
      <c r="J259" s="245"/>
      <c r="T259" s="528"/>
      <c r="U259" s="528"/>
      <c r="W259" s="528"/>
    </row>
    <row r="260" spans="5:23" s="112" customFormat="1">
      <c r="E260" s="162"/>
      <c r="F260" s="448"/>
      <c r="I260" s="245"/>
      <c r="J260" s="245"/>
      <c r="T260" s="528"/>
      <c r="U260" s="528"/>
      <c r="W260" s="528"/>
    </row>
    <row r="261" spans="5:23" s="112" customFormat="1">
      <c r="E261" s="162"/>
      <c r="F261" s="448"/>
      <c r="I261" s="245"/>
      <c r="J261" s="245"/>
      <c r="T261" s="528"/>
      <c r="U261" s="528"/>
      <c r="W261" s="528"/>
    </row>
    <row r="262" spans="5:23" s="112" customFormat="1">
      <c r="E262" s="162"/>
      <c r="F262" s="448"/>
      <c r="I262" s="245"/>
      <c r="J262" s="245"/>
      <c r="T262" s="528"/>
      <c r="U262" s="528"/>
      <c r="W262" s="528"/>
    </row>
    <row r="263" spans="5:23" s="112" customFormat="1">
      <c r="E263" s="162"/>
      <c r="F263" s="448"/>
      <c r="I263" s="245"/>
      <c r="J263" s="245"/>
      <c r="T263" s="528"/>
      <c r="U263" s="528"/>
      <c r="W263" s="528"/>
    </row>
    <row r="264" spans="5:23" s="112" customFormat="1">
      <c r="E264" s="162"/>
      <c r="F264" s="448"/>
      <c r="I264" s="245"/>
      <c r="J264" s="245"/>
      <c r="T264" s="528"/>
      <c r="U264" s="528"/>
      <c r="W264" s="528"/>
    </row>
    <row r="265" spans="5:23" s="112" customFormat="1">
      <c r="E265" s="162"/>
      <c r="F265" s="448"/>
      <c r="I265" s="245"/>
      <c r="J265" s="245"/>
      <c r="T265" s="528"/>
      <c r="U265" s="528"/>
      <c r="W265" s="528"/>
    </row>
    <row r="266" spans="5:23" s="112" customFormat="1">
      <c r="E266" s="162"/>
      <c r="F266" s="448"/>
      <c r="I266" s="245"/>
      <c r="J266" s="245"/>
      <c r="T266" s="528"/>
      <c r="U266" s="528"/>
      <c r="W266" s="528"/>
    </row>
    <row r="267" spans="5:23" s="112" customFormat="1">
      <c r="E267" s="162"/>
      <c r="F267" s="448"/>
      <c r="I267" s="245"/>
      <c r="J267" s="245"/>
      <c r="T267" s="528"/>
      <c r="U267" s="528"/>
      <c r="W267" s="528"/>
    </row>
    <row r="268" spans="5:23" s="112" customFormat="1">
      <c r="E268" s="162"/>
      <c r="F268" s="448"/>
      <c r="I268" s="245"/>
      <c r="J268" s="245"/>
      <c r="T268" s="528"/>
      <c r="U268" s="528"/>
      <c r="W268" s="528"/>
    </row>
    <row r="269" spans="5:23" s="112" customFormat="1">
      <c r="E269" s="162"/>
      <c r="F269" s="448"/>
      <c r="I269" s="245"/>
      <c r="J269" s="245"/>
      <c r="T269" s="528"/>
      <c r="U269" s="528"/>
      <c r="W269" s="528"/>
    </row>
    <row r="270" spans="5:23" s="112" customFormat="1">
      <c r="E270" s="162"/>
      <c r="F270" s="448"/>
      <c r="I270" s="245"/>
      <c r="J270" s="245"/>
      <c r="T270" s="528"/>
      <c r="U270" s="528"/>
      <c r="W270" s="528"/>
    </row>
    <row r="271" spans="5:23" s="112" customFormat="1">
      <c r="E271" s="162"/>
      <c r="F271" s="448"/>
      <c r="I271" s="245"/>
      <c r="J271" s="245"/>
      <c r="T271" s="528"/>
      <c r="U271" s="528"/>
      <c r="W271" s="528"/>
    </row>
    <row r="272" spans="5:23" s="112" customFormat="1">
      <c r="E272" s="162"/>
      <c r="F272" s="448"/>
      <c r="I272" s="245"/>
      <c r="J272" s="245"/>
      <c r="T272" s="528"/>
      <c r="U272" s="528"/>
      <c r="W272" s="528"/>
    </row>
    <row r="273" spans="5:23" s="112" customFormat="1">
      <c r="E273" s="162"/>
      <c r="F273" s="448"/>
      <c r="I273" s="245"/>
      <c r="J273" s="245"/>
      <c r="T273" s="528"/>
      <c r="U273" s="528"/>
      <c r="W273" s="528"/>
    </row>
    <row r="274" spans="5:23" s="112" customFormat="1">
      <c r="E274" s="162"/>
      <c r="F274" s="448"/>
      <c r="I274" s="245"/>
      <c r="J274" s="245"/>
      <c r="T274" s="528"/>
      <c r="U274" s="528"/>
      <c r="W274" s="528"/>
    </row>
    <row r="275" spans="5:23" s="112" customFormat="1">
      <c r="E275" s="162"/>
      <c r="F275" s="448"/>
      <c r="I275" s="245"/>
      <c r="J275" s="245"/>
      <c r="T275" s="528"/>
      <c r="U275" s="528"/>
      <c r="W275" s="528"/>
    </row>
    <row r="276" spans="5:23" s="112" customFormat="1">
      <c r="E276" s="162"/>
      <c r="F276" s="448"/>
      <c r="I276" s="245"/>
      <c r="J276" s="245"/>
      <c r="T276" s="528"/>
      <c r="U276" s="528"/>
      <c r="W276" s="528"/>
    </row>
    <row r="277" spans="5:23" s="112" customFormat="1">
      <c r="E277" s="162"/>
      <c r="F277" s="448"/>
      <c r="I277" s="245"/>
      <c r="J277" s="245"/>
      <c r="T277" s="528"/>
      <c r="U277" s="528"/>
      <c r="W277" s="528"/>
    </row>
    <row r="278" spans="5:23" s="112" customFormat="1">
      <c r="E278" s="162"/>
      <c r="F278" s="448"/>
      <c r="I278" s="245"/>
      <c r="J278" s="245"/>
      <c r="T278" s="528"/>
      <c r="U278" s="528"/>
      <c r="W278" s="528"/>
    </row>
    <row r="279" spans="5:23" s="112" customFormat="1">
      <c r="E279" s="162"/>
      <c r="F279" s="448"/>
      <c r="I279" s="245"/>
      <c r="J279" s="245"/>
      <c r="T279" s="528"/>
      <c r="U279" s="528"/>
      <c r="W279" s="528"/>
    </row>
    <row r="280" spans="5:23" s="112" customFormat="1">
      <c r="E280" s="162"/>
      <c r="F280" s="448"/>
      <c r="I280" s="245"/>
      <c r="J280" s="245"/>
      <c r="T280" s="528"/>
      <c r="U280" s="528"/>
      <c r="W280" s="528"/>
    </row>
    <row r="281" spans="5:23" s="112" customFormat="1">
      <c r="E281" s="162"/>
      <c r="F281" s="448"/>
      <c r="I281" s="245"/>
      <c r="J281" s="245"/>
      <c r="T281" s="528"/>
      <c r="U281" s="528"/>
      <c r="W281" s="528"/>
    </row>
    <row r="282" spans="5:23" s="112" customFormat="1">
      <c r="E282" s="162"/>
      <c r="F282" s="448"/>
      <c r="I282" s="245"/>
      <c r="J282" s="245"/>
      <c r="T282" s="528"/>
      <c r="U282" s="528"/>
      <c r="W282" s="528"/>
    </row>
    <row r="283" spans="5:23" s="112" customFormat="1">
      <c r="E283" s="162"/>
      <c r="F283" s="448"/>
      <c r="I283" s="245"/>
      <c r="J283" s="245"/>
      <c r="T283" s="528"/>
      <c r="U283" s="528"/>
      <c r="W283" s="528"/>
    </row>
    <row r="284" spans="5:23" s="112" customFormat="1">
      <c r="E284" s="162"/>
      <c r="F284" s="448"/>
      <c r="I284" s="245"/>
      <c r="J284" s="245"/>
      <c r="T284" s="528"/>
      <c r="U284" s="528"/>
      <c r="W284" s="528"/>
    </row>
    <row r="285" spans="5:23" s="112" customFormat="1">
      <c r="E285" s="162"/>
      <c r="F285" s="448"/>
      <c r="I285" s="245"/>
      <c r="J285" s="245"/>
      <c r="T285" s="528"/>
      <c r="U285" s="528"/>
      <c r="W285" s="528"/>
    </row>
    <row r="286" spans="5:23" s="112" customFormat="1">
      <c r="E286" s="162"/>
      <c r="F286" s="448"/>
      <c r="I286" s="245"/>
      <c r="J286" s="245"/>
      <c r="T286" s="528"/>
      <c r="U286" s="528"/>
      <c r="W286" s="528"/>
    </row>
    <row r="287" spans="5:23" s="112" customFormat="1">
      <c r="E287" s="162"/>
      <c r="F287" s="448"/>
      <c r="I287" s="245"/>
      <c r="J287" s="245"/>
      <c r="T287" s="528"/>
      <c r="U287" s="528"/>
      <c r="W287" s="528"/>
    </row>
    <row r="288" spans="5:23" s="112" customFormat="1">
      <c r="E288" s="162"/>
      <c r="F288" s="448"/>
      <c r="I288" s="245"/>
      <c r="J288" s="245"/>
      <c r="T288" s="528"/>
      <c r="U288" s="528"/>
      <c r="W288" s="528"/>
    </row>
    <row r="289" spans="5:23" s="112" customFormat="1">
      <c r="E289" s="162"/>
      <c r="F289" s="448"/>
      <c r="I289" s="245"/>
      <c r="J289" s="245"/>
      <c r="T289" s="528"/>
      <c r="U289" s="528"/>
      <c r="W289" s="528"/>
    </row>
    <row r="290" spans="5:23" s="112" customFormat="1">
      <c r="E290" s="162"/>
      <c r="F290" s="448"/>
      <c r="I290" s="245"/>
      <c r="J290" s="245"/>
      <c r="T290" s="528"/>
      <c r="U290" s="528"/>
      <c r="W290" s="528"/>
    </row>
    <row r="291" spans="5:23" s="112" customFormat="1">
      <c r="E291" s="162"/>
      <c r="F291" s="448"/>
      <c r="I291" s="245"/>
      <c r="J291" s="245"/>
      <c r="T291" s="528"/>
      <c r="U291" s="528"/>
      <c r="W291" s="528"/>
    </row>
    <row r="292" spans="5:23" s="112" customFormat="1">
      <c r="E292" s="162"/>
      <c r="F292" s="448"/>
      <c r="I292" s="245"/>
      <c r="J292" s="245"/>
      <c r="T292" s="528"/>
      <c r="U292" s="528"/>
      <c r="W292" s="528"/>
    </row>
    <row r="293" spans="5:23" s="112" customFormat="1">
      <c r="E293" s="162"/>
      <c r="F293" s="448"/>
      <c r="I293" s="245"/>
      <c r="J293" s="245"/>
      <c r="T293" s="528"/>
      <c r="U293" s="528"/>
      <c r="W293" s="528"/>
    </row>
    <row r="294" spans="5:23" s="112" customFormat="1">
      <c r="E294" s="162"/>
      <c r="F294" s="448"/>
      <c r="I294" s="245"/>
      <c r="J294" s="245"/>
      <c r="T294" s="528"/>
      <c r="U294" s="528"/>
      <c r="W294" s="528"/>
    </row>
    <row r="295" spans="5:23" s="112" customFormat="1">
      <c r="E295" s="162"/>
      <c r="F295" s="448"/>
      <c r="I295" s="245"/>
      <c r="J295" s="245"/>
      <c r="T295" s="528"/>
      <c r="U295" s="528"/>
      <c r="W295" s="528"/>
    </row>
    <row r="296" spans="5:23" s="112" customFormat="1">
      <c r="E296" s="162"/>
      <c r="F296" s="448"/>
      <c r="I296" s="245"/>
      <c r="J296" s="245"/>
      <c r="T296" s="528"/>
      <c r="U296" s="528"/>
      <c r="W296" s="528"/>
    </row>
    <row r="297" spans="5:23" s="112" customFormat="1">
      <c r="E297" s="162"/>
      <c r="F297" s="448"/>
      <c r="I297" s="245"/>
      <c r="J297" s="245"/>
      <c r="T297" s="528"/>
      <c r="U297" s="528"/>
      <c r="W297" s="528"/>
    </row>
    <row r="298" spans="5:23" s="112" customFormat="1">
      <c r="E298" s="162"/>
      <c r="F298" s="448"/>
      <c r="I298" s="245"/>
      <c r="J298" s="245"/>
      <c r="T298" s="528"/>
      <c r="U298" s="528"/>
      <c r="W298" s="528"/>
    </row>
    <row r="299" spans="5:23" s="112" customFormat="1">
      <c r="E299" s="162"/>
      <c r="F299" s="448"/>
      <c r="I299" s="245"/>
      <c r="J299" s="245"/>
      <c r="T299" s="528"/>
      <c r="U299" s="528"/>
      <c r="W299" s="528"/>
    </row>
    <row r="300" spans="5:23" s="112" customFormat="1">
      <c r="E300" s="162"/>
      <c r="F300" s="448"/>
      <c r="I300" s="245"/>
      <c r="J300" s="245"/>
      <c r="T300" s="528"/>
      <c r="U300" s="528"/>
      <c r="W300" s="528"/>
    </row>
    <row r="301" spans="5:23" s="112" customFormat="1">
      <c r="E301" s="162"/>
      <c r="F301" s="448"/>
      <c r="I301" s="245"/>
      <c r="J301" s="245"/>
      <c r="T301" s="528"/>
      <c r="U301" s="528"/>
      <c r="W301" s="528"/>
    </row>
    <row r="302" spans="5:23" s="112" customFormat="1">
      <c r="E302" s="162"/>
      <c r="F302" s="448"/>
      <c r="I302" s="245"/>
      <c r="J302" s="245"/>
      <c r="T302" s="528"/>
      <c r="U302" s="528"/>
      <c r="W302" s="528"/>
    </row>
    <row r="303" spans="5:23" s="112" customFormat="1">
      <c r="E303" s="162"/>
      <c r="F303" s="448"/>
      <c r="I303" s="245"/>
      <c r="J303" s="245"/>
      <c r="T303" s="528"/>
      <c r="U303" s="528"/>
      <c r="W303" s="528"/>
    </row>
    <row r="304" spans="5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  <row r="520" spans="5:23" s="112" customFormat="1">
      <c r="E520" s="162"/>
      <c r="F520" s="448"/>
      <c r="I520" s="245"/>
      <c r="J520" s="245"/>
      <c r="T520" s="528"/>
      <c r="U520" s="528"/>
      <c r="W520" s="528"/>
    </row>
    <row r="521" spans="5:23" s="112" customFormat="1">
      <c r="E521" s="162"/>
      <c r="F521" s="448"/>
      <c r="I521" s="245"/>
      <c r="J521" s="245"/>
      <c r="T521" s="528"/>
      <c r="U521" s="528"/>
      <c r="W521" s="528"/>
    </row>
    <row r="522" spans="5:23" s="112" customFormat="1">
      <c r="E522" s="162"/>
      <c r="F522" s="448"/>
      <c r="I522" s="245"/>
      <c r="J522" s="245"/>
      <c r="T522" s="528"/>
      <c r="U522" s="528"/>
      <c r="W522" s="528"/>
    </row>
    <row r="523" spans="5:23" s="112" customFormat="1">
      <c r="E523" s="162"/>
      <c r="F523" s="448"/>
      <c r="I523" s="245"/>
      <c r="J523" s="245"/>
      <c r="T523" s="528"/>
      <c r="U523" s="528"/>
      <c r="W523" s="528"/>
    </row>
  </sheetData>
  <sheetProtection formatCells="0" formatColumns="0" formatRows="0" insertColumns="0" insertRows="0" insertHyperlinks="0" deleteColumns="0" deleteRows="0" sort="0" autoFilter="0" pivotTables="0"/>
  <mergeCells count="84">
    <mergeCell ref="D245:E245"/>
    <mergeCell ref="D239:E239"/>
    <mergeCell ref="D240:E240"/>
    <mergeCell ref="D246:E246"/>
    <mergeCell ref="I6:I19"/>
    <mergeCell ref="I21:I34"/>
    <mergeCell ref="I36:I49"/>
    <mergeCell ref="I52:I65"/>
    <mergeCell ref="I67:I80"/>
    <mergeCell ref="I82:I95"/>
    <mergeCell ref="D233:E233"/>
    <mergeCell ref="D234:E234"/>
    <mergeCell ref="I220:I231"/>
    <mergeCell ref="I191:I195"/>
    <mergeCell ref="I175:I189"/>
    <mergeCell ref="J220:J231"/>
    <mergeCell ref="X220:X231"/>
    <mergeCell ref="I200:I205"/>
    <mergeCell ref="J200:J205"/>
    <mergeCell ref="X200:X205"/>
    <mergeCell ref="I207:I218"/>
    <mergeCell ref="J207:J218"/>
    <mergeCell ref="X207:X218"/>
    <mergeCell ref="V200:V205"/>
    <mergeCell ref="V207:V218"/>
    <mergeCell ref="V220:V231"/>
    <mergeCell ref="J191:J195"/>
    <mergeCell ref="X191:X195"/>
    <mergeCell ref="I197:I198"/>
    <mergeCell ref="J197:J198"/>
    <mergeCell ref="K197:K198"/>
    <mergeCell ref="X197:X198"/>
    <mergeCell ref="V191:V195"/>
    <mergeCell ref="J175:J189"/>
    <mergeCell ref="X175:X189"/>
    <mergeCell ref="I152:I160"/>
    <mergeCell ref="J152:J160"/>
    <mergeCell ref="X152:X160"/>
    <mergeCell ref="I162:I173"/>
    <mergeCell ref="J162:J173"/>
    <mergeCell ref="X162:X173"/>
    <mergeCell ref="V175:V189"/>
    <mergeCell ref="V152:V160"/>
    <mergeCell ref="V162:V173"/>
    <mergeCell ref="R163:R166"/>
    <mergeCell ref="R152:R155"/>
    <mergeCell ref="X143:X150"/>
    <mergeCell ref="I121:I127"/>
    <mergeCell ref="J121:J127"/>
    <mergeCell ref="X121:X127"/>
    <mergeCell ref="I129:I141"/>
    <mergeCell ref="J129:J141"/>
    <mergeCell ref="X129:X141"/>
    <mergeCell ref="I143:I150"/>
    <mergeCell ref="J143:J150"/>
    <mergeCell ref="V143:V150"/>
    <mergeCell ref="V121:V127"/>
    <mergeCell ref="V129:V141"/>
    <mergeCell ref="R129:R132"/>
    <mergeCell ref="X6:X19"/>
    <mergeCell ref="X21:X34"/>
    <mergeCell ref="X36:X49"/>
    <mergeCell ref="X52:X65"/>
    <mergeCell ref="X67:X80"/>
    <mergeCell ref="B2:G2"/>
    <mergeCell ref="L2:Q2"/>
    <mergeCell ref="R2:W2"/>
    <mergeCell ref="J6:J19"/>
    <mergeCell ref="J21:J34"/>
    <mergeCell ref="V6:V50"/>
    <mergeCell ref="J36:J49"/>
    <mergeCell ref="I105:I119"/>
    <mergeCell ref="J105:J119"/>
    <mergeCell ref="X105:X119"/>
    <mergeCell ref="I98:I103"/>
    <mergeCell ref="J98:J103"/>
    <mergeCell ref="J52:J65"/>
    <mergeCell ref="J67:J80"/>
    <mergeCell ref="J82:J95"/>
    <mergeCell ref="V52:V96"/>
    <mergeCell ref="V98:V103"/>
    <mergeCell ref="V105:V119"/>
    <mergeCell ref="X98:X103"/>
    <mergeCell ref="X82:X9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BF10" sqref="BF10"/>
    </sheetView>
  </sheetViews>
  <sheetFormatPr defaultColWidth="9.453125" defaultRowHeight="14.5"/>
  <cols>
    <col min="1" max="1" width="9.453125" customWidth="1"/>
    <col min="2" max="2" width="34.54296875" customWidth="1"/>
    <col min="3" max="3" width="18.906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7"/>
  </cols>
  <sheetData>
    <row r="1" spans="1:794">
      <c r="D1" s="183" t="s">
        <v>190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53" t="s">
        <v>191</v>
      </c>
      <c r="B2" s="188"/>
      <c r="C2" s="189" t="s">
        <v>176</v>
      </c>
      <c r="D2" s="189" t="s">
        <v>176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54"/>
      <c r="B3" s="191" t="s">
        <v>105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Tracking'!$F$13:$F$26, 'Revenue Tracking'!$H$13:$H$26, "&gt;="&amp;F1,'Revenue Tracking'!$H$13:$H$26, "&lt;"&amp;G1)</f>
        <v>0</v>
      </c>
      <c r="G3" s="194">
        <f>SUMIFS('Revenue Tracking'!$F$13:$F$26, 'Revenue Tracking'!$H$13:$H$26, "&gt;="&amp;G1,'Revenue Tracking'!$H$13:$H$26, "&lt;"&amp;H1)</f>
        <v>0</v>
      </c>
      <c r="H3" s="194">
        <f>SUMIFS('Revenue Tracking'!$F$13:$F$26, 'Revenue Tracking'!$H$13:$H$26, "&gt;="&amp;H1,'Revenue Tracking'!$H$13:$H$26, "&lt;"&amp;I1)</f>
        <v>0</v>
      </c>
      <c r="I3" s="194">
        <f>SUMIFS('Revenue Tracking'!$F$13:$F$26, 'Revenue Tracking'!$H$13:$H$26, "&gt;="&amp;I1,'Revenue Tracking'!$H$13:$H$26, "&lt;"&amp;J1)</f>
        <v>0</v>
      </c>
      <c r="J3" s="194">
        <f>SUMIFS('Revenue Tracking'!$F$13:$F$26, 'Revenue Tracking'!$H$13:$H$26, "&gt;="&amp;J1,'Revenue Tracking'!$H$13:$H$26, "&lt;"&amp;K1)</f>
        <v>0</v>
      </c>
      <c r="K3" s="194">
        <f>SUMIFS('Revenue Tracking'!$F$13:$F$26, 'Revenue Tracking'!$H$13:$H$26, "&gt;="&amp;K1,'Revenue Tracking'!$H$13:$H$26, "&lt;"&amp;L1)</f>
        <v>0</v>
      </c>
      <c r="L3" s="194">
        <f>SUMIFS('Revenue Tracking'!$F$13:$F$26, 'Revenue Tracking'!$H$13:$H$26, "&gt;="&amp;L1,'Revenue Tracking'!$H$13:$H$26, "&lt;"&amp;M1)</f>
        <v>0</v>
      </c>
      <c r="M3" s="194">
        <f>SUMIFS('Revenue Tracking'!$F$13:$F$26, 'Revenue Tracking'!$H$13:$H$26, "&gt;="&amp;M1,'Revenue Tracking'!$H$13:$H$26, "&lt;"&amp;N1)</f>
        <v>0</v>
      </c>
      <c r="N3" s="194">
        <f>SUMIFS('Revenue Tracking'!$F$13:$F$26, 'Revenue Tracking'!$H$13:$H$26, "&gt;="&amp;N1,'Revenue Tracking'!$H$13:$H$26, "&lt;"&amp;O1)</f>
        <v>0</v>
      </c>
      <c r="O3" s="194">
        <f>SUMIFS('Revenue Tracking'!$F$13:$F$26, 'Revenue Tracking'!$H$13:$H$26, "&gt;="&amp;O1,'Revenue Tracking'!$H$13:$H$26, "&lt;"&amp;P1)</f>
        <v>0</v>
      </c>
      <c r="P3" s="194">
        <f>SUMIFS('Revenue Tracking'!$F$13:$F$26, 'Revenue Tracking'!$H$13:$H$26, "&gt;="&amp;P1,'Revenue Tracking'!$H$13:$H$26, "&lt;"&amp;Q1)</f>
        <v>0</v>
      </c>
      <c r="Q3" s="194">
        <f>SUMIFS('Revenue Tracking'!$F$13:$F$26, 'Revenue Tracking'!$H$13:$H$26, "&gt;="&amp;Q1,'Revenue Tracking'!$H$13:$H$26, "&lt;"&amp;R1)</f>
        <v>0</v>
      </c>
      <c r="R3" s="194">
        <f>SUMIFS('Revenue Tracking'!$F$13:$F$26, 'Revenue Tracking'!$H$13:$H$26, "&gt;="&amp;R1,'Revenue Tracking'!$H$13:$H$26, "&lt;"&amp;S1)</f>
        <v>0</v>
      </c>
      <c r="S3" s="194">
        <f>SUMIFS('Revenue Tracking'!$F$13:$F$26, 'Revenue Tracking'!$H$13:$H$26, "&gt;="&amp;S1,'Revenue Tracking'!$H$13:$H$26, "&lt;"&amp;T1)</f>
        <v>0</v>
      </c>
      <c r="T3" s="194">
        <f>SUMIFS('Revenue Tracking'!$F$13:$F$26, 'Revenue Tracking'!$H$13:$H$26, "&gt;="&amp;T1,'Revenue Tracking'!$H$13:$H$26, "&lt;"&amp;U1)</f>
        <v>0</v>
      </c>
      <c r="U3" s="194">
        <f>SUMIFS('Revenue Tracking'!$F$13:$F$26, 'Revenue Tracking'!$H$13:$H$26, "&gt;="&amp;U1,'Revenue Tracking'!$H$13:$H$26, "&lt;"&amp;V1)</f>
        <v>0</v>
      </c>
      <c r="V3" s="194">
        <f>SUMIFS('Revenue Tracking'!$F$13:$F$26, 'Revenue Tracking'!$H$13:$H$26, "&gt;="&amp;V1,'Revenue Tracking'!$H$13:$H$26, "&lt;"&amp;W1)</f>
        <v>0</v>
      </c>
      <c r="W3" s="194">
        <f>SUMIFS('Revenue Tracking'!$F$13:$F$26, 'Revenue Tracking'!$H$13:$H$26, "&gt;="&amp;W1,'Revenue Tracking'!$H$13:$H$26, "&lt;"&amp;X1)</f>
        <v>0</v>
      </c>
      <c r="X3" s="194">
        <f>SUMIFS('Revenue Tracking'!$F$13:$F$26, 'Revenue Tracking'!$H$13:$H$26, "&gt;="&amp;X1,'Revenue Tracking'!$H$13:$H$26, "&lt;"&amp;Y1)</f>
        <v>0</v>
      </c>
      <c r="Y3" s="194">
        <f>SUMIFS('Revenue Tracking'!$F$13:$F$26, 'Revenue Tracking'!$H$13:$H$26, "&gt;="&amp;Y1,'Revenue Tracking'!$H$13:$H$26, "&lt;"&amp;Z1)</f>
        <v>0</v>
      </c>
      <c r="Z3" s="194">
        <f>SUMIFS('Revenue Tracking'!$F$13:$F$26, 'Revenue Tracking'!$H$13:$H$26, "&gt;="&amp;Z1,'Revenue Tracking'!$H$13:$H$26, "&lt;"&amp;AA1)</f>
        <v>0</v>
      </c>
      <c r="AA3" s="194">
        <f>SUMIFS('Revenue Tracking'!$F$13:$F$26, 'Revenue Tracking'!$H$13:$H$26, "&gt;="&amp;AA1,'Revenue Tracking'!$H$13:$H$26, "&lt;"&amp;AB1)</f>
        <v>0</v>
      </c>
      <c r="AB3" s="194">
        <f>SUMIFS('Revenue Tracking'!$F$13:$F$26, 'Revenue Tracking'!$H$13:$H$26, "&gt;="&amp;AB1,'Revenue Tracking'!$H$13:$H$26, "&lt;"&amp;AC1)</f>
        <v>0</v>
      </c>
      <c r="AC3" s="194">
        <f>SUMIFS('Revenue Tracking'!$F$13:$F$26, 'Revenue Tracking'!$H$13:$H$26, "&gt;="&amp;AC1,'Revenue Tracking'!$H$13:$H$26, "&lt;"&amp;AD1)</f>
        <v>0</v>
      </c>
      <c r="AD3" s="194">
        <f>SUMIFS('Revenue Tracking'!$F$13:$F$26, 'Revenue Tracking'!$H$13:$H$26, "&gt;="&amp;AD1,'Revenue Tracking'!$H$13:$H$26, "&lt;"&amp;AE1)</f>
        <v>0</v>
      </c>
      <c r="AE3" s="194">
        <f>SUMIFS('Revenue Tracking'!$F$13:$F$26, 'Revenue Tracking'!$H$13:$H$26, "&gt;="&amp;AE1,'Revenue Tracking'!$H$13:$H$26, "&lt;"&amp;AF1)</f>
        <v>0</v>
      </c>
      <c r="AF3" s="194">
        <f>SUMIFS('Revenue Tracking'!$F$13:$F$26, 'Revenue Tracking'!$H$13:$H$26, "&gt;="&amp;AF1,'Revenue Tracking'!$H$13:$H$26, "&lt;"&amp;AG1)</f>
        <v>0</v>
      </c>
      <c r="AG3" s="194">
        <f>SUMIFS('Revenue Tracking'!$F$13:$F$26, 'Revenue Tracking'!$H$13:$H$26, "&gt;="&amp;AG1,'Revenue Tracking'!$H$13:$H$26, "&lt;"&amp;AH1)</f>
        <v>0</v>
      </c>
      <c r="AH3" s="194">
        <f>SUMIFS('Revenue Tracking'!$F$13:$F$26, 'Revenue Tracking'!$H$13:$H$26, "&gt;="&amp;AH1,'Revenue Tracking'!$H$13:$H$26, "&lt;"&amp;AI1)</f>
        <v>0</v>
      </c>
      <c r="AI3" s="194">
        <f>SUMIFS('Revenue Tracking'!$F$13:$F$26, 'Revenue Tracking'!$H$13:$H$26, "&gt;="&amp;AI1,'Revenue Tracking'!$H$13:$H$26, "&lt;"&amp;AJ1)</f>
        <v>0</v>
      </c>
      <c r="AJ3" s="194">
        <f>SUMIFS('Revenue Tracking'!$F$13:$F$26, 'Revenue Tracking'!$H$13:$H$26, "&gt;="&amp;AJ1,'Revenue Tracking'!$H$13:$H$26, "&lt;"&amp;AK1)</f>
        <v>0</v>
      </c>
      <c r="AK3" s="194">
        <f>SUMIFS('Revenue Tracking'!$F$13:$F$26, 'Revenue Tracking'!$H$13:$H$26, "&gt;="&amp;AK1,'Revenue Tracking'!$H$13:$H$26, "&lt;"&amp;AL1)</f>
        <v>0</v>
      </c>
      <c r="AL3" s="194">
        <f>SUMIFS('Revenue Tracking'!$F$13:$F$26, 'Revenue Tracking'!$H$13:$H$26, "&gt;="&amp;AL1,'Revenue Tracking'!$H$13:$H$26, "&lt;"&amp;AM1)</f>
        <v>0</v>
      </c>
      <c r="AM3" s="194">
        <f>SUMIFS('Revenue Tracking'!$F$13:$F$26, 'Revenue Tracking'!$H$13:$H$26, "&gt;="&amp;AM1,'Revenue Tracking'!$H$13:$H$26, "&lt;"&amp;AN1)</f>
        <v>0</v>
      </c>
      <c r="AN3" s="194">
        <f>SUMIFS('Revenue Tracking'!$F$13:$F$26, 'Revenue Tracking'!$H$13:$H$26, "&gt;="&amp;AN1,'Revenue Tracking'!$H$13:$H$26, "&lt;"&amp;AO1)</f>
        <v>0</v>
      </c>
      <c r="AO3" s="194">
        <f>SUMIFS('Revenue Tracking'!$F$13:$F$26, 'Revenue Tracking'!$H$13:$H$26, "&gt;="&amp;AO1,'Revenue Tracking'!$H$13:$H$26, "&lt;"&amp;AP1)</f>
        <v>0</v>
      </c>
      <c r="AP3" s="194">
        <f>SUMIFS('Revenue Tracking'!$F$13:$F$26, 'Revenue Tracking'!$H$13:$H$26, "&gt;="&amp;AP1,'Revenue Tracking'!$H$13:$H$26, "&lt;"&amp;AQ1)</f>
        <v>0</v>
      </c>
      <c r="AQ3" s="194">
        <f>SUMIFS('Revenue Tracking'!$F$13:$F$26, 'Revenue Tracking'!$H$13:$H$26, "&gt;="&amp;AQ1,'Revenue Tracking'!$H$13:$H$26, "&lt;"&amp;AR1)</f>
        <v>0</v>
      </c>
      <c r="AR3" s="194">
        <f>SUMIFS('Revenue Tracking'!$F$13:$F$26, 'Revenue Tracking'!$H$13:$H$26, "&gt;="&amp;AR1,'Revenue Tracking'!$H$13:$H$26, "&lt;"&amp;AS1)</f>
        <v>0</v>
      </c>
      <c r="AS3" s="194">
        <f>SUMIFS('Revenue Tracking'!$F$13:$F$26, 'Revenue Tracking'!$H$13:$H$26, "&gt;="&amp;AS1,'Revenue Tracking'!$H$13:$H$26, "&lt;"&amp;AT1)</f>
        <v>0</v>
      </c>
      <c r="AT3" s="194">
        <f>SUMIFS('Revenue Tracking'!$F$13:$F$26, 'Revenue Tracking'!$H$13:$H$26, "&gt;="&amp;AT1,'Revenue Tracking'!$H$13:$H$26, "&lt;"&amp;AU1)</f>
        <v>0</v>
      </c>
      <c r="AU3" s="194">
        <f>SUMIFS('Revenue Tracking'!$F$13:$F$26, 'Revenue Tracking'!$H$13:$H$26, "&gt;="&amp;AU1,'Revenue Tracking'!$H$13:$H$26, "&lt;"&amp;AV1)</f>
        <v>0</v>
      </c>
      <c r="AV3" s="194">
        <f>SUMIFS('Revenue Tracking'!$F$13:$F$26, 'Revenue Tracking'!$H$13:$H$26, "&gt;="&amp;AV1,'Revenue Tracking'!$H$13:$H$26, "&lt;"&amp;AW1)</f>
        <v>0</v>
      </c>
      <c r="AW3" s="194">
        <f>SUMIFS('Revenue Tracking'!$F$13:$F$26, 'Revenue Tracking'!$H$13:$H$26, "&gt;="&amp;AW1,'Revenue Tracking'!$H$13:$H$26, "&lt;"&amp;AX1)</f>
        <v>0</v>
      </c>
      <c r="AX3" s="194">
        <f>SUMIFS('Revenue Tracking'!$F$13:$F$26, 'Revenue Tracking'!$H$13:$H$26, "&gt;="&amp;AX1,'Revenue Tracking'!$H$13:$H$26, "&lt;"&amp;AY1)</f>
        <v>0</v>
      </c>
      <c r="AY3" s="194">
        <f>SUMIFS('Revenue Tracking'!$F$13:$F$26, 'Revenue Tracking'!$H$13:$H$26, "&gt;="&amp;AY1,'Revenue Tracking'!$H$13:$H$26, "&lt;"&amp;AZ1)</f>
        <v>0</v>
      </c>
      <c r="AZ3" s="194">
        <f>SUMIFS('Revenue Tracking'!$F$13:$F$26, 'Revenue Tracking'!$H$13:$H$26, "&gt;="&amp;AZ1,'Revenue Tracking'!$H$13:$H$26, "&lt;"&amp;BA1)</f>
        <v>0</v>
      </c>
      <c r="BA3" s="194">
        <f>SUMIFS('Revenue Tracking'!$F$13:$F$26, 'Revenue Tracking'!$H$13:$H$26, "&gt;="&amp;BA1,'Revenue Tracking'!$H$13:$H$26, "&lt;"&amp;BB1)</f>
        <v>0</v>
      </c>
      <c r="BB3" s="194">
        <f>SUMIFS('Revenue Tracking'!$F$13:$F$26, 'Revenue Tracking'!$H$13:$H$26, "&gt;="&amp;BB1,'Revenue Tracking'!$H$13:$H$26, "&lt;"&amp;BC1)</f>
        <v>0</v>
      </c>
      <c r="BC3" s="194">
        <f>SUMIFS('Revenue Tracking'!$F$13:$F$26, 'Revenue Tracking'!$H$13:$H$26, "&gt;="&amp;BC1,'Revenue Tracking'!$H$13:$H$26, "&lt;"&amp;BD1)</f>
        <v>6255</v>
      </c>
      <c r="BD3" s="194">
        <f>SUMIFS('Revenue Tracking'!$F$13:$F$26, 'Revenue Tracking'!$H$13:$H$26, "&gt;="&amp;BD1,'Revenue Tracking'!$H$13:$H$26, "&lt;"&amp;BE1)</f>
        <v>0</v>
      </c>
      <c r="BE3" s="194">
        <f>SUMIFS('Revenue Tracking'!$F$13:$F$26, 'Revenue Tracking'!$H$13:$H$26, "&gt;="&amp;BE1,'Revenue Tracking'!$H$13:$H$26, "&lt;"&amp;BF1)</f>
        <v>0</v>
      </c>
      <c r="BF3" s="194">
        <f>SUMIFS('Revenue Tracking'!$F$13:$F$26, 'Revenue Tracking'!$H$13:$H$26, "&gt;="&amp;BF1,'Revenue Tracking'!$H$13:$H$26, "&lt;"&amp;BG1)</f>
        <v>0</v>
      </c>
      <c r="BG3" s="194">
        <f>SUMIFS('Revenue Tracking'!$F$13:$F$26, 'Revenue Tracking'!$H$13:$H$26, "&gt;="&amp;BG1,'Revenue Tracking'!$H$13:$H$26, "&lt;"&amp;BH1)</f>
        <v>6255</v>
      </c>
      <c r="BH3" s="194">
        <f>SUMIFS('Revenue Tracking'!$F$13:$F$26, 'Revenue Tracking'!$H$13:$H$26, "&gt;="&amp;BH1,'Revenue Tracking'!$H$13:$H$26, "&lt;"&amp;BI1)</f>
        <v>0</v>
      </c>
      <c r="BI3" s="194">
        <f>SUMIFS('Revenue Tracking'!$F$13:$F$26, 'Revenue Tracking'!$H$13:$H$26, "&gt;="&amp;BI1,'Revenue Tracking'!$H$13:$H$26, "&lt;"&amp;BJ1)</f>
        <v>0</v>
      </c>
      <c r="BJ3" s="194">
        <f>SUMIFS('Revenue Tracking'!$F$13:$F$26, 'Revenue Tracking'!$H$13:$H$26, "&gt;="&amp;BJ1,'Revenue Tracking'!$H$13:$H$26, "&lt;"&amp;BK1)</f>
        <v>0</v>
      </c>
      <c r="BK3" s="194">
        <f>SUMIFS('Revenue Tracking'!$F$13:$F$26, 'Revenue Tracking'!$H$13:$H$26, "&gt;="&amp;BK1,'Revenue Tracking'!$H$13:$H$26, "&lt;"&amp;BL1)</f>
        <v>0</v>
      </c>
      <c r="BL3" s="194">
        <f>SUMIFS('Revenue Tracking'!$F$13:$F$26, 'Revenue Tracking'!$H$13:$H$26, "&gt;="&amp;BL1,'Revenue Tracking'!$H$13:$H$26, "&lt;"&amp;BM1)</f>
        <v>0</v>
      </c>
      <c r="BM3" s="194">
        <f>SUMIFS('Revenue Tracking'!$F$13:$F$26, 'Revenue Tracking'!$H$13:$H$26, "&gt;="&amp;BM1,'Revenue Tracking'!$H$13:$H$26, "&lt;"&amp;BN1)</f>
        <v>0</v>
      </c>
      <c r="BN3" s="194">
        <f>SUMIFS('Revenue Tracking'!$F$13:$F$26, 'Revenue Tracking'!$H$13:$H$26, "&gt;="&amp;BN1,'Revenue Tracking'!$H$13:$H$26, "&lt;"&amp;BO1)</f>
        <v>0</v>
      </c>
      <c r="BO3" s="194">
        <f>SUMIFS('Revenue Tracking'!$F$13:$F$26, 'Revenue Tracking'!$H$13:$H$26, "&gt;="&amp;BO1,'Revenue Tracking'!$H$13:$H$26, "&lt;"&amp;BP1)</f>
        <v>0</v>
      </c>
      <c r="BP3" s="194">
        <f>SUMIFS('Revenue Tracking'!$F$13:$F$26, 'Revenue Tracking'!$H$13:$H$26, "&gt;="&amp;BP1,'Revenue Tracking'!$H$13:$H$26, "&lt;"&amp;BQ1)</f>
        <v>0</v>
      </c>
      <c r="BQ3" s="194">
        <f>SUMIFS('Revenue Tracking'!$F$13:$F$26, 'Revenue Tracking'!$H$13:$H$26, "&gt;="&amp;BQ1,'Revenue Tracking'!$H$13:$H$26, "&lt;"&amp;BR1)</f>
        <v>0</v>
      </c>
      <c r="BR3" s="194">
        <f>SUMIFS('Revenue Tracking'!$F$13:$F$26, 'Revenue Tracking'!$H$13:$H$26, "&gt;="&amp;BR1,'Revenue Tracking'!$H$13:$H$26, "&lt;"&amp;BS1)</f>
        <v>0</v>
      </c>
      <c r="BS3" s="194">
        <f>SUMIFS('Revenue Tracking'!$F$13:$F$26, 'Revenue Tracking'!$H$13:$H$26, "&gt;="&amp;BS1,'Revenue Tracking'!$H$13:$H$26, "&lt;"&amp;BT1)</f>
        <v>0</v>
      </c>
      <c r="BT3" s="194">
        <f>SUMIFS('Revenue Tracking'!$F$13:$F$26, 'Revenue Tracking'!$H$13:$H$26, "&gt;="&amp;BT1,'Revenue Tracking'!$H$13:$H$26, "&lt;"&amp;BU1)</f>
        <v>0</v>
      </c>
      <c r="BU3" s="194">
        <f>SUMIFS('Revenue Tracking'!$F$13:$F$26, 'Revenue Tracking'!$H$13:$H$26, "&gt;="&amp;BU1,'Revenue Tracking'!$H$13:$H$26, "&lt;"&amp;BV1)</f>
        <v>0</v>
      </c>
      <c r="BV3" s="194">
        <f>SUMIFS('Revenue Tracking'!$F$13:$F$26, 'Revenue Tracking'!$H$13:$H$26, "&gt;="&amp;BV1,'Revenue Tracking'!$H$13:$H$26, "&lt;"&amp;BW1)</f>
        <v>0</v>
      </c>
      <c r="BW3" s="194">
        <f>SUMIFS('Revenue Tracking'!$F$13:$F$26, 'Revenue Tracking'!$H$13:$H$26, "&gt;="&amp;BW1,'Revenue Tracking'!$H$13:$H$26, "&lt;"&amp;BX1)</f>
        <v>0</v>
      </c>
      <c r="BX3" s="194">
        <f>SUMIFS('Revenue Tracking'!$F$13:$F$26, 'Revenue Tracking'!$H$13:$H$26, "&gt;="&amp;BX1,'Revenue Tracking'!$H$13:$H$26, "&lt;"&amp;BY1)</f>
        <v>0</v>
      </c>
      <c r="BY3" s="194">
        <f>SUMIFS('Revenue Tracking'!$F$13:$F$26, 'Revenue Tracking'!$H$13:$H$26, "&gt;="&amp;BY1,'Revenue Tracking'!$H$13:$H$26, "&lt;"&amp;BZ1)</f>
        <v>0</v>
      </c>
      <c r="BZ3" s="194">
        <f>SUMIFS('Revenue Tracking'!$F$13:$F$26, 'Revenue Tracking'!$H$13:$H$26, "&gt;="&amp;BZ1,'Revenue Tracking'!$H$13:$H$26, "&lt;"&amp;CA1)</f>
        <v>0</v>
      </c>
      <c r="CA3" s="194">
        <f>SUMIFS('Revenue Tracking'!$F$13:$F$26, 'Revenue Tracking'!$H$13:$H$26, "&gt;="&amp;CA1,'Revenue Tracking'!$H$13:$H$26, "&lt;"&amp;CB1)</f>
        <v>0</v>
      </c>
      <c r="CB3" s="194">
        <f>SUMIFS('Revenue Tracking'!$F$13:$F$26, 'Revenue Tracking'!$H$13:$H$26, "&gt;="&amp;CB1,'Revenue Tracking'!$H$13:$H$26, "&lt;"&amp;CC1)</f>
        <v>0</v>
      </c>
      <c r="CC3" s="194">
        <f>SUMIFS('Revenue Tracking'!$F$13:$F$26, 'Revenue Tracking'!$H$13:$H$26, "&gt;="&amp;CC1,'Revenue Tracking'!$H$13:$H$26, "&lt;"&amp;CD1)</f>
        <v>0</v>
      </c>
      <c r="CD3" s="194">
        <f>SUMIFS('Revenue Tracking'!$F$13:$F$26, 'Revenue Tracking'!$H$13:$H$26, "&gt;="&amp;CD1,'Revenue Tracking'!$H$13:$H$26, "&lt;"&amp;CE1)</f>
        <v>0</v>
      </c>
      <c r="CE3" s="194">
        <f>SUMIFS('Revenue Tracking'!$F$13:$F$26, 'Revenue Tracking'!$H$13:$H$26, "&gt;="&amp;CE1,'Revenue Tracking'!$H$13:$H$26, "&lt;"&amp;CF1)</f>
        <v>0</v>
      </c>
      <c r="CF3" s="194">
        <f>SUMIFS('Revenue Tracking'!$F$13:$F$26, 'Revenue Tracking'!$H$13:$H$26, "&gt;="&amp;CF1,'Revenue Tracking'!$H$13:$H$26, "&lt;"&amp;CG1)</f>
        <v>0</v>
      </c>
      <c r="CG3" s="194">
        <f>SUMIFS('Revenue Tracking'!$F$13:$F$26, 'Revenue Tracking'!$H$13:$H$26, "&gt;="&amp;CG1,'Revenue Tracking'!$H$13:$H$26, "&lt;"&amp;CH1)</f>
        <v>0</v>
      </c>
      <c r="CH3" s="194">
        <f>SUMIFS('Revenue Tracking'!$F$13:$F$26, 'Revenue Tracking'!$H$13:$H$26, "&gt;="&amp;CH1,'Revenue Tracking'!$H$13:$H$26, "&lt;"&amp;CI1)</f>
        <v>0</v>
      </c>
      <c r="CI3" s="194">
        <f>SUMIFS('Revenue Tracking'!$F$13:$F$26, 'Revenue Tracking'!$H$13:$H$26, "&gt;="&amp;CI1,'Revenue Tracking'!$H$13:$H$26, "&lt;"&amp;CJ1)</f>
        <v>0</v>
      </c>
      <c r="CJ3" s="194">
        <f>SUMIFS('Revenue Tracking'!$F$13:$F$26, 'Revenue Tracking'!$H$13:$H$26, "&gt;="&amp;CJ1,'Revenue Tracking'!$H$13:$H$26, "&lt;"&amp;CK1)</f>
        <v>0</v>
      </c>
      <c r="CK3" s="194">
        <f>SUMIFS('Revenue Tracking'!$F$13:$F$26, 'Revenue Tracking'!$H$13:$H$26, "&gt;="&amp;CK1,'Revenue Tracking'!$H$13:$H$26, "&lt;"&amp;CL1)</f>
        <v>0</v>
      </c>
      <c r="CL3" s="194">
        <f>SUMIFS('Revenue Tracking'!$F$13:$F$26, 'Revenue Tracking'!$H$13:$H$26, "&gt;="&amp;CL1,'Revenue Tracking'!$H$13:$H$26, "&lt;"&amp;CM1)</f>
        <v>0</v>
      </c>
      <c r="CM3" s="194">
        <f>SUMIFS('Revenue Tracking'!$F$13:$F$26, 'Revenue Tracking'!$H$13:$H$26, "&gt;="&amp;CM1,'Revenue Tracking'!$H$13:$H$26, "&lt;"&amp;CN1)</f>
        <v>0</v>
      </c>
      <c r="CN3" s="194">
        <f>SUMIFS('Revenue Tracking'!$F$13:$F$26, 'Revenue Tracking'!$H$13:$H$26, "&gt;="&amp;CN1,'Revenue Tracking'!$H$13:$H$26, "&lt;"&amp;CO1)</f>
        <v>0</v>
      </c>
      <c r="CO3" s="194">
        <f>SUMIFS('Revenue Tracking'!$F$13:$F$26, 'Revenue Tracking'!$H$13:$H$26, "&gt;="&amp;CO1,'Revenue Tracking'!$H$13:$H$26, "&lt;"&amp;CP1)</f>
        <v>0</v>
      </c>
      <c r="CP3" s="194">
        <f>SUMIFS('Revenue Tracking'!$F$13:$F$26, 'Revenue Tracking'!$H$13:$H$26, "&gt;="&amp;CP1,'Revenue Tracking'!$H$13:$H$26, "&lt;"&amp;CQ1)</f>
        <v>0</v>
      </c>
      <c r="CQ3" s="194">
        <f>SUMIFS('Revenue Tracking'!$F$13:$F$26, 'Revenue Tracking'!$H$13:$H$26, "&gt;="&amp;CQ1,'Revenue Tracking'!$H$13:$H$26, "&lt;"&amp;CR1)</f>
        <v>0</v>
      </c>
      <c r="CR3" s="194">
        <f>SUMIFS('Revenue Tracking'!$F$13:$F$26, 'Revenue Tracking'!$H$13:$H$26, "&gt;="&amp;CR1,'Revenue Tracking'!$H$13:$H$26, "&lt;"&amp;CS1)</f>
        <v>0</v>
      </c>
      <c r="CS3" s="194">
        <f>SUMIFS('Revenue Tracking'!$F$13:$F$26, 'Revenue Tracking'!$H$13:$H$26, "&gt;="&amp;CS1,'Revenue Tracking'!$H$13:$H$26, "&lt;"&amp;CT1)</f>
        <v>0</v>
      </c>
      <c r="CT3" s="194">
        <f>SUMIFS('Revenue Tracking'!$F$13:$F$26, 'Revenue Tracking'!$H$13:$H$26, "&gt;="&amp;CT1,'Revenue Tracking'!$H$13:$H$26, "&lt;"&amp;CU1)</f>
        <v>0</v>
      </c>
      <c r="CU3" s="194">
        <f>SUMIFS('Revenue Tracking'!$F$13:$F$26, 'Revenue Tracking'!$H$13:$H$26, "&gt;="&amp;CU1,'Revenue Tracking'!$H$13:$H$26, "&lt;"&amp;CV1)</f>
        <v>0</v>
      </c>
      <c r="CV3" s="194">
        <f>SUMIFS('Revenue Tracking'!$F$13:$F$26, 'Revenue Tracking'!$H$13:$H$26, "&gt;="&amp;CV1,'Revenue Tracking'!$H$13:$H$26, "&lt;"&amp;CW1)</f>
        <v>0</v>
      </c>
      <c r="CW3" s="194">
        <f>SUMIFS('Revenue Tracking'!$F$13:$F$26, 'Revenue Tracking'!$H$13:$H$26, "&gt;="&amp;CW1,'Revenue Tracking'!$H$13:$H$26, "&lt;"&amp;CX1)</f>
        <v>0</v>
      </c>
      <c r="CX3" s="194">
        <f>SUMIFS('Revenue Tracking'!$F$13:$F$26, 'Revenue Tracking'!$H$13:$H$26, "&gt;="&amp;CX1,'Revenue Tracking'!$H$13:$H$26, "&lt;"&amp;CY1)</f>
        <v>0</v>
      </c>
      <c r="CY3" s="194">
        <f>SUMIFS('Revenue Tracking'!$F$13:$F$26, 'Revenue Tracking'!$H$13:$H$26, "&gt;="&amp;CY1,'Revenue Tracking'!$H$13:$H$26, "&lt;"&amp;CZ1)</f>
        <v>0</v>
      </c>
      <c r="CZ3" s="194">
        <f>SUMIFS('Revenue Tracking'!$F$13:$F$26, 'Revenue Tracking'!$H$13:$H$26, "&gt;="&amp;CZ1,'Revenue Tracking'!$H$13:$H$26, "&lt;"&amp;DA1)</f>
        <v>0</v>
      </c>
      <c r="DA3" s="194">
        <f>SUMIFS('Revenue Tracking'!$F$13:$F$26, 'Revenue Tracking'!$H$13:$H$26, "&gt;="&amp;DA1,'Revenue Tracking'!$H$13:$H$26, "&lt;"&amp;DB1)</f>
        <v>0</v>
      </c>
      <c r="DB3" s="194">
        <f>SUMIFS('Revenue Tracking'!$F$13:$F$26, 'Revenue Tracking'!$H$13:$H$26, "&gt;="&amp;DB1,'Revenue Tracking'!$H$13:$H$26, "&lt;"&amp;DC1)</f>
        <v>0</v>
      </c>
      <c r="DC3" s="194">
        <f>SUMIFS('Revenue Tracking'!$F$13:$F$26, 'Revenue Tracking'!$H$13:$H$26, "&gt;="&amp;DC1,'Revenue Tracking'!$H$13:$H$26, "&lt;"&amp;DD1)</f>
        <v>0</v>
      </c>
      <c r="DD3" s="194">
        <f>SUMIFS('Revenue Tracking'!$F$13:$F$26, 'Revenue Tracking'!$H$13:$H$26, "&gt;="&amp;DD1,'Revenue Tracking'!$H$13:$H$26, "&lt;"&amp;DE1)</f>
        <v>0</v>
      </c>
      <c r="DE3" s="194">
        <f>SUMIFS('Revenue Tracking'!$F$13:$F$26, 'Revenue Tracking'!$H$13:$H$26, "&gt;="&amp;DE1,'Revenue Tracking'!$H$13:$H$26, "&lt;"&amp;DF1)</f>
        <v>0</v>
      </c>
      <c r="DF3" s="194">
        <f>SUMIFS('Revenue Tracking'!$F$13:$F$26, 'Revenue Tracking'!$H$13:$H$26, "&gt;="&amp;DF1,'Revenue Tracking'!$H$13:$H$26, "&lt;"&amp;DG1)</f>
        <v>0</v>
      </c>
      <c r="DG3" s="194">
        <f>SUMIFS('Revenue Tracking'!$F$13:$F$26, 'Revenue Tracking'!$H$13:$H$26, "&gt;="&amp;DG1,'Revenue Tracking'!$H$13:$H$26, "&lt;"&amp;DH1)</f>
        <v>0</v>
      </c>
      <c r="DH3" s="194">
        <f>SUMIFS('Revenue Tracking'!$F$13:$F$26, 'Revenue Tracking'!$H$13:$H$26, "&gt;="&amp;DH1,'Revenue Tracking'!$H$13:$H$26, "&lt;"&amp;DI1)</f>
        <v>0</v>
      </c>
      <c r="DI3" s="194">
        <f>SUMIFS('Revenue Tracking'!$F$13:$F$26, 'Revenue Tracking'!$H$13:$H$26, "&gt;="&amp;DI1,'Revenue Tracking'!$H$13:$H$26, "&lt;"&amp;DJ1)</f>
        <v>0</v>
      </c>
      <c r="DJ3" s="194">
        <f>SUMIFS('Revenue Tracking'!$F$13:$F$26, 'Revenue Tracking'!$H$13:$H$26, "&gt;="&amp;DJ1,'Revenue Tracking'!$H$13:$H$26, "&lt;"&amp;DK1)</f>
        <v>0</v>
      </c>
      <c r="DK3" s="194">
        <f>SUMIFS('Revenue Tracking'!$F$13:$F$26, 'Revenue Tracking'!$H$13:$H$26, "&gt;="&amp;DK1,'Revenue Tracking'!$H$13:$H$26, "&lt;"&amp;DL1)</f>
        <v>0</v>
      </c>
      <c r="DL3" s="194">
        <f>SUMIFS('Revenue Tracking'!$F$13:$F$26, 'Revenue Tracking'!$H$13:$H$26, "&gt;="&amp;DL1,'Revenue Tracking'!$H$13:$H$26, "&lt;"&amp;DM1)</f>
        <v>0</v>
      </c>
      <c r="DM3" s="194">
        <f>SUMIFS('Revenue Tracking'!$F$13:$F$26, 'Revenue Tracking'!$H$13:$H$26, "&gt;="&amp;DM1,'Revenue Tracking'!$H$13:$H$26, "&lt;"&amp;DN1)</f>
        <v>0</v>
      </c>
      <c r="DN3" s="194">
        <f>SUMIFS('Revenue Tracking'!$F$13:$F$26, 'Revenue Tracking'!$H$13:$H$26, "&gt;="&amp;DN1,'Revenue Tracking'!$H$13:$H$26, "&lt;"&amp;DO1)</f>
        <v>0</v>
      </c>
      <c r="DO3" s="194">
        <f>SUMIFS('Revenue Tracking'!$F$13:$F$26, 'Revenue Tracking'!$H$13:$H$26, "&gt;="&amp;DO1,'Revenue Tracking'!$H$13:$H$26, "&lt;"&amp;DP1)</f>
        <v>0</v>
      </c>
      <c r="DP3" s="194">
        <f>SUMIFS('Revenue Tracking'!$F$13:$F$26, 'Revenue Tracking'!$H$13:$H$26, "&gt;="&amp;DP1,'Revenue Tracking'!$H$13:$H$26, "&lt;"&amp;DQ1)</f>
        <v>0</v>
      </c>
      <c r="DQ3" s="194">
        <f>SUMIFS('Revenue Tracking'!$F$13:$F$26, 'Revenue Tracking'!$H$13:$H$26, "&gt;="&amp;DQ1,'Revenue Tracking'!$H$13:$H$26, "&lt;"&amp;DR1)</f>
        <v>0</v>
      </c>
      <c r="DR3" s="194">
        <f>SUMIFS('Revenue Tracking'!$F$13:$F$26, 'Revenue Tracking'!$H$13:$H$26, "&gt;="&amp;DR1,'Revenue Tracking'!$H$13:$H$26, "&lt;"&amp;DS1)</f>
        <v>0</v>
      </c>
      <c r="DS3" s="194">
        <f>SUMIFS('Revenue Tracking'!$F$13:$F$26, 'Revenue Tracking'!$H$13:$H$26, "&gt;="&amp;DS1,'Revenue Tracking'!$H$13:$H$26, "&lt;"&amp;DT1)</f>
        <v>0</v>
      </c>
      <c r="DT3" s="194">
        <f>SUMIFS('Revenue Tracking'!$F$13:$F$26, 'Revenue Tracking'!$H$13:$H$26, "&gt;="&amp;DT1,'Revenue Tracking'!$H$13:$H$26, "&lt;"&amp;DU1)</f>
        <v>0</v>
      </c>
      <c r="DU3" s="194">
        <f>SUMIFS('Revenue Tracking'!$F$13:$F$26, 'Revenue Tracking'!$H$13:$H$26, "&gt;="&amp;DU1,'Revenue Tracking'!$H$13:$H$26, "&lt;"&amp;DV1)</f>
        <v>0</v>
      </c>
      <c r="DV3" s="194">
        <f>SUMIFS('Revenue Tracking'!$F$13:$F$26, 'Revenue Tracking'!$H$13:$H$26, "&gt;="&amp;DV1,'Revenue Tracking'!$H$13:$H$26, "&lt;"&amp;DW1)</f>
        <v>0</v>
      </c>
      <c r="DW3" s="194">
        <f>SUMIFS('Revenue Tracking'!$F$13:$F$26, 'Revenue Tracking'!$H$13:$H$26, "&gt;="&amp;DW1,'Revenue Tracking'!$H$13:$H$26, "&lt;"&amp;DX1)</f>
        <v>0</v>
      </c>
      <c r="DX3" s="194">
        <f>SUMIFS('Revenue Tracking'!$F$13:$F$26, 'Revenue Tracking'!$H$13:$H$26, "&gt;="&amp;DX1,'Revenue Tracking'!$H$13:$H$26, "&lt;"&amp;DY1)</f>
        <v>0</v>
      </c>
      <c r="DY3" s="194">
        <f>SUMIFS('Revenue Tracking'!$F$13:$F$26, 'Revenue Tracking'!$H$13:$H$26, "&gt;="&amp;DY1,'Revenue Tracking'!$H$13:$H$26, "&lt;"&amp;DZ1)</f>
        <v>0</v>
      </c>
      <c r="DZ3" s="194">
        <f>SUMIFS('Revenue Tracking'!$F$13:$F$26, 'Revenue Tracking'!$H$13:$H$26, "&gt;="&amp;DZ1,'Revenue Tracking'!$H$13:$H$26, "&lt;"&amp;EA1)</f>
        <v>0</v>
      </c>
      <c r="EA3" s="194">
        <f>SUMIFS('Revenue Tracking'!$F$13:$F$26, 'Revenue Tracking'!$H$13:$H$26, "&gt;="&amp;EA1,'Revenue Tracking'!$H$13:$H$26, "&lt;"&amp;EB1)</f>
        <v>0</v>
      </c>
      <c r="EB3" s="194">
        <f>SUMIFS('Revenue Tracking'!$F$13:$F$26, 'Revenue Tracking'!$H$13:$H$26, "&gt;="&amp;EB1,'Revenue Tracking'!$H$13:$H$26, "&lt;"&amp;EC1)</f>
        <v>0</v>
      </c>
      <c r="EC3" s="194">
        <f>SUMIFS('Revenue Tracking'!$F$13:$F$26, 'Revenue Tracking'!$H$13:$H$26, "&gt;="&amp;EC1,'Revenue Tracking'!$H$13:$H$26, "&lt;"&amp;ED1)</f>
        <v>0</v>
      </c>
      <c r="ED3" s="194">
        <f>SUMIFS('Revenue Tracking'!$F$13:$F$26, 'Revenue Tracking'!$H$13:$H$26, "&gt;="&amp;ED1,'Revenue Tracking'!$H$13:$H$26, "&lt;"&amp;EE1)</f>
        <v>0</v>
      </c>
      <c r="EE3" s="194">
        <f>SUMIFS('Revenue Tracking'!$F$13:$F$26, 'Revenue Tracking'!$H$13:$H$26, "&gt;="&amp;EE1,'Revenue Tracking'!$H$13:$H$26, "&lt;"&amp;EF1)</f>
        <v>0</v>
      </c>
      <c r="EF3" s="194">
        <f>SUMIFS('Revenue Tracking'!$F$13:$F$26, 'Revenue Tracking'!$H$13:$H$26, "&gt;="&amp;EF1,'Revenue Tracking'!$H$13:$H$26, "&lt;"&amp;EG1)</f>
        <v>0</v>
      </c>
      <c r="EG3" s="194">
        <f>SUMIFS('Revenue Tracking'!$F$13:$F$26, 'Revenue Tracking'!$H$13:$H$26, "&gt;="&amp;EG1,'Revenue Tracking'!$H$13:$H$26, "&lt;"&amp;EH1)</f>
        <v>0</v>
      </c>
      <c r="EH3" s="194">
        <f>SUMIFS('Revenue Tracking'!$F$13:$F$26, 'Revenue Tracking'!$H$13:$H$26, "&gt;="&amp;EH1,'Revenue Tracking'!$H$13:$H$26, "&lt;"&amp;EI1)</f>
        <v>0</v>
      </c>
      <c r="EI3" s="194">
        <f>SUMIFS('Revenue Tracking'!$F$13:$F$26, 'Revenue Tracking'!$H$13:$H$26, "&gt;="&amp;EI1,'Revenue Tracking'!$H$13:$H$26, "&lt;"&amp;EJ1)</f>
        <v>0</v>
      </c>
      <c r="EJ3" s="194">
        <f>SUMIFS('Revenue Tracking'!$F$13:$F$26, 'Revenue Tracking'!$H$13:$H$26, "&gt;="&amp;EJ1,'Revenue Tracking'!$H$13:$H$26, "&lt;"&amp;EK1)</f>
        <v>0</v>
      </c>
      <c r="EK3" s="194">
        <f>SUMIFS('Revenue Tracking'!$F$13:$F$26, 'Revenue Tracking'!$H$13:$H$26, "&gt;="&amp;EK1,'Revenue Tracking'!$H$13:$H$26, "&lt;"&amp;EL1)</f>
        <v>0</v>
      </c>
      <c r="EL3" s="194">
        <f>SUMIFS('Revenue Tracking'!$F$13:$F$26, 'Revenue Tracking'!$H$13:$H$26, "&gt;="&amp;EL1,'Revenue Tracking'!$H$13:$H$26, "&lt;"&amp;EM1)</f>
        <v>0</v>
      </c>
      <c r="EM3" s="194">
        <f>SUMIFS('Revenue Tracking'!$F$13:$F$26, 'Revenue Tracking'!$H$13:$H$26, "&gt;="&amp;EM1,'Revenue Tracking'!$H$13:$H$26, "&lt;"&amp;EN1)</f>
        <v>0</v>
      </c>
      <c r="EN3" s="194">
        <f>SUMIFS('Revenue Tracking'!$F$13:$F$26, 'Revenue Tracking'!$H$13:$H$26, "&gt;="&amp;EN1,'Revenue Tracking'!$H$13:$H$26, "&lt;"&amp;EO1)</f>
        <v>0</v>
      </c>
      <c r="EO3" s="194">
        <f>SUMIFS('Revenue Tracking'!$F$13:$F$26, 'Revenue Tracking'!$H$13:$H$26, "&gt;="&amp;EO1,'Revenue Tracking'!$H$13:$H$26, "&lt;"&amp;EP1)</f>
        <v>0</v>
      </c>
      <c r="EP3" s="194">
        <f>SUMIFS('Revenue Tracking'!$F$13:$F$26, 'Revenue Tracking'!$H$13:$H$26, "&gt;="&amp;EP1,'Revenue Tracking'!$H$13:$H$26, "&lt;"&amp;EQ1)</f>
        <v>0</v>
      </c>
      <c r="EQ3" s="194">
        <f>SUMIFS('Revenue Tracking'!$F$13:$F$26, 'Revenue Tracking'!$H$13:$H$26, "&gt;="&amp;EQ1,'Revenue Tracking'!$H$13:$H$26, "&lt;"&amp;ER1)</f>
        <v>0</v>
      </c>
      <c r="ER3" s="194">
        <f>SUMIFS('Revenue Tracking'!$F$13:$F$26, 'Revenue Tracking'!$H$13:$H$26, "&gt;="&amp;ER1,'Revenue Tracking'!$H$13:$H$26, "&lt;"&amp;ES1)</f>
        <v>0</v>
      </c>
      <c r="ES3" s="194">
        <f>SUMIFS('Revenue Tracking'!$F$13:$F$26, 'Revenue Tracking'!$H$13:$H$26, "&gt;="&amp;ES1,'Revenue Tracking'!$H$13:$H$26, "&lt;"&amp;ET1)</f>
        <v>0</v>
      </c>
      <c r="ET3" s="194">
        <f>SUMIFS('Revenue Tracking'!$F$13:$F$26, 'Revenue Tracking'!$H$13:$H$26, "&gt;="&amp;ET1,'Revenue Tracking'!$H$13:$H$26, "&lt;"&amp;EU1)</f>
        <v>0</v>
      </c>
      <c r="EU3" s="194">
        <f>SUMIFS('Revenue Tracking'!$F$13:$F$26, 'Revenue Tracking'!$H$13:$H$26, "&gt;="&amp;EU1,'Revenue Tracking'!$H$13:$H$26, "&lt;"&amp;EV1)</f>
        <v>0</v>
      </c>
      <c r="EV3" s="194">
        <f>SUMIFS('Revenue Tracking'!$F$13:$F$26, 'Revenue Tracking'!$H$13:$H$26, "&gt;="&amp;EV1,'Revenue Tracking'!$H$13:$H$26, "&lt;"&amp;EW1)</f>
        <v>0</v>
      </c>
      <c r="EW3" s="194">
        <f>SUMIFS('Revenue Tracking'!$F$13:$F$26, 'Revenue Tracking'!$H$13:$H$26, "&gt;="&amp;EW1,'Revenue Tracking'!$H$13:$H$26, "&lt;"&amp;EX1)</f>
        <v>0</v>
      </c>
      <c r="EX3" s="194">
        <f>SUMIFS('Revenue Tracking'!$F$13:$F$26, 'Revenue Tracking'!$H$13:$H$26, "&gt;="&amp;EX1,'Revenue Tracking'!$H$13:$H$26, "&lt;"&amp;EY1)</f>
        <v>0</v>
      </c>
      <c r="EY3" s="194">
        <f>SUMIFS('Revenue Tracking'!$F$13:$F$26, 'Revenue Tracking'!$H$13:$H$26, "&gt;="&amp;EY1,'Revenue Tracking'!$H$13:$H$26, "&lt;"&amp;EZ1)</f>
        <v>0</v>
      </c>
      <c r="EZ3" s="194">
        <f>SUMIFS('Revenue Tracking'!$F$13:$F$26, 'Revenue Tracking'!$H$13:$H$26, "&gt;="&amp;EZ1,'Revenue Tracking'!$H$13:$H$26, "&lt;"&amp;FA1)</f>
        <v>0</v>
      </c>
      <c r="FA3" s="194">
        <f>SUMIFS('Revenue Tracking'!$F$13:$F$26, 'Revenue Tracking'!$H$13:$H$26, "&gt;="&amp;FA1,'Revenue Tracking'!$H$13:$H$26, "&lt;"&amp;FB1)</f>
        <v>0</v>
      </c>
      <c r="FB3" s="194">
        <f>SUMIFS('Revenue Tracking'!$F$13:$F$26, 'Revenue Tracking'!$H$13:$H$26, "&gt;="&amp;FB1,'Revenue Tracking'!$H$13:$H$26, "&lt;"&amp;FC1)</f>
        <v>0</v>
      </c>
      <c r="FC3" s="194">
        <f>SUMIFS('Revenue Tracking'!$F$13:$F$26, 'Revenue Tracking'!$H$13:$H$26, "&gt;="&amp;FC1,'Revenue Tracking'!$H$13:$H$26, "&lt;"&amp;FD1)</f>
        <v>0</v>
      </c>
      <c r="FD3" s="194">
        <f>SUMIFS('Revenue Tracking'!$F$13:$F$26, 'Revenue Tracking'!$H$13:$H$26, "&gt;="&amp;FD1,'Revenue Tracking'!$H$13:$H$26, "&lt;"&amp;FE1)</f>
        <v>0</v>
      </c>
      <c r="FE3" s="194">
        <f>SUMIFS('Revenue Tracking'!$F$13:$F$26, 'Revenue Tracking'!$H$13:$H$26, "&gt;="&amp;FE1,'Revenue Tracking'!$H$13:$H$26, "&lt;"&amp;FF1)</f>
        <v>0</v>
      </c>
      <c r="FF3" s="194">
        <f>SUMIFS('Revenue Tracking'!$F$13:$F$26, 'Revenue Tracking'!$H$13:$H$26, "&gt;="&amp;FF1,'Revenue Tracking'!$H$13:$H$26, "&lt;"&amp;FG1)</f>
        <v>0</v>
      </c>
      <c r="FG3" s="194">
        <f>SUMIFS('Revenue Tracking'!$F$13:$F$26, 'Revenue Tracking'!$H$13:$H$26, "&gt;="&amp;FG1,'Revenue Tracking'!$H$13:$H$26, "&lt;"&amp;FH1)</f>
        <v>0</v>
      </c>
      <c r="FH3" s="194">
        <f>SUMIFS('Revenue Tracking'!$F$13:$F$26, 'Revenue Tracking'!$H$13:$H$26, "&gt;="&amp;FH1,'Revenue Tracking'!$H$13:$H$26, "&lt;"&amp;FI1)</f>
        <v>0</v>
      </c>
      <c r="FI3" s="194">
        <f>SUMIFS('Revenue Tracking'!$F$13:$F$26, 'Revenue Tracking'!$H$13:$H$26, "&gt;="&amp;FI1,'Revenue Tracking'!$H$13:$H$26, "&lt;"&amp;FJ1)</f>
        <v>0</v>
      </c>
      <c r="FJ3" s="194">
        <f>SUMIFS('Revenue Tracking'!$F$13:$F$26, 'Revenue Tracking'!$H$13:$H$26, "&gt;="&amp;FJ1,'Revenue Tracking'!$H$13:$H$26, "&lt;"&amp;FK1)</f>
        <v>0</v>
      </c>
      <c r="FK3" s="194">
        <f>SUMIFS('Revenue Tracking'!$F$13:$F$26, 'Revenue Tracking'!$H$13:$H$26, "&gt;="&amp;FK1,'Revenue Tracking'!$H$13:$H$26, "&lt;"&amp;FL1)</f>
        <v>0</v>
      </c>
      <c r="FL3" s="194">
        <f>SUMIFS('Revenue Tracking'!$F$13:$F$26, 'Revenue Tracking'!$H$13:$H$26, "&gt;="&amp;FL1,'Revenue Tracking'!$H$13:$H$26, "&lt;"&amp;FM1)</f>
        <v>0</v>
      </c>
      <c r="FM3" s="194">
        <f>SUMIFS('Revenue Tracking'!$F$13:$F$26, 'Revenue Tracking'!$H$13:$H$26, "&gt;="&amp;FM1,'Revenue Tracking'!$H$13:$H$26, "&lt;"&amp;FN1)</f>
        <v>0</v>
      </c>
      <c r="FN3" s="194">
        <f>SUMIFS('Revenue Tracking'!$F$13:$F$26, 'Revenue Tracking'!$H$13:$H$26, "&gt;="&amp;FN1,'Revenue Tracking'!$H$13:$H$26, "&lt;"&amp;FO1)</f>
        <v>0</v>
      </c>
      <c r="FO3" s="194">
        <f>SUMIFS('Revenue Tracking'!$F$13:$F$26, 'Revenue Tracking'!$H$13:$H$26, "&gt;="&amp;FO1,'Revenue Tracking'!$H$13:$H$26, "&lt;"&amp;FP1)</f>
        <v>0</v>
      </c>
      <c r="FP3" s="194">
        <f>SUMIFS('Revenue Tracking'!$F$13:$F$26, 'Revenue Tracking'!$H$13:$H$26, "&gt;="&amp;FP1,'Revenue Tracking'!$H$13:$H$26, "&lt;"&amp;FQ1)</f>
        <v>0</v>
      </c>
      <c r="FQ3" s="194">
        <f>SUMIFS('Revenue Tracking'!$F$13:$F$26, 'Revenue Tracking'!$H$13:$H$26, "&gt;="&amp;FQ1,'Revenue Tracking'!$H$13:$H$26, "&lt;"&amp;FR1)</f>
        <v>0</v>
      </c>
      <c r="FR3" s="194">
        <f>SUMIFS('Revenue Tracking'!$F$13:$F$26, 'Revenue Tracking'!$H$13:$H$26, "&gt;="&amp;FR1,'Revenue Tracking'!$H$13:$H$26, "&lt;"&amp;FS1)</f>
        <v>0</v>
      </c>
      <c r="FS3" s="194">
        <f>SUMIFS('Revenue Tracking'!$F$13:$F$26, 'Revenue Tracking'!$H$13:$H$26, "&gt;="&amp;FS1,'Revenue Tracking'!$H$13:$H$26, "&lt;"&amp;FT1)</f>
        <v>0</v>
      </c>
      <c r="FT3" s="194">
        <f>SUMIFS('Revenue Tracking'!$F$13:$F$26, 'Revenue Tracking'!$H$13:$H$26, "&gt;="&amp;FT1,'Revenue Tracking'!$H$13:$H$26, "&lt;"&amp;FU1)</f>
        <v>0</v>
      </c>
      <c r="FU3" s="194">
        <f>SUMIFS('Revenue Tracking'!$F$13:$F$26, 'Revenue Tracking'!$H$13:$H$26, "&gt;="&amp;FU1,'Revenue Tracking'!$H$13:$H$26, "&lt;"&amp;FV1)</f>
        <v>0</v>
      </c>
      <c r="FV3" s="194">
        <f>SUMIFS('Revenue Tracking'!$F$13:$F$26, 'Revenue Tracking'!$H$13:$H$26, "&gt;="&amp;FV1,'Revenue Tracking'!$H$13:$H$26, "&lt;"&amp;FW1)</f>
        <v>0</v>
      </c>
      <c r="FW3" s="194">
        <f>SUMIFS('Revenue Tracking'!$F$13:$F$26, 'Revenue Tracking'!$H$13:$H$26, "&gt;="&amp;FW1,'Revenue Tracking'!$H$13:$H$26, "&lt;"&amp;FX1)</f>
        <v>0</v>
      </c>
      <c r="FX3" s="194">
        <f>SUMIFS('Revenue Tracking'!$F$13:$F$26, 'Revenue Tracking'!$H$13:$H$26, "&gt;="&amp;FX1,'Revenue Tracking'!$H$13:$H$26, "&lt;"&amp;FY1)</f>
        <v>0</v>
      </c>
      <c r="FY3" s="194">
        <f>SUMIFS('Revenue Tracking'!$F$13:$F$26, 'Revenue Tracking'!$H$13:$H$26, "&gt;="&amp;FY1,'Revenue Tracking'!$H$13:$H$26, "&lt;"&amp;FZ1)</f>
        <v>0</v>
      </c>
      <c r="FZ3" s="194">
        <f>SUMIFS('Revenue Tracking'!$F$13:$F$26, 'Revenue Tracking'!$H$13:$H$26, "&gt;="&amp;FZ1,'Revenue Tracking'!$H$13:$H$26, "&lt;"&amp;GA1)</f>
        <v>0</v>
      </c>
      <c r="GA3" s="194">
        <f>SUMIFS('Revenue Tracking'!$F$13:$F$26, 'Revenue Tracking'!$H$13:$H$26, "&gt;="&amp;GA1,'Revenue Tracking'!$H$13:$H$26, "&lt;"&amp;GB1)</f>
        <v>0</v>
      </c>
      <c r="GB3" s="194">
        <f>SUMIFS('Revenue Tracking'!$F$13:$F$26, 'Revenue Tracking'!$H$13:$H$26, "&gt;="&amp;GB1,'Revenue Tracking'!$H$13:$H$26, "&lt;"&amp;GC1)</f>
        <v>0</v>
      </c>
      <c r="GC3" s="194">
        <f>SUMIFS('Revenue Tracking'!$F$13:$F$26, 'Revenue Tracking'!$H$13:$H$26, "&gt;="&amp;GC1,'Revenue Tracking'!$H$13:$H$26, "&lt;"&amp;GD1)</f>
        <v>0</v>
      </c>
      <c r="GD3" s="194">
        <f>SUMIFS('Revenue Tracking'!$F$13:$F$26, 'Revenue Tracking'!$H$13:$H$26, "&gt;="&amp;GD1,'Revenue Tracking'!$H$13:$H$26, "&lt;"&amp;GE1)</f>
        <v>0</v>
      </c>
      <c r="GE3" s="194">
        <f>SUMIFS('Revenue Tracking'!$F$13:$F$26, 'Revenue Tracking'!$H$13:$H$26, "&gt;="&amp;GE1,'Revenue Tracking'!$H$13:$H$26, "&lt;"&amp;GF1)</f>
        <v>0</v>
      </c>
      <c r="GF3" s="194">
        <f>SUMIFS('Revenue Tracking'!$F$13:$F$26, 'Revenue Tracking'!$H$13:$H$26, "&gt;="&amp;GF1,'Revenue Tracking'!$H$13:$H$26, "&lt;"&amp;GG1)</f>
        <v>0</v>
      </c>
      <c r="GG3" s="194">
        <f>SUMIFS('Revenue Tracking'!$F$13:$F$26, 'Revenue Tracking'!$H$13:$H$26, "&gt;="&amp;GG1,'Revenue Tracking'!$H$13:$H$26, "&lt;"&amp;GH1)</f>
        <v>0</v>
      </c>
      <c r="GH3" s="194">
        <f>SUMIFS('Revenue Tracking'!$F$13:$F$26, 'Revenue Tracking'!$H$13:$H$26, "&gt;="&amp;GH1,'Revenue Tracking'!$H$13:$H$26, "&lt;"&amp;GI1)</f>
        <v>0</v>
      </c>
      <c r="GI3" s="194">
        <f>SUMIFS('Revenue Tracking'!$F$13:$F$26, 'Revenue Tracking'!$H$13:$H$26, "&gt;="&amp;GI1,'Revenue Tracking'!$H$13:$H$26, "&lt;"&amp;GJ1)</f>
        <v>0</v>
      </c>
      <c r="GJ3" s="194">
        <f>SUMIFS('Revenue Tracking'!$F$13:$F$26, 'Revenue Tracking'!$H$13:$H$26, "&gt;="&amp;GJ1,'Revenue Tracking'!$H$13:$H$26, "&lt;"&amp;GK1)</f>
        <v>0</v>
      </c>
      <c r="GK3" s="194">
        <f>SUMIFS('Revenue Tracking'!$F$13:$F$26, 'Revenue Tracking'!$H$13:$H$26, "&gt;="&amp;GK1,'Revenue Tracking'!$H$13:$H$26, "&lt;"&amp;GL1)</f>
        <v>0</v>
      </c>
      <c r="GL3" s="194">
        <f>SUMIFS('Revenue Tracking'!$F$13:$F$26, 'Revenue Tracking'!$H$13:$H$26, "&gt;="&amp;GL1,'Revenue Tracking'!$H$13:$H$26, "&lt;"&amp;GM1)</f>
        <v>0</v>
      </c>
      <c r="GM3" s="194">
        <f>SUMIFS('Revenue Tracking'!$F$13:$F$26, 'Revenue Tracking'!$H$13:$H$26, "&gt;="&amp;GM1,'Revenue Tracking'!$H$13:$H$26, "&lt;"&amp;GN1)</f>
        <v>0</v>
      </c>
      <c r="GN3" s="194">
        <f>SUMIFS('Revenue Tracking'!$F$13:$F$26, 'Revenue Tracking'!$H$13:$H$26, "&gt;="&amp;GN1,'Revenue Tracking'!$H$13:$H$26, "&lt;"&amp;GO1)</f>
        <v>0</v>
      </c>
      <c r="GO3" s="194">
        <f>SUMIFS('Revenue Tracking'!$F$13:$F$26, 'Revenue Tracking'!$H$13:$H$26, "&gt;="&amp;GO1,'Revenue Tracking'!$H$13:$H$26, "&lt;"&amp;GP1)</f>
        <v>0</v>
      </c>
      <c r="GP3" s="194">
        <f>SUMIFS('Revenue Tracking'!$F$13:$F$26, 'Revenue Tracking'!$H$13:$H$26, "&gt;="&amp;GP1,'Revenue Tracking'!$H$13:$H$26, "&lt;"&amp;GQ1)</f>
        <v>0</v>
      </c>
      <c r="GQ3" s="194">
        <f>SUMIFS('Revenue Tracking'!$F$13:$F$26, 'Revenue Tracking'!$H$13:$H$26, "&gt;="&amp;GQ1,'Revenue Tracking'!$H$13:$H$26, "&lt;"&amp;GR1)</f>
        <v>0</v>
      </c>
      <c r="GR3" s="194">
        <f>SUMIFS('Revenue Tracking'!$F$13:$F$26, 'Revenue Tracking'!$H$13:$H$26, "&gt;="&amp;GR1,'Revenue Tracking'!$H$13:$H$26, "&lt;"&amp;GS1)</f>
        <v>0</v>
      </c>
      <c r="GS3" s="194">
        <f>SUMIFS('Revenue Tracking'!$F$13:$F$26, 'Revenue Tracking'!$H$13:$H$26, "&gt;="&amp;GS1,'Revenue Tracking'!$H$13:$H$26, "&lt;"&amp;GT1)</f>
        <v>0</v>
      </c>
      <c r="GT3" s="194">
        <f>SUMIFS('Revenue Tracking'!$F$13:$F$26, 'Revenue Tracking'!$H$13:$H$26, "&gt;="&amp;GT1,'Revenue Tracking'!$H$13:$H$26, "&lt;"&amp;GU1)</f>
        <v>0</v>
      </c>
      <c r="GU3" s="194">
        <f>SUMIFS('Revenue Tracking'!$F$13:$F$26, 'Revenue Tracking'!$H$13:$H$26, "&gt;="&amp;GU1,'Revenue Tracking'!$H$13:$H$26, "&lt;"&amp;GV1)</f>
        <v>0</v>
      </c>
      <c r="GV3" s="194">
        <f>SUMIFS('Revenue Tracking'!$F$13:$F$26, 'Revenue Tracking'!$H$13:$H$26, "&gt;="&amp;GV1,'Revenue Tracking'!$H$13:$H$26, "&lt;"&amp;GW1)</f>
        <v>0</v>
      </c>
      <c r="GW3" s="194">
        <f>SUMIFS('Revenue Tracking'!$F$13:$F$26, 'Revenue Tracking'!$H$13:$H$26, "&gt;="&amp;GW1,'Revenue Tracking'!$H$13:$H$26, "&lt;"&amp;GX1)</f>
        <v>0</v>
      </c>
      <c r="GX3" s="194">
        <f>SUMIFS('Revenue Tracking'!$F$13:$F$26, 'Revenue Tracking'!$H$13:$H$26, "&gt;="&amp;GX1,'Revenue Tracking'!$H$13:$H$26, "&lt;"&amp;GY1)</f>
        <v>0</v>
      </c>
      <c r="GY3" s="194">
        <f>SUMIFS('Revenue Tracking'!$F$13:$F$26, 'Revenue Tracking'!$H$13:$H$26, "&gt;="&amp;GY1,'Revenue Tracking'!$H$13:$H$26, "&lt;"&amp;GZ1)</f>
        <v>0</v>
      </c>
      <c r="GZ3" s="194">
        <f>SUMIFS('Revenue Tracking'!$F$13:$F$26, 'Revenue Tracking'!$H$13:$H$26, "&gt;="&amp;GZ1,'Revenue Tracking'!$H$13:$H$26, "&lt;"&amp;HA1)</f>
        <v>0</v>
      </c>
      <c r="HA3" s="194">
        <f>SUMIFS('Revenue Tracking'!$F$13:$F$26, 'Revenue Tracking'!$H$13:$H$26, "&gt;="&amp;HA1,'Revenue Tracking'!$H$13:$H$26, "&lt;"&amp;HB1)</f>
        <v>0</v>
      </c>
      <c r="HB3" s="194">
        <f>SUMIFS('Revenue Tracking'!$F$13:$F$26, 'Revenue Tracking'!$H$13:$H$26, "&gt;="&amp;HB1,'Revenue Tracking'!$H$13:$H$26, "&lt;"&amp;HC1)</f>
        <v>0</v>
      </c>
      <c r="HC3" s="194">
        <f>SUMIFS('Revenue Tracking'!$F$13:$F$26, 'Revenue Tracking'!$H$13:$H$26, "&gt;="&amp;HC1,'Revenue Tracking'!$H$13:$H$26, "&lt;"&amp;HD1)</f>
        <v>0</v>
      </c>
      <c r="HD3" s="194">
        <f>SUMIFS('Revenue Tracking'!$F$13:$F$26, 'Revenue Tracking'!$H$13:$H$26, "&gt;="&amp;HD1,'Revenue Tracking'!$H$13:$H$26, "&lt;"&amp;HE1)</f>
        <v>0</v>
      </c>
      <c r="HE3" s="194">
        <f>SUMIFS('Revenue Tracking'!$F$13:$F$26, 'Revenue Tracking'!$H$13:$H$26, "&gt;="&amp;HE1,'Revenue Tracking'!$H$13:$H$26, "&lt;"&amp;HF1)</f>
        <v>0</v>
      </c>
      <c r="HF3" s="194">
        <f>SUMIFS('Revenue Tracking'!$F$13:$F$26, 'Revenue Tracking'!$H$13:$H$26, "&gt;="&amp;HF1,'Revenue Tracking'!$H$13:$H$26, "&lt;"&amp;HG1)</f>
        <v>0</v>
      </c>
      <c r="HG3" s="194">
        <f>SUMIFS('Revenue Tracking'!$F$13:$F$26, 'Revenue Tracking'!$H$13:$H$26, "&gt;="&amp;HG1,'Revenue Tracking'!$H$13:$H$26, "&lt;"&amp;HH1)</f>
        <v>0</v>
      </c>
      <c r="HH3" s="194">
        <f>SUMIFS('Revenue Tracking'!$F$13:$F$26, 'Revenue Tracking'!$H$13:$H$26, "&gt;="&amp;HH1,'Revenue Tracking'!$H$13:$H$26, "&lt;"&amp;HI1)</f>
        <v>0</v>
      </c>
      <c r="HI3" s="194">
        <f>SUMIFS('Revenue Tracking'!$F$13:$F$26, 'Revenue Tracking'!$H$13:$H$26, "&gt;="&amp;HI1,'Revenue Tracking'!$H$13:$H$26, "&lt;"&amp;HJ1)</f>
        <v>0</v>
      </c>
      <c r="HJ3" s="194">
        <f>SUMIFS('Revenue Tracking'!$F$13:$F$26, 'Revenue Tracking'!$H$13:$H$26, "&gt;="&amp;HJ1,'Revenue Tracking'!$H$13:$H$26, "&lt;"&amp;HK1)</f>
        <v>0</v>
      </c>
      <c r="HK3" s="194">
        <f>SUMIFS('Revenue Tracking'!$F$13:$F$26, 'Revenue Tracking'!$H$13:$H$26, "&gt;="&amp;HK1,'Revenue Tracking'!$H$13:$H$26, "&lt;"&amp;HL1)</f>
        <v>0</v>
      </c>
      <c r="HL3" s="194">
        <f>SUMIFS('Revenue Tracking'!$F$13:$F$26, 'Revenue Tracking'!$H$13:$H$26, "&gt;="&amp;HL1,'Revenue Tracking'!$H$13:$H$26, "&lt;"&amp;HM1)</f>
        <v>0</v>
      </c>
      <c r="HM3" s="194">
        <f>SUMIFS('Revenue Tracking'!$F$13:$F$26, 'Revenue Tracking'!$H$13:$H$26, "&gt;="&amp;HM1,'Revenue Tracking'!$H$13:$H$26, "&lt;"&amp;HN1)</f>
        <v>0</v>
      </c>
      <c r="HN3" s="194">
        <f>SUMIFS('Revenue Tracking'!$F$13:$F$26, 'Revenue Tracking'!$H$13:$H$26, "&gt;="&amp;HN1,'Revenue Tracking'!$H$13:$H$26, "&lt;"&amp;HO1)</f>
        <v>0</v>
      </c>
      <c r="HO3" s="194">
        <f>SUMIFS('Revenue Tracking'!$F$13:$F$26, 'Revenue Tracking'!$H$13:$H$26, "&gt;="&amp;HO1,'Revenue Tracking'!$H$13:$H$26, "&lt;"&amp;HP1)</f>
        <v>0</v>
      </c>
      <c r="HP3" s="194">
        <f>SUMIFS('Revenue Tracking'!$F$13:$F$26, 'Revenue Tracking'!$H$13:$H$26, "&gt;="&amp;HP1,'Revenue Tracking'!$H$13:$H$26, "&lt;"&amp;HQ1)</f>
        <v>0</v>
      </c>
      <c r="HQ3" s="194">
        <f>SUMIFS('Revenue Tracking'!$F$13:$F$26, 'Revenue Tracking'!$H$13:$H$26, "&gt;="&amp;HQ1,'Revenue Tracking'!$H$13:$H$26, "&lt;"&amp;HR1)</f>
        <v>0</v>
      </c>
      <c r="HR3" s="194">
        <f>SUMIFS('Revenue Tracking'!$F$13:$F$26, 'Revenue Tracking'!$H$13:$H$26, "&gt;="&amp;HR1,'Revenue Tracking'!$H$13:$H$26, "&lt;"&amp;HS1)</f>
        <v>0</v>
      </c>
      <c r="HS3" s="194">
        <f>SUMIFS('Revenue Tracking'!$F$13:$F$26, 'Revenue Tracking'!$H$13:$H$26, "&gt;="&amp;HS1,'Revenue Tracking'!$H$13:$H$26, "&lt;"&amp;HT1)</f>
        <v>0</v>
      </c>
      <c r="HT3" s="194">
        <f>SUMIFS('Revenue Tracking'!$F$13:$F$26, 'Revenue Tracking'!$H$13:$H$26, "&gt;="&amp;HT1,'Revenue Tracking'!$H$13:$H$26, "&lt;"&amp;HU1)</f>
        <v>0</v>
      </c>
      <c r="HU3" s="194">
        <f>SUMIFS('Revenue Tracking'!$F$13:$F$26, 'Revenue Tracking'!$H$13:$H$26, "&gt;="&amp;HU1,'Revenue Tracking'!$H$13:$H$26, "&lt;"&amp;HV1)</f>
        <v>0</v>
      </c>
      <c r="HV3" s="194">
        <f>SUMIFS('Revenue Tracking'!$F$13:$F$26, 'Revenue Tracking'!$H$13:$H$26, "&gt;="&amp;HV1,'Revenue Tracking'!$H$13:$H$26, "&lt;"&amp;HW1)</f>
        <v>0</v>
      </c>
      <c r="HW3" s="194">
        <f>SUMIFS('Revenue Tracking'!$F$13:$F$26, 'Revenue Tracking'!$H$13:$H$26, "&gt;="&amp;HW1,'Revenue Tracking'!$H$13:$H$26, "&lt;"&amp;HX1)</f>
        <v>0</v>
      </c>
      <c r="HX3" s="194">
        <f>SUMIFS('Revenue Tracking'!$F$13:$F$26, 'Revenue Tracking'!$H$13:$H$26, "&gt;="&amp;HX1,'Revenue Tracking'!$H$13:$H$26, "&lt;"&amp;HY1)</f>
        <v>0</v>
      </c>
      <c r="HY3" s="194">
        <f>SUMIFS('Revenue Tracking'!$F$13:$F$26, 'Revenue Tracking'!$H$13:$H$26, "&gt;="&amp;HY1,'Revenue Tracking'!$H$13:$H$26, "&lt;"&amp;HZ1)</f>
        <v>0</v>
      </c>
      <c r="HZ3" s="194">
        <f>SUMIFS('Revenue Tracking'!$F$13:$F$26, 'Revenue Tracking'!$H$13:$H$26, "&gt;="&amp;HZ1,'Revenue Tracking'!$H$13:$H$26, "&lt;"&amp;IA1)</f>
        <v>0</v>
      </c>
      <c r="IA3" s="194">
        <f>SUMIFS('Revenue Tracking'!$F$13:$F$26, 'Revenue Tracking'!$H$13:$H$26, "&gt;="&amp;IA1,'Revenue Tracking'!$H$13:$H$26, "&lt;"&amp;IB1)</f>
        <v>0</v>
      </c>
      <c r="IB3" s="194">
        <f>SUMIFS('Revenue Tracking'!$F$13:$F$26, 'Revenue Tracking'!$H$13:$H$26, "&gt;="&amp;IB1,'Revenue Tracking'!$H$13:$H$26, "&lt;"&amp;IC1)</f>
        <v>0</v>
      </c>
      <c r="IC3" s="194">
        <f>SUMIFS('Revenue Tracking'!$F$13:$F$26, 'Revenue Tracking'!$H$13:$H$26, "&gt;="&amp;IC1,'Revenue Tracking'!$H$13:$H$26, "&lt;"&amp;ID1)</f>
        <v>0</v>
      </c>
      <c r="ID3" s="194">
        <f>SUMIFS('Revenue Tracking'!$F$13:$F$26, 'Revenue Tracking'!$H$13:$H$26, "&gt;="&amp;ID1,'Revenue Tracking'!$H$13:$H$26, "&lt;"&amp;IE1)</f>
        <v>0</v>
      </c>
      <c r="IE3" s="194">
        <f>SUMIFS('Revenue Tracking'!$F$13:$F$26, 'Revenue Tracking'!$H$13:$H$26, "&gt;="&amp;IE1,'Revenue Tracking'!$H$13:$H$26, "&lt;"&amp;IF1)</f>
        <v>0</v>
      </c>
      <c r="IF3" s="194">
        <f>SUMIFS('Revenue Tracking'!$F$13:$F$26, 'Revenue Tracking'!$H$13:$H$26, "&gt;="&amp;IF1,'Revenue Tracking'!$H$13:$H$26, "&lt;"&amp;IG1)</f>
        <v>0</v>
      </c>
      <c r="IG3" s="194">
        <f>SUMIFS('Revenue Tracking'!$F$13:$F$26, 'Revenue Tracking'!$H$13:$H$26, "&gt;="&amp;IG1,'Revenue Tracking'!$H$13:$H$26, "&lt;"&amp;IH1)</f>
        <v>0</v>
      </c>
      <c r="IH3" s="194">
        <f>SUMIFS('Revenue Tracking'!$F$13:$F$26, 'Revenue Tracking'!$H$13:$H$26, "&gt;="&amp;IH1,'Revenue Tracking'!$H$13:$H$26, "&lt;"&amp;II1)</f>
        <v>0</v>
      </c>
      <c r="II3" s="194">
        <f>SUMIFS('Revenue Tracking'!$F$13:$F$26, 'Revenue Tracking'!$H$13:$H$26, "&gt;="&amp;II1,'Revenue Tracking'!$H$13:$H$26, "&lt;"&amp;IJ1)</f>
        <v>0</v>
      </c>
      <c r="IJ3" s="194">
        <f>SUMIFS('Revenue Tracking'!$F$13:$F$26, 'Revenue Tracking'!$H$13:$H$26, "&gt;="&amp;IJ1,'Revenue Tracking'!$H$13:$H$26, "&lt;"&amp;IK1)</f>
        <v>0</v>
      </c>
      <c r="IK3" s="194">
        <f>SUMIFS('Revenue Tracking'!$F$13:$F$26, 'Revenue Tracking'!$H$13:$H$26, "&gt;="&amp;IK1,'Revenue Tracking'!$H$13:$H$26, "&lt;"&amp;IL1)</f>
        <v>0</v>
      </c>
      <c r="IL3" s="194">
        <f>SUMIFS('Revenue Tracking'!$F$13:$F$26, 'Revenue Tracking'!$H$13:$H$26, "&gt;="&amp;IL1,'Revenue Tracking'!$H$13:$H$26, "&lt;"&amp;IM1)</f>
        <v>0</v>
      </c>
      <c r="IM3" s="194">
        <f>SUMIFS('Revenue Tracking'!$F$13:$F$26, 'Revenue Tracking'!$H$13:$H$26, "&gt;="&amp;IM1,'Revenue Tracking'!$H$13:$H$26, "&lt;"&amp;IN1)</f>
        <v>0</v>
      </c>
      <c r="IN3" s="194">
        <f>SUMIFS('Revenue Tracking'!$F$13:$F$26, 'Revenue Tracking'!$H$13:$H$26, "&gt;="&amp;IN1,'Revenue Tracking'!$H$13:$H$26, "&lt;"&amp;IO1)</f>
        <v>0</v>
      </c>
      <c r="IO3" s="194">
        <f>SUMIFS('Revenue Tracking'!$F$13:$F$26, 'Revenue Tracking'!$H$13:$H$26, "&gt;="&amp;IO1,'Revenue Tracking'!$H$13:$H$26, "&lt;"&amp;IP1)</f>
        <v>0</v>
      </c>
      <c r="IP3" s="194">
        <f>SUMIFS('Revenue Tracking'!$F$13:$F$26, 'Revenue Tracking'!$H$13:$H$26, "&gt;="&amp;IP1,'Revenue Tracking'!$H$13:$H$26, "&lt;"&amp;IQ1)</f>
        <v>0</v>
      </c>
      <c r="IQ3" s="194">
        <f>SUMIFS('Revenue Tracking'!$F$13:$F$26, 'Revenue Tracking'!$H$13:$H$26, "&gt;="&amp;IQ1,'Revenue Tracking'!$H$13:$H$26, "&lt;"&amp;IR1)</f>
        <v>0</v>
      </c>
      <c r="IR3" s="194">
        <f>SUMIFS('Revenue Tracking'!$F$13:$F$26, 'Revenue Tracking'!$H$13:$H$26, "&gt;="&amp;IR1,'Revenue Tracking'!$H$13:$H$26, "&lt;"&amp;IS1)</f>
        <v>0</v>
      </c>
      <c r="IS3" s="194">
        <f>SUMIFS('Revenue Tracking'!$F$13:$F$26, 'Revenue Tracking'!$H$13:$H$26, "&gt;="&amp;IS1,'Revenue Tracking'!$H$13:$H$26, "&lt;"&amp;IT1)</f>
        <v>0</v>
      </c>
      <c r="IT3" s="194">
        <f>SUMIFS('Revenue Tracking'!$F$13:$F$26, 'Revenue Tracking'!$H$13:$H$26, "&gt;="&amp;IT1,'Revenue Tracking'!$H$13:$H$26, "&lt;"&amp;IU1)</f>
        <v>0</v>
      </c>
      <c r="IU3" s="194">
        <f>SUMIFS('Revenue Tracking'!$F$13:$F$26, 'Revenue Tracking'!$H$13:$H$26, "&gt;="&amp;IU1,'Revenue Tracking'!$H$13:$H$26, "&lt;"&amp;IV1)</f>
        <v>0</v>
      </c>
      <c r="IV3" s="194">
        <f>SUMIFS('Revenue Tracking'!$F$13:$F$26, 'Revenue Tracking'!$H$13:$H$26, "&gt;="&amp;IV1,'Revenue Tracking'!$H$13:$H$26, "&lt;"&amp;IW1)</f>
        <v>0</v>
      </c>
      <c r="IW3" s="194">
        <f>SUMIFS('Revenue Tracking'!$F$13:$F$26, 'Revenue Tracking'!$H$13:$H$26, "&gt;="&amp;IW1,'Revenue Tracking'!$H$13:$H$26, "&lt;"&amp;IX1)</f>
        <v>0</v>
      </c>
      <c r="IX3" s="194">
        <f>SUMIFS('Revenue Tracking'!$F$13:$F$26, 'Revenue Tracking'!$H$13:$H$26, "&gt;="&amp;IX1,'Revenue Tracking'!$H$13:$H$26, "&lt;"&amp;IY1)</f>
        <v>0</v>
      </c>
      <c r="IY3" s="194">
        <f>SUMIFS('Revenue Tracking'!$F$13:$F$26, 'Revenue Tracking'!$H$13:$H$26, "&gt;="&amp;IY1,'Revenue Tracking'!$H$13:$H$26, "&lt;"&amp;IZ1)</f>
        <v>0</v>
      </c>
      <c r="IZ3" s="194">
        <f>SUMIFS('Revenue Tracking'!$F$13:$F$26, 'Revenue Tracking'!$H$13:$H$26, "&gt;="&amp;IZ1,'Revenue Tracking'!$H$13:$H$26, "&lt;"&amp;JA1)</f>
        <v>0</v>
      </c>
      <c r="JA3" s="194">
        <f>SUMIFS('Revenue Tracking'!$F$13:$F$26, 'Revenue Tracking'!$H$13:$H$26, "&gt;="&amp;JA1,'Revenue Tracking'!$H$13:$H$26, "&lt;"&amp;JB1)</f>
        <v>0</v>
      </c>
      <c r="JB3" s="194">
        <f>SUMIFS('Revenue Tracking'!$F$13:$F$26, 'Revenue Tracking'!$H$13:$H$26, "&gt;="&amp;JB1,'Revenue Tracking'!$H$13:$H$26, "&lt;"&amp;JC1)</f>
        <v>0</v>
      </c>
      <c r="JC3" s="194">
        <f>SUMIFS('Revenue Tracking'!$F$13:$F$26, 'Revenue Tracking'!$H$13:$H$26, "&gt;="&amp;JC1,'Revenue Tracking'!$H$13:$H$26, "&lt;"&amp;JD1)</f>
        <v>0</v>
      </c>
      <c r="JD3" s="194">
        <f>SUMIFS('Revenue Tracking'!$F$13:$F$26, 'Revenue Tracking'!$H$13:$H$26, "&gt;="&amp;JD1,'Revenue Tracking'!$H$13:$H$26, "&lt;"&amp;JE1)</f>
        <v>0</v>
      </c>
      <c r="JE3" s="194">
        <f>SUMIFS('Revenue Tracking'!$F$13:$F$26, 'Revenue Tracking'!$H$13:$H$26, "&gt;="&amp;JE1,'Revenue Tracking'!$H$13:$H$26, "&lt;"&amp;JF1)</f>
        <v>0</v>
      </c>
      <c r="JF3" s="194">
        <f>SUMIFS('Revenue Tracking'!$F$13:$F$26, 'Revenue Tracking'!$H$13:$H$26, "&gt;="&amp;JF1,'Revenue Tracking'!$H$13:$H$26, "&lt;"&amp;JG1)</f>
        <v>0</v>
      </c>
      <c r="JG3" s="194">
        <f>SUMIFS('Revenue Tracking'!$F$13:$F$26, 'Revenue Tracking'!$H$13:$H$26, "&gt;="&amp;JG1,'Revenue Tracking'!$H$13:$H$26, "&lt;"&amp;JH1)</f>
        <v>0</v>
      </c>
      <c r="JH3" s="194">
        <f>SUMIFS('Revenue Tracking'!$F$13:$F$26, 'Revenue Tracking'!$H$13:$H$26, "&gt;="&amp;JH1,'Revenue Tracking'!$H$13:$H$26, "&lt;"&amp;JI1)</f>
        <v>0</v>
      </c>
      <c r="JI3" s="194">
        <f>SUMIFS('Revenue Tracking'!$F$13:$F$26, 'Revenue Tracking'!$H$13:$H$26, "&gt;="&amp;JI1,'Revenue Tracking'!$H$13:$H$26, "&lt;"&amp;JJ1)</f>
        <v>0</v>
      </c>
      <c r="JJ3" s="194">
        <f>SUMIFS('Revenue Tracking'!$F$13:$F$26, 'Revenue Tracking'!$H$13:$H$26, "&gt;="&amp;JJ1,'Revenue Tracking'!$H$13:$H$26, "&lt;"&amp;JK1)</f>
        <v>0</v>
      </c>
      <c r="JK3" s="194">
        <f>SUMIFS('Revenue Tracking'!$F$13:$F$26, 'Revenue Tracking'!$H$13:$H$26, "&gt;="&amp;JK1,'Revenue Tracking'!$H$13:$H$26, "&lt;"&amp;JL1)</f>
        <v>0</v>
      </c>
      <c r="JL3" s="194">
        <f>SUMIFS('Revenue Tracking'!$F$13:$F$26, 'Revenue Tracking'!$H$13:$H$26, "&gt;="&amp;JL1,'Revenue Tracking'!$H$13:$H$26, "&lt;"&amp;JM1)</f>
        <v>0</v>
      </c>
      <c r="JM3" s="194">
        <f>SUMIFS('Revenue Tracking'!$F$13:$F$26, 'Revenue Tracking'!$H$13:$H$26, "&gt;="&amp;JM1,'Revenue Tracking'!$H$13:$H$26, "&lt;"&amp;JN1)</f>
        <v>0</v>
      </c>
      <c r="JN3" s="194">
        <f>SUMIFS('Revenue Tracking'!$F$13:$F$26, 'Revenue Tracking'!$H$13:$H$26, "&gt;="&amp;JN1,'Revenue Tracking'!$H$13:$H$26, "&lt;"&amp;JO1)</f>
        <v>0</v>
      </c>
      <c r="JO3" s="194">
        <f>SUMIFS('Revenue Tracking'!$F$13:$F$26, 'Revenue Tracking'!$H$13:$H$26, "&gt;="&amp;JO1,'Revenue Tracking'!$H$13:$H$26, "&lt;"&amp;JP1)</f>
        <v>0</v>
      </c>
      <c r="JP3" s="194">
        <f>SUMIFS('Revenue Tracking'!$F$13:$F$26, 'Revenue Tracking'!$H$13:$H$26, "&gt;="&amp;JP1,'Revenue Tracking'!$H$13:$H$26, "&lt;"&amp;JQ1)</f>
        <v>0</v>
      </c>
      <c r="JQ3" s="194">
        <f>SUMIFS('Revenue Tracking'!$F$13:$F$26, 'Revenue Tracking'!$H$13:$H$26, "&gt;="&amp;JQ1,'Revenue Tracking'!$H$13:$H$26, "&lt;"&amp;JR1)</f>
        <v>0</v>
      </c>
      <c r="JR3" s="194">
        <f>SUMIFS('Revenue Tracking'!$F$13:$F$26, 'Revenue Tracking'!$H$13:$H$26, "&gt;="&amp;JR1,'Revenue Tracking'!$H$13:$H$26, "&lt;"&amp;JS1)</f>
        <v>0</v>
      </c>
      <c r="JS3" s="194">
        <f>SUMIFS('Revenue Tracking'!$F$13:$F$26, 'Revenue Tracking'!$H$13:$H$26, "&gt;="&amp;JS1,'Revenue Tracking'!$H$13:$H$26, "&lt;"&amp;JT1)</f>
        <v>0</v>
      </c>
      <c r="JT3" s="194">
        <f>SUMIFS('Revenue Tracking'!$F$13:$F$26, 'Revenue Tracking'!$H$13:$H$26, "&gt;="&amp;JT1,'Revenue Tracking'!$H$13:$H$26, "&lt;"&amp;JU1)</f>
        <v>0</v>
      </c>
      <c r="JU3" s="194">
        <f>SUMIFS('Revenue Tracking'!$F$13:$F$26, 'Revenue Tracking'!$H$13:$H$26, "&gt;="&amp;JU1,'Revenue Tracking'!$H$13:$H$26, "&lt;"&amp;JV1)</f>
        <v>0</v>
      </c>
      <c r="JV3" s="194">
        <f>SUMIFS('Revenue Tracking'!$F$13:$F$26, 'Revenue Tracking'!$H$13:$H$26, "&gt;="&amp;JV1,'Revenue Tracking'!$H$13:$H$26, "&lt;"&amp;JW1)</f>
        <v>0</v>
      </c>
      <c r="JW3" s="194">
        <f>SUMIFS('Revenue Tracking'!$F$13:$F$26, 'Revenue Tracking'!$H$13:$H$26, "&gt;="&amp;JW1,'Revenue Tracking'!$H$13:$H$26, "&lt;"&amp;JX1)</f>
        <v>0</v>
      </c>
      <c r="JX3" s="194">
        <f>SUMIFS('Revenue Tracking'!$F$13:$F$26, 'Revenue Tracking'!$H$13:$H$26, "&gt;="&amp;JX1,'Revenue Tracking'!$H$13:$H$26, "&lt;"&amp;JY1)</f>
        <v>0</v>
      </c>
      <c r="JY3" s="194">
        <f>SUMIFS('Revenue Tracking'!$F$13:$F$26, 'Revenue Tracking'!$H$13:$H$26, "&gt;="&amp;JY1,'Revenue Tracking'!$H$13:$H$26, "&lt;"&amp;JZ1)</f>
        <v>0</v>
      </c>
      <c r="JZ3" s="194">
        <f>SUMIFS('Revenue Tracking'!$F$13:$F$26, 'Revenue Tracking'!$H$13:$H$26, "&gt;="&amp;JZ1,'Revenue Tracking'!$H$13:$H$26, "&lt;"&amp;KA1)</f>
        <v>0</v>
      </c>
      <c r="KA3" s="194">
        <f>SUMIFS('Revenue Tracking'!$F$13:$F$26, 'Revenue Tracking'!$H$13:$H$26, "&gt;="&amp;KA1,'Revenue Tracking'!$H$13:$H$26, "&lt;"&amp;KB1)</f>
        <v>0</v>
      </c>
      <c r="KB3" s="194">
        <f>SUMIFS('Revenue Tracking'!$F$13:$F$26, 'Revenue Tracking'!$H$13:$H$26, "&gt;="&amp;KB1,'Revenue Tracking'!$H$13:$H$26, "&lt;"&amp;KC1)</f>
        <v>0</v>
      </c>
      <c r="KC3" s="194">
        <f>SUMIFS('Revenue Tracking'!$F$13:$F$26, 'Revenue Tracking'!$H$13:$H$26, "&gt;="&amp;KC1,'Revenue Tracking'!$H$13:$H$26, "&lt;"&amp;KD1)</f>
        <v>0</v>
      </c>
      <c r="KD3" s="194">
        <f>SUMIFS('Revenue Tracking'!$F$13:$F$26, 'Revenue Tracking'!$H$13:$H$26, "&gt;="&amp;KD1,'Revenue Tracking'!$H$13:$H$26, "&lt;"&amp;KE1)</f>
        <v>0</v>
      </c>
      <c r="KE3" s="194">
        <f>SUMIFS('Revenue Tracking'!$F$13:$F$26, 'Revenue Tracking'!$H$13:$H$26, "&gt;="&amp;KE1,'Revenue Tracking'!$H$13:$H$26, "&lt;"&amp;KF1)</f>
        <v>0</v>
      </c>
      <c r="KF3" s="194">
        <f>SUMIFS('Revenue Tracking'!$F$13:$F$26, 'Revenue Tracking'!$H$13:$H$26, "&gt;="&amp;KF1,'Revenue Tracking'!$H$13:$H$26, "&lt;"&amp;KG1)</f>
        <v>0</v>
      </c>
      <c r="KG3" s="194">
        <f>SUMIFS('Revenue Tracking'!$F$13:$F$26, 'Revenue Tracking'!$H$13:$H$26, "&gt;="&amp;KG1,'Revenue Tracking'!$H$13:$H$26, "&lt;"&amp;KH1)</f>
        <v>0</v>
      </c>
      <c r="KH3" s="194">
        <f>SUMIFS('Revenue Tracking'!$F$13:$F$26, 'Revenue Tracking'!$H$13:$H$26, "&gt;="&amp;KH1,'Revenue Tracking'!$H$13:$H$26, "&lt;"&amp;KI1)</f>
        <v>0</v>
      </c>
      <c r="KI3" s="194">
        <f>SUMIFS('Revenue Tracking'!$F$13:$F$26, 'Revenue Tracking'!$H$13:$H$26, "&gt;="&amp;KI1,'Revenue Tracking'!$H$13:$H$26, "&lt;"&amp;KJ1)</f>
        <v>0</v>
      </c>
      <c r="KJ3" s="194">
        <f>SUMIFS('Revenue Tracking'!$F$13:$F$26, 'Revenue Tracking'!$H$13:$H$26, "&gt;="&amp;KJ1,'Revenue Tracking'!$H$13:$H$26, "&lt;"&amp;KK1)</f>
        <v>0</v>
      </c>
      <c r="KK3" s="194">
        <f>SUMIFS('Revenue Tracking'!$F$13:$F$26, 'Revenue Tracking'!$H$13:$H$26, "&gt;="&amp;KK1,'Revenue Tracking'!$H$13:$H$26, "&lt;"&amp;KL1)</f>
        <v>0</v>
      </c>
      <c r="KL3" s="194">
        <f>SUMIFS('Revenue Tracking'!$F$13:$F$26, 'Revenue Tracking'!$H$13:$H$26, "&gt;="&amp;KL1,'Revenue Tracking'!$H$13:$H$26, "&lt;"&amp;KM1)</f>
        <v>0</v>
      </c>
      <c r="KM3" s="194">
        <f>SUMIFS('Revenue Tracking'!$F$13:$F$26, 'Revenue Tracking'!$H$13:$H$26, "&gt;="&amp;KM1,'Revenue Tracking'!$H$13:$H$26, "&lt;"&amp;KN1)</f>
        <v>0</v>
      </c>
      <c r="KN3" s="194">
        <f>SUMIFS('Revenue Tracking'!$F$13:$F$26, 'Revenue Tracking'!$H$13:$H$26, "&gt;="&amp;KN1,'Revenue Tracking'!$H$13:$H$26, "&lt;"&amp;KO1)</f>
        <v>0</v>
      </c>
      <c r="KO3" s="194">
        <f>SUMIFS('Revenue Tracking'!$F$13:$F$26, 'Revenue Tracking'!$H$13:$H$26, "&gt;="&amp;KO1,'Revenue Tracking'!$H$13:$H$26, "&lt;"&amp;KP1)</f>
        <v>0</v>
      </c>
      <c r="KP3" s="194">
        <f>SUMIFS('Revenue Tracking'!$F$13:$F$26, 'Revenue Tracking'!$H$13:$H$26, "&gt;="&amp;KP1,'Revenue Tracking'!$H$13:$H$26, "&lt;"&amp;KQ1)</f>
        <v>0</v>
      </c>
      <c r="KQ3" s="194">
        <f>SUMIFS('Revenue Tracking'!$F$13:$F$26, 'Revenue Tracking'!$H$13:$H$26, "&gt;="&amp;KQ1,'Revenue Tracking'!$H$13:$H$26, "&lt;"&amp;KR1)</f>
        <v>0</v>
      </c>
      <c r="KR3" s="194">
        <f>SUMIFS('Revenue Tracking'!$F$13:$F$26, 'Revenue Tracking'!$H$13:$H$26, "&gt;="&amp;KR1,'Revenue Tracking'!$H$13:$H$26, "&lt;"&amp;KS1)</f>
        <v>0</v>
      </c>
      <c r="KS3" s="194">
        <f>SUMIFS('Revenue Tracking'!$F$13:$F$26, 'Revenue Tracking'!$H$13:$H$26, "&gt;="&amp;KS1,'Revenue Tracking'!$H$13:$H$26, "&lt;"&amp;KT1)</f>
        <v>0</v>
      </c>
      <c r="KT3" s="194">
        <f>SUMIFS('Revenue Tracking'!$F$13:$F$26, 'Revenue Tracking'!$H$13:$H$26, "&gt;="&amp;KT1,'Revenue Tracking'!$H$13:$H$26, "&lt;"&amp;KU1)</f>
        <v>0</v>
      </c>
      <c r="KU3" s="194">
        <f>SUMIFS('Revenue Tracking'!$F$13:$F$26, 'Revenue Tracking'!$H$13:$H$26, "&gt;="&amp;KU1,'Revenue Tracking'!$H$13:$H$26, "&lt;"&amp;KV1)</f>
        <v>0</v>
      </c>
      <c r="KV3" s="194">
        <f>SUMIFS('Revenue Tracking'!$F$13:$F$26, 'Revenue Tracking'!$H$13:$H$26, "&gt;="&amp;KV1,'Revenue Tracking'!$H$13:$H$26, "&lt;"&amp;KW1)</f>
        <v>0</v>
      </c>
      <c r="KW3" s="194">
        <f>SUMIFS('Revenue Tracking'!$F$13:$F$26, 'Revenue Tracking'!$H$13:$H$26, "&gt;="&amp;KW1,'Revenue Tracking'!$H$13:$H$26, "&lt;"&amp;KX1)</f>
        <v>0</v>
      </c>
      <c r="KX3" s="194">
        <f>SUMIFS('Revenue Tracking'!$F$13:$F$26, 'Revenue Tracking'!$H$13:$H$26, "&gt;="&amp;KX1,'Revenue Tracking'!$H$13:$H$26, "&lt;"&amp;KY1)</f>
        <v>0</v>
      </c>
      <c r="KY3" s="194">
        <f>SUMIFS('Revenue Tracking'!$F$13:$F$26, 'Revenue Tracking'!$H$13:$H$26, "&gt;="&amp;KY1,'Revenue Tracking'!$H$13:$H$26, "&lt;"&amp;KZ1)</f>
        <v>0</v>
      </c>
      <c r="KZ3" s="194">
        <f>SUMIFS('Revenue Tracking'!$F$13:$F$26, 'Revenue Tracking'!$H$13:$H$26, "&gt;="&amp;KZ1,'Revenue Tracking'!$H$13:$H$26, "&lt;"&amp;LA1)</f>
        <v>0</v>
      </c>
      <c r="LA3" s="194">
        <f>SUMIFS('Revenue Tracking'!$F$13:$F$26, 'Revenue Tracking'!$H$13:$H$26, "&gt;="&amp;LA1,'Revenue Tracking'!$H$13:$H$26, "&lt;"&amp;LB1)</f>
        <v>0</v>
      </c>
      <c r="LB3" s="194">
        <f>SUMIFS('Revenue Tracking'!$F$13:$F$26, 'Revenue Tracking'!$H$13:$H$26, "&gt;="&amp;LB1,'Revenue Tracking'!$H$13:$H$26, "&lt;"&amp;LC1)</f>
        <v>0</v>
      </c>
      <c r="LC3" s="194">
        <f>SUMIFS('Revenue Tracking'!$F$13:$F$26, 'Revenue Tracking'!$H$13:$H$26, "&gt;="&amp;LC1,'Revenue Tracking'!$H$13:$H$26, "&lt;"&amp;LD1)</f>
        <v>0</v>
      </c>
      <c r="LD3" s="194">
        <f>SUMIFS('Revenue Tracking'!$F$13:$F$26, 'Revenue Tracking'!$H$13:$H$26, "&gt;="&amp;LD1,'Revenue Tracking'!$H$13:$H$26, "&lt;"&amp;#REF!)</f>
        <v>0</v>
      </c>
    </row>
    <row r="4" spans="1:794">
      <c r="A4" s="854"/>
      <c r="B4" s="191" t="s">
        <v>192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54"/>
      <c r="B5" s="195" t="s">
        <v>107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Breakdown'!$G$6:$G$236, 'Expenditure Breakdown'!$H$6:$H$236, "&gt;="&amp;F1,'Expenditure Breakdown'!$H$6:$H$236, "&lt;"&amp;G1)</f>
        <v>0</v>
      </c>
      <c r="G5" s="197">
        <f>SUMIFS('Expenditure Breakdown'!$G$6:$G$236, 'Expenditure Breakdown'!$H$6:$H$236, "&gt;="&amp;G1,'Expenditure Breakdown'!$H$6:$H$236, "&lt;"&amp;H1)</f>
        <v>0</v>
      </c>
      <c r="H5" s="197">
        <f>SUMIFS('Expenditure Breakdown'!$G$6:$G$236, 'Expenditure Breakdown'!$H$6:$H$236, "&gt;="&amp;H1,'Expenditure Breakdown'!$H$6:$H$236, "&lt;"&amp;I1)</f>
        <v>0</v>
      </c>
      <c r="I5" s="197">
        <f>SUMIFS('Expenditure Breakdown'!$G$6:$G$236, 'Expenditure Breakdown'!$H$6:$H$236, "&gt;="&amp;I1,'Expenditure Breakdown'!$H$6:$H$236, "&lt;"&amp;J1)</f>
        <v>0</v>
      </c>
      <c r="J5" s="197">
        <f>SUMIFS('Expenditure Breakdown'!$G$6:$G$236, 'Expenditure Breakdown'!$H$6:$H$236, "&gt;="&amp;J1,'Expenditure Breakdown'!$H$6:$H$236, "&lt;"&amp;K1)</f>
        <v>0</v>
      </c>
      <c r="K5" s="197">
        <f>SUMIFS('Expenditure Breakdown'!$G$6:$G$236, 'Expenditure Breakdown'!$H$6:$H$236, "&gt;="&amp;K1,'Expenditure Breakdown'!$H$6:$H$236, "&lt;"&amp;L1)</f>
        <v>0</v>
      </c>
      <c r="L5" s="197">
        <f>SUMIFS('Expenditure Breakdown'!$G$6:$G$236, 'Expenditure Breakdown'!$H$6:$H$236, "&gt;="&amp;L1,'Expenditure Breakdown'!$H$6:$H$236, "&lt;"&amp;M1)</f>
        <v>0</v>
      </c>
      <c r="M5" s="197">
        <f>SUMIFS('Expenditure Breakdown'!$G$6:$G$236, 'Expenditure Breakdown'!$H$6:$H$236, "&gt;="&amp;M1,'Expenditure Breakdown'!$H$6:$H$236, "&lt;"&amp;N1)</f>
        <v>0</v>
      </c>
      <c r="N5" s="197">
        <f>SUMIFS('Expenditure Breakdown'!$G$6:$G$236, 'Expenditure Breakdown'!$H$6:$H$236, "&gt;="&amp;N1,'Expenditure Breakdown'!$H$6:$H$236, "&lt;"&amp;O1)</f>
        <v>0</v>
      </c>
      <c r="O5" s="197">
        <f>SUMIFS('Expenditure Breakdown'!$G$6:$G$236, 'Expenditure Breakdown'!$H$6:$H$236, "&gt;="&amp;O1,'Expenditure Breakdown'!$H$6:$H$236, "&lt;"&amp;P1)</f>
        <v>0</v>
      </c>
      <c r="P5" s="197">
        <f>SUMIFS('Expenditure Breakdown'!$G$6:$G$236, 'Expenditure Breakdown'!$H$6:$H$236, "&gt;="&amp;P1,'Expenditure Breakdown'!$H$6:$H$236, "&lt;"&amp;Q1)</f>
        <v>0</v>
      </c>
      <c r="Q5" s="197">
        <f>SUMIFS('Expenditure Breakdown'!$G$6:$G$236, 'Expenditure Breakdown'!$H$6:$H$236, "&gt;="&amp;Q1,'Expenditure Breakdown'!$H$6:$H$236, "&lt;"&amp;R1)</f>
        <v>0</v>
      </c>
      <c r="R5" s="197">
        <f>SUMIFS('Expenditure Breakdown'!$G$6:$G$236, 'Expenditure Breakdown'!$H$6:$H$236, "&gt;="&amp;R1,'Expenditure Breakdown'!$H$6:$H$236, "&lt;"&amp;S1)</f>
        <v>0</v>
      </c>
      <c r="S5" s="197">
        <f>SUMIFS('Expenditure Breakdown'!$G$6:$G$236, 'Expenditure Breakdown'!$H$6:$H$236, "&gt;="&amp;S1,'Expenditure Breakdown'!$H$6:$H$236, "&lt;"&amp;T1)</f>
        <v>0</v>
      </c>
      <c r="T5" s="197">
        <f>SUMIFS('Expenditure Breakdown'!$G$6:$G$236, 'Expenditure Breakdown'!$H$6:$H$236, "&gt;="&amp;T1,'Expenditure Breakdown'!$H$6:$H$236, "&lt;"&amp;U1)</f>
        <v>0</v>
      </c>
      <c r="U5" s="197">
        <f>SUMIFS('Expenditure Breakdown'!$G$6:$G$236, 'Expenditure Breakdown'!$H$6:$H$236, "&gt;="&amp;U1,'Expenditure Breakdown'!$H$6:$H$236, "&lt;"&amp;V1)</f>
        <v>0</v>
      </c>
      <c r="V5" s="197">
        <f>SUMIFS('Expenditure Breakdown'!$G$6:$G$236, 'Expenditure Breakdown'!$H$6:$H$236, "&gt;="&amp;V1,'Expenditure Breakdown'!$H$6:$H$236, "&lt;"&amp;W1)</f>
        <v>0</v>
      </c>
      <c r="W5" s="197">
        <f>SUMIFS('Expenditure Breakdown'!$G$6:$G$236, 'Expenditure Breakdown'!$H$6:$H$236, "&gt;="&amp;W1,'Expenditure Breakdown'!$H$6:$H$236, "&lt;"&amp;X1)</f>
        <v>0</v>
      </c>
      <c r="X5" s="197">
        <f>SUMIFS('Expenditure Breakdown'!$G$6:$G$236, 'Expenditure Breakdown'!$H$6:$H$236, "&gt;="&amp;X1,'Expenditure Breakdown'!$H$6:$H$236, "&lt;"&amp;Y1)</f>
        <v>0</v>
      </c>
      <c r="Y5" s="197">
        <f>SUMIFS('Expenditure Breakdown'!$G$6:$G$236, 'Expenditure Breakdown'!$H$6:$H$236, "&gt;="&amp;Y1,'Expenditure Breakdown'!$H$6:$H$236, "&lt;"&amp;Z1)</f>
        <v>0</v>
      </c>
      <c r="Z5" s="197">
        <f>SUMIFS('Expenditure Breakdown'!$G$6:$G$236, 'Expenditure Breakdown'!$H$6:$H$236, "&gt;="&amp;Z1,'Expenditure Breakdown'!$H$6:$H$236, "&lt;"&amp;AA1)</f>
        <v>0</v>
      </c>
      <c r="AA5" s="197">
        <f>SUMIFS('Expenditure Breakdown'!$G$6:$G$236, 'Expenditure Breakdown'!$H$6:$H$236, "&gt;="&amp;AA1,'Expenditure Breakdown'!$H$6:$H$236, "&lt;"&amp;AB1)</f>
        <v>0</v>
      </c>
      <c r="AB5" s="197">
        <f>SUMIFS('Expenditure Breakdown'!$G$6:$G$236, 'Expenditure Breakdown'!$H$6:$H$236, "&gt;="&amp;AB1,'Expenditure Breakdown'!$H$6:$H$236, "&lt;"&amp;AC1)</f>
        <v>0</v>
      </c>
      <c r="AC5" s="197">
        <f>SUMIFS('Expenditure Breakdown'!$G$6:$G$236, 'Expenditure Breakdown'!$H$6:$H$236, "&gt;="&amp;AC1,'Expenditure Breakdown'!$H$6:$H$236, "&lt;"&amp;AD1)</f>
        <v>0</v>
      </c>
      <c r="AD5" s="197">
        <f>SUMIFS('Expenditure Breakdown'!$G$6:$G$236, 'Expenditure Breakdown'!$H$6:$H$236, "&gt;="&amp;AD1,'Expenditure Breakdown'!$H$6:$H$236, "&lt;"&amp;AE1)</f>
        <v>0</v>
      </c>
      <c r="AE5" s="197">
        <f>SUMIFS('Expenditure Breakdown'!$G$6:$G$236, 'Expenditure Breakdown'!$H$6:$H$236, "&gt;="&amp;AE1,'Expenditure Breakdown'!$H$6:$H$236, "&lt;"&amp;AF1)</f>
        <v>0</v>
      </c>
      <c r="AF5" s="197">
        <f>SUMIFS('Expenditure Breakdown'!$G$6:$G$236, 'Expenditure Breakdown'!$H$6:$H$236, "&gt;="&amp;AF1,'Expenditure Breakdown'!$H$6:$H$236, "&lt;"&amp;AG1)</f>
        <v>0</v>
      </c>
      <c r="AG5" s="197">
        <f>SUMIFS('Expenditure Breakdown'!$G$6:$G$236, 'Expenditure Breakdown'!$H$6:$H$236, "&gt;="&amp;AG1,'Expenditure Breakdown'!$H$6:$H$236, "&lt;"&amp;AH1)</f>
        <v>0</v>
      </c>
      <c r="AH5" s="197">
        <f>SUMIFS('Expenditure Breakdown'!$G$6:$G$236, 'Expenditure Breakdown'!$H$6:$H$236, "&gt;="&amp;AH1,'Expenditure Breakdown'!$H$6:$H$236, "&lt;"&amp;AI1)</f>
        <v>0</v>
      </c>
      <c r="AI5" s="197">
        <f>SUMIFS('Expenditure Breakdown'!$G$6:$G$236, 'Expenditure Breakdown'!$H$6:$H$236, "&gt;="&amp;AI1,'Expenditure Breakdown'!$H$6:$H$236, "&lt;"&amp;AJ1)</f>
        <v>0</v>
      </c>
      <c r="AJ5" s="197">
        <f>SUMIFS('Expenditure Breakdown'!$G$6:$G$236, 'Expenditure Breakdown'!$H$6:$H$236, "&gt;="&amp;AJ1,'Expenditure Breakdown'!$H$6:$H$236, "&lt;"&amp;AK1)</f>
        <v>0</v>
      </c>
      <c r="AK5" s="197">
        <f>SUMIFS('Expenditure Breakdown'!$G$6:$G$236, 'Expenditure Breakdown'!$H$6:$H$236, "&gt;="&amp;AK1,'Expenditure Breakdown'!$H$6:$H$236, "&lt;"&amp;AL1)</f>
        <v>0</v>
      </c>
      <c r="AL5" s="197">
        <f>SUMIFS('Expenditure Breakdown'!$G$6:$G$236, 'Expenditure Breakdown'!$H$6:$H$236, "&gt;="&amp;AL1,'Expenditure Breakdown'!$H$6:$H$236, "&lt;"&amp;AM1)</f>
        <v>0</v>
      </c>
      <c r="AM5" s="197">
        <f>SUMIFS('Expenditure Breakdown'!$G$6:$G$236, 'Expenditure Breakdown'!$H$6:$H$236, "&gt;="&amp;AM1,'Expenditure Breakdown'!$H$6:$H$236, "&lt;"&amp;AN1)</f>
        <v>0</v>
      </c>
      <c r="AN5" s="197">
        <f>SUMIFS('Expenditure Breakdown'!$G$6:$G$236, 'Expenditure Breakdown'!$H$6:$H$236, "&gt;="&amp;AN1,'Expenditure Breakdown'!$H$6:$H$236, "&lt;"&amp;AO1)</f>
        <v>0</v>
      </c>
      <c r="AO5" s="197">
        <f>SUMIFS('Expenditure Breakdown'!$G$6:$G$236, 'Expenditure Breakdown'!$H$6:$H$236, "&gt;="&amp;AO1,'Expenditure Breakdown'!$H$6:$H$236, "&lt;"&amp;AP1)</f>
        <v>0</v>
      </c>
      <c r="AP5" s="197">
        <f>SUMIFS('Expenditure Breakdown'!$G$6:$G$236, 'Expenditure Breakdown'!$H$6:$H$236, "&gt;="&amp;AP1,'Expenditure Breakdown'!$H$6:$H$236, "&lt;"&amp;AQ1)</f>
        <v>0</v>
      </c>
      <c r="AQ5" s="197">
        <f>SUMIFS('Expenditure Breakdown'!$G$6:$G$236, 'Expenditure Breakdown'!$H$6:$H$236, "&gt;="&amp;AQ1,'Expenditure Breakdown'!$H$6:$H$236, "&lt;"&amp;AR1)</f>
        <v>0</v>
      </c>
      <c r="AR5" s="197">
        <f>SUMIFS('Expenditure Breakdown'!$G$6:$G$236, 'Expenditure Breakdown'!$H$6:$H$236, "&gt;="&amp;AR1,'Expenditure Breakdown'!$H$6:$H$236, "&lt;"&amp;AS1)</f>
        <v>0</v>
      </c>
      <c r="AS5" s="197">
        <f>SUMIFS('Expenditure Breakdown'!$G$6:$G$236, 'Expenditure Breakdown'!$H$6:$H$236, "&gt;="&amp;AS1,'Expenditure Breakdown'!$H$6:$H$236, "&lt;"&amp;AT1)</f>
        <v>0</v>
      </c>
      <c r="AT5" s="197">
        <f>SUMIFS('Expenditure Breakdown'!$G$6:$G$236, 'Expenditure Breakdown'!$H$6:$H$236, "&gt;="&amp;AT1,'Expenditure Breakdown'!$H$6:$H$236, "&lt;"&amp;AU1)</f>
        <v>0</v>
      </c>
      <c r="AU5" s="197">
        <f>SUMIFS('Expenditure Breakdown'!$G$6:$G$236, 'Expenditure Breakdown'!$H$6:$H$236, "&gt;="&amp;AU1,'Expenditure Breakdown'!$H$6:$H$236, "&lt;"&amp;AV1)</f>
        <v>0</v>
      </c>
      <c r="AV5" s="197">
        <f>SUMIFS('Expenditure Breakdown'!$G$6:$G$236, 'Expenditure Breakdown'!$H$6:$H$236, "&gt;="&amp;AV1,'Expenditure Breakdown'!$H$6:$H$236, "&lt;"&amp;AW1)</f>
        <v>0</v>
      </c>
      <c r="AW5" s="197">
        <f>SUMIFS('Expenditure Breakdown'!$G$6:$G$236, 'Expenditure Breakdown'!$H$6:$H$236, "&gt;="&amp;AW1,'Expenditure Breakdown'!$H$6:$H$236, "&lt;"&amp;AX1)</f>
        <v>0</v>
      </c>
      <c r="AX5" s="197">
        <f>SUMIFS('Expenditure Breakdown'!$G$6:$G$236, 'Expenditure Breakdown'!$H$6:$H$236, "&gt;="&amp;AX1,'Expenditure Breakdown'!$H$6:$H$236, "&lt;"&amp;AY1)</f>
        <v>0</v>
      </c>
      <c r="AY5" s="197">
        <f>SUMIFS('Expenditure Breakdown'!$G$6:$G$236, 'Expenditure Breakdown'!$H$6:$H$236, "&gt;="&amp;AY1,'Expenditure Breakdown'!$H$6:$H$236, "&lt;"&amp;AZ1)</f>
        <v>0</v>
      </c>
      <c r="AZ5" s="197">
        <f>SUMIFS('Expenditure Breakdown'!$G$6:$G$236, 'Expenditure Breakdown'!$H$6:$H$236, "&gt;="&amp;AZ1,'Expenditure Breakdown'!$H$6:$H$236, "&lt;"&amp;BA1)</f>
        <v>0</v>
      </c>
      <c r="BA5" s="197">
        <f>SUMIFS('Expenditure Breakdown'!$G$6:$G$236, 'Expenditure Breakdown'!$H$6:$H$236, "&gt;="&amp;BA1,'Expenditure Breakdown'!$H$6:$H$236, "&lt;"&amp;BB1)</f>
        <v>0</v>
      </c>
      <c r="BB5" s="197">
        <f>SUMIFS('Expenditure Breakdown'!$G$6:$G$236, 'Expenditure Breakdown'!$H$6:$H$236, "&gt;="&amp;BB1,'Expenditure Breakdown'!$H$6:$H$236, "&lt;"&amp;BC1)</f>
        <v>0</v>
      </c>
      <c r="BC5" s="197">
        <f>SUMIFS('Expenditure Breakdown'!$G$6:$G$236, 'Expenditure Breakdown'!$H$6:$H$236, "&gt;="&amp;BC1,'Expenditure Breakdown'!$H$6:$H$236, "&lt;"&amp;BD1)</f>
        <v>0</v>
      </c>
      <c r="BD5" s="197">
        <f>SUMIFS('Expenditure Breakdown'!$G$6:$G$236, 'Expenditure Breakdown'!$H$6:$H$236, "&gt;="&amp;BD1,'Expenditure Breakdown'!$H$6:$H$236, "&lt;"&amp;BE1)</f>
        <v>10008</v>
      </c>
      <c r="BE5" s="197">
        <f>SUMIFS('Expenditure Breakdown'!$G$6:$G$236, 'Expenditure Breakdown'!$H$6:$H$236, "&gt;="&amp;BE1,'Expenditure Breakdown'!$H$6:$H$236, "&lt;"&amp;BF1)</f>
        <v>0</v>
      </c>
      <c r="BF5" s="197">
        <f>SUMIFS('Expenditure Breakdown'!$G$6:$G$236, 'Expenditure Breakdown'!$H$6:$H$236, "&gt;="&amp;BF1,'Expenditure Breakdown'!$H$6:$H$236, "&lt;"&amp;BG1)</f>
        <v>0</v>
      </c>
      <c r="BG5" s="197">
        <f>SUMIFS('Expenditure Breakdown'!$G$6:$G$236, 'Expenditure Breakdown'!$H$6:$H$236, "&gt;="&amp;BG1,'Expenditure Breakdown'!$H$6:$H$236, "&lt;"&amp;BH1)</f>
        <v>0</v>
      </c>
      <c r="BH5" s="197">
        <f>SUMIFS('Expenditure Breakdown'!$G$6:$G$236, 'Expenditure Breakdown'!$H$6:$H$236, "&gt;="&amp;BH1,'Expenditure Breakdown'!$H$6:$H$236, "&lt;"&amp;BI1)</f>
        <v>0</v>
      </c>
      <c r="BI5" s="197">
        <f>SUMIFS('Expenditure Breakdown'!$G$6:$G$236, 'Expenditure Breakdown'!$H$6:$H$236, "&gt;="&amp;BI1,'Expenditure Breakdown'!$H$6:$H$236, "&lt;"&amp;BJ1)</f>
        <v>0</v>
      </c>
      <c r="BJ5" s="197">
        <f>SUMIFS('Expenditure Breakdown'!$G$6:$G$236, 'Expenditure Breakdown'!$H$6:$H$236, "&gt;="&amp;BJ1,'Expenditure Breakdown'!$H$6:$H$236, "&lt;"&amp;BK1)</f>
        <v>0</v>
      </c>
      <c r="BK5" s="197">
        <f>SUMIFS('Expenditure Breakdown'!$G$6:$G$236, 'Expenditure Breakdown'!$H$6:$H$236, "&gt;="&amp;BK1,'Expenditure Breakdown'!$H$6:$H$236, "&lt;"&amp;BL1)</f>
        <v>0</v>
      </c>
      <c r="BL5" s="197">
        <f>SUMIFS('Expenditure Breakdown'!$G$6:$G$236, 'Expenditure Breakdown'!$H$6:$H$236, "&gt;="&amp;BL1,'Expenditure Breakdown'!$H$6:$H$236, "&lt;"&amp;BM1)</f>
        <v>0</v>
      </c>
      <c r="BM5" s="197">
        <f>SUMIFS('Expenditure Breakdown'!$G$6:$G$236, 'Expenditure Breakdown'!$H$6:$H$236, "&gt;="&amp;BM1,'Expenditure Breakdown'!$H$6:$H$236, "&lt;"&amp;BN1)</f>
        <v>0</v>
      </c>
      <c r="BN5" s="197">
        <f>SUMIFS('Expenditure Breakdown'!$G$6:$G$236, 'Expenditure Breakdown'!$H$6:$H$236, "&gt;="&amp;BN1,'Expenditure Breakdown'!$H$6:$H$236, "&lt;"&amp;BO1)</f>
        <v>0</v>
      </c>
      <c r="BO5" s="197">
        <f>SUMIFS('Expenditure Breakdown'!$G$6:$G$236, 'Expenditure Breakdown'!$H$6:$H$236, "&gt;="&amp;BO1,'Expenditure Breakdown'!$H$6:$H$236, "&lt;"&amp;BP1)</f>
        <v>0</v>
      </c>
      <c r="BP5" s="197">
        <f>SUMIFS('Expenditure Breakdown'!$G$6:$G$236, 'Expenditure Breakdown'!$H$6:$H$236, "&gt;="&amp;BP1,'Expenditure Breakdown'!$H$6:$H$236, "&lt;"&amp;BQ1)</f>
        <v>0</v>
      </c>
      <c r="BQ5" s="197">
        <f>SUMIFS('Expenditure Breakdown'!$G$6:$G$236, 'Expenditure Breakdown'!$H$6:$H$236, "&gt;="&amp;BQ1,'Expenditure Breakdown'!$H$6:$H$236, "&lt;"&amp;BR1)</f>
        <v>0</v>
      </c>
      <c r="BR5" s="197">
        <f>SUMIFS('Expenditure Breakdown'!$G$6:$G$236, 'Expenditure Breakdown'!$H$6:$H$236, "&gt;="&amp;BR1,'Expenditure Breakdown'!$H$6:$H$236, "&lt;"&amp;BS1)</f>
        <v>0</v>
      </c>
      <c r="BS5" s="197">
        <f>SUMIFS('Expenditure Breakdown'!$G$6:$G$236, 'Expenditure Breakdown'!$H$6:$H$236, "&gt;="&amp;BS1,'Expenditure Breakdown'!$H$6:$H$236, "&lt;"&amp;BT1)</f>
        <v>0</v>
      </c>
      <c r="BT5" s="197">
        <f>SUMIFS('Expenditure Breakdown'!$G$6:$G$236, 'Expenditure Breakdown'!$H$6:$H$236, "&gt;="&amp;BT1,'Expenditure Breakdown'!$H$6:$H$236, "&lt;"&amp;BU1)</f>
        <v>0</v>
      </c>
      <c r="BU5" s="197">
        <f>SUMIFS('Expenditure Breakdown'!$G$6:$G$236, 'Expenditure Breakdown'!$H$6:$H$236, "&gt;="&amp;BU1,'Expenditure Breakdown'!$H$6:$H$236, "&lt;"&amp;BV1)</f>
        <v>0</v>
      </c>
      <c r="BV5" s="197">
        <f>SUMIFS('Expenditure Breakdown'!$G$6:$G$236, 'Expenditure Breakdown'!$H$6:$H$236, "&gt;="&amp;BV1,'Expenditure Breakdown'!$H$6:$H$236, "&lt;"&amp;BW1)</f>
        <v>0</v>
      </c>
      <c r="BW5" s="197">
        <f>SUMIFS('Expenditure Breakdown'!$G$6:$G$236, 'Expenditure Breakdown'!$H$6:$H$236, "&gt;="&amp;BW1,'Expenditure Breakdown'!$H$6:$H$236, "&lt;"&amp;BX1)</f>
        <v>0</v>
      </c>
      <c r="BX5" s="197">
        <f>SUMIFS('Expenditure Breakdown'!$G$6:$G$236, 'Expenditure Breakdown'!$H$6:$H$236, "&gt;="&amp;BX1,'Expenditure Breakdown'!$H$6:$H$236, "&lt;"&amp;BY1)</f>
        <v>0</v>
      </c>
      <c r="BY5" s="197">
        <f>SUMIFS('Expenditure Breakdown'!$G$6:$G$236, 'Expenditure Breakdown'!$H$6:$H$236, "&gt;="&amp;BY1,'Expenditure Breakdown'!$H$6:$H$236, "&lt;"&amp;BZ1)</f>
        <v>0</v>
      </c>
      <c r="BZ5" s="197">
        <f>SUMIFS('Expenditure Breakdown'!$G$6:$G$236, 'Expenditure Breakdown'!$H$6:$H$236, "&gt;="&amp;BZ1,'Expenditure Breakdown'!$H$6:$H$236, "&lt;"&amp;CA1)</f>
        <v>0</v>
      </c>
      <c r="CA5" s="197">
        <f>SUMIFS('Expenditure Breakdown'!$G$6:$G$236, 'Expenditure Breakdown'!$H$6:$H$236, "&gt;="&amp;CA1,'Expenditure Breakdown'!$H$6:$H$236, "&lt;"&amp;CB1)</f>
        <v>0</v>
      </c>
      <c r="CB5" s="197">
        <f>SUMIFS('Expenditure Breakdown'!$G$6:$G$236, 'Expenditure Breakdown'!$H$6:$H$236, "&gt;="&amp;CB1,'Expenditure Breakdown'!$H$6:$H$236, "&lt;"&amp;CC1)</f>
        <v>0</v>
      </c>
      <c r="CC5" s="197">
        <f>SUMIFS('Expenditure Breakdown'!$G$6:$G$236, 'Expenditure Breakdown'!$H$6:$H$236, "&gt;="&amp;CC1,'Expenditure Breakdown'!$H$6:$H$236, "&lt;"&amp;CD1)</f>
        <v>0</v>
      </c>
      <c r="CD5" s="197">
        <f>SUMIFS('Expenditure Breakdown'!$G$6:$G$236, 'Expenditure Breakdown'!$H$6:$H$236, "&gt;="&amp;CD1,'Expenditure Breakdown'!$H$6:$H$236, "&lt;"&amp;CE1)</f>
        <v>0</v>
      </c>
      <c r="CE5" s="197">
        <f>SUMIFS('Expenditure Breakdown'!$G$6:$G$236, 'Expenditure Breakdown'!$H$6:$H$236, "&gt;="&amp;CE1,'Expenditure Breakdown'!$H$6:$H$236, "&lt;"&amp;CF1)</f>
        <v>0</v>
      </c>
      <c r="CF5" s="197">
        <f>SUMIFS('Expenditure Breakdown'!$G$6:$G$236, 'Expenditure Breakdown'!$H$6:$H$236, "&gt;="&amp;CF1,'Expenditure Breakdown'!$H$6:$H$236, "&lt;"&amp;CG1)</f>
        <v>0</v>
      </c>
      <c r="CG5" s="197">
        <f>SUMIFS('Expenditure Breakdown'!$G$6:$G$236, 'Expenditure Breakdown'!$H$6:$H$236, "&gt;="&amp;CG1,'Expenditure Breakdown'!$H$6:$H$236, "&lt;"&amp;CH1)</f>
        <v>0</v>
      </c>
      <c r="CH5" s="197">
        <f>SUMIFS('Expenditure Breakdown'!$G$6:$G$236, 'Expenditure Breakdown'!$H$6:$H$236, "&gt;="&amp;CH1,'Expenditure Breakdown'!$H$6:$H$236, "&lt;"&amp;CI1)</f>
        <v>0</v>
      </c>
      <c r="CI5" s="197">
        <f>SUMIFS('Expenditure Breakdown'!$G$6:$G$236, 'Expenditure Breakdown'!$H$6:$H$236, "&gt;="&amp;CI1,'Expenditure Breakdown'!$H$6:$H$236, "&lt;"&amp;CJ1)</f>
        <v>0</v>
      </c>
      <c r="CJ5" s="197">
        <f>SUMIFS('Expenditure Breakdown'!$G$6:$G$236, 'Expenditure Breakdown'!$H$6:$H$236, "&gt;="&amp;CJ1,'Expenditure Breakdown'!$H$6:$H$236, "&lt;"&amp;CK1)</f>
        <v>0</v>
      </c>
      <c r="CK5" s="197">
        <f>SUMIFS('Expenditure Breakdown'!$G$6:$G$236, 'Expenditure Breakdown'!$H$6:$H$236, "&gt;="&amp;CK1,'Expenditure Breakdown'!$H$6:$H$236, "&lt;"&amp;CL1)</f>
        <v>0</v>
      </c>
      <c r="CL5" s="197">
        <f>SUMIFS('Expenditure Breakdown'!$G$6:$G$236, 'Expenditure Breakdown'!$H$6:$H$236, "&gt;="&amp;CL1,'Expenditure Breakdown'!$H$6:$H$236, "&lt;"&amp;CM1)</f>
        <v>0</v>
      </c>
      <c r="CM5" s="197">
        <f>SUMIFS('Expenditure Breakdown'!$G$6:$G$236, 'Expenditure Breakdown'!$H$6:$H$236, "&gt;="&amp;CM1,'Expenditure Breakdown'!$H$6:$H$236, "&lt;"&amp;CN1)</f>
        <v>0</v>
      </c>
      <c r="CN5" s="197">
        <f>SUMIFS('Expenditure Breakdown'!$G$6:$G$236, 'Expenditure Breakdown'!$H$6:$H$236, "&gt;="&amp;CN1,'Expenditure Breakdown'!$H$6:$H$236, "&lt;"&amp;CO1)</f>
        <v>0</v>
      </c>
      <c r="CO5" s="197">
        <f>SUMIFS('Expenditure Breakdown'!$G$6:$G$236, 'Expenditure Breakdown'!$H$6:$H$236, "&gt;="&amp;CO1,'Expenditure Breakdown'!$H$6:$H$236, "&lt;"&amp;CP1)</f>
        <v>0</v>
      </c>
      <c r="CP5" s="197">
        <f>SUMIFS('Expenditure Breakdown'!$G$6:$G$236, 'Expenditure Breakdown'!$H$6:$H$236, "&gt;="&amp;CP1,'Expenditure Breakdown'!$H$6:$H$236, "&lt;"&amp;CQ1)</f>
        <v>0</v>
      </c>
      <c r="CQ5" s="197">
        <f>SUMIFS('Expenditure Breakdown'!$G$6:$G$236, 'Expenditure Breakdown'!$H$6:$H$236, "&gt;="&amp;CQ1,'Expenditure Breakdown'!$H$6:$H$236, "&lt;"&amp;CR1)</f>
        <v>0</v>
      </c>
      <c r="CR5" s="197">
        <f>SUMIFS('Expenditure Breakdown'!$G$6:$G$236, 'Expenditure Breakdown'!$H$6:$H$236, "&gt;="&amp;CR1,'Expenditure Breakdown'!$H$6:$H$236, "&lt;"&amp;CS1)</f>
        <v>0</v>
      </c>
      <c r="CS5" s="197">
        <f>SUMIFS('Expenditure Breakdown'!$G$6:$G$236, 'Expenditure Breakdown'!$H$6:$H$236, "&gt;="&amp;CS1,'Expenditure Breakdown'!$H$6:$H$236, "&lt;"&amp;CT1)</f>
        <v>0</v>
      </c>
      <c r="CT5" s="197">
        <f>SUMIFS('Expenditure Breakdown'!$G$6:$G$236, 'Expenditure Breakdown'!$H$6:$H$236, "&gt;="&amp;CT1,'Expenditure Breakdown'!$H$6:$H$236, "&lt;"&amp;CU1)</f>
        <v>0</v>
      </c>
      <c r="CU5" s="197">
        <f>SUMIFS('Expenditure Breakdown'!$G$6:$G$236, 'Expenditure Breakdown'!$H$6:$H$236, "&gt;="&amp;CU1,'Expenditure Breakdown'!$H$6:$H$236, "&lt;"&amp;CV1)</f>
        <v>0</v>
      </c>
      <c r="CV5" s="197">
        <f>SUMIFS('Expenditure Breakdown'!$G$6:$G$236, 'Expenditure Breakdown'!$H$6:$H$236, "&gt;="&amp;CV1,'Expenditure Breakdown'!$H$6:$H$236, "&lt;"&amp;CW1)</f>
        <v>0</v>
      </c>
      <c r="CW5" s="197">
        <f>SUMIFS('Expenditure Breakdown'!$G$6:$G$236, 'Expenditure Breakdown'!$H$6:$H$236, "&gt;="&amp;CW1,'Expenditure Breakdown'!$H$6:$H$236, "&lt;"&amp;CX1)</f>
        <v>0</v>
      </c>
      <c r="CX5" s="197">
        <f>SUMIFS('Expenditure Breakdown'!$G$6:$G$236, 'Expenditure Breakdown'!$H$6:$H$236, "&gt;="&amp;CX1,'Expenditure Breakdown'!$H$6:$H$236, "&lt;"&amp;CY1)</f>
        <v>0</v>
      </c>
      <c r="CY5" s="197">
        <f>SUMIFS('Expenditure Breakdown'!$G$6:$G$236, 'Expenditure Breakdown'!$H$6:$H$236, "&gt;="&amp;CY1,'Expenditure Breakdown'!$H$6:$H$236, "&lt;"&amp;CZ1)</f>
        <v>0</v>
      </c>
      <c r="CZ5" s="197">
        <f>SUMIFS('Expenditure Breakdown'!$G$6:$G$236, 'Expenditure Breakdown'!$H$6:$H$236, "&gt;="&amp;CZ1,'Expenditure Breakdown'!$H$6:$H$236, "&lt;"&amp;DA1)</f>
        <v>0</v>
      </c>
      <c r="DA5" s="197">
        <f>SUMIFS('Expenditure Breakdown'!$G$6:$G$236, 'Expenditure Breakdown'!$H$6:$H$236, "&gt;="&amp;DA1,'Expenditure Breakdown'!$H$6:$H$236, "&lt;"&amp;DB1)</f>
        <v>0</v>
      </c>
      <c r="DB5" s="197">
        <f>SUMIFS('Expenditure Breakdown'!$G$6:$G$236, 'Expenditure Breakdown'!$H$6:$H$236, "&gt;="&amp;DB1,'Expenditure Breakdown'!$H$6:$H$236, "&lt;"&amp;DC1)</f>
        <v>0</v>
      </c>
      <c r="DC5" s="197">
        <f>SUMIFS('Expenditure Breakdown'!$G$6:$G$236, 'Expenditure Breakdown'!$H$6:$H$236, "&gt;="&amp;DC1,'Expenditure Breakdown'!$H$6:$H$236, "&lt;"&amp;DD1)</f>
        <v>0</v>
      </c>
      <c r="DD5" s="197">
        <f>SUMIFS('Expenditure Breakdown'!$G$6:$G$236, 'Expenditure Breakdown'!$H$6:$H$236, "&gt;="&amp;DD1,'Expenditure Breakdown'!$H$6:$H$236, "&lt;"&amp;DE1)</f>
        <v>0</v>
      </c>
      <c r="DE5" s="197">
        <f>SUMIFS('Expenditure Breakdown'!$G$6:$G$236, 'Expenditure Breakdown'!$H$6:$H$236, "&gt;="&amp;DE1,'Expenditure Breakdown'!$H$6:$H$236, "&lt;"&amp;DF1)</f>
        <v>0</v>
      </c>
      <c r="DF5" s="197">
        <f>SUMIFS('Expenditure Breakdown'!$G$6:$G$236, 'Expenditure Breakdown'!$H$6:$H$236, "&gt;="&amp;DF1,'Expenditure Breakdown'!$H$6:$H$236, "&lt;"&amp;DG1)</f>
        <v>0</v>
      </c>
      <c r="DG5" s="197">
        <f>SUMIFS('Expenditure Breakdown'!$G$6:$G$236, 'Expenditure Breakdown'!$H$6:$H$236, "&gt;="&amp;DG1,'Expenditure Breakdown'!$H$6:$H$236, "&lt;"&amp;DH1)</f>
        <v>0</v>
      </c>
      <c r="DH5" s="197">
        <f>SUMIFS('Expenditure Breakdown'!$G$6:$G$236, 'Expenditure Breakdown'!$H$6:$H$236, "&gt;="&amp;DH1,'Expenditure Breakdown'!$H$6:$H$236, "&lt;"&amp;DI1)</f>
        <v>0</v>
      </c>
      <c r="DI5" s="197">
        <f>SUMIFS('Expenditure Breakdown'!$G$6:$G$236, 'Expenditure Breakdown'!$H$6:$H$236, "&gt;="&amp;DI1,'Expenditure Breakdown'!$H$6:$H$236, "&lt;"&amp;DJ1)</f>
        <v>0</v>
      </c>
      <c r="DJ5" s="197">
        <f>SUMIFS('Expenditure Breakdown'!$G$6:$G$236, 'Expenditure Breakdown'!$H$6:$H$236, "&gt;="&amp;DJ1,'Expenditure Breakdown'!$H$6:$H$236, "&lt;"&amp;DK1)</f>
        <v>0</v>
      </c>
      <c r="DK5" s="197">
        <f>SUMIFS('Expenditure Breakdown'!$G$6:$G$236, 'Expenditure Breakdown'!$H$6:$H$236, "&gt;="&amp;DK1,'Expenditure Breakdown'!$H$6:$H$236, "&lt;"&amp;DL1)</f>
        <v>0</v>
      </c>
      <c r="DL5" s="197">
        <f>SUMIFS('Expenditure Breakdown'!$G$6:$G$236, 'Expenditure Breakdown'!$H$6:$H$236, "&gt;="&amp;DL1,'Expenditure Breakdown'!$H$6:$H$236, "&lt;"&amp;DM1)</f>
        <v>0</v>
      </c>
      <c r="DM5" s="197">
        <f>SUMIFS('Expenditure Breakdown'!$G$6:$G$236, 'Expenditure Breakdown'!$H$6:$H$236, "&gt;="&amp;DM1,'Expenditure Breakdown'!$H$6:$H$236, "&lt;"&amp;DN1)</f>
        <v>0</v>
      </c>
      <c r="DN5" s="197">
        <f>SUMIFS('Expenditure Breakdown'!$G$6:$G$236, 'Expenditure Breakdown'!$H$6:$H$236, "&gt;="&amp;DN1,'Expenditure Breakdown'!$H$6:$H$236, "&lt;"&amp;DO1)</f>
        <v>0</v>
      </c>
      <c r="DO5" s="197">
        <f>SUMIFS('Expenditure Breakdown'!$G$6:$G$236, 'Expenditure Breakdown'!$H$6:$H$236, "&gt;="&amp;DO1,'Expenditure Breakdown'!$H$6:$H$236, "&lt;"&amp;DP1)</f>
        <v>0</v>
      </c>
      <c r="DP5" s="197">
        <f>SUMIFS('Expenditure Breakdown'!$G$6:$G$236, 'Expenditure Breakdown'!$H$6:$H$236, "&gt;="&amp;DP1,'Expenditure Breakdown'!$H$6:$H$236, "&lt;"&amp;DQ1)</f>
        <v>0</v>
      </c>
      <c r="DQ5" s="197">
        <f>SUMIFS('Expenditure Breakdown'!$G$6:$G$236, 'Expenditure Breakdown'!$H$6:$H$236, "&gt;="&amp;DQ1,'Expenditure Breakdown'!$H$6:$H$236, "&lt;"&amp;DR1)</f>
        <v>0</v>
      </c>
      <c r="DR5" s="197">
        <f>SUMIFS('Expenditure Breakdown'!$G$6:$G$236, 'Expenditure Breakdown'!$H$6:$H$236, "&gt;="&amp;DR1,'Expenditure Breakdown'!$H$6:$H$236, "&lt;"&amp;DS1)</f>
        <v>0</v>
      </c>
      <c r="DS5" s="197">
        <f>SUMIFS('Expenditure Breakdown'!$G$6:$G$236, 'Expenditure Breakdown'!$H$6:$H$236, "&gt;="&amp;DS1,'Expenditure Breakdown'!$H$6:$H$236, "&lt;"&amp;DT1)</f>
        <v>0</v>
      </c>
      <c r="DT5" s="197">
        <f>SUMIFS('Expenditure Breakdown'!$G$6:$G$236, 'Expenditure Breakdown'!$H$6:$H$236, "&gt;="&amp;DT1,'Expenditure Breakdown'!$H$6:$H$236, "&lt;"&amp;DU1)</f>
        <v>0</v>
      </c>
      <c r="DU5" s="197">
        <f>SUMIFS('Expenditure Breakdown'!$G$6:$G$236, 'Expenditure Breakdown'!$H$6:$H$236, "&gt;="&amp;DU1,'Expenditure Breakdown'!$H$6:$H$236, "&lt;"&amp;DV1)</f>
        <v>0</v>
      </c>
      <c r="DV5" s="197">
        <f>SUMIFS('Expenditure Breakdown'!$G$6:$G$236, 'Expenditure Breakdown'!$H$6:$H$236, "&gt;="&amp;DV1,'Expenditure Breakdown'!$H$6:$H$236, "&lt;"&amp;DW1)</f>
        <v>0</v>
      </c>
      <c r="DW5" s="197">
        <f>SUMIFS('Expenditure Breakdown'!$G$6:$G$236, 'Expenditure Breakdown'!$H$6:$H$236, "&gt;="&amp;DW1,'Expenditure Breakdown'!$H$6:$H$236, "&lt;"&amp;DX1)</f>
        <v>0</v>
      </c>
      <c r="DX5" s="197">
        <f>SUMIFS('Expenditure Breakdown'!$G$6:$G$236, 'Expenditure Breakdown'!$H$6:$H$236, "&gt;="&amp;DX1,'Expenditure Breakdown'!$H$6:$H$236, "&lt;"&amp;DY1)</f>
        <v>0</v>
      </c>
      <c r="DY5" s="197">
        <f>SUMIFS('Expenditure Breakdown'!$G$6:$G$236, 'Expenditure Breakdown'!$H$6:$H$236, "&gt;="&amp;DY1,'Expenditure Breakdown'!$H$6:$H$236, "&lt;"&amp;DZ1)</f>
        <v>0</v>
      </c>
      <c r="DZ5" s="197">
        <f>SUMIFS('Expenditure Breakdown'!$G$6:$G$236, 'Expenditure Breakdown'!$H$6:$H$236, "&gt;="&amp;DZ1,'Expenditure Breakdown'!$H$6:$H$236, "&lt;"&amp;EA1)</f>
        <v>0</v>
      </c>
      <c r="EA5" s="197">
        <f>SUMIFS('Expenditure Breakdown'!$G$6:$G$236, 'Expenditure Breakdown'!$H$6:$H$236, "&gt;="&amp;EA1,'Expenditure Breakdown'!$H$6:$H$236, "&lt;"&amp;EB1)</f>
        <v>0</v>
      </c>
      <c r="EB5" s="197">
        <f>SUMIFS('Expenditure Breakdown'!$G$6:$G$236, 'Expenditure Breakdown'!$H$6:$H$236, "&gt;="&amp;EB1,'Expenditure Breakdown'!$H$6:$H$236, "&lt;"&amp;EC1)</f>
        <v>0</v>
      </c>
      <c r="EC5" s="197">
        <f>SUMIFS('Expenditure Breakdown'!$G$6:$G$236, 'Expenditure Breakdown'!$H$6:$H$236, "&gt;="&amp;EC1,'Expenditure Breakdown'!$H$6:$H$236, "&lt;"&amp;ED1)</f>
        <v>0</v>
      </c>
      <c r="ED5" s="197">
        <f>SUMIFS('Expenditure Breakdown'!$G$6:$G$236, 'Expenditure Breakdown'!$H$6:$H$236, "&gt;="&amp;ED1,'Expenditure Breakdown'!$H$6:$H$236, "&lt;"&amp;EE1)</f>
        <v>0</v>
      </c>
      <c r="EE5" s="197">
        <f>SUMIFS('Expenditure Breakdown'!$G$6:$G$236, 'Expenditure Breakdown'!$H$6:$H$236, "&gt;="&amp;EE1,'Expenditure Breakdown'!$H$6:$H$236, "&lt;"&amp;EF1)</f>
        <v>0</v>
      </c>
      <c r="EF5" s="197">
        <f>SUMIFS('Expenditure Breakdown'!$G$6:$G$236, 'Expenditure Breakdown'!$H$6:$H$236, "&gt;="&amp;EF1,'Expenditure Breakdown'!$H$6:$H$236, "&lt;"&amp;EG1)</f>
        <v>0</v>
      </c>
      <c r="EG5" s="197">
        <f>SUMIFS('Expenditure Breakdown'!$G$6:$G$236, 'Expenditure Breakdown'!$H$6:$H$236, "&gt;="&amp;EG1,'Expenditure Breakdown'!$H$6:$H$236, "&lt;"&amp;EH1)</f>
        <v>0</v>
      </c>
      <c r="EH5" s="197">
        <f>SUMIFS('Expenditure Breakdown'!$G$6:$G$236, 'Expenditure Breakdown'!$H$6:$H$236, "&gt;="&amp;EH1,'Expenditure Breakdown'!$H$6:$H$236, "&lt;"&amp;EI1)</f>
        <v>0</v>
      </c>
      <c r="EI5" s="197">
        <f>SUMIFS('Expenditure Breakdown'!$G$6:$G$236, 'Expenditure Breakdown'!$H$6:$H$236, "&gt;="&amp;EI1,'Expenditure Breakdown'!$H$6:$H$236, "&lt;"&amp;EJ1)</f>
        <v>0</v>
      </c>
      <c r="EJ5" s="197">
        <f>SUMIFS('Expenditure Breakdown'!$G$6:$G$236, 'Expenditure Breakdown'!$H$6:$H$236, "&gt;="&amp;EJ1,'Expenditure Breakdown'!$H$6:$H$236, "&lt;"&amp;EK1)</f>
        <v>0</v>
      </c>
      <c r="EK5" s="197">
        <f>SUMIFS('Expenditure Breakdown'!$G$6:$G$236, 'Expenditure Breakdown'!$H$6:$H$236, "&gt;="&amp;EK1,'Expenditure Breakdown'!$H$6:$H$236, "&lt;"&amp;EL1)</f>
        <v>0</v>
      </c>
      <c r="EL5" s="197">
        <f>SUMIFS('Expenditure Breakdown'!$G$6:$G$236, 'Expenditure Breakdown'!$H$6:$H$236, "&gt;="&amp;EL1,'Expenditure Breakdown'!$H$6:$H$236, "&lt;"&amp;EM1)</f>
        <v>0</v>
      </c>
      <c r="EM5" s="197">
        <f>SUMIFS('Expenditure Breakdown'!$G$6:$G$236, 'Expenditure Breakdown'!$H$6:$H$236, "&gt;="&amp;EM1,'Expenditure Breakdown'!$H$6:$H$236, "&lt;"&amp;EN1)</f>
        <v>0</v>
      </c>
      <c r="EN5" s="197">
        <f>SUMIFS('Expenditure Breakdown'!$G$6:$G$236, 'Expenditure Breakdown'!$H$6:$H$236, "&gt;="&amp;EN1,'Expenditure Breakdown'!$H$6:$H$236, "&lt;"&amp;EO1)</f>
        <v>0</v>
      </c>
      <c r="EO5" s="197">
        <f>SUMIFS('Expenditure Breakdown'!$G$6:$G$236, 'Expenditure Breakdown'!$H$6:$H$236, "&gt;="&amp;EO1,'Expenditure Breakdown'!$H$6:$H$236, "&lt;"&amp;EP1)</f>
        <v>0</v>
      </c>
      <c r="EP5" s="197">
        <f>SUMIFS('Expenditure Breakdown'!$G$6:$G$236, 'Expenditure Breakdown'!$H$6:$H$236, "&gt;="&amp;EP1,'Expenditure Breakdown'!$H$6:$H$236, "&lt;"&amp;EQ1)</f>
        <v>0</v>
      </c>
      <c r="EQ5" s="197">
        <f>SUMIFS('Expenditure Breakdown'!$G$6:$G$236, 'Expenditure Breakdown'!$H$6:$H$236, "&gt;="&amp;EQ1,'Expenditure Breakdown'!$H$6:$H$236, "&lt;"&amp;ER1)</f>
        <v>0</v>
      </c>
      <c r="ER5" s="197">
        <f>SUMIFS('Expenditure Breakdown'!$G$6:$G$236, 'Expenditure Breakdown'!$H$6:$H$236, "&gt;="&amp;ER1,'Expenditure Breakdown'!$H$6:$H$236, "&lt;"&amp;ES1)</f>
        <v>0</v>
      </c>
      <c r="ES5" s="197">
        <f>SUMIFS('Expenditure Breakdown'!$G$6:$G$236, 'Expenditure Breakdown'!$H$6:$H$236, "&gt;="&amp;ES1,'Expenditure Breakdown'!$H$6:$H$236, "&lt;"&amp;ET1)</f>
        <v>0</v>
      </c>
      <c r="ET5" s="197">
        <f>SUMIFS('Expenditure Breakdown'!$G$6:$G$236, 'Expenditure Breakdown'!$H$6:$H$236, "&gt;="&amp;ET1,'Expenditure Breakdown'!$H$6:$H$236, "&lt;"&amp;EU1)</f>
        <v>0</v>
      </c>
      <c r="EU5" s="197">
        <f>SUMIFS('Expenditure Breakdown'!$G$6:$G$236, 'Expenditure Breakdown'!$H$6:$H$236, "&gt;="&amp;EU1,'Expenditure Breakdown'!$H$6:$H$236, "&lt;"&amp;EV1)</f>
        <v>0</v>
      </c>
      <c r="EV5" s="197">
        <f>SUMIFS('Expenditure Breakdown'!$G$6:$G$236, 'Expenditure Breakdown'!$H$6:$H$236, "&gt;="&amp;EV1,'Expenditure Breakdown'!$H$6:$H$236, "&lt;"&amp;EW1)</f>
        <v>0</v>
      </c>
      <c r="EW5" s="197">
        <f>SUMIFS('Expenditure Breakdown'!$G$6:$G$236, 'Expenditure Breakdown'!$H$6:$H$236, "&gt;="&amp;EW1,'Expenditure Breakdown'!$H$6:$H$236, "&lt;"&amp;EX1)</f>
        <v>0</v>
      </c>
      <c r="EX5" s="197">
        <f>SUMIFS('Expenditure Breakdown'!$G$6:$G$236, 'Expenditure Breakdown'!$H$6:$H$236, "&gt;="&amp;EX1,'Expenditure Breakdown'!$H$6:$H$236, "&lt;"&amp;EY1)</f>
        <v>0</v>
      </c>
      <c r="EY5" s="197">
        <f>SUMIFS('Expenditure Breakdown'!$G$6:$G$236, 'Expenditure Breakdown'!$H$6:$H$236, "&gt;="&amp;EY1,'Expenditure Breakdown'!$H$6:$H$236, "&lt;"&amp;EZ1)</f>
        <v>0</v>
      </c>
      <c r="EZ5" s="197">
        <f>SUMIFS('Expenditure Breakdown'!$G$6:$G$236, 'Expenditure Breakdown'!$H$6:$H$236, "&gt;="&amp;EZ1,'Expenditure Breakdown'!$H$6:$H$236, "&lt;"&amp;FA1)</f>
        <v>0</v>
      </c>
      <c r="FA5" s="197">
        <f>SUMIFS('Expenditure Breakdown'!$G$6:$G$236, 'Expenditure Breakdown'!$H$6:$H$236, "&gt;="&amp;FA1,'Expenditure Breakdown'!$H$6:$H$236, "&lt;"&amp;FB1)</f>
        <v>0</v>
      </c>
      <c r="FB5" s="197">
        <f>SUMIFS('Expenditure Breakdown'!$G$6:$G$236, 'Expenditure Breakdown'!$H$6:$H$236, "&gt;="&amp;FB1,'Expenditure Breakdown'!$H$6:$H$236, "&lt;"&amp;FC1)</f>
        <v>0</v>
      </c>
      <c r="FC5" s="197">
        <f>SUMIFS('Expenditure Breakdown'!$G$6:$G$236, 'Expenditure Breakdown'!$H$6:$H$236, "&gt;="&amp;FC1,'Expenditure Breakdown'!$H$6:$H$236, "&lt;"&amp;FD1)</f>
        <v>0</v>
      </c>
      <c r="FD5" s="197">
        <f>SUMIFS('Expenditure Breakdown'!$G$6:$G$236, 'Expenditure Breakdown'!$H$6:$H$236, "&gt;="&amp;FD1,'Expenditure Breakdown'!$H$6:$H$236, "&lt;"&amp;FE1)</f>
        <v>0</v>
      </c>
      <c r="FE5" s="197">
        <f>SUMIFS('Expenditure Breakdown'!$G$6:$G$236, 'Expenditure Breakdown'!$H$6:$H$236, "&gt;="&amp;FE1,'Expenditure Breakdown'!$H$6:$H$236, "&lt;"&amp;FF1)</f>
        <v>0</v>
      </c>
      <c r="FF5" s="197">
        <f>SUMIFS('Expenditure Breakdown'!$G$6:$G$236, 'Expenditure Breakdown'!$H$6:$H$236, "&gt;="&amp;FF1,'Expenditure Breakdown'!$H$6:$H$236, "&lt;"&amp;FG1)</f>
        <v>0</v>
      </c>
      <c r="FG5" s="197">
        <f>SUMIFS('Expenditure Breakdown'!$G$6:$G$236, 'Expenditure Breakdown'!$H$6:$H$236, "&gt;="&amp;FG1,'Expenditure Breakdown'!$H$6:$H$236, "&lt;"&amp;FH1)</f>
        <v>0</v>
      </c>
      <c r="FH5" s="197">
        <f>SUMIFS('Expenditure Breakdown'!$G$6:$G$236, 'Expenditure Breakdown'!$H$6:$H$236, "&gt;="&amp;FH1,'Expenditure Breakdown'!$H$6:$H$236, "&lt;"&amp;FI1)</f>
        <v>0</v>
      </c>
      <c r="FI5" s="197">
        <f>SUMIFS('Expenditure Breakdown'!$G$6:$G$236, 'Expenditure Breakdown'!$H$6:$H$236, "&gt;="&amp;FI1,'Expenditure Breakdown'!$H$6:$H$236, "&lt;"&amp;FJ1)</f>
        <v>0</v>
      </c>
      <c r="FJ5" s="197">
        <f>SUMIFS('Expenditure Breakdown'!$G$6:$G$236, 'Expenditure Breakdown'!$H$6:$H$236, "&gt;="&amp;FJ1,'Expenditure Breakdown'!$H$6:$H$236, "&lt;"&amp;FK1)</f>
        <v>0</v>
      </c>
      <c r="FK5" s="197">
        <f>SUMIFS('Expenditure Breakdown'!$G$6:$G$236, 'Expenditure Breakdown'!$H$6:$H$236, "&gt;="&amp;FK1,'Expenditure Breakdown'!$H$6:$H$236, "&lt;"&amp;FL1)</f>
        <v>0</v>
      </c>
      <c r="FL5" s="197">
        <f>SUMIFS('Expenditure Breakdown'!$G$6:$G$236, 'Expenditure Breakdown'!$H$6:$H$236, "&gt;="&amp;FL1,'Expenditure Breakdown'!$H$6:$H$236, "&lt;"&amp;FM1)</f>
        <v>0</v>
      </c>
      <c r="FM5" s="197">
        <f>SUMIFS('Expenditure Breakdown'!$G$6:$G$236, 'Expenditure Breakdown'!$H$6:$H$236, "&gt;="&amp;FM1,'Expenditure Breakdown'!$H$6:$H$236, "&lt;"&amp;FN1)</f>
        <v>0</v>
      </c>
      <c r="FN5" s="197">
        <f>SUMIFS('Expenditure Breakdown'!$G$6:$G$236, 'Expenditure Breakdown'!$H$6:$H$236, "&gt;="&amp;FN1,'Expenditure Breakdown'!$H$6:$H$236, "&lt;"&amp;FO1)</f>
        <v>0</v>
      </c>
      <c r="FO5" s="197">
        <f>SUMIFS('Expenditure Breakdown'!$G$6:$G$236, 'Expenditure Breakdown'!$H$6:$H$236, "&gt;="&amp;FO1,'Expenditure Breakdown'!$H$6:$H$236, "&lt;"&amp;FP1)</f>
        <v>0</v>
      </c>
      <c r="FP5" s="197">
        <f>SUMIFS('Expenditure Breakdown'!$G$6:$G$236, 'Expenditure Breakdown'!$H$6:$H$236, "&gt;="&amp;FP1,'Expenditure Breakdown'!$H$6:$H$236, "&lt;"&amp;FQ1)</f>
        <v>0</v>
      </c>
      <c r="FQ5" s="197">
        <f>SUMIFS('Expenditure Breakdown'!$G$6:$G$236, 'Expenditure Breakdown'!$H$6:$H$236, "&gt;="&amp;FQ1,'Expenditure Breakdown'!$H$6:$H$236, "&lt;"&amp;FR1)</f>
        <v>0</v>
      </c>
      <c r="FR5" s="197">
        <f>SUMIFS('Expenditure Breakdown'!$G$6:$G$236, 'Expenditure Breakdown'!$H$6:$H$236, "&gt;="&amp;FR1,'Expenditure Breakdown'!$H$6:$H$236, "&lt;"&amp;FS1)</f>
        <v>0</v>
      </c>
      <c r="FS5" s="197">
        <f>SUMIFS('Expenditure Breakdown'!$G$6:$G$236, 'Expenditure Breakdown'!$H$6:$H$236, "&gt;="&amp;FS1,'Expenditure Breakdown'!$H$6:$H$236, "&lt;"&amp;FT1)</f>
        <v>0</v>
      </c>
      <c r="FT5" s="197">
        <f>SUMIFS('Expenditure Breakdown'!$G$6:$G$236, 'Expenditure Breakdown'!$H$6:$H$236, "&gt;="&amp;FT1,'Expenditure Breakdown'!$H$6:$H$236, "&lt;"&amp;FU1)</f>
        <v>0</v>
      </c>
      <c r="FU5" s="197">
        <f>SUMIFS('Expenditure Breakdown'!$G$6:$G$236, 'Expenditure Breakdown'!$H$6:$H$236, "&gt;="&amp;FU1,'Expenditure Breakdown'!$H$6:$H$236, "&lt;"&amp;FV1)</f>
        <v>0</v>
      </c>
      <c r="FV5" s="197">
        <f>SUMIFS('Expenditure Breakdown'!$G$6:$G$236, 'Expenditure Breakdown'!$H$6:$H$236, "&gt;="&amp;FV1,'Expenditure Breakdown'!$H$6:$H$236, "&lt;"&amp;FW1)</f>
        <v>0</v>
      </c>
      <c r="FW5" s="197">
        <f>SUMIFS('Expenditure Breakdown'!$G$6:$G$236, 'Expenditure Breakdown'!$H$6:$H$236, "&gt;="&amp;FW1,'Expenditure Breakdown'!$H$6:$H$236, "&lt;"&amp;FX1)</f>
        <v>0</v>
      </c>
      <c r="FX5" s="197">
        <f>SUMIFS('Expenditure Breakdown'!$G$6:$G$236, 'Expenditure Breakdown'!$H$6:$H$236, "&gt;="&amp;FX1,'Expenditure Breakdown'!$H$6:$H$236, "&lt;"&amp;FY1)</f>
        <v>0</v>
      </c>
      <c r="FY5" s="197">
        <f>SUMIFS('Expenditure Breakdown'!$G$6:$G$236, 'Expenditure Breakdown'!$H$6:$H$236, "&gt;="&amp;FY1,'Expenditure Breakdown'!$H$6:$H$236, "&lt;"&amp;FZ1)</f>
        <v>0</v>
      </c>
      <c r="FZ5" s="197">
        <f>SUMIFS('Expenditure Breakdown'!$G$6:$G$236, 'Expenditure Breakdown'!$H$6:$H$236, "&gt;="&amp;FZ1,'Expenditure Breakdown'!$H$6:$H$236, "&lt;"&amp;GA1)</f>
        <v>0</v>
      </c>
      <c r="GA5" s="197">
        <f>SUMIFS('Expenditure Breakdown'!$G$6:$G$236, 'Expenditure Breakdown'!$H$6:$H$236, "&gt;="&amp;GA1,'Expenditure Breakdown'!$H$6:$H$236, "&lt;"&amp;GB1)</f>
        <v>0</v>
      </c>
      <c r="GB5" s="197">
        <f>SUMIFS('Expenditure Breakdown'!$G$6:$G$236, 'Expenditure Breakdown'!$H$6:$H$236, "&gt;="&amp;GB1,'Expenditure Breakdown'!$H$6:$H$236, "&lt;"&amp;GC1)</f>
        <v>0</v>
      </c>
      <c r="GC5" s="197">
        <f>SUMIFS('Expenditure Breakdown'!$G$6:$G$236, 'Expenditure Breakdown'!$H$6:$H$236, "&gt;="&amp;GC1,'Expenditure Breakdown'!$H$6:$H$236, "&lt;"&amp;GD1)</f>
        <v>0</v>
      </c>
      <c r="GD5" s="197">
        <f>SUMIFS('Expenditure Breakdown'!$G$6:$G$236, 'Expenditure Breakdown'!$H$6:$H$236, "&gt;="&amp;GD1,'Expenditure Breakdown'!$H$6:$H$236, "&lt;"&amp;GE1)</f>
        <v>0</v>
      </c>
      <c r="GE5" s="197">
        <f>SUMIFS('Expenditure Breakdown'!$G$6:$G$236, 'Expenditure Breakdown'!$H$6:$H$236, "&gt;="&amp;GE1,'Expenditure Breakdown'!$H$6:$H$236, "&lt;"&amp;GF1)</f>
        <v>0</v>
      </c>
      <c r="GF5" s="197">
        <f>SUMIFS('Expenditure Breakdown'!$G$6:$G$236, 'Expenditure Breakdown'!$H$6:$H$236, "&gt;="&amp;GF1,'Expenditure Breakdown'!$H$6:$H$236, "&lt;"&amp;GG1)</f>
        <v>0</v>
      </c>
      <c r="GG5" s="197">
        <f>SUMIFS('Expenditure Breakdown'!$G$6:$G$236, 'Expenditure Breakdown'!$H$6:$H$236, "&gt;="&amp;GG1,'Expenditure Breakdown'!$H$6:$H$236, "&lt;"&amp;GH1)</f>
        <v>0</v>
      </c>
      <c r="GH5" s="197">
        <f>SUMIFS('Expenditure Breakdown'!$G$6:$G$236, 'Expenditure Breakdown'!$H$6:$H$236, "&gt;="&amp;GH1,'Expenditure Breakdown'!$H$6:$H$236, "&lt;"&amp;GI1)</f>
        <v>0</v>
      </c>
      <c r="GI5" s="197">
        <f>SUMIFS('Expenditure Breakdown'!$G$6:$G$236, 'Expenditure Breakdown'!$H$6:$H$236, "&gt;="&amp;GI1,'Expenditure Breakdown'!$H$6:$H$236, "&lt;"&amp;GJ1)</f>
        <v>0</v>
      </c>
      <c r="GJ5" s="197">
        <f>SUMIFS('Expenditure Breakdown'!$G$6:$G$236, 'Expenditure Breakdown'!$H$6:$H$236, "&gt;="&amp;GJ1,'Expenditure Breakdown'!$H$6:$H$236, "&lt;"&amp;GK1)</f>
        <v>0</v>
      </c>
      <c r="GK5" s="197">
        <f>SUMIFS('Expenditure Breakdown'!$G$6:$G$236, 'Expenditure Breakdown'!$H$6:$H$236, "&gt;="&amp;GK1,'Expenditure Breakdown'!$H$6:$H$236, "&lt;"&amp;GL1)</f>
        <v>0</v>
      </c>
      <c r="GL5" s="197">
        <f>SUMIFS('Expenditure Breakdown'!$G$6:$G$236, 'Expenditure Breakdown'!$H$6:$H$236, "&gt;="&amp;GL1,'Expenditure Breakdown'!$H$6:$H$236, "&lt;"&amp;GM1)</f>
        <v>0</v>
      </c>
      <c r="GM5" s="197">
        <f>SUMIFS('Expenditure Breakdown'!$G$6:$G$236, 'Expenditure Breakdown'!$H$6:$H$236, "&gt;="&amp;GM1,'Expenditure Breakdown'!$H$6:$H$236, "&lt;"&amp;GN1)</f>
        <v>0</v>
      </c>
      <c r="GN5" s="197">
        <f>SUMIFS('Expenditure Breakdown'!$G$6:$G$236, 'Expenditure Breakdown'!$H$6:$H$236, "&gt;="&amp;GN1,'Expenditure Breakdown'!$H$6:$H$236, "&lt;"&amp;GO1)</f>
        <v>0</v>
      </c>
      <c r="GO5" s="197">
        <f>SUMIFS('Expenditure Breakdown'!$G$6:$G$236, 'Expenditure Breakdown'!$H$6:$H$236, "&gt;="&amp;GO1,'Expenditure Breakdown'!$H$6:$H$236, "&lt;"&amp;GP1)</f>
        <v>0</v>
      </c>
      <c r="GP5" s="197">
        <f>SUMIFS('Expenditure Breakdown'!$G$6:$G$236, 'Expenditure Breakdown'!$H$6:$H$236, "&gt;="&amp;GP1,'Expenditure Breakdown'!$H$6:$H$236, "&lt;"&amp;GQ1)</f>
        <v>0</v>
      </c>
      <c r="GQ5" s="197">
        <f>SUMIFS('Expenditure Breakdown'!$G$6:$G$236, 'Expenditure Breakdown'!$H$6:$H$236, "&gt;="&amp;GQ1,'Expenditure Breakdown'!$H$6:$H$236, "&lt;"&amp;GR1)</f>
        <v>0</v>
      </c>
      <c r="GR5" s="197">
        <f>SUMIFS('Expenditure Breakdown'!$G$6:$G$236, 'Expenditure Breakdown'!$H$6:$H$236, "&gt;="&amp;GR1,'Expenditure Breakdown'!$H$6:$H$236, "&lt;"&amp;GS1)</f>
        <v>0</v>
      </c>
      <c r="GS5" s="197">
        <f>SUMIFS('Expenditure Breakdown'!$G$6:$G$236, 'Expenditure Breakdown'!$H$6:$H$236, "&gt;="&amp;GS1,'Expenditure Breakdown'!$H$6:$H$236, "&lt;"&amp;GT1)</f>
        <v>0</v>
      </c>
      <c r="GT5" s="197">
        <f>SUMIFS('Expenditure Breakdown'!$G$6:$G$236, 'Expenditure Breakdown'!$H$6:$H$236, "&gt;="&amp;GT1,'Expenditure Breakdown'!$H$6:$H$236, "&lt;"&amp;GU1)</f>
        <v>0</v>
      </c>
      <c r="GU5" s="197">
        <f>SUMIFS('Expenditure Breakdown'!$G$6:$G$236, 'Expenditure Breakdown'!$H$6:$H$236, "&gt;="&amp;GU1,'Expenditure Breakdown'!$H$6:$H$236, "&lt;"&amp;GV1)</f>
        <v>0</v>
      </c>
      <c r="GV5" s="197">
        <f>SUMIFS('Expenditure Breakdown'!$G$6:$G$236, 'Expenditure Breakdown'!$H$6:$H$236, "&gt;="&amp;GV1,'Expenditure Breakdown'!$H$6:$H$236, "&lt;"&amp;GW1)</f>
        <v>0</v>
      </c>
      <c r="GW5" s="197">
        <f>SUMIFS('Expenditure Breakdown'!$G$6:$G$236, 'Expenditure Breakdown'!$H$6:$H$236, "&gt;="&amp;GW1,'Expenditure Breakdown'!$H$6:$H$236, "&lt;"&amp;GX1)</f>
        <v>0</v>
      </c>
      <c r="GX5" s="197">
        <f>SUMIFS('Expenditure Breakdown'!$G$6:$G$236, 'Expenditure Breakdown'!$H$6:$H$236, "&gt;="&amp;GX1,'Expenditure Breakdown'!$H$6:$H$236, "&lt;"&amp;GY1)</f>
        <v>0</v>
      </c>
      <c r="GY5" s="197">
        <f>SUMIFS('Expenditure Breakdown'!$G$6:$G$236, 'Expenditure Breakdown'!$H$6:$H$236, "&gt;="&amp;GY1,'Expenditure Breakdown'!$H$6:$H$236, "&lt;"&amp;GZ1)</f>
        <v>0</v>
      </c>
      <c r="GZ5" s="197">
        <f>SUMIFS('Expenditure Breakdown'!$G$6:$G$236, 'Expenditure Breakdown'!$H$6:$H$236, "&gt;="&amp;GZ1,'Expenditure Breakdown'!$H$6:$H$236, "&lt;"&amp;HA1)</f>
        <v>0</v>
      </c>
      <c r="HA5" s="197">
        <f>SUMIFS('Expenditure Breakdown'!$G$6:$G$236, 'Expenditure Breakdown'!$H$6:$H$236, "&gt;="&amp;HA1,'Expenditure Breakdown'!$H$6:$H$236, "&lt;"&amp;HB1)</f>
        <v>0</v>
      </c>
      <c r="HB5" s="197">
        <f>SUMIFS('Expenditure Breakdown'!$G$6:$G$236, 'Expenditure Breakdown'!$H$6:$H$236, "&gt;="&amp;HB1,'Expenditure Breakdown'!$H$6:$H$236, "&lt;"&amp;HC1)</f>
        <v>0</v>
      </c>
      <c r="HC5" s="197">
        <f>SUMIFS('Expenditure Breakdown'!$G$6:$G$236, 'Expenditure Breakdown'!$H$6:$H$236, "&gt;="&amp;HC1,'Expenditure Breakdown'!$H$6:$H$236, "&lt;"&amp;HD1)</f>
        <v>0</v>
      </c>
      <c r="HD5" s="197">
        <f>SUMIFS('Expenditure Breakdown'!$G$6:$G$236, 'Expenditure Breakdown'!$H$6:$H$236, "&gt;="&amp;HD1,'Expenditure Breakdown'!$H$6:$H$236, "&lt;"&amp;HE1)</f>
        <v>0</v>
      </c>
      <c r="HE5" s="197">
        <f>SUMIFS('Expenditure Breakdown'!$G$6:$G$236, 'Expenditure Breakdown'!$H$6:$H$236, "&gt;="&amp;HE1,'Expenditure Breakdown'!$H$6:$H$236, "&lt;"&amp;HF1)</f>
        <v>0</v>
      </c>
      <c r="HF5" s="197">
        <f>SUMIFS('Expenditure Breakdown'!$G$6:$G$236, 'Expenditure Breakdown'!$H$6:$H$236, "&gt;="&amp;HF1,'Expenditure Breakdown'!$H$6:$H$236, "&lt;"&amp;HG1)</f>
        <v>0</v>
      </c>
      <c r="HG5" s="197">
        <f>SUMIFS('Expenditure Breakdown'!$G$6:$G$236, 'Expenditure Breakdown'!$H$6:$H$236, "&gt;="&amp;HG1,'Expenditure Breakdown'!$H$6:$H$236, "&lt;"&amp;HH1)</f>
        <v>0</v>
      </c>
      <c r="HH5" s="197">
        <f>SUMIFS('Expenditure Breakdown'!$G$6:$G$236, 'Expenditure Breakdown'!$H$6:$H$236, "&gt;="&amp;HH1,'Expenditure Breakdown'!$H$6:$H$236, "&lt;"&amp;HI1)</f>
        <v>0</v>
      </c>
      <c r="HI5" s="197">
        <f>SUMIFS('Expenditure Breakdown'!$G$6:$G$236, 'Expenditure Breakdown'!$H$6:$H$236, "&gt;="&amp;HI1,'Expenditure Breakdown'!$H$6:$H$236, "&lt;"&amp;HJ1)</f>
        <v>0</v>
      </c>
      <c r="HJ5" s="197">
        <f>SUMIFS('Expenditure Breakdown'!$G$6:$G$236, 'Expenditure Breakdown'!$H$6:$H$236, "&gt;="&amp;HJ1,'Expenditure Breakdown'!$H$6:$H$236, "&lt;"&amp;HK1)</f>
        <v>0</v>
      </c>
      <c r="HK5" s="197">
        <f>SUMIFS('Expenditure Breakdown'!$G$6:$G$236, 'Expenditure Breakdown'!$H$6:$H$236, "&gt;="&amp;HK1,'Expenditure Breakdown'!$H$6:$H$236, "&lt;"&amp;HL1)</f>
        <v>0</v>
      </c>
      <c r="HL5" s="197">
        <f>SUMIFS('Expenditure Breakdown'!$G$6:$G$236, 'Expenditure Breakdown'!$H$6:$H$236, "&gt;="&amp;HL1,'Expenditure Breakdown'!$H$6:$H$236, "&lt;"&amp;HM1)</f>
        <v>0</v>
      </c>
      <c r="HM5" s="197">
        <f>SUMIFS('Expenditure Breakdown'!$G$6:$G$236, 'Expenditure Breakdown'!$H$6:$H$236, "&gt;="&amp;HM1,'Expenditure Breakdown'!$H$6:$H$236, "&lt;"&amp;HN1)</f>
        <v>0</v>
      </c>
      <c r="HN5" s="197">
        <f>SUMIFS('Expenditure Breakdown'!$G$6:$G$236, 'Expenditure Breakdown'!$H$6:$H$236, "&gt;="&amp;HN1,'Expenditure Breakdown'!$H$6:$H$236, "&lt;"&amp;HO1)</f>
        <v>0</v>
      </c>
      <c r="HO5" s="197">
        <f>SUMIFS('Expenditure Breakdown'!$G$6:$G$236, 'Expenditure Breakdown'!$H$6:$H$236, "&gt;="&amp;HO1,'Expenditure Breakdown'!$H$6:$H$236, "&lt;"&amp;HP1)</f>
        <v>0</v>
      </c>
      <c r="HP5" s="197">
        <f>SUMIFS('Expenditure Breakdown'!$G$6:$G$236, 'Expenditure Breakdown'!$H$6:$H$236, "&gt;="&amp;HP1,'Expenditure Breakdown'!$H$6:$H$236, "&lt;"&amp;HQ1)</f>
        <v>0</v>
      </c>
      <c r="HQ5" s="197">
        <f>SUMIFS('Expenditure Breakdown'!$G$6:$G$236, 'Expenditure Breakdown'!$H$6:$H$236, "&gt;="&amp;HQ1,'Expenditure Breakdown'!$H$6:$H$236, "&lt;"&amp;HR1)</f>
        <v>0</v>
      </c>
      <c r="HR5" s="197">
        <f>SUMIFS('Expenditure Breakdown'!$G$6:$G$236, 'Expenditure Breakdown'!$H$6:$H$236, "&gt;="&amp;HR1,'Expenditure Breakdown'!$H$6:$H$236, "&lt;"&amp;HS1)</f>
        <v>0</v>
      </c>
      <c r="HS5" s="197">
        <f>SUMIFS('Expenditure Breakdown'!$G$6:$G$236, 'Expenditure Breakdown'!$H$6:$H$236, "&gt;="&amp;HS1,'Expenditure Breakdown'!$H$6:$H$236, "&lt;"&amp;HT1)</f>
        <v>0</v>
      </c>
      <c r="HT5" s="197">
        <f>SUMIFS('Expenditure Breakdown'!$G$6:$G$236, 'Expenditure Breakdown'!$H$6:$H$236, "&gt;="&amp;HT1,'Expenditure Breakdown'!$H$6:$H$236, "&lt;"&amp;HU1)</f>
        <v>0</v>
      </c>
      <c r="HU5" s="197">
        <f>SUMIFS('Expenditure Breakdown'!$G$6:$G$236, 'Expenditure Breakdown'!$H$6:$H$236, "&gt;="&amp;HU1,'Expenditure Breakdown'!$H$6:$H$236, "&lt;"&amp;HV1)</f>
        <v>0</v>
      </c>
      <c r="HV5" s="197">
        <f>SUMIFS('Expenditure Breakdown'!$G$6:$G$236, 'Expenditure Breakdown'!$H$6:$H$236, "&gt;="&amp;HV1,'Expenditure Breakdown'!$H$6:$H$236, "&lt;"&amp;HW1)</f>
        <v>0</v>
      </c>
      <c r="HW5" s="197">
        <f>SUMIFS('Expenditure Breakdown'!$G$6:$G$236, 'Expenditure Breakdown'!$H$6:$H$236, "&gt;="&amp;HW1,'Expenditure Breakdown'!$H$6:$H$236, "&lt;"&amp;HX1)</f>
        <v>0</v>
      </c>
      <c r="HX5" s="197">
        <f>SUMIFS('Expenditure Breakdown'!$G$6:$G$236, 'Expenditure Breakdown'!$H$6:$H$236, "&gt;="&amp;HX1,'Expenditure Breakdown'!$H$6:$H$236, "&lt;"&amp;HY1)</f>
        <v>0</v>
      </c>
      <c r="HY5" s="197">
        <f>SUMIFS('Expenditure Breakdown'!$G$6:$G$236, 'Expenditure Breakdown'!$H$6:$H$236, "&gt;="&amp;HY1,'Expenditure Breakdown'!$H$6:$H$236, "&lt;"&amp;HZ1)</f>
        <v>0</v>
      </c>
      <c r="HZ5" s="197">
        <f>SUMIFS('Expenditure Breakdown'!$G$6:$G$236, 'Expenditure Breakdown'!$H$6:$H$236, "&gt;="&amp;HZ1,'Expenditure Breakdown'!$H$6:$H$236, "&lt;"&amp;IA1)</f>
        <v>0</v>
      </c>
      <c r="IA5" s="197">
        <f>SUMIFS('Expenditure Breakdown'!$G$6:$G$236, 'Expenditure Breakdown'!$H$6:$H$236, "&gt;="&amp;IA1,'Expenditure Breakdown'!$H$6:$H$236, "&lt;"&amp;IB1)</f>
        <v>0</v>
      </c>
      <c r="IB5" s="197">
        <f>SUMIFS('Expenditure Breakdown'!$G$6:$G$236, 'Expenditure Breakdown'!$H$6:$H$236, "&gt;="&amp;IB1,'Expenditure Breakdown'!$H$6:$H$236, "&lt;"&amp;IC1)</f>
        <v>0</v>
      </c>
      <c r="IC5" s="197">
        <f>SUMIFS('Expenditure Breakdown'!$G$6:$G$236, 'Expenditure Breakdown'!$H$6:$H$236, "&gt;="&amp;IC1,'Expenditure Breakdown'!$H$6:$H$236, "&lt;"&amp;ID1)</f>
        <v>0</v>
      </c>
      <c r="ID5" s="197">
        <f>SUMIFS('Expenditure Breakdown'!$G$6:$G$236, 'Expenditure Breakdown'!$H$6:$H$236, "&gt;="&amp;ID1,'Expenditure Breakdown'!$H$6:$H$236, "&lt;"&amp;IE1)</f>
        <v>0</v>
      </c>
      <c r="IE5" s="197">
        <f>SUMIFS('Expenditure Breakdown'!$G$6:$G$236, 'Expenditure Breakdown'!$H$6:$H$236, "&gt;="&amp;IE1,'Expenditure Breakdown'!$H$6:$H$236, "&lt;"&amp;IF1)</f>
        <v>0</v>
      </c>
      <c r="IF5" s="197">
        <f>SUMIFS('Expenditure Breakdown'!$G$6:$G$236, 'Expenditure Breakdown'!$H$6:$H$236, "&gt;="&amp;IF1,'Expenditure Breakdown'!$H$6:$H$236, "&lt;"&amp;IG1)</f>
        <v>0</v>
      </c>
      <c r="IG5" s="197">
        <f>SUMIFS('Expenditure Breakdown'!$G$6:$G$236, 'Expenditure Breakdown'!$H$6:$H$236, "&gt;="&amp;IG1,'Expenditure Breakdown'!$H$6:$H$236, "&lt;"&amp;IH1)</f>
        <v>0</v>
      </c>
      <c r="IH5" s="197">
        <f>SUMIFS('Expenditure Breakdown'!$G$6:$G$236, 'Expenditure Breakdown'!$H$6:$H$236, "&gt;="&amp;IH1,'Expenditure Breakdown'!$H$6:$H$236, "&lt;"&amp;II1)</f>
        <v>0</v>
      </c>
      <c r="II5" s="197">
        <f>SUMIFS('Expenditure Breakdown'!$G$6:$G$236, 'Expenditure Breakdown'!$H$6:$H$236, "&gt;="&amp;II1,'Expenditure Breakdown'!$H$6:$H$236, "&lt;"&amp;IJ1)</f>
        <v>0</v>
      </c>
      <c r="IJ5" s="197">
        <f>SUMIFS('Expenditure Breakdown'!$G$6:$G$236, 'Expenditure Breakdown'!$H$6:$H$236, "&gt;="&amp;IJ1,'Expenditure Breakdown'!$H$6:$H$236, "&lt;"&amp;IK1)</f>
        <v>0</v>
      </c>
      <c r="IK5" s="197">
        <f>SUMIFS('Expenditure Breakdown'!$G$6:$G$236, 'Expenditure Breakdown'!$H$6:$H$236, "&gt;="&amp;IK1,'Expenditure Breakdown'!$H$6:$H$236, "&lt;"&amp;IL1)</f>
        <v>0</v>
      </c>
      <c r="IL5" s="197">
        <f>SUMIFS('Expenditure Breakdown'!$G$6:$G$236, 'Expenditure Breakdown'!$H$6:$H$236, "&gt;="&amp;IL1,'Expenditure Breakdown'!$H$6:$H$236, "&lt;"&amp;IM1)</f>
        <v>0</v>
      </c>
      <c r="IM5" s="197">
        <f>SUMIFS('Expenditure Breakdown'!$G$6:$G$236, 'Expenditure Breakdown'!$H$6:$H$236, "&gt;="&amp;IM1,'Expenditure Breakdown'!$H$6:$H$236, "&lt;"&amp;IN1)</f>
        <v>0</v>
      </c>
      <c r="IN5" s="197">
        <f>SUMIFS('Expenditure Breakdown'!$G$6:$G$236, 'Expenditure Breakdown'!$H$6:$H$236, "&gt;="&amp;IN1,'Expenditure Breakdown'!$H$6:$H$236, "&lt;"&amp;IO1)</f>
        <v>0</v>
      </c>
      <c r="IO5" s="197">
        <f>SUMIFS('Expenditure Breakdown'!$G$6:$G$236, 'Expenditure Breakdown'!$H$6:$H$236, "&gt;="&amp;IO1,'Expenditure Breakdown'!$H$6:$H$236, "&lt;"&amp;IP1)</f>
        <v>0</v>
      </c>
      <c r="IP5" s="197">
        <f>SUMIFS('Expenditure Breakdown'!$G$6:$G$236, 'Expenditure Breakdown'!$H$6:$H$236, "&gt;="&amp;IP1,'Expenditure Breakdown'!$H$6:$H$236, "&lt;"&amp;IQ1)</f>
        <v>0</v>
      </c>
      <c r="IQ5" s="197">
        <f>SUMIFS('Expenditure Breakdown'!$G$6:$G$236, 'Expenditure Breakdown'!$H$6:$H$236, "&gt;="&amp;IQ1,'Expenditure Breakdown'!$H$6:$H$236, "&lt;"&amp;IR1)</f>
        <v>0</v>
      </c>
      <c r="IR5" s="197">
        <f>SUMIFS('Expenditure Breakdown'!$G$6:$G$236, 'Expenditure Breakdown'!$H$6:$H$236, "&gt;="&amp;IR1,'Expenditure Breakdown'!$H$6:$H$236, "&lt;"&amp;IS1)</f>
        <v>0</v>
      </c>
      <c r="IS5" s="197">
        <f>SUMIFS('Expenditure Breakdown'!$G$6:$G$236, 'Expenditure Breakdown'!$H$6:$H$236, "&gt;="&amp;IS1,'Expenditure Breakdown'!$H$6:$H$236, "&lt;"&amp;IT1)</f>
        <v>0</v>
      </c>
      <c r="IT5" s="197">
        <f>SUMIFS('Expenditure Breakdown'!$G$6:$G$236, 'Expenditure Breakdown'!$H$6:$H$236, "&gt;="&amp;IT1,'Expenditure Breakdown'!$H$6:$H$236, "&lt;"&amp;IU1)</f>
        <v>0</v>
      </c>
      <c r="IU5" s="197">
        <f>SUMIFS('Expenditure Breakdown'!$G$6:$G$236, 'Expenditure Breakdown'!$H$6:$H$236, "&gt;="&amp;IU1,'Expenditure Breakdown'!$H$6:$H$236, "&lt;"&amp;IV1)</f>
        <v>0</v>
      </c>
      <c r="IV5" s="197">
        <f>SUMIFS('Expenditure Breakdown'!$G$6:$G$236, 'Expenditure Breakdown'!$H$6:$H$236, "&gt;="&amp;IV1,'Expenditure Breakdown'!$H$6:$H$236, "&lt;"&amp;IW1)</f>
        <v>0</v>
      </c>
      <c r="IW5" s="197">
        <f>SUMIFS('Expenditure Breakdown'!$G$6:$G$236, 'Expenditure Breakdown'!$H$6:$H$236, "&gt;="&amp;IW1,'Expenditure Breakdown'!$H$6:$H$236, "&lt;"&amp;IX1)</f>
        <v>0</v>
      </c>
      <c r="IX5" s="197">
        <f>SUMIFS('Expenditure Breakdown'!$G$6:$G$236, 'Expenditure Breakdown'!$H$6:$H$236, "&gt;="&amp;IX1,'Expenditure Breakdown'!$H$6:$H$236, "&lt;"&amp;IY1)</f>
        <v>0</v>
      </c>
      <c r="IY5" s="197">
        <f>SUMIFS('Expenditure Breakdown'!$G$6:$G$236, 'Expenditure Breakdown'!$H$6:$H$236, "&gt;="&amp;IY1,'Expenditure Breakdown'!$H$6:$H$236, "&lt;"&amp;IZ1)</f>
        <v>0</v>
      </c>
      <c r="IZ5" s="197">
        <f>SUMIFS('Expenditure Breakdown'!$G$6:$G$236, 'Expenditure Breakdown'!$H$6:$H$236, "&gt;="&amp;IZ1,'Expenditure Breakdown'!$H$6:$H$236, "&lt;"&amp;JA1)</f>
        <v>0</v>
      </c>
      <c r="JA5" s="197">
        <f>SUMIFS('Expenditure Breakdown'!$G$6:$G$236, 'Expenditure Breakdown'!$H$6:$H$236, "&gt;="&amp;JA1,'Expenditure Breakdown'!$H$6:$H$236, "&lt;"&amp;JB1)</f>
        <v>0</v>
      </c>
      <c r="JB5" s="197">
        <f>SUMIFS('Expenditure Breakdown'!$G$6:$G$236, 'Expenditure Breakdown'!$H$6:$H$236, "&gt;="&amp;JB1,'Expenditure Breakdown'!$H$6:$H$236, "&lt;"&amp;JC1)</f>
        <v>0</v>
      </c>
      <c r="JC5" s="197">
        <f>SUMIFS('Expenditure Breakdown'!$G$6:$G$236, 'Expenditure Breakdown'!$H$6:$H$236, "&gt;="&amp;JC1,'Expenditure Breakdown'!$H$6:$H$236, "&lt;"&amp;JD1)</f>
        <v>0</v>
      </c>
      <c r="JD5" s="197">
        <f>SUMIFS('Expenditure Breakdown'!$G$6:$G$236, 'Expenditure Breakdown'!$H$6:$H$236, "&gt;="&amp;JD1,'Expenditure Breakdown'!$H$6:$H$236, "&lt;"&amp;JE1)</f>
        <v>0</v>
      </c>
      <c r="JE5" s="197">
        <f>SUMIFS('Expenditure Breakdown'!$G$6:$G$236, 'Expenditure Breakdown'!$H$6:$H$236, "&gt;="&amp;JE1,'Expenditure Breakdown'!$H$6:$H$236, "&lt;"&amp;JF1)</f>
        <v>0</v>
      </c>
      <c r="JF5" s="197">
        <f>SUMIFS('Expenditure Breakdown'!$G$6:$G$236, 'Expenditure Breakdown'!$H$6:$H$236, "&gt;="&amp;JF1,'Expenditure Breakdown'!$H$6:$H$236, "&lt;"&amp;JG1)</f>
        <v>0</v>
      </c>
      <c r="JG5" s="197">
        <f>SUMIFS('Expenditure Breakdown'!$G$6:$G$236, 'Expenditure Breakdown'!$H$6:$H$236, "&gt;="&amp;JG1,'Expenditure Breakdown'!$H$6:$H$236, "&lt;"&amp;JH1)</f>
        <v>0</v>
      </c>
      <c r="JH5" s="197">
        <f>SUMIFS('Expenditure Breakdown'!$G$6:$G$236, 'Expenditure Breakdown'!$H$6:$H$236, "&gt;="&amp;JH1,'Expenditure Breakdown'!$H$6:$H$236, "&lt;"&amp;JI1)</f>
        <v>0</v>
      </c>
      <c r="JI5" s="197">
        <f>SUMIFS('Expenditure Breakdown'!$G$6:$G$236, 'Expenditure Breakdown'!$H$6:$H$236, "&gt;="&amp;JI1,'Expenditure Breakdown'!$H$6:$H$236, "&lt;"&amp;JJ1)</f>
        <v>0</v>
      </c>
      <c r="JJ5" s="197">
        <f>SUMIFS('Expenditure Breakdown'!$G$6:$G$236, 'Expenditure Breakdown'!$H$6:$H$236, "&gt;="&amp;JJ1,'Expenditure Breakdown'!$H$6:$H$236, "&lt;"&amp;JK1)</f>
        <v>0</v>
      </c>
      <c r="JK5" s="197">
        <f>SUMIFS('Expenditure Breakdown'!$G$6:$G$236, 'Expenditure Breakdown'!$H$6:$H$236, "&gt;="&amp;JK1,'Expenditure Breakdown'!$H$6:$H$236, "&lt;"&amp;JL1)</f>
        <v>0</v>
      </c>
      <c r="JL5" s="197">
        <f>SUMIFS('Expenditure Breakdown'!$G$6:$G$236, 'Expenditure Breakdown'!$H$6:$H$236, "&gt;="&amp;JL1,'Expenditure Breakdown'!$H$6:$H$236, "&lt;"&amp;JM1)</f>
        <v>0</v>
      </c>
      <c r="JM5" s="197">
        <f>SUMIFS('Expenditure Breakdown'!$G$6:$G$236, 'Expenditure Breakdown'!$H$6:$H$236, "&gt;="&amp;JM1,'Expenditure Breakdown'!$H$6:$H$236, "&lt;"&amp;JN1)</f>
        <v>0</v>
      </c>
      <c r="JN5" s="197">
        <f>SUMIFS('Expenditure Breakdown'!$G$6:$G$236, 'Expenditure Breakdown'!$H$6:$H$236, "&gt;="&amp;JN1,'Expenditure Breakdown'!$H$6:$H$236, "&lt;"&amp;JO1)</f>
        <v>0</v>
      </c>
      <c r="JO5" s="197">
        <f>SUMIFS('Expenditure Breakdown'!$G$6:$G$236, 'Expenditure Breakdown'!$H$6:$H$236, "&gt;="&amp;JO1,'Expenditure Breakdown'!$H$6:$H$236, "&lt;"&amp;JP1)</f>
        <v>0</v>
      </c>
      <c r="JP5" s="197">
        <f>SUMIFS('Expenditure Breakdown'!$G$6:$G$236, 'Expenditure Breakdown'!$H$6:$H$236, "&gt;="&amp;JP1,'Expenditure Breakdown'!$H$6:$H$236, "&lt;"&amp;JQ1)</f>
        <v>0</v>
      </c>
      <c r="JQ5" s="197">
        <f>SUMIFS('Expenditure Breakdown'!$G$6:$G$236, 'Expenditure Breakdown'!$H$6:$H$236, "&gt;="&amp;JQ1,'Expenditure Breakdown'!$H$6:$H$236, "&lt;"&amp;JR1)</f>
        <v>0</v>
      </c>
      <c r="JR5" s="197">
        <f>SUMIFS('Expenditure Breakdown'!$G$6:$G$236, 'Expenditure Breakdown'!$H$6:$H$236, "&gt;="&amp;JR1,'Expenditure Breakdown'!$H$6:$H$236, "&lt;"&amp;JS1)</f>
        <v>0</v>
      </c>
      <c r="JS5" s="197">
        <f>SUMIFS('Expenditure Breakdown'!$G$6:$G$236, 'Expenditure Breakdown'!$H$6:$H$236, "&gt;="&amp;JS1,'Expenditure Breakdown'!$H$6:$H$236, "&lt;"&amp;JT1)</f>
        <v>0</v>
      </c>
      <c r="JT5" s="197">
        <f>SUMIFS('Expenditure Breakdown'!$G$6:$G$236, 'Expenditure Breakdown'!$H$6:$H$236, "&gt;="&amp;JT1,'Expenditure Breakdown'!$H$6:$H$236, "&lt;"&amp;JU1)</f>
        <v>0</v>
      </c>
      <c r="JU5" s="197">
        <f>SUMIFS('Expenditure Breakdown'!$G$6:$G$236, 'Expenditure Breakdown'!$H$6:$H$236, "&gt;="&amp;JU1,'Expenditure Breakdown'!$H$6:$H$236, "&lt;"&amp;JV1)</f>
        <v>0</v>
      </c>
      <c r="JV5" s="197">
        <f>SUMIFS('Expenditure Breakdown'!$G$6:$G$236, 'Expenditure Breakdown'!$H$6:$H$236, "&gt;="&amp;JV1,'Expenditure Breakdown'!$H$6:$H$236, "&lt;"&amp;JW1)</f>
        <v>0</v>
      </c>
      <c r="JW5" s="197">
        <f>SUMIFS('Expenditure Breakdown'!$G$6:$G$236, 'Expenditure Breakdown'!$H$6:$H$236, "&gt;="&amp;JW1,'Expenditure Breakdown'!$H$6:$H$236, "&lt;"&amp;JX1)</f>
        <v>0</v>
      </c>
      <c r="JX5" s="197">
        <f>SUMIFS('Expenditure Breakdown'!$G$6:$G$236, 'Expenditure Breakdown'!$H$6:$H$236, "&gt;="&amp;JX1,'Expenditure Breakdown'!$H$6:$H$236, "&lt;"&amp;JY1)</f>
        <v>0</v>
      </c>
      <c r="JY5" s="197">
        <f>SUMIFS('Expenditure Breakdown'!$G$6:$G$236, 'Expenditure Breakdown'!$H$6:$H$236, "&gt;="&amp;JY1,'Expenditure Breakdown'!$H$6:$H$236, "&lt;"&amp;JZ1)</f>
        <v>0</v>
      </c>
      <c r="JZ5" s="197">
        <f>SUMIFS('Expenditure Breakdown'!$G$6:$G$236, 'Expenditure Breakdown'!$H$6:$H$236, "&gt;="&amp;JZ1,'Expenditure Breakdown'!$H$6:$H$236, "&lt;"&amp;KA1)</f>
        <v>0</v>
      </c>
      <c r="KA5" s="197">
        <f>SUMIFS('Expenditure Breakdown'!$G$6:$G$236, 'Expenditure Breakdown'!$H$6:$H$236, "&gt;="&amp;KA1,'Expenditure Breakdown'!$H$6:$H$236, "&lt;"&amp;KB1)</f>
        <v>0</v>
      </c>
      <c r="KB5" s="197">
        <f>SUMIFS('Expenditure Breakdown'!$G$6:$G$236, 'Expenditure Breakdown'!$H$6:$H$236, "&gt;="&amp;KB1,'Expenditure Breakdown'!$H$6:$H$236, "&lt;"&amp;KC1)</f>
        <v>0</v>
      </c>
      <c r="KC5" s="197">
        <f>SUMIFS('Expenditure Breakdown'!$G$6:$G$236, 'Expenditure Breakdown'!$H$6:$H$236, "&gt;="&amp;KC1,'Expenditure Breakdown'!$H$6:$H$236, "&lt;"&amp;KD1)</f>
        <v>0</v>
      </c>
      <c r="KD5" s="197">
        <f>SUMIFS('Expenditure Breakdown'!$G$6:$G$236, 'Expenditure Breakdown'!$H$6:$H$236, "&gt;="&amp;KD1,'Expenditure Breakdown'!$H$6:$H$236, "&lt;"&amp;KE1)</f>
        <v>0</v>
      </c>
      <c r="KE5" s="197">
        <f>SUMIFS('Expenditure Breakdown'!$G$6:$G$236, 'Expenditure Breakdown'!$H$6:$H$236, "&gt;="&amp;KE1,'Expenditure Breakdown'!$H$6:$H$236, "&lt;"&amp;KF1)</f>
        <v>0</v>
      </c>
      <c r="KF5" s="197">
        <f>SUMIFS('Expenditure Breakdown'!$G$6:$G$236, 'Expenditure Breakdown'!$H$6:$H$236, "&gt;="&amp;KF1,'Expenditure Breakdown'!$H$6:$H$236, "&lt;"&amp;KG1)</f>
        <v>0</v>
      </c>
      <c r="KG5" s="197">
        <f>SUMIFS('Expenditure Breakdown'!$G$6:$G$236, 'Expenditure Breakdown'!$H$6:$H$236, "&gt;="&amp;KG1,'Expenditure Breakdown'!$H$6:$H$236, "&lt;"&amp;KH1)</f>
        <v>0</v>
      </c>
      <c r="KH5" s="197">
        <f>SUMIFS('Expenditure Breakdown'!$G$6:$G$236, 'Expenditure Breakdown'!$H$6:$H$236, "&gt;="&amp;KH1,'Expenditure Breakdown'!$H$6:$H$236, "&lt;"&amp;KI1)</f>
        <v>0</v>
      </c>
      <c r="KI5" s="197">
        <f>SUMIFS('Expenditure Breakdown'!$G$6:$G$236, 'Expenditure Breakdown'!$H$6:$H$236, "&gt;="&amp;KI1,'Expenditure Breakdown'!$H$6:$H$236, "&lt;"&amp;KJ1)</f>
        <v>0</v>
      </c>
      <c r="KJ5" s="197">
        <f>SUMIFS('Expenditure Breakdown'!$G$6:$G$236, 'Expenditure Breakdown'!$H$6:$H$236, "&gt;="&amp;KJ1,'Expenditure Breakdown'!$H$6:$H$236, "&lt;"&amp;KK1)</f>
        <v>0</v>
      </c>
      <c r="KK5" s="197">
        <f>SUMIFS('Expenditure Breakdown'!$G$6:$G$236, 'Expenditure Breakdown'!$H$6:$H$236, "&gt;="&amp;KK1,'Expenditure Breakdown'!$H$6:$H$236, "&lt;"&amp;KL1)</f>
        <v>0</v>
      </c>
      <c r="KL5" s="197">
        <f>SUMIFS('Expenditure Breakdown'!$G$6:$G$236, 'Expenditure Breakdown'!$H$6:$H$236, "&gt;="&amp;KL1,'Expenditure Breakdown'!$H$6:$H$236, "&lt;"&amp;KM1)</f>
        <v>0</v>
      </c>
      <c r="KM5" s="197">
        <f>SUMIFS('Expenditure Breakdown'!$G$6:$G$236, 'Expenditure Breakdown'!$H$6:$H$236, "&gt;="&amp;KM1,'Expenditure Breakdown'!$H$6:$H$236, "&lt;"&amp;KN1)</f>
        <v>0</v>
      </c>
      <c r="KN5" s="197">
        <f>SUMIFS('Expenditure Breakdown'!$G$6:$G$236, 'Expenditure Breakdown'!$H$6:$H$236, "&gt;="&amp;KN1,'Expenditure Breakdown'!$H$6:$H$236, "&lt;"&amp;KO1)</f>
        <v>0</v>
      </c>
      <c r="KO5" s="197">
        <f>SUMIFS('Expenditure Breakdown'!$G$6:$G$236, 'Expenditure Breakdown'!$H$6:$H$236, "&gt;="&amp;KO1,'Expenditure Breakdown'!$H$6:$H$236, "&lt;"&amp;KP1)</f>
        <v>0</v>
      </c>
      <c r="KP5" s="197">
        <f>SUMIFS('Expenditure Breakdown'!$G$6:$G$236, 'Expenditure Breakdown'!$H$6:$H$236, "&gt;="&amp;KP1,'Expenditure Breakdown'!$H$6:$H$236, "&lt;"&amp;KQ1)</f>
        <v>0</v>
      </c>
      <c r="KQ5" s="197">
        <f>SUMIFS('Expenditure Breakdown'!$G$6:$G$236, 'Expenditure Breakdown'!$H$6:$H$236, "&gt;="&amp;KQ1,'Expenditure Breakdown'!$H$6:$H$236, "&lt;"&amp;KR1)</f>
        <v>0</v>
      </c>
      <c r="KR5" s="197">
        <f>SUMIFS('Expenditure Breakdown'!$G$6:$G$236, 'Expenditure Breakdown'!$H$6:$H$236, "&gt;="&amp;KR1,'Expenditure Breakdown'!$H$6:$H$236, "&lt;"&amp;KS1)</f>
        <v>0</v>
      </c>
      <c r="KS5" s="197">
        <f>SUMIFS('Expenditure Breakdown'!$G$6:$G$236, 'Expenditure Breakdown'!$H$6:$H$236, "&gt;="&amp;KS1,'Expenditure Breakdown'!$H$6:$H$236, "&lt;"&amp;KT1)</f>
        <v>0</v>
      </c>
      <c r="KT5" s="197">
        <f>SUMIFS('Expenditure Breakdown'!$G$6:$G$236, 'Expenditure Breakdown'!$H$6:$H$236, "&gt;="&amp;KT1,'Expenditure Breakdown'!$H$6:$H$236, "&lt;"&amp;KU1)</f>
        <v>0</v>
      </c>
      <c r="KU5" s="197">
        <f>SUMIFS('Expenditure Breakdown'!$G$6:$G$236, 'Expenditure Breakdown'!$H$6:$H$236, "&gt;="&amp;KU1,'Expenditure Breakdown'!$H$6:$H$236, "&lt;"&amp;KV1)</f>
        <v>0</v>
      </c>
      <c r="KV5" s="197">
        <f>SUMIFS('Expenditure Breakdown'!$G$6:$G$236, 'Expenditure Breakdown'!$H$6:$H$236, "&gt;="&amp;KV1,'Expenditure Breakdown'!$H$6:$H$236, "&lt;"&amp;KW1)</f>
        <v>0</v>
      </c>
      <c r="KW5" s="197">
        <f>SUMIFS('Expenditure Breakdown'!$G$6:$G$236, 'Expenditure Breakdown'!$H$6:$H$236, "&gt;="&amp;KW1,'Expenditure Breakdown'!$H$6:$H$236, "&lt;"&amp;KX1)</f>
        <v>0</v>
      </c>
      <c r="KX5" s="197">
        <f>SUMIFS('Expenditure Breakdown'!$G$6:$G$236, 'Expenditure Breakdown'!$H$6:$H$236, "&gt;="&amp;KX1,'Expenditure Breakdown'!$H$6:$H$236, "&lt;"&amp;KY1)</f>
        <v>0</v>
      </c>
      <c r="KY5" s="197">
        <f>SUMIFS('Expenditure Breakdown'!$G$6:$G$236, 'Expenditure Breakdown'!$H$6:$H$236, "&gt;="&amp;KY1,'Expenditure Breakdown'!$H$6:$H$236, "&lt;"&amp;KZ1)</f>
        <v>0</v>
      </c>
      <c r="KZ5" s="197">
        <f>SUMIFS('Expenditure Breakdown'!$G$6:$G$236, 'Expenditure Breakdown'!$H$6:$H$236, "&gt;="&amp;KZ1,'Expenditure Breakdown'!$H$6:$H$236, "&lt;"&amp;LA1)</f>
        <v>0</v>
      </c>
      <c r="LA5" s="197">
        <f>SUMIFS('Expenditure Breakdown'!$G$6:$G$236, 'Expenditure Breakdown'!$H$6:$H$236, "&gt;="&amp;LA1,'Expenditure Breakdown'!$H$6:$H$236, "&lt;"&amp;LB1)</f>
        <v>0</v>
      </c>
      <c r="LB5" s="197">
        <f>SUMIFS('Expenditure Breakdown'!$G$6:$G$236, 'Expenditure Breakdown'!$H$6:$H$236, "&gt;="&amp;LB1,'Expenditure Breakdown'!$H$6:$H$236, "&lt;"&amp;LC1)</f>
        <v>0</v>
      </c>
      <c r="LC5" s="197">
        <f>SUMIFS('Expenditure Breakdown'!$G$6:$G$236, 'Expenditure Breakdown'!$H$6:$H$236, "&gt;="&amp;LC1,'Expenditure Breakdown'!$H$6:$H$236, "&lt;"&amp;LD1)</f>
        <v>0</v>
      </c>
      <c r="LD5" s="197">
        <f>SUMIFS('Expenditure Breakdown'!$G$6:$G$236, 'Expenditure Breakdown'!$H$6:$H$236, "&gt;="&amp;LD1,'Expenditure Breakdown'!$H$6:$H$236, "&lt;"&amp;#REF!)</f>
        <v>0</v>
      </c>
      <c r="LE5" s="187"/>
      <c r="LF5" s="198"/>
      <c r="LG5" s="198"/>
    </row>
    <row r="6" spans="1:794" s="199" customFormat="1">
      <c r="A6" s="854"/>
      <c r="B6" s="195" t="s">
        <v>193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54"/>
      <c r="B7" s="200" t="s">
        <v>194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53" t="s">
        <v>102</v>
      </c>
      <c r="B8" s="188"/>
      <c r="C8" s="189" t="s">
        <v>176</v>
      </c>
      <c r="D8" s="189" t="s">
        <v>176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54"/>
      <c r="B9" s="205" t="s">
        <v>195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Tracking'!$F$13:$F$26, 'Revenue Tracking'!$P$13:$P$26, "&gt;="&amp;F1,'Revenue Tracking'!$P$13:$P$26, "&lt;"&amp;G1)</f>
        <v>0</v>
      </c>
      <c r="G9" s="207">
        <f>SUMIFS('Revenue Tracking'!$F$13:$F$26, 'Revenue Tracking'!$P$13:$P$26, "&gt;="&amp;G1,'Revenue Tracking'!$P$13:$P$26, "&lt;"&amp;H1)</f>
        <v>0</v>
      </c>
      <c r="H9" s="207">
        <f>SUMIFS('Revenue Tracking'!$F$13:$F$26, 'Revenue Tracking'!$P$13:$P$26, "&gt;="&amp;H1,'Revenue Tracking'!$P$13:$P$26, "&lt;"&amp;I1)</f>
        <v>0</v>
      </c>
      <c r="I9" s="207">
        <f>SUMIFS('Revenue Tracking'!$F$13:$F$26, 'Revenue Tracking'!$P$13:$P$26, "&gt;="&amp;I1,'Revenue Tracking'!$P$13:$P$26, "&lt;"&amp;J1)</f>
        <v>0</v>
      </c>
      <c r="J9" s="207">
        <f>SUMIFS('Revenue Tracking'!$F$13:$F$26, 'Revenue Tracking'!$P$13:$P$26, "&gt;="&amp;J1,'Revenue Tracking'!$P$13:$P$26, "&lt;"&amp;K1)</f>
        <v>0</v>
      </c>
      <c r="K9" s="207">
        <f>SUMIFS('Revenue Tracking'!$F$13:$F$26, 'Revenue Tracking'!$P$13:$P$26, "&gt;="&amp;K1,'Revenue Tracking'!$P$13:$P$26, "&lt;"&amp;L1)</f>
        <v>0</v>
      </c>
      <c r="L9" s="207">
        <f>SUMIFS('Revenue Tracking'!$F$13:$F$26, 'Revenue Tracking'!$P$13:$P$26, "&gt;="&amp;L1,'Revenue Tracking'!$P$13:$P$26, "&lt;"&amp;M1)</f>
        <v>0</v>
      </c>
      <c r="M9" s="207">
        <f>SUMIFS('Revenue Tracking'!$F$13:$F$26, 'Revenue Tracking'!$P$13:$P$26, "&gt;="&amp;M1,'Revenue Tracking'!$P$13:$P$26, "&lt;"&amp;N1)</f>
        <v>0</v>
      </c>
      <c r="N9" s="207">
        <f>SUMIFS('Revenue Tracking'!$F$13:$F$26, 'Revenue Tracking'!$P$13:$P$26, "&gt;="&amp;N1,'Revenue Tracking'!$P$13:$P$26, "&lt;"&amp;O1)</f>
        <v>0</v>
      </c>
      <c r="O9" s="207">
        <f>SUMIFS('Revenue Tracking'!$F$13:$F$26, 'Revenue Tracking'!$P$13:$P$26, "&gt;="&amp;O1,'Revenue Tracking'!$P$13:$P$26, "&lt;"&amp;P1)</f>
        <v>0</v>
      </c>
      <c r="P9" s="207">
        <f>SUMIFS('Revenue Tracking'!$F$13:$F$26, 'Revenue Tracking'!$P$13:$P$26, "&gt;="&amp;P1,'Revenue Tracking'!$P$13:$P$26, "&lt;"&amp;Q1)</f>
        <v>0</v>
      </c>
      <c r="Q9" s="207">
        <f>SUMIFS('Revenue Tracking'!$F$13:$F$26, 'Revenue Tracking'!$P$13:$P$26, "&gt;="&amp;Q1,'Revenue Tracking'!$P$13:$P$26, "&lt;"&amp;R1)</f>
        <v>0</v>
      </c>
      <c r="R9" s="207">
        <f>SUMIFS('Revenue Tracking'!$F$13:$F$26, 'Revenue Tracking'!$P$13:$P$26, "&gt;="&amp;R1,'Revenue Tracking'!$P$13:$P$26, "&lt;"&amp;S1)</f>
        <v>0</v>
      </c>
      <c r="S9" s="207">
        <f>SUMIFS('Revenue Tracking'!$F$13:$F$26, 'Revenue Tracking'!$P$13:$P$26, "&gt;="&amp;S1,'Revenue Tracking'!$P$13:$P$26, "&lt;"&amp;T1)</f>
        <v>0</v>
      </c>
      <c r="T9" s="207">
        <f>SUMIFS('Revenue Tracking'!$F$13:$F$26, 'Revenue Tracking'!$P$13:$P$26, "&gt;="&amp;T1,'Revenue Tracking'!$P$13:$P$26, "&lt;"&amp;U1)</f>
        <v>0</v>
      </c>
      <c r="U9" s="207">
        <f>SUMIFS('Revenue Tracking'!$F$13:$F$26, 'Revenue Tracking'!$P$13:$P$26, "&gt;="&amp;U1,'Revenue Tracking'!$P$13:$P$26, "&lt;"&amp;V1)</f>
        <v>0</v>
      </c>
      <c r="V9" s="207">
        <f>SUMIFS('Revenue Tracking'!$F$13:$F$26, 'Revenue Tracking'!$P$13:$P$26, "&gt;="&amp;V1,'Revenue Tracking'!$P$13:$P$26, "&lt;"&amp;W1)</f>
        <v>0</v>
      </c>
      <c r="W9" s="207">
        <f>SUMIFS('Revenue Tracking'!$F$13:$F$26, 'Revenue Tracking'!$P$13:$P$26, "&gt;="&amp;W1,'Revenue Tracking'!$P$13:$P$26, "&lt;"&amp;X1)</f>
        <v>0</v>
      </c>
      <c r="X9" s="207">
        <f>SUMIFS('Revenue Tracking'!$F$13:$F$26, 'Revenue Tracking'!$P$13:$P$26, "&gt;="&amp;X1,'Revenue Tracking'!$P$13:$P$26, "&lt;"&amp;Y1)</f>
        <v>0</v>
      </c>
      <c r="Y9" s="207">
        <f>SUMIFS('Revenue Tracking'!$F$13:$F$26, 'Revenue Tracking'!$P$13:$P$26, "&gt;="&amp;Y1,'Revenue Tracking'!$P$13:$P$26, "&lt;"&amp;Z1)</f>
        <v>0</v>
      </c>
      <c r="Z9" s="207">
        <f>SUMIFS('Revenue Tracking'!$F$13:$F$26, 'Revenue Tracking'!$P$13:$P$26, "&gt;="&amp;Z1,'Revenue Tracking'!$P$13:$P$26, "&lt;"&amp;AA1)</f>
        <v>0</v>
      </c>
      <c r="AA9" s="207">
        <f>SUMIFS('Revenue Tracking'!$F$13:$F$26, 'Revenue Tracking'!$P$13:$P$26, "&gt;="&amp;AA1,'Revenue Tracking'!$P$13:$P$26, "&lt;"&amp;AB1)</f>
        <v>0</v>
      </c>
      <c r="AB9" s="207">
        <f>SUMIFS('Revenue Tracking'!$F$13:$F$26, 'Revenue Tracking'!$P$13:$P$26, "&gt;="&amp;AB1,'Revenue Tracking'!$P$13:$P$26, "&lt;"&amp;AC1)</f>
        <v>0</v>
      </c>
      <c r="AC9" s="207">
        <f>SUMIFS('Revenue Tracking'!$F$13:$F$26, 'Revenue Tracking'!$P$13:$P$26, "&gt;="&amp;AC1,'Revenue Tracking'!$P$13:$P$26, "&lt;"&amp;AD1)</f>
        <v>0</v>
      </c>
      <c r="AD9" s="207">
        <f>SUMIFS('Revenue Tracking'!$F$13:$F$26, 'Revenue Tracking'!$P$13:$P$26, "&gt;="&amp;AD1,'Revenue Tracking'!$P$13:$P$26, "&lt;"&amp;AE1)</f>
        <v>0</v>
      </c>
      <c r="AE9" s="207">
        <f>SUMIFS('Revenue Tracking'!$F$13:$F$26, 'Revenue Tracking'!$P$13:$P$26, "&gt;="&amp;AE1,'Revenue Tracking'!$P$13:$P$26, "&lt;"&amp;AF1)</f>
        <v>0</v>
      </c>
      <c r="AF9" s="207">
        <f>SUMIFS('Revenue Tracking'!$F$13:$F$26, 'Revenue Tracking'!$P$13:$P$26, "&gt;="&amp;AF1,'Revenue Tracking'!$P$13:$P$26, "&lt;"&amp;AG1)</f>
        <v>0</v>
      </c>
      <c r="AG9" s="207">
        <f>SUMIFS('Revenue Tracking'!$F$13:$F$26, 'Revenue Tracking'!$P$13:$P$26, "&gt;="&amp;AG1,'Revenue Tracking'!$P$13:$P$26, "&lt;"&amp;AH1)</f>
        <v>0</v>
      </c>
      <c r="AH9" s="207">
        <f>SUMIFS('Revenue Tracking'!$F$13:$F$26, 'Revenue Tracking'!$P$13:$P$26, "&gt;="&amp;AH1,'Revenue Tracking'!$P$13:$P$26, "&lt;"&amp;AI1)</f>
        <v>0</v>
      </c>
      <c r="AI9" s="207">
        <f>SUMIFS('Revenue Tracking'!$F$13:$F$26, 'Revenue Tracking'!$P$13:$P$26, "&gt;="&amp;AI1,'Revenue Tracking'!$P$13:$P$26, "&lt;"&amp;AJ1)</f>
        <v>0</v>
      </c>
      <c r="AJ9" s="207">
        <f>SUMIFS('Revenue Tracking'!$F$13:$F$26, 'Revenue Tracking'!$P$13:$P$26, "&gt;="&amp;AJ1,'Revenue Tracking'!$P$13:$P$26, "&lt;"&amp;AK1)</f>
        <v>0</v>
      </c>
      <c r="AK9" s="207">
        <f>SUMIFS('Revenue Tracking'!$F$13:$F$26, 'Revenue Tracking'!$P$13:$P$26, "&gt;="&amp;AK1,'Revenue Tracking'!$P$13:$P$26, "&lt;"&amp;AL1)</f>
        <v>0</v>
      </c>
      <c r="AL9" s="207">
        <f>SUMIFS('Revenue Tracking'!$F$13:$F$26, 'Revenue Tracking'!$P$13:$P$26, "&gt;="&amp;AL1,'Revenue Tracking'!$P$13:$P$26, "&lt;"&amp;AM1)</f>
        <v>0</v>
      </c>
      <c r="AM9" s="207">
        <f>SUMIFS('Revenue Tracking'!$F$13:$F$26, 'Revenue Tracking'!$P$13:$P$26, "&gt;="&amp;AM1,'Revenue Tracking'!$P$13:$P$26, "&lt;"&amp;AN1)</f>
        <v>0</v>
      </c>
      <c r="AN9" s="207">
        <f>SUMIFS('Revenue Tracking'!$F$13:$F$26, 'Revenue Tracking'!$P$13:$P$26, "&gt;="&amp;AN1,'Revenue Tracking'!$P$13:$P$26, "&lt;"&amp;AO1)</f>
        <v>0</v>
      </c>
      <c r="AO9" s="207">
        <f>SUMIFS('Revenue Tracking'!$F$13:$F$26, 'Revenue Tracking'!$P$13:$P$26, "&gt;="&amp;AO1,'Revenue Tracking'!$P$13:$P$26, "&lt;"&amp;AP1)</f>
        <v>0</v>
      </c>
      <c r="AP9" s="207">
        <f>SUMIFS('Revenue Tracking'!$F$13:$F$26, 'Revenue Tracking'!$P$13:$P$26, "&gt;="&amp;AP1,'Revenue Tracking'!$P$13:$P$26, "&lt;"&amp;AQ1)</f>
        <v>0</v>
      </c>
      <c r="AQ9" s="207">
        <f>SUMIFS('Revenue Tracking'!$F$13:$F$26, 'Revenue Tracking'!$P$13:$P$26, "&gt;="&amp;AQ1,'Revenue Tracking'!$P$13:$P$26, "&lt;"&amp;AR1)</f>
        <v>0</v>
      </c>
      <c r="AR9" s="207">
        <f>SUMIFS('Revenue Tracking'!$F$13:$F$26, 'Revenue Tracking'!$P$13:$P$26, "&gt;="&amp;AR1,'Revenue Tracking'!$P$13:$P$26, "&lt;"&amp;AS1)</f>
        <v>0</v>
      </c>
      <c r="AS9" s="207">
        <f>SUMIFS('Revenue Tracking'!$F$13:$F$26, 'Revenue Tracking'!$P$13:$P$26, "&gt;="&amp;AS1,'Revenue Tracking'!$P$13:$P$26, "&lt;"&amp;AT1)</f>
        <v>0</v>
      </c>
      <c r="AT9" s="207">
        <f>SUMIFS('Revenue Tracking'!$F$13:$F$26, 'Revenue Tracking'!$P$13:$P$26, "&gt;="&amp;AT1,'Revenue Tracking'!$P$13:$P$26, "&lt;"&amp;AU1)</f>
        <v>0</v>
      </c>
      <c r="AU9" s="207">
        <f>SUMIFS('Revenue Tracking'!$F$13:$F$26, 'Revenue Tracking'!$P$13:$P$26, "&gt;="&amp;AU1,'Revenue Tracking'!$P$13:$P$26, "&lt;"&amp;AV1)</f>
        <v>0</v>
      </c>
      <c r="AV9" s="207">
        <f>SUMIFS('Revenue Tracking'!$F$13:$F$26, 'Revenue Tracking'!$P$13:$P$26, "&gt;="&amp;AV1,'Revenue Tracking'!$P$13:$P$26, "&lt;"&amp;AW1)</f>
        <v>0</v>
      </c>
      <c r="AW9" s="207">
        <f>SUMIFS('Revenue Tracking'!$F$13:$F$26, 'Revenue Tracking'!$P$13:$P$26, "&gt;="&amp;AW1,'Revenue Tracking'!$P$13:$P$26, "&lt;"&amp;AX1)</f>
        <v>0</v>
      </c>
      <c r="AX9" s="207">
        <f>SUMIFS('Revenue Tracking'!$F$13:$F$26, 'Revenue Tracking'!$P$13:$P$26, "&gt;="&amp;AX1,'Revenue Tracking'!$P$13:$P$26, "&lt;"&amp;AY1)</f>
        <v>0</v>
      </c>
      <c r="AY9" s="207">
        <f>SUMIFS('Revenue Tracking'!$F$13:$F$26, 'Revenue Tracking'!$P$13:$P$26, "&gt;="&amp;AY1,'Revenue Tracking'!$P$13:$P$26, "&lt;"&amp;AZ1)</f>
        <v>0</v>
      </c>
      <c r="AZ9" s="207">
        <f>SUMIFS('Revenue Tracking'!$F$13:$F$26, 'Revenue Tracking'!$P$13:$P$26, "&gt;="&amp;AZ1,'Revenue Tracking'!$P$13:$P$26, "&lt;"&amp;BA1)</f>
        <v>0</v>
      </c>
      <c r="BA9" s="207">
        <f>SUMIFS('Revenue Tracking'!$F$13:$F$26, 'Revenue Tracking'!$P$13:$P$26, "&gt;="&amp;BA1,'Revenue Tracking'!$P$13:$P$26, "&lt;"&amp;BB1)</f>
        <v>0</v>
      </c>
      <c r="BB9" s="207">
        <f>SUMIFS('Revenue Tracking'!$F$13:$F$26, 'Revenue Tracking'!$P$13:$P$26, "&gt;="&amp;BB1,'Revenue Tracking'!$P$13:$P$26, "&lt;"&amp;BC1)</f>
        <v>0</v>
      </c>
      <c r="BC9" s="207">
        <f>SUMIFS('Revenue Tracking'!$F$13:$F$26, 'Revenue Tracking'!$P$13:$P$26, "&gt;="&amp;BC1,'Revenue Tracking'!$P$13:$P$26, "&lt;"&amp;BD1)</f>
        <v>6255</v>
      </c>
      <c r="BD9" s="207">
        <f>SUMIFS('Revenue Tracking'!$F$13:$F$26, 'Revenue Tracking'!$P$13:$P$26, "&gt;="&amp;BD1,'Revenue Tracking'!$P$13:$P$26, "&lt;"&amp;BE1)</f>
        <v>0</v>
      </c>
      <c r="BE9" s="207">
        <f>SUMIFS('Revenue Tracking'!$F$13:$F$26, 'Revenue Tracking'!$P$13:$P$26, "&gt;="&amp;BE1,'Revenue Tracking'!$P$13:$P$26, "&lt;"&amp;BF1)</f>
        <v>0</v>
      </c>
      <c r="BF9" s="207">
        <f>SUMIFS('Revenue Tracking'!$F$13:$F$26, 'Revenue Tracking'!$P$13:$P$26, "&gt;="&amp;BF1,'Revenue Tracking'!$P$13:$P$26, "&lt;"&amp;BG1)</f>
        <v>0</v>
      </c>
      <c r="BG9" s="207">
        <f>SUMIFS('Revenue Tracking'!$F$13:$F$26, 'Revenue Tracking'!$P$13:$P$26, "&gt;="&amp;BG1,'Revenue Tracking'!$P$13:$P$26, "&lt;"&amp;BH1)</f>
        <v>6255</v>
      </c>
      <c r="BH9" s="207">
        <f>SUMIFS('Revenue Tracking'!$F$13:$F$26, 'Revenue Tracking'!$P$13:$P$26, "&gt;="&amp;BH1,'Revenue Tracking'!$P$13:$P$26, "&lt;"&amp;BI1)</f>
        <v>0</v>
      </c>
      <c r="BI9" s="207">
        <f>SUMIFS('Revenue Tracking'!$F$13:$F$26, 'Revenue Tracking'!$P$13:$P$26, "&gt;="&amp;BI1,'Revenue Tracking'!$P$13:$P$26, "&lt;"&amp;BJ1)</f>
        <v>0</v>
      </c>
      <c r="BJ9" s="207">
        <f>SUMIFS('Revenue Tracking'!$F$13:$F$26, 'Revenue Tracking'!$P$13:$P$26, "&gt;="&amp;BJ1,'Revenue Tracking'!$P$13:$P$26, "&lt;"&amp;BK1)</f>
        <v>0</v>
      </c>
      <c r="BK9" s="207">
        <f>SUMIFS('Revenue Tracking'!$F$13:$F$26, 'Revenue Tracking'!$P$13:$P$26, "&gt;="&amp;BK1,'Revenue Tracking'!$P$13:$P$26, "&lt;"&amp;BL1)</f>
        <v>0</v>
      </c>
      <c r="BL9" s="207">
        <f>SUMIFS('Revenue Tracking'!$F$13:$F$26, 'Revenue Tracking'!$P$13:$P$26, "&gt;="&amp;BL1,'Revenue Tracking'!$P$13:$P$26, "&lt;"&amp;BM1)</f>
        <v>0</v>
      </c>
      <c r="BM9" s="207">
        <f>SUMIFS('Revenue Tracking'!$F$13:$F$26, 'Revenue Tracking'!$P$13:$P$26, "&gt;="&amp;BM1,'Revenue Tracking'!$P$13:$P$26, "&lt;"&amp;BN1)</f>
        <v>0</v>
      </c>
      <c r="BN9" s="207">
        <f>SUMIFS('Revenue Tracking'!$F$13:$F$26, 'Revenue Tracking'!$P$13:$P$26, "&gt;="&amp;BN1,'Revenue Tracking'!$P$13:$P$26, "&lt;"&amp;BO1)</f>
        <v>0</v>
      </c>
      <c r="BO9" s="207">
        <f>SUMIFS('Revenue Tracking'!$F$13:$F$26, 'Revenue Tracking'!$P$13:$P$26, "&gt;="&amp;BO1,'Revenue Tracking'!$P$13:$P$26, "&lt;"&amp;BP1)</f>
        <v>0</v>
      </c>
      <c r="BP9" s="207">
        <f>SUMIFS('Revenue Tracking'!$F$13:$F$26, 'Revenue Tracking'!$P$13:$P$26, "&gt;="&amp;BP1,'Revenue Tracking'!$P$13:$P$26, "&lt;"&amp;BQ1)</f>
        <v>0</v>
      </c>
      <c r="BQ9" s="207">
        <f>SUMIFS('Revenue Tracking'!$F$13:$F$26, 'Revenue Tracking'!$P$13:$P$26, "&gt;="&amp;BQ1,'Revenue Tracking'!$P$13:$P$26, "&lt;"&amp;BR1)</f>
        <v>0</v>
      </c>
      <c r="BR9" s="207">
        <f>SUMIFS('Revenue Tracking'!$F$13:$F$26, 'Revenue Tracking'!$P$13:$P$26, "&gt;="&amp;BR1,'Revenue Tracking'!$P$13:$P$26, "&lt;"&amp;BS1)</f>
        <v>0</v>
      </c>
      <c r="BS9" s="207">
        <f>SUMIFS('Revenue Tracking'!$F$13:$F$26, 'Revenue Tracking'!$P$13:$P$26, "&gt;="&amp;BS1,'Revenue Tracking'!$P$13:$P$26, "&lt;"&amp;BT1)</f>
        <v>0</v>
      </c>
      <c r="BT9" s="207">
        <f>SUMIFS('Revenue Tracking'!$F$13:$F$26, 'Revenue Tracking'!$P$13:$P$26, "&gt;="&amp;BT1,'Revenue Tracking'!$P$13:$P$26, "&lt;"&amp;BU1)</f>
        <v>0</v>
      </c>
      <c r="BU9" s="207">
        <f>SUMIFS('Revenue Tracking'!$F$13:$F$26, 'Revenue Tracking'!$P$13:$P$26, "&gt;="&amp;BU1,'Revenue Tracking'!$P$13:$P$26, "&lt;"&amp;BV1)</f>
        <v>0</v>
      </c>
      <c r="BV9" s="207">
        <f>SUMIFS('Revenue Tracking'!$F$13:$F$26, 'Revenue Tracking'!$P$13:$P$26, "&gt;="&amp;BV1,'Revenue Tracking'!$P$13:$P$26, "&lt;"&amp;BW1)</f>
        <v>0</v>
      </c>
      <c r="BW9" s="207">
        <f>SUMIFS('Revenue Tracking'!$F$13:$F$26, 'Revenue Tracking'!$P$13:$P$26, "&gt;="&amp;BW1,'Revenue Tracking'!$P$13:$P$26, "&lt;"&amp;BX1)</f>
        <v>0</v>
      </c>
      <c r="BX9" s="207">
        <f>SUMIFS('Revenue Tracking'!$F$13:$F$26, 'Revenue Tracking'!$P$13:$P$26, "&gt;="&amp;BX1,'Revenue Tracking'!$P$13:$P$26, "&lt;"&amp;BY1)</f>
        <v>0</v>
      </c>
      <c r="BY9" s="207">
        <f>SUMIFS('Revenue Tracking'!$F$13:$F$26, 'Revenue Tracking'!$P$13:$P$26, "&gt;="&amp;BY1,'Revenue Tracking'!$P$13:$P$26, "&lt;"&amp;BZ1)</f>
        <v>0</v>
      </c>
      <c r="BZ9" s="207">
        <f>SUMIFS('Revenue Tracking'!$F$13:$F$26, 'Revenue Tracking'!$P$13:$P$26, "&gt;="&amp;BZ1,'Revenue Tracking'!$P$13:$P$26, "&lt;"&amp;CA1)</f>
        <v>0</v>
      </c>
      <c r="CA9" s="207">
        <f>SUMIFS('Revenue Tracking'!$F$13:$F$26, 'Revenue Tracking'!$P$13:$P$26, "&gt;="&amp;CA1,'Revenue Tracking'!$P$13:$P$26, "&lt;"&amp;CB1)</f>
        <v>0</v>
      </c>
      <c r="CB9" s="207">
        <f>SUMIFS('Revenue Tracking'!$F$13:$F$26, 'Revenue Tracking'!$P$13:$P$26, "&gt;="&amp;CB1,'Revenue Tracking'!$P$13:$P$26, "&lt;"&amp;CC1)</f>
        <v>0</v>
      </c>
      <c r="CC9" s="207">
        <f>SUMIFS('Revenue Tracking'!$F$13:$F$26, 'Revenue Tracking'!$P$13:$P$26, "&gt;="&amp;CC1,'Revenue Tracking'!$P$13:$P$26, "&lt;"&amp;CD1)</f>
        <v>0</v>
      </c>
      <c r="CD9" s="207">
        <f>SUMIFS('Revenue Tracking'!$F$13:$F$26, 'Revenue Tracking'!$P$13:$P$26, "&gt;="&amp;CD1,'Revenue Tracking'!$P$13:$P$26, "&lt;"&amp;CE1)</f>
        <v>0</v>
      </c>
      <c r="CE9" s="207">
        <f>SUMIFS('Revenue Tracking'!$F$13:$F$26, 'Revenue Tracking'!$P$13:$P$26, "&gt;="&amp;CE1,'Revenue Tracking'!$P$13:$P$26, "&lt;"&amp;CF1)</f>
        <v>0</v>
      </c>
      <c r="CF9" s="207">
        <f>SUMIFS('Revenue Tracking'!$F$13:$F$26, 'Revenue Tracking'!$P$13:$P$26, "&gt;="&amp;CF1,'Revenue Tracking'!$P$13:$P$26, "&lt;"&amp;CG1)</f>
        <v>0</v>
      </c>
      <c r="CG9" s="207">
        <f>SUMIFS('Revenue Tracking'!$F$13:$F$26, 'Revenue Tracking'!$P$13:$P$26, "&gt;="&amp;CG1,'Revenue Tracking'!$P$13:$P$26, "&lt;"&amp;CH1)</f>
        <v>0</v>
      </c>
      <c r="CH9" s="207">
        <f>SUMIFS('Revenue Tracking'!$F$13:$F$26, 'Revenue Tracking'!$P$13:$P$26, "&gt;="&amp;CH1,'Revenue Tracking'!$P$13:$P$26, "&lt;"&amp;CI1)</f>
        <v>0</v>
      </c>
      <c r="CI9" s="207">
        <f>SUMIFS('Revenue Tracking'!$F$13:$F$26, 'Revenue Tracking'!$P$13:$P$26, "&gt;="&amp;CI1,'Revenue Tracking'!$P$13:$P$26, "&lt;"&amp;CJ1)</f>
        <v>0</v>
      </c>
      <c r="CJ9" s="207">
        <f>SUMIFS('Revenue Tracking'!$F$13:$F$26, 'Revenue Tracking'!$P$13:$P$26, "&gt;="&amp;CJ1,'Revenue Tracking'!$P$13:$P$26, "&lt;"&amp;CK1)</f>
        <v>0</v>
      </c>
      <c r="CK9" s="207">
        <f>SUMIFS('Revenue Tracking'!$F$13:$F$26, 'Revenue Tracking'!$P$13:$P$26, "&gt;="&amp;CK1,'Revenue Tracking'!$P$13:$P$26, "&lt;"&amp;CL1)</f>
        <v>0</v>
      </c>
      <c r="CL9" s="207">
        <f>SUMIFS('Revenue Tracking'!$F$13:$F$26, 'Revenue Tracking'!$P$13:$P$26, "&gt;="&amp;CL1,'Revenue Tracking'!$P$13:$P$26, "&lt;"&amp;CM1)</f>
        <v>0</v>
      </c>
      <c r="CM9" s="207">
        <f>SUMIFS('Revenue Tracking'!$F$13:$F$26, 'Revenue Tracking'!$P$13:$P$26, "&gt;="&amp;CM1,'Revenue Tracking'!$P$13:$P$26, "&lt;"&amp;CN1)</f>
        <v>0</v>
      </c>
      <c r="CN9" s="207">
        <f>SUMIFS('Revenue Tracking'!$F$13:$F$26, 'Revenue Tracking'!$P$13:$P$26, "&gt;="&amp;CN1,'Revenue Tracking'!$P$13:$P$26, "&lt;"&amp;CO1)</f>
        <v>0</v>
      </c>
      <c r="CO9" s="207">
        <f>SUMIFS('Revenue Tracking'!$F$13:$F$26, 'Revenue Tracking'!$P$13:$P$26, "&gt;="&amp;CO1,'Revenue Tracking'!$P$13:$P$26, "&lt;"&amp;CP1)</f>
        <v>0</v>
      </c>
      <c r="CP9" s="207">
        <f>SUMIFS('Revenue Tracking'!$F$13:$F$26, 'Revenue Tracking'!$P$13:$P$26, "&gt;="&amp;CP1,'Revenue Tracking'!$P$13:$P$26, "&lt;"&amp;CQ1)</f>
        <v>0</v>
      </c>
      <c r="CQ9" s="207">
        <f>SUMIFS('Revenue Tracking'!$F$13:$F$26, 'Revenue Tracking'!$P$13:$P$26, "&gt;="&amp;CQ1,'Revenue Tracking'!$P$13:$P$26, "&lt;"&amp;CR1)</f>
        <v>0</v>
      </c>
      <c r="CR9" s="207">
        <f>SUMIFS('Revenue Tracking'!$F$13:$F$26, 'Revenue Tracking'!$P$13:$P$26, "&gt;="&amp;CR1,'Revenue Tracking'!$P$13:$P$26, "&lt;"&amp;CS1)</f>
        <v>0</v>
      </c>
      <c r="CS9" s="207">
        <f>SUMIFS('Revenue Tracking'!$F$13:$F$26, 'Revenue Tracking'!$P$13:$P$26, "&gt;="&amp;CS1,'Revenue Tracking'!$P$13:$P$26, "&lt;"&amp;CT1)</f>
        <v>0</v>
      </c>
      <c r="CT9" s="207">
        <f>SUMIFS('Revenue Tracking'!$F$13:$F$26, 'Revenue Tracking'!$P$13:$P$26, "&gt;="&amp;CT1,'Revenue Tracking'!$P$13:$P$26, "&lt;"&amp;CU1)</f>
        <v>0</v>
      </c>
      <c r="CU9" s="207">
        <f>SUMIFS('Revenue Tracking'!$F$13:$F$26, 'Revenue Tracking'!$P$13:$P$26, "&gt;="&amp;CU1,'Revenue Tracking'!$P$13:$P$26, "&lt;"&amp;CV1)</f>
        <v>0</v>
      </c>
      <c r="CV9" s="207">
        <f>SUMIFS('Revenue Tracking'!$F$13:$F$26, 'Revenue Tracking'!$P$13:$P$26, "&gt;="&amp;CV1,'Revenue Tracking'!$P$13:$P$26, "&lt;"&amp;CW1)</f>
        <v>0</v>
      </c>
      <c r="CW9" s="207">
        <f>SUMIFS('Revenue Tracking'!$F$13:$F$26, 'Revenue Tracking'!$P$13:$P$26, "&gt;="&amp;CW1,'Revenue Tracking'!$P$13:$P$26, "&lt;"&amp;CX1)</f>
        <v>0</v>
      </c>
      <c r="CX9" s="207">
        <f>SUMIFS('Revenue Tracking'!$F$13:$F$26, 'Revenue Tracking'!$P$13:$P$26, "&gt;="&amp;CX1,'Revenue Tracking'!$P$13:$P$26, "&lt;"&amp;CY1)</f>
        <v>0</v>
      </c>
      <c r="CY9" s="207">
        <f>SUMIFS('Revenue Tracking'!$F$13:$F$26, 'Revenue Tracking'!$P$13:$P$26, "&gt;="&amp;CY1,'Revenue Tracking'!$P$13:$P$26, "&lt;"&amp;CZ1)</f>
        <v>0</v>
      </c>
      <c r="CZ9" s="207">
        <f>SUMIFS('Revenue Tracking'!$F$13:$F$26, 'Revenue Tracking'!$P$13:$P$26, "&gt;="&amp;CZ1,'Revenue Tracking'!$P$13:$P$26, "&lt;"&amp;DA1)</f>
        <v>0</v>
      </c>
      <c r="DA9" s="207">
        <f>SUMIFS('Revenue Tracking'!$F$13:$F$26, 'Revenue Tracking'!$P$13:$P$26, "&gt;="&amp;DA1,'Revenue Tracking'!$P$13:$P$26, "&lt;"&amp;DB1)</f>
        <v>0</v>
      </c>
      <c r="DB9" s="207">
        <f>SUMIFS('Revenue Tracking'!$F$13:$F$26, 'Revenue Tracking'!$P$13:$P$26, "&gt;="&amp;DB1,'Revenue Tracking'!$P$13:$P$26, "&lt;"&amp;DC1)</f>
        <v>0</v>
      </c>
      <c r="DC9" s="207">
        <f>SUMIFS('Revenue Tracking'!$F$13:$F$26, 'Revenue Tracking'!$P$13:$P$26, "&gt;="&amp;DC1,'Revenue Tracking'!$P$13:$P$26, "&lt;"&amp;DD1)</f>
        <v>0</v>
      </c>
      <c r="DD9" s="207">
        <f>SUMIFS('Revenue Tracking'!$F$13:$F$26, 'Revenue Tracking'!$P$13:$P$26, "&gt;="&amp;DD1,'Revenue Tracking'!$P$13:$P$26, "&lt;"&amp;DE1)</f>
        <v>0</v>
      </c>
      <c r="DE9" s="207">
        <f>SUMIFS('Revenue Tracking'!$F$13:$F$26, 'Revenue Tracking'!$P$13:$P$26, "&gt;="&amp;DE1,'Revenue Tracking'!$P$13:$P$26, "&lt;"&amp;DF1)</f>
        <v>0</v>
      </c>
      <c r="DF9" s="207">
        <f>SUMIFS('Revenue Tracking'!$F$13:$F$26, 'Revenue Tracking'!$P$13:$P$26, "&gt;="&amp;DF1,'Revenue Tracking'!$P$13:$P$26, "&lt;"&amp;DG1)</f>
        <v>0</v>
      </c>
      <c r="DG9" s="207">
        <f>SUMIFS('Revenue Tracking'!$F$13:$F$26, 'Revenue Tracking'!$P$13:$P$26, "&gt;="&amp;DG1,'Revenue Tracking'!$P$13:$P$26, "&lt;"&amp;DH1)</f>
        <v>0</v>
      </c>
      <c r="DH9" s="207">
        <f>SUMIFS('Revenue Tracking'!$F$13:$F$26, 'Revenue Tracking'!$P$13:$P$26, "&gt;="&amp;DH1,'Revenue Tracking'!$P$13:$P$26, "&lt;"&amp;DI1)</f>
        <v>0</v>
      </c>
      <c r="DI9" s="207">
        <f>SUMIFS('Revenue Tracking'!$F$13:$F$26, 'Revenue Tracking'!$P$13:$P$26, "&gt;="&amp;DI1,'Revenue Tracking'!$P$13:$P$26, "&lt;"&amp;DJ1)</f>
        <v>0</v>
      </c>
      <c r="DJ9" s="207">
        <f>SUMIFS('Revenue Tracking'!$F$13:$F$26, 'Revenue Tracking'!$P$13:$P$26, "&gt;="&amp;DJ1,'Revenue Tracking'!$P$13:$P$26, "&lt;"&amp;DK1)</f>
        <v>0</v>
      </c>
      <c r="DK9" s="207">
        <f>SUMIFS('Revenue Tracking'!$F$13:$F$26, 'Revenue Tracking'!$P$13:$P$26, "&gt;="&amp;DK1,'Revenue Tracking'!$P$13:$P$26, "&lt;"&amp;DL1)</f>
        <v>0</v>
      </c>
      <c r="DL9" s="207">
        <f>SUMIFS('Revenue Tracking'!$F$13:$F$26, 'Revenue Tracking'!$P$13:$P$26, "&gt;="&amp;DL1,'Revenue Tracking'!$P$13:$P$26, "&lt;"&amp;DM1)</f>
        <v>0</v>
      </c>
      <c r="DM9" s="207">
        <f>SUMIFS('Revenue Tracking'!$F$13:$F$26, 'Revenue Tracking'!$P$13:$P$26, "&gt;="&amp;DM1,'Revenue Tracking'!$P$13:$P$26, "&lt;"&amp;DN1)</f>
        <v>0</v>
      </c>
      <c r="DN9" s="207">
        <f>SUMIFS('Revenue Tracking'!$F$13:$F$26, 'Revenue Tracking'!$P$13:$P$26, "&gt;="&amp;DN1,'Revenue Tracking'!$P$13:$P$26, "&lt;"&amp;DO1)</f>
        <v>0</v>
      </c>
      <c r="DO9" s="207">
        <f>SUMIFS('Revenue Tracking'!$F$13:$F$26, 'Revenue Tracking'!$P$13:$P$26, "&gt;="&amp;DO1,'Revenue Tracking'!$P$13:$P$26, "&lt;"&amp;DP1)</f>
        <v>0</v>
      </c>
      <c r="DP9" s="207">
        <f>SUMIFS('Revenue Tracking'!$F$13:$F$26, 'Revenue Tracking'!$P$13:$P$26, "&gt;="&amp;DP1,'Revenue Tracking'!$P$13:$P$26, "&lt;"&amp;DQ1)</f>
        <v>0</v>
      </c>
      <c r="DQ9" s="207">
        <f>SUMIFS('Revenue Tracking'!$F$13:$F$26, 'Revenue Tracking'!$P$13:$P$26, "&gt;="&amp;DQ1,'Revenue Tracking'!$P$13:$P$26, "&lt;"&amp;DR1)</f>
        <v>0</v>
      </c>
      <c r="DR9" s="207">
        <f>SUMIFS('Revenue Tracking'!$F$13:$F$26, 'Revenue Tracking'!$P$13:$P$26, "&gt;="&amp;DR1,'Revenue Tracking'!$P$13:$P$26, "&lt;"&amp;DS1)</f>
        <v>0</v>
      </c>
      <c r="DS9" s="207">
        <f>SUMIFS('Revenue Tracking'!$F$13:$F$26, 'Revenue Tracking'!$P$13:$P$26, "&gt;="&amp;DS1,'Revenue Tracking'!$P$13:$P$26, "&lt;"&amp;DT1)</f>
        <v>0</v>
      </c>
      <c r="DT9" s="207">
        <f>SUMIFS('Revenue Tracking'!$F$13:$F$26, 'Revenue Tracking'!$P$13:$P$26, "&gt;="&amp;DT1,'Revenue Tracking'!$P$13:$P$26, "&lt;"&amp;DU1)</f>
        <v>0</v>
      </c>
      <c r="DU9" s="207">
        <f>SUMIFS('Revenue Tracking'!$F$13:$F$26, 'Revenue Tracking'!$P$13:$P$26, "&gt;="&amp;DU1,'Revenue Tracking'!$P$13:$P$26, "&lt;"&amp;DV1)</f>
        <v>0</v>
      </c>
      <c r="DV9" s="207">
        <f>SUMIFS('Revenue Tracking'!$F$13:$F$26, 'Revenue Tracking'!$P$13:$P$26, "&gt;="&amp;DV1,'Revenue Tracking'!$P$13:$P$26, "&lt;"&amp;DW1)</f>
        <v>0</v>
      </c>
      <c r="DW9" s="207">
        <f>SUMIFS('Revenue Tracking'!$F$13:$F$26, 'Revenue Tracking'!$P$13:$P$26, "&gt;="&amp;DW1,'Revenue Tracking'!$P$13:$P$26, "&lt;"&amp;DX1)</f>
        <v>0</v>
      </c>
      <c r="DX9" s="207">
        <f>SUMIFS('Revenue Tracking'!$F$13:$F$26, 'Revenue Tracking'!$P$13:$P$26, "&gt;="&amp;DX1,'Revenue Tracking'!$P$13:$P$26, "&lt;"&amp;DY1)</f>
        <v>0</v>
      </c>
      <c r="DY9" s="207">
        <f>SUMIFS('Revenue Tracking'!$F$13:$F$26, 'Revenue Tracking'!$P$13:$P$26, "&gt;="&amp;DY1,'Revenue Tracking'!$P$13:$P$26, "&lt;"&amp;DZ1)</f>
        <v>0</v>
      </c>
      <c r="DZ9" s="207">
        <f>SUMIFS('Revenue Tracking'!$F$13:$F$26, 'Revenue Tracking'!$P$13:$P$26, "&gt;="&amp;DZ1,'Revenue Tracking'!$P$13:$P$26, "&lt;"&amp;EA1)</f>
        <v>0</v>
      </c>
      <c r="EA9" s="207">
        <f>SUMIFS('Revenue Tracking'!$F$13:$F$26, 'Revenue Tracking'!$P$13:$P$26, "&gt;="&amp;EA1,'Revenue Tracking'!$P$13:$P$26, "&lt;"&amp;EB1)</f>
        <v>0</v>
      </c>
      <c r="EB9" s="207">
        <f>SUMIFS('Revenue Tracking'!$F$13:$F$26, 'Revenue Tracking'!$P$13:$P$26, "&gt;="&amp;EB1,'Revenue Tracking'!$P$13:$P$26, "&lt;"&amp;EC1)</f>
        <v>0</v>
      </c>
      <c r="EC9" s="207">
        <f>SUMIFS('Revenue Tracking'!$F$13:$F$26, 'Revenue Tracking'!$P$13:$P$26, "&gt;="&amp;EC1,'Revenue Tracking'!$P$13:$P$26, "&lt;"&amp;ED1)</f>
        <v>0</v>
      </c>
      <c r="ED9" s="207">
        <f>SUMIFS('Revenue Tracking'!$F$13:$F$26, 'Revenue Tracking'!$P$13:$P$26, "&gt;="&amp;ED1,'Revenue Tracking'!$P$13:$P$26, "&lt;"&amp;EE1)</f>
        <v>0</v>
      </c>
      <c r="EE9" s="207">
        <f>SUMIFS('Revenue Tracking'!$F$13:$F$26, 'Revenue Tracking'!$P$13:$P$26, "&gt;="&amp;EE1,'Revenue Tracking'!$P$13:$P$26, "&lt;"&amp;EF1)</f>
        <v>0</v>
      </c>
      <c r="EF9" s="207">
        <f>SUMIFS('Revenue Tracking'!$F$13:$F$26, 'Revenue Tracking'!$P$13:$P$26, "&gt;="&amp;EF1,'Revenue Tracking'!$P$13:$P$26, "&lt;"&amp;EG1)</f>
        <v>0</v>
      </c>
      <c r="EG9" s="207">
        <f>SUMIFS('Revenue Tracking'!$F$13:$F$26, 'Revenue Tracking'!$P$13:$P$26, "&gt;="&amp;EG1,'Revenue Tracking'!$P$13:$P$26, "&lt;"&amp;EH1)</f>
        <v>0</v>
      </c>
      <c r="EH9" s="207">
        <f>SUMIFS('Revenue Tracking'!$F$13:$F$26, 'Revenue Tracking'!$P$13:$P$26, "&gt;="&amp;EH1,'Revenue Tracking'!$P$13:$P$26, "&lt;"&amp;EI1)</f>
        <v>0</v>
      </c>
      <c r="EI9" s="207">
        <f>SUMIFS('Revenue Tracking'!$F$13:$F$26, 'Revenue Tracking'!$P$13:$P$26, "&gt;="&amp;EI1,'Revenue Tracking'!$P$13:$P$26, "&lt;"&amp;EJ1)</f>
        <v>0</v>
      </c>
      <c r="EJ9" s="207">
        <f>SUMIFS('Revenue Tracking'!$F$13:$F$26, 'Revenue Tracking'!$P$13:$P$26, "&gt;="&amp;EJ1,'Revenue Tracking'!$P$13:$P$26, "&lt;"&amp;EK1)</f>
        <v>0</v>
      </c>
      <c r="EK9" s="207">
        <f>SUMIFS('Revenue Tracking'!$F$13:$F$26, 'Revenue Tracking'!$P$13:$P$26, "&gt;="&amp;EK1,'Revenue Tracking'!$P$13:$P$26, "&lt;"&amp;EL1)</f>
        <v>0</v>
      </c>
      <c r="EL9" s="207">
        <f>SUMIFS('Revenue Tracking'!$F$13:$F$26, 'Revenue Tracking'!$P$13:$P$26, "&gt;="&amp;EL1,'Revenue Tracking'!$P$13:$P$26, "&lt;"&amp;EM1)</f>
        <v>0</v>
      </c>
      <c r="EM9" s="207">
        <f>SUMIFS('Revenue Tracking'!$F$13:$F$26, 'Revenue Tracking'!$P$13:$P$26, "&gt;="&amp;EM1,'Revenue Tracking'!$P$13:$P$26, "&lt;"&amp;EN1)</f>
        <v>0</v>
      </c>
      <c r="EN9" s="207">
        <f>SUMIFS('Revenue Tracking'!$F$13:$F$26, 'Revenue Tracking'!$P$13:$P$26, "&gt;="&amp;EN1,'Revenue Tracking'!$P$13:$P$26, "&lt;"&amp;EO1)</f>
        <v>0</v>
      </c>
      <c r="EO9" s="207">
        <f>SUMIFS('Revenue Tracking'!$F$13:$F$26, 'Revenue Tracking'!$P$13:$P$26, "&gt;="&amp;EO1,'Revenue Tracking'!$P$13:$P$26, "&lt;"&amp;EP1)</f>
        <v>0</v>
      </c>
      <c r="EP9" s="207">
        <f>SUMIFS('Revenue Tracking'!$F$13:$F$26, 'Revenue Tracking'!$P$13:$P$26, "&gt;="&amp;EP1,'Revenue Tracking'!$P$13:$P$26, "&lt;"&amp;EQ1)</f>
        <v>0</v>
      </c>
      <c r="EQ9" s="207">
        <f>SUMIFS('Revenue Tracking'!$F$13:$F$26, 'Revenue Tracking'!$P$13:$P$26, "&gt;="&amp;EQ1,'Revenue Tracking'!$P$13:$P$26, "&lt;"&amp;ER1)</f>
        <v>0</v>
      </c>
      <c r="ER9" s="207">
        <f>SUMIFS('Revenue Tracking'!$F$13:$F$26, 'Revenue Tracking'!$P$13:$P$26, "&gt;="&amp;ER1,'Revenue Tracking'!$P$13:$P$26, "&lt;"&amp;ES1)</f>
        <v>0</v>
      </c>
      <c r="ES9" s="207">
        <f>SUMIFS('Revenue Tracking'!$F$13:$F$26, 'Revenue Tracking'!$P$13:$P$26, "&gt;="&amp;ES1,'Revenue Tracking'!$P$13:$P$26, "&lt;"&amp;ET1)</f>
        <v>0</v>
      </c>
      <c r="ET9" s="207">
        <f>SUMIFS('Revenue Tracking'!$F$13:$F$26, 'Revenue Tracking'!$P$13:$P$26, "&gt;="&amp;ET1,'Revenue Tracking'!$P$13:$P$26, "&lt;"&amp;EU1)</f>
        <v>0</v>
      </c>
      <c r="EU9" s="207">
        <f>SUMIFS('Revenue Tracking'!$F$13:$F$26, 'Revenue Tracking'!$P$13:$P$26, "&gt;="&amp;EU1,'Revenue Tracking'!$P$13:$P$26, "&lt;"&amp;EV1)</f>
        <v>0</v>
      </c>
      <c r="EV9" s="207">
        <f>SUMIFS('Revenue Tracking'!$F$13:$F$26, 'Revenue Tracking'!$P$13:$P$26, "&gt;="&amp;EV1,'Revenue Tracking'!$P$13:$P$26, "&lt;"&amp;EW1)</f>
        <v>0</v>
      </c>
      <c r="EW9" s="207">
        <f>SUMIFS('Revenue Tracking'!$F$13:$F$26, 'Revenue Tracking'!$P$13:$P$26, "&gt;="&amp;EW1,'Revenue Tracking'!$P$13:$P$26, "&lt;"&amp;EX1)</f>
        <v>0</v>
      </c>
      <c r="EX9" s="207">
        <f>SUMIFS('Revenue Tracking'!$F$13:$F$26, 'Revenue Tracking'!$P$13:$P$26, "&gt;="&amp;EX1,'Revenue Tracking'!$P$13:$P$26, "&lt;"&amp;EY1)</f>
        <v>0</v>
      </c>
      <c r="EY9" s="207">
        <f>SUMIFS('Revenue Tracking'!$F$13:$F$26, 'Revenue Tracking'!$P$13:$P$26, "&gt;="&amp;EY1,'Revenue Tracking'!$P$13:$P$26, "&lt;"&amp;EZ1)</f>
        <v>0</v>
      </c>
      <c r="EZ9" s="207">
        <f>SUMIFS('Revenue Tracking'!$F$13:$F$26, 'Revenue Tracking'!$P$13:$P$26, "&gt;="&amp;EZ1,'Revenue Tracking'!$P$13:$P$26, "&lt;"&amp;FA1)</f>
        <v>0</v>
      </c>
      <c r="FA9" s="207">
        <f>SUMIFS('Revenue Tracking'!$F$13:$F$26, 'Revenue Tracking'!$P$13:$P$26, "&gt;="&amp;FA1,'Revenue Tracking'!$P$13:$P$26, "&lt;"&amp;FB1)</f>
        <v>0</v>
      </c>
      <c r="FB9" s="207">
        <f>SUMIFS('Revenue Tracking'!$F$13:$F$26, 'Revenue Tracking'!$P$13:$P$26, "&gt;="&amp;FB1,'Revenue Tracking'!$P$13:$P$26, "&lt;"&amp;FC1)</f>
        <v>0</v>
      </c>
      <c r="FC9" s="207">
        <f>SUMIFS('Revenue Tracking'!$F$13:$F$26, 'Revenue Tracking'!$P$13:$P$26, "&gt;="&amp;FC1,'Revenue Tracking'!$P$13:$P$26, "&lt;"&amp;FD1)</f>
        <v>0</v>
      </c>
      <c r="FD9" s="207">
        <f>SUMIFS('Revenue Tracking'!$F$13:$F$26, 'Revenue Tracking'!$P$13:$P$26, "&gt;="&amp;FD1,'Revenue Tracking'!$P$13:$P$26, "&lt;"&amp;FE1)</f>
        <v>0</v>
      </c>
      <c r="FE9" s="207">
        <f>SUMIFS('Revenue Tracking'!$F$13:$F$26, 'Revenue Tracking'!$P$13:$P$26, "&gt;="&amp;FE1,'Revenue Tracking'!$P$13:$P$26, "&lt;"&amp;FF1)</f>
        <v>0</v>
      </c>
      <c r="FF9" s="207">
        <f>SUMIFS('Revenue Tracking'!$F$13:$F$26, 'Revenue Tracking'!$P$13:$P$26, "&gt;="&amp;FF1,'Revenue Tracking'!$P$13:$P$26, "&lt;"&amp;FG1)</f>
        <v>0</v>
      </c>
      <c r="FG9" s="207">
        <f>SUMIFS('Revenue Tracking'!$F$13:$F$26, 'Revenue Tracking'!$P$13:$P$26, "&gt;="&amp;FG1,'Revenue Tracking'!$P$13:$P$26, "&lt;"&amp;FH1)</f>
        <v>0</v>
      </c>
      <c r="FH9" s="207">
        <f>SUMIFS('Revenue Tracking'!$F$13:$F$26, 'Revenue Tracking'!$P$13:$P$26, "&gt;="&amp;FH1,'Revenue Tracking'!$P$13:$P$26, "&lt;"&amp;FI1)</f>
        <v>0</v>
      </c>
      <c r="FI9" s="207">
        <f>SUMIFS('Revenue Tracking'!$F$13:$F$26, 'Revenue Tracking'!$P$13:$P$26, "&gt;="&amp;FI1,'Revenue Tracking'!$P$13:$P$26, "&lt;"&amp;FJ1)</f>
        <v>0</v>
      </c>
      <c r="FJ9" s="207">
        <f>SUMIFS('Revenue Tracking'!$F$13:$F$26, 'Revenue Tracking'!$P$13:$P$26, "&gt;="&amp;FJ1,'Revenue Tracking'!$P$13:$P$26, "&lt;"&amp;FK1)</f>
        <v>0</v>
      </c>
      <c r="FK9" s="207">
        <f>SUMIFS('Revenue Tracking'!$F$13:$F$26, 'Revenue Tracking'!$P$13:$P$26, "&gt;="&amp;FK1,'Revenue Tracking'!$P$13:$P$26, "&lt;"&amp;FL1)</f>
        <v>0</v>
      </c>
      <c r="FL9" s="207">
        <f>SUMIFS('Revenue Tracking'!$F$13:$F$26, 'Revenue Tracking'!$P$13:$P$26, "&gt;="&amp;FL1,'Revenue Tracking'!$P$13:$P$26, "&lt;"&amp;FM1)</f>
        <v>0</v>
      </c>
      <c r="FM9" s="207">
        <f>SUMIFS('Revenue Tracking'!$F$13:$F$26, 'Revenue Tracking'!$P$13:$P$26, "&gt;="&amp;FM1,'Revenue Tracking'!$P$13:$P$26, "&lt;"&amp;FN1)</f>
        <v>0</v>
      </c>
      <c r="FN9" s="207">
        <f>SUMIFS('Revenue Tracking'!$F$13:$F$26, 'Revenue Tracking'!$P$13:$P$26, "&gt;="&amp;FN1,'Revenue Tracking'!$P$13:$P$26, "&lt;"&amp;FO1)</f>
        <v>0</v>
      </c>
      <c r="FO9" s="207">
        <f>SUMIFS('Revenue Tracking'!$F$13:$F$26, 'Revenue Tracking'!$P$13:$P$26, "&gt;="&amp;FO1,'Revenue Tracking'!$P$13:$P$26, "&lt;"&amp;FP1)</f>
        <v>0</v>
      </c>
      <c r="FP9" s="207">
        <f>SUMIFS('Revenue Tracking'!$F$13:$F$26, 'Revenue Tracking'!$P$13:$P$26, "&gt;="&amp;FP1,'Revenue Tracking'!$P$13:$P$26, "&lt;"&amp;FQ1)</f>
        <v>0</v>
      </c>
      <c r="FQ9" s="207">
        <f>SUMIFS('Revenue Tracking'!$F$13:$F$26, 'Revenue Tracking'!$P$13:$P$26, "&gt;="&amp;FQ1,'Revenue Tracking'!$P$13:$P$26, "&lt;"&amp;FR1)</f>
        <v>0</v>
      </c>
      <c r="FR9" s="207">
        <f>SUMIFS('Revenue Tracking'!$F$13:$F$26, 'Revenue Tracking'!$P$13:$P$26, "&gt;="&amp;FR1,'Revenue Tracking'!$P$13:$P$26, "&lt;"&amp;FS1)</f>
        <v>0</v>
      </c>
      <c r="FS9" s="207">
        <f>SUMIFS('Revenue Tracking'!$F$13:$F$26, 'Revenue Tracking'!$P$13:$P$26, "&gt;="&amp;FS1,'Revenue Tracking'!$P$13:$P$26, "&lt;"&amp;FT1)</f>
        <v>0</v>
      </c>
      <c r="FT9" s="207">
        <f>SUMIFS('Revenue Tracking'!$F$13:$F$26, 'Revenue Tracking'!$P$13:$P$26, "&gt;="&amp;FT1,'Revenue Tracking'!$P$13:$P$26, "&lt;"&amp;FU1)</f>
        <v>0</v>
      </c>
      <c r="FU9" s="207">
        <f>SUMIFS('Revenue Tracking'!$F$13:$F$26, 'Revenue Tracking'!$P$13:$P$26, "&gt;="&amp;FU1,'Revenue Tracking'!$P$13:$P$26, "&lt;"&amp;FV1)</f>
        <v>0</v>
      </c>
      <c r="FV9" s="207">
        <f>SUMIFS('Revenue Tracking'!$F$13:$F$26, 'Revenue Tracking'!$P$13:$P$26, "&gt;="&amp;FV1,'Revenue Tracking'!$P$13:$P$26, "&lt;"&amp;FW1)</f>
        <v>0</v>
      </c>
      <c r="FW9" s="207">
        <f>SUMIFS('Revenue Tracking'!$F$13:$F$26, 'Revenue Tracking'!$P$13:$P$26, "&gt;="&amp;FW1,'Revenue Tracking'!$P$13:$P$26, "&lt;"&amp;FX1)</f>
        <v>0</v>
      </c>
      <c r="FX9" s="207">
        <f>SUMIFS('Revenue Tracking'!$F$13:$F$26, 'Revenue Tracking'!$P$13:$P$26, "&gt;="&amp;FX1,'Revenue Tracking'!$P$13:$P$26, "&lt;"&amp;FY1)</f>
        <v>0</v>
      </c>
      <c r="FY9" s="207">
        <f>SUMIFS('Revenue Tracking'!$F$13:$F$26, 'Revenue Tracking'!$P$13:$P$26, "&gt;="&amp;FY1,'Revenue Tracking'!$P$13:$P$26, "&lt;"&amp;FZ1)</f>
        <v>0</v>
      </c>
      <c r="FZ9" s="207">
        <f>SUMIFS('Revenue Tracking'!$F$13:$F$26, 'Revenue Tracking'!$P$13:$P$26, "&gt;="&amp;FZ1,'Revenue Tracking'!$P$13:$P$26, "&lt;"&amp;GA1)</f>
        <v>0</v>
      </c>
      <c r="GA9" s="207">
        <f>SUMIFS('Revenue Tracking'!$F$13:$F$26, 'Revenue Tracking'!$P$13:$P$26, "&gt;="&amp;GA1,'Revenue Tracking'!$P$13:$P$26, "&lt;"&amp;GB1)</f>
        <v>0</v>
      </c>
      <c r="GB9" s="207">
        <f>SUMIFS('Revenue Tracking'!$F$13:$F$26, 'Revenue Tracking'!$P$13:$P$26, "&gt;="&amp;GB1,'Revenue Tracking'!$P$13:$P$26, "&lt;"&amp;GC1)</f>
        <v>0</v>
      </c>
      <c r="GC9" s="207">
        <f>SUMIFS('Revenue Tracking'!$F$13:$F$26, 'Revenue Tracking'!$P$13:$P$26, "&gt;="&amp;GC1,'Revenue Tracking'!$P$13:$P$26, "&lt;"&amp;GD1)</f>
        <v>0</v>
      </c>
      <c r="GD9" s="207">
        <f>SUMIFS('Revenue Tracking'!$F$13:$F$26, 'Revenue Tracking'!$P$13:$P$26, "&gt;="&amp;GD1,'Revenue Tracking'!$P$13:$P$26, "&lt;"&amp;GE1)</f>
        <v>0</v>
      </c>
      <c r="GE9" s="207">
        <f>SUMIFS('Revenue Tracking'!$F$13:$F$26, 'Revenue Tracking'!$P$13:$P$26, "&gt;="&amp;GE1,'Revenue Tracking'!$P$13:$P$26, "&lt;"&amp;GF1)</f>
        <v>0</v>
      </c>
      <c r="GF9" s="207">
        <f>SUMIFS('Revenue Tracking'!$F$13:$F$26, 'Revenue Tracking'!$P$13:$P$26, "&gt;="&amp;GF1,'Revenue Tracking'!$P$13:$P$26, "&lt;"&amp;GG1)</f>
        <v>0</v>
      </c>
      <c r="GG9" s="207">
        <f>SUMIFS('Revenue Tracking'!$F$13:$F$26, 'Revenue Tracking'!$P$13:$P$26, "&gt;="&amp;GG1,'Revenue Tracking'!$P$13:$P$26, "&lt;"&amp;GH1)</f>
        <v>0</v>
      </c>
      <c r="GH9" s="207">
        <f>SUMIFS('Revenue Tracking'!$F$13:$F$26, 'Revenue Tracking'!$P$13:$P$26, "&gt;="&amp;GH1,'Revenue Tracking'!$P$13:$P$26, "&lt;"&amp;GI1)</f>
        <v>0</v>
      </c>
      <c r="GI9" s="207">
        <f>SUMIFS('Revenue Tracking'!$F$13:$F$26, 'Revenue Tracking'!$P$13:$P$26, "&gt;="&amp;GI1,'Revenue Tracking'!$P$13:$P$26, "&lt;"&amp;GJ1)</f>
        <v>0</v>
      </c>
      <c r="GJ9" s="207">
        <f>SUMIFS('Revenue Tracking'!$F$13:$F$26, 'Revenue Tracking'!$P$13:$P$26, "&gt;="&amp;GJ1,'Revenue Tracking'!$P$13:$P$26, "&lt;"&amp;GK1)</f>
        <v>0</v>
      </c>
      <c r="GK9" s="207">
        <f>SUMIFS('Revenue Tracking'!$F$13:$F$26, 'Revenue Tracking'!$P$13:$P$26, "&gt;="&amp;GK1,'Revenue Tracking'!$P$13:$P$26, "&lt;"&amp;GL1)</f>
        <v>0</v>
      </c>
      <c r="GL9" s="207">
        <f>SUMIFS('Revenue Tracking'!$F$13:$F$26, 'Revenue Tracking'!$P$13:$P$26, "&gt;="&amp;GL1,'Revenue Tracking'!$P$13:$P$26, "&lt;"&amp;GM1)</f>
        <v>0</v>
      </c>
      <c r="GM9" s="207">
        <f>SUMIFS('Revenue Tracking'!$F$13:$F$26, 'Revenue Tracking'!$P$13:$P$26, "&gt;="&amp;GM1,'Revenue Tracking'!$P$13:$P$26, "&lt;"&amp;GN1)</f>
        <v>0</v>
      </c>
      <c r="GN9" s="207">
        <f>SUMIFS('Revenue Tracking'!$F$13:$F$26, 'Revenue Tracking'!$P$13:$P$26, "&gt;="&amp;GN1,'Revenue Tracking'!$P$13:$P$26, "&lt;"&amp;GO1)</f>
        <v>0</v>
      </c>
      <c r="GO9" s="207">
        <f>SUMIFS('Revenue Tracking'!$F$13:$F$26, 'Revenue Tracking'!$P$13:$P$26, "&gt;="&amp;GO1,'Revenue Tracking'!$P$13:$P$26, "&lt;"&amp;GP1)</f>
        <v>0</v>
      </c>
      <c r="GP9" s="207">
        <f>SUMIFS('Revenue Tracking'!$F$13:$F$26, 'Revenue Tracking'!$P$13:$P$26, "&gt;="&amp;GP1,'Revenue Tracking'!$P$13:$P$26, "&lt;"&amp;GQ1)</f>
        <v>0</v>
      </c>
      <c r="GQ9" s="207">
        <f>SUMIFS('Revenue Tracking'!$F$13:$F$26, 'Revenue Tracking'!$P$13:$P$26, "&gt;="&amp;GQ1,'Revenue Tracking'!$P$13:$P$26, "&lt;"&amp;GR1)</f>
        <v>0</v>
      </c>
      <c r="GR9" s="207">
        <f>SUMIFS('Revenue Tracking'!$F$13:$F$26, 'Revenue Tracking'!$P$13:$P$26, "&gt;="&amp;GR1,'Revenue Tracking'!$P$13:$P$26, "&lt;"&amp;GS1)</f>
        <v>0</v>
      </c>
      <c r="GS9" s="207">
        <f>SUMIFS('Revenue Tracking'!$F$13:$F$26, 'Revenue Tracking'!$P$13:$P$26, "&gt;="&amp;GS1,'Revenue Tracking'!$P$13:$P$26, "&lt;"&amp;GT1)</f>
        <v>0</v>
      </c>
      <c r="GT9" s="207">
        <f>SUMIFS('Revenue Tracking'!$F$13:$F$26, 'Revenue Tracking'!$P$13:$P$26, "&gt;="&amp;GT1,'Revenue Tracking'!$P$13:$P$26, "&lt;"&amp;GU1)</f>
        <v>0</v>
      </c>
      <c r="GU9" s="207">
        <f>SUMIFS('Revenue Tracking'!$F$13:$F$26, 'Revenue Tracking'!$P$13:$P$26, "&gt;="&amp;GU1,'Revenue Tracking'!$P$13:$P$26, "&lt;"&amp;GV1)</f>
        <v>0</v>
      </c>
      <c r="GV9" s="207">
        <f>SUMIFS('Revenue Tracking'!$F$13:$F$26, 'Revenue Tracking'!$P$13:$P$26, "&gt;="&amp;GV1,'Revenue Tracking'!$P$13:$P$26, "&lt;"&amp;GW1)</f>
        <v>0</v>
      </c>
      <c r="GW9" s="207">
        <f>SUMIFS('Revenue Tracking'!$F$13:$F$26, 'Revenue Tracking'!$P$13:$P$26, "&gt;="&amp;GW1,'Revenue Tracking'!$P$13:$P$26, "&lt;"&amp;GX1)</f>
        <v>0</v>
      </c>
      <c r="GX9" s="207">
        <f>SUMIFS('Revenue Tracking'!$F$13:$F$26, 'Revenue Tracking'!$P$13:$P$26, "&gt;="&amp;GX1,'Revenue Tracking'!$P$13:$P$26, "&lt;"&amp;GY1)</f>
        <v>0</v>
      </c>
      <c r="GY9" s="207">
        <f>SUMIFS('Revenue Tracking'!$F$13:$F$26, 'Revenue Tracking'!$P$13:$P$26, "&gt;="&amp;GY1,'Revenue Tracking'!$P$13:$P$26, "&lt;"&amp;GZ1)</f>
        <v>0</v>
      </c>
      <c r="GZ9" s="207">
        <f>SUMIFS('Revenue Tracking'!$F$13:$F$26, 'Revenue Tracking'!$P$13:$P$26, "&gt;="&amp;GZ1,'Revenue Tracking'!$P$13:$P$26, "&lt;"&amp;HA1)</f>
        <v>0</v>
      </c>
      <c r="HA9" s="207">
        <f>SUMIFS('Revenue Tracking'!$F$13:$F$26, 'Revenue Tracking'!$P$13:$P$26, "&gt;="&amp;HA1,'Revenue Tracking'!$P$13:$P$26, "&lt;"&amp;HB1)</f>
        <v>0</v>
      </c>
      <c r="HB9" s="207">
        <f>SUMIFS('Revenue Tracking'!$F$13:$F$26, 'Revenue Tracking'!$P$13:$P$26, "&gt;="&amp;HB1,'Revenue Tracking'!$P$13:$P$26, "&lt;"&amp;HC1)</f>
        <v>0</v>
      </c>
      <c r="HC9" s="207">
        <f>SUMIFS('Revenue Tracking'!$F$13:$F$26, 'Revenue Tracking'!$P$13:$P$26, "&gt;="&amp;HC1,'Revenue Tracking'!$P$13:$P$26, "&lt;"&amp;HD1)</f>
        <v>0</v>
      </c>
      <c r="HD9" s="207">
        <f>SUMIFS('Revenue Tracking'!$F$13:$F$26, 'Revenue Tracking'!$P$13:$P$26, "&gt;="&amp;HD1,'Revenue Tracking'!$P$13:$P$26, "&lt;"&amp;HE1)</f>
        <v>0</v>
      </c>
      <c r="HE9" s="207">
        <f>SUMIFS('Revenue Tracking'!$F$13:$F$26, 'Revenue Tracking'!$P$13:$P$26, "&gt;="&amp;HE1,'Revenue Tracking'!$P$13:$P$26, "&lt;"&amp;HF1)</f>
        <v>0</v>
      </c>
      <c r="HF9" s="207">
        <f>SUMIFS('Revenue Tracking'!$F$13:$F$26, 'Revenue Tracking'!$P$13:$P$26, "&gt;="&amp;HF1,'Revenue Tracking'!$P$13:$P$26, "&lt;"&amp;HG1)</f>
        <v>0</v>
      </c>
      <c r="HG9" s="207">
        <f>SUMIFS('Revenue Tracking'!$F$13:$F$26, 'Revenue Tracking'!$P$13:$P$26, "&gt;="&amp;HG1,'Revenue Tracking'!$P$13:$P$26, "&lt;"&amp;HH1)</f>
        <v>0</v>
      </c>
      <c r="HH9" s="207">
        <f>SUMIFS('Revenue Tracking'!$F$13:$F$26, 'Revenue Tracking'!$P$13:$P$26, "&gt;="&amp;HH1,'Revenue Tracking'!$P$13:$P$26, "&lt;"&amp;HI1)</f>
        <v>0</v>
      </c>
      <c r="HI9" s="207">
        <f>SUMIFS('Revenue Tracking'!$F$13:$F$26, 'Revenue Tracking'!$P$13:$P$26, "&gt;="&amp;HI1,'Revenue Tracking'!$P$13:$P$26, "&lt;"&amp;HJ1)</f>
        <v>0</v>
      </c>
      <c r="HJ9" s="207">
        <f>SUMIFS('Revenue Tracking'!$F$13:$F$26, 'Revenue Tracking'!$P$13:$P$26, "&gt;="&amp;HJ1,'Revenue Tracking'!$P$13:$P$26, "&lt;"&amp;HK1)</f>
        <v>0</v>
      </c>
      <c r="HK9" s="207">
        <f>SUMIFS('Revenue Tracking'!$F$13:$F$26, 'Revenue Tracking'!$P$13:$P$26, "&gt;="&amp;HK1,'Revenue Tracking'!$P$13:$P$26, "&lt;"&amp;HL1)</f>
        <v>0</v>
      </c>
      <c r="HL9" s="207">
        <f>SUMIFS('Revenue Tracking'!$F$13:$F$26, 'Revenue Tracking'!$P$13:$P$26, "&gt;="&amp;HL1,'Revenue Tracking'!$P$13:$P$26, "&lt;"&amp;HM1)</f>
        <v>0</v>
      </c>
      <c r="HM9" s="207">
        <f>SUMIFS('Revenue Tracking'!$F$13:$F$26, 'Revenue Tracking'!$P$13:$P$26, "&gt;="&amp;HM1,'Revenue Tracking'!$P$13:$P$26, "&lt;"&amp;HN1)</f>
        <v>0</v>
      </c>
      <c r="HN9" s="207">
        <f>SUMIFS('Revenue Tracking'!$F$13:$F$26, 'Revenue Tracking'!$P$13:$P$26, "&gt;="&amp;HN1,'Revenue Tracking'!$P$13:$P$26, "&lt;"&amp;HO1)</f>
        <v>0</v>
      </c>
      <c r="HO9" s="207">
        <f>SUMIFS('Revenue Tracking'!$F$13:$F$26, 'Revenue Tracking'!$P$13:$P$26, "&gt;="&amp;HO1,'Revenue Tracking'!$P$13:$P$26, "&lt;"&amp;HP1)</f>
        <v>0</v>
      </c>
      <c r="HP9" s="207">
        <f>SUMIFS('Revenue Tracking'!$F$13:$F$26, 'Revenue Tracking'!$P$13:$P$26, "&gt;="&amp;HP1,'Revenue Tracking'!$P$13:$P$26, "&lt;"&amp;HQ1)</f>
        <v>0</v>
      </c>
      <c r="HQ9" s="207">
        <f>SUMIFS('Revenue Tracking'!$F$13:$F$26, 'Revenue Tracking'!$P$13:$P$26, "&gt;="&amp;HQ1,'Revenue Tracking'!$P$13:$P$26, "&lt;"&amp;HR1)</f>
        <v>0</v>
      </c>
      <c r="HR9" s="207">
        <f>SUMIFS('Revenue Tracking'!$F$13:$F$26, 'Revenue Tracking'!$P$13:$P$26, "&gt;="&amp;HR1,'Revenue Tracking'!$P$13:$P$26, "&lt;"&amp;HS1)</f>
        <v>0</v>
      </c>
      <c r="HS9" s="207">
        <f>SUMIFS('Revenue Tracking'!$F$13:$F$26, 'Revenue Tracking'!$P$13:$P$26, "&gt;="&amp;HS1,'Revenue Tracking'!$P$13:$P$26, "&lt;"&amp;HT1)</f>
        <v>0</v>
      </c>
      <c r="HT9" s="207">
        <f>SUMIFS('Revenue Tracking'!$F$13:$F$26, 'Revenue Tracking'!$P$13:$P$26, "&gt;="&amp;HT1,'Revenue Tracking'!$P$13:$P$26, "&lt;"&amp;HU1)</f>
        <v>0</v>
      </c>
      <c r="HU9" s="207">
        <f>SUMIFS('Revenue Tracking'!$F$13:$F$26, 'Revenue Tracking'!$P$13:$P$26, "&gt;="&amp;HU1,'Revenue Tracking'!$P$13:$P$26, "&lt;"&amp;HV1)</f>
        <v>0</v>
      </c>
      <c r="HV9" s="207">
        <f>SUMIFS('Revenue Tracking'!$F$13:$F$26, 'Revenue Tracking'!$P$13:$P$26, "&gt;="&amp;HV1,'Revenue Tracking'!$P$13:$P$26, "&lt;"&amp;HW1)</f>
        <v>0</v>
      </c>
      <c r="HW9" s="207">
        <f>SUMIFS('Revenue Tracking'!$F$13:$F$26, 'Revenue Tracking'!$P$13:$P$26, "&gt;="&amp;HW1,'Revenue Tracking'!$P$13:$P$26, "&lt;"&amp;HX1)</f>
        <v>0</v>
      </c>
      <c r="HX9" s="207">
        <f>SUMIFS('Revenue Tracking'!$F$13:$F$26, 'Revenue Tracking'!$P$13:$P$26, "&gt;="&amp;HX1,'Revenue Tracking'!$P$13:$P$26, "&lt;"&amp;HY1)</f>
        <v>0</v>
      </c>
      <c r="HY9" s="207">
        <f>SUMIFS('Revenue Tracking'!$F$13:$F$26, 'Revenue Tracking'!$P$13:$P$26, "&gt;="&amp;HY1,'Revenue Tracking'!$P$13:$P$26, "&lt;"&amp;HZ1)</f>
        <v>0</v>
      </c>
      <c r="HZ9" s="207">
        <f>SUMIFS('Revenue Tracking'!$F$13:$F$26, 'Revenue Tracking'!$P$13:$P$26, "&gt;="&amp;HZ1,'Revenue Tracking'!$P$13:$P$26, "&lt;"&amp;IA1)</f>
        <v>0</v>
      </c>
      <c r="IA9" s="207">
        <f>SUMIFS('Revenue Tracking'!$F$13:$F$26, 'Revenue Tracking'!$P$13:$P$26, "&gt;="&amp;IA1,'Revenue Tracking'!$P$13:$P$26, "&lt;"&amp;IB1)</f>
        <v>0</v>
      </c>
      <c r="IB9" s="207">
        <f>SUMIFS('Revenue Tracking'!$F$13:$F$26, 'Revenue Tracking'!$P$13:$P$26, "&gt;="&amp;IB1,'Revenue Tracking'!$P$13:$P$26, "&lt;"&amp;IC1)</f>
        <v>0</v>
      </c>
      <c r="IC9" s="207">
        <f>SUMIFS('Revenue Tracking'!$F$13:$F$26, 'Revenue Tracking'!$P$13:$P$26, "&gt;="&amp;IC1,'Revenue Tracking'!$P$13:$P$26, "&lt;"&amp;ID1)</f>
        <v>0</v>
      </c>
      <c r="ID9" s="207">
        <f>SUMIFS('Revenue Tracking'!$F$13:$F$26, 'Revenue Tracking'!$P$13:$P$26, "&gt;="&amp;ID1,'Revenue Tracking'!$P$13:$P$26, "&lt;"&amp;IE1)</f>
        <v>0</v>
      </c>
      <c r="IE9" s="207">
        <f>SUMIFS('Revenue Tracking'!$F$13:$F$26, 'Revenue Tracking'!$P$13:$P$26, "&gt;="&amp;IE1,'Revenue Tracking'!$P$13:$P$26, "&lt;"&amp;IF1)</f>
        <v>0</v>
      </c>
      <c r="IF9" s="207">
        <f>SUMIFS('Revenue Tracking'!$F$13:$F$26, 'Revenue Tracking'!$P$13:$P$26, "&gt;="&amp;IF1,'Revenue Tracking'!$P$13:$P$26, "&lt;"&amp;IG1)</f>
        <v>0</v>
      </c>
      <c r="IG9" s="207">
        <f>SUMIFS('Revenue Tracking'!$F$13:$F$26, 'Revenue Tracking'!$P$13:$P$26, "&gt;="&amp;IG1,'Revenue Tracking'!$P$13:$P$26, "&lt;"&amp;IH1)</f>
        <v>0</v>
      </c>
      <c r="IH9" s="207">
        <f>SUMIFS('Revenue Tracking'!$F$13:$F$26, 'Revenue Tracking'!$P$13:$P$26, "&gt;="&amp;IH1,'Revenue Tracking'!$P$13:$P$26, "&lt;"&amp;II1)</f>
        <v>0</v>
      </c>
      <c r="II9" s="207">
        <f>SUMIFS('Revenue Tracking'!$F$13:$F$26, 'Revenue Tracking'!$P$13:$P$26, "&gt;="&amp;II1,'Revenue Tracking'!$P$13:$P$26, "&lt;"&amp;IJ1)</f>
        <v>0</v>
      </c>
      <c r="IJ9" s="207">
        <f>SUMIFS('Revenue Tracking'!$F$13:$F$26, 'Revenue Tracking'!$P$13:$P$26, "&gt;="&amp;IJ1,'Revenue Tracking'!$P$13:$P$26, "&lt;"&amp;IK1)</f>
        <v>0</v>
      </c>
      <c r="IK9" s="207">
        <f>SUMIFS('Revenue Tracking'!$F$13:$F$26, 'Revenue Tracking'!$P$13:$P$26, "&gt;="&amp;IK1,'Revenue Tracking'!$P$13:$P$26, "&lt;"&amp;IL1)</f>
        <v>0</v>
      </c>
      <c r="IL9" s="207">
        <f>SUMIFS('Revenue Tracking'!$F$13:$F$26, 'Revenue Tracking'!$P$13:$P$26, "&gt;="&amp;IL1,'Revenue Tracking'!$P$13:$P$26, "&lt;"&amp;IM1)</f>
        <v>0</v>
      </c>
      <c r="IM9" s="207">
        <f>SUMIFS('Revenue Tracking'!$F$13:$F$26, 'Revenue Tracking'!$P$13:$P$26, "&gt;="&amp;IM1,'Revenue Tracking'!$P$13:$P$26, "&lt;"&amp;IN1)</f>
        <v>0</v>
      </c>
      <c r="IN9" s="207">
        <f>SUMIFS('Revenue Tracking'!$F$13:$F$26, 'Revenue Tracking'!$P$13:$P$26, "&gt;="&amp;IN1,'Revenue Tracking'!$P$13:$P$26, "&lt;"&amp;IO1)</f>
        <v>0</v>
      </c>
      <c r="IO9" s="207">
        <f>SUMIFS('Revenue Tracking'!$F$13:$F$26, 'Revenue Tracking'!$P$13:$P$26, "&gt;="&amp;IO1,'Revenue Tracking'!$P$13:$P$26, "&lt;"&amp;IP1)</f>
        <v>0</v>
      </c>
      <c r="IP9" s="207">
        <f>SUMIFS('Revenue Tracking'!$F$13:$F$26, 'Revenue Tracking'!$P$13:$P$26, "&gt;="&amp;IP1,'Revenue Tracking'!$P$13:$P$26, "&lt;"&amp;IQ1)</f>
        <v>0</v>
      </c>
      <c r="IQ9" s="207">
        <f>SUMIFS('Revenue Tracking'!$F$13:$F$26, 'Revenue Tracking'!$P$13:$P$26, "&gt;="&amp;IQ1,'Revenue Tracking'!$P$13:$P$26, "&lt;"&amp;IR1)</f>
        <v>0</v>
      </c>
      <c r="IR9" s="207">
        <f>SUMIFS('Revenue Tracking'!$F$13:$F$26, 'Revenue Tracking'!$P$13:$P$26, "&gt;="&amp;IR1,'Revenue Tracking'!$P$13:$P$26, "&lt;"&amp;IS1)</f>
        <v>0</v>
      </c>
      <c r="IS9" s="207">
        <f>SUMIFS('Revenue Tracking'!$F$13:$F$26, 'Revenue Tracking'!$P$13:$P$26, "&gt;="&amp;IS1,'Revenue Tracking'!$P$13:$P$26, "&lt;"&amp;IT1)</f>
        <v>0</v>
      </c>
      <c r="IT9" s="207">
        <f>SUMIFS('Revenue Tracking'!$F$13:$F$26, 'Revenue Tracking'!$P$13:$P$26, "&gt;="&amp;IT1,'Revenue Tracking'!$P$13:$P$26, "&lt;"&amp;IU1)</f>
        <v>0</v>
      </c>
      <c r="IU9" s="207">
        <f>SUMIFS('Revenue Tracking'!$F$13:$F$26, 'Revenue Tracking'!$P$13:$P$26, "&gt;="&amp;IU1,'Revenue Tracking'!$P$13:$P$26, "&lt;"&amp;IV1)</f>
        <v>0</v>
      </c>
      <c r="IV9" s="207">
        <f>SUMIFS('Revenue Tracking'!$F$13:$F$26, 'Revenue Tracking'!$P$13:$P$26, "&gt;="&amp;IV1,'Revenue Tracking'!$P$13:$P$26, "&lt;"&amp;IW1)</f>
        <v>0</v>
      </c>
      <c r="IW9" s="207">
        <f>SUMIFS('Revenue Tracking'!$F$13:$F$26, 'Revenue Tracking'!$P$13:$P$26, "&gt;="&amp;IW1,'Revenue Tracking'!$P$13:$P$26, "&lt;"&amp;IX1)</f>
        <v>0</v>
      </c>
      <c r="IX9" s="207">
        <f>SUMIFS('Revenue Tracking'!$F$13:$F$26, 'Revenue Tracking'!$P$13:$P$26, "&gt;="&amp;IX1,'Revenue Tracking'!$P$13:$P$26, "&lt;"&amp;IY1)</f>
        <v>0</v>
      </c>
      <c r="IY9" s="207">
        <f>SUMIFS('Revenue Tracking'!$F$13:$F$26, 'Revenue Tracking'!$P$13:$P$26, "&gt;="&amp;IY1,'Revenue Tracking'!$P$13:$P$26, "&lt;"&amp;IZ1)</f>
        <v>0</v>
      </c>
      <c r="IZ9" s="207">
        <f>SUMIFS('Revenue Tracking'!$F$13:$F$26, 'Revenue Tracking'!$P$13:$P$26, "&gt;="&amp;IZ1,'Revenue Tracking'!$P$13:$P$26, "&lt;"&amp;JA1)</f>
        <v>0</v>
      </c>
      <c r="JA9" s="207">
        <f>SUMIFS('Revenue Tracking'!$F$13:$F$26, 'Revenue Tracking'!$P$13:$P$26, "&gt;="&amp;JA1,'Revenue Tracking'!$P$13:$P$26, "&lt;"&amp;JB1)</f>
        <v>0</v>
      </c>
      <c r="JB9" s="207">
        <f>SUMIFS('Revenue Tracking'!$F$13:$F$26, 'Revenue Tracking'!$P$13:$P$26, "&gt;="&amp;JB1,'Revenue Tracking'!$P$13:$P$26, "&lt;"&amp;JC1)</f>
        <v>0</v>
      </c>
      <c r="JC9" s="207">
        <f>SUMIFS('Revenue Tracking'!$F$13:$F$26, 'Revenue Tracking'!$P$13:$P$26, "&gt;="&amp;JC1,'Revenue Tracking'!$P$13:$P$26, "&lt;"&amp;JD1)</f>
        <v>0</v>
      </c>
      <c r="JD9" s="207">
        <f>SUMIFS('Revenue Tracking'!$F$13:$F$26, 'Revenue Tracking'!$P$13:$P$26, "&gt;="&amp;JD1,'Revenue Tracking'!$P$13:$P$26, "&lt;"&amp;JE1)</f>
        <v>0</v>
      </c>
      <c r="JE9" s="207">
        <f>SUMIFS('Revenue Tracking'!$F$13:$F$26, 'Revenue Tracking'!$P$13:$P$26, "&gt;="&amp;JE1,'Revenue Tracking'!$P$13:$P$26, "&lt;"&amp;JF1)</f>
        <v>0</v>
      </c>
      <c r="JF9" s="207">
        <f>SUMIFS('Revenue Tracking'!$F$13:$F$26, 'Revenue Tracking'!$P$13:$P$26, "&gt;="&amp;JF1,'Revenue Tracking'!$P$13:$P$26, "&lt;"&amp;JG1)</f>
        <v>0</v>
      </c>
      <c r="JG9" s="207">
        <f>SUMIFS('Revenue Tracking'!$F$13:$F$26, 'Revenue Tracking'!$P$13:$P$26, "&gt;="&amp;JG1,'Revenue Tracking'!$P$13:$P$26, "&lt;"&amp;JH1)</f>
        <v>0</v>
      </c>
      <c r="JH9" s="207">
        <f>SUMIFS('Revenue Tracking'!$F$13:$F$26, 'Revenue Tracking'!$P$13:$P$26, "&gt;="&amp;JH1,'Revenue Tracking'!$P$13:$P$26, "&lt;"&amp;JI1)</f>
        <v>0</v>
      </c>
      <c r="JI9" s="207">
        <f>SUMIFS('Revenue Tracking'!$F$13:$F$26, 'Revenue Tracking'!$P$13:$P$26, "&gt;="&amp;JI1,'Revenue Tracking'!$P$13:$P$26, "&lt;"&amp;JJ1)</f>
        <v>0</v>
      </c>
      <c r="JJ9" s="207">
        <f>SUMIFS('Revenue Tracking'!$F$13:$F$26, 'Revenue Tracking'!$P$13:$P$26, "&gt;="&amp;JJ1,'Revenue Tracking'!$P$13:$P$26, "&lt;"&amp;JK1)</f>
        <v>0</v>
      </c>
      <c r="JK9" s="207">
        <f>SUMIFS('Revenue Tracking'!$F$13:$F$26, 'Revenue Tracking'!$P$13:$P$26, "&gt;="&amp;JK1,'Revenue Tracking'!$P$13:$P$26, "&lt;"&amp;JL1)</f>
        <v>0</v>
      </c>
      <c r="JL9" s="207">
        <f>SUMIFS('Revenue Tracking'!$F$13:$F$26, 'Revenue Tracking'!$P$13:$P$26, "&gt;="&amp;JL1,'Revenue Tracking'!$P$13:$P$26, "&lt;"&amp;JM1)</f>
        <v>0</v>
      </c>
      <c r="JM9" s="207">
        <f>SUMIFS('Revenue Tracking'!$F$13:$F$26, 'Revenue Tracking'!$P$13:$P$26, "&gt;="&amp;JM1,'Revenue Tracking'!$P$13:$P$26, "&lt;"&amp;JN1)</f>
        <v>0</v>
      </c>
      <c r="JN9" s="207">
        <f>SUMIFS('Revenue Tracking'!$F$13:$F$26, 'Revenue Tracking'!$P$13:$P$26, "&gt;="&amp;JN1,'Revenue Tracking'!$P$13:$P$26, "&lt;"&amp;JO1)</f>
        <v>0</v>
      </c>
      <c r="JO9" s="207">
        <f>SUMIFS('Revenue Tracking'!$F$13:$F$26, 'Revenue Tracking'!$P$13:$P$26, "&gt;="&amp;JO1,'Revenue Tracking'!$P$13:$P$26, "&lt;"&amp;JP1)</f>
        <v>0</v>
      </c>
      <c r="JP9" s="207">
        <f>SUMIFS('Revenue Tracking'!$F$13:$F$26, 'Revenue Tracking'!$P$13:$P$26, "&gt;="&amp;JP1,'Revenue Tracking'!$P$13:$P$26, "&lt;"&amp;JQ1)</f>
        <v>0</v>
      </c>
      <c r="JQ9" s="207">
        <f>SUMIFS('Revenue Tracking'!$F$13:$F$26, 'Revenue Tracking'!$P$13:$P$26, "&gt;="&amp;JQ1,'Revenue Tracking'!$P$13:$P$26, "&lt;"&amp;JR1)</f>
        <v>0</v>
      </c>
      <c r="JR9" s="207">
        <f>SUMIFS('Revenue Tracking'!$F$13:$F$26, 'Revenue Tracking'!$P$13:$P$26, "&gt;="&amp;JR1,'Revenue Tracking'!$P$13:$P$26, "&lt;"&amp;JS1)</f>
        <v>0</v>
      </c>
      <c r="JS9" s="207">
        <f>SUMIFS('Revenue Tracking'!$F$13:$F$26, 'Revenue Tracking'!$P$13:$P$26, "&gt;="&amp;JS1,'Revenue Tracking'!$P$13:$P$26, "&lt;"&amp;JT1)</f>
        <v>0</v>
      </c>
      <c r="JT9" s="207">
        <f>SUMIFS('Revenue Tracking'!$F$13:$F$26, 'Revenue Tracking'!$P$13:$P$26, "&gt;="&amp;JT1,'Revenue Tracking'!$P$13:$P$26, "&lt;"&amp;JU1)</f>
        <v>0</v>
      </c>
      <c r="JU9" s="207">
        <f>SUMIFS('Revenue Tracking'!$F$13:$F$26, 'Revenue Tracking'!$P$13:$P$26, "&gt;="&amp;JU1,'Revenue Tracking'!$P$13:$P$26, "&lt;"&amp;JV1)</f>
        <v>0</v>
      </c>
      <c r="JV9" s="207">
        <f>SUMIFS('Revenue Tracking'!$F$13:$F$26, 'Revenue Tracking'!$P$13:$P$26, "&gt;="&amp;JV1,'Revenue Tracking'!$P$13:$P$26, "&lt;"&amp;JW1)</f>
        <v>0</v>
      </c>
      <c r="JW9" s="207">
        <f>SUMIFS('Revenue Tracking'!$F$13:$F$26, 'Revenue Tracking'!$P$13:$P$26, "&gt;="&amp;JW1,'Revenue Tracking'!$P$13:$P$26, "&lt;"&amp;JX1)</f>
        <v>0</v>
      </c>
      <c r="JX9" s="207">
        <f>SUMIFS('Revenue Tracking'!$F$13:$F$26, 'Revenue Tracking'!$P$13:$P$26, "&gt;="&amp;JX1,'Revenue Tracking'!$P$13:$P$26, "&lt;"&amp;JY1)</f>
        <v>0</v>
      </c>
      <c r="JY9" s="207">
        <f>SUMIFS('Revenue Tracking'!$F$13:$F$26, 'Revenue Tracking'!$P$13:$P$26, "&gt;="&amp;JY1,'Revenue Tracking'!$P$13:$P$26, "&lt;"&amp;JZ1)</f>
        <v>0</v>
      </c>
      <c r="JZ9" s="207">
        <f>SUMIFS('Revenue Tracking'!$F$13:$F$26, 'Revenue Tracking'!$P$13:$P$26, "&gt;="&amp;JZ1,'Revenue Tracking'!$P$13:$P$26, "&lt;"&amp;KA1)</f>
        <v>0</v>
      </c>
      <c r="KA9" s="207">
        <f>SUMIFS('Revenue Tracking'!$F$13:$F$26, 'Revenue Tracking'!$P$13:$P$26, "&gt;="&amp;KA1,'Revenue Tracking'!$P$13:$P$26, "&lt;"&amp;KB1)</f>
        <v>0</v>
      </c>
      <c r="KB9" s="207">
        <f>SUMIFS('Revenue Tracking'!$F$13:$F$26, 'Revenue Tracking'!$P$13:$P$26, "&gt;="&amp;KB1,'Revenue Tracking'!$P$13:$P$26, "&lt;"&amp;KC1)</f>
        <v>0</v>
      </c>
      <c r="KC9" s="207">
        <f>SUMIFS('Revenue Tracking'!$F$13:$F$26, 'Revenue Tracking'!$P$13:$P$26, "&gt;="&amp;KC1,'Revenue Tracking'!$P$13:$P$26, "&lt;"&amp;KD1)</f>
        <v>0</v>
      </c>
      <c r="KD9" s="207">
        <f>SUMIFS('Revenue Tracking'!$F$13:$F$26, 'Revenue Tracking'!$P$13:$P$26, "&gt;="&amp;KD1,'Revenue Tracking'!$P$13:$P$26, "&lt;"&amp;KE1)</f>
        <v>0</v>
      </c>
      <c r="KE9" s="207">
        <f>SUMIFS('Revenue Tracking'!$F$13:$F$26, 'Revenue Tracking'!$P$13:$P$26, "&gt;="&amp;KE1,'Revenue Tracking'!$P$13:$P$26, "&lt;"&amp;KF1)</f>
        <v>0</v>
      </c>
      <c r="KF9" s="207">
        <f>SUMIFS('Revenue Tracking'!$F$13:$F$26, 'Revenue Tracking'!$P$13:$P$26, "&gt;="&amp;KF1,'Revenue Tracking'!$P$13:$P$26, "&lt;"&amp;KG1)</f>
        <v>0</v>
      </c>
      <c r="KG9" s="207">
        <f>SUMIFS('Revenue Tracking'!$F$13:$F$26, 'Revenue Tracking'!$P$13:$P$26, "&gt;="&amp;KG1,'Revenue Tracking'!$P$13:$P$26, "&lt;"&amp;KH1)</f>
        <v>0</v>
      </c>
      <c r="KH9" s="207">
        <f>SUMIFS('Revenue Tracking'!$F$13:$F$26, 'Revenue Tracking'!$P$13:$P$26, "&gt;="&amp;KH1,'Revenue Tracking'!$P$13:$P$26, "&lt;"&amp;KI1)</f>
        <v>0</v>
      </c>
      <c r="KI9" s="207">
        <f>SUMIFS('Revenue Tracking'!$F$13:$F$26, 'Revenue Tracking'!$P$13:$P$26, "&gt;="&amp;KI1,'Revenue Tracking'!$P$13:$P$26, "&lt;"&amp;KJ1)</f>
        <v>0</v>
      </c>
      <c r="KJ9" s="207">
        <f>SUMIFS('Revenue Tracking'!$F$13:$F$26, 'Revenue Tracking'!$P$13:$P$26, "&gt;="&amp;KJ1,'Revenue Tracking'!$P$13:$P$26, "&lt;"&amp;KK1)</f>
        <v>0</v>
      </c>
      <c r="KK9" s="207">
        <f>SUMIFS('Revenue Tracking'!$F$13:$F$26, 'Revenue Tracking'!$P$13:$P$26, "&gt;="&amp;KK1,'Revenue Tracking'!$P$13:$P$26, "&lt;"&amp;KL1)</f>
        <v>0</v>
      </c>
      <c r="KL9" s="207">
        <f>SUMIFS('Revenue Tracking'!$F$13:$F$26, 'Revenue Tracking'!$P$13:$P$26, "&gt;="&amp;KL1,'Revenue Tracking'!$P$13:$P$26, "&lt;"&amp;KM1)</f>
        <v>0</v>
      </c>
      <c r="KM9" s="207">
        <f>SUMIFS('Revenue Tracking'!$F$13:$F$26, 'Revenue Tracking'!$P$13:$P$26, "&gt;="&amp;KM1,'Revenue Tracking'!$P$13:$P$26, "&lt;"&amp;KN1)</f>
        <v>0</v>
      </c>
      <c r="KN9" s="207">
        <f>SUMIFS('Revenue Tracking'!$F$13:$F$26, 'Revenue Tracking'!$P$13:$P$26, "&gt;="&amp;KN1,'Revenue Tracking'!$P$13:$P$26, "&lt;"&amp;KO1)</f>
        <v>0</v>
      </c>
      <c r="KO9" s="207">
        <f>SUMIFS('Revenue Tracking'!$F$13:$F$26, 'Revenue Tracking'!$P$13:$P$26, "&gt;="&amp;KO1,'Revenue Tracking'!$P$13:$P$26, "&lt;"&amp;KP1)</f>
        <v>0</v>
      </c>
      <c r="KP9" s="207">
        <f>SUMIFS('Revenue Tracking'!$F$13:$F$26, 'Revenue Tracking'!$P$13:$P$26, "&gt;="&amp;KP1,'Revenue Tracking'!$P$13:$P$26, "&lt;"&amp;KQ1)</f>
        <v>0</v>
      </c>
      <c r="KQ9" s="207">
        <f>SUMIFS('Revenue Tracking'!$F$13:$F$26, 'Revenue Tracking'!$P$13:$P$26, "&gt;="&amp;KQ1,'Revenue Tracking'!$P$13:$P$26, "&lt;"&amp;KR1)</f>
        <v>0</v>
      </c>
      <c r="KR9" s="207">
        <f>SUMIFS('Revenue Tracking'!$F$13:$F$26, 'Revenue Tracking'!$P$13:$P$26, "&gt;="&amp;KR1,'Revenue Tracking'!$P$13:$P$26, "&lt;"&amp;KS1)</f>
        <v>0</v>
      </c>
      <c r="KS9" s="207">
        <f>SUMIFS('Revenue Tracking'!$F$13:$F$26, 'Revenue Tracking'!$P$13:$P$26, "&gt;="&amp;KS1,'Revenue Tracking'!$P$13:$P$26, "&lt;"&amp;KT1)</f>
        <v>0</v>
      </c>
      <c r="KT9" s="207">
        <f>SUMIFS('Revenue Tracking'!$F$13:$F$26, 'Revenue Tracking'!$P$13:$P$26, "&gt;="&amp;KT1,'Revenue Tracking'!$P$13:$P$26, "&lt;"&amp;KU1)</f>
        <v>0</v>
      </c>
      <c r="KU9" s="207">
        <f>SUMIFS('Revenue Tracking'!$F$13:$F$26, 'Revenue Tracking'!$P$13:$P$26, "&gt;="&amp;KU1,'Revenue Tracking'!$P$13:$P$26, "&lt;"&amp;KV1)</f>
        <v>0</v>
      </c>
      <c r="KV9" s="207">
        <f>SUMIFS('Revenue Tracking'!$F$13:$F$26, 'Revenue Tracking'!$P$13:$P$26, "&gt;="&amp;KV1,'Revenue Tracking'!$P$13:$P$26, "&lt;"&amp;KW1)</f>
        <v>0</v>
      </c>
      <c r="KW9" s="207">
        <f>SUMIFS('Revenue Tracking'!$F$13:$F$26, 'Revenue Tracking'!$P$13:$P$26, "&gt;="&amp;KW1,'Revenue Tracking'!$P$13:$P$26, "&lt;"&amp;KX1)</f>
        <v>0</v>
      </c>
      <c r="KX9" s="207">
        <f>SUMIFS('Revenue Tracking'!$F$13:$F$26, 'Revenue Tracking'!$P$13:$P$26, "&gt;="&amp;KX1,'Revenue Tracking'!$P$13:$P$26, "&lt;"&amp;KY1)</f>
        <v>0</v>
      </c>
      <c r="KY9" s="207">
        <f>SUMIFS('Revenue Tracking'!$F$13:$F$26, 'Revenue Tracking'!$P$13:$P$26, "&gt;="&amp;KY1,'Revenue Tracking'!$P$13:$P$26, "&lt;"&amp;KZ1)</f>
        <v>0</v>
      </c>
      <c r="KZ9" s="207">
        <f>SUMIFS('Revenue Tracking'!$F$13:$F$26, 'Revenue Tracking'!$P$13:$P$26, "&gt;="&amp;KZ1,'Revenue Tracking'!$P$13:$P$26, "&lt;"&amp;LA1)</f>
        <v>0</v>
      </c>
      <c r="LA9" s="207">
        <f>SUMIFS('Revenue Tracking'!$F$13:$F$26, 'Revenue Tracking'!$P$13:$P$26, "&gt;="&amp;LA1,'Revenue Tracking'!$P$13:$P$26, "&lt;"&amp;LB1)</f>
        <v>0</v>
      </c>
      <c r="LB9" s="207">
        <f>SUMIFS('Revenue Tracking'!$F$13:$F$26, 'Revenue Tracking'!$P$13:$P$26, "&gt;="&amp;LB1,'Revenue Tracking'!$P$13:$P$26, "&lt;"&amp;LC1)</f>
        <v>0</v>
      </c>
      <c r="LC9" s="207">
        <f>SUMIFS('Revenue Tracking'!$F$13:$F$26, 'Revenue Tracking'!$P$13:$P$26, "&gt;="&amp;LC1,'Revenue Tracking'!$P$13:$P$26, "&lt;"&amp;LD1)</f>
        <v>0</v>
      </c>
      <c r="LD9" s="207">
        <f>SUMIFS('Revenue Tracking'!$F$13:$F$26, 'Revenue Tracking'!$P$13:$P$26, "&gt;="&amp;LD1,'Revenue Tracking'!$P$13:$P$26, "&lt;"&amp;#REF!)</f>
        <v>0</v>
      </c>
    </row>
    <row r="10" spans="1:794">
      <c r="A10" s="854"/>
      <c r="B10" s="205" t="s">
        <v>196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0</v>
      </c>
      <c r="BB10" s="207">
        <f t="shared" si="21"/>
        <v>0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6255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54"/>
      <c r="B11" s="208" t="s">
        <v>197</v>
      </c>
      <c r="C11" s="209">
        <f>'Revenue Tracking'!F5</f>
        <v>5000</v>
      </c>
      <c r="D11" s="209">
        <f>SUM(F11:LD11)</f>
        <v>5000</v>
      </c>
      <c r="E11" s="193"/>
      <c r="F11" s="210">
        <f>SUMIFS('Expenditure Breakdown'!$Q$6:$Q$236, 'Expenditure Breakdown'!$W$6:$W$236, "&gt;="&amp;F1,'Expenditure Breakdown'!$W$6:$W$236, "&lt;"&amp;G1)</f>
        <v>0</v>
      </c>
      <c r="G11" s="210">
        <f>SUMIFS('Expenditure Breakdown'!$Q$6:$Q$236, 'Expenditure Breakdown'!$W$6:$W$236, "&gt;="&amp;G1,'Expenditure Breakdown'!$W$6:$W$236, "&lt;"&amp;H1)</f>
        <v>0</v>
      </c>
      <c r="H11" s="210">
        <f>SUMIFS('Expenditure Breakdown'!$Q$6:$Q$236, 'Expenditure Breakdown'!$W$6:$W$236, "&gt;="&amp;H1,'Expenditure Breakdown'!$W$6:$W$236, "&lt;"&amp;I1)</f>
        <v>0</v>
      </c>
      <c r="I11" s="210">
        <f>SUMIFS('Expenditure Breakdown'!$Q$6:$Q$236, 'Expenditure Breakdown'!$W$6:$W$236, "&gt;="&amp;I1,'Expenditure Breakdown'!$W$6:$W$236, "&lt;"&amp;J1)</f>
        <v>0</v>
      </c>
      <c r="J11" s="210">
        <f>SUMIFS('Expenditure Breakdown'!$Q$6:$Q$236, 'Expenditure Breakdown'!$W$6:$W$236, "&gt;="&amp;J1,'Expenditure Breakdown'!$W$6:$W$236, "&lt;"&amp;K1)</f>
        <v>0</v>
      </c>
      <c r="K11" s="210">
        <f>SUMIFS('Expenditure Breakdown'!$Q$6:$Q$236, 'Expenditure Breakdown'!$W$6:$W$236, "&gt;="&amp;K1,'Expenditure Breakdown'!$W$6:$W$236, "&lt;"&amp;L1)</f>
        <v>0</v>
      </c>
      <c r="L11" s="210">
        <f>SUMIFS('Expenditure Breakdown'!$Q$6:$Q$236, 'Expenditure Breakdown'!$W$6:$W$236, "&gt;="&amp;L1,'Expenditure Breakdown'!$W$6:$W$236, "&lt;"&amp;M1)</f>
        <v>0</v>
      </c>
      <c r="M11" s="210">
        <f>SUMIFS('Expenditure Breakdown'!$Q$6:$Q$236, 'Expenditure Breakdown'!$W$6:$W$236, "&gt;="&amp;M1,'Expenditure Breakdown'!$W$6:$W$236, "&lt;"&amp;N1)</f>
        <v>0</v>
      </c>
      <c r="N11" s="210">
        <f>SUMIFS('Expenditure Breakdown'!$Q$6:$Q$236, 'Expenditure Breakdown'!$W$6:$W$236, "&gt;="&amp;N1,'Expenditure Breakdown'!$W$6:$W$236, "&lt;"&amp;O1)</f>
        <v>0</v>
      </c>
      <c r="O11" s="210">
        <f>SUMIFS('Expenditure Breakdown'!$Q$6:$Q$236, 'Expenditure Breakdown'!$W$6:$W$236, "&gt;="&amp;O1,'Expenditure Breakdown'!$W$6:$W$236, "&lt;"&amp;P1)</f>
        <v>0</v>
      </c>
      <c r="P11" s="210">
        <f>SUMIFS('Expenditure Breakdown'!$Q$6:$Q$236, 'Expenditure Breakdown'!$W$6:$W$236, "&gt;="&amp;P1,'Expenditure Breakdown'!$W$6:$W$236, "&lt;"&amp;Q1)</f>
        <v>0</v>
      </c>
      <c r="Q11" s="210">
        <f>SUMIFS('Expenditure Breakdown'!$Q$6:$Q$236, 'Expenditure Breakdown'!$W$6:$W$236, "&gt;="&amp;Q1,'Expenditure Breakdown'!$W$6:$W$236, "&lt;"&amp;R1)</f>
        <v>0</v>
      </c>
      <c r="R11" s="210">
        <f>SUMIFS('Expenditure Breakdown'!$Q$6:$Q$236, 'Expenditure Breakdown'!$W$6:$W$236, "&gt;="&amp;R1,'Expenditure Breakdown'!$W$6:$W$236, "&lt;"&amp;S1)</f>
        <v>0</v>
      </c>
      <c r="S11" s="210">
        <f>SUMIFS('Expenditure Breakdown'!$Q$6:$Q$236, 'Expenditure Breakdown'!$W$6:$W$236, "&gt;="&amp;S1,'Expenditure Breakdown'!$W$6:$W$236, "&lt;"&amp;T1)</f>
        <v>0</v>
      </c>
      <c r="T11" s="210">
        <f>SUMIFS('Expenditure Breakdown'!$Q$6:$Q$236, 'Expenditure Breakdown'!$W$6:$W$236, "&gt;="&amp;T1,'Expenditure Breakdown'!$W$6:$W$236, "&lt;"&amp;U1)</f>
        <v>0</v>
      </c>
      <c r="U11" s="210">
        <f>SUMIFS('Expenditure Breakdown'!$Q$6:$Q$236, 'Expenditure Breakdown'!$W$6:$W$236, "&gt;="&amp;U1,'Expenditure Breakdown'!$W$6:$W$236, "&lt;"&amp;V1)</f>
        <v>0</v>
      </c>
      <c r="V11" s="210">
        <f>SUMIFS('Expenditure Breakdown'!$Q$6:$Q$236, 'Expenditure Breakdown'!$W$6:$W$236, "&gt;="&amp;V1,'Expenditure Breakdown'!$W$6:$W$236, "&lt;"&amp;W1)</f>
        <v>0</v>
      </c>
      <c r="W11" s="210">
        <f>SUMIFS('Expenditure Breakdown'!$Q$6:$Q$236, 'Expenditure Breakdown'!$W$6:$W$236, "&gt;="&amp;W1,'Expenditure Breakdown'!$W$6:$W$236, "&lt;"&amp;X1)</f>
        <v>0</v>
      </c>
      <c r="X11" s="210">
        <f>SUMIFS('Expenditure Breakdown'!$Q$6:$Q$236, 'Expenditure Breakdown'!$W$6:$W$236, "&gt;="&amp;X1,'Expenditure Breakdown'!$W$6:$W$236, "&lt;"&amp;Y1)</f>
        <v>0</v>
      </c>
      <c r="Y11" s="210">
        <f>SUMIFS('Expenditure Breakdown'!$Q$6:$Q$236, 'Expenditure Breakdown'!$W$6:$W$236, "&gt;="&amp;Y1,'Expenditure Breakdown'!$W$6:$W$236, "&lt;"&amp;Z1)</f>
        <v>0</v>
      </c>
      <c r="Z11" s="210">
        <f>SUMIFS('Expenditure Breakdown'!$Q$6:$Q$236, 'Expenditure Breakdown'!$W$6:$W$236, "&gt;="&amp;Z1,'Expenditure Breakdown'!$W$6:$W$236, "&lt;"&amp;AA1)</f>
        <v>0</v>
      </c>
      <c r="AA11" s="210">
        <f>SUMIFS('Expenditure Breakdown'!$Q$6:$Q$236, 'Expenditure Breakdown'!$W$6:$W$236, "&gt;="&amp;AA1,'Expenditure Breakdown'!$W$6:$W$236, "&lt;"&amp;AB1)</f>
        <v>0</v>
      </c>
      <c r="AB11" s="210">
        <f>SUMIFS('Expenditure Breakdown'!$Q$6:$Q$236, 'Expenditure Breakdown'!$W$6:$W$236, "&gt;="&amp;AB1,'Expenditure Breakdown'!$W$6:$W$236, "&lt;"&amp;AC1)</f>
        <v>0</v>
      </c>
      <c r="AC11" s="210">
        <f>SUMIFS('Expenditure Breakdown'!$Q$6:$Q$236, 'Expenditure Breakdown'!$W$6:$W$236, "&gt;="&amp;AC1,'Expenditure Breakdown'!$W$6:$W$236, "&lt;"&amp;AD1)</f>
        <v>0</v>
      </c>
      <c r="AD11" s="210">
        <f>SUMIFS('Expenditure Breakdown'!$Q$6:$Q$236, 'Expenditure Breakdown'!$W$6:$W$236, "&gt;="&amp;AD1,'Expenditure Breakdown'!$W$6:$W$236, "&lt;"&amp;AE1)</f>
        <v>0</v>
      </c>
      <c r="AE11" s="210">
        <f>SUMIFS('Expenditure Breakdown'!$Q$6:$Q$236, 'Expenditure Breakdown'!$W$6:$W$236, "&gt;="&amp;AE1,'Expenditure Breakdown'!$W$6:$W$236, "&lt;"&amp;AF1)</f>
        <v>0</v>
      </c>
      <c r="AF11" s="210">
        <f>SUMIFS('Expenditure Breakdown'!$Q$6:$Q$236, 'Expenditure Breakdown'!$W$6:$W$236, "&gt;="&amp;AF1,'Expenditure Breakdown'!$W$6:$W$236, "&lt;"&amp;AG1)</f>
        <v>0</v>
      </c>
      <c r="AG11" s="210">
        <f>SUMIFS('Expenditure Breakdown'!$Q$6:$Q$236, 'Expenditure Breakdown'!$W$6:$W$236, "&gt;="&amp;AG1,'Expenditure Breakdown'!$W$6:$W$236, "&lt;"&amp;AH1)</f>
        <v>0</v>
      </c>
      <c r="AH11" s="210">
        <f>SUMIFS('Expenditure Breakdown'!$Q$6:$Q$236, 'Expenditure Breakdown'!$W$6:$W$236, "&gt;="&amp;AH1,'Expenditure Breakdown'!$W$6:$W$236, "&lt;"&amp;AI1)</f>
        <v>0</v>
      </c>
      <c r="AI11" s="210">
        <f>SUMIFS('Expenditure Breakdown'!$Q$6:$Q$236, 'Expenditure Breakdown'!$W$6:$W$236, "&gt;="&amp;AI1,'Expenditure Breakdown'!$W$6:$W$236, "&lt;"&amp;AJ1)</f>
        <v>0</v>
      </c>
      <c r="AJ11" s="210">
        <f>SUMIFS('Expenditure Breakdown'!$Q$6:$Q$236, 'Expenditure Breakdown'!$W$6:$W$236, "&gt;="&amp;AJ1,'Expenditure Breakdown'!$W$6:$W$236, "&lt;"&amp;AK1)</f>
        <v>0</v>
      </c>
      <c r="AK11" s="210">
        <f>SUMIFS('Expenditure Breakdown'!$Q$6:$Q$236, 'Expenditure Breakdown'!$W$6:$W$236, "&gt;="&amp;AK1,'Expenditure Breakdown'!$W$6:$W$236, "&lt;"&amp;AL1)</f>
        <v>0</v>
      </c>
      <c r="AL11" s="210">
        <f>SUMIFS('Expenditure Breakdown'!$Q$6:$Q$236, 'Expenditure Breakdown'!$W$6:$W$236, "&gt;="&amp;AL1,'Expenditure Breakdown'!$W$6:$W$236, "&lt;"&amp;AM1)</f>
        <v>0</v>
      </c>
      <c r="AM11" s="210">
        <f>SUMIFS('Expenditure Breakdown'!$Q$6:$Q$236, 'Expenditure Breakdown'!$W$6:$W$236, "&gt;="&amp;AM1,'Expenditure Breakdown'!$W$6:$W$236, "&lt;"&amp;AN1)</f>
        <v>0</v>
      </c>
      <c r="AN11" s="210">
        <f>SUMIFS('Expenditure Breakdown'!$Q$6:$Q$236, 'Expenditure Breakdown'!$W$6:$W$236, "&gt;="&amp;AN1,'Expenditure Breakdown'!$W$6:$W$236, "&lt;"&amp;AO1)</f>
        <v>0</v>
      </c>
      <c r="AO11" s="210">
        <f>SUMIFS('Expenditure Breakdown'!$Q$6:$Q$236, 'Expenditure Breakdown'!$W$6:$W$236, "&gt;="&amp;AO1,'Expenditure Breakdown'!$W$6:$W$236, "&lt;"&amp;AP1)</f>
        <v>0</v>
      </c>
      <c r="AP11" s="210">
        <f>SUMIFS('Expenditure Breakdown'!$Q$6:$Q$236, 'Expenditure Breakdown'!$W$6:$W$236, "&gt;="&amp;AP1,'Expenditure Breakdown'!$W$6:$W$236, "&lt;"&amp;AQ1)</f>
        <v>0</v>
      </c>
      <c r="AQ11" s="210">
        <f>SUMIFS('Expenditure Breakdown'!$Q$6:$Q$236, 'Expenditure Breakdown'!$W$6:$W$236, "&gt;="&amp;AQ1,'Expenditure Breakdown'!$W$6:$W$236, "&lt;"&amp;AR1)</f>
        <v>0</v>
      </c>
      <c r="AR11" s="210">
        <f>SUMIFS('Expenditure Breakdown'!$Q$6:$Q$236, 'Expenditure Breakdown'!$W$6:$W$236, "&gt;="&amp;AR1,'Expenditure Breakdown'!$W$6:$W$236, "&lt;"&amp;AS1)</f>
        <v>0</v>
      </c>
      <c r="AS11" s="210">
        <f>SUMIFS('Expenditure Breakdown'!$Q$6:$Q$236, 'Expenditure Breakdown'!$W$6:$W$236, "&gt;="&amp;AS1,'Expenditure Breakdown'!$W$6:$W$236, "&lt;"&amp;AT1)</f>
        <v>0</v>
      </c>
      <c r="AT11" s="210">
        <f>SUMIFS('Expenditure Breakdown'!$Q$6:$Q$236, 'Expenditure Breakdown'!$W$6:$W$236, "&gt;="&amp;AT1,'Expenditure Breakdown'!$W$6:$W$236, "&lt;"&amp;AU1)</f>
        <v>0</v>
      </c>
      <c r="AU11" s="210">
        <f>SUMIFS('Expenditure Breakdown'!$Q$6:$Q$236, 'Expenditure Breakdown'!$W$6:$W$236, "&gt;="&amp;AU1,'Expenditure Breakdown'!$W$6:$W$236, "&lt;"&amp;AV1)</f>
        <v>0</v>
      </c>
      <c r="AV11" s="210">
        <f>SUMIFS('Expenditure Breakdown'!$Q$6:$Q$236, 'Expenditure Breakdown'!$W$6:$W$236, "&gt;="&amp;AV1,'Expenditure Breakdown'!$W$6:$W$236, "&lt;"&amp;AW1)</f>
        <v>0</v>
      </c>
      <c r="AW11" s="210">
        <f>SUMIFS('Expenditure Breakdown'!$Q$6:$Q$236, 'Expenditure Breakdown'!$W$6:$W$236, "&gt;="&amp;AW1,'Expenditure Breakdown'!$W$6:$W$236, "&lt;"&amp;AX1)</f>
        <v>0</v>
      </c>
      <c r="AX11" s="210">
        <f>SUMIFS('Expenditure Breakdown'!$Q$6:$Q$236, 'Expenditure Breakdown'!$W$6:$W$236, "&gt;="&amp;AX1,'Expenditure Breakdown'!$W$6:$W$236, "&lt;"&amp;AY1)</f>
        <v>0</v>
      </c>
      <c r="AY11" s="210">
        <f>SUMIFS('Expenditure Breakdown'!$Q$6:$Q$236, 'Expenditure Breakdown'!$W$6:$W$236, "&gt;="&amp;AY1,'Expenditure Breakdown'!$W$6:$W$236, "&lt;"&amp;AZ1)</f>
        <v>0</v>
      </c>
      <c r="AZ11" s="210">
        <f>SUMIFS('Expenditure Breakdown'!$Q$6:$Q$236, 'Expenditure Breakdown'!$W$6:$W$236, "&gt;="&amp;AZ1,'Expenditure Breakdown'!$W$6:$W$236, "&lt;"&amp;BA1)</f>
        <v>0</v>
      </c>
      <c r="BA11" s="210">
        <f>SUMIFS('Expenditure Breakdown'!$Q$6:$Q$236, 'Expenditure Breakdown'!$W$6:$W$236, "&gt;="&amp;BA1,'Expenditure Breakdown'!$W$6:$W$236, "&lt;"&amp;BB1)</f>
        <v>0</v>
      </c>
      <c r="BB11" s="210">
        <f>SUMIFS('Expenditure Breakdown'!$Q$6:$Q$236, 'Expenditure Breakdown'!$W$6:$W$236, "&gt;="&amp;BB1,'Expenditure Breakdown'!$W$6:$W$236, "&lt;"&amp;BC1)</f>
        <v>0</v>
      </c>
      <c r="BC11" s="210">
        <f>SUMIFS('Expenditure Breakdown'!$Q$6:$Q$236, 'Expenditure Breakdown'!$W$6:$W$236, "&gt;="&amp;BC1,'Expenditure Breakdown'!$W$6:$W$236, "&lt;"&amp;BD1)</f>
        <v>0</v>
      </c>
      <c r="BD11" s="210">
        <f>SUMIFS('Expenditure Breakdown'!$Q$6:$Q$236, 'Expenditure Breakdown'!$W$6:$W$236, "&gt;="&amp;BD1,'Expenditure Breakdown'!$W$6:$W$236, "&lt;"&amp;BE1)</f>
        <v>0</v>
      </c>
      <c r="BE11" s="210">
        <f>SUMIFS('Expenditure Breakdown'!$Q$6:$Q$236, 'Expenditure Breakdown'!$W$6:$W$236, "&gt;="&amp;BE1,'Expenditure Breakdown'!$W$6:$W$236, "&lt;"&amp;BF1)</f>
        <v>5000</v>
      </c>
      <c r="BF11" s="210">
        <f>SUMIFS('Expenditure Breakdown'!$Q$6:$Q$236, 'Expenditure Breakdown'!$W$6:$W$236, "&gt;="&amp;BF1,'Expenditure Breakdown'!$W$6:$W$236, "&lt;"&amp;BG1)</f>
        <v>0</v>
      </c>
      <c r="BG11" s="210">
        <f>SUMIFS('Expenditure Breakdown'!$Q$6:$Q$236, 'Expenditure Breakdown'!$W$6:$W$236, "&gt;="&amp;BG1,'Expenditure Breakdown'!$W$6:$W$236, "&lt;"&amp;BH1)</f>
        <v>0</v>
      </c>
      <c r="BH11" s="210">
        <f>SUMIFS('Expenditure Breakdown'!$Q$6:$Q$236, 'Expenditure Breakdown'!$W$6:$W$236, "&gt;="&amp;BH1,'Expenditure Breakdown'!$W$6:$W$236, "&lt;"&amp;BI1)</f>
        <v>0</v>
      </c>
      <c r="BI11" s="210">
        <f>SUMIFS('Expenditure Breakdown'!$Q$6:$Q$236, 'Expenditure Breakdown'!$W$6:$W$236, "&gt;="&amp;BI1,'Expenditure Breakdown'!$W$6:$W$236, "&lt;"&amp;BJ1)</f>
        <v>0</v>
      </c>
      <c r="BJ11" s="210">
        <f>SUMIFS('Expenditure Breakdown'!$Q$6:$Q$236, 'Expenditure Breakdown'!$W$6:$W$236, "&gt;="&amp;BJ1,'Expenditure Breakdown'!$W$6:$W$236, "&lt;"&amp;BK1)</f>
        <v>0</v>
      </c>
      <c r="BK11" s="210">
        <f>SUMIFS('Expenditure Breakdown'!$Q$6:$Q$236, 'Expenditure Breakdown'!$W$6:$W$236, "&gt;="&amp;BK1,'Expenditure Breakdown'!$W$6:$W$236, "&lt;"&amp;BL1)</f>
        <v>0</v>
      </c>
      <c r="BL11" s="210">
        <f>SUMIFS('Expenditure Breakdown'!$Q$6:$Q$236, 'Expenditure Breakdown'!$W$6:$W$236, "&gt;="&amp;BL1,'Expenditure Breakdown'!$W$6:$W$236, "&lt;"&amp;BM1)</f>
        <v>0</v>
      </c>
      <c r="BM11" s="210">
        <f>SUMIFS('Expenditure Breakdown'!$Q$6:$Q$236, 'Expenditure Breakdown'!$W$6:$W$236, "&gt;="&amp;BM1,'Expenditure Breakdown'!$W$6:$W$236, "&lt;"&amp;BN1)</f>
        <v>0</v>
      </c>
      <c r="BN11" s="210">
        <f>SUMIFS('Expenditure Breakdown'!$Q$6:$Q$236, 'Expenditure Breakdown'!$W$6:$W$236, "&gt;="&amp;BN1,'Expenditure Breakdown'!$W$6:$W$236, "&lt;"&amp;BO1)</f>
        <v>0</v>
      </c>
      <c r="BO11" s="210">
        <f>SUMIFS('Expenditure Breakdown'!$Q$6:$Q$236, 'Expenditure Breakdown'!$W$6:$W$236, "&gt;="&amp;BO1,'Expenditure Breakdown'!$W$6:$W$236, "&lt;"&amp;BP1)</f>
        <v>0</v>
      </c>
      <c r="BP11" s="210">
        <f>SUMIFS('Expenditure Breakdown'!$Q$6:$Q$236, 'Expenditure Breakdown'!$W$6:$W$236, "&gt;="&amp;BP1,'Expenditure Breakdown'!$W$6:$W$236, "&lt;"&amp;BQ1)</f>
        <v>0</v>
      </c>
      <c r="BQ11" s="210">
        <f>SUMIFS('Expenditure Breakdown'!$Q$6:$Q$236, 'Expenditure Breakdown'!$W$6:$W$236, "&gt;="&amp;BQ1,'Expenditure Breakdown'!$W$6:$W$236, "&lt;"&amp;BR1)</f>
        <v>0</v>
      </c>
      <c r="BR11" s="210">
        <f>SUMIFS('Expenditure Breakdown'!$Q$6:$Q$236, 'Expenditure Breakdown'!$W$6:$W$236, "&gt;="&amp;BR1,'Expenditure Breakdown'!$W$6:$W$236, "&lt;"&amp;BS1)</f>
        <v>0</v>
      </c>
      <c r="BS11" s="210">
        <f>SUMIFS('Expenditure Breakdown'!$Q$6:$Q$236, 'Expenditure Breakdown'!$W$6:$W$236, "&gt;="&amp;BS1,'Expenditure Breakdown'!$W$6:$W$236, "&lt;"&amp;BT1)</f>
        <v>0</v>
      </c>
      <c r="BT11" s="210">
        <f>SUMIFS('Expenditure Breakdown'!$Q$6:$Q$236, 'Expenditure Breakdown'!$W$6:$W$236, "&gt;="&amp;BT1,'Expenditure Breakdown'!$W$6:$W$236, "&lt;"&amp;BU1)</f>
        <v>0</v>
      </c>
      <c r="BU11" s="210">
        <f>SUMIFS('Expenditure Breakdown'!$Q$6:$Q$236, 'Expenditure Breakdown'!$W$6:$W$236, "&gt;="&amp;BU1,'Expenditure Breakdown'!$W$6:$W$236, "&lt;"&amp;BV1)</f>
        <v>0</v>
      </c>
      <c r="BV11" s="210">
        <f>SUMIFS('Expenditure Breakdown'!$Q$6:$Q$236, 'Expenditure Breakdown'!$W$6:$W$236, "&gt;="&amp;BV1,'Expenditure Breakdown'!$W$6:$W$236, "&lt;"&amp;BW1)</f>
        <v>0</v>
      </c>
      <c r="BW11" s="210">
        <f>SUMIFS('Expenditure Breakdown'!$Q$6:$Q$236, 'Expenditure Breakdown'!$W$6:$W$236, "&gt;="&amp;BW1,'Expenditure Breakdown'!$W$6:$W$236, "&lt;"&amp;BX1)</f>
        <v>0</v>
      </c>
      <c r="BX11" s="210">
        <f>SUMIFS('Expenditure Breakdown'!$Q$6:$Q$236, 'Expenditure Breakdown'!$W$6:$W$236, "&gt;="&amp;BX1,'Expenditure Breakdown'!$W$6:$W$236, "&lt;"&amp;BY1)</f>
        <v>0</v>
      </c>
      <c r="BY11" s="210">
        <f>SUMIFS('Expenditure Breakdown'!$Q$6:$Q$236, 'Expenditure Breakdown'!$W$6:$W$236, "&gt;="&amp;BY1,'Expenditure Breakdown'!$W$6:$W$236, "&lt;"&amp;BZ1)</f>
        <v>0</v>
      </c>
      <c r="BZ11" s="210">
        <f>SUMIFS('Expenditure Breakdown'!$Q$6:$Q$236, 'Expenditure Breakdown'!$W$6:$W$236, "&gt;="&amp;BZ1,'Expenditure Breakdown'!$W$6:$W$236, "&lt;"&amp;CA1)</f>
        <v>0</v>
      </c>
      <c r="CA11" s="210">
        <f>SUMIFS('Expenditure Breakdown'!$Q$6:$Q$236, 'Expenditure Breakdown'!$W$6:$W$236, "&gt;="&amp;CA1,'Expenditure Breakdown'!$W$6:$W$236, "&lt;"&amp;CB1)</f>
        <v>0</v>
      </c>
      <c r="CB11" s="210">
        <f>SUMIFS('Expenditure Breakdown'!$Q$6:$Q$236, 'Expenditure Breakdown'!$W$6:$W$236, "&gt;="&amp;CB1,'Expenditure Breakdown'!$W$6:$W$236, "&lt;"&amp;CC1)</f>
        <v>0</v>
      </c>
      <c r="CC11" s="210">
        <f>SUMIFS('Expenditure Breakdown'!$Q$6:$Q$236, 'Expenditure Breakdown'!$W$6:$W$236, "&gt;="&amp;CC1,'Expenditure Breakdown'!$W$6:$W$236, "&lt;"&amp;CD1)</f>
        <v>0</v>
      </c>
      <c r="CD11" s="210">
        <f>SUMIFS('Expenditure Breakdown'!$Q$6:$Q$236, 'Expenditure Breakdown'!$W$6:$W$236, "&gt;="&amp;CD1,'Expenditure Breakdown'!$W$6:$W$236, "&lt;"&amp;CE1)</f>
        <v>0</v>
      </c>
      <c r="CE11" s="210">
        <f>SUMIFS('Expenditure Breakdown'!$Q$6:$Q$236, 'Expenditure Breakdown'!$W$6:$W$236, "&gt;="&amp;CE1,'Expenditure Breakdown'!$W$6:$W$236, "&lt;"&amp;CF1)</f>
        <v>0</v>
      </c>
      <c r="CF11" s="210">
        <f>SUMIFS('Expenditure Breakdown'!$Q$6:$Q$236, 'Expenditure Breakdown'!$W$6:$W$236, "&gt;="&amp;CF1,'Expenditure Breakdown'!$W$6:$W$236, "&lt;"&amp;CG1)</f>
        <v>0</v>
      </c>
      <c r="CG11" s="210">
        <f>SUMIFS('Expenditure Breakdown'!$Q$6:$Q$236, 'Expenditure Breakdown'!$W$6:$W$236, "&gt;="&amp;CG1,'Expenditure Breakdown'!$W$6:$W$236, "&lt;"&amp;CH1)</f>
        <v>0</v>
      </c>
      <c r="CH11" s="210">
        <f>SUMIFS('Expenditure Breakdown'!$Q$6:$Q$236, 'Expenditure Breakdown'!$W$6:$W$236, "&gt;="&amp;CH1,'Expenditure Breakdown'!$W$6:$W$236, "&lt;"&amp;CI1)</f>
        <v>0</v>
      </c>
      <c r="CI11" s="210">
        <f>SUMIFS('Expenditure Breakdown'!$Q$6:$Q$236, 'Expenditure Breakdown'!$W$6:$W$236, "&gt;="&amp;CI1,'Expenditure Breakdown'!$W$6:$W$236, "&lt;"&amp;CJ1)</f>
        <v>0</v>
      </c>
      <c r="CJ11" s="210">
        <f>SUMIFS('Expenditure Breakdown'!$Q$6:$Q$236, 'Expenditure Breakdown'!$W$6:$W$236, "&gt;="&amp;CJ1,'Expenditure Breakdown'!$W$6:$W$236, "&lt;"&amp;CK1)</f>
        <v>0</v>
      </c>
      <c r="CK11" s="210">
        <f>SUMIFS('Expenditure Breakdown'!$Q$6:$Q$236, 'Expenditure Breakdown'!$W$6:$W$236, "&gt;="&amp;CK1,'Expenditure Breakdown'!$W$6:$W$236, "&lt;"&amp;CL1)</f>
        <v>0</v>
      </c>
      <c r="CL11" s="210">
        <f>SUMIFS('Expenditure Breakdown'!$Q$6:$Q$236, 'Expenditure Breakdown'!$W$6:$W$236, "&gt;="&amp;CL1,'Expenditure Breakdown'!$W$6:$W$236, "&lt;"&amp;CM1)</f>
        <v>0</v>
      </c>
      <c r="CM11" s="210">
        <f>SUMIFS('Expenditure Breakdown'!$Q$6:$Q$236, 'Expenditure Breakdown'!$W$6:$W$236, "&gt;="&amp;CM1,'Expenditure Breakdown'!$W$6:$W$236, "&lt;"&amp;CN1)</f>
        <v>0</v>
      </c>
      <c r="CN11" s="210">
        <f>SUMIFS('Expenditure Breakdown'!$Q$6:$Q$236, 'Expenditure Breakdown'!$W$6:$W$236, "&gt;="&amp;CN1,'Expenditure Breakdown'!$W$6:$W$236, "&lt;"&amp;CO1)</f>
        <v>0</v>
      </c>
      <c r="CO11" s="210">
        <f>SUMIFS('Expenditure Breakdown'!$Q$6:$Q$236, 'Expenditure Breakdown'!$W$6:$W$236, "&gt;="&amp;CO1,'Expenditure Breakdown'!$W$6:$W$236, "&lt;"&amp;CP1)</f>
        <v>0</v>
      </c>
      <c r="CP11" s="210">
        <f>SUMIFS('Expenditure Breakdown'!$Q$6:$Q$236, 'Expenditure Breakdown'!$W$6:$W$236, "&gt;="&amp;CP1,'Expenditure Breakdown'!$W$6:$W$236, "&lt;"&amp;CQ1)</f>
        <v>0</v>
      </c>
      <c r="CQ11" s="210">
        <f>SUMIFS('Expenditure Breakdown'!$Q$6:$Q$236, 'Expenditure Breakdown'!$W$6:$W$236, "&gt;="&amp;CQ1,'Expenditure Breakdown'!$W$6:$W$236, "&lt;"&amp;CR1)</f>
        <v>0</v>
      </c>
      <c r="CR11" s="210">
        <f>SUMIFS('Expenditure Breakdown'!$Q$6:$Q$236, 'Expenditure Breakdown'!$W$6:$W$236, "&gt;="&amp;CR1,'Expenditure Breakdown'!$W$6:$W$236, "&lt;"&amp;CS1)</f>
        <v>0</v>
      </c>
      <c r="CS11" s="210">
        <f>SUMIFS('Expenditure Breakdown'!$Q$6:$Q$236, 'Expenditure Breakdown'!$W$6:$W$236, "&gt;="&amp;CS1,'Expenditure Breakdown'!$W$6:$W$236, "&lt;"&amp;CT1)</f>
        <v>0</v>
      </c>
      <c r="CT11" s="210">
        <f>SUMIFS('Expenditure Breakdown'!$Q$6:$Q$236, 'Expenditure Breakdown'!$W$6:$W$236, "&gt;="&amp;CT1,'Expenditure Breakdown'!$W$6:$W$236, "&lt;"&amp;CU1)</f>
        <v>0</v>
      </c>
      <c r="CU11" s="210">
        <f>SUMIFS('Expenditure Breakdown'!$Q$6:$Q$236, 'Expenditure Breakdown'!$W$6:$W$236, "&gt;="&amp;CU1,'Expenditure Breakdown'!$W$6:$W$236, "&lt;"&amp;CV1)</f>
        <v>0</v>
      </c>
      <c r="CV11" s="210">
        <f>SUMIFS('Expenditure Breakdown'!$Q$6:$Q$236, 'Expenditure Breakdown'!$W$6:$W$236, "&gt;="&amp;CV1,'Expenditure Breakdown'!$W$6:$W$236, "&lt;"&amp;CW1)</f>
        <v>0</v>
      </c>
      <c r="CW11" s="210">
        <f>SUMIFS('Expenditure Breakdown'!$Q$6:$Q$236, 'Expenditure Breakdown'!$W$6:$W$236, "&gt;="&amp;CW1,'Expenditure Breakdown'!$W$6:$W$236, "&lt;"&amp;CX1)</f>
        <v>0</v>
      </c>
      <c r="CX11" s="210">
        <f>SUMIFS('Expenditure Breakdown'!$Q$6:$Q$236, 'Expenditure Breakdown'!$W$6:$W$236, "&gt;="&amp;CX1,'Expenditure Breakdown'!$W$6:$W$236, "&lt;"&amp;CY1)</f>
        <v>0</v>
      </c>
      <c r="CY11" s="210">
        <f>SUMIFS('Expenditure Breakdown'!$Q$6:$Q$236, 'Expenditure Breakdown'!$W$6:$W$236, "&gt;="&amp;CY1,'Expenditure Breakdown'!$W$6:$W$236, "&lt;"&amp;CZ1)</f>
        <v>0</v>
      </c>
      <c r="CZ11" s="210">
        <f>SUMIFS('Expenditure Breakdown'!$Q$6:$Q$236, 'Expenditure Breakdown'!$W$6:$W$236, "&gt;="&amp;CZ1,'Expenditure Breakdown'!$W$6:$W$236, "&lt;"&amp;DA1)</f>
        <v>0</v>
      </c>
      <c r="DA11" s="210">
        <f>SUMIFS('Expenditure Breakdown'!$Q$6:$Q$236, 'Expenditure Breakdown'!$W$6:$W$236, "&gt;="&amp;DA1,'Expenditure Breakdown'!$W$6:$W$236, "&lt;"&amp;DB1)</f>
        <v>0</v>
      </c>
      <c r="DB11" s="210">
        <f>SUMIFS('Expenditure Breakdown'!$Q$6:$Q$236, 'Expenditure Breakdown'!$W$6:$W$236, "&gt;="&amp;DB1,'Expenditure Breakdown'!$W$6:$W$236, "&lt;"&amp;DC1)</f>
        <v>0</v>
      </c>
      <c r="DC11" s="210">
        <f>SUMIFS('Expenditure Breakdown'!$Q$6:$Q$236, 'Expenditure Breakdown'!$W$6:$W$236, "&gt;="&amp;DC1,'Expenditure Breakdown'!$W$6:$W$236, "&lt;"&amp;DD1)</f>
        <v>0</v>
      </c>
      <c r="DD11" s="210">
        <f>SUMIFS('Expenditure Breakdown'!$Q$6:$Q$236, 'Expenditure Breakdown'!$W$6:$W$236, "&gt;="&amp;DD1,'Expenditure Breakdown'!$W$6:$W$236, "&lt;"&amp;DE1)</f>
        <v>0</v>
      </c>
      <c r="DE11" s="210">
        <f>SUMIFS('Expenditure Breakdown'!$Q$6:$Q$236, 'Expenditure Breakdown'!$W$6:$W$236, "&gt;="&amp;DE1,'Expenditure Breakdown'!$W$6:$W$236, "&lt;"&amp;DF1)</f>
        <v>0</v>
      </c>
      <c r="DF11" s="210">
        <f>SUMIFS('Expenditure Breakdown'!$Q$6:$Q$236, 'Expenditure Breakdown'!$W$6:$W$236, "&gt;="&amp;DF1,'Expenditure Breakdown'!$W$6:$W$236, "&lt;"&amp;DG1)</f>
        <v>0</v>
      </c>
      <c r="DG11" s="210">
        <f>SUMIFS('Expenditure Breakdown'!$Q$6:$Q$236, 'Expenditure Breakdown'!$W$6:$W$236, "&gt;="&amp;DG1,'Expenditure Breakdown'!$W$6:$W$236, "&lt;"&amp;DH1)</f>
        <v>0</v>
      </c>
      <c r="DH11" s="210">
        <f>SUMIFS('Expenditure Breakdown'!$Q$6:$Q$236, 'Expenditure Breakdown'!$W$6:$W$236, "&gt;="&amp;DH1,'Expenditure Breakdown'!$W$6:$W$236, "&lt;"&amp;DI1)</f>
        <v>0</v>
      </c>
      <c r="DI11" s="210">
        <f>SUMIFS('Expenditure Breakdown'!$Q$6:$Q$236, 'Expenditure Breakdown'!$W$6:$W$236, "&gt;="&amp;DI1,'Expenditure Breakdown'!$W$6:$W$236, "&lt;"&amp;DJ1)</f>
        <v>0</v>
      </c>
      <c r="DJ11" s="210">
        <f>SUMIFS('Expenditure Breakdown'!$Q$6:$Q$236, 'Expenditure Breakdown'!$W$6:$W$236, "&gt;="&amp;DJ1,'Expenditure Breakdown'!$W$6:$W$236, "&lt;"&amp;DK1)</f>
        <v>0</v>
      </c>
      <c r="DK11" s="210">
        <f>SUMIFS('Expenditure Breakdown'!$Q$6:$Q$236, 'Expenditure Breakdown'!$W$6:$W$236, "&gt;="&amp;DK1,'Expenditure Breakdown'!$W$6:$W$236, "&lt;"&amp;DL1)</f>
        <v>0</v>
      </c>
      <c r="DL11" s="210">
        <f>SUMIFS('Expenditure Breakdown'!$Q$6:$Q$236, 'Expenditure Breakdown'!$W$6:$W$236, "&gt;="&amp;DL1,'Expenditure Breakdown'!$W$6:$W$236, "&lt;"&amp;DM1)</f>
        <v>0</v>
      </c>
      <c r="DM11" s="210">
        <f>SUMIFS('Expenditure Breakdown'!$Q$6:$Q$236, 'Expenditure Breakdown'!$W$6:$W$236, "&gt;="&amp;DM1,'Expenditure Breakdown'!$W$6:$W$236, "&lt;"&amp;DN1)</f>
        <v>0</v>
      </c>
      <c r="DN11" s="210">
        <f>SUMIFS('Expenditure Breakdown'!$Q$6:$Q$236, 'Expenditure Breakdown'!$W$6:$W$236, "&gt;="&amp;DN1,'Expenditure Breakdown'!$W$6:$W$236, "&lt;"&amp;DO1)</f>
        <v>0</v>
      </c>
      <c r="DO11" s="210">
        <f>SUMIFS('Expenditure Breakdown'!$Q$6:$Q$236, 'Expenditure Breakdown'!$W$6:$W$236, "&gt;="&amp;DO1,'Expenditure Breakdown'!$W$6:$W$236, "&lt;"&amp;DP1)</f>
        <v>0</v>
      </c>
      <c r="DP11" s="210">
        <f>SUMIFS('Expenditure Breakdown'!$Q$6:$Q$236, 'Expenditure Breakdown'!$W$6:$W$236, "&gt;="&amp;DP1,'Expenditure Breakdown'!$W$6:$W$236, "&lt;"&amp;DQ1)</f>
        <v>0</v>
      </c>
      <c r="DQ11" s="210">
        <f>SUMIFS('Expenditure Breakdown'!$Q$6:$Q$236, 'Expenditure Breakdown'!$W$6:$W$236, "&gt;="&amp;DQ1,'Expenditure Breakdown'!$W$6:$W$236, "&lt;"&amp;DR1)</f>
        <v>0</v>
      </c>
      <c r="DR11" s="210">
        <f>SUMIFS('Expenditure Breakdown'!$Q$6:$Q$236, 'Expenditure Breakdown'!$W$6:$W$236, "&gt;="&amp;DR1,'Expenditure Breakdown'!$W$6:$W$236, "&lt;"&amp;DS1)</f>
        <v>0</v>
      </c>
      <c r="DS11" s="210">
        <f>SUMIFS('Expenditure Breakdown'!$Q$6:$Q$236, 'Expenditure Breakdown'!$W$6:$W$236, "&gt;="&amp;DS1,'Expenditure Breakdown'!$W$6:$W$236, "&lt;"&amp;DT1)</f>
        <v>0</v>
      </c>
      <c r="DT11" s="210">
        <f>SUMIFS('Expenditure Breakdown'!$Q$6:$Q$236, 'Expenditure Breakdown'!$W$6:$W$236, "&gt;="&amp;DT1,'Expenditure Breakdown'!$W$6:$W$236, "&lt;"&amp;DU1)</f>
        <v>0</v>
      </c>
      <c r="DU11" s="210">
        <f>SUMIFS('Expenditure Breakdown'!$Q$6:$Q$236, 'Expenditure Breakdown'!$W$6:$W$236, "&gt;="&amp;DU1,'Expenditure Breakdown'!$W$6:$W$236, "&lt;"&amp;DV1)</f>
        <v>0</v>
      </c>
      <c r="DV11" s="210">
        <f>SUMIFS('Expenditure Breakdown'!$Q$6:$Q$236, 'Expenditure Breakdown'!$W$6:$W$236, "&gt;="&amp;DV1,'Expenditure Breakdown'!$W$6:$W$236, "&lt;"&amp;DW1)</f>
        <v>0</v>
      </c>
      <c r="DW11" s="210">
        <f>SUMIFS('Expenditure Breakdown'!$Q$6:$Q$236, 'Expenditure Breakdown'!$W$6:$W$236, "&gt;="&amp;DW1,'Expenditure Breakdown'!$W$6:$W$236, "&lt;"&amp;DX1)</f>
        <v>0</v>
      </c>
      <c r="DX11" s="210">
        <f>SUMIFS('Expenditure Breakdown'!$Q$6:$Q$236, 'Expenditure Breakdown'!$W$6:$W$236, "&gt;="&amp;DX1,'Expenditure Breakdown'!$W$6:$W$236, "&lt;"&amp;DY1)</f>
        <v>0</v>
      </c>
      <c r="DY11" s="210">
        <f>SUMIFS('Expenditure Breakdown'!$Q$6:$Q$236, 'Expenditure Breakdown'!$W$6:$W$236, "&gt;="&amp;DY1,'Expenditure Breakdown'!$W$6:$W$236, "&lt;"&amp;DZ1)</f>
        <v>0</v>
      </c>
      <c r="DZ11" s="210">
        <f>SUMIFS('Expenditure Breakdown'!$Q$6:$Q$236, 'Expenditure Breakdown'!$W$6:$W$236, "&gt;="&amp;DZ1,'Expenditure Breakdown'!$W$6:$W$236, "&lt;"&amp;EA1)</f>
        <v>0</v>
      </c>
      <c r="EA11" s="210">
        <f>SUMIFS('Expenditure Breakdown'!$Q$6:$Q$236, 'Expenditure Breakdown'!$W$6:$W$236, "&gt;="&amp;EA1,'Expenditure Breakdown'!$W$6:$W$236, "&lt;"&amp;EB1)</f>
        <v>0</v>
      </c>
      <c r="EB11" s="210">
        <f>SUMIFS('Expenditure Breakdown'!$Q$6:$Q$236, 'Expenditure Breakdown'!$W$6:$W$236, "&gt;="&amp;EB1,'Expenditure Breakdown'!$W$6:$W$236, "&lt;"&amp;EC1)</f>
        <v>0</v>
      </c>
      <c r="EC11" s="210">
        <f>SUMIFS('Expenditure Breakdown'!$Q$6:$Q$236, 'Expenditure Breakdown'!$W$6:$W$236, "&gt;="&amp;EC1,'Expenditure Breakdown'!$W$6:$W$236, "&lt;"&amp;ED1)</f>
        <v>0</v>
      </c>
      <c r="ED11" s="210">
        <f>SUMIFS('Expenditure Breakdown'!$Q$6:$Q$236, 'Expenditure Breakdown'!$W$6:$W$236, "&gt;="&amp;ED1,'Expenditure Breakdown'!$W$6:$W$236, "&lt;"&amp;EE1)</f>
        <v>0</v>
      </c>
      <c r="EE11" s="210">
        <f>SUMIFS('Expenditure Breakdown'!$Q$6:$Q$236, 'Expenditure Breakdown'!$W$6:$W$236, "&gt;="&amp;EE1,'Expenditure Breakdown'!$W$6:$W$236, "&lt;"&amp;EF1)</f>
        <v>0</v>
      </c>
      <c r="EF11" s="210">
        <f>SUMIFS('Expenditure Breakdown'!$Q$6:$Q$236, 'Expenditure Breakdown'!$W$6:$W$236, "&gt;="&amp;EF1,'Expenditure Breakdown'!$W$6:$W$236, "&lt;"&amp;EG1)</f>
        <v>0</v>
      </c>
      <c r="EG11" s="210">
        <f>SUMIFS('Expenditure Breakdown'!$Q$6:$Q$236, 'Expenditure Breakdown'!$W$6:$W$236, "&gt;="&amp;EG1,'Expenditure Breakdown'!$W$6:$W$236, "&lt;"&amp;EH1)</f>
        <v>0</v>
      </c>
      <c r="EH11" s="210">
        <f>SUMIFS('Expenditure Breakdown'!$Q$6:$Q$236, 'Expenditure Breakdown'!$W$6:$W$236, "&gt;="&amp;EH1,'Expenditure Breakdown'!$W$6:$W$236, "&lt;"&amp;EI1)</f>
        <v>0</v>
      </c>
      <c r="EI11" s="210">
        <f>SUMIFS('Expenditure Breakdown'!$Q$6:$Q$236, 'Expenditure Breakdown'!$W$6:$W$236, "&gt;="&amp;EI1,'Expenditure Breakdown'!$W$6:$W$236, "&lt;"&amp;EJ1)</f>
        <v>0</v>
      </c>
      <c r="EJ11" s="210">
        <f>SUMIFS('Expenditure Breakdown'!$Q$6:$Q$236, 'Expenditure Breakdown'!$W$6:$W$236, "&gt;="&amp;EJ1,'Expenditure Breakdown'!$W$6:$W$236, "&lt;"&amp;EK1)</f>
        <v>0</v>
      </c>
      <c r="EK11" s="210">
        <f>SUMIFS('Expenditure Breakdown'!$Q$6:$Q$236, 'Expenditure Breakdown'!$W$6:$W$236, "&gt;="&amp;EK1,'Expenditure Breakdown'!$W$6:$W$236, "&lt;"&amp;EL1)</f>
        <v>0</v>
      </c>
      <c r="EL11" s="210">
        <f>SUMIFS('Expenditure Breakdown'!$Q$6:$Q$236, 'Expenditure Breakdown'!$W$6:$W$236, "&gt;="&amp;EL1,'Expenditure Breakdown'!$W$6:$W$236, "&lt;"&amp;EM1)</f>
        <v>0</v>
      </c>
      <c r="EM11" s="210">
        <f>SUMIFS('Expenditure Breakdown'!$Q$6:$Q$236, 'Expenditure Breakdown'!$W$6:$W$236, "&gt;="&amp;EM1,'Expenditure Breakdown'!$W$6:$W$236, "&lt;"&amp;EN1)</f>
        <v>0</v>
      </c>
      <c r="EN11" s="210">
        <f>SUMIFS('Expenditure Breakdown'!$Q$6:$Q$236, 'Expenditure Breakdown'!$W$6:$W$236, "&gt;="&amp;EN1,'Expenditure Breakdown'!$W$6:$W$236, "&lt;"&amp;EO1)</f>
        <v>0</v>
      </c>
      <c r="EO11" s="210">
        <f>SUMIFS('Expenditure Breakdown'!$Q$6:$Q$236, 'Expenditure Breakdown'!$W$6:$W$236, "&gt;="&amp;EO1,'Expenditure Breakdown'!$W$6:$W$236, "&lt;"&amp;EP1)</f>
        <v>0</v>
      </c>
      <c r="EP11" s="210">
        <f>SUMIFS('Expenditure Breakdown'!$Q$6:$Q$236, 'Expenditure Breakdown'!$W$6:$W$236, "&gt;="&amp;EP1,'Expenditure Breakdown'!$W$6:$W$236, "&lt;"&amp;EQ1)</f>
        <v>0</v>
      </c>
      <c r="EQ11" s="210">
        <f>SUMIFS('Expenditure Breakdown'!$Q$6:$Q$236, 'Expenditure Breakdown'!$W$6:$W$236, "&gt;="&amp;EQ1,'Expenditure Breakdown'!$W$6:$W$236, "&lt;"&amp;ER1)</f>
        <v>0</v>
      </c>
      <c r="ER11" s="210">
        <f>SUMIFS('Expenditure Breakdown'!$Q$6:$Q$236, 'Expenditure Breakdown'!$W$6:$W$236, "&gt;="&amp;ER1,'Expenditure Breakdown'!$W$6:$W$236, "&lt;"&amp;ES1)</f>
        <v>0</v>
      </c>
      <c r="ES11" s="210">
        <f>SUMIFS('Expenditure Breakdown'!$Q$6:$Q$236, 'Expenditure Breakdown'!$W$6:$W$236, "&gt;="&amp;ES1,'Expenditure Breakdown'!$W$6:$W$236, "&lt;"&amp;ET1)</f>
        <v>0</v>
      </c>
      <c r="ET11" s="210">
        <f>SUMIFS('Expenditure Breakdown'!$Q$6:$Q$236, 'Expenditure Breakdown'!$W$6:$W$236, "&gt;="&amp;ET1,'Expenditure Breakdown'!$W$6:$W$236, "&lt;"&amp;EU1)</f>
        <v>0</v>
      </c>
      <c r="EU11" s="210">
        <f>SUMIFS('Expenditure Breakdown'!$Q$6:$Q$236, 'Expenditure Breakdown'!$W$6:$W$236, "&gt;="&amp;EU1,'Expenditure Breakdown'!$W$6:$W$236, "&lt;"&amp;EV1)</f>
        <v>0</v>
      </c>
      <c r="EV11" s="210">
        <f>SUMIFS('Expenditure Breakdown'!$Q$6:$Q$236, 'Expenditure Breakdown'!$W$6:$W$236, "&gt;="&amp;EV1,'Expenditure Breakdown'!$W$6:$W$236, "&lt;"&amp;EW1)</f>
        <v>0</v>
      </c>
      <c r="EW11" s="210">
        <f>SUMIFS('Expenditure Breakdown'!$Q$6:$Q$236, 'Expenditure Breakdown'!$W$6:$W$236, "&gt;="&amp;EW1,'Expenditure Breakdown'!$W$6:$W$236, "&lt;"&amp;EX1)</f>
        <v>0</v>
      </c>
      <c r="EX11" s="210">
        <f>SUMIFS('Expenditure Breakdown'!$Q$6:$Q$236, 'Expenditure Breakdown'!$W$6:$W$236, "&gt;="&amp;EX1,'Expenditure Breakdown'!$W$6:$W$236, "&lt;"&amp;EY1)</f>
        <v>0</v>
      </c>
      <c r="EY11" s="210">
        <f>SUMIFS('Expenditure Breakdown'!$Q$6:$Q$236, 'Expenditure Breakdown'!$W$6:$W$236, "&gt;="&amp;EY1,'Expenditure Breakdown'!$W$6:$W$236, "&lt;"&amp;EZ1)</f>
        <v>0</v>
      </c>
      <c r="EZ11" s="210">
        <f>SUMIFS('Expenditure Breakdown'!$Q$6:$Q$236, 'Expenditure Breakdown'!$W$6:$W$236, "&gt;="&amp;EZ1,'Expenditure Breakdown'!$W$6:$W$236, "&lt;"&amp;FA1)</f>
        <v>0</v>
      </c>
      <c r="FA11" s="210">
        <f>SUMIFS('Expenditure Breakdown'!$Q$6:$Q$236, 'Expenditure Breakdown'!$W$6:$W$236, "&gt;="&amp;FA1,'Expenditure Breakdown'!$W$6:$W$236, "&lt;"&amp;FB1)</f>
        <v>0</v>
      </c>
      <c r="FB11" s="210">
        <f>SUMIFS('Expenditure Breakdown'!$Q$6:$Q$236, 'Expenditure Breakdown'!$W$6:$W$236, "&gt;="&amp;FB1,'Expenditure Breakdown'!$W$6:$W$236, "&lt;"&amp;FC1)</f>
        <v>0</v>
      </c>
      <c r="FC11" s="210">
        <f>SUMIFS('Expenditure Breakdown'!$Q$6:$Q$236, 'Expenditure Breakdown'!$W$6:$W$236, "&gt;="&amp;FC1,'Expenditure Breakdown'!$W$6:$W$236, "&lt;"&amp;FD1)</f>
        <v>0</v>
      </c>
      <c r="FD11" s="210">
        <f>SUMIFS('Expenditure Breakdown'!$Q$6:$Q$236, 'Expenditure Breakdown'!$W$6:$W$236, "&gt;="&amp;FD1,'Expenditure Breakdown'!$W$6:$W$236, "&lt;"&amp;FE1)</f>
        <v>0</v>
      </c>
      <c r="FE11" s="210">
        <f>SUMIFS('Expenditure Breakdown'!$Q$6:$Q$236, 'Expenditure Breakdown'!$W$6:$W$236, "&gt;="&amp;FE1,'Expenditure Breakdown'!$W$6:$W$236, "&lt;"&amp;FF1)</f>
        <v>0</v>
      </c>
      <c r="FF11" s="210">
        <f>SUMIFS('Expenditure Breakdown'!$Q$6:$Q$236, 'Expenditure Breakdown'!$W$6:$W$236, "&gt;="&amp;FF1,'Expenditure Breakdown'!$W$6:$W$236, "&lt;"&amp;FG1)</f>
        <v>0</v>
      </c>
      <c r="FG11" s="210">
        <f>SUMIFS('Expenditure Breakdown'!$Q$6:$Q$236, 'Expenditure Breakdown'!$W$6:$W$236, "&gt;="&amp;FG1,'Expenditure Breakdown'!$W$6:$W$236, "&lt;"&amp;FH1)</f>
        <v>0</v>
      </c>
      <c r="FH11" s="210">
        <f>SUMIFS('Expenditure Breakdown'!$Q$6:$Q$236, 'Expenditure Breakdown'!$W$6:$W$236, "&gt;="&amp;FH1,'Expenditure Breakdown'!$W$6:$W$236, "&lt;"&amp;FI1)</f>
        <v>0</v>
      </c>
      <c r="FI11" s="210">
        <f>SUMIFS('Expenditure Breakdown'!$Q$6:$Q$236, 'Expenditure Breakdown'!$W$6:$W$236, "&gt;="&amp;FI1,'Expenditure Breakdown'!$W$6:$W$236, "&lt;"&amp;FJ1)</f>
        <v>0</v>
      </c>
      <c r="FJ11" s="210">
        <f>SUMIFS('Expenditure Breakdown'!$Q$6:$Q$236, 'Expenditure Breakdown'!$W$6:$W$236, "&gt;="&amp;FJ1,'Expenditure Breakdown'!$W$6:$W$236, "&lt;"&amp;FK1)</f>
        <v>0</v>
      </c>
      <c r="FK11" s="210">
        <f>SUMIFS('Expenditure Breakdown'!$Q$6:$Q$236, 'Expenditure Breakdown'!$W$6:$W$236, "&gt;="&amp;FK1,'Expenditure Breakdown'!$W$6:$W$236, "&lt;"&amp;FL1)</f>
        <v>0</v>
      </c>
      <c r="FL11" s="210">
        <f>SUMIFS('Expenditure Breakdown'!$Q$6:$Q$236, 'Expenditure Breakdown'!$W$6:$W$236, "&gt;="&amp;FL1,'Expenditure Breakdown'!$W$6:$W$236, "&lt;"&amp;FM1)</f>
        <v>0</v>
      </c>
      <c r="FM11" s="210">
        <f>SUMIFS('Expenditure Breakdown'!$Q$6:$Q$236, 'Expenditure Breakdown'!$W$6:$W$236, "&gt;="&amp;FM1,'Expenditure Breakdown'!$W$6:$W$236, "&lt;"&amp;FN1)</f>
        <v>0</v>
      </c>
      <c r="FN11" s="210">
        <f>SUMIFS('Expenditure Breakdown'!$Q$6:$Q$236, 'Expenditure Breakdown'!$W$6:$W$236, "&gt;="&amp;FN1,'Expenditure Breakdown'!$W$6:$W$236, "&lt;"&amp;FO1)</f>
        <v>0</v>
      </c>
      <c r="FO11" s="210">
        <f>SUMIFS('Expenditure Breakdown'!$Q$6:$Q$236, 'Expenditure Breakdown'!$W$6:$W$236, "&gt;="&amp;FO1,'Expenditure Breakdown'!$W$6:$W$236, "&lt;"&amp;FP1)</f>
        <v>0</v>
      </c>
      <c r="FP11" s="210">
        <f>SUMIFS('Expenditure Breakdown'!$Q$6:$Q$236, 'Expenditure Breakdown'!$W$6:$W$236, "&gt;="&amp;FP1,'Expenditure Breakdown'!$W$6:$W$236, "&lt;"&amp;FQ1)</f>
        <v>0</v>
      </c>
      <c r="FQ11" s="210">
        <f>SUMIFS('Expenditure Breakdown'!$Q$6:$Q$236, 'Expenditure Breakdown'!$W$6:$W$236, "&gt;="&amp;FQ1,'Expenditure Breakdown'!$W$6:$W$236, "&lt;"&amp;FR1)</f>
        <v>0</v>
      </c>
      <c r="FR11" s="210">
        <f>SUMIFS('Expenditure Breakdown'!$Q$6:$Q$236, 'Expenditure Breakdown'!$W$6:$W$236, "&gt;="&amp;FR1,'Expenditure Breakdown'!$W$6:$W$236, "&lt;"&amp;FS1)</f>
        <v>0</v>
      </c>
      <c r="FS11" s="210">
        <f>SUMIFS('Expenditure Breakdown'!$Q$6:$Q$236, 'Expenditure Breakdown'!$W$6:$W$236, "&gt;="&amp;FS1,'Expenditure Breakdown'!$W$6:$W$236, "&lt;"&amp;FT1)</f>
        <v>0</v>
      </c>
      <c r="FT11" s="210">
        <f>SUMIFS('Expenditure Breakdown'!$Q$6:$Q$236, 'Expenditure Breakdown'!$W$6:$W$236, "&gt;="&amp;FT1,'Expenditure Breakdown'!$W$6:$W$236, "&lt;"&amp;FU1)</f>
        <v>0</v>
      </c>
      <c r="FU11" s="210">
        <f>SUMIFS('Expenditure Breakdown'!$Q$6:$Q$236, 'Expenditure Breakdown'!$W$6:$W$236, "&gt;="&amp;FU1,'Expenditure Breakdown'!$W$6:$W$236, "&lt;"&amp;FV1)</f>
        <v>0</v>
      </c>
      <c r="FV11" s="210">
        <f>SUMIFS('Expenditure Breakdown'!$Q$6:$Q$236, 'Expenditure Breakdown'!$W$6:$W$236, "&gt;="&amp;FV1,'Expenditure Breakdown'!$W$6:$W$236, "&lt;"&amp;FW1)</f>
        <v>0</v>
      </c>
      <c r="FW11" s="210">
        <f>SUMIFS('Expenditure Breakdown'!$Q$6:$Q$236, 'Expenditure Breakdown'!$W$6:$W$236, "&gt;="&amp;FW1,'Expenditure Breakdown'!$W$6:$W$236, "&lt;"&amp;FX1)</f>
        <v>0</v>
      </c>
      <c r="FX11" s="210">
        <f>SUMIFS('Expenditure Breakdown'!$Q$6:$Q$236, 'Expenditure Breakdown'!$W$6:$W$236, "&gt;="&amp;FX1,'Expenditure Breakdown'!$W$6:$W$236, "&lt;"&amp;FY1)</f>
        <v>0</v>
      </c>
      <c r="FY11" s="210">
        <f>SUMIFS('Expenditure Breakdown'!$Q$6:$Q$236, 'Expenditure Breakdown'!$W$6:$W$236, "&gt;="&amp;FY1,'Expenditure Breakdown'!$W$6:$W$236, "&lt;"&amp;FZ1)</f>
        <v>0</v>
      </c>
      <c r="FZ11" s="210">
        <f>SUMIFS('Expenditure Breakdown'!$Q$6:$Q$236, 'Expenditure Breakdown'!$W$6:$W$236, "&gt;="&amp;FZ1,'Expenditure Breakdown'!$W$6:$W$236, "&lt;"&amp;GA1)</f>
        <v>0</v>
      </c>
      <c r="GA11" s="210">
        <f>SUMIFS('Expenditure Breakdown'!$Q$6:$Q$236, 'Expenditure Breakdown'!$W$6:$W$236, "&gt;="&amp;GA1,'Expenditure Breakdown'!$W$6:$W$236, "&lt;"&amp;GB1)</f>
        <v>0</v>
      </c>
      <c r="GB11" s="210">
        <f>SUMIFS('Expenditure Breakdown'!$Q$6:$Q$236, 'Expenditure Breakdown'!$W$6:$W$236, "&gt;="&amp;GB1,'Expenditure Breakdown'!$W$6:$W$236, "&lt;"&amp;GC1)</f>
        <v>0</v>
      </c>
      <c r="GC11" s="210">
        <f>SUMIFS('Expenditure Breakdown'!$Q$6:$Q$236, 'Expenditure Breakdown'!$W$6:$W$236, "&gt;="&amp;GC1,'Expenditure Breakdown'!$W$6:$W$236, "&lt;"&amp;GD1)</f>
        <v>0</v>
      </c>
      <c r="GD11" s="210">
        <f>SUMIFS('Expenditure Breakdown'!$Q$6:$Q$236, 'Expenditure Breakdown'!$W$6:$W$236, "&gt;="&amp;GD1,'Expenditure Breakdown'!$W$6:$W$236, "&lt;"&amp;GE1)</f>
        <v>0</v>
      </c>
      <c r="GE11" s="210">
        <f>SUMIFS('Expenditure Breakdown'!$Q$6:$Q$236, 'Expenditure Breakdown'!$W$6:$W$236, "&gt;="&amp;GE1,'Expenditure Breakdown'!$W$6:$W$236, "&lt;"&amp;GF1)</f>
        <v>0</v>
      </c>
      <c r="GF11" s="210">
        <f>SUMIFS('Expenditure Breakdown'!$Q$6:$Q$236, 'Expenditure Breakdown'!$W$6:$W$236, "&gt;="&amp;GF1,'Expenditure Breakdown'!$W$6:$W$236, "&lt;"&amp;GG1)</f>
        <v>0</v>
      </c>
      <c r="GG11" s="210">
        <f>SUMIFS('Expenditure Breakdown'!$Q$6:$Q$236, 'Expenditure Breakdown'!$W$6:$W$236, "&gt;="&amp;GG1,'Expenditure Breakdown'!$W$6:$W$236, "&lt;"&amp;GH1)</f>
        <v>0</v>
      </c>
      <c r="GH11" s="210">
        <f>SUMIFS('Expenditure Breakdown'!$Q$6:$Q$236, 'Expenditure Breakdown'!$W$6:$W$236, "&gt;="&amp;GH1,'Expenditure Breakdown'!$W$6:$W$236, "&lt;"&amp;GI1)</f>
        <v>0</v>
      </c>
      <c r="GI11" s="210">
        <f>SUMIFS('Expenditure Breakdown'!$Q$6:$Q$236, 'Expenditure Breakdown'!$W$6:$W$236, "&gt;="&amp;GI1,'Expenditure Breakdown'!$W$6:$W$236, "&lt;"&amp;GJ1)</f>
        <v>0</v>
      </c>
      <c r="GJ11" s="210">
        <f>SUMIFS('Expenditure Breakdown'!$Q$6:$Q$236, 'Expenditure Breakdown'!$W$6:$W$236, "&gt;="&amp;GJ1,'Expenditure Breakdown'!$W$6:$W$236, "&lt;"&amp;GK1)</f>
        <v>0</v>
      </c>
      <c r="GK11" s="210">
        <f>SUMIFS('Expenditure Breakdown'!$Q$6:$Q$236, 'Expenditure Breakdown'!$W$6:$W$236, "&gt;="&amp;GK1,'Expenditure Breakdown'!$W$6:$W$236, "&lt;"&amp;GL1)</f>
        <v>0</v>
      </c>
      <c r="GL11" s="210">
        <f>SUMIFS('Expenditure Breakdown'!$Q$6:$Q$236, 'Expenditure Breakdown'!$W$6:$W$236, "&gt;="&amp;GL1,'Expenditure Breakdown'!$W$6:$W$236, "&lt;"&amp;GM1)</f>
        <v>0</v>
      </c>
      <c r="GM11" s="210">
        <f>SUMIFS('Expenditure Breakdown'!$Q$6:$Q$236, 'Expenditure Breakdown'!$W$6:$W$236, "&gt;="&amp;GM1,'Expenditure Breakdown'!$W$6:$W$236, "&lt;"&amp;GN1)</f>
        <v>0</v>
      </c>
      <c r="GN11" s="210">
        <f>SUMIFS('Expenditure Breakdown'!$Q$6:$Q$236, 'Expenditure Breakdown'!$W$6:$W$236, "&gt;="&amp;GN1,'Expenditure Breakdown'!$W$6:$W$236, "&lt;"&amp;GO1)</f>
        <v>0</v>
      </c>
      <c r="GO11" s="210">
        <f>SUMIFS('Expenditure Breakdown'!$Q$6:$Q$236, 'Expenditure Breakdown'!$W$6:$W$236, "&gt;="&amp;GO1,'Expenditure Breakdown'!$W$6:$W$236, "&lt;"&amp;GP1)</f>
        <v>0</v>
      </c>
      <c r="GP11" s="210">
        <f>SUMIFS('Expenditure Breakdown'!$Q$6:$Q$236, 'Expenditure Breakdown'!$W$6:$W$236, "&gt;="&amp;GP1,'Expenditure Breakdown'!$W$6:$W$236, "&lt;"&amp;GQ1)</f>
        <v>0</v>
      </c>
      <c r="GQ11" s="210">
        <f>SUMIFS('Expenditure Breakdown'!$Q$6:$Q$236, 'Expenditure Breakdown'!$W$6:$W$236, "&gt;="&amp;GQ1,'Expenditure Breakdown'!$W$6:$W$236, "&lt;"&amp;GR1)</f>
        <v>0</v>
      </c>
      <c r="GR11" s="210">
        <f>SUMIFS('Expenditure Breakdown'!$Q$6:$Q$236, 'Expenditure Breakdown'!$W$6:$W$236, "&gt;="&amp;GR1,'Expenditure Breakdown'!$W$6:$W$236, "&lt;"&amp;GS1)</f>
        <v>0</v>
      </c>
      <c r="GS11" s="210">
        <f>SUMIFS('Expenditure Breakdown'!$Q$6:$Q$236, 'Expenditure Breakdown'!$W$6:$W$236, "&gt;="&amp;GS1,'Expenditure Breakdown'!$W$6:$W$236, "&lt;"&amp;GT1)</f>
        <v>0</v>
      </c>
      <c r="GT11" s="210">
        <f>SUMIFS('Expenditure Breakdown'!$Q$6:$Q$236, 'Expenditure Breakdown'!$W$6:$W$236, "&gt;="&amp;GT1,'Expenditure Breakdown'!$W$6:$W$236, "&lt;"&amp;GU1)</f>
        <v>0</v>
      </c>
      <c r="GU11" s="210">
        <f>SUMIFS('Expenditure Breakdown'!$Q$6:$Q$236, 'Expenditure Breakdown'!$W$6:$W$236, "&gt;="&amp;GU1,'Expenditure Breakdown'!$W$6:$W$236, "&lt;"&amp;GV1)</f>
        <v>0</v>
      </c>
      <c r="GV11" s="210">
        <f>SUMIFS('Expenditure Breakdown'!$Q$6:$Q$236, 'Expenditure Breakdown'!$W$6:$W$236, "&gt;="&amp;GV1,'Expenditure Breakdown'!$W$6:$W$236, "&lt;"&amp;GW1)</f>
        <v>0</v>
      </c>
      <c r="GW11" s="210">
        <f>SUMIFS('Expenditure Breakdown'!$Q$6:$Q$236, 'Expenditure Breakdown'!$W$6:$W$236, "&gt;="&amp;GW1,'Expenditure Breakdown'!$W$6:$W$236, "&lt;"&amp;GX1)</f>
        <v>0</v>
      </c>
      <c r="GX11" s="210">
        <f>SUMIFS('Expenditure Breakdown'!$Q$6:$Q$236, 'Expenditure Breakdown'!$W$6:$W$236, "&gt;="&amp;GX1,'Expenditure Breakdown'!$W$6:$W$236, "&lt;"&amp;GY1)</f>
        <v>0</v>
      </c>
      <c r="GY11" s="210">
        <f>SUMIFS('Expenditure Breakdown'!$Q$6:$Q$236, 'Expenditure Breakdown'!$W$6:$W$236, "&gt;="&amp;GY1,'Expenditure Breakdown'!$W$6:$W$236, "&lt;"&amp;GZ1)</f>
        <v>0</v>
      </c>
      <c r="GZ11" s="210">
        <f>SUMIFS('Expenditure Breakdown'!$Q$6:$Q$236, 'Expenditure Breakdown'!$W$6:$W$236, "&gt;="&amp;GZ1,'Expenditure Breakdown'!$W$6:$W$236, "&lt;"&amp;HA1)</f>
        <v>0</v>
      </c>
      <c r="HA11" s="210">
        <f>SUMIFS('Expenditure Breakdown'!$Q$6:$Q$236, 'Expenditure Breakdown'!$W$6:$W$236, "&gt;="&amp;HA1,'Expenditure Breakdown'!$W$6:$W$236, "&lt;"&amp;HB1)</f>
        <v>0</v>
      </c>
      <c r="HB11" s="210">
        <f>SUMIFS('Expenditure Breakdown'!$Q$6:$Q$236, 'Expenditure Breakdown'!$W$6:$W$236, "&gt;="&amp;HB1,'Expenditure Breakdown'!$W$6:$W$236, "&lt;"&amp;HC1)</f>
        <v>0</v>
      </c>
      <c r="HC11" s="210">
        <f>SUMIFS('Expenditure Breakdown'!$Q$6:$Q$236, 'Expenditure Breakdown'!$W$6:$W$236, "&gt;="&amp;HC1,'Expenditure Breakdown'!$W$6:$W$236, "&lt;"&amp;HD1)</f>
        <v>0</v>
      </c>
      <c r="HD11" s="210">
        <f>SUMIFS('Expenditure Breakdown'!$Q$6:$Q$236, 'Expenditure Breakdown'!$W$6:$W$236, "&gt;="&amp;HD1,'Expenditure Breakdown'!$W$6:$W$236, "&lt;"&amp;HE1)</f>
        <v>0</v>
      </c>
      <c r="HE11" s="210">
        <f>SUMIFS('Expenditure Breakdown'!$Q$6:$Q$236, 'Expenditure Breakdown'!$W$6:$W$236, "&gt;="&amp;HE1,'Expenditure Breakdown'!$W$6:$W$236, "&lt;"&amp;HF1)</f>
        <v>0</v>
      </c>
      <c r="HF11" s="210">
        <f>SUMIFS('Expenditure Breakdown'!$Q$6:$Q$236, 'Expenditure Breakdown'!$W$6:$W$236, "&gt;="&amp;HF1,'Expenditure Breakdown'!$W$6:$W$236, "&lt;"&amp;HG1)</f>
        <v>0</v>
      </c>
      <c r="HG11" s="210">
        <f>SUMIFS('Expenditure Breakdown'!$Q$6:$Q$236, 'Expenditure Breakdown'!$W$6:$W$236, "&gt;="&amp;HG1,'Expenditure Breakdown'!$W$6:$W$236, "&lt;"&amp;HH1)</f>
        <v>0</v>
      </c>
      <c r="HH11" s="210">
        <f>SUMIFS('Expenditure Breakdown'!$Q$6:$Q$236, 'Expenditure Breakdown'!$W$6:$W$236, "&gt;="&amp;HH1,'Expenditure Breakdown'!$W$6:$W$236, "&lt;"&amp;HI1)</f>
        <v>0</v>
      </c>
      <c r="HI11" s="210">
        <f>SUMIFS('Expenditure Breakdown'!$Q$6:$Q$236, 'Expenditure Breakdown'!$W$6:$W$236, "&gt;="&amp;HI1,'Expenditure Breakdown'!$W$6:$W$236, "&lt;"&amp;HJ1)</f>
        <v>0</v>
      </c>
      <c r="HJ11" s="210">
        <f>SUMIFS('Expenditure Breakdown'!$Q$6:$Q$236, 'Expenditure Breakdown'!$W$6:$W$236, "&gt;="&amp;HJ1,'Expenditure Breakdown'!$W$6:$W$236, "&lt;"&amp;HK1)</f>
        <v>0</v>
      </c>
      <c r="HK11" s="210">
        <f>SUMIFS('Expenditure Breakdown'!$Q$6:$Q$236, 'Expenditure Breakdown'!$W$6:$W$236, "&gt;="&amp;HK1,'Expenditure Breakdown'!$W$6:$W$236, "&lt;"&amp;HL1)</f>
        <v>0</v>
      </c>
      <c r="HL11" s="210">
        <f>SUMIFS('Expenditure Breakdown'!$Q$6:$Q$236, 'Expenditure Breakdown'!$W$6:$W$236, "&gt;="&amp;HL1,'Expenditure Breakdown'!$W$6:$W$236, "&lt;"&amp;HM1)</f>
        <v>0</v>
      </c>
      <c r="HM11" s="210">
        <f>SUMIFS('Expenditure Breakdown'!$Q$6:$Q$236, 'Expenditure Breakdown'!$W$6:$W$236, "&gt;="&amp;HM1,'Expenditure Breakdown'!$W$6:$W$236, "&lt;"&amp;HN1)</f>
        <v>0</v>
      </c>
      <c r="HN11" s="210">
        <f>SUMIFS('Expenditure Breakdown'!$Q$6:$Q$236, 'Expenditure Breakdown'!$W$6:$W$236, "&gt;="&amp;HN1,'Expenditure Breakdown'!$W$6:$W$236, "&lt;"&amp;HO1)</f>
        <v>0</v>
      </c>
      <c r="HO11" s="210">
        <f>SUMIFS('Expenditure Breakdown'!$Q$6:$Q$236, 'Expenditure Breakdown'!$W$6:$W$236, "&gt;="&amp;HO1,'Expenditure Breakdown'!$W$6:$W$236, "&lt;"&amp;HP1)</f>
        <v>0</v>
      </c>
      <c r="HP11" s="210">
        <f>SUMIFS('Expenditure Breakdown'!$Q$6:$Q$236, 'Expenditure Breakdown'!$W$6:$W$236, "&gt;="&amp;HP1,'Expenditure Breakdown'!$W$6:$W$236, "&lt;"&amp;HQ1)</f>
        <v>0</v>
      </c>
      <c r="HQ11" s="210">
        <f>SUMIFS('Expenditure Breakdown'!$Q$6:$Q$236, 'Expenditure Breakdown'!$W$6:$W$236, "&gt;="&amp;HQ1,'Expenditure Breakdown'!$W$6:$W$236, "&lt;"&amp;HR1)</f>
        <v>0</v>
      </c>
      <c r="HR11" s="210">
        <f>SUMIFS('Expenditure Breakdown'!$Q$6:$Q$236, 'Expenditure Breakdown'!$W$6:$W$236, "&gt;="&amp;HR1,'Expenditure Breakdown'!$W$6:$W$236, "&lt;"&amp;HS1)</f>
        <v>0</v>
      </c>
      <c r="HS11" s="210">
        <f>SUMIFS('Expenditure Breakdown'!$Q$6:$Q$236, 'Expenditure Breakdown'!$W$6:$W$236, "&gt;="&amp;HS1,'Expenditure Breakdown'!$W$6:$W$236, "&lt;"&amp;HT1)</f>
        <v>0</v>
      </c>
      <c r="HT11" s="210">
        <f>SUMIFS('Expenditure Breakdown'!$Q$6:$Q$236, 'Expenditure Breakdown'!$W$6:$W$236, "&gt;="&amp;HT1,'Expenditure Breakdown'!$W$6:$W$236, "&lt;"&amp;HU1)</f>
        <v>0</v>
      </c>
      <c r="HU11" s="210">
        <f>SUMIFS('Expenditure Breakdown'!$Q$6:$Q$236, 'Expenditure Breakdown'!$W$6:$W$236, "&gt;="&amp;HU1,'Expenditure Breakdown'!$W$6:$W$236, "&lt;"&amp;HV1)</f>
        <v>0</v>
      </c>
      <c r="HV11" s="210">
        <f>SUMIFS('Expenditure Breakdown'!$Q$6:$Q$236, 'Expenditure Breakdown'!$W$6:$W$236, "&gt;="&amp;HV1,'Expenditure Breakdown'!$W$6:$W$236, "&lt;"&amp;HW1)</f>
        <v>0</v>
      </c>
      <c r="HW11" s="210">
        <f>SUMIFS('Expenditure Breakdown'!$Q$6:$Q$236, 'Expenditure Breakdown'!$W$6:$W$236, "&gt;="&amp;HW1,'Expenditure Breakdown'!$W$6:$W$236, "&lt;"&amp;HX1)</f>
        <v>0</v>
      </c>
      <c r="HX11" s="210">
        <f>SUMIFS('Expenditure Breakdown'!$Q$6:$Q$236, 'Expenditure Breakdown'!$W$6:$W$236, "&gt;="&amp;HX1,'Expenditure Breakdown'!$W$6:$W$236, "&lt;"&amp;HY1)</f>
        <v>0</v>
      </c>
      <c r="HY11" s="210">
        <f>SUMIFS('Expenditure Breakdown'!$Q$6:$Q$236, 'Expenditure Breakdown'!$W$6:$W$236, "&gt;="&amp;HY1,'Expenditure Breakdown'!$W$6:$W$236, "&lt;"&amp;HZ1)</f>
        <v>0</v>
      </c>
      <c r="HZ11" s="210">
        <f>SUMIFS('Expenditure Breakdown'!$Q$6:$Q$236, 'Expenditure Breakdown'!$W$6:$W$236, "&gt;="&amp;HZ1,'Expenditure Breakdown'!$W$6:$W$236, "&lt;"&amp;IA1)</f>
        <v>0</v>
      </c>
      <c r="IA11" s="210">
        <f>SUMIFS('Expenditure Breakdown'!$Q$6:$Q$236, 'Expenditure Breakdown'!$W$6:$W$236, "&gt;="&amp;IA1,'Expenditure Breakdown'!$W$6:$W$236, "&lt;"&amp;IB1)</f>
        <v>0</v>
      </c>
      <c r="IB11" s="210">
        <f>SUMIFS('Expenditure Breakdown'!$Q$6:$Q$236, 'Expenditure Breakdown'!$W$6:$W$236, "&gt;="&amp;IB1,'Expenditure Breakdown'!$W$6:$W$236, "&lt;"&amp;IC1)</f>
        <v>0</v>
      </c>
      <c r="IC11" s="210">
        <f>SUMIFS('Expenditure Breakdown'!$Q$6:$Q$236, 'Expenditure Breakdown'!$W$6:$W$236, "&gt;="&amp;IC1,'Expenditure Breakdown'!$W$6:$W$236, "&lt;"&amp;ID1)</f>
        <v>0</v>
      </c>
      <c r="ID11" s="210">
        <f>SUMIFS('Expenditure Breakdown'!$Q$6:$Q$236, 'Expenditure Breakdown'!$W$6:$W$236, "&gt;="&amp;ID1,'Expenditure Breakdown'!$W$6:$W$236, "&lt;"&amp;IE1)</f>
        <v>0</v>
      </c>
      <c r="IE11" s="210">
        <f>SUMIFS('Expenditure Breakdown'!$Q$6:$Q$236, 'Expenditure Breakdown'!$W$6:$W$236, "&gt;="&amp;IE1,'Expenditure Breakdown'!$W$6:$W$236, "&lt;"&amp;IF1)</f>
        <v>0</v>
      </c>
      <c r="IF11" s="210">
        <f>SUMIFS('Expenditure Breakdown'!$Q$6:$Q$236, 'Expenditure Breakdown'!$W$6:$W$236, "&gt;="&amp;IF1,'Expenditure Breakdown'!$W$6:$W$236, "&lt;"&amp;IG1)</f>
        <v>0</v>
      </c>
      <c r="IG11" s="210">
        <f>SUMIFS('Expenditure Breakdown'!$Q$6:$Q$236, 'Expenditure Breakdown'!$W$6:$W$236, "&gt;="&amp;IG1,'Expenditure Breakdown'!$W$6:$W$236, "&lt;"&amp;IH1)</f>
        <v>0</v>
      </c>
      <c r="IH11" s="210">
        <f>SUMIFS('Expenditure Breakdown'!$Q$6:$Q$236, 'Expenditure Breakdown'!$W$6:$W$236, "&gt;="&amp;IH1,'Expenditure Breakdown'!$W$6:$W$236, "&lt;"&amp;II1)</f>
        <v>0</v>
      </c>
      <c r="II11" s="210">
        <f>SUMIFS('Expenditure Breakdown'!$Q$6:$Q$236, 'Expenditure Breakdown'!$W$6:$W$236, "&gt;="&amp;II1,'Expenditure Breakdown'!$W$6:$W$236, "&lt;"&amp;IJ1)</f>
        <v>0</v>
      </c>
      <c r="IJ11" s="210">
        <f>SUMIFS('Expenditure Breakdown'!$Q$6:$Q$236, 'Expenditure Breakdown'!$W$6:$W$236, "&gt;="&amp;IJ1,'Expenditure Breakdown'!$W$6:$W$236, "&lt;"&amp;IK1)</f>
        <v>0</v>
      </c>
      <c r="IK11" s="210">
        <f>SUMIFS('Expenditure Breakdown'!$Q$6:$Q$236, 'Expenditure Breakdown'!$W$6:$W$236, "&gt;="&amp;IK1,'Expenditure Breakdown'!$W$6:$W$236, "&lt;"&amp;IL1)</f>
        <v>0</v>
      </c>
      <c r="IL11" s="210">
        <f>SUMIFS('Expenditure Breakdown'!$Q$6:$Q$236, 'Expenditure Breakdown'!$W$6:$W$236, "&gt;="&amp;IL1,'Expenditure Breakdown'!$W$6:$W$236, "&lt;"&amp;IM1)</f>
        <v>0</v>
      </c>
      <c r="IM11" s="210">
        <f>SUMIFS('Expenditure Breakdown'!$Q$6:$Q$236, 'Expenditure Breakdown'!$W$6:$W$236, "&gt;="&amp;IM1,'Expenditure Breakdown'!$W$6:$W$236, "&lt;"&amp;IN1)</f>
        <v>0</v>
      </c>
      <c r="IN11" s="210">
        <f>SUMIFS('Expenditure Breakdown'!$Q$6:$Q$236, 'Expenditure Breakdown'!$W$6:$W$236, "&gt;="&amp;IN1,'Expenditure Breakdown'!$W$6:$W$236, "&lt;"&amp;IO1)</f>
        <v>0</v>
      </c>
      <c r="IO11" s="210">
        <f>SUMIFS('Expenditure Breakdown'!$Q$6:$Q$236, 'Expenditure Breakdown'!$W$6:$W$236, "&gt;="&amp;IO1,'Expenditure Breakdown'!$W$6:$W$236, "&lt;"&amp;IP1)</f>
        <v>0</v>
      </c>
      <c r="IP11" s="210">
        <f>SUMIFS('Expenditure Breakdown'!$Q$6:$Q$236, 'Expenditure Breakdown'!$W$6:$W$236, "&gt;="&amp;IP1,'Expenditure Breakdown'!$W$6:$W$236, "&lt;"&amp;IQ1)</f>
        <v>0</v>
      </c>
      <c r="IQ11" s="210">
        <f>SUMIFS('Expenditure Breakdown'!$Q$6:$Q$236, 'Expenditure Breakdown'!$W$6:$W$236, "&gt;="&amp;IQ1,'Expenditure Breakdown'!$W$6:$W$236, "&lt;"&amp;IR1)</f>
        <v>0</v>
      </c>
      <c r="IR11" s="210">
        <f>SUMIFS('Expenditure Breakdown'!$Q$6:$Q$236, 'Expenditure Breakdown'!$W$6:$W$236, "&gt;="&amp;IR1,'Expenditure Breakdown'!$W$6:$W$236, "&lt;"&amp;IS1)</f>
        <v>0</v>
      </c>
      <c r="IS11" s="210">
        <f>SUMIFS('Expenditure Breakdown'!$Q$6:$Q$236, 'Expenditure Breakdown'!$W$6:$W$236, "&gt;="&amp;IS1,'Expenditure Breakdown'!$W$6:$W$236, "&lt;"&amp;IT1)</f>
        <v>0</v>
      </c>
      <c r="IT11" s="210">
        <f>SUMIFS('Expenditure Breakdown'!$Q$6:$Q$236, 'Expenditure Breakdown'!$W$6:$W$236, "&gt;="&amp;IT1,'Expenditure Breakdown'!$W$6:$W$236, "&lt;"&amp;IU1)</f>
        <v>0</v>
      </c>
      <c r="IU11" s="210">
        <f>SUMIFS('Expenditure Breakdown'!$Q$6:$Q$236, 'Expenditure Breakdown'!$W$6:$W$236, "&gt;="&amp;IU1,'Expenditure Breakdown'!$W$6:$W$236, "&lt;"&amp;IV1)</f>
        <v>0</v>
      </c>
      <c r="IV11" s="210">
        <f>SUMIFS('Expenditure Breakdown'!$Q$6:$Q$236, 'Expenditure Breakdown'!$W$6:$W$236, "&gt;="&amp;IV1,'Expenditure Breakdown'!$W$6:$W$236, "&lt;"&amp;IW1)</f>
        <v>0</v>
      </c>
      <c r="IW11" s="210">
        <f>SUMIFS('Expenditure Breakdown'!$Q$6:$Q$236, 'Expenditure Breakdown'!$W$6:$W$236, "&gt;="&amp;IW1,'Expenditure Breakdown'!$W$6:$W$236, "&lt;"&amp;IX1)</f>
        <v>0</v>
      </c>
      <c r="IX11" s="210">
        <f>SUMIFS('Expenditure Breakdown'!$Q$6:$Q$236, 'Expenditure Breakdown'!$W$6:$W$236, "&gt;="&amp;IX1,'Expenditure Breakdown'!$W$6:$W$236, "&lt;"&amp;IY1)</f>
        <v>0</v>
      </c>
      <c r="IY11" s="210">
        <f>SUMIFS('Expenditure Breakdown'!$Q$6:$Q$236, 'Expenditure Breakdown'!$W$6:$W$236, "&gt;="&amp;IY1,'Expenditure Breakdown'!$W$6:$W$236, "&lt;"&amp;IZ1)</f>
        <v>0</v>
      </c>
      <c r="IZ11" s="210">
        <f>SUMIFS('Expenditure Breakdown'!$Q$6:$Q$236, 'Expenditure Breakdown'!$W$6:$W$236, "&gt;="&amp;IZ1,'Expenditure Breakdown'!$W$6:$W$236, "&lt;"&amp;JA1)</f>
        <v>0</v>
      </c>
      <c r="JA11" s="210">
        <f>SUMIFS('Expenditure Breakdown'!$Q$6:$Q$236, 'Expenditure Breakdown'!$W$6:$W$236, "&gt;="&amp;JA1,'Expenditure Breakdown'!$W$6:$W$236, "&lt;"&amp;JB1)</f>
        <v>0</v>
      </c>
      <c r="JB11" s="210">
        <f>SUMIFS('Expenditure Breakdown'!$Q$6:$Q$236, 'Expenditure Breakdown'!$W$6:$W$236, "&gt;="&amp;JB1,'Expenditure Breakdown'!$W$6:$W$236, "&lt;"&amp;JC1)</f>
        <v>0</v>
      </c>
      <c r="JC11" s="210">
        <f>SUMIFS('Expenditure Breakdown'!$Q$6:$Q$236, 'Expenditure Breakdown'!$W$6:$W$236, "&gt;="&amp;JC1,'Expenditure Breakdown'!$W$6:$W$236, "&lt;"&amp;JD1)</f>
        <v>0</v>
      </c>
      <c r="JD11" s="210">
        <f>SUMIFS('Expenditure Breakdown'!$Q$6:$Q$236, 'Expenditure Breakdown'!$W$6:$W$236, "&gt;="&amp;JD1,'Expenditure Breakdown'!$W$6:$W$236, "&lt;"&amp;JE1)</f>
        <v>0</v>
      </c>
      <c r="JE11" s="210">
        <f>SUMIFS('Expenditure Breakdown'!$Q$6:$Q$236, 'Expenditure Breakdown'!$W$6:$W$236, "&gt;="&amp;JE1,'Expenditure Breakdown'!$W$6:$W$236, "&lt;"&amp;JF1)</f>
        <v>0</v>
      </c>
      <c r="JF11" s="210">
        <f>SUMIFS('Expenditure Breakdown'!$Q$6:$Q$236, 'Expenditure Breakdown'!$W$6:$W$236, "&gt;="&amp;JF1,'Expenditure Breakdown'!$W$6:$W$236, "&lt;"&amp;JG1)</f>
        <v>0</v>
      </c>
      <c r="JG11" s="210">
        <f>SUMIFS('Expenditure Breakdown'!$Q$6:$Q$236, 'Expenditure Breakdown'!$W$6:$W$236, "&gt;="&amp;JG1,'Expenditure Breakdown'!$W$6:$W$236, "&lt;"&amp;JH1)</f>
        <v>0</v>
      </c>
      <c r="JH11" s="210">
        <f>SUMIFS('Expenditure Breakdown'!$Q$6:$Q$236, 'Expenditure Breakdown'!$W$6:$W$236, "&gt;="&amp;JH1,'Expenditure Breakdown'!$W$6:$W$236, "&lt;"&amp;JI1)</f>
        <v>0</v>
      </c>
      <c r="JI11" s="210">
        <f>SUMIFS('Expenditure Breakdown'!$Q$6:$Q$236, 'Expenditure Breakdown'!$W$6:$W$236, "&gt;="&amp;JI1,'Expenditure Breakdown'!$W$6:$W$236, "&lt;"&amp;JJ1)</f>
        <v>0</v>
      </c>
      <c r="JJ11" s="210">
        <f>SUMIFS('Expenditure Breakdown'!$Q$6:$Q$236, 'Expenditure Breakdown'!$W$6:$W$236, "&gt;="&amp;JJ1,'Expenditure Breakdown'!$W$6:$W$236, "&lt;"&amp;JK1)</f>
        <v>0</v>
      </c>
      <c r="JK11" s="210">
        <f>SUMIFS('Expenditure Breakdown'!$Q$6:$Q$236, 'Expenditure Breakdown'!$W$6:$W$236, "&gt;="&amp;JK1,'Expenditure Breakdown'!$W$6:$W$236, "&lt;"&amp;JL1)</f>
        <v>0</v>
      </c>
      <c r="JL11" s="210">
        <f>SUMIFS('Expenditure Breakdown'!$Q$6:$Q$236, 'Expenditure Breakdown'!$W$6:$W$236, "&gt;="&amp;JL1,'Expenditure Breakdown'!$W$6:$W$236, "&lt;"&amp;JM1)</f>
        <v>0</v>
      </c>
      <c r="JM11" s="210">
        <f>SUMIFS('Expenditure Breakdown'!$Q$6:$Q$236, 'Expenditure Breakdown'!$W$6:$W$236, "&gt;="&amp;JM1,'Expenditure Breakdown'!$W$6:$W$236, "&lt;"&amp;JN1)</f>
        <v>0</v>
      </c>
      <c r="JN11" s="210">
        <f>SUMIFS('Expenditure Breakdown'!$Q$6:$Q$236, 'Expenditure Breakdown'!$W$6:$W$236, "&gt;="&amp;JN1,'Expenditure Breakdown'!$W$6:$W$236, "&lt;"&amp;JO1)</f>
        <v>0</v>
      </c>
      <c r="JO11" s="210">
        <f>SUMIFS('Expenditure Breakdown'!$Q$6:$Q$236, 'Expenditure Breakdown'!$W$6:$W$236, "&gt;="&amp;JO1,'Expenditure Breakdown'!$W$6:$W$236, "&lt;"&amp;JP1)</f>
        <v>0</v>
      </c>
      <c r="JP11" s="210">
        <f>SUMIFS('Expenditure Breakdown'!$Q$6:$Q$236, 'Expenditure Breakdown'!$W$6:$W$236, "&gt;="&amp;JP1,'Expenditure Breakdown'!$W$6:$W$236, "&lt;"&amp;JQ1)</f>
        <v>0</v>
      </c>
      <c r="JQ11" s="210">
        <f>SUMIFS('Expenditure Breakdown'!$Q$6:$Q$236, 'Expenditure Breakdown'!$W$6:$W$236, "&gt;="&amp;JQ1,'Expenditure Breakdown'!$W$6:$W$236, "&lt;"&amp;JR1)</f>
        <v>0</v>
      </c>
      <c r="JR11" s="210">
        <f>SUMIFS('Expenditure Breakdown'!$Q$6:$Q$236, 'Expenditure Breakdown'!$W$6:$W$236, "&gt;="&amp;JR1,'Expenditure Breakdown'!$W$6:$W$236, "&lt;"&amp;JS1)</f>
        <v>0</v>
      </c>
      <c r="JS11" s="210">
        <f>SUMIFS('Expenditure Breakdown'!$Q$6:$Q$236, 'Expenditure Breakdown'!$W$6:$W$236, "&gt;="&amp;JS1,'Expenditure Breakdown'!$W$6:$W$236, "&lt;"&amp;JT1)</f>
        <v>0</v>
      </c>
      <c r="JT11" s="210">
        <f>SUMIFS('Expenditure Breakdown'!$Q$6:$Q$236, 'Expenditure Breakdown'!$W$6:$W$236, "&gt;="&amp;JT1,'Expenditure Breakdown'!$W$6:$W$236, "&lt;"&amp;JU1)</f>
        <v>0</v>
      </c>
      <c r="JU11" s="210">
        <f>SUMIFS('Expenditure Breakdown'!$Q$6:$Q$236, 'Expenditure Breakdown'!$W$6:$W$236, "&gt;="&amp;JU1,'Expenditure Breakdown'!$W$6:$W$236, "&lt;"&amp;JV1)</f>
        <v>0</v>
      </c>
      <c r="JV11" s="210">
        <f>SUMIFS('Expenditure Breakdown'!$Q$6:$Q$236, 'Expenditure Breakdown'!$W$6:$W$236, "&gt;="&amp;JV1,'Expenditure Breakdown'!$W$6:$W$236, "&lt;"&amp;JW1)</f>
        <v>0</v>
      </c>
      <c r="JW11" s="210">
        <f>SUMIFS('Expenditure Breakdown'!$Q$6:$Q$236, 'Expenditure Breakdown'!$W$6:$W$236, "&gt;="&amp;JW1,'Expenditure Breakdown'!$W$6:$W$236, "&lt;"&amp;JX1)</f>
        <v>0</v>
      </c>
      <c r="JX11" s="210">
        <f>SUMIFS('Expenditure Breakdown'!$Q$6:$Q$236, 'Expenditure Breakdown'!$W$6:$W$236, "&gt;="&amp;JX1,'Expenditure Breakdown'!$W$6:$W$236, "&lt;"&amp;JY1)</f>
        <v>0</v>
      </c>
      <c r="JY11" s="210">
        <f>SUMIFS('Expenditure Breakdown'!$Q$6:$Q$236, 'Expenditure Breakdown'!$W$6:$W$236, "&gt;="&amp;JY1,'Expenditure Breakdown'!$W$6:$W$236, "&lt;"&amp;JZ1)</f>
        <v>0</v>
      </c>
      <c r="JZ11" s="210">
        <f>SUMIFS('Expenditure Breakdown'!$Q$6:$Q$236, 'Expenditure Breakdown'!$W$6:$W$236, "&gt;="&amp;JZ1,'Expenditure Breakdown'!$W$6:$W$236, "&lt;"&amp;KA1)</f>
        <v>0</v>
      </c>
      <c r="KA11" s="210">
        <f>SUMIFS('Expenditure Breakdown'!$Q$6:$Q$236, 'Expenditure Breakdown'!$W$6:$W$236, "&gt;="&amp;KA1,'Expenditure Breakdown'!$W$6:$W$236, "&lt;"&amp;KB1)</f>
        <v>0</v>
      </c>
      <c r="KB11" s="210">
        <f>SUMIFS('Expenditure Breakdown'!$Q$6:$Q$236, 'Expenditure Breakdown'!$W$6:$W$236, "&gt;="&amp;KB1,'Expenditure Breakdown'!$W$6:$W$236, "&lt;"&amp;KC1)</f>
        <v>0</v>
      </c>
      <c r="KC11" s="210">
        <f>SUMIFS('Expenditure Breakdown'!$Q$6:$Q$236, 'Expenditure Breakdown'!$W$6:$W$236, "&gt;="&amp;KC1,'Expenditure Breakdown'!$W$6:$W$236, "&lt;"&amp;KD1)</f>
        <v>0</v>
      </c>
      <c r="KD11" s="210">
        <f>SUMIFS('Expenditure Breakdown'!$Q$6:$Q$236, 'Expenditure Breakdown'!$W$6:$W$236, "&gt;="&amp;KD1,'Expenditure Breakdown'!$W$6:$W$236, "&lt;"&amp;KE1)</f>
        <v>0</v>
      </c>
      <c r="KE11" s="210">
        <f>SUMIFS('Expenditure Breakdown'!$Q$6:$Q$236, 'Expenditure Breakdown'!$W$6:$W$236, "&gt;="&amp;KE1,'Expenditure Breakdown'!$W$6:$W$236, "&lt;"&amp;KF1)</f>
        <v>0</v>
      </c>
      <c r="KF11" s="210">
        <f>SUMIFS('Expenditure Breakdown'!$Q$6:$Q$236, 'Expenditure Breakdown'!$W$6:$W$236, "&gt;="&amp;KF1,'Expenditure Breakdown'!$W$6:$W$236, "&lt;"&amp;KG1)</f>
        <v>0</v>
      </c>
      <c r="KG11" s="210">
        <f>SUMIFS('Expenditure Breakdown'!$Q$6:$Q$236, 'Expenditure Breakdown'!$W$6:$W$236, "&gt;="&amp;KG1,'Expenditure Breakdown'!$W$6:$W$236, "&lt;"&amp;KH1)</f>
        <v>0</v>
      </c>
      <c r="KH11" s="210">
        <f>SUMIFS('Expenditure Breakdown'!$Q$6:$Q$236, 'Expenditure Breakdown'!$W$6:$W$236, "&gt;="&amp;KH1,'Expenditure Breakdown'!$W$6:$W$236, "&lt;"&amp;KI1)</f>
        <v>0</v>
      </c>
      <c r="KI11" s="210">
        <f>SUMIFS('Expenditure Breakdown'!$Q$6:$Q$236, 'Expenditure Breakdown'!$W$6:$W$236, "&gt;="&amp;KI1,'Expenditure Breakdown'!$W$6:$W$236, "&lt;"&amp;KJ1)</f>
        <v>0</v>
      </c>
      <c r="KJ11" s="210">
        <f>SUMIFS('Expenditure Breakdown'!$Q$6:$Q$236, 'Expenditure Breakdown'!$W$6:$W$236, "&gt;="&amp;KJ1,'Expenditure Breakdown'!$W$6:$W$236, "&lt;"&amp;KK1)</f>
        <v>0</v>
      </c>
      <c r="KK11" s="210">
        <f>SUMIFS('Expenditure Breakdown'!$Q$6:$Q$236, 'Expenditure Breakdown'!$W$6:$W$236, "&gt;="&amp;KK1,'Expenditure Breakdown'!$W$6:$W$236, "&lt;"&amp;KL1)</f>
        <v>0</v>
      </c>
      <c r="KL11" s="210">
        <f>SUMIFS('Expenditure Breakdown'!$Q$6:$Q$236, 'Expenditure Breakdown'!$W$6:$W$236, "&gt;="&amp;KL1,'Expenditure Breakdown'!$W$6:$W$236, "&lt;"&amp;KM1)</f>
        <v>0</v>
      </c>
      <c r="KM11" s="210">
        <f>SUMIFS('Expenditure Breakdown'!$Q$6:$Q$236, 'Expenditure Breakdown'!$W$6:$W$236, "&gt;="&amp;KM1,'Expenditure Breakdown'!$W$6:$W$236, "&lt;"&amp;KN1)</f>
        <v>0</v>
      </c>
      <c r="KN11" s="210">
        <f>SUMIFS('Expenditure Breakdown'!$Q$6:$Q$236, 'Expenditure Breakdown'!$W$6:$W$236, "&gt;="&amp;KN1,'Expenditure Breakdown'!$W$6:$W$236, "&lt;"&amp;KO1)</f>
        <v>0</v>
      </c>
      <c r="KO11" s="210">
        <f>SUMIFS('Expenditure Breakdown'!$Q$6:$Q$236, 'Expenditure Breakdown'!$W$6:$W$236, "&gt;="&amp;KO1,'Expenditure Breakdown'!$W$6:$W$236, "&lt;"&amp;KP1)</f>
        <v>0</v>
      </c>
      <c r="KP11" s="210">
        <f>SUMIFS('Expenditure Breakdown'!$Q$6:$Q$236, 'Expenditure Breakdown'!$W$6:$W$236, "&gt;="&amp;KP1,'Expenditure Breakdown'!$W$6:$W$236, "&lt;"&amp;KQ1)</f>
        <v>0</v>
      </c>
      <c r="KQ11" s="210">
        <f>SUMIFS('Expenditure Breakdown'!$Q$6:$Q$236, 'Expenditure Breakdown'!$W$6:$W$236, "&gt;="&amp;KQ1,'Expenditure Breakdown'!$W$6:$W$236, "&lt;"&amp;KR1)</f>
        <v>0</v>
      </c>
      <c r="KR11" s="210">
        <f>SUMIFS('Expenditure Breakdown'!$Q$6:$Q$236, 'Expenditure Breakdown'!$W$6:$W$236, "&gt;="&amp;KR1,'Expenditure Breakdown'!$W$6:$W$236, "&lt;"&amp;KS1)</f>
        <v>0</v>
      </c>
      <c r="KS11" s="210">
        <f>SUMIFS('Expenditure Breakdown'!$Q$6:$Q$236, 'Expenditure Breakdown'!$W$6:$W$236, "&gt;="&amp;KS1,'Expenditure Breakdown'!$W$6:$W$236, "&lt;"&amp;KT1)</f>
        <v>0</v>
      </c>
      <c r="KT11" s="210">
        <f>SUMIFS('Expenditure Breakdown'!$Q$6:$Q$236, 'Expenditure Breakdown'!$W$6:$W$236, "&gt;="&amp;KT1,'Expenditure Breakdown'!$W$6:$W$236, "&lt;"&amp;KU1)</f>
        <v>0</v>
      </c>
      <c r="KU11" s="210">
        <f>SUMIFS('Expenditure Breakdown'!$Q$6:$Q$236, 'Expenditure Breakdown'!$W$6:$W$236, "&gt;="&amp;KU1,'Expenditure Breakdown'!$W$6:$W$236, "&lt;"&amp;KV1)</f>
        <v>0</v>
      </c>
      <c r="KV11" s="210">
        <f>SUMIFS('Expenditure Breakdown'!$Q$6:$Q$236, 'Expenditure Breakdown'!$W$6:$W$236, "&gt;="&amp;KV1,'Expenditure Breakdown'!$W$6:$W$236, "&lt;"&amp;KW1)</f>
        <v>0</v>
      </c>
      <c r="KW11" s="210">
        <f>SUMIFS('Expenditure Breakdown'!$Q$6:$Q$236, 'Expenditure Breakdown'!$W$6:$W$236, "&gt;="&amp;KW1,'Expenditure Breakdown'!$W$6:$W$236, "&lt;"&amp;KX1)</f>
        <v>0</v>
      </c>
      <c r="KX11" s="210">
        <f>SUMIFS('Expenditure Breakdown'!$Q$6:$Q$236, 'Expenditure Breakdown'!$W$6:$W$236, "&gt;="&amp;KX1,'Expenditure Breakdown'!$W$6:$W$236, "&lt;"&amp;KY1)</f>
        <v>0</v>
      </c>
      <c r="KY11" s="210">
        <f>SUMIFS('Expenditure Breakdown'!$Q$6:$Q$236, 'Expenditure Breakdown'!$W$6:$W$236, "&gt;="&amp;KY1,'Expenditure Breakdown'!$W$6:$W$236, "&lt;"&amp;KZ1)</f>
        <v>0</v>
      </c>
      <c r="KZ11" s="210">
        <f>SUMIFS('Expenditure Breakdown'!$Q$6:$Q$236, 'Expenditure Breakdown'!$W$6:$W$236, "&gt;="&amp;KZ1,'Expenditure Breakdown'!$W$6:$W$236, "&lt;"&amp;LA1)</f>
        <v>0</v>
      </c>
      <c r="LA11" s="210">
        <f>SUMIFS('Expenditure Breakdown'!$Q$6:$Q$236, 'Expenditure Breakdown'!$W$6:$W$236, "&gt;="&amp;LA1,'Expenditure Breakdown'!$W$6:$W$236, "&lt;"&amp;LB1)</f>
        <v>0</v>
      </c>
      <c r="LB11" s="210">
        <f>SUMIFS('Expenditure Breakdown'!$Q$6:$Q$236, 'Expenditure Breakdown'!$W$6:$W$236, "&gt;="&amp;LB1,'Expenditure Breakdown'!$W$6:$W$236, "&lt;"&amp;LC1)</f>
        <v>0</v>
      </c>
      <c r="LC11" s="210">
        <f>SUMIFS('Expenditure Breakdown'!$Q$6:$Q$236, 'Expenditure Breakdown'!$W$6:$W$236, "&gt;="&amp;LC1,'Expenditure Breakdown'!$W$6:$W$236, "&lt;"&amp;LD1)</f>
        <v>0</v>
      </c>
      <c r="LD11" s="210">
        <f>SUMIFS('Expenditure Breakdown'!$Q$6:$Q$236, 'Expenditure Breakdown'!$W$6:$W$236, "&gt;="&amp;LD1,'Expenditure Breakdown'!$W$6:$W$236, "&lt;"&amp;#REF!)</f>
        <v>0</v>
      </c>
      <c r="LE11" s="187"/>
      <c r="LF11" s="198"/>
      <c r="LG11" s="198"/>
    </row>
    <row r="12" spans="1:794" s="199" customFormat="1">
      <c r="A12" s="854"/>
      <c r="B12" s="208" t="s">
        <v>198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5000</v>
      </c>
      <c r="BF12" s="210">
        <f t="shared" si="26"/>
        <v>5000</v>
      </c>
      <c r="BG12" s="210">
        <f t="shared" si="26"/>
        <v>5000</v>
      </c>
      <c r="BH12" s="210">
        <f t="shared" si="26"/>
        <v>5000</v>
      </c>
      <c r="BI12" s="210">
        <f t="shared" si="26"/>
        <v>5000</v>
      </c>
      <c r="BJ12" s="210">
        <f t="shared" si="26"/>
        <v>5000</v>
      </c>
      <c r="BK12" s="210">
        <f t="shared" si="26"/>
        <v>5000</v>
      </c>
      <c r="BL12" s="210">
        <f t="shared" si="26"/>
        <v>5000</v>
      </c>
      <c r="BM12" s="210">
        <f t="shared" si="26"/>
        <v>5000</v>
      </c>
      <c r="BN12" s="210">
        <f t="shared" si="26"/>
        <v>5000</v>
      </c>
      <c r="BO12" s="210">
        <f t="shared" si="26"/>
        <v>5000</v>
      </c>
      <c r="BP12" s="210">
        <f t="shared" si="26"/>
        <v>5000</v>
      </c>
      <c r="BQ12" s="210">
        <f t="shared" si="26"/>
        <v>5000</v>
      </c>
      <c r="BR12" s="210">
        <f t="shared" si="26"/>
        <v>5000</v>
      </c>
      <c r="BS12" s="210">
        <f t="shared" si="26"/>
        <v>5000</v>
      </c>
      <c r="BT12" s="210">
        <f t="shared" si="26"/>
        <v>5000</v>
      </c>
      <c r="BU12" s="210">
        <f t="shared" ref="BU12:EF12" si="27">BT12+BU11</f>
        <v>5000</v>
      </c>
      <c r="BV12" s="210">
        <f t="shared" si="27"/>
        <v>5000</v>
      </c>
      <c r="BW12" s="210">
        <f t="shared" si="27"/>
        <v>5000</v>
      </c>
      <c r="BX12" s="210">
        <f t="shared" si="27"/>
        <v>5000</v>
      </c>
      <c r="BY12" s="210">
        <f t="shared" si="27"/>
        <v>5000</v>
      </c>
      <c r="BZ12" s="210">
        <f t="shared" si="27"/>
        <v>5000</v>
      </c>
      <c r="CA12" s="210">
        <f t="shared" si="27"/>
        <v>5000</v>
      </c>
      <c r="CB12" s="210">
        <f t="shared" si="27"/>
        <v>5000</v>
      </c>
      <c r="CC12" s="210">
        <f t="shared" si="27"/>
        <v>5000</v>
      </c>
      <c r="CD12" s="210">
        <f t="shared" si="27"/>
        <v>5000</v>
      </c>
      <c r="CE12" s="210">
        <f t="shared" si="27"/>
        <v>5000</v>
      </c>
      <c r="CF12" s="210">
        <f t="shared" si="27"/>
        <v>5000</v>
      </c>
      <c r="CG12" s="210">
        <f t="shared" si="27"/>
        <v>5000</v>
      </c>
      <c r="CH12" s="210">
        <f t="shared" si="27"/>
        <v>5000</v>
      </c>
      <c r="CI12" s="210">
        <f t="shared" si="27"/>
        <v>5000</v>
      </c>
      <c r="CJ12" s="210">
        <f t="shared" si="27"/>
        <v>5000</v>
      </c>
      <c r="CK12" s="210">
        <f t="shared" si="27"/>
        <v>5000</v>
      </c>
      <c r="CL12" s="210">
        <f t="shared" si="27"/>
        <v>5000</v>
      </c>
      <c r="CM12" s="210">
        <f t="shared" si="27"/>
        <v>5000</v>
      </c>
      <c r="CN12" s="210">
        <f t="shared" si="27"/>
        <v>5000</v>
      </c>
      <c r="CO12" s="210">
        <f t="shared" si="27"/>
        <v>5000</v>
      </c>
      <c r="CP12" s="210">
        <f t="shared" si="27"/>
        <v>5000</v>
      </c>
      <c r="CQ12" s="210">
        <f t="shared" si="27"/>
        <v>5000</v>
      </c>
      <c r="CR12" s="210">
        <f t="shared" si="27"/>
        <v>5000</v>
      </c>
      <c r="CS12" s="210">
        <f t="shared" si="27"/>
        <v>5000</v>
      </c>
      <c r="CT12" s="210">
        <f t="shared" si="27"/>
        <v>5000</v>
      </c>
      <c r="CU12" s="210">
        <f t="shared" si="27"/>
        <v>5000</v>
      </c>
      <c r="CV12" s="210">
        <f t="shared" si="27"/>
        <v>5000</v>
      </c>
      <c r="CW12" s="210">
        <f t="shared" si="27"/>
        <v>5000</v>
      </c>
      <c r="CX12" s="210">
        <f t="shared" si="27"/>
        <v>5000</v>
      </c>
      <c r="CY12" s="210">
        <f t="shared" si="27"/>
        <v>5000</v>
      </c>
      <c r="CZ12" s="210">
        <f t="shared" si="27"/>
        <v>5000</v>
      </c>
      <c r="DA12" s="210">
        <f t="shared" si="27"/>
        <v>5000</v>
      </c>
      <c r="DB12" s="210">
        <f t="shared" si="27"/>
        <v>5000</v>
      </c>
      <c r="DC12" s="210">
        <f t="shared" si="27"/>
        <v>5000</v>
      </c>
      <c r="DD12" s="210">
        <f t="shared" si="27"/>
        <v>5000</v>
      </c>
      <c r="DE12" s="210">
        <f t="shared" si="27"/>
        <v>5000</v>
      </c>
      <c r="DF12" s="210">
        <f t="shared" si="27"/>
        <v>5000</v>
      </c>
      <c r="DG12" s="210">
        <f t="shared" si="27"/>
        <v>5000</v>
      </c>
      <c r="DH12" s="210">
        <f t="shared" si="27"/>
        <v>5000</v>
      </c>
      <c r="DI12" s="210">
        <f t="shared" si="27"/>
        <v>5000</v>
      </c>
      <c r="DJ12" s="210">
        <f t="shared" si="27"/>
        <v>5000</v>
      </c>
      <c r="DK12" s="210">
        <f t="shared" si="27"/>
        <v>5000</v>
      </c>
      <c r="DL12" s="210">
        <f t="shared" si="27"/>
        <v>5000</v>
      </c>
      <c r="DM12" s="210">
        <f t="shared" si="27"/>
        <v>5000</v>
      </c>
      <c r="DN12" s="210">
        <f t="shared" si="27"/>
        <v>5000</v>
      </c>
      <c r="DO12" s="210">
        <f t="shared" si="27"/>
        <v>5000</v>
      </c>
      <c r="DP12" s="210">
        <f t="shared" si="27"/>
        <v>5000</v>
      </c>
      <c r="DQ12" s="210">
        <f t="shared" si="27"/>
        <v>5000</v>
      </c>
      <c r="DR12" s="210">
        <f t="shared" si="27"/>
        <v>5000</v>
      </c>
      <c r="DS12" s="210">
        <f t="shared" si="27"/>
        <v>5000</v>
      </c>
      <c r="DT12" s="210">
        <f t="shared" si="27"/>
        <v>5000</v>
      </c>
      <c r="DU12" s="210">
        <f t="shared" si="27"/>
        <v>5000</v>
      </c>
      <c r="DV12" s="210">
        <f t="shared" si="27"/>
        <v>5000</v>
      </c>
      <c r="DW12" s="210">
        <f t="shared" si="27"/>
        <v>5000</v>
      </c>
      <c r="DX12" s="210">
        <f t="shared" si="27"/>
        <v>5000</v>
      </c>
      <c r="DY12" s="210">
        <f t="shared" si="27"/>
        <v>5000</v>
      </c>
      <c r="DZ12" s="210">
        <f t="shared" si="27"/>
        <v>5000</v>
      </c>
      <c r="EA12" s="210">
        <f t="shared" si="27"/>
        <v>5000</v>
      </c>
      <c r="EB12" s="210">
        <f t="shared" si="27"/>
        <v>5000</v>
      </c>
      <c r="EC12" s="210">
        <f t="shared" si="27"/>
        <v>5000</v>
      </c>
      <c r="ED12" s="210">
        <f t="shared" si="27"/>
        <v>5000</v>
      </c>
      <c r="EE12" s="210">
        <f t="shared" si="27"/>
        <v>5000</v>
      </c>
      <c r="EF12" s="210">
        <f t="shared" si="27"/>
        <v>5000</v>
      </c>
      <c r="EG12" s="210">
        <f t="shared" ref="EG12:GR12" si="28">EF12+EG11</f>
        <v>5000</v>
      </c>
      <c r="EH12" s="210">
        <f t="shared" si="28"/>
        <v>5000</v>
      </c>
      <c r="EI12" s="210">
        <f t="shared" si="28"/>
        <v>5000</v>
      </c>
      <c r="EJ12" s="210">
        <f t="shared" si="28"/>
        <v>5000</v>
      </c>
      <c r="EK12" s="210">
        <f t="shared" si="28"/>
        <v>5000</v>
      </c>
      <c r="EL12" s="210">
        <f t="shared" si="28"/>
        <v>5000</v>
      </c>
      <c r="EM12" s="210">
        <f t="shared" si="28"/>
        <v>5000</v>
      </c>
      <c r="EN12" s="210">
        <f t="shared" si="28"/>
        <v>5000</v>
      </c>
      <c r="EO12" s="210">
        <f t="shared" si="28"/>
        <v>5000</v>
      </c>
      <c r="EP12" s="210">
        <f t="shared" si="28"/>
        <v>5000</v>
      </c>
      <c r="EQ12" s="210">
        <f t="shared" si="28"/>
        <v>5000</v>
      </c>
      <c r="ER12" s="210">
        <f t="shared" si="28"/>
        <v>5000</v>
      </c>
      <c r="ES12" s="210">
        <f t="shared" si="28"/>
        <v>5000</v>
      </c>
      <c r="ET12" s="210">
        <f t="shared" si="28"/>
        <v>5000</v>
      </c>
      <c r="EU12" s="210">
        <f t="shared" si="28"/>
        <v>5000</v>
      </c>
      <c r="EV12" s="210">
        <f t="shared" si="28"/>
        <v>5000</v>
      </c>
      <c r="EW12" s="210">
        <f t="shared" si="28"/>
        <v>5000</v>
      </c>
      <c r="EX12" s="210">
        <f t="shared" si="28"/>
        <v>5000</v>
      </c>
      <c r="EY12" s="210">
        <f t="shared" si="28"/>
        <v>5000</v>
      </c>
      <c r="EZ12" s="210">
        <f t="shared" si="28"/>
        <v>5000</v>
      </c>
      <c r="FA12" s="210">
        <f t="shared" si="28"/>
        <v>5000</v>
      </c>
      <c r="FB12" s="210">
        <f t="shared" si="28"/>
        <v>5000</v>
      </c>
      <c r="FC12" s="210">
        <f t="shared" si="28"/>
        <v>5000</v>
      </c>
      <c r="FD12" s="210">
        <f t="shared" si="28"/>
        <v>5000</v>
      </c>
      <c r="FE12" s="210">
        <f t="shared" si="28"/>
        <v>5000</v>
      </c>
      <c r="FF12" s="210">
        <f t="shared" si="28"/>
        <v>5000</v>
      </c>
      <c r="FG12" s="210">
        <f t="shared" si="28"/>
        <v>5000</v>
      </c>
      <c r="FH12" s="210">
        <f t="shared" si="28"/>
        <v>5000</v>
      </c>
      <c r="FI12" s="210">
        <f t="shared" si="28"/>
        <v>5000</v>
      </c>
      <c r="FJ12" s="210">
        <f t="shared" si="28"/>
        <v>5000</v>
      </c>
      <c r="FK12" s="210">
        <f t="shared" si="28"/>
        <v>5000</v>
      </c>
      <c r="FL12" s="210">
        <f t="shared" si="28"/>
        <v>5000</v>
      </c>
      <c r="FM12" s="210">
        <f t="shared" si="28"/>
        <v>5000</v>
      </c>
      <c r="FN12" s="210">
        <f t="shared" si="28"/>
        <v>5000</v>
      </c>
      <c r="FO12" s="210">
        <f t="shared" si="28"/>
        <v>5000</v>
      </c>
      <c r="FP12" s="210">
        <f t="shared" si="28"/>
        <v>5000</v>
      </c>
      <c r="FQ12" s="210">
        <f t="shared" si="28"/>
        <v>5000</v>
      </c>
      <c r="FR12" s="210">
        <f t="shared" si="28"/>
        <v>5000</v>
      </c>
      <c r="FS12" s="210">
        <f t="shared" si="28"/>
        <v>5000</v>
      </c>
      <c r="FT12" s="210">
        <f t="shared" si="28"/>
        <v>5000</v>
      </c>
      <c r="FU12" s="210">
        <f t="shared" si="28"/>
        <v>5000</v>
      </c>
      <c r="FV12" s="210">
        <f t="shared" si="28"/>
        <v>5000</v>
      </c>
      <c r="FW12" s="210">
        <f t="shared" si="28"/>
        <v>5000</v>
      </c>
      <c r="FX12" s="210">
        <f t="shared" si="28"/>
        <v>5000</v>
      </c>
      <c r="FY12" s="210">
        <f t="shared" si="28"/>
        <v>5000</v>
      </c>
      <c r="FZ12" s="210">
        <f t="shared" si="28"/>
        <v>5000</v>
      </c>
      <c r="GA12" s="210">
        <f t="shared" si="28"/>
        <v>5000</v>
      </c>
      <c r="GB12" s="210">
        <f t="shared" si="28"/>
        <v>5000</v>
      </c>
      <c r="GC12" s="210">
        <f t="shared" si="28"/>
        <v>5000</v>
      </c>
      <c r="GD12" s="210">
        <f t="shared" si="28"/>
        <v>5000</v>
      </c>
      <c r="GE12" s="210">
        <f t="shared" si="28"/>
        <v>5000</v>
      </c>
      <c r="GF12" s="210">
        <f t="shared" si="28"/>
        <v>5000</v>
      </c>
      <c r="GG12" s="210">
        <f t="shared" si="28"/>
        <v>5000</v>
      </c>
      <c r="GH12" s="210">
        <f t="shared" si="28"/>
        <v>5000</v>
      </c>
      <c r="GI12" s="210">
        <f t="shared" si="28"/>
        <v>5000</v>
      </c>
      <c r="GJ12" s="210">
        <f t="shared" si="28"/>
        <v>5000</v>
      </c>
      <c r="GK12" s="210">
        <f t="shared" si="28"/>
        <v>5000</v>
      </c>
      <c r="GL12" s="210">
        <f t="shared" si="28"/>
        <v>5000</v>
      </c>
      <c r="GM12" s="210">
        <f t="shared" si="28"/>
        <v>5000</v>
      </c>
      <c r="GN12" s="210">
        <f t="shared" si="28"/>
        <v>5000</v>
      </c>
      <c r="GO12" s="210">
        <f t="shared" si="28"/>
        <v>5000</v>
      </c>
      <c r="GP12" s="210">
        <f t="shared" si="28"/>
        <v>5000</v>
      </c>
      <c r="GQ12" s="210">
        <f t="shared" si="28"/>
        <v>5000</v>
      </c>
      <c r="GR12" s="210">
        <f t="shared" si="28"/>
        <v>5000</v>
      </c>
      <c r="GS12" s="210">
        <f t="shared" ref="GS12:JD12" si="29">GR12+GS11</f>
        <v>5000</v>
      </c>
      <c r="GT12" s="210">
        <f t="shared" si="29"/>
        <v>5000</v>
      </c>
      <c r="GU12" s="210">
        <f t="shared" si="29"/>
        <v>5000</v>
      </c>
      <c r="GV12" s="210">
        <f t="shared" si="29"/>
        <v>5000</v>
      </c>
      <c r="GW12" s="210">
        <f t="shared" si="29"/>
        <v>5000</v>
      </c>
      <c r="GX12" s="210">
        <f t="shared" si="29"/>
        <v>5000</v>
      </c>
      <c r="GY12" s="210">
        <f t="shared" si="29"/>
        <v>5000</v>
      </c>
      <c r="GZ12" s="210">
        <f t="shared" si="29"/>
        <v>5000</v>
      </c>
      <c r="HA12" s="210">
        <f t="shared" si="29"/>
        <v>5000</v>
      </c>
      <c r="HB12" s="210">
        <f t="shared" si="29"/>
        <v>5000</v>
      </c>
      <c r="HC12" s="210">
        <f t="shared" si="29"/>
        <v>5000</v>
      </c>
      <c r="HD12" s="210">
        <f t="shared" si="29"/>
        <v>5000</v>
      </c>
      <c r="HE12" s="210">
        <f t="shared" si="29"/>
        <v>5000</v>
      </c>
      <c r="HF12" s="210">
        <f t="shared" si="29"/>
        <v>5000</v>
      </c>
      <c r="HG12" s="210">
        <f t="shared" si="29"/>
        <v>5000</v>
      </c>
      <c r="HH12" s="210">
        <f t="shared" si="29"/>
        <v>5000</v>
      </c>
      <c r="HI12" s="210">
        <f t="shared" si="29"/>
        <v>5000</v>
      </c>
      <c r="HJ12" s="210">
        <f t="shared" si="29"/>
        <v>5000</v>
      </c>
      <c r="HK12" s="210">
        <f t="shared" si="29"/>
        <v>5000</v>
      </c>
      <c r="HL12" s="210">
        <f t="shared" si="29"/>
        <v>5000</v>
      </c>
      <c r="HM12" s="210">
        <f t="shared" si="29"/>
        <v>5000</v>
      </c>
      <c r="HN12" s="210">
        <f t="shared" si="29"/>
        <v>5000</v>
      </c>
      <c r="HO12" s="210">
        <f t="shared" si="29"/>
        <v>5000</v>
      </c>
      <c r="HP12" s="210">
        <f t="shared" si="29"/>
        <v>5000</v>
      </c>
      <c r="HQ12" s="210">
        <f t="shared" si="29"/>
        <v>5000</v>
      </c>
      <c r="HR12" s="210">
        <f t="shared" si="29"/>
        <v>5000</v>
      </c>
      <c r="HS12" s="210">
        <f t="shared" si="29"/>
        <v>5000</v>
      </c>
      <c r="HT12" s="210">
        <f t="shared" si="29"/>
        <v>5000</v>
      </c>
      <c r="HU12" s="210">
        <f t="shared" si="29"/>
        <v>5000</v>
      </c>
      <c r="HV12" s="210">
        <f t="shared" si="29"/>
        <v>5000</v>
      </c>
      <c r="HW12" s="210">
        <f t="shared" si="29"/>
        <v>5000</v>
      </c>
      <c r="HX12" s="210">
        <f t="shared" si="29"/>
        <v>5000</v>
      </c>
      <c r="HY12" s="210">
        <f t="shared" si="29"/>
        <v>5000</v>
      </c>
      <c r="HZ12" s="210">
        <f t="shared" si="29"/>
        <v>5000</v>
      </c>
      <c r="IA12" s="210">
        <f t="shared" si="29"/>
        <v>5000</v>
      </c>
      <c r="IB12" s="210">
        <f t="shared" si="29"/>
        <v>5000</v>
      </c>
      <c r="IC12" s="210">
        <f t="shared" si="29"/>
        <v>5000</v>
      </c>
      <c r="ID12" s="210">
        <f t="shared" si="29"/>
        <v>5000</v>
      </c>
      <c r="IE12" s="210">
        <f t="shared" si="29"/>
        <v>5000</v>
      </c>
      <c r="IF12" s="210">
        <f t="shared" si="29"/>
        <v>5000</v>
      </c>
      <c r="IG12" s="210">
        <f t="shared" si="29"/>
        <v>5000</v>
      </c>
      <c r="IH12" s="210">
        <f t="shared" si="29"/>
        <v>5000</v>
      </c>
      <c r="II12" s="210">
        <f t="shared" si="29"/>
        <v>5000</v>
      </c>
      <c r="IJ12" s="210">
        <f t="shared" si="29"/>
        <v>5000</v>
      </c>
      <c r="IK12" s="210">
        <f t="shared" si="29"/>
        <v>5000</v>
      </c>
      <c r="IL12" s="210">
        <f t="shared" si="29"/>
        <v>5000</v>
      </c>
      <c r="IM12" s="210">
        <f t="shared" si="29"/>
        <v>5000</v>
      </c>
      <c r="IN12" s="210">
        <f t="shared" si="29"/>
        <v>5000</v>
      </c>
      <c r="IO12" s="210">
        <f t="shared" si="29"/>
        <v>5000</v>
      </c>
      <c r="IP12" s="210">
        <f t="shared" si="29"/>
        <v>5000</v>
      </c>
      <c r="IQ12" s="210">
        <f t="shared" si="29"/>
        <v>5000</v>
      </c>
      <c r="IR12" s="210">
        <f t="shared" si="29"/>
        <v>5000</v>
      </c>
      <c r="IS12" s="210">
        <f t="shared" si="29"/>
        <v>5000</v>
      </c>
      <c r="IT12" s="210">
        <f t="shared" si="29"/>
        <v>5000</v>
      </c>
      <c r="IU12" s="210">
        <f t="shared" si="29"/>
        <v>5000</v>
      </c>
      <c r="IV12" s="210">
        <f t="shared" si="29"/>
        <v>5000</v>
      </c>
      <c r="IW12" s="210">
        <f t="shared" si="29"/>
        <v>5000</v>
      </c>
      <c r="IX12" s="210">
        <f t="shared" si="29"/>
        <v>5000</v>
      </c>
      <c r="IY12" s="210">
        <f t="shared" si="29"/>
        <v>5000</v>
      </c>
      <c r="IZ12" s="210">
        <f t="shared" si="29"/>
        <v>5000</v>
      </c>
      <c r="JA12" s="210">
        <f t="shared" si="29"/>
        <v>5000</v>
      </c>
      <c r="JB12" s="210">
        <f t="shared" si="29"/>
        <v>5000</v>
      </c>
      <c r="JC12" s="210">
        <f t="shared" si="29"/>
        <v>5000</v>
      </c>
      <c r="JD12" s="210">
        <f t="shared" si="29"/>
        <v>5000</v>
      </c>
      <c r="JE12" s="210">
        <f t="shared" ref="JE12:LD12" si="30">JD12+JE11</f>
        <v>5000</v>
      </c>
      <c r="JF12" s="210">
        <f t="shared" si="30"/>
        <v>5000</v>
      </c>
      <c r="JG12" s="210">
        <f t="shared" si="30"/>
        <v>5000</v>
      </c>
      <c r="JH12" s="210">
        <f t="shared" si="30"/>
        <v>5000</v>
      </c>
      <c r="JI12" s="210">
        <f t="shared" si="30"/>
        <v>5000</v>
      </c>
      <c r="JJ12" s="210">
        <f t="shared" si="30"/>
        <v>5000</v>
      </c>
      <c r="JK12" s="210">
        <f t="shared" si="30"/>
        <v>5000</v>
      </c>
      <c r="JL12" s="210">
        <f t="shared" si="30"/>
        <v>5000</v>
      </c>
      <c r="JM12" s="210">
        <f t="shared" si="30"/>
        <v>5000</v>
      </c>
      <c r="JN12" s="210">
        <f t="shared" si="30"/>
        <v>5000</v>
      </c>
      <c r="JO12" s="210">
        <f t="shared" si="30"/>
        <v>5000</v>
      </c>
      <c r="JP12" s="210">
        <f t="shared" si="30"/>
        <v>5000</v>
      </c>
      <c r="JQ12" s="210">
        <f t="shared" si="30"/>
        <v>5000</v>
      </c>
      <c r="JR12" s="210">
        <f t="shared" si="30"/>
        <v>5000</v>
      </c>
      <c r="JS12" s="210">
        <f t="shared" si="30"/>
        <v>5000</v>
      </c>
      <c r="JT12" s="210">
        <f t="shared" si="30"/>
        <v>5000</v>
      </c>
      <c r="JU12" s="210">
        <f t="shared" si="30"/>
        <v>5000</v>
      </c>
      <c r="JV12" s="210">
        <f t="shared" si="30"/>
        <v>5000</v>
      </c>
      <c r="JW12" s="210">
        <f t="shared" si="30"/>
        <v>5000</v>
      </c>
      <c r="JX12" s="210">
        <f t="shared" si="30"/>
        <v>5000</v>
      </c>
      <c r="JY12" s="210">
        <f t="shared" si="30"/>
        <v>5000</v>
      </c>
      <c r="JZ12" s="210">
        <f t="shared" si="30"/>
        <v>5000</v>
      </c>
      <c r="KA12" s="210">
        <f t="shared" si="30"/>
        <v>5000</v>
      </c>
      <c r="KB12" s="210">
        <f t="shared" si="30"/>
        <v>5000</v>
      </c>
      <c r="KC12" s="210">
        <f t="shared" si="30"/>
        <v>5000</v>
      </c>
      <c r="KD12" s="210">
        <f t="shared" si="30"/>
        <v>5000</v>
      </c>
      <c r="KE12" s="210">
        <f t="shared" si="30"/>
        <v>5000</v>
      </c>
      <c r="KF12" s="210">
        <f t="shared" si="30"/>
        <v>5000</v>
      </c>
      <c r="KG12" s="210">
        <f t="shared" si="30"/>
        <v>5000</v>
      </c>
      <c r="KH12" s="210">
        <f t="shared" si="30"/>
        <v>5000</v>
      </c>
      <c r="KI12" s="210">
        <f t="shared" si="30"/>
        <v>5000</v>
      </c>
      <c r="KJ12" s="210">
        <f t="shared" si="30"/>
        <v>5000</v>
      </c>
      <c r="KK12" s="210">
        <f t="shared" si="30"/>
        <v>5000</v>
      </c>
      <c r="KL12" s="210">
        <f t="shared" si="30"/>
        <v>5000</v>
      </c>
      <c r="KM12" s="210">
        <f t="shared" si="30"/>
        <v>5000</v>
      </c>
      <c r="KN12" s="210">
        <f t="shared" si="30"/>
        <v>5000</v>
      </c>
      <c r="KO12" s="210">
        <f t="shared" si="30"/>
        <v>5000</v>
      </c>
      <c r="KP12" s="210">
        <f t="shared" si="30"/>
        <v>5000</v>
      </c>
      <c r="KQ12" s="210">
        <f t="shared" si="30"/>
        <v>5000</v>
      </c>
      <c r="KR12" s="210">
        <f t="shared" si="30"/>
        <v>5000</v>
      </c>
      <c r="KS12" s="210">
        <f t="shared" si="30"/>
        <v>5000</v>
      </c>
      <c r="KT12" s="210">
        <f t="shared" si="30"/>
        <v>5000</v>
      </c>
      <c r="KU12" s="210">
        <f t="shared" si="30"/>
        <v>5000</v>
      </c>
      <c r="KV12" s="210">
        <f t="shared" si="30"/>
        <v>5000</v>
      </c>
      <c r="KW12" s="210">
        <f t="shared" si="30"/>
        <v>5000</v>
      </c>
      <c r="KX12" s="210">
        <f t="shared" si="30"/>
        <v>5000</v>
      </c>
      <c r="KY12" s="210">
        <f t="shared" si="30"/>
        <v>5000</v>
      </c>
      <c r="KZ12" s="210">
        <f t="shared" si="30"/>
        <v>5000</v>
      </c>
      <c r="LA12" s="210">
        <f t="shared" si="30"/>
        <v>5000</v>
      </c>
      <c r="LB12" s="210">
        <f t="shared" si="30"/>
        <v>5000</v>
      </c>
      <c r="LC12" s="210">
        <f t="shared" si="30"/>
        <v>5000</v>
      </c>
      <c r="LD12" s="210">
        <f t="shared" si="30"/>
        <v>5000</v>
      </c>
      <c r="LE12" s="187"/>
      <c r="LF12" s="198"/>
    </row>
    <row r="13" spans="1:794" s="187" customFormat="1">
      <c r="A13" s="854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54"/>
      <c r="B14" s="200" t="s">
        <v>199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0</v>
      </c>
      <c r="BB14" s="203">
        <f t="shared" si="32"/>
        <v>0</v>
      </c>
      <c r="BC14" s="203">
        <f t="shared" si="32"/>
        <v>6255</v>
      </c>
      <c r="BD14" s="203">
        <f t="shared" si="32"/>
        <v>6255</v>
      </c>
      <c r="BE14" s="203">
        <f t="shared" si="32"/>
        <v>1255</v>
      </c>
      <c r="BF14" s="203">
        <f t="shared" si="32"/>
        <v>1255</v>
      </c>
      <c r="BG14" s="203">
        <f t="shared" si="32"/>
        <v>7510</v>
      </c>
      <c r="BH14" s="203">
        <f t="shared" si="32"/>
        <v>7510</v>
      </c>
      <c r="BI14" s="203">
        <f t="shared" si="32"/>
        <v>7510</v>
      </c>
      <c r="BJ14" s="203">
        <f t="shared" si="32"/>
        <v>7510</v>
      </c>
      <c r="BK14" s="203">
        <f t="shared" si="32"/>
        <v>7510</v>
      </c>
      <c r="BL14" s="203">
        <f t="shared" si="32"/>
        <v>7510</v>
      </c>
      <c r="BM14" s="203">
        <f t="shared" si="32"/>
        <v>7510</v>
      </c>
      <c r="BN14" s="203">
        <f t="shared" si="32"/>
        <v>7510</v>
      </c>
      <c r="BO14" s="203">
        <f t="shared" si="32"/>
        <v>7510</v>
      </c>
      <c r="BP14" s="203">
        <f t="shared" si="32"/>
        <v>7510</v>
      </c>
      <c r="BQ14" s="203">
        <f t="shared" si="32"/>
        <v>7510</v>
      </c>
      <c r="BR14" s="203">
        <f t="shared" si="32"/>
        <v>7510</v>
      </c>
      <c r="BS14" s="203">
        <f t="shared" si="32"/>
        <v>7510</v>
      </c>
      <c r="BT14" s="203">
        <f t="shared" si="32"/>
        <v>7510</v>
      </c>
      <c r="BU14" s="203">
        <f t="shared" ref="BU14:EF14" si="33">BU10-BU12</f>
        <v>7510</v>
      </c>
      <c r="BV14" s="203">
        <f t="shared" si="33"/>
        <v>7510</v>
      </c>
      <c r="BW14" s="203">
        <f t="shared" si="33"/>
        <v>7510</v>
      </c>
      <c r="BX14" s="203">
        <f t="shared" si="33"/>
        <v>7510</v>
      </c>
      <c r="BY14" s="203">
        <f t="shared" si="33"/>
        <v>7510</v>
      </c>
      <c r="BZ14" s="203">
        <f t="shared" si="33"/>
        <v>7510</v>
      </c>
      <c r="CA14" s="203">
        <f t="shared" si="33"/>
        <v>7510</v>
      </c>
      <c r="CB14" s="203">
        <f t="shared" si="33"/>
        <v>7510</v>
      </c>
      <c r="CC14" s="203">
        <f t="shared" si="33"/>
        <v>7510</v>
      </c>
      <c r="CD14" s="203">
        <f t="shared" si="33"/>
        <v>7510</v>
      </c>
      <c r="CE14" s="203">
        <f t="shared" si="33"/>
        <v>7510</v>
      </c>
      <c r="CF14" s="203">
        <f t="shared" si="33"/>
        <v>7510</v>
      </c>
      <c r="CG14" s="203">
        <f t="shared" si="33"/>
        <v>7510</v>
      </c>
      <c r="CH14" s="203">
        <f t="shared" si="33"/>
        <v>7510</v>
      </c>
      <c r="CI14" s="203">
        <f t="shared" si="33"/>
        <v>7510</v>
      </c>
      <c r="CJ14" s="203">
        <f t="shared" si="33"/>
        <v>7510</v>
      </c>
      <c r="CK14" s="203">
        <f t="shared" si="33"/>
        <v>7510</v>
      </c>
      <c r="CL14" s="203">
        <f t="shared" si="33"/>
        <v>7510</v>
      </c>
      <c r="CM14" s="203">
        <f t="shared" si="33"/>
        <v>7510</v>
      </c>
      <c r="CN14" s="203">
        <f t="shared" si="33"/>
        <v>7510</v>
      </c>
      <c r="CO14" s="203">
        <f t="shared" si="33"/>
        <v>7510</v>
      </c>
      <c r="CP14" s="203">
        <f t="shared" si="33"/>
        <v>7510</v>
      </c>
      <c r="CQ14" s="203">
        <f t="shared" si="33"/>
        <v>7510</v>
      </c>
      <c r="CR14" s="203">
        <f t="shared" si="33"/>
        <v>7510</v>
      </c>
      <c r="CS14" s="203">
        <f t="shared" si="33"/>
        <v>7510</v>
      </c>
      <c r="CT14" s="203">
        <f t="shared" si="33"/>
        <v>7510</v>
      </c>
      <c r="CU14" s="203">
        <f t="shared" si="33"/>
        <v>7510</v>
      </c>
      <c r="CV14" s="203">
        <f t="shared" si="33"/>
        <v>7510</v>
      </c>
      <c r="CW14" s="203">
        <f t="shared" si="33"/>
        <v>7510</v>
      </c>
      <c r="CX14" s="203">
        <f t="shared" si="33"/>
        <v>7510</v>
      </c>
      <c r="CY14" s="203">
        <f t="shared" si="33"/>
        <v>7510</v>
      </c>
      <c r="CZ14" s="203">
        <f t="shared" si="33"/>
        <v>7510</v>
      </c>
      <c r="DA14" s="203">
        <f t="shared" si="33"/>
        <v>7510</v>
      </c>
      <c r="DB14" s="203">
        <f t="shared" si="33"/>
        <v>7510</v>
      </c>
      <c r="DC14" s="203">
        <f t="shared" si="33"/>
        <v>7510</v>
      </c>
      <c r="DD14" s="203">
        <f t="shared" si="33"/>
        <v>7510</v>
      </c>
      <c r="DE14" s="203">
        <f t="shared" si="33"/>
        <v>7510</v>
      </c>
      <c r="DF14" s="203">
        <f t="shared" si="33"/>
        <v>7510</v>
      </c>
      <c r="DG14" s="203">
        <f t="shared" si="33"/>
        <v>7510</v>
      </c>
      <c r="DH14" s="203">
        <f t="shared" si="33"/>
        <v>7510</v>
      </c>
      <c r="DI14" s="203">
        <f t="shared" si="33"/>
        <v>7510</v>
      </c>
      <c r="DJ14" s="203">
        <f t="shared" si="33"/>
        <v>7510</v>
      </c>
      <c r="DK14" s="203">
        <f t="shared" si="33"/>
        <v>7510</v>
      </c>
      <c r="DL14" s="203">
        <f t="shared" si="33"/>
        <v>7510</v>
      </c>
      <c r="DM14" s="203">
        <f t="shared" si="33"/>
        <v>7510</v>
      </c>
      <c r="DN14" s="203">
        <f t="shared" si="33"/>
        <v>7510</v>
      </c>
      <c r="DO14" s="203">
        <f t="shared" si="33"/>
        <v>7510</v>
      </c>
      <c r="DP14" s="203">
        <f t="shared" si="33"/>
        <v>7510</v>
      </c>
      <c r="DQ14" s="203">
        <f t="shared" si="33"/>
        <v>7510</v>
      </c>
      <c r="DR14" s="203">
        <f t="shared" si="33"/>
        <v>7510</v>
      </c>
      <c r="DS14" s="203">
        <f t="shared" si="33"/>
        <v>7510</v>
      </c>
      <c r="DT14" s="203">
        <f t="shared" si="33"/>
        <v>7510</v>
      </c>
      <c r="DU14" s="203">
        <f t="shared" si="33"/>
        <v>7510</v>
      </c>
      <c r="DV14" s="203">
        <f t="shared" si="33"/>
        <v>7510</v>
      </c>
      <c r="DW14" s="203">
        <f t="shared" si="33"/>
        <v>7510</v>
      </c>
      <c r="DX14" s="203">
        <f t="shared" si="33"/>
        <v>7510</v>
      </c>
      <c r="DY14" s="203">
        <f t="shared" si="33"/>
        <v>7510</v>
      </c>
      <c r="DZ14" s="203">
        <f t="shared" si="33"/>
        <v>7510</v>
      </c>
      <c r="EA14" s="203">
        <f t="shared" si="33"/>
        <v>7510</v>
      </c>
      <c r="EB14" s="203">
        <f t="shared" si="33"/>
        <v>7510</v>
      </c>
      <c r="EC14" s="203">
        <f t="shared" si="33"/>
        <v>7510</v>
      </c>
      <c r="ED14" s="203">
        <f t="shared" si="33"/>
        <v>7510</v>
      </c>
      <c r="EE14" s="203">
        <f t="shared" si="33"/>
        <v>7510</v>
      </c>
      <c r="EF14" s="203">
        <f t="shared" si="33"/>
        <v>7510</v>
      </c>
      <c r="EG14" s="203">
        <f t="shared" ref="EG14:GR14" si="34">EG10-EG12</f>
        <v>7510</v>
      </c>
      <c r="EH14" s="203">
        <f t="shared" si="34"/>
        <v>7510</v>
      </c>
      <c r="EI14" s="203">
        <f t="shared" si="34"/>
        <v>7510</v>
      </c>
      <c r="EJ14" s="203">
        <f t="shared" si="34"/>
        <v>7510</v>
      </c>
      <c r="EK14" s="203">
        <f t="shared" si="34"/>
        <v>7510</v>
      </c>
      <c r="EL14" s="203">
        <f t="shared" si="34"/>
        <v>7510</v>
      </c>
      <c r="EM14" s="203">
        <f t="shared" si="34"/>
        <v>7510</v>
      </c>
      <c r="EN14" s="203">
        <f t="shared" si="34"/>
        <v>7510</v>
      </c>
      <c r="EO14" s="203">
        <f t="shared" si="34"/>
        <v>7510</v>
      </c>
      <c r="EP14" s="203">
        <f t="shared" si="34"/>
        <v>7510</v>
      </c>
      <c r="EQ14" s="203">
        <f t="shared" si="34"/>
        <v>7510</v>
      </c>
      <c r="ER14" s="203">
        <f t="shared" si="34"/>
        <v>7510</v>
      </c>
      <c r="ES14" s="203">
        <f t="shared" si="34"/>
        <v>7510</v>
      </c>
      <c r="ET14" s="203">
        <f t="shared" si="34"/>
        <v>7510</v>
      </c>
      <c r="EU14" s="203">
        <f t="shared" si="34"/>
        <v>7510</v>
      </c>
      <c r="EV14" s="203">
        <f t="shared" si="34"/>
        <v>7510</v>
      </c>
      <c r="EW14" s="203">
        <f t="shared" si="34"/>
        <v>7510</v>
      </c>
      <c r="EX14" s="203">
        <f t="shared" si="34"/>
        <v>7510</v>
      </c>
      <c r="EY14" s="203">
        <f t="shared" si="34"/>
        <v>7510</v>
      </c>
      <c r="EZ14" s="203">
        <f t="shared" si="34"/>
        <v>7510</v>
      </c>
      <c r="FA14" s="203">
        <f t="shared" si="34"/>
        <v>7510</v>
      </c>
      <c r="FB14" s="203">
        <f t="shared" si="34"/>
        <v>7510</v>
      </c>
      <c r="FC14" s="203">
        <f t="shared" si="34"/>
        <v>7510</v>
      </c>
      <c r="FD14" s="203">
        <f t="shared" si="34"/>
        <v>7510</v>
      </c>
      <c r="FE14" s="203">
        <f t="shared" si="34"/>
        <v>7510</v>
      </c>
      <c r="FF14" s="203">
        <f t="shared" si="34"/>
        <v>7510</v>
      </c>
      <c r="FG14" s="203">
        <f t="shared" si="34"/>
        <v>7510</v>
      </c>
      <c r="FH14" s="203">
        <f t="shared" si="34"/>
        <v>7510</v>
      </c>
      <c r="FI14" s="203">
        <f t="shared" si="34"/>
        <v>7510</v>
      </c>
      <c r="FJ14" s="203">
        <f t="shared" si="34"/>
        <v>7510</v>
      </c>
      <c r="FK14" s="203">
        <f t="shared" si="34"/>
        <v>7510</v>
      </c>
      <c r="FL14" s="203">
        <f t="shared" si="34"/>
        <v>7510</v>
      </c>
      <c r="FM14" s="203">
        <f t="shared" si="34"/>
        <v>7510</v>
      </c>
      <c r="FN14" s="203">
        <f t="shared" si="34"/>
        <v>7510</v>
      </c>
      <c r="FO14" s="203">
        <f t="shared" si="34"/>
        <v>7510</v>
      </c>
      <c r="FP14" s="203">
        <f t="shared" si="34"/>
        <v>7510</v>
      </c>
      <c r="FQ14" s="203">
        <f t="shared" si="34"/>
        <v>7510</v>
      </c>
      <c r="FR14" s="203">
        <f t="shared" si="34"/>
        <v>7510</v>
      </c>
      <c r="FS14" s="203">
        <f t="shared" si="34"/>
        <v>7510</v>
      </c>
      <c r="FT14" s="203">
        <f t="shared" si="34"/>
        <v>7510</v>
      </c>
      <c r="FU14" s="203">
        <f t="shared" si="34"/>
        <v>7510</v>
      </c>
      <c r="FV14" s="203">
        <f t="shared" si="34"/>
        <v>7510</v>
      </c>
      <c r="FW14" s="203">
        <f t="shared" si="34"/>
        <v>7510</v>
      </c>
      <c r="FX14" s="203">
        <f t="shared" si="34"/>
        <v>7510</v>
      </c>
      <c r="FY14" s="203">
        <f t="shared" si="34"/>
        <v>7510</v>
      </c>
      <c r="FZ14" s="203">
        <f t="shared" si="34"/>
        <v>7510</v>
      </c>
      <c r="GA14" s="203">
        <f t="shared" si="34"/>
        <v>7510</v>
      </c>
      <c r="GB14" s="203">
        <f t="shared" si="34"/>
        <v>7510</v>
      </c>
      <c r="GC14" s="203">
        <f t="shared" si="34"/>
        <v>7510</v>
      </c>
      <c r="GD14" s="203">
        <f t="shared" si="34"/>
        <v>7510</v>
      </c>
      <c r="GE14" s="203">
        <f t="shared" si="34"/>
        <v>7510</v>
      </c>
      <c r="GF14" s="203">
        <f t="shared" si="34"/>
        <v>7510</v>
      </c>
      <c r="GG14" s="203">
        <f t="shared" si="34"/>
        <v>7510</v>
      </c>
      <c r="GH14" s="203">
        <f t="shared" si="34"/>
        <v>7510</v>
      </c>
      <c r="GI14" s="203">
        <f t="shared" si="34"/>
        <v>7510</v>
      </c>
      <c r="GJ14" s="203">
        <f t="shared" si="34"/>
        <v>7510</v>
      </c>
      <c r="GK14" s="203">
        <f t="shared" si="34"/>
        <v>7510</v>
      </c>
      <c r="GL14" s="203">
        <f t="shared" si="34"/>
        <v>7510</v>
      </c>
      <c r="GM14" s="203">
        <f t="shared" si="34"/>
        <v>7510</v>
      </c>
      <c r="GN14" s="203">
        <f t="shared" si="34"/>
        <v>7510</v>
      </c>
      <c r="GO14" s="203">
        <f t="shared" si="34"/>
        <v>7510</v>
      </c>
      <c r="GP14" s="203">
        <f t="shared" si="34"/>
        <v>7510</v>
      </c>
      <c r="GQ14" s="203">
        <f t="shared" si="34"/>
        <v>7510</v>
      </c>
      <c r="GR14" s="203">
        <f t="shared" si="34"/>
        <v>7510</v>
      </c>
      <c r="GS14" s="203">
        <f t="shared" ref="GS14:JD14" si="35">GS10-GS12</f>
        <v>7510</v>
      </c>
      <c r="GT14" s="203">
        <f t="shared" si="35"/>
        <v>7510</v>
      </c>
      <c r="GU14" s="203">
        <f t="shared" si="35"/>
        <v>7510</v>
      </c>
      <c r="GV14" s="203">
        <f t="shared" si="35"/>
        <v>7510</v>
      </c>
      <c r="GW14" s="203">
        <f t="shared" si="35"/>
        <v>7510</v>
      </c>
      <c r="GX14" s="203">
        <f t="shared" si="35"/>
        <v>7510</v>
      </c>
      <c r="GY14" s="203">
        <f t="shared" si="35"/>
        <v>7510</v>
      </c>
      <c r="GZ14" s="203">
        <f t="shared" si="35"/>
        <v>7510</v>
      </c>
      <c r="HA14" s="203">
        <f t="shared" si="35"/>
        <v>7510</v>
      </c>
      <c r="HB14" s="203">
        <f t="shared" si="35"/>
        <v>7510</v>
      </c>
      <c r="HC14" s="203">
        <f t="shared" si="35"/>
        <v>7510</v>
      </c>
      <c r="HD14" s="203">
        <f t="shared" si="35"/>
        <v>7510</v>
      </c>
      <c r="HE14" s="203">
        <f t="shared" si="35"/>
        <v>7510</v>
      </c>
      <c r="HF14" s="203">
        <f t="shared" si="35"/>
        <v>7510</v>
      </c>
      <c r="HG14" s="203">
        <f t="shared" si="35"/>
        <v>7510</v>
      </c>
      <c r="HH14" s="203">
        <f t="shared" si="35"/>
        <v>7510</v>
      </c>
      <c r="HI14" s="203">
        <f t="shared" si="35"/>
        <v>7510</v>
      </c>
      <c r="HJ14" s="203">
        <f t="shared" si="35"/>
        <v>7510</v>
      </c>
      <c r="HK14" s="203">
        <f t="shared" si="35"/>
        <v>7510</v>
      </c>
      <c r="HL14" s="203">
        <f t="shared" si="35"/>
        <v>7510</v>
      </c>
      <c r="HM14" s="203">
        <f t="shared" si="35"/>
        <v>7510</v>
      </c>
      <c r="HN14" s="203">
        <f t="shared" si="35"/>
        <v>7510</v>
      </c>
      <c r="HO14" s="203">
        <f t="shared" si="35"/>
        <v>7510</v>
      </c>
      <c r="HP14" s="203">
        <f t="shared" si="35"/>
        <v>7510</v>
      </c>
      <c r="HQ14" s="203">
        <f t="shared" si="35"/>
        <v>7510</v>
      </c>
      <c r="HR14" s="203">
        <f t="shared" si="35"/>
        <v>7510</v>
      </c>
      <c r="HS14" s="203">
        <f t="shared" si="35"/>
        <v>7510</v>
      </c>
      <c r="HT14" s="203">
        <f t="shared" si="35"/>
        <v>7510</v>
      </c>
      <c r="HU14" s="203">
        <f t="shared" si="35"/>
        <v>7510</v>
      </c>
      <c r="HV14" s="203">
        <f t="shared" si="35"/>
        <v>7510</v>
      </c>
      <c r="HW14" s="203">
        <f t="shared" si="35"/>
        <v>7510</v>
      </c>
      <c r="HX14" s="203">
        <f t="shared" si="35"/>
        <v>7510</v>
      </c>
      <c r="HY14" s="203">
        <f t="shared" si="35"/>
        <v>7510</v>
      </c>
      <c r="HZ14" s="203">
        <f t="shared" si="35"/>
        <v>7510</v>
      </c>
      <c r="IA14" s="203">
        <f t="shared" si="35"/>
        <v>7510</v>
      </c>
      <c r="IB14" s="203">
        <f t="shared" si="35"/>
        <v>7510</v>
      </c>
      <c r="IC14" s="203">
        <f t="shared" si="35"/>
        <v>7510</v>
      </c>
      <c r="ID14" s="203">
        <f t="shared" si="35"/>
        <v>7510</v>
      </c>
      <c r="IE14" s="203">
        <f t="shared" si="35"/>
        <v>7510</v>
      </c>
      <c r="IF14" s="203">
        <f t="shared" si="35"/>
        <v>7510</v>
      </c>
      <c r="IG14" s="203">
        <f t="shared" si="35"/>
        <v>7510</v>
      </c>
      <c r="IH14" s="203">
        <f t="shared" si="35"/>
        <v>7510</v>
      </c>
      <c r="II14" s="203">
        <f t="shared" si="35"/>
        <v>7510</v>
      </c>
      <c r="IJ14" s="203">
        <f t="shared" si="35"/>
        <v>7510</v>
      </c>
      <c r="IK14" s="203">
        <f t="shared" si="35"/>
        <v>7510</v>
      </c>
      <c r="IL14" s="203">
        <f t="shared" si="35"/>
        <v>7510</v>
      </c>
      <c r="IM14" s="203">
        <f t="shared" si="35"/>
        <v>7510</v>
      </c>
      <c r="IN14" s="203">
        <f t="shared" si="35"/>
        <v>7510</v>
      </c>
      <c r="IO14" s="203">
        <f t="shared" si="35"/>
        <v>7510</v>
      </c>
      <c r="IP14" s="203">
        <f t="shared" si="35"/>
        <v>7510</v>
      </c>
      <c r="IQ14" s="203">
        <f t="shared" si="35"/>
        <v>7510</v>
      </c>
      <c r="IR14" s="203">
        <f t="shared" si="35"/>
        <v>7510</v>
      </c>
      <c r="IS14" s="203">
        <f t="shared" si="35"/>
        <v>7510</v>
      </c>
      <c r="IT14" s="203">
        <f t="shared" si="35"/>
        <v>7510</v>
      </c>
      <c r="IU14" s="203">
        <f t="shared" si="35"/>
        <v>7510</v>
      </c>
      <c r="IV14" s="203">
        <f t="shared" si="35"/>
        <v>7510</v>
      </c>
      <c r="IW14" s="203">
        <f t="shared" si="35"/>
        <v>7510</v>
      </c>
      <c r="IX14" s="203">
        <f t="shared" si="35"/>
        <v>7510</v>
      </c>
      <c r="IY14" s="203">
        <f t="shared" si="35"/>
        <v>7510</v>
      </c>
      <c r="IZ14" s="203">
        <f t="shared" si="35"/>
        <v>7510</v>
      </c>
      <c r="JA14" s="203">
        <f t="shared" si="35"/>
        <v>7510</v>
      </c>
      <c r="JB14" s="203">
        <f t="shared" si="35"/>
        <v>7510</v>
      </c>
      <c r="JC14" s="203">
        <f t="shared" si="35"/>
        <v>7510</v>
      </c>
      <c r="JD14" s="203">
        <f t="shared" si="35"/>
        <v>7510</v>
      </c>
      <c r="JE14" s="203">
        <f t="shared" ref="JE14:LD14" si="36">JE10-JE12</f>
        <v>7510</v>
      </c>
      <c r="JF14" s="203">
        <f t="shared" si="36"/>
        <v>7510</v>
      </c>
      <c r="JG14" s="203">
        <f t="shared" si="36"/>
        <v>7510</v>
      </c>
      <c r="JH14" s="203">
        <f t="shared" si="36"/>
        <v>7510</v>
      </c>
      <c r="JI14" s="203">
        <f t="shared" si="36"/>
        <v>7510</v>
      </c>
      <c r="JJ14" s="203">
        <f t="shared" si="36"/>
        <v>7510</v>
      </c>
      <c r="JK14" s="203">
        <f t="shared" si="36"/>
        <v>7510</v>
      </c>
      <c r="JL14" s="203">
        <f t="shared" si="36"/>
        <v>7510</v>
      </c>
      <c r="JM14" s="203">
        <f t="shared" si="36"/>
        <v>7510</v>
      </c>
      <c r="JN14" s="203">
        <f t="shared" si="36"/>
        <v>7510</v>
      </c>
      <c r="JO14" s="203">
        <f t="shared" si="36"/>
        <v>7510</v>
      </c>
      <c r="JP14" s="203">
        <f t="shared" si="36"/>
        <v>7510</v>
      </c>
      <c r="JQ14" s="203">
        <f t="shared" si="36"/>
        <v>7510</v>
      </c>
      <c r="JR14" s="203">
        <f t="shared" si="36"/>
        <v>7510</v>
      </c>
      <c r="JS14" s="203">
        <f t="shared" si="36"/>
        <v>7510</v>
      </c>
      <c r="JT14" s="203">
        <f t="shared" si="36"/>
        <v>7510</v>
      </c>
      <c r="JU14" s="203">
        <f t="shared" si="36"/>
        <v>7510</v>
      </c>
      <c r="JV14" s="203">
        <f t="shared" si="36"/>
        <v>7510</v>
      </c>
      <c r="JW14" s="203">
        <f t="shared" si="36"/>
        <v>7510</v>
      </c>
      <c r="JX14" s="203">
        <f t="shared" si="36"/>
        <v>7510</v>
      </c>
      <c r="JY14" s="203">
        <f t="shared" si="36"/>
        <v>7510</v>
      </c>
      <c r="JZ14" s="203">
        <f t="shared" si="36"/>
        <v>7510</v>
      </c>
      <c r="KA14" s="203">
        <f t="shared" si="36"/>
        <v>7510</v>
      </c>
      <c r="KB14" s="203">
        <f t="shared" si="36"/>
        <v>7510</v>
      </c>
      <c r="KC14" s="203">
        <f t="shared" si="36"/>
        <v>7510</v>
      </c>
      <c r="KD14" s="203">
        <f t="shared" si="36"/>
        <v>7510</v>
      </c>
      <c r="KE14" s="203">
        <f t="shared" si="36"/>
        <v>7510</v>
      </c>
      <c r="KF14" s="203">
        <f t="shared" si="36"/>
        <v>7510</v>
      </c>
      <c r="KG14" s="203">
        <f t="shared" si="36"/>
        <v>7510</v>
      </c>
      <c r="KH14" s="203">
        <f t="shared" si="36"/>
        <v>7510</v>
      </c>
      <c r="KI14" s="203">
        <f t="shared" si="36"/>
        <v>7510</v>
      </c>
      <c r="KJ14" s="203">
        <f t="shared" si="36"/>
        <v>7510</v>
      </c>
      <c r="KK14" s="203">
        <f t="shared" si="36"/>
        <v>7510</v>
      </c>
      <c r="KL14" s="203">
        <f t="shared" si="36"/>
        <v>7510</v>
      </c>
      <c r="KM14" s="203">
        <f t="shared" si="36"/>
        <v>7510</v>
      </c>
      <c r="KN14" s="203">
        <f t="shared" si="36"/>
        <v>7510</v>
      </c>
      <c r="KO14" s="203">
        <f t="shared" si="36"/>
        <v>7510</v>
      </c>
      <c r="KP14" s="203">
        <f t="shared" si="36"/>
        <v>7510</v>
      </c>
      <c r="KQ14" s="203">
        <f t="shared" si="36"/>
        <v>7510</v>
      </c>
      <c r="KR14" s="203">
        <f t="shared" si="36"/>
        <v>7510</v>
      </c>
      <c r="KS14" s="203">
        <f t="shared" si="36"/>
        <v>7510</v>
      </c>
      <c r="KT14" s="203">
        <f t="shared" si="36"/>
        <v>7510</v>
      </c>
      <c r="KU14" s="203">
        <f t="shared" si="36"/>
        <v>7510</v>
      </c>
      <c r="KV14" s="203">
        <f t="shared" si="36"/>
        <v>7510</v>
      </c>
      <c r="KW14" s="203">
        <f t="shared" si="36"/>
        <v>7510</v>
      </c>
      <c r="KX14" s="203">
        <f t="shared" si="36"/>
        <v>7510</v>
      </c>
      <c r="KY14" s="203">
        <f t="shared" si="36"/>
        <v>7510</v>
      </c>
      <c r="KZ14" s="203">
        <f t="shared" si="36"/>
        <v>7510</v>
      </c>
      <c r="LA14" s="203">
        <f t="shared" si="36"/>
        <v>7510</v>
      </c>
      <c r="LB14" s="203">
        <f t="shared" si="36"/>
        <v>7510</v>
      </c>
      <c r="LC14" s="203">
        <f t="shared" si="36"/>
        <v>7510</v>
      </c>
      <c r="LD14" s="203">
        <f t="shared" si="36"/>
        <v>7510</v>
      </c>
    </row>
    <row r="15" spans="1:794" s="187" customFormat="1"/>
    <row r="16" spans="1:794" s="187" customFormat="1">
      <c r="C16" s="189" t="s">
        <v>176</v>
      </c>
      <c r="D16" s="189" t="s">
        <v>176</v>
      </c>
    </row>
    <row r="17" spans="1:316">
      <c r="A17" s="855"/>
      <c r="B17" s="191" t="s">
        <v>200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Breakdown'!$U$6:$U$236, 'Expenditure Breakdown'!$T$6:$T$236, "&gt;="&amp;F1,'Expenditure Breakdown'!$T$6:$T$236, "&lt;"&amp;G1)</f>
        <v>0</v>
      </c>
      <c r="G17" s="210">
        <f>SUMIFS('Expenditure Breakdown'!$U$6:$U$236, 'Expenditure Breakdown'!$T$6:$T$236, "&gt;="&amp;G1,'Expenditure Breakdown'!$T$6:$T$236, "&lt;"&amp;H1)</f>
        <v>0</v>
      </c>
      <c r="H17" s="210">
        <f>SUMIFS('Expenditure Breakdown'!$U$6:$U$236, 'Expenditure Breakdown'!$T$6:$T$236, "&gt;="&amp;H1,'Expenditure Breakdown'!$T$6:$T$236, "&lt;"&amp;I1)</f>
        <v>0</v>
      </c>
      <c r="I17" s="210">
        <f>SUMIFS('Expenditure Breakdown'!$U$6:$U$236, 'Expenditure Breakdown'!$T$6:$T$236, "&gt;="&amp;I1,'Expenditure Breakdown'!$T$6:$T$236, "&lt;"&amp;J1)</f>
        <v>0</v>
      </c>
      <c r="J17" s="210">
        <f>SUMIFS('Expenditure Breakdown'!$U$6:$U$236, 'Expenditure Breakdown'!$T$6:$T$236, "&gt;="&amp;J1,'Expenditure Breakdown'!$T$6:$T$236, "&lt;"&amp;K1)</f>
        <v>0</v>
      </c>
      <c r="K17" s="210">
        <f>SUMIFS('Expenditure Breakdown'!$U$6:$U$236, 'Expenditure Breakdown'!$T$6:$T$236, "&gt;="&amp;K1,'Expenditure Breakdown'!$T$6:$T$236, "&lt;"&amp;L1)</f>
        <v>0</v>
      </c>
      <c r="L17" s="210">
        <f>SUMIFS('Expenditure Breakdown'!$U$6:$U$236, 'Expenditure Breakdown'!$T$6:$T$236, "&gt;="&amp;L1,'Expenditure Breakdown'!$T$6:$T$236, "&lt;"&amp;M1)</f>
        <v>0</v>
      </c>
      <c r="M17" s="210">
        <f>SUMIFS('Expenditure Breakdown'!$U$6:$U$236, 'Expenditure Breakdown'!$T$6:$T$236, "&gt;="&amp;M1,'Expenditure Breakdown'!$T$6:$T$236, "&lt;"&amp;N1)</f>
        <v>0</v>
      </c>
      <c r="N17" s="210">
        <f>SUMIFS('Expenditure Breakdown'!$U$6:$U$236, 'Expenditure Breakdown'!$T$6:$T$236, "&gt;="&amp;N1,'Expenditure Breakdown'!$T$6:$T$236, "&lt;"&amp;O1)</f>
        <v>0</v>
      </c>
      <c r="O17" s="210">
        <f>SUMIFS('Expenditure Breakdown'!$U$6:$U$236, 'Expenditure Breakdown'!$T$6:$T$236, "&gt;="&amp;O1,'Expenditure Breakdown'!$T$6:$T$236, "&lt;"&amp;P1)</f>
        <v>0</v>
      </c>
      <c r="P17" s="210">
        <f>SUMIFS('Expenditure Breakdown'!$U$6:$U$236, 'Expenditure Breakdown'!$T$6:$T$236, "&gt;="&amp;P1,'Expenditure Breakdown'!$T$6:$T$236, "&lt;"&amp;Q1)</f>
        <v>0</v>
      </c>
      <c r="Q17" s="210">
        <f>SUMIFS('Expenditure Breakdown'!$U$6:$U$236, 'Expenditure Breakdown'!$T$6:$T$236, "&gt;="&amp;Q1,'Expenditure Breakdown'!$T$6:$T$236, "&lt;"&amp;R1)</f>
        <v>0</v>
      </c>
      <c r="R17" s="210">
        <f>SUMIFS('Expenditure Breakdown'!$U$6:$U$236, 'Expenditure Breakdown'!$T$6:$T$236, "&gt;="&amp;R1,'Expenditure Breakdown'!$T$6:$T$236, "&lt;"&amp;S1)</f>
        <v>0</v>
      </c>
      <c r="S17" s="210">
        <f>SUMIFS('Expenditure Breakdown'!$U$6:$U$236, 'Expenditure Breakdown'!$T$6:$T$236, "&gt;="&amp;S1,'Expenditure Breakdown'!$T$6:$T$236, "&lt;"&amp;T1)</f>
        <v>0</v>
      </c>
      <c r="T17" s="210">
        <f>SUMIFS('Expenditure Breakdown'!$U$6:$U$236, 'Expenditure Breakdown'!$T$6:$T$236, "&gt;="&amp;T1,'Expenditure Breakdown'!$T$6:$T$236, "&lt;"&amp;U1)</f>
        <v>0</v>
      </c>
      <c r="U17" s="210">
        <f>SUMIFS('Expenditure Breakdown'!$U$6:$U$236, 'Expenditure Breakdown'!$T$6:$T$236, "&gt;="&amp;U1,'Expenditure Breakdown'!$T$6:$T$236, "&lt;"&amp;V1)</f>
        <v>0</v>
      </c>
      <c r="V17" s="210">
        <f>SUMIFS('Expenditure Breakdown'!$U$6:$U$236, 'Expenditure Breakdown'!$T$6:$T$236, "&gt;="&amp;V1,'Expenditure Breakdown'!$T$6:$T$236, "&lt;"&amp;W1)</f>
        <v>0</v>
      </c>
      <c r="W17" s="210">
        <f>SUMIFS('Expenditure Breakdown'!$U$6:$U$236, 'Expenditure Breakdown'!$T$6:$T$236, "&gt;="&amp;W1,'Expenditure Breakdown'!$T$6:$T$236, "&lt;"&amp;X1)</f>
        <v>0</v>
      </c>
      <c r="X17" s="210">
        <f>SUMIFS('Expenditure Breakdown'!$U$6:$U$236, 'Expenditure Breakdown'!$T$6:$T$236, "&gt;="&amp;X1,'Expenditure Breakdown'!$T$6:$T$236, "&lt;"&amp;Y1)</f>
        <v>0</v>
      </c>
      <c r="Y17" s="210">
        <f>SUMIFS('Expenditure Breakdown'!$U$6:$U$236, 'Expenditure Breakdown'!$T$6:$T$236, "&gt;="&amp;Y1,'Expenditure Breakdown'!$T$6:$T$236, "&lt;"&amp;Z1)</f>
        <v>0</v>
      </c>
      <c r="Z17" s="210">
        <f>SUMIFS('Expenditure Breakdown'!$U$6:$U$236, 'Expenditure Breakdown'!$T$6:$T$236, "&gt;="&amp;Z1,'Expenditure Breakdown'!$T$6:$T$236, "&lt;"&amp;AA1)</f>
        <v>0</v>
      </c>
      <c r="AA17" s="210">
        <f>SUMIFS('Expenditure Breakdown'!$U$6:$U$236, 'Expenditure Breakdown'!$T$6:$T$236, "&gt;="&amp;AA1,'Expenditure Breakdown'!$T$6:$T$236, "&lt;"&amp;AB1)</f>
        <v>0</v>
      </c>
      <c r="AB17" s="210">
        <f>SUMIFS('Expenditure Breakdown'!$U$6:$U$236, 'Expenditure Breakdown'!$T$6:$T$236, "&gt;="&amp;AB1,'Expenditure Breakdown'!$T$6:$T$236, "&lt;"&amp;AC1)</f>
        <v>0</v>
      </c>
      <c r="AC17" s="210">
        <f>SUMIFS('Expenditure Breakdown'!$U$6:$U$236, 'Expenditure Breakdown'!$T$6:$T$236, "&gt;="&amp;AC1,'Expenditure Breakdown'!$T$6:$T$236, "&lt;"&amp;AD1)</f>
        <v>0</v>
      </c>
      <c r="AD17" s="210">
        <f>SUMIFS('Expenditure Breakdown'!$U$6:$U$236, 'Expenditure Breakdown'!$T$6:$T$236, "&gt;="&amp;AD1,'Expenditure Breakdown'!$T$6:$T$236, "&lt;"&amp;AE1)</f>
        <v>0</v>
      </c>
      <c r="AE17" s="210">
        <f>SUMIFS('Expenditure Breakdown'!$U$6:$U$236, 'Expenditure Breakdown'!$T$6:$T$236, "&gt;="&amp;AE1,'Expenditure Breakdown'!$T$6:$T$236, "&lt;"&amp;AF1)</f>
        <v>0</v>
      </c>
      <c r="AF17" s="210">
        <f>SUMIFS('Expenditure Breakdown'!$U$6:$U$236, 'Expenditure Breakdown'!$T$6:$T$236, "&gt;="&amp;AF1,'Expenditure Breakdown'!$T$6:$T$236, "&lt;"&amp;AG1)</f>
        <v>0</v>
      </c>
      <c r="AG17" s="210">
        <f>SUMIFS('Expenditure Breakdown'!$U$6:$U$236, 'Expenditure Breakdown'!$T$6:$T$236, "&gt;="&amp;AG1,'Expenditure Breakdown'!$T$6:$T$236, "&lt;"&amp;AH1)</f>
        <v>0</v>
      </c>
      <c r="AH17" s="210">
        <f>SUMIFS('Expenditure Breakdown'!$U$6:$U$236, 'Expenditure Breakdown'!$T$6:$T$236, "&gt;="&amp;AH1,'Expenditure Breakdown'!$T$6:$T$236, "&lt;"&amp;AI1)</f>
        <v>0</v>
      </c>
      <c r="AI17" s="210">
        <f>SUMIFS('Expenditure Breakdown'!$U$6:$U$236, 'Expenditure Breakdown'!$T$6:$T$236, "&gt;="&amp;AI1,'Expenditure Breakdown'!$T$6:$T$236, "&lt;"&amp;AJ1)</f>
        <v>0</v>
      </c>
      <c r="AJ17" s="210">
        <f>SUMIFS('Expenditure Breakdown'!$U$6:$U$236, 'Expenditure Breakdown'!$T$6:$T$236, "&gt;="&amp;AJ1,'Expenditure Breakdown'!$T$6:$T$236, "&lt;"&amp;AK1)</f>
        <v>0</v>
      </c>
      <c r="AK17" s="210">
        <f>SUMIFS('Expenditure Breakdown'!$U$6:$U$236, 'Expenditure Breakdown'!$T$6:$T$236, "&gt;="&amp;AK1,'Expenditure Breakdown'!$T$6:$T$236, "&lt;"&amp;AL1)</f>
        <v>0</v>
      </c>
      <c r="AL17" s="210">
        <f>SUMIFS('Expenditure Breakdown'!$U$6:$U$236, 'Expenditure Breakdown'!$T$6:$T$236, "&gt;="&amp;AL1,'Expenditure Breakdown'!$T$6:$T$236, "&lt;"&amp;AM1)</f>
        <v>0</v>
      </c>
      <c r="AM17" s="210">
        <f>SUMIFS('Expenditure Breakdown'!$U$6:$U$236, 'Expenditure Breakdown'!$T$6:$T$236, "&gt;="&amp;AM1,'Expenditure Breakdown'!$T$6:$T$236, "&lt;"&amp;AN1)</f>
        <v>0</v>
      </c>
      <c r="AN17" s="210">
        <f>SUMIFS('Expenditure Breakdown'!$U$6:$U$236, 'Expenditure Breakdown'!$T$6:$T$236, "&gt;="&amp;AN1,'Expenditure Breakdown'!$T$6:$T$236, "&lt;"&amp;AO1)</f>
        <v>0</v>
      </c>
      <c r="AO17" s="210">
        <f>SUMIFS('Expenditure Breakdown'!$U$6:$U$236, 'Expenditure Breakdown'!$T$6:$T$236, "&gt;="&amp;AO1,'Expenditure Breakdown'!$T$6:$T$236, "&lt;"&amp;AP1)</f>
        <v>0</v>
      </c>
      <c r="AP17" s="210">
        <f>SUMIFS('Expenditure Breakdown'!$U$6:$U$236, 'Expenditure Breakdown'!$T$6:$T$236, "&gt;="&amp;AP1,'Expenditure Breakdown'!$T$6:$T$236, "&lt;"&amp;AQ1)</f>
        <v>0</v>
      </c>
      <c r="AQ17" s="210">
        <f>SUMIFS('Expenditure Breakdown'!$U$6:$U$236, 'Expenditure Breakdown'!$T$6:$T$236, "&gt;="&amp;AQ1,'Expenditure Breakdown'!$T$6:$T$236, "&lt;"&amp;AR1)</f>
        <v>0</v>
      </c>
      <c r="AR17" s="210">
        <f>SUMIFS('Expenditure Breakdown'!$U$6:$U$236, 'Expenditure Breakdown'!$T$6:$T$236, "&gt;="&amp;AR1,'Expenditure Breakdown'!$T$6:$T$236, "&lt;"&amp;AS1)</f>
        <v>0</v>
      </c>
      <c r="AS17" s="210">
        <f>SUMIFS('Expenditure Breakdown'!$U$6:$U$236, 'Expenditure Breakdown'!$T$6:$T$236, "&gt;="&amp;AS1,'Expenditure Breakdown'!$T$6:$T$236, "&lt;"&amp;AT1)</f>
        <v>0</v>
      </c>
      <c r="AT17" s="210">
        <f>SUMIFS('Expenditure Breakdown'!$U$6:$U$236, 'Expenditure Breakdown'!$T$6:$T$236, "&gt;="&amp;AT1,'Expenditure Breakdown'!$T$6:$T$236, "&lt;"&amp;AU1)</f>
        <v>0</v>
      </c>
      <c r="AU17" s="210">
        <f>SUMIFS('Expenditure Breakdown'!$U$6:$U$236, 'Expenditure Breakdown'!$T$6:$T$236, "&gt;="&amp;AU1,'Expenditure Breakdown'!$T$6:$T$236, "&lt;"&amp;AV1)</f>
        <v>0</v>
      </c>
      <c r="AV17" s="210">
        <f>SUMIFS('Expenditure Breakdown'!$U$6:$U$236, 'Expenditure Breakdown'!$T$6:$T$236, "&gt;="&amp;AV1,'Expenditure Breakdown'!$T$6:$T$236, "&lt;"&amp;AW1)</f>
        <v>0</v>
      </c>
      <c r="AW17" s="210">
        <f>SUMIFS('Expenditure Breakdown'!$U$6:$U$236, 'Expenditure Breakdown'!$T$6:$T$236, "&gt;="&amp;AW1,'Expenditure Breakdown'!$T$6:$T$236, "&lt;"&amp;AX1)</f>
        <v>0</v>
      </c>
      <c r="AX17" s="210">
        <f>SUMIFS('Expenditure Breakdown'!$U$6:$U$236, 'Expenditure Breakdown'!$T$6:$T$236, "&gt;="&amp;AX1,'Expenditure Breakdown'!$T$6:$T$236, "&lt;"&amp;AY1)</f>
        <v>0</v>
      </c>
      <c r="AY17" s="210">
        <f>SUMIFS('Expenditure Breakdown'!$U$6:$U$236, 'Expenditure Breakdown'!$T$6:$T$236, "&gt;="&amp;AY1,'Expenditure Breakdown'!$T$6:$T$236, "&lt;"&amp;AZ1)</f>
        <v>0</v>
      </c>
      <c r="AZ17" s="210">
        <f>SUMIFS('Expenditure Breakdown'!$U$6:$U$236, 'Expenditure Breakdown'!$T$6:$T$236, "&gt;="&amp;AZ1,'Expenditure Breakdown'!$T$6:$T$236, "&lt;"&amp;BA1)</f>
        <v>0</v>
      </c>
      <c r="BA17" s="210">
        <f>SUMIFS('Expenditure Breakdown'!$U$6:$U$236, 'Expenditure Breakdown'!$T$6:$T$236, "&gt;="&amp;BA1,'Expenditure Breakdown'!$T$6:$T$236, "&lt;"&amp;BB1)</f>
        <v>0</v>
      </c>
      <c r="BB17" s="210">
        <f>SUMIFS('Expenditure Breakdown'!$U$6:$U$236, 'Expenditure Breakdown'!$T$6:$T$236, "&gt;="&amp;BB1,'Expenditure Breakdown'!$T$6:$T$236, "&lt;"&amp;BC1)</f>
        <v>0</v>
      </c>
      <c r="BC17" s="210">
        <f>SUMIFS('Expenditure Breakdown'!$U$6:$U$236, 'Expenditure Breakdown'!$T$6:$T$236, "&gt;="&amp;BC1,'Expenditure Breakdown'!$T$6:$T$236, "&lt;"&amp;BD1)</f>
        <v>0</v>
      </c>
      <c r="BD17" s="210">
        <f>SUMIFS('Expenditure Breakdown'!$U$6:$U$236, 'Expenditure Breakdown'!$T$6:$T$236, "&gt;="&amp;BD1,'Expenditure Breakdown'!$T$6:$T$236, "&lt;"&amp;BE1)</f>
        <v>0</v>
      </c>
      <c r="BE17" s="210">
        <f>SUMIFS('Expenditure Breakdown'!$U$6:$U$236, 'Expenditure Breakdown'!$T$6:$T$236, "&gt;="&amp;BE1,'Expenditure Breakdown'!$T$6:$T$236, "&lt;"&amp;BF1)</f>
        <v>0</v>
      </c>
      <c r="BF17" s="210">
        <f>SUMIFS('Expenditure Breakdown'!$U$6:$U$236, 'Expenditure Breakdown'!$T$6:$T$236, "&gt;="&amp;BF1,'Expenditure Breakdown'!$T$6:$T$236, "&lt;"&amp;BG1)</f>
        <v>0</v>
      </c>
      <c r="BG17" s="210">
        <f>SUMIFS('Expenditure Breakdown'!$U$6:$U$236, 'Expenditure Breakdown'!$T$6:$T$236, "&gt;="&amp;BG1,'Expenditure Breakdown'!$T$6:$T$236, "&lt;"&amp;BH1)</f>
        <v>7100</v>
      </c>
      <c r="BH17" s="210">
        <f>SUMIFS('Expenditure Breakdown'!$U$6:$U$236, 'Expenditure Breakdown'!$T$6:$T$236, "&gt;="&amp;BH1,'Expenditure Breakdown'!$T$6:$T$236, "&lt;"&amp;BI1)</f>
        <v>0</v>
      </c>
      <c r="BI17" s="210">
        <f>SUMIFS('Expenditure Breakdown'!$U$6:$U$236, 'Expenditure Breakdown'!$T$6:$T$236, "&gt;="&amp;BI1,'Expenditure Breakdown'!$T$6:$T$236, "&lt;"&amp;BJ1)</f>
        <v>0</v>
      </c>
      <c r="BJ17" s="210">
        <f>SUMIFS('Expenditure Breakdown'!$U$6:$U$236, 'Expenditure Breakdown'!$T$6:$T$236, "&gt;="&amp;BJ1,'Expenditure Breakdown'!$T$6:$T$236, "&lt;"&amp;BK1)</f>
        <v>0</v>
      </c>
      <c r="BK17" s="210">
        <f>SUMIFS('Expenditure Breakdown'!$U$6:$U$236, 'Expenditure Breakdown'!$T$6:$T$236, "&gt;="&amp;BK1,'Expenditure Breakdown'!$T$6:$T$236, "&lt;"&amp;BL1)</f>
        <v>0</v>
      </c>
      <c r="BL17" s="210">
        <f>SUMIFS('Expenditure Breakdown'!$U$6:$U$236, 'Expenditure Breakdown'!$T$6:$T$236, "&gt;="&amp;BL1,'Expenditure Breakdown'!$T$6:$T$236, "&lt;"&amp;BM1)</f>
        <v>0</v>
      </c>
      <c r="BM17" s="210">
        <f>SUMIFS('Expenditure Breakdown'!$U$6:$U$236, 'Expenditure Breakdown'!$T$6:$T$236, "&gt;="&amp;BM1,'Expenditure Breakdown'!$T$6:$T$236, "&lt;"&amp;BN1)</f>
        <v>0</v>
      </c>
      <c r="BN17" s="210">
        <f>SUMIFS('Expenditure Breakdown'!$U$6:$U$236, 'Expenditure Breakdown'!$T$6:$T$236, "&gt;="&amp;BN1,'Expenditure Breakdown'!$T$6:$T$236, "&lt;"&amp;BO1)</f>
        <v>0</v>
      </c>
      <c r="BO17" s="210">
        <f>SUMIFS('Expenditure Breakdown'!$U$6:$U$236, 'Expenditure Breakdown'!$T$6:$T$236, "&gt;="&amp;BO1,'Expenditure Breakdown'!$T$6:$T$236, "&lt;"&amp;BP1)</f>
        <v>0</v>
      </c>
      <c r="BP17" s="210">
        <f>SUMIFS('Expenditure Breakdown'!$U$6:$U$236, 'Expenditure Breakdown'!$T$6:$T$236, "&gt;="&amp;BP1,'Expenditure Breakdown'!$T$6:$T$236, "&lt;"&amp;BQ1)</f>
        <v>0</v>
      </c>
      <c r="BQ17" s="210">
        <f>SUMIFS('Expenditure Breakdown'!$U$6:$U$236, 'Expenditure Breakdown'!$T$6:$T$236, "&gt;="&amp;BQ1,'Expenditure Breakdown'!$T$6:$T$236, "&lt;"&amp;BR1)</f>
        <v>0</v>
      </c>
      <c r="BR17" s="210">
        <f>SUMIFS('Expenditure Breakdown'!$U$6:$U$236, 'Expenditure Breakdown'!$T$6:$T$236, "&gt;="&amp;BR1,'Expenditure Breakdown'!$T$6:$T$236, "&lt;"&amp;BS1)</f>
        <v>0</v>
      </c>
      <c r="BS17" s="210">
        <f>SUMIFS('Expenditure Breakdown'!$U$6:$U$236, 'Expenditure Breakdown'!$T$6:$T$236, "&gt;="&amp;BS1,'Expenditure Breakdown'!$T$6:$T$236, "&lt;"&amp;BT1)</f>
        <v>0</v>
      </c>
      <c r="BT17" s="210">
        <f>SUMIFS('Expenditure Breakdown'!$U$6:$U$236, 'Expenditure Breakdown'!$T$6:$T$236, "&gt;="&amp;BT1,'Expenditure Breakdown'!$T$6:$T$236, "&lt;"&amp;BU1)</f>
        <v>0</v>
      </c>
      <c r="BU17" s="210">
        <f>SUMIFS('Expenditure Breakdown'!$U$6:$U$236, 'Expenditure Breakdown'!$T$6:$T$236, "&gt;="&amp;BU1,'Expenditure Breakdown'!$T$6:$T$236, "&lt;"&amp;BV1)</f>
        <v>0</v>
      </c>
      <c r="BV17" s="210">
        <f>SUMIFS('Expenditure Breakdown'!$U$6:$U$236, 'Expenditure Breakdown'!$T$6:$T$236, "&gt;="&amp;BV1,'Expenditure Breakdown'!$T$6:$T$236, "&lt;"&amp;BW1)</f>
        <v>0</v>
      </c>
      <c r="BW17" s="210">
        <f>SUMIFS('Expenditure Breakdown'!$U$6:$U$236, 'Expenditure Breakdown'!$T$6:$T$236, "&gt;="&amp;BW1,'Expenditure Breakdown'!$T$6:$T$236, "&lt;"&amp;BX1)</f>
        <v>0</v>
      </c>
      <c r="BX17" s="210">
        <f>SUMIFS('Expenditure Breakdown'!$U$6:$U$236, 'Expenditure Breakdown'!$T$6:$T$236, "&gt;="&amp;BX1,'Expenditure Breakdown'!$T$6:$T$236, "&lt;"&amp;BY1)</f>
        <v>0</v>
      </c>
      <c r="BY17" s="210">
        <f>SUMIFS('Expenditure Breakdown'!$U$6:$U$236, 'Expenditure Breakdown'!$T$6:$T$236, "&gt;="&amp;BY1,'Expenditure Breakdown'!$T$6:$T$236, "&lt;"&amp;BZ1)</f>
        <v>0</v>
      </c>
      <c r="BZ17" s="210">
        <f>SUMIFS('Expenditure Breakdown'!$U$6:$U$236, 'Expenditure Breakdown'!$T$6:$T$236, "&gt;="&amp;BZ1,'Expenditure Breakdown'!$T$6:$T$236, "&lt;"&amp;CA1)</f>
        <v>0</v>
      </c>
      <c r="CA17" s="210">
        <f>SUMIFS('Expenditure Breakdown'!$U$6:$U$236, 'Expenditure Breakdown'!$T$6:$T$236, "&gt;="&amp;CA1,'Expenditure Breakdown'!$T$6:$T$236, "&lt;"&amp;CB1)</f>
        <v>0</v>
      </c>
      <c r="CB17" s="210">
        <f>SUMIFS('Expenditure Breakdown'!$U$6:$U$236, 'Expenditure Breakdown'!$T$6:$T$236, "&gt;="&amp;CB1,'Expenditure Breakdown'!$T$6:$T$236, "&lt;"&amp;CC1)</f>
        <v>0</v>
      </c>
      <c r="CC17" s="210">
        <f>SUMIFS('Expenditure Breakdown'!$U$6:$U$236, 'Expenditure Breakdown'!$T$6:$T$236, "&gt;="&amp;CC1,'Expenditure Breakdown'!$T$6:$T$236, "&lt;"&amp;CD1)</f>
        <v>0</v>
      </c>
      <c r="CD17" s="210">
        <f>SUMIFS('Expenditure Breakdown'!$U$6:$U$236, 'Expenditure Breakdown'!$T$6:$T$236, "&gt;="&amp;CD1,'Expenditure Breakdown'!$T$6:$T$236, "&lt;"&amp;CE1)</f>
        <v>0</v>
      </c>
      <c r="CE17" s="210">
        <f>SUMIFS('Expenditure Breakdown'!$U$6:$U$236, 'Expenditure Breakdown'!$T$6:$T$236, "&gt;="&amp;CE1,'Expenditure Breakdown'!$T$6:$T$236, "&lt;"&amp;CF1)</f>
        <v>0</v>
      </c>
      <c r="CF17" s="210">
        <f>SUMIFS('Expenditure Breakdown'!$U$6:$U$236, 'Expenditure Breakdown'!$T$6:$T$236, "&gt;="&amp;CF1,'Expenditure Breakdown'!$T$6:$T$236, "&lt;"&amp;CG1)</f>
        <v>0</v>
      </c>
      <c r="CG17" s="210">
        <f>SUMIFS('Expenditure Breakdown'!$U$6:$U$236, 'Expenditure Breakdown'!$T$6:$T$236, "&gt;="&amp;CG1,'Expenditure Breakdown'!$T$6:$T$236, "&lt;"&amp;CH1)</f>
        <v>0</v>
      </c>
      <c r="CH17" s="210">
        <f>SUMIFS('Expenditure Breakdown'!$U$6:$U$236, 'Expenditure Breakdown'!$T$6:$T$236, "&gt;="&amp;CH1,'Expenditure Breakdown'!$T$6:$T$236, "&lt;"&amp;CI1)</f>
        <v>0</v>
      </c>
      <c r="CI17" s="210">
        <f>SUMIFS('Expenditure Breakdown'!$U$6:$U$236, 'Expenditure Breakdown'!$T$6:$T$236, "&gt;="&amp;CI1,'Expenditure Breakdown'!$T$6:$T$236, "&lt;"&amp;CJ1)</f>
        <v>0</v>
      </c>
      <c r="CJ17" s="210">
        <f>SUMIFS('Expenditure Breakdown'!$U$6:$U$236, 'Expenditure Breakdown'!$T$6:$T$236, "&gt;="&amp;CJ1,'Expenditure Breakdown'!$T$6:$T$236, "&lt;"&amp;CK1)</f>
        <v>0</v>
      </c>
      <c r="CK17" s="210">
        <f>SUMIFS('Expenditure Breakdown'!$U$6:$U$236, 'Expenditure Breakdown'!$T$6:$T$236, "&gt;="&amp;CK1,'Expenditure Breakdown'!$T$6:$T$236, "&lt;"&amp;CL1)</f>
        <v>0</v>
      </c>
      <c r="CL17" s="210">
        <f>SUMIFS('Expenditure Breakdown'!$U$6:$U$236, 'Expenditure Breakdown'!$T$6:$T$236, "&gt;="&amp;CL1,'Expenditure Breakdown'!$T$6:$T$236, "&lt;"&amp;CM1)</f>
        <v>0</v>
      </c>
      <c r="CM17" s="210">
        <f>SUMIFS('Expenditure Breakdown'!$U$6:$U$236, 'Expenditure Breakdown'!$T$6:$T$236, "&gt;="&amp;CM1,'Expenditure Breakdown'!$T$6:$T$236, "&lt;"&amp;CN1)</f>
        <v>0</v>
      </c>
      <c r="CN17" s="210">
        <f>SUMIFS('Expenditure Breakdown'!$U$6:$U$236, 'Expenditure Breakdown'!$T$6:$T$236, "&gt;="&amp;CN1,'Expenditure Breakdown'!$T$6:$T$236, "&lt;"&amp;CO1)</f>
        <v>0</v>
      </c>
      <c r="CO17" s="210">
        <f>SUMIFS('Expenditure Breakdown'!$U$6:$U$236, 'Expenditure Breakdown'!$T$6:$T$236, "&gt;="&amp;CO1,'Expenditure Breakdown'!$T$6:$T$236, "&lt;"&amp;CP1)</f>
        <v>0</v>
      </c>
      <c r="CP17" s="210">
        <f>SUMIFS('Expenditure Breakdown'!$U$6:$U$236, 'Expenditure Breakdown'!$T$6:$T$236, "&gt;="&amp;CP1,'Expenditure Breakdown'!$T$6:$T$236, "&lt;"&amp;CQ1)</f>
        <v>0</v>
      </c>
      <c r="CQ17" s="210">
        <f>SUMIFS('Expenditure Breakdown'!$U$6:$U$236, 'Expenditure Breakdown'!$T$6:$T$236, "&gt;="&amp;CQ1,'Expenditure Breakdown'!$T$6:$T$236, "&lt;"&amp;CR1)</f>
        <v>0</v>
      </c>
      <c r="CR17" s="210">
        <f>SUMIFS('Expenditure Breakdown'!$U$6:$U$236, 'Expenditure Breakdown'!$T$6:$T$236, "&gt;="&amp;CR1,'Expenditure Breakdown'!$T$6:$T$236, "&lt;"&amp;CS1)</f>
        <v>0</v>
      </c>
      <c r="CS17" s="210">
        <f>SUMIFS('Expenditure Breakdown'!$U$6:$U$236, 'Expenditure Breakdown'!$T$6:$T$236, "&gt;="&amp;CS1,'Expenditure Breakdown'!$T$6:$T$236, "&lt;"&amp;CT1)</f>
        <v>0</v>
      </c>
      <c r="CT17" s="210">
        <f>SUMIFS('Expenditure Breakdown'!$U$6:$U$236, 'Expenditure Breakdown'!$T$6:$T$236, "&gt;="&amp;CT1,'Expenditure Breakdown'!$T$6:$T$236, "&lt;"&amp;CU1)</f>
        <v>0</v>
      </c>
      <c r="CU17" s="210">
        <f>SUMIFS('Expenditure Breakdown'!$U$6:$U$236, 'Expenditure Breakdown'!$T$6:$T$236, "&gt;="&amp;CU1,'Expenditure Breakdown'!$T$6:$T$236, "&lt;"&amp;CV1)</f>
        <v>0</v>
      </c>
      <c r="CV17" s="210">
        <f>SUMIFS('Expenditure Breakdown'!$U$6:$U$236, 'Expenditure Breakdown'!$T$6:$T$236, "&gt;="&amp;CV1,'Expenditure Breakdown'!$T$6:$T$236, "&lt;"&amp;CW1)</f>
        <v>0</v>
      </c>
      <c r="CW17" s="210">
        <f>SUMIFS('Expenditure Breakdown'!$U$6:$U$236, 'Expenditure Breakdown'!$T$6:$T$236, "&gt;="&amp;CW1,'Expenditure Breakdown'!$T$6:$T$236, "&lt;"&amp;CX1)</f>
        <v>0</v>
      </c>
      <c r="CX17" s="210">
        <f>SUMIFS('Expenditure Breakdown'!$U$6:$U$236, 'Expenditure Breakdown'!$T$6:$T$236, "&gt;="&amp;CX1,'Expenditure Breakdown'!$T$6:$T$236, "&lt;"&amp;CY1)</f>
        <v>0</v>
      </c>
      <c r="CY17" s="210">
        <f>SUMIFS('Expenditure Breakdown'!$U$6:$U$236, 'Expenditure Breakdown'!$T$6:$T$236, "&gt;="&amp;CY1,'Expenditure Breakdown'!$T$6:$T$236, "&lt;"&amp;CZ1)</f>
        <v>0</v>
      </c>
      <c r="CZ17" s="210">
        <f>SUMIFS('Expenditure Breakdown'!$U$6:$U$236, 'Expenditure Breakdown'!$T$6:$T$236, "&gt;="&amp;CZ1,'Expenditure Breakdown'!$T$6:$T$236, "&lt;"&amp;DA1)</f>
        <v>0</v>
      </c>
      <c r="DA17" s="210">
        <f>SUMIFS('Expenditure Breakdown'!$U$6:$U$236, 'Expenditure Breakdown'!$T$6:$T$236, "&gt;="&amp;DA1,'Expenditure Breakdown'!$T$6:$T$236, "&lt;"&amp;DB1)</f>
        <v>0</v>
      </c>
      <c r="DB17" s="210">
        <f>SUMIFS('Expenditure Breakdown'!$U$6:$U$236, 'Expenditure Breakdown'!$T$6:$T$236, "&gt;="&amp;DB1,'Expenditure Breakdown'!$T$6:$T$236, "&lt;"&amp;DC1)</f>
        <v>0</v>
      </c>
      <c r="DC17" s="210">
        <f>SUMIFS('Expenditure Breakdown'!$U$6:$U$236, 'Expenditure Breakdown'!$T$6:$T$236, "&gt;="&amp;DC1,'Expenditure Breakdown'!$T$6:$T$236, "&lt;"&amp;DD1)</f>
        <v>0</v>
      </c>
      <c r="DD17" s="210">
        <f>SUMIFS('Expenditure Breakdown'!$U$6:$U$236, 'Expenditure Breakdown'!$T$6:$T$236, "&gt;="&amp;DD1,'Expenditure Breakdown'!$T$6:$T$236, "&lt;"&amp;DE1)</f>
        <v>0</v>
      </c>
      <c r="DE17" s="210">
        <f>SUMIFS('Expenditure Breakdown'!$U$6:$U$236, 'Expenditure Breakdown'!$T$6:$T$236, "&gt;="&amp;DE1,'Expenditure Breakdown'!$T$6:$T$236, "&lt;"&amp;DF1)</f>
        <v>0</v>
      </c>
      <c r="DF17" s="210">
        <f>SUMIFS('Expenditure Breakdown'!$U$6:$U$236, 'Expenditure Breakdown'!$T$6:$T$236, "&gt;="&amp;DF1,'Expenditure Breakdown'!$T$6:$T$236, "&lt;"&amp;DG1)</f>
        <v>0</v>
      </c>
      <c r="DG17" s="210">
        <f>SUMIFS('Expenditure Breakdown'!$U$6:$U$236, 'Expenditure Breakdown'!$T$6:$T$236, "&gt;="&amp;DG1,'Expenditure Breakdown'!$T$6:$T$236, "&lt;"&amp;DH1)</f>
        <v>0</v>
      </c>
      <c r="DH17" s="210">
        <f>SUMIFS('Expenditure Breakdown'!$U$6:$U$236, 'Expenditure Breakdown'!$T$6:$T$236, "&gt;="&amp;DH1,'Expenditure Breakdown'!$T$6:$T$236, "&lt;"&amp;DI1)</f>
        <v>0</v>
      </c>
      <c r="DI17" s="210">
        <f>SUMIFS('Expenditure Breakdown'!$U$6:$U$236, 'Expenditure Breakdown'!$T$6:$T$236, "&gt;="&amp;DI1,'Expenditure Breakdown'!$T$6:$T$236, "&lt;"&amp;DJ1)</f>
        <v>0</v>
      </c>
      <c r="DJ17" s="210">
        <f>SUMIFS('Expenditure Breakdown'!$U$6:$U$236, 'Expenditure Breakdown'!$T$6:$T$236, "&gt;="&amp;DJ1,'Expenditure Breakdown'!$T$6:$T$236, "&lt;"&amp;DK1)</f>
        <v>0</v>
      </c>
      <c r="DK17" s="210">
        <f>SUMIFS('Expenditure Breakdown'!$U$6:$U$236, 'Expenditure Breakdown'!$T$6:$T$236, "&gt;="&amp;DK1,'Expenditure Breakdown'!$T$6:$T$236, "&lt;"&amp;DL1)</f>
        <v>0</v>
      </c>
      <c r="DL17" s="210">
        <f>SUMIFS('Expenditure Breakdown'!$U$6:$U$236, 'Expenditure Breakdown'!$T$6:$T$236, "&gt;="&amp;DL1,'Expenditure Breakdown'!$T$6:$T$236, "&lt;"&amp;DM1)</f>
        <v>0</v>
      </c>
      <c r="DM17" s="210">
        <f>SUMIFS('Expenditure Breakdown'!$U$6:$U$236, 'Expenditure Breakdown'!$T$6:$T$236, "&gt;="&amp;DM1,'Expenditure Breakdown'!$T$6:$T$236, "&lt;"&amp;DN1)</f>
        <v>0</v>
      </c>
      <c r="DN17" s="210">
        <f>SUMIFS('Expenditure Breakdown'!$U$6:$U$236, 'Expenditure Breakdown'!$T$6:$T$236, "&gt;="&amp;DN1,'Expenditure Breakdown'!$T$6:$T$236, "&lt;"&amp;DO1)</f>
        <v>0</v>
      </c>
      <c r="DO17" s="210">
        <f>SUMIFS('Expenditure Breakdown'!$U$6:$U$236, 'Expenditure Breakdown'!$T$6:$T$236, "&gt;="&amp;DO1,'Expenditure Breakdown'!$T$6:$T$236, "&lt;"&amp;DP1)</f>
        <v>0</v>
      </c>
      <c r="DP17" s="210">
        <f>SUMIFS('Expenditure Breakdown'!$U$6:$U$236, 'Expenditure Breakdown'!$T$6:$T$236, "&gt;="&amp;DP1,'Expenditure Breakdown'!$T$6:$T$236, "&lt;"&amp;DQ1)</f>
        <v>0</v>
      </c>
      <c r="DQ17" s="210">
        <f>SUMIFS('Expenditure Breakdown'!$U$6:$U$236, 'Expenditure Breakdown'!$T$6:$T$236, "&gt;="&amp;DQ1,'Expenditure Breakdown'!$T$6:$T$236, "&lt;"&amp;DR1)</f>
        <v>0</v>
      </c>
      <c r="DR17" s="210">
        <f>SUMIFS('Expenditure Breakdown'!$U$6:$U$236, 'Expenditure Breakdown'!$T$6:$T$236, "&gt;="&amp;DR1,'Expenditure Breakdown'!$T$6:$T$236, "&lt;"&amp;DS1)</f>
        <v>0</v>
      </c>
      <c r="DS17" s="210">
        <f>SUMIFS('Expenditure Breakdown'!$U$6:$U$236, 'Expenditure Breakdown'!$T$6:$T$236, "&gt;="&amp;DS1,'Expenditure Breakdown'!$T$6:$T$236, "&lt;"&amp;DT1)</f>
        <v>0</v>
      </c>
      <c r="DT17" s="210">
        <f>SUMIFS('Expenditure Breakdown'!$U$6:$U$236, 'Expenditure Breakdown'!$T$6:$T$236, "&gt;="&amp;DT1,'Expenditure Breakdown'!$T$6:$T$236, "&lt;"&amp;DU1)</f>
        <v>0</v>
      </c>
      <c r="DU17" s="210">
        <f>SUMIFS('Expenditure Breakdown'!$U$6:$U$236, 'Expenditure Breakdown'!$T$6:$T$236, "&gt;="&amp;DU1,'Expenditure Breakdown'!$T$6:$T$236, "&lt;"&amp;DV1)</f>
        <v>0</v>
      </c>
      <c r="DV17" s="210">
        <f>SUMIFS('Expenditure Breakdown'!$U$6:$U$236, 'Expenditure Breakdown'!$T$6:$T$236, "&gt;="&amp;DV1,'Expenditure Breakdown'!$T$6:$T$236, "&lt;"&amp;DW1)</f>
        <v>0</v>
      </c>
      <c r="DW17" s="210">
        <f>SUMIFS('Expenditure Breakdown'!$U$6:$U$236, 'Expenditure Breakdown'!$T$6:$T$236, "&gt;="&amp;DW1,'Expenditure Breakdown'!$T$6:$T$236, "&lt;"&amp;DX1)</f>
        <v>0</v>
      </c>
      <c r="DX17" s="210">
        <f>SUMIFS('Expenditure Breakdown'!$U$6:$U$236, 'Expenditure Breakdown'!$T$6:$T$236, "&gt;="&amp;DX1,'Expenditure Breakdown'!$T$6:$T$236, "&lt;"&amp;DY1)</f>
        <v>0</v>
      </c>
      <c r="DY17" s="210">
        <f>SUMIFS('Expenditure Breakdown'!$U$6:$U$236, 'Expenditure Breakdown'!$T$6:$T$236, "&gt;="&amp;DY1,'Expenditure Breakdown'!$T$6:$T$236, "&lt;"&amp;DZ1)</f>
        <v>0</v>
      </c>
      <c r="DZ17" s="210">
        <f>SUMIFS('Expenditure Breakdown'!$U$6:$U$236, 'Expenditure Breakdown'!$T$6:$T$236, "&gt;="&amp;DZ1,'Expenditure Breakdown'!$T$6:$T$236, "&lt;"&amp;EA1)</f>
        <v>0</v>
      </c>
      <c r="EA17" s="210">
        <f>SUMIFS('Expenditure Breakdown'!$U$6:$U$236, 'Expenditure Breakdown'!$T$6:$T$236, "&gt;="&amp;EA1,'Expenditure Breakdown'!$T$6:$T$236, "&lt;"&amp;EB1)</f>
        <v>0</v>
      </c>
      <c r="EB17" s="210">
        <f>SUMIFS('Expenditure Breakdown'!$U$6:$U$236, 'Expenditure Breakdown'!$T$6:$T$236, "&gt;="&amp;EB1,'Expenditure Breakdown'!$T$6:$T$236, "&lt;"&amp;EC1)</f>
        <v>0</v>
      </c>
      <c r="EC17" s="210">
        <f>SUMIFS('Expenditure Breakdown'!$U$6:$U$236, 'Expenditure Breakdown'!$T$6:$T$236, "&gt;="&amp;EC1,'Expenditure Breakdown'!$T$6:$T$236, "&lt;"&amp;ED1)</f>
        <v>0</v>
      </c>
      <c r="ED17" s="210">
        <f>SUMIFS('Expenditure Breakdown'!$U$6:$U$236, 'Expenditure Breakdown'!$T$6:$T$236, "&gt;="&amp;ED1,'Expenditure Breakdown'!$T$6:$T$236, "&lt;"&amp;EE1)</f>
        <v>0</v>
      </c>
      <c r="EE17" s="210">
        <f>SUMIFS('Expenditure Breakdown'!$U$6:$U$236, 'Expenditure Breakdown'!$T$6:$T$236, "&gt;="&amp;EE1,'Expenditure Breakdown'!$T$6:$T$236, "&lt;"&amp;EF1)</f>
        <v>0</v>
      </c>
      <c r="EF17" s="210">
        <f>SUMIFS('Expenditure Breakdown'!$U$6:$U$236, 'Expenditure Breakdown'!$T$6:$T$236, "&gt;="&amp;EF1,'Expenditure Breakdown'!$T$6:$T$236, "&lt;"&amp;EG1)</f>
        <v>0</v>
      </c>
      <c r="EG17" s="210">
        <f>SUMIFS('Expenditure Breakdown'!$U$6:$U$236, 'Expenditure Breakdown'!$T$6:$T$236, "&gt;="&amp;EG1,'Expenditure Breakdown'!$T$6:$T$236, "&lt;"&amp;EH1)</f>
        <v>0</v>
      </c>
      <c r="EH17" s="210">
        <f>SUMIFS('Expenditure Breakdown'!$U$6:$U$236, 'Expenditure Breakdown'!$T$6:$T$236, "&gt;="&amp;EH1,'Expenditure Breakdown'!$T$6:$T$236, "&lt;"&amp;EI1)</f>
        <v>0</v>
      </c>
      <c r="EI17" s="210">
        <f>SUMIFS('Expenditure Breakdown'!$U$6:$U$236, 'Expenditure Breakdown'!$T$6:$T$236, "&gt;="&amp;EI1,'Expenditure Breakdown'!$T$6:$T$236, "&lt;"&amp;EJ1)</f>
        <v>0</v>
      </c>
      <c r="EJ17" s="210">
        <f>SUMIFS('Expenditure Breakdown'!$U$6:$U$236, 'Expenditure Breakdown'!$T$6:$T$236, "&gt;="&amp;EJ1,'Expenditure Breakdown'!$T$6:$T$236, "&lt;"&amp;EK1)</f>
        <v>0</v>
      </c>
      <c r="EK17" s="210">
        <f>SUMIFS('Expenditure Breakdown'!$U$6:$U$236, 'Expenditure Breakdown'!$T$6:$T$236, "&gt;="&amp;EK1,'Expenditure Breakdown'!$T$6:$T$236, "&lt;"&amp;EL1)</f>
        <v>0</v>
      </c>
      <c r="EL17" s="210">
        <f>SUMIFS('Expenditure Breakdown'!$U$6:$U$236, 'Expenditure Breakdown'!$T$6:$T$236, "&gt;="&amp;EL1,'Expenditure Breakdown'!$T$6:$T$236, "&lt;"&amp;EM1)</f>
        <v>0</v>
      </c>
      <c r="EM17" s="210">
        <f>SUMIFS('Expenditure Breakdown'!$U$6:$U$236, 'Expenditure Breakdown'!$T$6:$T$236, "&gt;="&amp;EM1,'Expenditure Breakdown'!$T$6:$T$236, "&lt;"&amp;EN1)</f>
        <v>0</v>
      </c>
      <c r="EN17" s="210">
        <f>SUMIFS('Expenditure Breakdown'!$U$6:$U$236, 'Expenditure Breakdown'!$T$6:$T$236, "&gt;="&amp;EN1,'Expenditure Breakdown'!$T$6:$T$236, "&lt;"&amp;EO1)</f>
        <v>0</v>
      </c>
      <c r="EO17" s="210">
        <f>SUMIFS('Expenditure Breakdown'!$U$6:$U$236, 'Expenditure Breakdown'!$T$6:$T$236, "&gt;="&amp;EO1,'Expenditure Breakdown'!$T$6:$T$236, "&lt;"&amp;EP1)</f>
        <v>0</v>
      </c>
      <c r="EP17" s="210">
        <f>SUMIFS('Expenditure Breakdown'!$U$6:$U$236, 'Expenditure Breakdown'!$T$6:$T$236, "&gt;="&amp;EP1,'Expenditure Breakdown'!$T$6:$T$236, "&lt;"&amp;EQ1)</f>
        <v>0</v>
      </c>
      <c r="EQ17" s="210">
        <f>SUMIFS('Expenditure Breakdown'!$U$6:$U$236, 'Expenditure Breakdown'!$T$6:$T$236, "&gt;="&amp;EQ1,'Expenditure Breakdown'!$T$6:$T$236, "&lt;"&amp;ER1)</f>
        <v>0</v>
      </c>
      <c r="ER17" s="210">
        <f>SUMIFS('Expenditure Breakdown'!$U$6:$U$236, 'Expenditure Breakdown'!$T$6:$T$236, "&gt;="&amp;ER1,'Expenditure Breakdown'!$T$6:$T$236, "&lt;"&amp;ES1)</f>
        <v>0</v>
      </c>
      <c r="ES17" s="210">
        <f>SUMIFS('Expenditure Breakdown'!$U$6:$U$236, 'Expenditure Breakdown'!$T$6:$T$236, "&gt;="&amp;ES1,'Expenditure Breakdown'!$T$6:$T$236, "&lt;"&amp;ET1)</f>
        <v>0</v>
      </c>
      <c r="ET17" s="210">
        <f>SUMIFS('Expenditure Breakdown'!$U$6:$U$236, 'Expenditure Breakdown'!$T$6:$T$236, "&gt;="&amp;ET1,'Expenditure Breakdown'!$T$6:$T$236, "&lt;"&amp;EU1)</f>
        <v>0</v>
      </c>
      <c r="EU17" s="210">
        <f>SUMIFS('Expenditure Breakdown'!$U$6:$U$236, 'Expenditure Breakdown'!$T$6:$T$236, "&gt;="&amp;EU1,'Expenditure Breakdown'!$T$6:$T$236, "&lt;"&amp;EV1)</f>
        <v>0</v>
      </c>
      <c r="EV17" s="210">
        <f>SUMIFS('Expenditure Breakdown'!$U$6:$U$236, 'Expenditure Breakdown'!$T$6:$T$236, "&gt;="&amp;EV1,'Expenditure Breakdown'!$T$6:$T$236, "&lt;"&amp;EW1)</f>
        <v>0</v>
      </c>
      <c r="EW17" s="210">
        <f>SUMIFS('Expenditure Breakdown'!$U$6:$U$236, 'Expenditure Breakdown'!$T$6:$T$236, "&gt;="&amp;EW1,'Expenditure Breakdown'!$T$6:$T$236, "&lt;"&amp;EX1)</f>
        <v>0</v>
      </c>
      <c r="EX17" s="210">
        <f>SUMIFS('Expenditure Breakdown'!$U$6:$U$236, 'Expenditure Breakdown'!$T$6:$T$236, "&gt;="&amp;EX1,'Expenditure Breakdown'!$T$6:$T$236, "&lt;"&amp;EY1)</f>
        <v>0</v>
      </c>
      <c r="EY17" s="210">
        <f>SUMIFS('Expenditure Breakdown'!$U$6:$U$236, 'Expenditure Breakdown'!$T$6:$T$236, "&gt;="&amp;EY1,'Expenditure Breakdown'!$T$6:$T$236, "&lt;"&amp;EZ1)</f>
        <v>0</v>
      </c>
      <c r="EZ17" s="210">
        <f>SUMIFS('Expenditure Breakdown'!$U$6:$U$236, 'Expenditure Breakdown'!$T$6:$T$236, "&gt;="&amp;EZ1,'Expenditure Breakdown'!$T$6:$T$236, "&lt;"&amp;FA1)</f>
        <v>0</v>
      </c>
      <c r="FA17" s="210">
        <f>SUMIFS('Expenditure Breakdown'!$U$6:$U$236, 'Expenditure Breakdown'!$T$6:$T$236, "&gt;="&amp;FA1,'Expenditure Breakdown'!$T$6:$T$236, "&lt;"&amp;FB1)</f>
        <v>0</v>
      </c>
      <c r="FB17" s="210">
        <f>SUMIFS('Expenditure Breakdown'!$U$6:$U$236, 'Expenditure Breakdown'!$T$6:$T$236, "&gt;="&amp;FB1,'Expenditure Breakdown'!$T$6:$T$236, "&lt;"&amp;FC1)</f>
        <v>0</v>
      </c>
      <c r="FC17" s="210">
        <f>SUMIFS('Expenditure Breakdown'!$U$6:$U$236, 'Expenditure Breakdown'!$T$6:$T$236, "&gt;="&amp;FC1,'Expenditure Breakdown'!$T$6:$T$236, "&lt;"&amp;FD1)</f>
        <v>0</v>
      </c>
      <c r="FD17" s="210">
        <f>SUMIFS('Expenditure Breakdown'!$U$6:$U$236, 'Expenditure Breakdown'!$T$6:$T$236, "&gt;="&amp;FD1,'Expenditure Breakdown'!$T$6:$T$236, "&lt;"&amp;FE1)</f>
        <v>0</v>
      </c>
      <c r="FE17" s="210">
        <f>SUMIFS('Expenditure Breakdown'!$U$6:$U$236, 'Expenditure Breakdown'!$T$6:$T$236, "&gt;="&amp;FE1,'Expenditure Breakdown'!$T$6:$T$236, "&lt;"&amp;FF1)</f>
        <v>0</v>
      </c>
      <c r="FF17" s="210">
        <f>SUMIFS('Expenditure Breakdown'!$U$6:$U$236, 'Expenditure Breakdown'!$T$6:$T$236, "&gt;="&amp;FF1,'Expenditure Breakdown'!$T$6:$T$236, "&lt;"&amp;FG1)</f>
        <v>0</v>
      </c>
      <c r="FG17" s="210">
        <f>SUMIFS('Expenditure Breakdown'!$U$6:$U$236, 'Expenditure Breakdown'!$T$6:$T$236, "&gt;="&amp;FG1,'Expenditure Breakdown'!$T$6:$T$236, "&lt;"&amp;FH1)</f>
        <v>0</v>
      </c>
      <c r="FH17" s="210">
        <f>SUMIFS('Expenditure Breakdown'!$U$6:$U$236, 'Expenditure Breakdown'!$T$6:$T$236, "&gt;="&amp;FH1,'Expenditure Breakdown'!$T$6:$T$236, "&lt;"&amp;FI1)</f>
        <v>0</v>
      </c>
      <c r="FI17" s="210">
        <f>SUMIFS('Expenditure Breakdown'!$U$6:$U$236, 'Expenditure Breakdown'!$T$6:$T$236, "&gt;="&amp;FI1,'Expenditure Breakdown'!$T$6:$T$236, "&lt;"&amp;FJ1)</f>
        <v>0</v>
      </c>
      <c r="FJ17" s="210">
        <f>SUMIFS('Expenditure Breakdown'!$U$6:$U$236, 'Expenditure Breakdown'!$T$6:$T$236, "&gt;="&amp;FJ1,'Expenditure Breakdown'!$T$6:$T$236, "&lt;"&amp;FK1)</f>
        <v>0</v>
      </c>
      <c r="FK17" s="210">
        <f>SUMIFS('Expenditure Breakdown'!$U$6:$U$236, 'Expenditure Breakdown'!$T$6:$T$236, "&gt;="&amp;FK1,'Expenditure Breakdown'!$T$6:$T$236, "&lt;"&amp;FL1)</f>
        <v>0</v>
      </c>
      <c r="FL17" s="210">
        <f>SUMIFS('Expenditure Breakdown'!$U$6:$U$236, 'Expenditure Breakdown'!$T$6:$T$236, "&gt;="&amp;FL1,'Expenditure Breakdown'!$T$6:$T$236, "&lt;"&amp;FM1)</f>
        <v>0</v>
      </c>
      <c r="FM17" s="210">
        <f>SUMIFS('Expenditure Breakdown'!$U$6:$U$236, 'Expenditure Breakdown'!$T$6:$T$236, "&gt;="&amp;FM1,'Expenditure Breakdown'!$T$6:$T$236, "&lt;"&amp;FN1)</f>
        <v>0</v>
      </c>
      <c r="FN17" s="210">
        <f>SUMIFS('Expenditure Breakdown'!$U$6:$U$236, 'Expenditure Breakdown'!$T$6:$T$236, "&gt;="&amp;FN1,'Expenditure Breakdown'!$T$6:$T$236, "&lt;"&amp;FO1)</f>
        <v>0</v>
      </c>
      <c r="FO17" s="210">
        <f>SUMIFS('Expenditure Breakdown'!$U$6:$U$236, 'Expenditure Breakdown'!$T$6:$T$236, "&gt;="&amp;FO1,'Expenditure Breakdown'!$T$6:$T$236, "&lt;"&amp;FP1)</f>
        <v>0</v>
      </c>
      <c r="FP17" s="210">
        <f>SUMIFS('Expenditure Breakdown'!$U$6:$U$236, 'Expenditure Breakdown'!$T$6:$T$236, "&gt;="&amp;FP1,'Expenditure Breakdown'!$T$6:$T$236, "&lt;"&amp;FQ1)</f>
        <v>0</v>
      </c>
      <c r="FQ17" s="210">
        <f>SUMIFS('Expenditure Breakdown'!$U$6:$U$236, 'Expenditure Breakdown'!$T$6:$T$236, "&gt;="&amp;FQ1,'Expenditure Breakdown'!$T$6:$T$236, "&lt;"&amp;FR1)</f>
        <v>0</v>
      </c>
      <c r="FR17" s="210">
        <f>SUMIFS('Expenditure Breakdown'!$U$6:$U$236, 'Expenditure Breakdown'!$T$6:$T$236, "&gt;="&amp;FR1,'Expenditure Breakdown'!$T$6:$T$236, "&lt;"&amp;FS1)</f>
        <v>0</v>
      </c>
      <c r="FS17" s="210">
        <f>SUMIFS('Expenditure Breakdown'!$U$6:$U$236, 'Expenditure Breakdown'!$T$6:$T$236, "&gt;="&amp;FS1,'Expenditure Breakdown'!$T$6:$T$236, "&lt;"&amp;FT1)</f>
        <v>0</v>
      </c>
      <c r="FT17" s="210">
        <f>SUMIFS('Expenditure Breakdown'!$U$6:$U$236, 'Expenditure Breakdown'!$T$6:$T$236, "&gt;="&amp;FT1,'Expenditure Breakdown'!$T$6:$T$236, "&lt;"&amp;FU1)</f>
        <v>0</v>
      </c>
      <c r="FU17" s="210">
        <f>SUMIFS('Expenditure Breakdown'!$U$6:$U$236, 'Expenditure Breakdown'!$T$6:$T$236, "&gt;="&amp;FU1,'Expenditure Breakdown'!$T$6:$T$236, "&lt;"&amp;FV1)</f>
        <v>0</v>
      </c>
      <c r="FV17" s="210">
        <f>SUMIFS('Expenditure Breakdown'!$U$6:$U$236, 'Expenditure Breakdown'!$T$6:$T$236, "&gt;="&amp;FV1,'Expenditure Breakdown'!$T$6:$T$236, "&lt;"&amp;FW1)</f>
        <v>0</v>
      </c>
      <c r="FW17" s="210">
        <f>SUMIFS('Expenditure Breakdown'!$U$6:$U$236, 'Expenditure Breakdown'!$T$6:$T$236, "&gt;="&amp;FW1,'Expenditure Breakdown'!$T$6:$T$236, "&lt;"&amp;FX1)</f>
        <v>0</v>
      </c>
      <c r="FX17" s="210">
        <f>SUMIFS('Expenditure Breakdown'!$U$6:$U$236, 'Expenditure Breakdown'!$T$6:$T$236, "&gt;="&amp;FX1,'Expenditure Breakdown'!$T$6:$T$236, "&lt;"&amp;FY1)</f>
        <v>0</v>
      </c>
      <c r="FY17" s="210">
        <f>SUMIFS('Expenditure Breakdown'!$U$6:$U$236, 'Expenditure Breakdown'!$T$6:$T$236, "&gt;="&amp;FY1,'Expenditure Breakdown'!$T$6:$T$236, "&lt;"&amp;FZ1)</f>
        <v>0</v>
      </c>
      <c r="FZ17" s="210">
        <f>SUMIFS('Expenditure Breakdown'!$U$6:$U$236, 'Expenditure Breakdown'!$T$6:$T$236, "&gt;="&amp;FZ1,'Expenditure Breakdown'!$T$6:$T$236, "&lt;"&amp;GA1)</f>
        <v>0</v>
      </c>
      <c r="GA17" s="210">
        <f>SUMIFS('Expenditure Breakdown'!$U$6:$U$236, 'Expenditure Breakdown'!$T$6:$T$236, "&gt;="&amp;GA1,'Expenditure Breakdown'!$T$6:$T$236, "&lt;"&amp;GB1)</f>
        <v>0</v>
      </c>
      <c r="GB17" s="210">
        <f>SUMIFS('Expenditure Breakdown'!$U$6:$U$236, 'Expenditure Breakdown'!$T$6:$T$236, "&gt;="&amp;GB1,'Expenditure Breakdown'!$T$6:$T$236, "&lt;"&amp;GC1)</f>
        <v>0</v>
      </c>
      <c r="GC17" s="210">
        <f>SUMIFS('Expenditure Breakdown'!$U$6:$U$236, 'Expenditure Breakdown'!$T$6:$T$236, "&gt;="&amp;GC1,'Expenditure Breakdown'!$T$6:$T$236, "&lt;"&amp;GD1)</f>
        <v>0</v>
      </c>
      <c r="GD17" s="210">
        <f>SUMIFS('Expenditure Breakdown'!$U$6:$U$236, 'Expenditure Breakdown'!$T$6:$T$236, "&gt;="&amp;GD1,'Expenditure Breakdown'!$T$6:$T$236, "&lt;"&amp;GE1)</f>
        <v>0</v>
      </c>
      <c r="GE17" s="210">
        <f>SUMIFS('Expenditure Breakdown'!$U$6:$U$236, 'Expenditure Breakdown'!$T$6:$T$236, "&gt;="&amp;GE1,'Expenditure Breakdown'!$T$6:$T$236, "&lt;"&amp;GF1)</f>
        <v>0</v>
      </c>
      <c r="GF17" s="210">
        <f>SUMIFS('Expenditure Breakdown'!$U$6:$U$236, 'Expenditure Breakdown'!$T$6:$T$236, "&gt;="&amp;GF1,'Expenditure Breakdown'!$T$6:$T$236, "&lt;"&amp;GG1)</f>
        <v>0</v>
      </c>
      <c r="GG17" s="210">
        <f>SUMIFS('Expenditure Breakdown'!$U$6:$U$236, 'Expenditure Breakdown'!$T$6:$T$236, "&gt;="&amp;GG1,'Expenditure Breakdown'!$T$6:$T$236, "&lt;"&amp;GH1)</f>
        <v>0</v>
      </c>
      <c r="GH17" s="210">
        <f>SUMIFS('Expenditure Breakdown'!$U$6:$U$236, 'Expenditure Breakdown'!$T$6:$T$236, "&gt;="&amp;GH1,'Expenditure Breakdown'!$T$6:$T$236, "&lt;"&amp;GI1)</f>
        <v>0</v>
      </c>
      <c r="GI17" s="210">
        <f>SUMIFS('Expenditure Breakdown'!$U$6:$U$236, 'Expenditure Breakdown'!$T$6:$T$236, "&gt;="&amp;GI1,'Expenditure Breakdown'!$T$6:$T$236, "&lt;"&amp;GJ1)</f>
        <v>0</v>
      </c>
      <c r="GJ17" s="210">
        <f>SUMIFS('Expenditure Breakdown'!$U$6:$U$236, 'Expenditure Breakdown'!$T$6:$T$236, "&gt;="&amp;GJ1,'Expenditure Breakdown'!$T$6:$T$236, "&lt;"&amp;GK1)</f>
        <v>0</v>
      </c>
      <c r="GK17" s="210">
        <f>SUMIFS('Expenditure Breakdown'!$U$6:$U$236, 'Expenditure Breakdown'!$T$6:$T$236, "&gt;="&amp;GK1,'Expenditure Breakdown'!$T$6:$T$236, "&lt;"&amp;GL1)</f>
        <v>0</v>
      </c>
      <c r="GL17" s="210">
        <f>SUMIFS('Expenditure Breakdown'!$U$6:$U$236, 'Expenditure Breakdown'!$T$6:$T$236, "&gt;="&amp;GL1,'Expenditure Breakdown'!$T$6:$T$236, "&lt;"&amp;GM1)</f>
        <v>0</v>
      </c>
      <c r="GM17" s="210">
        <f>SUMIFS('Expenditure Breakdown'!$U$6:$U$236, 'Expenditure Breakdown'!$T$6:$T$236, "&gt;="&amp;GM1,'Expenditure Breakdown'!$T$6:$T$236, "&lt;"&amp;GN1)</f>
        <v>0</v>
      </c>
      <c r="GN17" s="210">
        <f>SUMIFS('Expenditure Breakdown'!$U$6:$U$236, 'Expenditure Breakdown'!$T$6:$T$236, "&gt;="&amp;GN1,'Expenditure Breakdown'!$T$6:$T$236, "&lt;"&amp;GO1)</f>
        <v>0</v>
      </c>
      <c r="GO17" s="210">
        <f>SUMIFS('Expenditure Breakdown'!$U$6:$U$236, 'Expenditure Breakdown'!$T$6:$T$236, "&gt;="&amp;GO1,'Expenditure Breakdown'!$T$6:$T$236, "&lt;"&amp;GP1)</f>
        <v>0</v>
      </c>
      <c r="GP17" s="210">
        <f>SUMIFS('Expenditure Breakdown'!$U$6:$U$236, 'Expenditure Breakdown'!$T$6:$T$236, "&gt;="&amp;GP1,'Expenditure Breakdown'!$T$6:$T$236, "&lt;"&amp;GQ1)</f>
        <v>0</v>
      </c>
      <c r="GQ17" s="210">
        <f>SUMIFS('Expenditure Breakdown'!$U$6:$U$236, 'Expenditure Breakdown'!$T$6:$T$236, "&gt;="&amp;GQ1,'Expenditure Breakdown'!$T$6:$T$236, "&lt;"&amp;GR1)</f>
        <v>0</v>
      </c>
      <c r="GR17" s="210">
        <f>SUMIFS('Expenditure Breakdown'!$U$6:$U$236, 'Expenditure Breakdown'!$T$6:$T$236, "&gt;="&amp;GR1,'Expenditure Breakdown'!$T$6:$T$236, "&lt;"&amp;GS1)</f>
        <v>0</v>
      </c>
      <c r="GS17" s="210">
        <f>SUMIFS('Expenditure Breakdown'!$U$6:$U$236, 'Expenditure Breakdown'!$T$6:$T$236, "&gt;="&amp;GS1,'Expenditure Breakdown'!$T$6:$T$236, "&lt;"&amp;GT1)</f>
        <v>0</v>
      </c>
      <c r="GT17" s="210">
        <f>SUMIFS('Expenditure Breakdown'!$U$6:$U$236, 'Expenditure Breakdown'!$T$6:$T$236, "&gt;="&amp;GT1,'Expenditure Breakdown'!$T$6:$T$236, "&lt;"&amp;GU1)</f>
        <v>0</v>
      </c>
      <c r="GU17" s="210">
        <f>SUMIFS('Expenditure Breakdown'!$U$6:$U$236, 'Expenditure Breakdown'!$T$6:$T$236, "&gt;="&amp;GU1,'Expenditure Breakdown'!$T$6:$T$236, "&lt;"&amp;GV1)</f>
        <v>0</v>
      </c>
      <c r="GV17" s="210">
        <f>SUMIFS('Expenditure Breakdown'!$U$6:$U$236, 'Expenditure Breakdown'!$T$6:$T$236, "&gt;="&amp;GV1,'Expenditure Breakdown'!$T$6:$T$236, "&lt;"&amp;GW1)</f>
        <v>0</v>
      </c>
      <c r="GW17" s="210">
        <f>SUMIFS('Expenditure Breakdown'!$U$6:$U$236, 'Expenditure Breakdown'!$T$6:$T$236, "&gt;="&amp;GW1,'Expenditure Breakdown'!$T$6:$T$236, "&lt;"&amp;GX1)</f>
        <v>0</v>
      </c>
      <c r="GX17" s="210">
        <f>SUMIFS('Expenditure Breakdown'!$U$6:$U$236, 'Expenditure Breakdown'!$T$6:$T$236, "&gt;="&amp;GX1,'Expenditure Breakdown'!$T$6:$T$236, "&lt;"&amp;GY1)</f>
        <v>0</v>
      </c>
      <c r="GY17" s="210">
        <f>SUMIFS('Expenditure Breakdown'!$U$6:$U$236, 'Expenditure Breakdown'!$T$6:$T$236, "&gt;="&amp;GY1,'Expenditure Breakdown'!$T$6:$T$236, "&lt;"&amp;GZ1)</f>
        <v>0</v>
      </c>
      <c r="GZ17" s="210">
        <f>SUMIFS('Expenditure Breakdown'!$U$6:$U$236, 'Expenditure Breakdown'!$T$6:$T$236, "&gt;="&amp;GZ1,'Expenditure Breakdown'!$T$6:$T$236, "&lt;"&amp;HA1)</f>
        <v>0</v>
      </c>
      <c r="HA17" s="210">
        <f>SUMIFS('Expenditure Breakdown'!$U$6:$U$236, 'Expenditure Breakdown'!$T$6:$T$236, "&gt;="&amp;HA1,'Expenditure Breakdown'!$T$6:$T$236, "&lt;"&amp;HB1)</f>
        <v>0</v>
      </c>
      <c r="HB17" s="210">
        <f>SUMIFS('Expenditure Breakdown'!$U$6:$U$236, 'Expenditure Breakdown'!$T$6:$T$236, "&gt;="&amp;HB1,'Expenditure Breakdown'!$T$6:$T$236, "&lt;"&amp;HC1)</f>
        <v>0</v>
      </c>
      <c r="HC17" s="210">
        <f>SUMIFS('Expenditure Breakdown'!$U$6:$U$236, 'Expenditure Breakdown'!$T$6:$T$236, "&gt;="&amp;HC1,'Expenditure Breakdown'!$T$6:$T$236, "&lt;"&amp;HD1)</f>
        <v>0</v>
      </c>
      <c r="HD17" s="210">
        <f>SUMIFS('Expenditure Breakdown'!$U$6:$U$236, 'Expenditure Breakdown'!$T$6:$T$236, "&gt;="&amp;HD1,'Expenditure Breakdown'!$T$6:$T$236, "&lt;"&amp;HE1)</f>
        <v>0</v>
      </c>
      <c r="HE17" s="210">
        <f>SUMIFS('Expenditure Breakdown'!$U$6:$U$236, 'Expenditure Breakdown'!$T$6:$T$236, "&gt;="&amp;HE1,'Expenditure Breakdown'!$T$6:$T$236, "&lt;"&amp;HF1)</f>
        <v>0</v>
      </c>
      <c r="HF17" s="210">
        <f>SUMIFS('Expenditure Breakdown'!$U$6:$U$236, 'Expenditure Breakdown'!$T$6:$T$236, "&gt;="&amp;HF1,'Expenditure Breakdown'!$T$6:$T$236, "&lt;"&amp;HG1)</f>
        <v>0</v>
      </c>
      <c r="HG17" s="210">
        <f>SUMIFS('Expenditure Breakdown'!$U$6:$U$236, 'Expenditure Breakdown'!$T$6:$T$236, "&gt;="&amp;HG1,'Expenditure Breakdown'!$T$6:$T$236, "&lt;"&amp;HH1)</f>
        <v>0</v>
      </c>
      <c r="HH17" s="210">
        <f>SUMIFS('Expenditure Breakdown'!$U$6:$U$236, 'Expenditure Breakdown'!$T$6:$T$236, "&gt;="&amp;HH1,'Expenditure Breakdown'!$T$6:$T$236, "&lt;"&amp;HI1)</f>
        <v>0</v>
      </c>
      <c r="HI17" s="210">
        <f>SUMIFS('Expenditure Breakdown'!$U$6:$U$236, 'Expenditure Breakdown'!$T$6:$T$236, "&gt;="&amp;HI1,'Expenditure Breakdown'!$T$6:$T$236, "&lt;"&amp;HJ1)</f>
        <v>0</v>
      </c>
      <c r="HJ17" s="210">
        <f>SUMIFS('Expenditure Breakdown'!$U$6:$U$236, 'Expenditure Breakdown'!$T$6:$T$236, "&gt;="&amp;HJ1,'Expenditure Breakdown'!$T$6:$T$236, "&lt;"&amp;HK1)</f>
        <v>0</v>
      </c>
      <c r="HK17" s="210">
        <f>SUMIFS('Expenditure Breakdown'!$U$6:$U$236, 'Expenditure Breakdown'!$T$6:$T$236, "&gt;="&amp;HK1,'Expenditure Breakdown'!$T$6:$T$236, "&lt;"&amp;HL1)</f>
        <v>0</v>
      </c>
      <c r="HL17" s="210">
        <f>SUMIFS('Expenditure Breakdown'!$U$6:$U$236, 'Expenditure Breakdown'!$T$6:$T$236, "&gt;="&amp;HL1,'Expenditure Breakdown'!$T$6:$T$236, "&lt;"&amp;HM1)</f>
        <v>0</v>
      </c>
      <c r="HM17" s="210">
        <f>SUMIFS('Expenditure Breakdown'!$U$6:$U$236, 'Expenditure Breakdown'!$T$6:$T$236, "&gt;="&amp;HM1,'Expenditure Breakdown'!$T$6:$T$236, "&lt;"&amp;HN1)</f>
        <v>0</v>
      </c>
      <c r="HN17" s="210">
        <f>SUMIFS('Expenditure Breakdown'!$U$6:$U$236, 'Expenditure Breakdown'!$T$6:$T$236, "&gt;="&amp;HN1,'Expenditure Breakdown'!$T$6:$T$236, "&lt;"&amp;HO1)</f>
        <v>0</v>
      </c>
      <c r="HO17" s="210">
        <f>SUMIFS('Expenditure Breakdown'!$U$6:$U$236, 'Expenditure Breakdown'!$T$6:$T$236, "&gt;="&amp;HO1,'Expenditure Breakdown'!$T$6:$T$236, "&lt;"&amp;HP1)</f>
        <v>0</v>
      </c>
      <c r="HP17" s="210">
        <f>SUMIFS('Expenditure Breakdown'!$U$6:$U$236, 'Expenditure Breakdown'!$T$6:$T$236, "&gt;="&amp;HP1,'Expenditure Breakdown'!$T$6:$T$236, "&lt;"&amp;HQ1)</f>
        <v>0</v>
      </c>
      <c r="HQ17" s="210">
        <f>SUMIFS('Expenditure Breakdown'!$U$6:$U$236, 'Expenditure Breakdown'!$T$6:$T$236, "&gt;="&amp;HQ1,'Expenditure Breakdown'!$T$6:$T$236, "&lt;"&amp;HR1)</f>
        <v>0</v>
      </c>
      <c r="HR17" s="210">
        <f>SUMIFS('Expenditure Breakdown'!$U$6:$U$236, 'Expenditure Breakdown'!$T$6:$T$236, "&gt;="&amp;HR1,'Expenditure Breakdown'!$T$6:$T$236, "&lt;"&amp;HS1)</f>
        <v>0</v>
      </c>
      <c r="HS17" s="210">
        <f>SUMIFS('Expenditure Breakdown'!$U$6:$U$236, 'Expenditure Breakdown'!$T$6:$T$236, "&gt;="&amp;HS1,'Expenditure Breakdown'!$T$6:$T$236, "&lt;"&amp;HT1)</f>
        <v>0</v>
      </c>
      <c r="HT17" s="210">
        <f>SUMIFS('Expenditure Breakdown'!$U$6:$U$236, 'Expenditure Breakdown'!$T$6:$T$236, "&gt;="&amp;HT1,'Expenditure Breakdown'!$T$6:$T$236, "&lt;"&amp;HU1)</f>
        <v>0</v>
      </c>
      <c r="HU17" s="210">
        <f>SUMIFS('Expenditure Breakdown'!$U$6:$U$236, 'Expenditure Breakdown'!$T$6:$T$236, "&gt;="&amp;HU1,'Expenditure Breakdown'!$T$6:$T$236, "&lt;"&amp;HV1)</f>
        <v>0</v>
      </c>
      <c r="HV17" s="210">
        <f>SUMIFS('Expenditure Breakdown'!$U$6:$U$236, 'Expenditure Breakdown'!$T$6:$T$236, "&gt;="&amp;HV1,'Expenditure Breakdown'!$T$6:$T$236, "&lt;"&amp;HW1)</f>
        <v>0</v>
      </c>
      <c r="HW17" s="210">
        <f>SUMIFS('Expenditure Breakdown'!$U$6:$U$236, 'Expenditure Breakdown'!$T$6:$T$236, "&gt;="&amp;HW1,'Expenditure Breakdown'!$T$6:$T$236, "&lt;"&amp;HX1)</f>
        <v>0</v>
      </c>
      <c r="HX17" s="210">
        <f>SUMIFS('Expenditure Breakdown'!$U$6:$U$236, 'Expenditure Breakdown'!$T$6:$T$236, "&gt;="&amp;HX1,'Expenditure Breakdown'!$T$6:$T$236, "&lt;"&amp;HY1)</f>
        <v>0</v>
      </c>
      <c r="HY17" s="210">
        <f>SUMIFS('Expenditure Breakdown'!$U$6:$U$236, 'Expenditure Breakdown'!$T$6:$T$236, "&gt;="&amp;HY1,'Expenditure Breakdown'!$T$6:$T$236, "&lt;"&amp;HZ1)</f>
        <v>0</v>
      </c>
      <c r="HZ17" s="210">
        <f>SUMIFS('Expenditure Breakdown'!$U$6:$U$236, 'Expenditure Breakdown'!$T$6:$T$236, "&gt;="&amp;HZ1,'Expenditure Breakdown'!$T$6:$T$236, "&lt;"&amp;IA1)</f>
        <v>0</v>
      </c>
      <c r="IA17" s="210">
        <f>SUMIFS('Expenditure Breakdown'!$U$6:$U$236, 'Expenditure Breakdown'!$T$6:$T$236, "&gt;="&amp;IA1,'Expenditure Breakdown'!$T$6:$T$236, "&lt;"&amp;IB1)</f>
        <v>0</v>
      </c>
      <c r="IB17" s="210">
        <f>SUMIFS('Expenditure Breakdown'!$U$6:$U$236, 'Expenditure Breakdown'!$T$6:$T$236, "&gt;="&amp;IB1,'Expenditure Breakdown'!$T$6:$T$236, "&lt;"&amp;IC1)</f>
        <v>0</v>
      </c>
      <c r="IC17" s="210">
        <f>SUMIFS('Expenditure Breakdown'!$U$6:$U$236, 'Expenditure Breakdown'!$T$6:$T$236, "&gt;="&amp;IC1,'Expenditure Breakdown'!$T$6:$T$236, "&lt;"&amp;ID1)</f>
        <v>0</v>
      </c>
      <c r="ID17" s="210">
        <f>SUMIFS('Expenditure Breakdown'!$U$6:$U$236, 'Expenditure Breakdown'!$T$6:$T$236, "&gt;="&amp;ID1,'Expenditure Breakdown'!$T$6:$T$236, "&lt;"&amp;IE1)</f>
        <v>0</v>
      </c>
      <c r="IE17" s="210">
        <f>SUMIFS('Expenditure Breakdown'!$U$6:$U$236, 'Expenditure Breakdown'!$T$6:$T$236, "&gt;="&amp;IE1,'Expenditure Breakdown'!$T$6:$T$236, "&lt;"&amp;IF1)</f>
        <v>0</v>
      </c>
      <c r="IF17" s="210">
        <f>SUMIFS('Expenditure Breakdown'!$U$6:$U$236, 'Expenditure Breakdown'!$T$6:$T$236, "&gt;="&amp;IF1,'Expenditure Breakdown'!$T$6:$T$236, "&lt;"&amp;IG1)</f>
        <v>0</v>
      </c>
      <c r="IG17" s="210">
        <f>SUMIFS('Expenditure Breakdown'!$U$6:$U$236, 'Expenditure Breakdown'!$T$6:$T$236, "&gt;="&amp;IG1,'Expenditure Breakdown'!$T$6:$T$236, "&lt;"&amp;IH1)</f>
        <v>0</v>
      </c>
      <c r="IH17" s="210">
        <f>SUMIFS('Expenditure Breakdown'!$U$6:$U$236, 'Expenditure Breakdown'!$T$6:$T$236, "&gt;="&amp;IH1,'Expenditure Breakdown'!$T$6:$T$236, "&lt;"&amp;II1)</f>
        <v>0</v>
      </c>
      <c r="II17" s="210">
        <f>SUMIFS('Expenditure Breakdown'!$U$6:$U$236, 'Expenditure Breakdown'!$T$6:$T$236, "&gt;="&amp;II1,'Expenditure Breakdown'!$T$6:$T$236, "&lt;"&amp;IJ1)</f>
        <v>0</v>
      </c>
      <c r="IJ17" s="210">
        <f>SUMIFS('Expenditure Breakdown'!$U$6:$U$236, 'Expenditure Breakdown'!$T$6:$T$236, "&gt;="&amp;IJ1,'Expenditure Breakdown'!$T$6:$T$236, "&lt;"&amp;IK1)</f>
        <v>0</v>
      </c>
      <c r="IK17" s="210">
        <f>SUMIFS('Expenditure Breakdown'!$U$6:$U$236, 'Expenditure Breakdown'!$T$6:$T$236, "&gt;="&amp;IK1,'Expenditure Breakdown'!$T$6:$T$236, "&lt;"&amp;IL1)</f>
        <v>0</v>
      </c>
      <c r="IL17" s="210">
        <f>SUMIFS('Expenditure Breakdown'!$U$6:$U$236, 'Expenditure Breakdown'!$T$6:$T$236, "&gt;="&amp;IL1,'Expenditure Breakdown'!$T$6:$T$236, "&lt;"&amp;IM1)</f>
        <v>0</v>
      </c>
      <c r="IM17" s="210">
        <f>SUMIFS('Expenditure Breakdown'!$U$6:$U$236, 'Expenditure Breakdown'!$T$6:$T$236, "&gt;="&amp;IM1,'Expenditure Breakdown'!$T$6:$T$236, "&lt;"&amp;IN1)</f>
        <v>0</v>
      </c>
      <c r="IN17" s="210">
        <f>SUMIFS('Expenditure Breakdown'!$U$6:$U$236, 'Expenditure Breakdown'!$T$6:$T$236, "&gt;="&amp;IN1,'Expenditure Breakdown'!$T$6:$T$236, "&lt;"&amp;IO1)</f>
        <v>0</v>
      </c>
      <c r="IO17" s="210">
        <f>SUMIFS('Expenditure Breakdown'!$U$6:$U$236, 'Expenditure Breakdown'!$T$6:$T$236, "&gt;="&amp;IO1,'Expenditure Breakdown'!$T$6:$T$236, "&lt;"&amp;IP1)</f>
        <v>0</v>
      </c>
      <c r="IP17" s="210">
        <f>SUMIFS('Expenditure Breakdown'!$U$6:$U$236, 'Expenditure Breakdown'!$T$6:$T$236, "&gt;="&amp;IP1,'Expenditure Breakdown'!$T$6:$T$236, "&lt;"&amp;IQ1)</f>
        <v>0</v>
      </c>
      <c r="IQ17" s="210">
        <f>SUMIFS('Expenditure Breakdown'!$U$6:$U$236, 'Expenditure Breakdown'!$T$6:$T$236, "&gt;="&amp;IQ1,'Expenditure Breakdown'!$T$6:$T$236, "&lt;"&amp;IR1)</f>
        <v>0</v>
      </c>
      <c r="IR17" s="210">
        <f>SUMIFS('Expenditure Breakdown'!$U$6:$U$236, 'Expenditure Breakdown'!$T$6:$T$236, "&gt;="&amp;IR1,'Expenditure Breakdown'!$T$6:$T$236, "&lt;"&amp;IS1)</f>
        <v>0</v>
      </c>
      <c r="IS17" s="210">
        <f>SUMIFS('Expenditure Breakdown'!$U$6:$U$236, 'Expenditure Breakdown'!$T$6:$T$236, "&gt;="&amp;IS1,'Expenditure Breakdown'!$T$6:$T$236, "&lt;"&amp;IT1)</f>
        <v>0</v>
      </c>
      <c r="IT17" s="210">
        <f>SUMIFS('Expenditure Breakdown'!$U$6:$U$236, 'Expenditure Breakdown'!$T$6:$T$236, "&gt;="&amp;IT1,'Expenditure Breakdown'!$T$6:$T$236, "&lt;"&amp;IU1)</f>
        <v>0</v>
      </c>
      <c r="IU17" s="210">
        <f>SUMIFS('Expenditure Breakdown'!$U$6:$U$236, 'Expenditure Breakdown'!$T$6:$T$236, "&gt;="&amp;IU1,'Expenditure Breakdown'!$T$6:$T$236, "&lt;"&amp;IV1)</f>
        <v>0</v>
      </c>
      <c r="IV17" s="210">
        <f>SUMIFS('Expenditure Breakdown'!$U$6:$U$236, 'Expenditure Breakdown'!$T$6:$T$236, "&gt;="&amp;IV1,'Expenditure Breakdown'!$T$6:$T$236, "&lt;"&amp;IW1)</f>
        <v>0</v>
      </c>
      <c r="IW17" s="210">
        <f>SUMIFS('Expenditure Breakdown'!$U$6:$U$236, 'Expenditure Breakdown'!$T$6:$T$236, "&gt;="&amp;IW1,'Expenditure Breakdown'!$T$6:$T$236, "&lt;"&amp;IX1)</f>
        <v>0</v>
      </c>
      <c r="IX17" s="210">
        <f>SUMIFS('Expenditure Breakdown'!$U$6:$U$236, 'Expenditure Breakdown'!$T$6:$T$236, "&gt;="&amp;IX1,'Expenditure Breakdown'!$T$6:$T$236, "&lt;"&amp;IY1)</f>
        <v>0</v>
      </c>
      <c r="IY17" s="210">
        <f>SUMIFS('Expenditure Breakdown'!$U$6:$U$236, 'Expenditure Breakdown'!$T$6:$T$236, "&gt;="&amp;IY1,'Expenditure Breakdown'!$T$6:$T$236, "&lt;"&amp;IZ1)</f>
        <v>0</v>
      </c>
      <c r="IZ17" s="210">
        <f>SUMIFS('Expenditure Breakdown'!$U$6:$U$236, 'Expenditure Breakdown'!$T$6:$T$236, "&gt;="&amp;IZ1,'Expenditure Breakdown'!$T$6:$T$236, "&lt;"&amp;JA1)</f>
        <v>0</v>
      </c>
      <c r="JA17" s="210">
        <f>SUMIFS('Expenditure Breakdown'!$U$6:$U$236, 'Expenditure Breakdown'!$T$6:$T$236, "&gt;="&amp;JA1,'Expenditure Breakdown'!$T$6:$T$236, "&lt;"&amp;JB1)</f>
        <v>0</v>
      </c>
      <c r="JB17" s="210">
        <f>SUMIFS('Expenditure Breakdown'!$U$6:$U$236, 'Expenditure Breakdown'!$T$6:$T$236, "&gt;="&amp;JB1,'Expenditure Breakdown'!$T$6:$T$236, "&lt;"&amp;JC1)</f>
        <v>0</v>
      </c>
      <c r="JC17" s="210">
        <f>SUMIFS('Expenditure Breakdown'!$U$6:$U$236, 'Expenditure Breakdown'!$T$6:$T$236, "&gt;="&amp;JC1,'Expenditure Breakdown'!$T$6:$T$236, "&lt;"&amp;JD1)</f>
        <v>0</v>
      </c>
      <c r="JD17" s="210">
        <f>SUMIFS('Expenditure Breakdown'!$U$6:$U$236, 'Expenditure Breakdown'!$T$6:$T$236, "&gt;="&amp;JD1,'Expenditure Breakdown'!$T$6:$T$236, "&lt;"&amp;JE1)</f>
        <v>0</v>
      </c>
      <c r="JE17" s="210">
        <f>SUMIFS('Expenditure Breakdown'!$U$6:$U$236, 'Expenditure Breakdown'!$T$6:$T$236, "&gt;="&amp;JE1,'Expenditure Breakdown'!$T$6:$T$236, "&lt;"&amp;JF1)</f>
        <v>0</v>
      </c>
      <c r="JF17" s="210">
        <f>SUMIFS('Expenditure Breakdown'!$U$6:$U$236, 'Expenditure Breakdown'!$T$6:$T$236, "&gt;="&amp;JF1,'Expenditure Breakdown'!$T$6:$T$236, "&lt;"&amp;JG1)</f>
        <v>0</v>
      </c>
      <c r="JG17" s="210">
        <f>SUMIFS('Expenditure Breakdown'!$U$6:$U$236, 'Expenditure Breakdown'!$T$6:$T$236, "&gt;="&amp;JG1,'Expenditure Breakdown'!$T$6:$T$236, "&lt;"&amp;JH1)</f>
        <v>0</v>
      </c>
      <c r="JH17" s="210">
        <f>SUMIFS('Expenditure Breakdown'!$U$6:$U$236, 'Expenditure Breakdown'!$T$6:$T$236, "&gt;="&amp;JH1,'Expenditure Breakdown'!$T$6:$T$236, "&lt;"&amp;JI1)</f>
        <v>0</v>
      </c>
      <c r="JI17" s="210">
        <f>SUMIFS('Expenditure Breakdown'!$U$6:$U$236, 'Expenditure Breakdown'!$T$6:$T$236, "&gt;="&amp;JI1,'Expenditure Breakdown'!$T$6:$T$236, "&lt;"&amp;JJ1)</f>
        <v>0</v>
      </c>
      <c r="JJ17" s="210">
        <f>SUMIFS('Expenditure Breakdown'!$U$6:$U$236, 'Expenditure Breakdown'!$T$6:$T$236, "&gt;="&amp;JJ1,'Expenditure Breakdown'!$T$6:$T$236, "&lt;"&amp;JK1)</f>
        <v>0</v>
      </c>
      <c r="JK17" s="210">
        <f>SUMIFS('Expenditure Breakdown'!$U$6:$U$236, 'Expenditure Breakdown'!$T$6:$T$236, "&gt;="&amp;JK1,'Expenditure Breakdown'!$T$6:$T$236, "&lt;"&amp;JL1)</f>
        <v>0</v>
      </c>
      <c r="JL17" s="210">
        <f>SUMIFS('Expenditure Breakdown'!$U$6:$U$236, 'Expenditure Breakdown'!$T$6:$T$236, "&gt;="&amp;JL1,'Expenditure Breakdown'!$T$6:$T$236, "&lt;"&amp;JM1)</f>
        <v>0</v>
      </c>
      <c r="JM17" s="210">
        <f>SUMIFS('Expenditure Breakdown'!$U$6:$U$236, 'Expenditure Breakdown'!$T$6:$T$236, "&gt;="&amp;JM1,'Expenditure Breakdown'!$T$6:$T$236, "&lt;"&amp;JN1)</f>
        <v>0</v>
      </c>
      <c r="JN17" s="210">
        <f>SUMIFS('Expenditure Breakdown'!$U$6:$U$236, 'Expenditure Breakdown'!$T$6:$T$236, "&gt;="&amp;JN1,'Expenditure Breakdown'!$T$6:$T$236, "&lt;"&amp;JO1)</f>
        <v>0</v>
      </c>
      <c r="JO17" s="210">
        <f>SUMIFS('Expenditure Breakdown'!$U$6:$U$236, 'Expenditure Breakdown'!$T$6:$T$236, "&gt;="&amp;JO1,'Expenditure Breakdown'!$T$6:$T$236, "&lt;"&amp;JP1)</f>
        <v>0</v>
      </c>
      <c r="JP17" s="210">
        <f>SUMIFS('Expenditure Breakdown'!$U$6:$U$236, 'Expenditure Breakdown'!$T$6:$T$236, "&gt;="&amp;JP1,'Expenditure Breakdown'!$T$6:$T$236, "&lt;"&amp;JQ1)</f>
        <v>0</v>
      </c>
      <c r="JQ17" s="210">
        <f>SUMIFS('Expenditure Breakdown'!$U$6:$U$236, 'Expenditure Breakdown'!$T$6:$T$236, "&gt;="&amp;JQ1,'Expenditure Breakdown'!$T$6:$T$236, "&lt;"&amp;JR1)</f>
        <v>0</v>
      </c>
      <c r="JR17" s="210">
        <f>SUMIFS('Expenditure Breakdown'!$U$6:$U$236, 'Expenditure Breakdown'!$T$6:$T$236, "&gt;="&amp;JR1,'Expenditure Breakdown'!$T$6:$T$236, "&lt;"&amp;JS1)</f>
        <v>0</v>
      </c>
      <c r="JS17" s="210">
        <f>SUMIFS('Expenditure Breakdown'!$U$6:$U$236, 'Expenditure Breakdown'!$T$6:$T$236, "&gt;="&amp;JS1,'Expenditure Breakdown'!$T$6:$T$236, "&lt;"&amp;JT1)</f>
        <v>0</v>
      </c>
      <c r="JT17" s="210">
        <f>SUMIFS('Expenditure Breakdown'!$U$6:$U$236, 'Expenditure Breakdown'!$T$6:$T$236, "&gt;="&amp;JT1,'Expenditure Breakdown'!$T$6:$T$236, "&lt;"&amp;JU1)</f>
        <v>0</v>
      </c>
      <c r="JU17" s="210">
        <f>SUMIFS('Expenditure Breakdown'!$U$6:$U$236, 'Expenditure Breakdown'!$T$6:$T$236, "&gt;="&amp;JU1,'Expenditure Breakdown'!$T$6:$T$236, "&lt;"&amp;JV1)</f>
        <v>0</v>
      </c>
      <c r="JV17" s="210">
        <f>SUMIFS('Expenditure Breakdown'!$U$6:$U$236, 'Expenditure Breakdown'!$T$6:$T$236, "&gt;="&amp;JV1,'Expenditure Breakdown'!$T$6:$T$236, "&lt;"&amp;JW1)</f>
        <v>0</v>
      </c>
      <c r="JW17" s="210">
        <f>SUMIFS('Expenditure Breakdown'!$U$6:$U$236, 'Expenditure Breakdown'!$T$6:$T$236, "&gt;="&amp;JW1,'Expenditure Breakdown'!$T$6:$T$236, "&lt;"&amp;JX1)</f>
        <v>0</v>
      </c>
      <c r="JX17" s="210">
        <f>SUMIFS('Expenditure Breakdown'!$U$6:$U$236, 'Expenditure Breakdown'!$T$6:$T$236, "&gt;="&amp;JX1,'Expenditure Breakdown'!$T$6:$T$236, "&lt;"&amp;JY1)</f>
        <v>0</v>
      </c>
      <c r="JY17" s="210">
        <f>SUMIFS('Expenditure Breakdown'!$U$6:$U$236, 'Expenditure Breakdown'!$T$6:$T$236, "&gt;="&amp;JY1,'Expenditure Breakdown'!$T$6:$T$236, "&lt;"&amp;JZ1)</f>
        <v>0</v>
      </c>
      <c r="JZ17" s="210">
        <f>SUMIFS('Expenditure Breakdown'!$U$6:$U$236, 'Expenditure Breakdown'!$T$6:$T$236, "&gt;="&amp;JZ1,'Expenditure Breakdown'!$T$6:$T$236, "&lt;"&amp;KA1)</f>
        <v>0</v>
      </c>
      <c r="KA17" s="210">
        <f>SUMIFS('Expenditure Breakdown'!$U$6:$U$236, 'Expenditure Breakdown'!$T$6:$T$236, "&gt;="&amp;KA1,'Expenditure Breakdown'!$T$6:$T$236, "&lt;"&amp;KB1)</f>
        <v>0</v>
      </c>
      <c r="KB17" s="210">
        <f>SUMIFS('Expenditure Breakdown'!$U$6:$U$236, 'Expenditure Breakdown'!$T$6:$T$236, "&gt;="&amp;KB1,'Expenditure Breakdown'!$T$6:$T$236, "&lt;"&amp;KC1)</f>
        <v>0</v>
      </c>
      <c r="KC17" s="210">
        <f>SUMIFS('Expenditure Breakdown'!$U$6:$U$236, 'Expenditure Breakdown'!$T$6:$T$236, "&gt;="&amp;KC1,'Expenditure Breakdown'!$T$6:$T$236, "&lt;"&amp;KD1)</f>
        <v>0</v>
      </c>
      <c r="KD17" s="210">
        <f>SUMIFS('Expenditure Breakdown'!$U$6:$U$236, 'Expenditure Breakdown'!$T$6:$T$236, "&gt;="&amp;KD1,'Expenditure Breakdown'!$T$6:$T$236, "&lt;"&amp;KE1)</f>
        <v>0</v>
      </c>
      <c r="KE17" s="210">
        <f>SUMIFS('Expenditure Breakdown'!$U$6:$U$236, 'Expenditure Breakdown'!$T$6:$T$236, "&gt;="&amp;KE1,'Expenditure Breakdown'!$T$6:$T$236, "&lt;"&amp;KF1)</f>
        <v>0</v>
      </c>
      <c r="KF17" s="210">
        <f>SUMIFS('Expenditure Breakdown'!$U$6:$U$236, 'Expenditure Breakdown'!$T$6:$T$236, "&gt;="&amp;KF1,'Expenditure Breakdown'!$T$6:$T$236, "&lt;"&amp;KG1)</f>
        <v>0</v>
      </c>
      <c r="KG17" s="210">
        <f>SUMIFS('Expenditure Breakdown'!$U$6:$U$236, 'Expenditure Breakdown'!$T$6:$T$236, "&gt;="&amp;KG1,'Expenditure Breakdown'!$T$6:$T$236, "&lt;"&amp;KH1)</f>
        <v>0</v>
      </c>
      <c r="KH17" s="210">
        <f>SUMIFS('Expenditure Breakdown'!$U$6:$U$236, 'Expenditure Breakdown'!$T$6:$T$236, "&gt;="&amp;KH1,'Expenditure Breakdown'!$T$6:$T$236, "&lt;"&amp;KI1)</f>
        <v>0</v>
      </c>
      <c r="KI17" s="210">
        <f>SUMIFS('Expenditure Breakdown'!$U$6:$U$236, 'Expenditure Breakdown'!$T$6:$T$236, "&gt;="&amp;KI1,'Expenditure Breakdown'!$T$6:$T$236, "&lt;"&amp;KJ1)</f>
        <v>0</v>
      </c>
      <c r="KJ17" s="210">
        <f>SUMIFS('Expenditure Breakdown'!$U$6:$U$236, 'Expenditure Breakdown'!$T$6:$T$236, "&gt;="&amp;KJ1,'Expenditure Breakdown'!$T$6:$T$236, "&lt;"&amp;KK1)</f>
        <v>0</v>
      </c>
      <c r="KK17" s="210">
        <f>SUMIFS('Expenditure Breakdown'!$U$6:$U$236, 'Expenditure Breakdown'!$T$6:$T$236, "&gt;="&amp;KK1,'Expenditure Breakdown'!$T$6:$T$236, "&lt;"&amp;KL1)</f>
        <v>0</v>
      </c>
      <c r="KL17" s="210">
        <f>SUMIFS('Expenditure Breakdown'!$U$6:$U$236, 'Expenditure Breakdown'!$T$6:$T$236, "&gt;="&amp;KL1,'Expenditure Breakdown'!$T$6:$T$236, "&lt;"&amp;KM1)</f>
        <v>0</v>
      </c>
      <c r="KM17" s="210">
        <f>SUMIFS('Expenditure Breakdown'!$U$6:$U$236, 'Expenditure Breakdown'!$T$6:$T$236, "&gt;="&amp;KM1,'Expenditure Breakdown'!$T$6:$T$236, "&lt;"&amp;KN1)</f>
        <v>0</v>
      </c>
      <c r="KN17" s="210">
        <f>SUMIFS('Expenditure Breakdown'!$U$6:$U$236, 'Expenditure Breakdown'!$T$6:$T$236, "&gt;="&amp;KN1,'Expenditure Breakdown'!$T$6:$T$236, "&lt;"&amp;KO1)</f>
        <v>0</v>
      </c>
      <c r="KO17" s="210">
        <f>SUMIFS('Expenditure Breakdown'!$U$6:$U$236, 'Expenditure Breakdown'!$T$6:$T$236, "&gt;="&amp;KO1,'Expenditure Breakdown'!$T$6:$T$236, "&lt;"&amp;KP1)</f>
        <v>0</v>
      </c>
      <c r="KP17" s="210">
        <f>SUMIFS('Expenditure Breakdown'!$U$6:$U$236, 'Expenditure Breakdown'!$T$6:$T$236, "&gt;="&amp;KP1,'Expenditure Breakdown'!$T$6:$T$236, "&lt;"&amp;KQ1)</f>
        <v>0</v>
      </c>
      <c r="KQ17" s="210">
        <f>SUMIFS('Expenditure Breakdown'!$U$6:$U$236, 'Expenditure Breakdown'!$T$6:$T$236, "&gt;="&amp;KQ1,'Expenditure Breakdown'!$T$6:$T$236, "&lt;"&amp;KR1)</f>
        <v>0</v>
      </c>
      <c r="KR17" s="210">
        <f>SUMIFS('Expenditure Breakdown'!$U$6:$U$236, 'Expenditure Breakdown'!$T$6:$T$236, "&gt;="&amp;KR1,'Expenditure Breakdown'!$T$6:$T$236, "&lt;"&amp;KS1)</f>
        <v>0</v>
      </c>
      <c r="KS17" s="210">
        <f>SUMIFS('Expenditure Breakdown'!$U$6:$U$236, 'Expenditure Breakdown'!$T$6:$T$236, "&gt;="&amp;KS1,'Expenditure Breakdown'!$T$6:$T$236, "&lt;"&amp;KT1)</f>
        <v>0</v>
      </c>
      <c r="KT17" s="210">
        <f>SUMIFS('Expenditure Breakdown'!$U$6:$U$236, 'Expenditure Breakdown'!$T$6:$T$236, "&gt;="&amp;KT1,'Expenditure Breakdown'!$T$6:$T$236, "&lt;"&amp;KU1)</f>
        <v>0</v>
      </c>
      <c r="KU17" s="210">
        <f>SUMIFS('Expenditure Breakdown'!$U$6:$U$236, 'Expenditure Breakdown'!$T$6:$T$236, "&gt;="&amp;KU1,'Expenditure Breakdown'!$T$6:$T$236, "&lt;"&amp;KV1)</f>
        <v>0</v>
      </c>
      <c r="KV17" s="210">
        <f>SUMIFS('Expenditure Breakdown'!$U$6:$U$236, 'Expenditure Breakdown'!$T$6:$T$236, "&gt;="&amp;KV1,'Expenditure Breakdown'!$T$6:$T$236, "&lt;"&amp;KW1)</f>
        <v>0</v>
      </c>
      <c r="KW17" s="210">
        <f>SUMIFS('Expenditure Breakdown'!$U$6:$U$236, 'Expenditure Breakdown'!$T$6:$T$236, "&gt;="&amp;KW1,'Expenditure Breakdown'!$T$6:$T$236, "&lt;"&amp;KX1)</f>
        <v>0</v>
      </c>
      <c r="KX17" s="210">
        <f>SUMIFS('Expenditure Breakdown'!$U$6:$U$236, 'Expenditure Breakdown'!$T$6:$T$236, "&gt;="&amp;KX1,'Expenditure Breakdown'!$T$6:$T$236, "&lt;"&amp;KY1)</f>
        <v>0</v>
      </c>
      <c r="KY17" s="210">
        <f>SUMIFS('Expenditure Breakdown'!$U$6:$U$236, 'Expenditure Breakdown'!$T$6:$T$236, "&gt;="&amp;KY1,'Expenditure Breakdown'!$T$6:$T$236, "&lt;"&amp;KZ1)</f>
        <v>0</v>
      </c>
      <c r="KZ17" s="210">
        <f>SUMIFS('Expenditure Breakdown'!$U$6:$U$236, 'Expenditure Breakdown'!$T$6:$T$236, "&gt;="&amp;KZ1,'Expenditure Breakdown'!$T$6:$T$236, "&lt;"&amp;LA1)</f>
        <v>0</v>
      </c>
      <c r="LA17" s="210">
        <f>SUMIFS('Expenditure Breakdown'!$U$6:$U$236, 'Expenditure Breakdown'!$T$6:$T$236, "&gt;="&amp;LA1,'Expenditure Breakdown'!$T$6:$T$236, "&lt;"&amp;LB1)</f>
        <v>0</v>
      </c>
      <c r="LB17" s="210">
        <f>SUMIFS('Expenditure Breakdown'!$U$6:$U$236, 'Expenditure Breakdown'!$T$6:$T$236, "&gt;="&amp;LB1,'Expenditure Breakdown'!$T$6:$T$236, "&lt;"&amp;LC1)</f>
        <v>0</v>
      </c>
      <c r="LC17" s="210">
        <f>SUMIFS('Expenditure Breakdown'!$U$6:$U$236, 'Expenditure Breakdown'!$T$6:$T$236, "&gt;="&amp;LC1,'Expenditure Breakdown'!$T$6:$T$236, "&lt;"&amp;LD1)</f>
        <v>0</v>
      </c>
      <c r="LD17" s="210">
        <f>SUMIFS('Expenditure Breakdown'!$U$6:$U$236, 'Expenditure Breakdown'!$T$6:$T$236, "&gt;="&amp;LD1,'Expenditure Breakdown'!$T$6:$T$236, "&lt;"&amp;#REF!)</f>
        <v>0</v>
      </c>
    </row>
    <row r="18" spans="1:316">
      <c r="A18" s="855"/>
      <c r="B18" s="191" t="s">
        <v>201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7100</v>
      </c>
      <c r="BH18" s="210">
        <f t="shared" si="37"/>
        <v>7100</v>
      </c>
      <c r="BI18" s="210">
        <f t="shared" si="37"/>
        <v>7100</v>
      </c>
      <c r="BJ18" s="210">
        <f t="shared" si="37"/>
        <v>7100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453125" defaultRowHeight="14.5"/>
  <cols>
    <col min="1" max="1" width="36" style="353" bestFit="1" customWidth="1"/>
    <col min="2" max="2" width="15.26953125" style="354" bestFit="1" customWidth="1"/>
    <col min="3" max="3" width="10.453125" style="353" bestFit="1" customWidth="1"/>
    <col min="4" max="4" width="10.7265625" style="353" bestFit="1" customWidth="1"/>
    <col min="5" max="5" width="12.90625" style="353" bestFit="1" customWidth="1"/>
    <col min="6" max="6" width="11.08984375" style="353" bestFit="1" customWidth="1"/>
    <col min="7" max="7" width="12.90625" style="353" bestFit="1" customWidth="1"/>
    <col min="8" max="8" width="12.08984375" style="353" bestFit="1" customWidth="1"/>
    <col min="9" max="9" width="10.08984375" style="353" bestFit="1" customWidth="1"/>
    <col min="10" max="10" width="6.08984375" style="353" bestFit="1" customWidth="1"/>
    <col min="11" max="12" width="12.08984375" style="353" bestFit="1" customWidth="1"/>
    <col min="13" max="13" width="10.08984375" style="353" bestFit="1" customWidth="1"/>
    <col min="14" max="14" width="13.90625" style="353" bestFit="1" customWidth="1"/>
    <col min="15" max="18" width="11.453125" style="353" bestFit="1" customWidth="1"/>
    <col min="19" max="19" width="13.54296875" style="353" bestFit="1" customWidth="1"/>
    <col min="20" max="16384" width="12.453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202</v>
      </c>
      <c r="B3" s="430" t="s">
        <v>203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204</v>
      </c>
      <c r="B4" t="s">
        <v>205</v>
      </c>
      <c r="C4" s="432">
        <v>46053</v>
      </c>
      <c r="D4" t="s">
        <v>206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205</v>
      </c>
      <c r="B5" s="358"/>
      <c r="C5" s="358"/>
      <c r="D5" s="358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263</v>
      </c>
      <c r="B6" s="358">
        <v>0</v>
      </c>
      <c r="C6" s="358">
        <v>3550</v>
      </c>
      <c r="D6" s="358">
        <v>3550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264</v>
      </c>
      <c r="B7" s="358">
        <v>0</v>
      </c>
      <c r="C7" s="358">
        <v>3550</v>
      </c>
      <c r="D7" s="358">
        <v>3550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265</v>
      </c>
      <c r="B8" s="358"/>
      <c r="C8" s="358"/>
      <c r="D8" s="35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266</v>
      </c>
      <c r="B9" s="358"/>
      <c r="C9" s="358"/>
      <c r="D9" s="358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267</v>
      </c>
      <c r="B10" s="358"/>
      <c r="C10" s="358"/>
      <c r="D10" s="358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268</v>
      </c>
      <c r="B11" s="358"/>
      <c r="C11" s="358"/>
      <c r="D11" s="358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206</v>
      </c>
      <c r="B12" s="358">
        <v>0</v>
      </c>
      <c r="C12" s="358">
        <v>7100</v>
      </c>
      <c r="D12" s="358">
        <v>7100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4296875" defaultRowHeight="14.5"/>
  <cols>
    <col min="1" max="1" width="25.08984375" bestFit="1" customWidth="1"/>
    <col min="2" max="2" width="15.6328125" style="396" bestFit="1" customWidth="1"/>
    <col min="3" max="3" width="10.453125" style="396" bestFit="1" customWidth="1"/>
    <col min="4" max="4" width="10.7265625" style="396" bestFit="1" customWidth="1"/>
    <col min="5" max="6" width="10.453125" style="396" bestFit="1" customWidth="1"/>
    <col min="7" max="7" width="12.08984375" style="396" bestFit="1" customWidth="1"/>
    <col min="8" max="8" width="15.08984375" style="396" bestFit="1" customWidth="1"/>
    <col min="9" max="9" width="10.08984375" style="396" bestFit="1" customWidth="1"/>
    <col min="10" max="10" width="15.90625" bestFit="1" customWidth="1"/>
    <col min="11" max="11" width="11.08984375" bestFit="1" customWidth="1"/>
    <col min="12" max="12" width="12.08984375" bestFit="1" customWidth="1"/>
    <col min="13" max="13" width="10.08984375" bestFit="1" customWidth="1"/>
    <col min="14" max="14" width="13.90625" bestFit="1" customWidth="1"/>
    <col min="15" max="15" width="11.54296875" bestFit="1" customWidth="1"/>
    <col min="16" max="16" width="10.54296875" bestFit="1" customWidth="1"/>
    <col min="17" max="18" width="11.54296875" bestFit="1" customWidth="1"/>
    <col min="19" max="19" width="13.453125" bestFit="1" customWidth="1"/>
  </cols>
  <sheetData>
    <row r="3" spans="1:9">
      <c r="A3" s="430" t="s">
        <v>207</v>
      </c>
      <c r="B3" s="430" t="s">
        <v>203</v>
      </c>
      <c r="C3"/>
      <c r="D3"/>
      <c r="E3"/>
      <c r="F3"/>
      <c r="G3"/>
      <c r="H3"/>
      <c r="I3"/>
    </row>
    <row r="4" spans="1:9">
      <c r="A4" s="430" t="s">
        <v>204</v>
      </c>
      <c r="B4" t="s">
        <v>205</v>
      </c>
      <c r="C4" s="432">
        <v>46053</v>
      </c>
      <c r="D4" t="s">
        <v>206</v>
      </c>
      <c r="E4"/>
      <c r="F4"/>
      <c r="G4"/>
      <c r="H4"/>
      <c r="I4"/>
    </row>
    <row r="5" spans="1:9">
      <c r="A5" s="431" t="s">
        <v>205</v>
      </c>
      <c r="B5" s="433"/>
      <c r="C5" s="433"/>
      <c r="D5" s="433"/>
      <c r="E5"/>
      <c r="F5"/>
      <c r="G5"/>
      <c r="H5"/>
      <c r="I5"/>
    </row>
    <row r="6" spans="1:9">
      <c r="A6" s="431" t="s">
        <v>263</v>
      </c>
      <c r="B6" s="433"/>
      <c r="C6" s="433">
        <v>2500</v>
      </c>
      <c r="D6" s="433">
        <v>2500</v>
      </c>
      <c r="E6"/>
      <c r="F6"/>
      <c r="G6"/>
      <c r="H6"/>
      <c r="I6"/>
    </row>
    <row r="7" spans="1:9">
      <c r="A7" s="431" t="s">
        <v>264</v>
      </c>
      <c r="B7" s="433"/>
      <c r="C7" s="433">
        <v>2500</v>
      </c>
      <c r="D7" s="433">
        <v>2500</v>
      </c>
      <c r="E7"/>
      <c r="F7"/>
      <c r="G7"/>
      <c r="H7"/>
      <c r="I7"/>
    </row>
    <row r="8" spans="1:9">
      <c r="A8" s="431" t="s">
        <v>265</v>
      </c>
      <c r="B8" s="433"/>
      <c r="C8" s="433"/>
      <c r="D8" s="433"/>
      <c r="E8"/>
      <c r="F8"/>
      <c r="G8"/>
      <c r="H8"/>
      <c r="I8"/>
    </row>
    <row r="9" spans="1:9">
      <c r="A9" s="431" t="s">
        <v>266</v>
      </c>
      <c r="B9" s="433"/>
      <c r="C9" s="433"/>
      <c r="D9" s="433"/>
      <c r="E9"/>
      <c r="F9"/>
      <c r="G9"/>
      <c r="H9"/>
      <c r="I9"/>
    </row>
    <row r="10" spans="1:9">
      <c r="A10" s="431" t="s">
        <v>267</v>
      </c>
      <c r="B10" s="433"/>
      <c r="C10" s="433"/>
      <c r="D10" s="433"/>
      <c r="E10"/>
      <c r="F10"/>
      <c r="G10"/>
      <c r="H10"/>
      <c r="I10"/>
    </row>
    <row r="11" spans="1:9">
      <c r="A11" s="431" t="s">
        <v>268</v>
      </c>
      <c r="B11" s="433"/>
      <c r="C11" s="433"/>
      <c r="D11" s="433"/>
      <c r="E11"/>
      <c r="F11"/>
      <c r="G11"/>
      <c r="H11"/>
      <c r="I11"/>
    </row>
    <row r="12" spans="1:9">
      <c r="A12" s="431" t="s">
        <v>206</v>
      </c>
      <c r="B12" s="433"/>
      <c r="C12" s="433">
        <v>5000</v>
      </c>
      <c r="D12" s="433">
        <v>5000</v>
      </c>
      <c r="E12"/>
      <c r="F12"/>
      <c r="G12"/>
      <c r="H12" s="433">
        <f>SUM(G11:G12)</f>
        <v>0</v>
      </c>
      <c r="I12"/>
    </row>
    <row r="13" spans="1:9">
      <c r="B13"/>
      <c r="C13"/>
      <c r="D13"/>
      <c r="E13"/>
      <c r="F13"/>
      <c r="G13"/>
      <c r="H13"/>
      <c r="I13"/>
    </row>
    <row r="14" spans="1:9">
      <c r="B14"/>
      <c r="C14"/>
      <c r="D14"/>
      <c r="E14"/>
      <c r="F14"/>
      <c r="G14"/>
      <c r="H14"/>
      <c r="I14"/>
    </row>
    <row r="15" spans="1:9">
      <c r="B15"/>
      <c r="C15"/>
      <c r="D15"/>
      <c r="E15"/>
      <c r="F15"/>
      <c r="G15"/>
      <c r="H15"/>
      <c r="I15"/>
    </row>
    <row r="16" spans="1:9">
      <c r="B16"/>
      <c r="C16"/>
      <c r="D16"/>
      <c r="E16"/>
      <c r="F16"/>
      <c r="G16"/>
      <c r="H16"/>
      <c r="I16"/>
    </row>
    <row r="17" spans="8:8" customFormat="1"/>
    <row r="18" spans="8:8" customFormat="1"/>
    <row r="19" spans="8:8" customFormat="1"/>
    <row r="20" spans="8:8" customFormat="1"/>
    <row r="21" spans="8:8" customFormat="1">
      <c r="H21" s="433"/>
    </row>
    <row r="22" spans="8:8" customFormat="1"/>
    <row r="23" spans="8:8" customFormat="1"/>
    <row r="24" spans="8:8" customFormat="1"/>
    <row r="25" spans="8:8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4296875" defaultRowHeight="14.5"/>
  <cols>
    <col min="4" max="4" width="9" customWidth="1"/>
  </cols>
  <sheetData>
    <row r="1" spans="1:4">
      <c r="A1" s="110" t="s">
        <v>208</v>
      </c>
    </row>
    <row r="2" spans="1:4">
      <c r="A2" s="857"/>
      <c r="B2" s="857"/>
      <c r="C2" s="857"/>
      <c r="D2" s="71"/>
    </row>
    <row r="3" spans="1:4">
      <c r="A3" s="856" t="s">
        <v>209</v>
      </c>
      <c r="B3" s="856"/>
      <c r="C3" s="856"/>
      <c r="D3" s="111">
        <v>0.32</v>
      </c>
    </row>
    <row r="4" spans="1:4">
      <c r="A4" s="856" t="s">
        <v>188</v>
      </c>
      <c r="B4" s="856"/>
      <c r="C4" s="856"/>
      <c r="D4" s="111">
        <v>0.5</v>
      </c>
    </row>
    <row r="5" spans="1:4">
      <c r="A5" s="856" t="s">
        <v>189</v>
      </c>
      <c r="B5" s="856"/>
      <c r="C5" s="856"/>
      <c r="D5" s="111">
        <v>0.15</v>
      </c>
    </row>
    <row r="6" spans="1:4">
      <c r="A6" s="856" t="s">
        <v>210</v>
      </c>
      <c r="B6" s="856"/>
      <c r="C6" s="85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58" t="s">
        <v>211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</row>
    <row r="4" spans="2:14" ht="13">
      <c r="B4" s="92" t="s">
        <v>212</v>
      </c>
      <c r="C4" s="86"/>
      <c r="D4" s="90" t="s">
        <v>213</v>
      </c>
      <c r="E4" s="95"/>
      <c r="F4" s="90" t="s">
        <v>214</v>
      </c>
      <c r="H4" s="90" t="s">
        <v>215</v>
      </c>
      <c r="I4" s="95"/>
      <c r="J4" s="90" t="s">
        <v>216</v>
      </c>
      <c r="L4" s="90" t="s">
        <v>215</v>
      </c>
      <c r="M4" s="90"/>
      <c r="N4" s="90" t="s">
        <v>217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218</v>
      </c>
      <c r="H7" s="99"/>
      <c r="I7" s="95"/>
      <c r="J7" s="107" t="s">
        <v>218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178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178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219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220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221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218</v>
      </c>
      <c r="H15" s="99"/>
      <c r="I15" s="95"/>
      <c r="J15" s="107" t="s">
        <v>218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222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222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221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218</v>
      </c>
      <c r="H21" s="99"/>
      <c r="I21" s="95"/>
      <c r="J21" s="107" t="s">
        <v>218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223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223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221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218</v>
      </c>
      <c r="H27" s="99"/>
      <c r="I27" s="95"/>
      <c r="J27" s="107" t="s">
        <v>218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224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221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218</v>
      </c>
      <c r="H34" s="99"/>
      <c r="I34" s="95"/>
      <c r="J34" s="107" t="s">
        <v>218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225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231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8" t="s">
        <v>233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</row>
    <row r="4" spans="2:15" ht="13">
      <c r="B4" s="92" t="s">
        <v>212</v>
      </c>
      <c r="C4" s="86"/>
      <c r="D4" s="90" t="s">
        <v>213</v>
      </c>
      <c r="E4" s="95"/>
      <c r="F4" s="95"/>
      <c r="G4" s="90" t="s">
        <v>234</v>
      </c>
      <c r="H4" s="96"/>
      <c r="J4" s="90" t="s">
        <v>215</v>
      </c>
      <c r="L4" s="90" t="s">
        <v>235</v>
      </c>
      <c r="M4" s="96"/>
      <c r="O4" s="90" t="s">
        <v>215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177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 ht="13">
      <c r="B7" s="86" t="s">
        <v>179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 ht="13">
      <c r="B8" s="86" t="s">
        <v>180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 ht="13">
      <c r="B9" s="86" t="s">
        <v>181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182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183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184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231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212</v>
      </c>
      <c r="C18" s="86"/>
      <c r="D18" s="90" t="s">
        <v>213</v>
      </c>
      <c r="E18" s="95"/>
      <c r="F18" s="95"/>
      <c r="G18" s="90" t="s">
        <v>237</v>
      </c>
      <c r="H18" s="96"/>
      <c r="J18" s="90" t="s">
        <v>215</v>
      </c>
      <c r="L18" s="90" t="s">
        <v>238</v>
      </c>
      <c r="M18" s="96"/>
      <c r="O18" s="90" t="s">
        <v>215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239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 ht="13">
      <c r="B21" s="86" t="s">
        <v>240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 ht="13">
      <c r="B22" s="86" t="s">
        <v>241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 ht="13">
      <c r="B23" s="86" t="s">
        <v>242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183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182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231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244</v>
      </c>
      <c r="C32" s="103"/>
      <c r="D32" s="103"/>
    </row>
    <row r="33" spans="2:4" ht="13" thickTop="1"/>
    <row r="34" spans="2:4">
      <c r="B34" s="88" t="s">
        <v>213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245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08984375" customWidth="1"/>
    <col min="10" max="10" width="19.453125" bestFit="1" customWidth="1"/>
  </cols>
  <sheetData>
    <row r="1" spans="2:14">
      <c r="B1" s="860">
        <f>D15</f>
        <v>0</v>
      </c>
      <c r="C1" s="860"/>
      <c r="D1" s="860"/>
      <c r="E1" s="859" t="s">
        <v>246</v>
      </c>
      <c r="F1" s="859"/>
      <c r="G1" s="859"/>
      <c r="H1" s="859"/>
      <c r="I1" s="859"/>
      <c r="J1" s="859"/>
      <c r="K1" s="77"/>
      <c r="L1" s="77"/>
      <c r="M1" s="77"/>
      <c r="N1" s="77"/>
    </row>
    <row r="2" spans="2:14" ht="6.75" customHeight="1"/>
    <row r="3" spans="2:14">
      <c r="B3" s="72" t="s">
        <v>247</v>
      </c>
      <c r="C3" s="72" t="s">
        <v>248</v>
      </c>
      <c r="D3" s="72" t="s">
        <v>249</v>
      </c>
      <c r="E3" s="78" t="s">
        <v>250</v>
      </c>
      <c r="F3" s="78" t="s">
        <v>251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252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253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254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255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256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257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258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259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260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261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